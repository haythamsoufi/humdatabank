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https://ifrcorg.sharepoint.com/sites/THEFDRSTEAM/Shared Documents/Unified Planning and Reporting/2027 Planning/Templates/"/>
    </mc:Choice>
  </mc:AlternateContent>
  <xr:revisionPtr revIDLastSave="28" documentId="13_ncr:1_{104EA9F8-BE25-42B4-889F-BD144B2E32A7}" xr6:coauthVersionLast="47" xr6:coauthVersionMax="47" xr10:uidLastSave="{D71F05C5-509A-4802-885D-CD4921385F99}"/>
  <bookViews>
    <workbookView xWindow="-12945" yWindow="-21720" windowWidth="51840" windowHeight="21120" tabRatio="717" firstSheet="1" activeTab="1" xr2:uid="{00000000-000D-0000-FFFF-FFFF00000000}"/>
  </bookViews>
  <sheets>
    <sheet name="TemplateData" sheetId="1" state="hidden" r:id="rId1"/>
    <sheet name="Start" sheetId="2" r:id="rId2"/>
    <sheet name="People to be reached" sheetId="3" r:id="rId3"/>
    <sheet name="Planned Bilateral Support" sheetId="4" r:id="rId4"/>
    <sheet name="Funding requirements" sheetId="5" r:id="rId5"/>
    <sheet name="Comments" sheetId="6" r:id="rId6"/>
  </sheets>
  <definedNames>
    <definedName name="_Column">Table7[[#All],[Region]]</definedName>
    <definedName name="_ColumnB">Table9[[#All],[Region]]</definedName>
    <definedName name="_Start">Table7[[#Headers],[Country]]</definedName>
    <definedName name="_StartB">Table9[[#Headers],[NS name]]</definedName>
    <definedName name="Comment">Comments!$B$4</definedName>
    <definedName name="Country">Table6[Country]</definedName>
    <definedName name="Data_branches">Start!$O$29</definedName>
    <definedName name="Data_Country">Start!$K$12</definedName>
    <definedName name="Data_EA1">Start!$E$18</definedName>
    <definedName name="Data_EA2">Start!$L$18</definedName>
    <definedName name="Data_EA3">Start!$E$24</definedName>
    <definedName name="Data_MDR1">Start!$E$16</definedName>
    <definedName name="Data_MDR2">Start!$L$16</definedName>
    <definedName name="Data_MDR3">Start!$E$22</definedName>
    <definedName name="Data_staff">Start!$F$29</definedName>
    <definedName name="Data_units">Start!$L$29</definedName>
    <definedName name="Data_vol">Start!$C$29</definedName>
    <definedName name="Language">Start!$M$2</definedName>
    <definedName name="NS">Table1[NS]</definedName>
    <definedName name="Reach_EA1">'People to be reached'!$G$11</definedName>
    <definedName name="Reach_EA2">'People to be reached'!$G$12</definedName>
    <definedName name="Reach_EA3">'People to be reached'!$G$13</definedName>
    <definedName name="Region">Table8[Region]</definedName>
    <definedName name="RegionAR">Table8[RegionAR]</definedName>
    <definedName name="RegionFR">Table8[RegionFR]</definedName>
    <definedName name="RegionSP">Table8[RegionSP]</definedName>
    <definedName name="TR">_xlfn.LAMBDA(_xlpm.id,   INDEX(Translations[],     MATCH(_xlpm.id, Translations[id], 0),     _xlfn.XMATCH(Language, Translations[#Headers])   ) )</definedName>
    <definedName name="Version">TemplateData!$I$11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a="1"/>
  <c r="C8" i="2" s="1"/>
  <c r="O29" i="2" a="1"/>
  <c r="O29" i="2" s="1"/>
  <c r="L29" i="2" a="1"/>
  <c r="L29" i="2" s="1"/>
  <c r="B31" i="2" l="1"/>
  <c r="A1" i="5" l="1" a="1"/>
  <c r="A1" i="5" s="1"/>
  <c r="A1" i="3" a="1"/>
  <c r="A1" i="3" s="1"/>
  <c r="A1" i="4" a="1"/>
  <c r="A1" i="4" s="1"/>
  <c r="C35" i="2" a="1"/>
  <c r="C35" i="2" s="1"/>
  <c r="I35" i="2" a="1"/>
  <c r="I35" i="2" s="1"/>
  <c r="I36" i="2" a="1"/>
  <c r="I36" i="2" s="1"/>
  <c r="C36" i="2" a="1"/>
  <c r="C36" i="2" s="1"/>
  <c r="C33" i="2" a="1"/>
  <c r="C33" i="2" s="1"/>
  <c r="B29" i="2" a="1"/>
  <c r="B29" i="2" s="1"/>
  <c r="E29" i="2" a="1"/>
  <c r="E29" i="2" s="1"/>
  <c r="K29" i="2" a="1"/>
  <c r="K29" i="2" s="1"/>
  <c r="N29" i="2" a="1"/>
  <c r="N29" i="2" s="1"/>
  <c r="C21" i="2" a="1"/>
  <c r="C21" i="2" s="1"/>
  <c r="C15" i="2" a="1"/>
  <c r="C15" i="2" s="1"/>
  <c r="J15" i="2" a="1"/>
  <c r="J15" i="2" s="1"/>
  <c r="D6" i="2" a="1"/>
  <c r="D6" i="2" s="1"/>
  <c r="G6" i="2" a="1"/>
  <c r="G6" i="2" s="1"/>
  <c r="N6" i="2" a="1"/>
  <c r="N6" i="2" s="1"/>
  <c r="B10" i="5" a="1"/>
  <c r="M11" i="2" a="1"/>
  <c r="M11" i="2" s="1"/>
  <c r="B2" i="3" a="1"/>
  <c r="B2" i="3" s="1"/>
  <c r="G2" i="6"/>
  <c r="X33" i="5"/>
  <c r="X32" i="5"/>
  <c r="X31" i="5"/>
  <c r="X30" i="5"/>
  <c r="X29" i="5"/>
  <c r="X28" i="5"/>
  <c r="X27" i="5"/>
  <c r="X26" i="5"/>
  <c r="X25" i="5"/>
  <c r="X24" i="5"/>
  <c r="X23" i="5"/>
  <c r="X22" i="5"/>
  <c r="X21" i="5"/>
  <c r="X20" i="5"/>
  <c r="X19" i="5"/>
  <c r="X18" i="5"/>
  <c r="X17" i="5"/>
  <c r="X16" i="5"/>
  <c r="X15" i="5"/>
  <c r="X14" i="5"/>
  <c r="X13" i="5"/>
  <c r="X12" i="5"/>
  <c r="B9" i="5"/>
  <c r="X8" i="5"/>
  <c r="B8" i="5"/>
  <c r="W6" i="5" a="1"/>
  <c r="W6" i="5" s="1"/>
  <c r="V6" i="5" a="1"/>
  <c r="V6" i="5" s="1"/>
  <c r="U6" i="5" a="1"/>
  <c r="U6" i="5" s="1"/>
  <c r="T6" i="5" a="1"/>
  <c r="T6" i="5" s="1"/>
  <c r="S6" i="5" a="1"/>
  <c r="S6" i="5" s="1"/>
  <c r="R6" i="5" a="1"/>
  <c r="R6" i="5" s="1"/>
  <c r="Q6" i="5" a="1"/>
  <c r="Q6" i="5" s="1"/>
  <c r="P6" i="5" a="1"/>
  <c r="P6" i="5" s="1"/>
  <c r="O6" i="5" a="1"/>
  <c r="O6" i="5" s="1"/>
  <c r="N6" i="5" a="1"/>
  <c r="N6" i="5" s="1"/>
  <c r="M6" i="5" a="1"/>
  <c r="M6" i="5" s="1"/>
  <c r="L6" i="5" a="1"/>
  <c r="L6" i="5" s="1"/>
  <c r="K6" i="5" a="1"/>
  <c r="K6" i="5" s="1"/>
  <c r="J6" i="5" a="1"/>
  <c r="J6" i="5" s="1"/>
  <c r="I6" i="5" a="1"/>
  <c r="I6" i="5" s="1"/>
  <c r="H6" i="5" a="1"/>
  <c r="H6" i="5" s="1"/>
  <c r="G6" i="5" a="1"/>
  <c r="G6" i="5" s="1"/>
  <c r="F6" i="5" a="1"/>
  <c r="F6" i="5" s="1"/>
  <c r="E6" i="5"/>
  <c r="D6" i="5"/>
  <c r="C6" i="5"/>
  <c r="B6" i="5"/>
  <c r="R5" i="5"/>
  <c r="L5" i="5"/>
  <c r="F5" i="5"/>
  <c r="C5" i="5"/>
  <c r="R4" i="5"/>
  <c r="L4" i="5"/>
  <c r="F4" i="5"/>
  <c r="K3" i="5"/>
  <c r="B3" i="5"/>
  <c r="R2" i="5"/>
  <c r="J2" i="5"/>
  <c r="B2" i="5"/>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J3" i="4" a="1"/>
  <c r="J3" i="4" s="1"/>
  <c r="I3" i="4" a="1"/>
  <c r="I3" i="4" s="1"/>
  <c r="H3" i="4" a="1"/>
  <c r="H3" i="4" s="1"/>
  <c r="G3" i="4" a="1"/>
  <c r="G3" i="4" s="1"/>
  <c r="F3" i="4" a="1"/>
  <c r="F3" i="4" s="1"/>
  <c r="E3" i="4" a="1"/>
  <c r="E3" i="4" s="1"/>
  <c r="C3" i="4"/>
  <c r="B3" i="4"/>
  <c r="B2" i="4"/>
  <c r="D13" i="3"/>
  <c r="D12" i="3"/>
  <c r="D11" i="3"/>
  <c r="D10" i="3"/>
  <c r="N8" i="3"/>
  <c r="M8" i="3"/>
  <c r="L8" i="3"/>
  <c r="K8" i="3"/>
  <c r="J8" i="3"/>
  <c r="N7" i="3"/>
  <c r="M7" i="3"/>
  <c r="L7" i="3"/>
  <c r="K7" i="3"/>
  <c r="J7" i="3"/>
  <c r="N6" i="3"/>
  <c r="M6" i="3"/>
  <c r="L6" i="3"/>
  <c r="K6" i="3"/>
  <c r="J6" i="3"/>
  <c r="H4" i="3" a="1"/>
  <c r="H4" i="3" s="1"/>
  <c r="G4" i="3" a="1"/>
  <c r="G4" i="3" s="1"/>
  <c r="F4" i="3" a="1"/>
  <c r="F4" i="3" s="1"/>
  <c r="E4" i="3" a="1"/>
  <c r="E4" i="3" s="1"/>
  <c r="D4" i="3" a="1"/>
  <c r="D4" i="3" s="1"/>
  <c r="C4" i="3"/>
  <c r="C3" i="3"/>
  <c r="O31" i="2" a="1"/>
  <c r="O31" i="2" s="1"/>
  <c r="L31" i="2" a="1"/>
  <c r="L31" i="2" s="1"/>
  <c r="F31" i="2" a="1"/>
  <c r="F31" i="2" s="1"/>
  <c r="C31" i="2" a="1"/>
  <c r="C31" i="2" s="1"/>
  <c r="F29" i="2" a="1"/>
  <c r="F29" i="2" s="1"/>
  <c r="C29" i="2" a="1"/>
  <c r="C29" i="2" s="1"/>
  <c r="B27" i="2"/>
  <c r="D24" i="2"/>
  <c r="D22" i="2"/>
  <c r="K18" i="2"/>
  <c r="D18" i="2"/>
  <c r="K16" i="2"/>
  <c r="D16" i="2"/>
  <c r="G12" i="2"/>
  <c r="B12" i="2"/>
  <c r="B10" i="2"/>
  <c r="B4" i="2"/>
  <c r="L2" i="2"/>
  <c r="C2" i="2"/>
  <c r="B10" i="5" l="1"/>
  <c r="X10" i="5" s="1"/>
  <c r="X11" i="5"/>
  <c r="AE11" i="5" s="1"/>
  <c r="AB12" i="5"/>
  <c r="AE16" i="5"/>
  <c r="AE14" i="5"/>
  <c r="AE20" i="5"/>
  <c r="AE26" i="5"/>
  <c r="AD26" i="5"/>
  <c r="AD14" i="5"/>
  <c r="AE24" i="5"/>
  <c r="AC14" i="5"/>
  <c r="AC28" i="5"/>
  <c r="AE12" i="5"/>
  <c r="AD30" i="5"/>
  <c r="AC30" i="5"/>
  <c r="AE18" i="5"/>
  <c r="AD18" i="5"/>
  <c r="AE32" i="5"/>
  <c r="AD24" i="5"/>
  <c r="AD32" i="5"/>
  <c r="AE22" i="5"/>
  <c r="AD12" i="5"/>
  <c r="AE30" i="5"/>
  <c r="AD20" i="5"/>
  <c r="AE28" i="5"/>
  <c r="AD28" i="5"/>
  <c r="AD16" i="5"/>
  <c r="AC32" i="5"/>
  <c r="AD22" i="5"/>
  <c r="AC20" i="5"/>
  <c r="AB30" i="5"/>
  <c r="AB24" i="5"/>
  <c r="AB16" i="5"/>
  <c r="AA24" i="5"/>
  <c r="AA16" i="5"/>
  <c r="Z32" i="5"/>
  <c r="Z28" i="5"/>
  <c r="Z24" i="5"/>
  <c r="Z20" i="5"/>
  <c r="Z14" i="5"/>
  <c r="AE33" i="5"/>
  <c r="AE31" i="5"/>
  <c r="AE29" i="5"/>
  <c r="AE27" i="5"/>
  <c r="AE25" i="5"/>
  <c r="AE23" i="5"/>
  <c r="AE21" i="5"/>
  <c r="AE19" i="5"/>
  <c r="AE17" i="5"/>
  <c r="AE15" i="5"/>
  <c r="AE13" i="5"/>
  <c r="AD33" i="5"/>
  <c r="AD31" i="5"/>
  <c r="AD29" i="5"/>
  <c r="AD27" i="5"/>
  <c r="AD25" i="5"/>
  <c r="AD23" i="5"/>
  <c r="AD21" i="5"/>
  <c r="AD19" i="5"/>
  <c r="AD17" i="5"/>
  <c r="AD15" i="5"/>
  <c r="AD13" i="5"/>
  <c r="AC33" i="5"/>
  <c r="AC31" i="5"/>
  <c r="AC29" i="5"/>
  <c r="AC27" i="5"/>
  <c r="AC25" i="5"/>
  <c r="AC23" i="5"/>
  <c r="AC21" i="5"/>
  <c r="AC19" i="5"/>
  <c r="AC17" i="5"/>
  <c r="AC15" i="5"/>
  <c r="AC13" i="5"/>
  <c r="AC24" i="5"/>
  <c r="AC16" i="5"/>
  <c r="AB32" i="5"/>
  <c r="AB20" i="5"/>
  <c r="AA30" i="5"/>
  <c r="AA22" i="5"/>
  <c r="AA18" i="5"/>
  <c r="AA12" i="5"/>
  <c r="Z30" i="5"/>
  <c r="Z22" i="5"/>
  <c r="Z18" i="5"/>
  <c r="Z16" i="5"/>
  <c r="Z12" i="5"/>
  <c r="AB33" i="5"/>
  <c r="AB31" i="5"/>
  <c r="AB29" i="5"/>
  <c r="AB27" i="5"/>
  <c r="AB25" i="5"/>
  <c r="AB23" i="5"/>
  <c r="AB21" i="5"/>
  <c r="AB19" i="5"/>
  <c r="AB17" i="5"/>
  <c r="AB15" i="5"/>
  <c r="AB13" i="5"/>
  <c r="AB11" i="5"/>
  <c r="AC26" i="5"/>
  <c r="AC18" i="5"/>
  <c r="AC12" i="5"/>
  <c r="AB26" i="5"/>
  <c r="AB18" i="5"/>
  <c r="AA28" i="5"/>
  <c r="Z26" i="5"/>
  <c r="AA33" i="5"/>
  <c r="AA31" i="5"/>
  <c r="AA29" i="5"/>
  <c r="AA25" i="5"/>
  <c r="AA21" i="5"/>
  <c r="AA17" i="5"/>
  <c r="AA15" i="5"/>
  <c r="AC22" i="5"/>
  <c r="AB28" i="5"/>
  <c r="AB22" i="5"/>
  <c r="AB14" i="5"/>
  <c r="AA32" i="5"/>
  <c r="AA26" i="5"/>
  <c r="AA20" i="5"/>
  <c r="AA14" i="5"/>
  <c r="AA27" i="5"/>
  <c r="AA23" i="5"/>
  <c r="AA19" i="5"/>
  <c r="AA13" i="5"/>
  <c r="Z33" i="5"/>
  <c r="Z31" i="5"/>
  <c r="Z29" i="5"/>
  <c r="Z27" i="5"/>
  <c r="Z25" i="5"/>
  <c r="Z23" i="5"/>
  <c r="Z21" i="5"/>
  <c r="Z19" i="5"/>
  <c r="Z17" i="5"/>
  <c r="Z15" i="5"/>
  <c r="Z13" i="5"/>
  <c r="Z11" i="5" l="1"/>
  <c r="AA11" i="5"/>
  <c r="AC11" i="5"/>
  <c r="AD11" i="5"/>
  <c r="AE10" i="5"/>
  <c r="AC10" i="5"/>
  <c r="AA10" i="5"/>
  <c r="Z10" i="5"/>
  <c r="AD10" i="5"/>
  <c r="AB10"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<sst xmlns="http://schemas.openxmlformats.org/spreadsheetml/2006/main" count="8372" uniqueCount="1715">
  <si>
    <t>Country</t>
  </si>
  <si>
    <t>NS</t>
  </si>
  <si>
    <t>FR</t>
  </si>
  <si>
    <t>SP</t>
  </si>
  <si>
    <t>AR</t>
  </si>
  <si>
    <t>Region</t>
  </si>
  <si>
    <t>RegionFR</t>
  </si>
  <si>
    <t>RegionSP</t>
  </si>
  <si>
    <t>RegionAR</t>
  </si>
  <si>
    <t>NS name</t>
  </si>
  <si>
    <t>Value</t>
  </si>
  <si>
    <t>ISO3</t>
  </si>
  <si>
    <t>Indicator</t>
  </si>
  <si>
    <t>ValueNum</t>
  </si>
  <si>
    <t>Round</t>
  </si>
  <si>
    <t>Attribute</t>
  </si>
  <si>
    <t>Year</t>
  </si>
  <si>
    <t>id</t>
  </si>
  <si>
    <t>EN</t>
  </si>
  <si>
    <t>Afghanistan</t>
  </si>
  <si>
    <t>Afghan Red Crescent</t>
  </si>
  <si>
    <t>Croissant-Rouge afghan</t>
  </si>
  <si>
    <t>Media Luna Roja Afgana</t>
  </si>
  <si>
    <t>الهلال الأحمر الأفغاني</t>
  </si>
  <si>
    <t>Asia Pacific</t>
  </si>
  <si>
    <t>Asie-Pacifique</t>
  </si>
  <si>
    <t>Asia Pacífico</t>
  </si>
  <si>
    <t>آسيا والمحيط الهادئ</t>
  </si>
  <si>
    <t>Africa</t>
  </si>
  <si>
    <t>Angola</t>
  </si>
  <si>
    <t>Angola Red Cross</t>
  </si>
  <si>
    <t>AFG</t>
  </si>
  <si>
    <t>Branches</t>
  </si>
  <si>
    <t>34</t>
  </si>
  <si>
    <t>SP2</t>
  </si>
  <si>
    <t>Response - Disasters and Crises</t>
  </si>
  <si>
    <t>Réponse - Catastrophes et crises</t>
  </si>
  <si>
    <t>Respuesta - Desastres y crisis</t>
  </si>
  <si>
    <t>الاستجابة - الكوارث والأزمات</t>
  </si>
  <si>
    <t>Albania</t>
  </si>
  <si>
    <t>Albanian Red Cross</t>
  </si>
  <si>
    <t>Croix-Rouge albanaise</t>
  </si>
  <si>
    <t>Cruz Roja de Albania</t>
  </si>
  <si>
    <t>الصليب الأحمر الألباني</t>
  </si>
  <si>
    <t>Afrique</t>
  </si>
  <si>
    <t>África</t>
  </si>
  <si>
    <t>أفريقيا</t>
  </si>
  <si>
    <t>Benin</t>
  </si>
  <si>
    <t>Baphalali Eswatini Red Cross Society</t>
  </si>
  <si>
    <t>Local Units</t>
  </si>
  <si>
    <t>329</t>
  </si>
  <si>
    <t>SP1</t>
  </si>
  <si>
    <t>Resilience - Climate and Environment</t>
  </si>
  <si>
    <t>Résilience - Climat et environnement</t>
  </si>
  <si>
    <t>Resiliencia - Clima y medio ambiente</t>
  </si>
  <si>
    <t>الصمود - المناخ والبيئة</t>
  </si>
  <si>
    <t>Algeria</t>
  </si>
  <si>
    <t>Algerian Red Crescent</t>
  </si>
  <si>
    <t>Croissant-Rouge algérien</t>
  </si>
  <si>
    <t>Media Luna Roja Argelina</t>
  </si>
  <si>
    <t>الهلال الأحمر الجزائري</t>
  </si>
  <si>
    <t>Americas</t>
  </si>
  <si>
    <t>Amériques</t>
  </si>
  <si>
    <t>Américas</t>
  </si>
  <si>
    <t>الأمريكتان</t>
  </si>
  <si>
    <t>Botswana</t>
  </si>
  <si>
    <t>Botswana Red Cross Society</t>
  </si>
  <si>
    <t>Number of paid staff</t>
  </si>
  <si>
    <t>Staff</t>
  </si>
  <si>
    <t>4’000</t>
  </si>
  <si>
    <t>SP3</t>
  </si>
  <si>
    <t>Resilience - Health and Well-being</t>
  </si>
  <si>
    <t>Résilience - Santé et bien-être</t>
  </si>
  <si>
    <t>Resiliencia - Salud y bienestar</t>
  </si>
  <si>
    <t>الصمود - الصحة والرفاه</t>
  </si>
  <si>
    <t>United States</t>
  </si>
  <si>
    <t>American Red Cross</t>
  </si>
  <si>
    <t>Croix-Rouge américaine</t>
  </si>
  <si>
    <t>Cruz Roja Americana</t>
  </si>
  <si>
    <t>الصليب الأحمر الأمريكي</t>
  </si>
  <si>
    <t>Andorra</t>
  </si>
  <si>
    <t>Europe and Central Asia</t>
  </si>
  <si>
    <t>Europe et Asie centrale</t>
  </si>
  <si>
    <t>Europa y Asia Central</t>
  </si>
  <si>
    <t>أوروبا وآسيا الوسطى</t>
  </si>
  <si>
    <t>Burkina Faso</t>
  </si>
  <si>
    <t>Burkinabe Red Cross Society</t>
  </si>
  <si>
    <t>Number of people volunteering</t>
  </si>
  <si>
    <t>Volunteers</t>
  </si>
  <si>
    <t>SP4</t>
  </si>
  <si>
    <t>Resilience - Migration and Displacement</t>
  </si>
  <si>
    <t>Résilience - Migration et déplacements</t>
  </si>
  <si>
    <t>Resiliencia - Migración y desplazamiento</t>
  </si>
  <si>
    <t>الصمود - الهجرة والنزوح</t>
  </si>
  <si>
    <t>Andorran Red Cross</t>
  </si>
  <si>
    <t>Croix-Rouge andorrane</t>
  </si>
  <si>
    <t>Cruz Roja Andorrana</t>
  </si>
  <si>
    <t>الصليب الأحمر الأندوري</t>
  </si>
  <si>
    <t>Middle East and North Africa</t>
  </si>
  <si>
    <t>Moyen-Orient et Afrique du Nord</t>
  </si>
  <si>
    <t>Medio Oriente y Norte de África</t>
  </si>
  <si>
    <t>الشرق الأوسط وشمال أفريقيا</t>
  </si>
  <si>
    <t>Burundi</t>
  </si>
  <si>
    <t>Burundi Red Cross</t>
  </si>
  <si>
    <t>ALB</t>
  </si>
  <si>
    <t>39</t>
  </si>
  <si>
    <t>SP5</t>
  </si>
  <si>
    <t>Respect - Values, Power and Inclusion</t>
  </si>
  <si>
    <t>Respect - Valeurs, pouvoir et inclusion</t>
  </si>
  <si>
    <t>Respeto - Valores, poder e inclusión</t>
  </si>
  <si>
    <t>الاحترام - القيم والسلطة والشمول</t>
  </si>
  <si>
    <t>Croix-Rouge angolaise</t>
  </si>
  <si>
    <t>Cruz Roja de Angola</t>
  </si>
  <si>
    <t>الصليب الأحمر الأنغولي</t>
  </si>
  <si>
    <t>Antigua and Barbuda</t>
  </si>
  <si>
    <t>Cameroon</t>
  </si>
  <si>
    <t>Cameroon Red Cross Society</t>
  </si>
  <si>
    <t>Efs</t>
  </si>
  <si>
    <t>Enabling Functions</t>
  </si>
  <si>
    <t>Fonctions habilitantes</t>
  </si>
  <si>
    <t>Funciones habilitantes</t>
  </si>
  <si>
    <t>الوظائف التمكينية</t>
  </si>
  <si>
    <t>Antigua and Barbuda Red Cross</t>
  </si>
  <si>
    <t>Croix-Rouge d'Antigua-et-Barbuda</t>
  </si>
  <si>
    <t>Cruz Roja de Antigua y Barbuda</t>
  </si>
  <si>
    <t>الصليب الأحمر لأنتيغوا وباربودا</t>
  </si>
  <si>
    <t>Argentina</t>
  </si>
  <si>
    <t>Cape Verde</t>
  </si>
  <si>
    <t>Central African Red Cross Society</t>
  </si>
  <si>
    <t>53</t>
  </si>
  <si>
    <t>T01</t>
  </si>
  <si>
    <t>Planification 2026 - Commencez ici</t>
  </si>
  <si>
    <t>Argentine Red Cross</t>
  </si>
  <si>
    <t>Croix-Rouge argentine</t>
  </si>
  <si>
    <t>Cruz Roja Argentina</t>
  </si>
  <si>
    <t>الصليب الأحمر الأرجنتيني</t>
  </si>
  <si>
    <t>Armenia</t>
  </si>
  <si>
    <t>Central African Republic</t>
  </si>
  <si>
    <t>Congolese Red Cross</t>
  </si>
  <si>
    <t>3’000</t>
  </si>
  <si>
    <t>T02</t>
  </si>
  <si>
    <t>Language</t>
  </si>
  <si>
    <t>Langue</t>
  </si>
  <si>
    <t>Idioma</t>
  </si>
  <si>
    <t>اللغة</t>
  </si>
  <si>
    <t>Armenian Red Cross Society</t>
  </si>
  <si>
    <t>Société de la Croix-Rouge arménienne</t>
  </si>
  <si>
    <t>Sociedad de la Cruz Roja de Armenia</t>
  </si>
  <si>
    <t>جمعية الصليب الأحمر الأرمني</t>
  </si>
  <si>
    <t>Australia</t>
  </si>
  <si>
    <t>Chad</t>
  </si>
  <si>
    <t>Ethiopian Red Cross Society</t>
  </si>
  <si>
    <t>DZA</t>
  </si>
  <si>
    <t>T03</t>
  </si>
  <si>
    <t>Instructions</t>
  </si>
  <si>
    <t>Instrucciones</t>
  </si>
  <si>
    <t>تعليمات</t>
  </si>
  <si>
    <t>Australian Red Cross</t>
  </si>
  <si>
    <t>Croix-Rouge australienne</t>
  </si>
  <si>
    <t>Cruz Roja Australiana</t>
  </si>
  <si>
    <t>الصليب الأحمر الأسترالي</t>
  </si>
  <si>
    <t>Austria</t>
  </si>
  <si>
    <t>Comoros</t>
  </si>
  <si>
    <t>Gabonese Red Cross Society</t>
  </si>
  <si>
    <t>592</t>
  </si>
  <si>
    <t>T04</t>
  </si>
  <si>
    <t>Cell open for input</t>
  </si>
  <si>
    <t>Cellule ouverte pour saisie</t>
  </si>
  <si>
    <t>Celda abierta para entrada</t>
  </si>
  <si>
    <t>الخلية مفتوحة للإدخال</t>
  </si>
  <si>
    <t>Austrian Red Cross</t>
  </si>
  <si>
    <t>Croix-Rouge autrichienne</t>
  </si>
  <si>
    <t>Cruz Roja Austríaca</t>
  </si>
  <si>
    <t>الصليب الأحمر النمساوي</t>
  </si>
  <si>
    <t>Azerbaijan</t>
  </si>
  <si>
    <t>Congo</t>
  </si>
  <si>
    <t>Ghana Red Cross Society</t>
  </si>
  <si>
    <t>T05</t>
  </si>
  <si>
    <t>Cell Locked (or Automatically prefilled)</t>
  </si>
  <si>
    <t>Cellule verrouillée ou préremplie automatiquement</t>
  </si>
  <si>
    <t>Celda bloqueada (o rellenada automáticamente)</t>
  </si>
  <si>
    <t>الخلية مقفلة أو معبئة مسبقاً</t>
  </si>
  <si>
    <t>Bahrain</t>
  </si>
  <si>
    <t>Bahrain Red Crescent Society</t>
  </si>
  <si>
    <t>Société du Croissant-Rouge de Bahreïn</t>
  </si>
  <si>
    <t>Sociedad de la Media Luna Roja de Bahrein</t>
  </si>
  <si>
    <t>جمعية الهلال الأحمر البحريني</t>
  </si>
  <si>
    <t>Bahamas</t>
  </si>
  <si>
    <t>Congo, the Democratic Republic of the</t>
  </si>
  <si>
    <t>Kenya Red Cross Society</t>
  </si>
  <si>
    <t>20’000</t>
  </si>
  <si>
    <t>T06</t>
  </si>
  <si>
    <t>Guidance</t>
  </si>
  <si>
    <t>Guidage</t>
  </si>
  <si>
    <t>Guía</t>
  </si>
  <si>
    <t>إرشادات</t>
  </si>
  <si>
    <t>Bangladesh</t>
  </si>
  <si>
    <t>Bangladesh Red Crescent Society</t>
  </si>
  <si>
    <t>Croissant-Rouge du Bangladesh</t>
  </si>
  <si>
    <t>Media Luna Roja de Bangladesh</t>
  </si>
  <si>
    <t>جمعية الهلال الأحمر البنغلاديشي</t>
  </si>
  <si>
    <t>Côte d'Ivoire</t>
  </si>
  <si>
    <t>Lesotho Red Cross Society</t>
  </si>
  <si>
    <t>AGO</t>
  </si>
  <si>
    <t>1</t>
  </si>
  <si>
    <t>T07</t>
  </si>
  <si>
    <t>Select your country</t>
  </si>
  <si>
    <t>Sélectionnez votre pays</t>
  </si>
  <si>
    <t>Seleccione su país</t>
  </si>
  <si>
    <t>اختر بلدك</t>
  </si>
  <si>
    <t>Eswatini, the Kingdom of</t>
  </si>
  <si>
    <t>Croix-Rouge d'Eswatini</t>
  </si>
  <si>
    <t>Cruz Roja de Suazilandia</t>
  </si>
  <si>
    <t>جمعية الصليب الأحمر بفالاتشي إسواتيني</t>
  </si>
  <si>
    <t>Djibouti</t>
  </si>
  <si>
    <t>Liberian Red Cross Society</t>
  </si>
  <si>
    <t>T08</t>
  </si>
  <si>
    <t>Région</t>
  </si>
  <si>
    <t>Región</t>
  </si>
  <si>
    <t>المنطقة</t>
  </si>
  <si>
    <t>Belarus</t>
  </si>
  <si>
    <t>Belarus Red Cross</t>
  </si>
  <si>
    <t>Croix-Rouge du Bélarus</t>
  </si>
  <si>
    <t>Cruz Roja de Belarús</t>
  </si>
  <si>
    <t>الصليب الأحمر البيلاروسي</t>
  </si>
  <si>
    <t>Barbados</t>
  </si>
  <si>
    <t>Equatorial Guinea</t>
  </si>
  <si>
    <t>Malagasy Red Cross Society</t>
  </si>
  <si>
    <t>58</t>
  </si>
  <si>
    <t>T09</t>
  </si>
  <si>
    <t>Pays</t>
  </si>
  <si>
    <t>País</t>
  </si>
  <si>
    <t>البلد</t>
  </si>
  <si>
    <t>Belgium</t>
  </si>
  <si>
    <t>Belgian Red Cross</t>
  </si>
  <si>
    <t>Croix-Rouge de Belgique</t>
  </si>
  <si>
    <t>Cruz Roja de Bélgica</t>
  </si>
  <si>
    <t>الصليب الأحمر البلجيكي</t>
  </si>
  <si>
    <t>Malawi Red Cross Society</t>
  </si>
  <si>
    <t>318</t>
  </si>
  <si>
    <t>T10</t>
  </si>
  <si>
    <t>Emergency Appeal 1</t>
  </si>
  <si>
    <t>Appel d'Urgence 1</t>
  </si>
  <si>
    <t>Llamamiento de Emergencia 1</t>
  </si>
  <si>
    <t>النداء الطارئ 1</t>
  </si>
  <si>
    <t>Belize</t>
  </si>
  <si>
    <t>Belize Red Cross Society</t>
  </si>
  <si>
    <t>Société de la Croix-Rouge du Belize</t>
  </si>
  <si>
    <t>Sociedad de la Cruz Roja de Belice</t>
  </si>
  <si>
    <t>جمعية الصليب الأحمر في بليز</t>
  </si>
  <si>
    <t>Ethiopia</t>
  </si>
  <si>
    <t>Mali Red Cross</t>
  </si>
  <si>
    <t>ARG</t>
  </si>
  <si>
    <t>18</t>
  </si>
  <si>
    <t>T11</t>
  </si>
  <si>
    <t>Emergency Appeal 2</t>
  </si>
  <si>
    <t>Appel d'Urgence 2</t>
  </si>
  <si>
    <t>Llamamiento de Emergencia 2</t>
  </si>
  <si>
    <t>النداء الطارئ 2</t>
  </si>
  <si>
    <t>Bhutan</t>
  </si>
  <si>
    <t>Bhutan Red Cross</t>
  </si>
  <si>
    <t>Croix-Rouge du Bhoutan</t>
  </si>
  <si>
    <t>Cruz Roja de Bután</t>
  </si>
  <si>
    <t>الصليب الأحمر البوتاني</t>
  </si>
  <si>
    <t>Gabon</t>
  </si>
  <si>
    <t>Mauritanian Red Crescent</t>
  </si>
  <si>
    <t>19</t>
  </si>
  <si>
    <t>T12</t>
  </si>
  <si>
    <t>MDR code</t>
  </si>
  <si>
    <t>Code MDR</t>
  </si>
  <si>
    <t>Código MDR</t>
  </si>
  <si>
    <t>رمز MDR</t>
  </si>
  <si>
    <t>Bolivia, Plurinational State of</t>
  </si>
  <si>
    <t>Bolivian Red Cross</t>
  </si>
  <si>
    <t>Croix-Rouge bolivienne</t>
  </si>
  <si>
    <t>Cruz Roja Boliviana</t>
  </si>
  <si>
    <t>الصليب الأحمر البوليفي</t>
  </si>
  <si>
    <t>Gambia</t>
  </si>
  <si>
    <t>Mauritius Red Cross Society</t>
  </si>
  <si>
    <t>89</t>
  </si>
  <si>
    <t>T13</t>
  </si>
  <si>
    <t>Name</t>
  </si>
  <si>
    <t>Nom</t>
  </si>
  <si>
    <t>Nombre</t>
  </si>
  <si>
    <t>الاسم</t>
  </si>
  <si>
    <t>Société de la Croix-Rouge du Botswana</t>
  </si>
  <si>
    <t>Sociedad de la Cruz Roja de Botsuana</t>
  </si>
  <si>
    <t>جمعية الصليب الأحمر البوتسواني</t>
  </si>
  <si>
    <t>Ghana</t>
  </si>
  <si>
    <t>Mozambique Red Cross Society</t>
  </si>
  <si>
    <t>5’000</t>
  </si>
  <si>
    <t>T14</t>
  </si>
  <si>
    <t>Emergency Appeal 3</t>
  </si>
  <si>
    <t>Appel d'Urgence 3</t>
  </si>
  <si>
    <t>Llamamiento de Emergencia 3</t>
  </si>
  <si>
    <t>النداء الطارئ 3</t>
  </si>
  <si>
    <t>Brazil</t>
  </si>
  <si>
    <t>Brazilian Red Cross</t>
  </si>
  <si>
    <t>Croix-Rouge brésilienne</t>
  </si>
  <si>
    <t>Cruz Roja Brasileña</t>
  </si>
  <si>
    <t>الصليب الأحمر البرازيلي</t>
  </si>
  <si>
    <t>Guinea</t>
  </si>
  <si>
    <t>Namibia Red Cross</t>
  </si>
  <si>
    <t>ARM</t>
  </si>
  <si>
    <t>T15</t>
  </si>
  <si>
    <t>National Society key figures</t>
  </si>
  <si>
    <t>Chiffres clés de la Société nationale</t>
  </si>
  <si>
    <t>Cifras clave de la Sociedad Nacional</t>
  </si>
  <si>
    <t>الأرقام الرئيسية للجمعية الوطنية</t>
  </si>
  <si>
    <t>United Kingdom</t>
  </si>
  <si>
    <t>British Red Cross</t>
  </si>
  <si>
    <t>Croix-Rouge britannique</t>
  </si>
  <si>
    <t>Cruz Roja Británica</t>
  </si>
  <si>
    <t>الصليب الأحمر البريطاني</t>
  </si>
  <si>
    <t>Bosnia and Herzegovina</t>
  </si>
  <si>
    <t>Guinea-Bissau</t>
  </si>
  <si>
    <t>Nigerian Red Cross Society</t>
  </si>
  <si>
    <t>7</t>
  </si>
  <si>
    <t>T16</t>
  </si>
  <si>
    <t>Volontaires</t>
  </si>
  <si>
    <t>Voluntarios</t>
  </si>
  <si>
    <t>المتطوعون</t>
  </si>
  <si>
    <t>Brunei Darussalam</t>
  </si>
  <si>
    <t>Brunei Darussalam Red Crescent Society</t>
  </si>
  <si>
    <t>Croissant-Rouge de Brunéi</t>
  </si>
  <si>
    <t>Media Luna Roja de Brunei</t>
  </si>
  <si>
    <t>جمعية الهلال الأحمر في بروناي دار السلام</t>
  </si>
  <si>
    <t>Kenya</t>
  </si>
  <si>
    <t>Red Crescent Society of Djibouti</t>
  </si>
  <si>
    <t>68</t>
  </si>
  <si>
    <t>T17</t>
  </si>
  <si>
    <t>Personnel</t>
  </si>
  <si>
    <t>Personal</t>
  </si>
  <si>
    <t>الموظفون</t>
  </si>
  <si>
    <t>Bulgaria</t>
  </si>
  <si>
    <t>Bulgarian Red Cross</t>
  </si>
  <si>
    <t>Croix-Rouge bulgare</t>
  </si>
  <si>
    <t>Cruz Roja Búlgara</t>
  </si>
  <si>
    <t>الصليب الأحمر البلغاري</t>
  </si>
  <si>
    <t>Lesotho</t>
  </si>
  <si>
    <t>Red Cross Society of Côte d'Ivoire</t>
  </si>
  <si>
    <t>63</t>
  </si>
  <si>
    <t>T18</t>
  </si>
  <si>
    <t>Unités locales</t>
  </si>
  <si>
    <t>Unidades locales</t>
  </si>
  <si>
    <t>الوحدات المحلية</t>
  </si>
  <si>
    <t>Croix-Rouge burkinabè</t>
  </si>
  <si>
    <t>Cruz Roja de Burkina Faso</t>
  </si>
  <si>
    <t>جمعية الصليب الأحمر البوركينية</t>
  </si>
  <si>
    <t>Liberia</t>
  </si>
  <si>
    <t>Red Cross Society of Guinea</t>
  </si>
  <si>
    <t>AZE</t>
  </si>
  <si>
    <t>65</t>
  </si>
  <si>
    <t>T19</t>
  </si>
  <si>
    <t>Sucursales</t>
  </si>
  <si>
    <t>الفروع</t>
  </si>
  <si>
    <t>Croix-Rouge du Burundi</t>
  </si>
  <si>
    <t>Cruz Roja de Burundi</t>
  </si>
  <si>
    <t>الصليب الأحمر البوروندي</t>
  </si>
  <si>
    <t>Madagascar</t>
  </si>
  <si>
    <t>Red Cross Society of Guinea-Bissau</t>
  </si>
  <si>
    <t>2’000</t>
  </si>
  <si>
    <t>T20</t>
  </si>
  <si>
    <t>People to be reached by</t>
  </si>
  <si>
    <t>Personnes à atteindre par</t>
  </si>
  <si>
    <t>Personas a ser alcanzadas por</t>
  </si>
  <si>
    <t>الأشخاص المستهدفون بواسطة</t>
  </si>
  <si>
    <t>Cambodia</t>
  </si>
  <si>
    <t>Cambodian Red Cross Society</t>
  </si>
  <si>
    <t>Croix-Rouge cambodgienne</t>
  </si>
  <si>
    <t>Cruz Roja de Camboya</t>
  </si>
  <si>
    <t>جمعية الصليب الأحمر الكمبودي</t>
  </si>
  <si>
    <t>Malawi</t>
  </si>
  <si>
    <t>Red Cross Society of Niger</t>
  </si>
  <si>
    <t>8’000</t>
  </si>
  <si>
    <t>T21</t>
  </si>
  <si>
    <t>Longer term programmes</t>
  </si>
  <si>
    <t>Programmes à plus long terme</t>
  </si>
  <si>
    <t>Programas a más largo plazo</t>
  </si>
  <si>
    <t>برامج طويلة الأجل</t>
  </si>
  <si>
    <t>Croix-Rouge camerounaise</t>
  </si>
  <si>
    <t>Cruz Roja del Camerún</t>
  </si>
  <si>
    <t>جمعية الصليب الأحمر الكاميروني</t>
  </si>
  <si>
    <t>Mali</t>
  </si>
  <si>
    <t>Red Cross of Benin</t>
  </si>
  <si>
    <t>12</t>
  </si>
  <si>
    <t>T22</t>
  </si>
  <si>
    <t>Année</t>
  </si>
  <si>
    <t>Año</t>
  </si>
  <si>
    <t>السنة</t>
  </si>
  <si>
    <t>Société de la Croix-Rouge centrafricaine</t>
  </si>
  <si>
    <t>Sociedad de la Cruz Roja Centroafricana</t>
  </si>
  <si>
    <t>جمعية الصليب الأحمر في جمهورية إفريقيا الوسطى</t>
  </si>
  <si>
    <t>Mauritania</t>
  </si>
  <si>
    <t>Red Cross of Cape Verde</t>
  </si>
  <si>
    <t>BGD</t>
  </si>
  <si>
    <t>69</t>
  </si>
  <si>
    <t>T23</t>
  </si>
  <si>
    <t>Chile</t>
  </si>
  <si>
    <t>Chilean Red Cross</t>
  </si>
  <si>
    <t>Croix-Rouge chilienne</t>
  </si>
  <si>
    <t>Cruz Roja Chilena</t>
  </si>
  <si>
    <t>الصليب الأحمر التشيلي</t>
  </si>
  <si>
    <t>Mauritius</t>
  </si>
  <si>
    <t>Red Cross of Chad</t>
  </si>
  <si>
    <t>T24</t>
  </si>
  <si>
    <t>Enter in the start page the name and MDR code for the Emergency Appeal</t>
  </si>
  <si>
    <t>Entrez sur la page de démarrage le nom et le code MDR de l'appel d'urgence</t>
  </si>
  <si>
    <t>Ingrese en la página de inicio el nombre y el código MDR del Llamamiento de Emergencia</t>
  </si>
  <si>
    <t>أدخل اسم ورمز نداء الطوارئ في صفحة البدء</t>
  </si>
  <si>
    <t>Colombia</t>
  </si>
  <si>
    <t>Colombian Red Cross Society</t>
  </si>
  <si>
    <t>Société de la Croix-Rouge colombienne</t>
  </si>
  <si>
    <t>Sociedad Nacional de la Cruz Roja Colombiana</t>
  </si>
  <si>
    <t>جمعية الصليب الأحمر الكولومبي</t>
  </si>
  <si>
    <t>Canada</t>
  </si>
  <si>
    <t>Mozambique</t>
  </si>
  <si>
    <t>Red Cross of Equatorial Guinea</t>
  </si>
  <si>
    <t>9’000</t>
  </si>
  <si>
    <t>T25</t>
  </si>
  <si>
    <t>Planned Bilateral Support</t>
  </si>
  <si>
    <t>Soutien Bilatéral Planifié</t>
  </si>
  <si>
    <t>Apoyo Bilateral</t>
  </si>
  <si>
    <t>الدعم الثنائي</t>
  </si>
  <si>
    <t>Croix-Rouge congolaise</t>
  </si>
  <si>
    <t>Cruz Roja Congoleña</t>
  </si>
  <si>
    <t>الصليب الأحمر الكونغولي</t>
  </si>
  <si>
    <t>Namibia</t>
  </si>
  <si>
    <t>Red Cross of the Democratic Republic of the Congo</t>
  </si>
  <si>
    <t>301</t>
  </si>
  <si>
    <t>T26</t>
  </si>
  <si>
    <t>Participating National Society name</t>
  </si>
  <si>
    <t>Nom de la Société Nationale Participante</t>
  </si>
  <si>
    <t>Nombre de la Sociedad Nacional Participante</t>
  </si>
  <si>
    <t>اسم الجمعية الوطنية المشاركة</t>
  </si>
  <si>
    <t>Cook Islands</t>
  </si>
  <si>
    <t>Cook Islands Red Cross Society</t>
  </si>
  <si>
    <t>Société de la Croix-Rouge des Iles Cook</t>
  </si>
  <si>
    <t>Cruz Roja de las Islas Cook</t>
  </si>
  <si>
    <t>جمعية الصليب الأحمر لجزر كوك</t>
  </si>
  <si>
    <t>Niger</t>
  </si>
  <si>
    <t>Rwandan Red Cross</t>
  </si>
  <si>
    <t>BRB</t>
  </si>
  <si>
    <t>829</t>
  </si>
  <si>
    <t>T27</t>
  </si>
  <si>
    <t>Funding requirements</t>
  </si>
  <si>
    <t>Exigences de financement</t>
  </si>
  <si>
    <t>Requisitos de financiación</t>
  </si>
  <si>
    <t>متطلبات التمويل</t>
  </si>
  <si>
    <t>Costa Rica</t>
  </si>
  <si>
    <t>Costa Rican Red Cross</t>
  </si>
  <si>
    <t>Croix-Rouge costaricienne</t>
  </si>
  <si>
    <t>Cruz Roja Costarricense</t>
  </si>
  <si>
    <t>الصليب الأحمر الكوستاريكي</t>
  </si>
  <si>
    <t>Nigeria</t>
  </si>
  <si>
    <t>Sao Tome and Principe Red Cross</t>
  </si>
  <si>
    <t>6’000</t>
  </si>
  <si>
    <t>T28</t>
  </si>
  <si>
    <t>If cell is grey, it means it's closed and you need to tick the relevant SP in the Activities page in order to open it.</t>
  </si>
  <si>
    <t>Si la cellule est grise, cela signifie qu'elle est fermée et que vous devez cocher le SP concerné dans la page Activités afin de l'ouvrir.</t>
  </si>
  <si>
    <t>Si la celda está gris, significa que está cerrada y debe marcar el SP correspondiente en la página de Actividades para poder abrirla.</t>
  </si>
  <si>
    <t>إذا كانت الخلية رمادية، فهذا يعني أنها مغلقة ويجب تحديد SP المناسب في صفحة الأنشطة لفتحها.</t>
  </si>
  <si>
    <t>Croatia</t>
  </si>
  <si>
    <t>Croatian Red Cross</t>
  </si>
  <si>
    <t>Croix-Rouge croate</t>
  </si>
  <si>
    <t>Cruz Roja de Croacia</t>
  </si>
  <si>
    <t>الصليب الأحمر الكرواتي</t>
  </si>
  <si>
    <t>Rwanda</t>
  </si>
  <si>
    <t>Senegalese Red Cross Society</t>
  </si>
  <si>
    <t>11’000</t>
  </si>
  <si>
    <t>T29</t>
  </si>
  <si>
    <t>All amounts in CHF</t>
  </si>
  <si>
    <t>Tous les montants en CHF</t>
  </si>
  <si>
    <t>Todos los importes en CHF</t>
  </si>
  <si>
    <t>جميع المبالغ بالفرنك السويسري</t>
  </si>
  <si>
    <t>Cuba</t>
  </si>
  <si>
    <t>Cuban Red Cross</t>
  </si>
  <si>
    <t>Croix-Rouge cubaine</t>
  </si>
  <si>
    <t>Cruz Roja Cubana</t>
  </si>
  <si>
    <t>الصليب الأحمر الكوبي</t>
  </si>
  <si>
    <t>China</t>
  </si>
  <si>
    <t>Sao Tome and Principe</t>
  </si>
  <si>
    <t>Seychelles Red Cross Society</t>
  </si>
  <si>
    <t>9</t>
  </si>
  <si>
    <t>T30</t>
  </si>
  <si>
    <t>Cyprus</t>
  </si>
  <si>
    <t>Cyprus Red Cross Society</t>
  </si>
  <si>
    <t>Croix-Rouge chypriote</t>
  </si>
  <si>
    <t>Cruz Roja de Chipre</t>
  </si>
  <si>
    <t>جمعية الصليب الأحمر القبرصي</t>
  </si>
  <si>
    <t>Senegal</t>
  </si>
  <si>
    <t>Sierra Leone Red Cross Society</t>
  </si>
  <si>
    <t>BLZ</t>
  </si>
  <si>
    <t>132</t>
  </si>
  <si>
    <t>T31</t>
  </si>
  <si>
    <t>2027 Longer term programmes</t>
  </si>
  <si>
    <t>Programmes 2027 à plus long terme</t>
  </si>
  <si>
    <t>2027 Programas a más largo plazo</t>
  </si>
  <si>
    <t>برامج طويلة الأجل 2027</t>
  </si>
  <si>
    <t>Czech Republic</t>
  </si>
  <si>
    <t>Czech Red Cross</t>
  </si>
  <si>
    <t>Croix-Rouge tchèque</t>
  </si>
  <si>
    <t>Cruz Roja Checa</t>
  </si>
  <si>
    <t>الصليب الأحمر التشيكي</t>
  </si>
  <si>
    <t>Seychelles</t>
  </si>
  <si>
    <t>Somali Red Crescent Society</t>
  </si>
  <si>
    <t>10’000</t>
  </si>
  <si>
    <t>T32</t>
  </si>
  <si>
    <t>2028 Longer term programmes</t>
  </si>
  <si>
    <t>Programmes 2028 à plus long terme</t>
  </si>
  <si>
    <t>2028 Programas a más largo plazo</t>
  </si>
  <si>
    <t>برامج طويلة الأجل 2028</t>
  </si>
  <si>
    <t>Denmark</t>
  </si>
  <si>
    <t>Danish Red Cross</t>
  </si>
  <si>
    <t>Croix-Rouge danoise</t>
  </si>
  <si>
    <t>Cruz Roja Danesa</t>
  </si>
  <si>
    <t>الصليب الأحمر الدنماركي</t>
  </si>
  <si>
    <t>Sierra Leone</t>
  </si>
  <si>
    <t>South Sudan Red Cross</t>
  </si>
  <si>
    <t>T33</t>
  </si>
  <si>
    <t>IFRC network member</t>
  </si>
  <si>
    <t>Nom de l'entité</t>
  </si>
  <si>
    <t>Nombre de la entidad</t>
  </si>
  <si>
    <t>اسم الكيان</t>
  </si>
  <si>
    <t>Dominica</t>
  </si>
  <si>
    <t>Dominica Red Cross Society</t>
  </si>
  <si>
    <t>Société de la Croix-Rouge de la Dominique</t>
  </si>
  <si>
    <t>Sociedad de la Cruz Roja de Dominica</t>
  </si>
  <si>
    <t>جمعية الصليب الأحمر في دومينيكا</t>
  </si>
  <si>
    <t>Somalia</t>
  </si>
  <si>
    <t>Tanzania Red Cross National Society</t>
  </si>
  <si>
    <t>85</t>
  </si>
  <si>
    <t>T34</t>
  </si>
  <si>
    <t>Host National Society</t>
  </si>
  <si>
    <t>Société nationale hôte</t>
  </si>
  <si>
    <t>Sociedad Nacional Anfitriona</t>
  </si>
  <si>
    <t>الجمعية الوطنية المضيفة</t>
  </si>
  <si>
    <t>Dominican Republic</t>
  </si>
  <si>
    <t>Dominican Red Cross</t>
  </si>
  <si>
    <t>Croix-Rouge dominicaine</t>
  </si>
  <si>
    <t>Cruz Roja Dominicana</t>
  </si>
  <si>
    <t>الصليب الأحمر الدومينيكاني</t>
  </si>
  <si>
    <t>South Africa</t>
  </si>
  <si>
    <t>The Comoros Red Crescent</t>
  </si>
  <si>
    <t>BEN</t>
  </si>
  <si>
    <t>T35</t>
  </si>
  <si>
    <t>IFRC Secretariat</t>
  </si>
  <si>
    <t>Secrétariat de la FICR</t>
  </si>
  <si>
    <t>Secretaría de la FICR</t>
  </si>
  <si>
    <t>أمانة الاتحاد الدولي</t>
  </si>
  <si>
    <t>Ecuador</t>
  </si>
  <si>
    <t>Ecuadorian Red Cross</t>
  </si>
  <si>
    <t>Croix-Rouge équatorienne</t>
  </si>
  <si>
    <t>Cruz Roja Ecuatoriana</t>
  </si>
  <si>
    <t>الصليب الأحمر الإكوادوري</t>
  </si>
  <si>
    <t>South Sudan</t>
  </si>
  <si>
    <t>The Gambia Red Cross Society</t>
  </si>
  <si>
    <t>T36</t>
  </si>
  <si>
    <t>Comments</t>
  </si>
  <si>
    <t>Commentaires</t>
  </si>
  <si>
    <t>Comentarios</t>
  </si>
  <si>
    <t>تعليقات</t>
  </si>
  <si>
    <t>Egypt</t>
  </si>
  <si>
    <t>Egyptian Red Crescent Society</t>
  </si>
  <si>
    <t>Société du Croissant-Rouge égyptien</t>
  </si>
  <si>
    <t>Sociedad de la Media Luna Roja Egipcia</t>
  </si>
  <si>
    <t>جمعية الهلال الأحمر المصري</t>
  </si>
  <si>
    <t>Sudan</t>
  </si>
  <si>
    <t>The South African Red Cross Society</t>
  </si>
  <si>
    <t>25’000</t>
  </si>
  <si>
    <t>T37</t>
  </si>
  <si>
    <t>People to be reached</t>
  </si>
  <si>
    <t>Personnes à atteindre</t>
  </si>
  <si>
    <t>Personas a ser alcanzadas</t>
  </si>
  <si>
    <t>الأشخاص المستهدفون</t>
  </si>
  <si>
    <t>Estonia</t>
  </si>
  <si>
    <t>Estonia Red Cross</t>
  </si>
  <si>
    <t>Croix-Rouge d'Estonie</t>
  </si>
  <si>
    <t>Cruz Roja de Estonia</t>
  </si>
  <si>
    <t>الصليب الأحمر الإستوني</t>
  </si>
  <si>
    <t>Tanzania, United Republic of</t>
  </si>
  <si>
    <t>The Sudanese Red Crescent</t>
  </si>
  <si>
    <t>3</t>
  </si>
  <si>
    <t>T38</t>
  </si>
  <si>
    <t>Croix-Rouge éthiopienne</t>
  </si>
  <si>
    <t>Cruz Roja Etíope</t>
  </si>
  <si>
    <t>جمعية الصليب الأحمر الإثيوبي</t>
  </si>
  <si>
    <t>Togo</t>
  </si>
  <si>
    <t>The Uganda Red Cross Society</t>
  </si>
  <si>
    <t>BWA</t>
  </si>
  <si>
    <t>16</t>
  </si>
  <si>
    <t>T39</t>
  </si>
  <si>
    <t>Fiji</t>
  </si>
  <si>
    <t>Fiji Red Cross Society</t>
  </si>
  <si>
    <t>Croix-Rouge de Fidji</t>
  </si>
  <si>
    <t>Cruz Roja de Fiyi</t>
  </si>
  <si>
    <t>جمعية الصليب الأحمر الفيجي</t>
  </si>
  <si>
    <t>Uganda</t>
  </si>
  <si>
    <t>Togolese Red Cross</t>
  </si>
  <si>
    <t>61</t>
  </si>
  <si>
    <t>T40</t>
  </si>
  <si>
    <t>ALL subdivisions of a National Society that coordinate and deliver services to people.
These include ALL levels (provincial, state, city, district branches, sections or chapters,
headquarters, regional and intermediate offices, as well as community-based units).</t>
  </si>
  <si>
    <t>TOUTES les subdivisions d'une Société nationale qui coordonnent et fournissent des services aux personnes.
Cela inclut TOUS les niveaux (branches provinciales, étatiques, municipales, de district, sections ou chapitres,
siège, bureaux régionaux et intermédiaires, ainsi que les unités communautaires).</t>
  </si>
  <si>
    <t>TODAS las subdivisiones de una Sociedad Nacional que coordinan y brindan servicios a las personas.
Esto incluye TODOS los niveles (sucursales provinciales, estatales, municipales, distritales, secciones o capítulos,
sede, oficinas regionales e intermedias, así como unidades comunitarias).</t>
  </si>
  <si>
    <t>جميع التقسيمات الفرعية للجمعية الوطنية التي تنسق وتقدم الخدمات للناس.
يشمل ذلك جميع المستويات (الفروع الإقليمية، الحكومية، الحضرية، المناطقية، الأقسام أو الفصول,
المقر الرئيسي، المكاتب الإقليمية والمتوسطة، بالإضافة إلى الوحدات المجتمعية).</t>
  </si>
  <si>
    <t>Finland</t>
  </si>
  <si>
    <t>Finnish Red Cross</t>
  </si>
  <si>
    <t>Croix-Rouge finlandaise</t>
  </si>
  <si>
    <t>Cruz Roja Finlandesa</t>
  </si>
  <si>
    <t>الصليب الأحمر الفنلندي</t>
  </si>
  <si>
    <t>Zambia</t>
  </si>
  <si>
    <t>Zambia Red Cross Society</t>
  </si>
  <si>
    <t>T41</t>
  </si>
  <si>
    <t>A Branch has its roles and responsibilities and relationship with the National Headquarters defined through National Societies’ Statutes,
including the level of autonomy given, especially in its legal status, mobilizing local resources,
building local partnerships, and decisions it makes.
It has a local-level decision-making mechanism through its Branch members, board, and volunteers,
equally defined through National Societies’ Statutes.</t>
  </si>
  <si>
    <t>Une branche a ses rôles, responsabilités et relation avec le Siège national définis par les Statuts des Sociétés nationales,
y compris le niveau d'autonomie accordé, notamment en matière de statut juridique, mobilisation des ressources locales,
construction de partenariats locaux et décisions prises.
Elle dispose d'un mécanisme de prise de décision au niveau local via ses membres, son conseil et ses volontaires,
également défini par les Statuts des Sociétés nationales.</t>
  </si>
  <si>
    <t>Una sucursal tiene sus funciones, responsabilidades y relación con la Sede Nacional definidas a través de los Estatutos de las Sociedades Nacionales,
incluyendo el nivel de autonomía otorgado, especialmente en su estatus legal, movilización de recursos locales,
creación de asociaciones locales y decisiones que toma.
Tiene un mecanismo de toma de decisiones a nivel local a través de sus miembros, junta y voluntarios,
también definido en los Estatutos de las Sociedades Nacionales.</t>
  </si>
  <si>
    <t>يتم تحديد أدوار ومسؤوليات الفرع وعلاقته بالمقر الوطني من خلال أنظمة الجمعيات الوطنية.
بما في ذلك مستوى الاستقلالية الممنوح، خاصة فيما يتعلق بوضعه القانوني، تعبئة الموارد المحلية،
بناء الشراكات المحلية، والقرارات التي يتخذها.
لديه آلية اتخاذ قرارات على المستوى المحلي من خلال أعضائه، مجلس إدارته والمتطوعين,
وهي محددة أيضًا في أنظمة الجمعيات الوطنية.</t>
  </si>
  <si>
    <t>France</t>
  </si>
  <si>
    <t>French Red Cross</t>
  </si>
  <si>
    <t>Croix-Rouge française</t>
  </si>
  <si>
    <t>Cruz Roja Francesa</t>
  </si>
  <si>
    <t>الصليب الأحمر الفرنسي</t>
  </si>
  <si>
    <t>Zimbabwe</t>
  </si>
  <si>
    <t>Zimbabwe Red Cross Society</t>
  </si>
  <si>
    <t>Croix-Rouge gabonaise</t>
  </si>
  <si>
    <t>Cruz Roja Gabonesa</t>
  </si>
  <si>
    <t>جمعية الصليب الأحمر الغابونية</t>
  </si>
  <si>
    <t>Croissant-Rouge comorien</t>
  </si>
  <si>
    <t>BRA</t>
  </si>
  <si>
    <t>Germany</t>
  </si>
  <si>
    <t>German Red Cross</t>
  </si>
  <si>
    <t>Croix-Rouge allemande</t>
  </si>
  <si>
    <t>Cruz Roja Alemana</t>
  </si>
  <si>
    <t>الصليب الأحمر الألماني</t>
  </si>
  <si>
    <t>Croissant-Rouge de Somalie</t>
  </si>
  <si>
    <t>22</t>
  </si>
  <si>
    <t>Croix-Rouge du Ghana</t>
  </si>
  <si>
    <t>Cruz Roja de Ghana</t>
  </si>
  <si>
    <t>جمعية الصليب الأحمر الغاني</t>
  </si>
  <si>
    <t>Croissant-Rouge mauritanien</t>
  </si>
  <si>
    <t>Grenada</t>
  </si>
  <si>
    <t>Grenada Red Cross Society</t>
  </si>
  <si>
    <t>Croix-Rouge de Grenade</t>
  </si>
  <si>
    <t>Cruz Roja de Granada</t>
  </si>
  <si>
    <t>جمعية الصليب الأحمر في غرينادا</t>
  </si>
  <si>
    <t>Croissant-Rouge soudanais</t>
  </si>
  <si>
    <t>Guatemala</t>
  </si>
  <si>
    <t>Guatemalan Red Cross</t>
  </si>
  <si>
    <t>Croix-Rouge du Guatemala</t>
  </si>
  <si>
    <t>Cruz Roja Guatemalteca</t>
  </si>
  <si>
    <t>الصليب الأحمر الغواتيمالي</t>
  </si>
  <si>
    <t>BRN</t>
  </si>
  <si>
    <t>155</t>
  </si>
  <si>
    <t>Haiti</t>
  </si>
  <si>
    <t>Haiti Red Cross Society</t>
  </si>
  <si>
    <t>Croix-Rouge haïtienne</t>
  </si>
  <si>
    <t>Sociedad de la Cruz Roja de Haití</t>
  </si>
  <si>
    <t>جمعية الصليب الأحمر الهايتي</t>
  </si>
  <si>
    <t>El Salvador</t>
  </si>
  <si>
    <t>Greece</t>
  </si>
  <si>
    <t>Hellenic Red Cross</t>
  </si>
  <si>
    <t>Croix-Rouge hellénique</t>
  </si>
  <si>
    <t>Cruz Roja Helénica</t>
  </si>
  <si>
    <t>الصليب الأحمر اليوناني</t>
  </si>
  <si>
    <t>Croix-Rouge béninoise</t>
  </si>
  <si>
    <t>Honduras</t>
  </si>
  <si>
    <t>Honduran Red Cross</t>
  </si>
  <si>
    <t>Croix-Rouge du Honduras</t>
  </si>
  <si>
    <t>Cruz Roja Hondureña</t>
  </si>
  <si>
    <t>الصليب الأحمر الهندوراسي</t>
  </si>
  <si>
    <t>Hungary</t>
  </si>
  <si>
    <t>Hungarian Red Cross</t>
  </si>
  <si>
    <t>Croix-Rouge hongroise</t>
  </si>
  <si>
    <t>Cruz Roja Húngara</t>
  </si>
  <si>
    <t>الصليب الأحمر المجري</t>
  </si>
  <si>
    <t>BGR</t>
  </si>
  <si>
    <t>Iceland</t>
  </si>
  <si>
    <t>Icelandic Red Cross</t>
  </si>
  <si>
    <t>Croix-Rouge islandaise</t>
  </si>
  <si>
    <t>Cruz Roja Islandesa</t>
  </si>
  <si>
    <t>الصليب الأحمر الأيسلندي</t>
  </si>
  <si>
    <t>India</t>
  </si>
  <si>
    <t>Indian Red Cross Society</t>
  </si>
  <si>
    <t>Croix-Rouge de l'Inde</t>
  </si>
  <si>
    <t>Cruz Roja de la India</t>
  </si>
  <si>
    <t>جمعية الصليب الأحمر الهندي</t>
  </si>
  <si>
    <t>Croix-Rouge de Côte d'Ivoire</t>
  </si>
  <si>
    <t>90</t>
  </si>
  <si>
    <t>Indonesia</t>
  </si>
  <si>
    <t>Indonesian Red Cross Society</t>
  </si>
  <si>
    <t>Croix-Rouge indonésienne</t>
  </si>
  <si>
    <t>Cruz Roja Indonesia</t>
  </si>
  <si>
    <t>جمعية الصليب الأحمر الإندونيسي</t>
  </si>
  <si>
    <t>Croix-Rouge de Guinée équatoriale</t>
  </si>
  <si>
    <t>158</t>
  </si>
  <si>
    <t>Iraq</t>
  </si>
  <si>
    <t>Iraqi Red Crescent Society</t>
  </si>
  <si>
    <t>Croissant-Rouge de l'Iraq</t>
  </si>
  <si>
    <t>Media Luna Roja del Iraq</t>
  </si>
  <si>
    <t>جمعية الهلال الأحمر العراقي</t>
  </si>
  <si>
    <t>Croix-Rouge de Maurice</t>
  </si>
  <si>
    <t>BDI</t>
  </si>
  <si>
    <t>370</t>
  </si>
  <si>
    <t>Ireland</t>
  </si>
  <si>
    <t>Irish Red Cross Society</t>
  </si>
  <si>
    <t>Croix-Rouge irlandaise</t>
  </si>
  <si>
    <t>Cruz Roja Irlandesa</t>
  </si>
  <si>
    <t>جمعية الصليب الأحمر الأيرلندي</t>
  </si>
  <si>
    <t>Croix-Rouge de Namibie</t>
  </si>
  <si>
    <t>13’000</t>
  </si>
  <si>
    <t>Israel</t>
  </si>
  <si>
    <t>Israel - Magen David Adom in Israel</t>
  </si>
  <si>
    <t>Israël - Magen David Adom d'Israël</t>
  </si>
  <si>
    <t>Israel - Magen David Adom de Israel</t>
  </si>
  <si>
    <t>نجمة داوود الحمراء في إسرائيل</t>
  </si>
  <si>
    <t>Croix-Rouge de Sao Tomé-et-Principe</t>
  </si>
  <si>
    <t>Italy</t>
  </si>
  <si>
    <t>Italian Red Cross</t>
  </si>
  <si>
    <t>Croix-Rouge italienne</t>
  </si>
  <si>
    <t>Cruz Roja Italiana</t>
  </si>
  <si>
    <t>الصليب الأحمر الإيطالي</t>
  </si>
  <si>
    <t>Georgia</t>
  </si>
  <si>
    <t>Croix-Rouge de Sierra Leone</t>
  </si>
  <si>
    <t>Jamaica</t>
  </si>
  <si>
    <t>Jamaica Red Cross</t>
  </si>
  <si>
    <t>Croix-Rouge de la Jamaïque</t>
  </si>
  <si>
    <t>Cruz Roja de Jamaica</t>
  </si>
  <si>
    <t>الصليب الأحمر الجامايكي</t>
  </si>
  <si>
    <t>Croix-Rouge de Zambie</t>
  </si>
  <si>
    <t>KHM</t>
  </si>
  <si>
    <t>Japan</t>
  </si>
  <si>
    <t>Japanese Red Cross Society</t>
  </si>
  <si>
    <t>Société de la Croix-Rouge du Japon</t>
  </si>
  <si>
    <t>Sociedad de la Cruz Roja Japonesa</t>
  </si>
  <si>
    <t>جمعية الصليب الأحمر الياباني</t>
  </si>
  <si>
    <t>Croix-Rouge de l'Ouganda</t>
  </si>
  <si>
    <t>Jordan</t>
  </si>
  <si>
    <t>Jordan National Red Crescent Society</t>
  </si>
  <si>
    <t>Croissant-Rouge jordanien</t>
  </si>
  <si>
    <t>Media Luna Roja de Jordania</t>
  </si>
  <si>
    <t>جمعية الهلال الأحمر الأردني</t>
  </si>
  <si>
    <t>Guyana</t>
  </si>
  <si>
    <t>Croix-Rouge de la Gambie</t>
  </si>
  <si>
    <t>Kazakhstan</t>
  </si>
  <si>
    <t>Kazakh Red Crescent</t>
  </si>
  <si>
    <t>Croissant-Rouge du Kazakhstan</t>
  </si>
  <si>
    <t>Media Luna Roja de Kazajstán</t>
  </si>
  <si>
    <t>الهلال الأحمر الكازاخستاني</t>
  </si>
  <si>
    <t>Croix-Rouge de la Guinée-Bissau</t>
  </si>
  <si>
    <t>Croix-Rouge du Kenya</t>
  </si>
  <si>
    <t>Cruz Roja de Kenya</t>
  </si>
  <si>
    <t>جمعية الصليب الأحمر الكيني</t>
  </si>
  <si>
    <t>Croix-Rouge de la République démocratique du Congo</t>
  </si>
  <si>
    <t>CMR</t>
  </si>
  <si>
    <t>6</t>
  </si>
  <si>
    <t>Kiribati</t>
  </si>
  <si>
    <t>Kiribati Red Cross Society</t>
  </si>
  <si>
    <t>Croix-Rouge de Kiribati</t>
  </si>
  <si>
    <t>Cruz Roja de Kiribati</t>
  </si>
  <si>
    <t>جمعية الصليب الأحمر في كيريباتي</t>
  </si>
  <si>
    <t>Croix-Rouge des Seychelles</t>
  </si>
  <si>
    <t>121</t>
  </si>
  <si>
    <t>Kuwait</t>
  </si>
  <si>
    <t>Kuwait Red Crescent Society</t>
  </si>
  <si>
    <t>Croissant-Rouge du Koweït</t>
  </si>
  <si>
    <t>Media Luna Roja de Kuwait</t>
  </si>
  <si>
    <t>جمعية الهلال الأحمر الكويتي</t>
  </si>
  <si>
    <t>Mexico</t>
  </si>
  <si>
    <t>24</t>
  </si>
  <si>
    <t>Lao People's Democratic Republic</t>
  </si>
  <si>
    <t>Lao Red Cross</t>
  </si>
  <si>
    <t>Croix-Rouge lao</t>
  </si>
  <si>
    <t>Cruz Roja de Lao</t>
  </si>
  <si>
    <t>الصليب الأحمر اللاوسي</t>
  </si>
  <si>
    <t>Nicaragua</t>
  </si>
  <si>
    <t>Croix-Rouge du Cap-Vert</t>
  </si>
  <si>
    <t>103</t>
  </si>
  <si>
    <t>Latvia</t>
  </si>
  <si>
    <t>Latvian Red Cross</t>
  </si>
  <si>
    <t>Croix-Rouge lettone</t>
  </si>
  <si>
    <t>Cruz Roja Letona</t>
  </si>
  <si>
    <t>الصليب الأحمر اللاتفي</t>
  </si>
  <si>
    <t>Panama</t>
  </si>
  <si>
    <t>CHL</t>
  </si>
  <si>
    <t>Lebanon</t>
  </si>
  <si>
    <t>Lebanese Red Cross</t>
  </si>
  <si>
    <t>Croix-Rouge libanaise</t>
  </si>
  <si>
    <t>Cruz Roja Libanesa</t>
  </si>
  <si>
    <t>الصليب الأحمر اللبناني</t>
  </si>
  <si>
    <t>Paraguay</t>
  </si>
  <si>
    <t>Croix-Rouge du Lesotho</t>
  </si>
  <si>
    <t>Cruz Roja de Lesotho</t>
  </si>
  <si>
    <t>جمعية الصليب الأحمر في ليسوتو</t>
  </si>
  <si>
    <t>Peru</t>
  </si>
  <si>
    <t>21</t>
  </si>
  <si>
    <t>Croix-Rouge du Libéria</t>
  </si>
  <si>
    <t>Cruz Roja de Liberia</t>
  </si>
  <si>
    <t>جمعية الصليب الأحمر الليبيري</t>
  </si>
  <si>
    <t>Saint Kitts and Nevis</t>
  </si>
  <si>
    <t>Libya</t>
  </si>
  <si>
    <t>Libyan Red Crescent</t>
  </si>
  <si>
    <t>Croissant-Rouge libyen</t>
  </si>
  <si>
    <t>Media Luna Roja Libia</t>
  </si>
  <si>
    <t>الهلال الأحمر الليبي</t>
  </si>
  <si>
    <t>Saint Lucia</t>
  </si>
  <si>
    <t>Croix-Rouge du Malawi</t>
  </si>
  <si>
    <t>COL</t>
  </si>
  <si>
    <t>11</t>
  </si>
  <si>
    <t>Liechtenstein</t>
  </si>
  <si>
    <t>Liechtenstein Red Cross</t>
  </si>
  <si>
    <t>Croix-Rouge du Liechtenstein</t>
  </si>
  <si>
    <t>Cruz Roja de Liechtenstein</t>
  </si>
  <si>
    <t>الصليب الأحمر الليختنشتايني</t>
  </si>
  <si>
    <t>Saint Vincent and the Grenadines</t>
  </si>
  <si>
    <t>Croix-Rouge du Mozambique</t>
  </si>
  <si>
    <t>7’000</t>
  </si>
  <si>
    <t>Lithuania</t>
  </si>
  <si>
    <t>Lithuanian Red Cross Society</t>
  </si>
  <si>
    <t>Croix-Rouge lituanienne</t>
  </si>
  <si>
    <t>Cruz Roja Lituana</t>
  </si>
  <si>
    <t>جمعية الصليب الأحمر الليتواني</t>
  </si>
  <si>
    <t>Iran, Islamic Republic of</t>
  </si>
  <si>
    <t>Suriname</t>
  </si>
  <si>
    <t>Croix-Rouge du Nigéria</t>
  </si>
  <si>
    <t>30</t>
  </si>
  <si>
    <t>Luxembourg</t>
  </si>
  <si>
    <t>Luxembourg Red Cross</t>
  </si>
  <si>
    <t>Croix-Rouge luxembourgeoise</t>
  </si>
  <si>
    <t>Cruz Roja de Luxemburgo</t>
  </si>
  <si>
    <t>الصليب الأحمر اللوكسمبورغي</t>
  </si>
  <si>
    <t>Trinidad and Tobago</t>
  </si>
  <si>
    <t>Croix-Rouge du Soudan du Sud</t>
  </si>
  <si>
    <t>Croix-Rouge malagasy</t>
  </si>
  <si>
    <t>Cruz Roja Malgache</t>
  </si>
  <si>
    <t>جمعية الصليب الأحمر الملغاشي</t>
  </si>
  <si>
    <t>Croix-Rouge du Tchad</t>
  </si>
  <si>
    <t>COM</t>
  </si>
  <si>
    <t>Cruz Roja de Malawi</t>
  </si>
  <si>
    <t>جمعية الصليب الأحمر الملاوي</t>
  </si>
  <si>
    <t>Uruguay</t>
  </si>
  <si>
    <t>Croix-Rouge du Zimbabwe</t>
  </si>
  <si>
    <t>1’000</t>
  </si>
  <si>
    <t>Malaysia</t>
  </si>
  <si>
    <t>Malaysian Red Crescent Society</t>
  </si>
  <si>
    <t>Croissant-Rouge de Malaisie</t>
  </si>
  <si>
    <t>Media Luna Roja de Malasia</t>
  </si>
  <si>
    <t>جمعية الهلال الأحمر الماليزي</t>
  </si>
  <si>
    <t>Venezuela, Bolivarian Republic of</t>
  </si>
  <si>
    <t>Maldives</t>
  </si>
  <si>
    <t>Maldivian Red Crescent</t>
  </si>
  <si>
    <t>Croissant-Rouge des Maldives</t>
  </si>
  <si>
    <t>Media Luna Roja de Maldivas</t>
  </si>
  <si>
    <t>الهلال الأحمر المالديفي</t>
  </si>
  <si>
    <t>Croix-Rouge guinéenne</t>
  </si>
  <si>
    <t>Croix-Rouge malienne</t>
  </si>
  <si>
    <t>Cruz Roja Maliense</t>
  </si>
  <si>
    <t>الصليب الأحمر المالي</t>
  </si>
  <si>
    <t>COG</t>
  </si>
  <si>
    <t>Malta</t>
  </si>
  <si>
    <t>Malta Red Cross Society</t>
  </si>
  <si>
    <t>Société de la Croix-Rouge de Malte</t>
  </si>
  <si>
    <t>Sociedad de la Cruz Roja de Malta</t>
  </si>
  <si>
    <t>جمعية الصليب الأحمر المالطية</t>
  </si>
  <si>
    <t>Marshall Islands</t>
  </si>
  <si>
    <t>Marshall Islands Red Cross Society</t>
  </si>
  <si>
    <t>Société de la Croix-Rouge des Îles Marshall</t>
  </si>
  <si>
    <t>Cruz Roja de las Islas Marshall</t>
  </si>
  <si>
    <t>جمعية الصليب الأحمر لجزر مارشال</t>
  </si>
  <si>
    <t>Croix-Rouge nationale de Tanzanie</t>
  </si>
  <si>
    <t>Media Luna Roja de Mauritania</t>
  </si>
  <si>
    <t>الهلال الأحمر الموريتاني</t>
  </si>
  <si>
    <t>Croix-Rouge nigérienne</t>
  </si>
  <si>
    <t>46</t>
  </si>
  <si>
    <t>Cruz Roja de Mauricio</t>
  </si>
  <si>
    <t>جمعية الصليب الأحمر الموريشيوسي</t>
  </si>
  <si>
    <t>Croix-Rouge rwandaise</t>
  </si>
  <si>
    <t>COD</t>
  </si>
  <si>
    <t>64</t>
  </si>
  <si>
    <t>Mexican Red Cross</t>
  </si>
  <si>
    <t>Croix-Rouge mexicaine</t>
  </si>
  <si>
    <t>Cruz Roja Mexicana</t>
  </si>
  <si>
    <t>الصليب الأحمر المكسيكي</t>
  </si>
  <si>
    <t>Korea, Democratic People's Republic of</t>
  </si>
  <si>
    <t>Croix-Rouge sud-africaine</t>
  </si>
  <si>
    <t>Micronesia, Federated States of</t>
  </si>
  <si>
    <t>Micronesia Red Cross</t>
  </si>
  <si>
    <t>Croix-Rouge de Micronésie</t>
  </si>
  <si>
    <t>Cruz Roja de Micronesia</t>
  </si>
  <si>
    <t>الصليب الأحمر في ميكرونيزيا</t>
  </si>
  <si>
    <t>Korea, Republic of</t>
  </si>
  <si>
    <t>Croix-Rouge sénégalaise</t>
  </si>
  <si>
    <t>74</t>
  </si>
  <si>
    <t>Mongolia</t>
  </si>
  <si>
    <t>Mongolian Red Cross Society</t>
  </si>
  <si>
    <t>Croix-Rouge de Mongolie</t>
  </si>
  <si>
    <t>Cruz Roja de Mongolia</t>
  </si>
  <si>
    <t>جمعية الصليب الأحمر المنغولي</t>
  </si>
  <si>
    <t>Croix-Rouge togolaise</t>
  </si>
  <si>
    <t>76</t>
  </si>
  <si>
    <t>Morocco</t>
  </si>
  <si>
    <t>Moroccan Red Crescent</t>
  </si>
  <si>
    <t>Croissant-Rouge marocain</t>
  </si>
  <si>
    <t>Media Luna Roja Marroquí</t>
  </si>
  <si>
    <t>الهلال الأحمر المغربي</t>
  </si>
  <si>
    <t>Kyrgyzstan</t>
  </si>
  <si>
    <t>CRI</t>
  </si>
  <si>
    <t>Cruz Roja de Mozambique</t>
  </si>
  <si>
    <t>جمعية الصليب الأحمر الموزمبيقي</t>
  </si>
  <si>
    <t>Myanmar</t>
  </si>
  <si>
    <t>Myanmar Red Cross Society</t>
  </si>
  <si>
    <t>Croix-Rouge du Myanmar</t>
  </si>
  <si>
    <t>Cruz Roja de Myanmar</t>
  </si>
  <si>
    <t>جمعية الصليب الأحمر في ميانمار</t>
  </si>
  <si>
    <t>Société de la Croix-Rouge d'Erythrée</t>
  </si>
  <si>
    <t>Red Cross Society of Eritrea</t>
  </si>
  <si>
    <t>4</t>
  </si>
  <si>
    <t>Cruz Roja de Namibia</t>
  </si>
  <si>
    <t>الصليب الأحمر الناميبي</t>
  </si>
  <si>
    <t>Nepal</t>
  </si>
  <si>
    <t>Nepal Red Cross Society</t>
  </si>
  <si>
    <t>Croix-Rouge du Népal</t>
  </si>
  <si>
    <t>Cruz Roja Nepalesa</t>
  </si>
  <si>
    <t>جمعية الصليب الأحمر النيبالي</t>
  </si>
  <si>
    <t>Société du Croissant-Rouge de Djibouti</t>
  </si>
  <si>
    <t>HRV</t>
  </si>
  <si>
    <t>New Zealand</t>
  </si>
  <si>
    <t>New Zealand Red Cross</t>
  </si>
  <si>
    <t>Croix-Rouge néo-zélandaise</t>
  </si>
  <si>
    <t>Cruz Roja Neozelandesa</t>
  </si>
  <si>
    <t>الصليب الأحمر النيوزيلندي</t>
  </si>
  <si>
    <t>Cruz Roja de Nigeria</t>
  </si>
  <si>
    <t>جمعية الصليب الأحمر النيجيري</t>
  </si>
  <si>
    <t>28</t>
  </si>
  <si>
    <t>Norway</t>
  </si>
  <si>
    <t>Norwegian Red Cross</t>
  </si>
  <si>
    <t>Croix-Rouge de Norvège</t>
  </si>
  <si>
    <t>Cruz Roja Noruega</t>
  </si>
  <si>
    <t>الصليب الأحمر النرويجي</t>
  </si>
  <si>
    <t>CUB</t>
  </si>
  <si>
    <t>35</t>
  </si>
  <si>
    <t>Pakistan</t>
  </si>
  <si>
    <t>Pakistan Red Crescent</t>
  </si>
  <si>
    <t>Croissant-Rouge du Pakistan</t>
  </si>
  <si>
    <t>Media Luna Roja de Pakistán</t>
  </si>
  <si>
    <t>الهلال الأحمر الباكستاني</t>
  </si>
  <si>
    <t>Palau</t>
  </si>
  <si>
    <t>Palau Red Cross Society</t>
  </si>
  <si>
    <t>Croix-Rouge des Palaos</t>
  </si>
  <si>
    <t>Cruz Roja de Palau</t>
  </si>
  <si>
    <t>جمعية الصليب الأحمر في بالاو</t>
  </si>
  <si>
    <t>17’000</t>
  </si>
  <si>
    <t>Papua New Guinea</t>
  </si>
  <si>
    <t>Papua New Guinea Red Cross Society</t>
  </si>
  <si>
    <t>Croix-Rouge de Papouasie-Nouvelle-Guinée</t>
  </si>
  <si>
    <t>Cruz Roja de Papua Nueva Guinea</t>
  </si>
  <si>
    <t>جمعية الصليب الأحمر في بابوا غينيا الجديدة</t>
  </si>
  <si>
    <t>45</t>
  </si>
  <si>
    <t>Paraguayan Red Cross</t>
  </si>
  <si>
    <t>Croix-Rouge paraguayenne</t>
  </si>
  <si>
    <t>Cruz Roja Paraguaya</t>
  </si>
  <si>
    <t>الصليب الأحمر الباراغوياني</t>
  </si>
  <si>
    <t>DJI</t>
  </si>
  <si>
    <t>Peruvian Red Cross</t>
  </si>
  <si>
    <t>Croix-Rouge péruvienne</t>
  </si>
  <si>
    <t>Cruz Roja Peruana</t>
  </si>
  <si>
    <t>الصليب الأحمر البيروفي</t>
  </si>
  <si>
    <t>Philippines</t>
  </si>
  <si>
    <t>Philippine Red Cross</t>
  </si>
  <si>
    <t>Croix-Rouge philippine</t>
  </si>
  <si>
    <t>Cruz Roja de Filipinas</t>
  </si>
  <si>
    <t>الصليب الأحمر الفلبيني</t>
  </si>
  <si>
    <t>46’000</t>
  </si>
  <si>
    <t>Poland</t>
  </si>
  <si>
    <t>Polish Red Cross</t>
  </si>
  <si>
    <t>Croix-Rouge polonaise</t>
  </si>
  <si>
    <t>Cruz Roja Polaca</t>
  </si>
  <si>
    <t>الصليب الأحمر البولندي</t>
  </si>
  <si>
    <t>Portugal</t>
  </si>
  <si>
    <t>Portuguese Red Cross</t>
  </si>
  <si>
    <t>Croix-Rouge portugaise</t>
  </si>
  <si>
    <t>Cruz Roja Portuguesa</t>
  </si>
  <si>
    <t>الصليب الأحمر البرتغالي</t>
  </si>
  <si>
    <t>DMA</t>
  </si>
  <si>
    <t>Qatar</t>
  </si>
  <si>
    <t>Qatar Red Crescent Society</t>
  </si>
  <si>
    <t>Croissant-Rouge du Qatar</t>
  </si>
  <si>
    <t>Media Luna Roja de Qatar</t>
  </si>
  <si>
    <t>جمعية الهلال الأحمر القطري</t>
  </si>
  <si>
    <t>750</t>
  </si>
  <si>
    <t>Red Crescent Society of Azerbaijan</t>
  </si>
  <si>
    <t>La Société du Croissant-Rouge d'Azerbaïdjan</t>
  </si>
  <si>
    <t>Sociedad de la Media Luna de Azerbaiyán</t>
  </si>
  <si>
    <t>جمعية الهلال الأحمر الأذربيجاني</t>
  </si>
  <si>
    <t>611’000</t>
  </si>
  <si>
    <t>Sociedad de la Media Luna Roja de Yibutí</t>
  </si>
  <si>
    <t>جمعية الهلال الأحمر الجيبوتي</t>
  </si>
  <si>
    <t>25</t>
  </si>
  <si>
    <t>Red Crescent Society of Kyrgyzstan</t>
  </si>
  <si>
    <t>Société du Croissant-Rouge du Kirghizistan</t>
  </si>
  <si>
    <t>Sociedad de la Media Luna Roja de Kirguistán</t>
  </si>
  <si>
    <t>جمعية الهلال الأحمر القيرغيزي</t>
  </si>
  <si>
    <t>Samoa</t>
  </si>
  <si>
    <t>DOM</t>
  </si>
  <si>
    <t>Tajikistan</t>
  </si>
  <si>
    <t>Red Crescent Society of Tajikistan</t>
  </si>
  <si>
    <t>Société du Croissant-Rouge du Tadjikistan</t>
  </si>
  <si>
    <t>Sociedad de la Media Luna de Tayikistán</t>
  </si>
  <si>
    <t>جمعية الهلال الأحمر الطاجيكي</t>
  </si>
  <si>
    <t>Singapore</t>
  </si>
  <si>
    <t>Red Crescent Society of the Islamic Republic of Iran</t>
  </si>
  <si>
    <t>Société du Croissant-Rouge de la République islamique d'Iran</t>
  </si>
  <si>
    <t>Sociedad de la Media Luna Roja de la República Islámica de Irán</t>
  </si>
  <si>
    <t>جمعية الهلال الأحمر في جمهورية إيران الإسلامية</t>
  </si>
  <si>
    <t>Moldova, Republic of</t>
  </si>
  <si>
    <t>Solomon Islands</t>
  </si>
  <si>
    <t>United Arab Emirates</t>
  </si>
  <si>
    <t>Red Crescent Society of the United Arab Emirates</t>
  </si>
  <si>
    <t>Société du Croissant-Rouge des Émirats arabes unis</t>
  </si>
  <si>
    <t>Sociedad de la Media Luna Roja de los Emiratos Arabes Unidos</t>
  </si>
  <si>
    <t>جمعية الهلال الأحمر لدولة الإمارات العربية المتحدة</t>
  </si>
  <si>
    <t>Monaco</t>
  </si>
  <si>
    <t>Sri Lanka</t>
  </si>
  <si>
    <t>Turkmenistan</t>
  </si>
  <si>
    <t>Red Crescent Society of Turkmenistan</t>
  </si>
  <si>
    <t>Société du Croissant-Rouge du Turkménistan</t>
  </si>
  <si>
    <t>Media Luna Roja de Turkmenistán</t>
  </si>
  <si>
    <t>جمعية الهلال الأحمر التركماني</t>
  </si>
  <si>
    <t>Thailand</t>
  </si>
  <si>
    <t>ECU</t>
  </si>
  <si>
    <t>320</t>
  </si>
  <si>
    <t>Uzbekistan</t>
  </si>
  <si>
    <t>Red Crescent Society of Uzbekistan</t>
  </si>
  <si>
    <t>Société du Croissant-Rouge de l'Ouzbékistan</t>
  </si>
  <si>
    <t>Media Luna Roja de Uzbekistán</t>
  </si>
  <si>
    <t>جمعية الهلال الأحمر الأوزبكي</t>
  </si>
  <si>
    <t>Montenegro</t>
  </si>
  <si>
    <t>Timor-Leste</t>
  </si>
  <si>
    <t>56</t>
  </si>
  <si>
    <t>Cruz Roja de Benin</t>
  </si>
  <si>
    <t>الصليب الأحمر في بنين</t>
  </si>
  <si>
    <t>Tonga</t>
  </si>
  <si>
    <t>75’000</t>
  </si>
  <si>
    <t>Cruz Roja de Cabo Verde</t>
  </si>
  <si>
    <t>الصليب الأحمر في الرأس الأخضر</t>
  </si>
  <si>
    <t>Tuvalu</t>
  </si>
  <si>
    <t>Red Cross Society of Panama</t>
  </si>
  <si>
    <t>Cruz Roja de Chad</t>
  </si>
  <si>
    <t>الصليب الأحمر في تشاد</t>
  </si>
  <si>
    <t>Vanuatu</t>
  </si>
  <si>
    <t>Saint Kitts and Nevis Red Cross Society</t>
  </si>
  <si>
    <t>EGY</t>
  </si>
  <si>
    <t>Cruz Roja de Guinea Ecuatorial</t>
  </si>
  <si>
    <t>الصليب الأحمر في غينيا الاستوائية</t>
  </si>
  <si>
    <t>Viet Nam</t>
  </si>
  <si>
    <t>Saint Lucia Red Cross</t>
  </si>
  <si>
    <t>15’000</t>
  </si>
  <si>
    <t>Red Cross of Monaco</t>
  </si>
  <si>
    <t>Croix-Rouge monégasque</t>
  </si>
  <si>
    <t>Cruz Roja Monegasca</t>
  </si>
  <si>
    <t>الصليب الأحمر في موناكو</t>
  </si>
  <si>
    <t>Saint Vincent and the Grenadines Red Cross</t>
  </si>
  <si>
    <t>Red Cross of Montenegro</t>
  </si>
  <si>
    <t>Croix-Rouge du Monténégro</t>
  </si>
  <si>
    <t>Cruz Roja de Montenegro</t>
  </si>
  <si>
    <t>الصليب الأحمر في الجبل الأسود</t>
  </si>
  <si>
    <t>Netherlands</t>
  </si>
  <si>
    <t>Salvadorean Red Cross Society</t>
  </si>
  <si>
    <t>North Macedonia</t>
  </si>
  <si>
    <t>Red Cross of North Macedonia</t>
  </si>
  <si>
    <t>Croix-Rouge de Macédoine du Nord</t>
  </si>
  <si>
    <t>Cruz Roja de Macedonia del Norte</t>
  </si>
  <si>
    <t>الصليب الأحمر في مقدونيا الشمالية</t>
  </si>
  <si>
    <t>Suriname Red Cross</t>
  </si>
  <si>
    <t>GNQ</t>
  </si>
  <si>
    <t>134</t>
  </si>
  <si>
    <t>Cruz Roja de la República Democrática del Congo</t>
  </si>
  <si>
    <t>الصليب الأحمر في جمهورية الكونغو الديمقراطية</t>
  </si>
  <si>
    <t>The Bahamas Red Cross Society</t>
  </si>
  <si>
    <t>San Marino</t>
  </si>
  <si>
    <t>Red Cross of the Republic of San Marino</t>
  </si>
  <si>
    <t>Croix-Rouge de la République de Saint-Marin</t>
  </si>
  <si>
    <t>Cruz Roja de la República de San Marino</t>
  </si>
  <si>
    <t>الصليب الأحمر في جمهورية سان مارينو</t>
  </si>
  <si>
    <t>The Barbados Red Cross Society</t>
  </si>
  <si>
    <t>20</t>
  </si>
  <si>
    <t>Red Cross Society of China</t>
  </si>
  <si>
    <t>Croix-Rouge chinoise</t>
  </si>
  <si>
    <t>Cruz Roja China</t>
  </si>
  <si>
    <t>جمعية الصليب الأحمر الصيني</t>
  </si>
  <si>
    <t>The Canadian Red Cross Society</t>
  </si>
  <si>
    <t>Cruz Roja de la Côte d'Ivoire</t>
  </si>
  <si>
    <t>جمعية الصليب الأحمر في كوت ديفوار</t>
  </si>
  <si>
    <t>The Guyana Red Cross Society</t>
  </si>
  <si>
    <t>SWZ</t>
  </si>
  <si>
    <t>114</t>
  </si>
  <si>
    <t>Red Cross Society of Georgia</t>
  </si>
  <si>
    <t>Société de la Croix-Rouge de Géorgie</t>
  </si>
  <si>
    <t>Sociedad de la Cruz Roja de Georgia</t>
  </si>
  <si>
    <t>جمعية الصليب الأحمر الجورجي</t>
  </si>
  <si>
    <t>The Trinidad and Tobago Red Cross Society</t>
  </si>
  <si>
    <t>ETH</t>
  </si>
  <si>
    <t>18’000</t>
  </si>
  <si>
    <t>Cruz Roja de Guinea</t>
  </si>
  <si>
    <t>جمعية الصليب الأحمر في غينيا</t>
  </si>
  <si>
    <t>Uruguayan Red Cross</t>
  </si>
  <si>
    <t>143</t>
  </si>
  <si>
    <t>Cruz Roja de Guinea Bissau</t>
  </si>
  <si>
    <t>جمعية الصليب الأحمر في غينيا بيساو</t>
  </si>
  <si>
    <t>Palestine, State of</t>
  </si>
  <si>
    <t>Venezuelan Red Cross</t>
  </si>
  <si>
    <t>Cruz Roja de Níger</t>
  </si>
  <si>
    <t>جمعية الصليب الأحمر في النيجر</t>
  </si>
  <si>
    <t>Croix-Rouge de Panama</t>
  </si>
  <si>
    <t>Cruz Roja Panameña</t>
  </si>
  <si>
    <t>جمعية الصليب الأحمر البنمية</t>
  </si>
  <si>
    <t>GAB</t>
  </si>
  <si>
    <t>Red Cross Society of the Democratic People's Republic of Korea</t>
  </si>
  <si>
    <t>Société de la Croix-Rouge de la République populaire démocratique de Corée</t>
  </si>
  <si>
    <t>Sociedad de la Cruz Roja de la República Popular Democrática de Corea</t>
  </si>
  <si>
    <t>جمعية الصليب الأحمر في جمهورية كوريا الديمقراطية الشعبية</t>
  </si>
  <si>
    <t>Red Cross Society of the Republic of Moldova</t>
  </si>
  <si>
    <t>Société de la Croix-Rouge de la République de Moldova</t>
  </si>
  <si>
    <t>Sociedad de la Cruz Roja de la República de Moldova</t>
  </si>
  <si>
    <t>جمعية الصليب الأحمر في جمهورية مولدوفا</t>
  </si>
  <si>
    <t>Romania</t>
  </si>
  <si>
    <t>Romanian Red Cross</t>
  </si>
  <si>
    <t>Croix-Rouge de Roumanie</t>
  </si>
  <si>
    <t>Cruz Roja de Rumanía</t>
  </si>
  <si>
    <t>الصليب الأحمر الروماني</t>
  </si>
  <si>
    <t>21’000</t>
  </si>
  <si>
    <t>Cruz Roja Ruandesa</t>
  </si>
  <si>
    <t>الصليب الأحمر الرواندي</t>
  </si>
  <si>
    <t>GHA</t>
  </si>
  <si>
    <t>Croix-Rouge de Saint-Kitts-et-Nevis</t>
  </si>
  <si>
    <t>Cruz Roja de Saint Kitts y Nevis</t>
  </si>
  <si>
    <t>جمعية الصليب الأحمر في سانت كيتس ونيفيس</t>
  </si>
  <si>
    <t>31</t>
  </si>
  <si>
    <t>Croix-Rouge de Sainte-Lucie</t>
  </si>
  <si>
    <t>Cruz Roja de Santa Lucía</t>
  </si>
  <si>
    <t>الصليب الأحمر في سانت لوسيا</t>
  </si>
  <si>
    <t>209</t>
  </si>
  <si>
    <t>Croix-Rouge de Saint-Vincent-et-les-Grenadines</t>
  </si>
  <si>
    <t>Cruz Roja de San Vicente y las Granadinas</t>
  </si>
  <si>
    <t>الصليب الأحمر في سانت فنسنت وجزر غرينادين</t>
  </si>
  <si>
    <t>Croix-Rouge d'El Salvador</t>
  </si>
  <si>
    <t>Cruz Roja Salvadoreña</t>
  </si>
  <si>
    <t>جمعية الصليب الأحمر السلفادورية</t>
  </si>
  <si>
    <t>Russian Federation</t>
  </si>
  <si>
    <t>GRD</t>
  </si>
  <si>
    <t>Samoa Red Cross Society</t>
  </si>
  <si>
    <t>Croix-Rouge de Samoa</t>
  </si>
  <si>
    <t>Cruz Roja de Samoa</t>
  </si>
  <si>
    <t>جمعية الصليب الأحمر في ساموا</t>
  </si>
  <si>
    <t>Cruz Roja de Santo Tomé y Príncipe</t>
  </si>
  <si>
    <t>الصليب الأحمر في ساو تومي وبرينسيبي</t>
  </si>
  <si>
    <t>224</t>
  </si>
  <si>
    <t>Saudi Arabia</t>
  </si>
  <si>
    <t>Saudi Red Crescent Authority</t>
  </si>
  <si>
    <t>Croissant-Rouge de l'Arabie saoudite</t>
  </si>
  <si>
    <t>Media Luna Roja de Arabia Saudí</t>
  </si>
  <si>
    <t>هيئة الهلال الأحمر السعودي</t>
  </si>
  <si>
    <t>GTM</t>
  </si>
  <si>
    <t>Cruz Roja Senegalesa</t>
  </si>
  <si>
    <t>جمعية الصليب الأحمر السنغالية</t>
  </si>
  <si>
    <t>Cruz Roja de Seychelles</t>
  </si>
  <si>
    <t>جمعية الصليب الأحمر في سيشيل</t>
  </si>
  <si>
    <t>Cruz Roja de Sierra Leona</t>
  </si>
  <si>
    <t>جمعية الصليب الأحمر في سيراليون</t>
  </si>
  <si>
    <t>Singapore Red Cross Society</t>
  </si>
  <si>
    <t>Société de la Croix-Rouge de Singapour</t>
  </si>
  <si>
    <t>Sociedad de la Cruz Roja de Singapur</t>
  </si>
  <si>
    <t>جمعية الصليب الأحمر في سنغافورة</t>
  </si>
  <si>
    <t>Cruz Roja Uruguaya</t>
  </si>
  <si>
    <t>GIN</t>
  </si>
  <si>
    <t>Slovakia</t>
  </si>
  <si>
    <t>Slovak Red Cross</t>
  </si>
  <si>
    <t>Croix-Rouge slovaque</t>
  </si>
  <si>
    <t>Cruz Roja Eslovaca</t>
  </si>
  <si>
    <t>الصليب الأحمر السلوفاكي</t>
  </si>
  <si>
    <t>Cruz Roja Venezolana</t>
  </si>
  <si>
    <t>30’000</t>
  </si>
  <si>
    <t>Slovenia</t>
  </si>
  <si>
    <t>Slovenian Red Cross</t>
  </si>
  <si>
    <t>Croix-Rouge slovène</t>
  </si>
  <si>
    <t>Cruz Roja de Eslovenia</t>
  </si>
  <si>
    <t>الصليب الأحمر السلوفيني</t>
  </si>
  <si>
    <t>26</t>
  </si>
  <si>
    <t>Media Luna Roja Somalí</t>
  </si>
  <si>
    <t>جمعية الهلال الأحمر الصومالي</t>
  </si>
  <si>
    <t>Serbia</t>
  </si>
  <si>
    <t>Cruz Roja de Barbados</t>
  </si>
  <si>
    <t>293</t>
  </si>
  <si>
    <t>Media Luna Roja de Sudán del Sur</t>
  </si>
  <si>
    <t>الصليب الأحمر في جنوب السودان</t>
  </si>
  <si>
    <t>GNB</t>
  </si>
  <si>
    <t>113</t>
  </si>
  <si>
    <t>Spain</t>
  </si>
  <si>
    <t>Spanish Red Cross</t>
  </si>
  <si>
    <t>Croix-Rouge espagnole</t>
  </si>
  <si>
    <t>Cruz Roja Española</t>
  </si>
  <si>
    <t>الصليب الأحمر الإسباني</t>
  </si>
  <si>
    <t>Cruz Roja de Guyana</t>
  </si>
  <si>
    <t>503’000</t>
  </si>
  <si>
    <t>Sri Lanka Red Cross Society</t>
  </si>
  <si>
    <t>Croix-Rouge de Sri Lanka</t>
  </si>
  <si>
    <t>Cruz Roja de Sri Lanka</t>
  </si>
  <si>
    <t>جمعية الصليب الأحمر السريلانكي</t>
  </si>
  <si>
    <t>Croix-Rouge du Suriname</t>
  </si>
  <si>
    <t>Cruz Roja de Surinam</t>
  </si>
  <si>
    <t>الصليب الأحمر السورينامي</t>
  </si>
  <si>
    <t>Sweden</t>
  </si>
  <si>
    <t>Swedish Red Cross</t>
  </si>
  <si>
    <t>Croix-Rouge suédoise</t>
  </si>
  <si>
    <t>Cruz Roja Sueca</t>
  </si>
  <si>
    <t>الصليب الأحمر السويدي</t>
  </si>
  <si>
    <t>GUY</t>
  </si>
  <si>
    <t>Switzerland</t>
  </si>
  <si>
    <t>Swiss Red Cross</t>
  </si>
  <si>
    <t>Croix-Rouge suisse</t>
  </si>
  <si>
    <t>Cruz Roja Suiza</t>
  </si>
  <si>
    <t>الصليب الأحمر السويسري</t>
  </si>
  <si>
    <t>Syrian Arab Republic</t>
  </si>
  <si>
    <t>Syrian Arab Red Crescent</t>
  </si>
  <si>
    <t>Croissant-Rouge arabe syrien</t>
  </si>
  <si>
    <t>Media Luna Roja Arabe Siria</t>
  </si>
  <si>
    <t>الهلال الأحمر العربي السوري</t>
  </si>
  <si>
    <t>Cruz Roja Nacional de Tanzania</t>
  </si>
  <si>
    <t>جمعية الصليب الأحمر الوطني التنزاني</t>
  </si>
  <si>
    <t>Cruz Roja de Trinidad y Tabago</t>
  </si>
  <si>
    <t>HTI</t>
  </si>
  <si>
    <t>Croix-Rouge des Bahamas</t>
  </si>
  <si>
    <t>Cruz Roja de las Bahamas</t>
  </si>
  <si>
    <t>جمعية الصليب الأحمر في جزر البهاما</t>
  </si>
  <si>
    <t>Croix-Rouge de la Barbade</t>
  </si>
  <si>
    <t>جمعية الصليب الأحمر في بربادوس</t>
  </si>
  <si>
    <t>Sociedad Canadiense de la Cruz Roja</t>
  </si>
  <si>
    <t>Société canadienne de la Croix-Rouge</t>
  </si>
  <si>
    <t>جمعية الصليب الأحمر الكندية</t>
  </si>
  <si>
    <t>Media Luna Roja de Las Comoras</t>
  </si>
  <si>
    <t>الهلال الأحمر في جزر القمر</t>
  </si>
  <si>
    <t>IDN</t>
  </si>
  <si>
    <t>Cruz Roja de Gambia</t>
  </si>
  <si>
    <t>جمعية الصليب الأحمر في غامبيا</t>
  </si>
  <si>
    <t>Croix-Rouge du Guyana</t>
  </si>
  <si>
    <t>جمعية الصليب الأحمر في غيانا</t>
  </si>
  <si>
    <t>The Netherlands Red Cross</t>
  </si>
  <si>
    <t>Croix-Rouge néerlandaise</t>
  </si>
  <si>
    <t>Cruz Roja Neerlandesa</t>
  </si>
  <si>
    <t>الصليب الأحمر الهولندي</t>
  </si>
  <si>
    <t>183</t>
  </si>
  <si>
    <t>The Palestine Red Crescent Society</t>
  </si>
  <si>
    <t>Société du Croissant-Rouge palestinien</t>
  </si>
  <si>
    <t>Media Luna Roja Palestina</t>
  </si>
  <si>
    <t>جمعية الهلال الأحمر الفلسطيني</t>
  </si>
  <si>
    <t>IRN</t>
  </si>
  <si>
    <t>The Red Cross of Serbia</t>
  </si>
  <si>
    <t>Croix-Rouge de Serbie</t>
  </si>
  <si>
    <t>Cruz Roja de Serbia</t>
  </si>
  <si>
    <t>الصليب الأحمر في صربيا</t>
  </si>
  <si>
    <t>The Red Cross Society of Bosnia and Herzegovina</t>
  </si>
  <si>
    <t>Société de la Croix-Rouge de Bosnie-Herzégovine</t>
  </si>
  <si>
    <t>Cruz Roja de Bosnia y Herzegovina</t>
  </si>
  <si>
    <t>جمعية الصليب الأحمر في البوسنة والهرسك</t>
  </si>
  <si>
    <t>31’000</t>
  </si>
  <si>
    <t>The Republic of Korea National Red Cross</t>
  </si>
  <si>
    <t>Croix-Rouge de la République de Corée</t>
  </si>
  <si>
    <t>Cruz Roja de la República de Corea</t>
  </si>
  <si>
    <t>الصليب الأحمر الوطني في جمهورية كوريا</t>
  </si>
  <si>
    <t>8</t>
  </si>
  <si>
    <t>The Russian Red Cross Society</t>
  </si>
  <si>
    <t>Croix-Rouge de la Fédération de Russie</t>
  </si>
  <si>
    <t>Sociedad de la Cruz Roja de la Federación de Rusia</t>
  </si>
  <si>
    <t>جمعية الصليب الأحمر الروسي</t>
  </si>
  <si>
    <t>Türkiye</t>
  </si>
  <si>
    <t>IRQ</t>
  </si>
  <si>
    <t>10</t>
  </si>
  <si>
    <t>The Solomon Islands Red Cross</t>
  </si>
  <si>
    <t>Croix-Rouge des Iles Salomon</t>
  </si>
  <si>
    <t>Cruz Roja de las Islas Salomón</t>
  </si>
  <si>
    <t>الصليب الأحمر في جزر سليمان</t>
  </si>
  <si>
    <t>Cruz Roja Sudafricana</t>
  </si>
  <si>
    <t>جمعية الصليب الأحمر في جنوب إفريقيا</t>
  </si>
  <si>
    <t>Ukraine</t>
  </si>
  <si>
    <t>Media Luna Roja Sudanesa</t>
  </si>
  <si>
    <t>الهلال الأحمر السوداني</t>
  </si>
  <si>
    <t>The Thai Red Cross Society</t>
  </si>
  <si>
    <t>Croix-Rouge thaïlandaise</t>
  </si>
  <si>
    <t>Cruz Roja Tailandesa</t>
  </si>
  <si>
    <t>جمعية الصليب الأحمر التايلاندي</t>
  </si>
  <si>
    <t>Tunisia</t>
  </si>
  <si>
    <t>Croix-Rouge de Trinité-et-Tobago</t>
  </si>
  <si>
    <t>جمعية الصليب الأحمر في ترينيداد وتوباغو</t>
  </si>
  <si>
    <t>Cruz Roja de Uganda</t>
  </si>
  <si>
    <t>جمعية الصليب الأحمر الأوغندي</t>
  </si>
  <si>
    <t>14’000</t>
  </si>
  <si>
    <t>Timor-Leste Red Cross Society</t>
  </si>
  <si>
    <t>Croix-Rouge du Timor oriental</t>
  </si>
  <si>
    <t>Cruz Roja de Timor-Leste</t>
  </si>
  <si>
    <t>جمعية الصليب الأحمر في تيمور الشرقية</t>
  </si>
  <si>
    <t>106</t>
  </si>
  <si>
    <t>Cruz Roja Togolesa</t>
  </si>
  <si>
    <t>الصليب الأحمر التوغولي</t>
  </si>
  <si>
    <t>JOR</t>
  </si>
  <si>
    <t>Tonga Red Cross Society</t>
  </si>
  <si>
    <t>Croix-Rouge des Tonga</t>
  </si>
  <si>
    <t>Cruz Roja de Tonga</t>
  </si>
  <si>
    <t>جمعية الصليب الأحمر في تونغا</t>
  </si>
  <si>
    <t>Tunisian Red Crescent</t>
  </si>
  <si>
    <t>Croissant-Rouge tunisien</t>
  </si>
  <si>
    <t>Media Luna Roja Tunecina</t>
  </si>
  <si>
    <t>الهلال الأحمر التونسي</t>
  </si>
  <si>
    <t>Turkish Red Crescent Society</t>
  </si>
  <si>
    <t>Société du Croissant-Rouge turc</t>
  </si>
  <si>
    <t>Sociedad de la Media Luna Roja Turca</t>
  </si>
  <si>
    <t>جمعية الهلال الأحمر التركي</t>
  </si>
  <si>
    <t>201</t>
  </si>
  <si>
    <t>Tuvalu Red Cross Society</t>
  </si>
  <si>
    <t>Tuvalu Croix-Rouge</t>
  </si>
  <si>
    <t>Tuvalu Cruz Roja</t>
  </si>
  <si>
    <t>جمعية الصليب الأحمر في توفالو</t>
  </si>
  <si>
    <t>KAZ</t>
  </si>
  <si>
    <t>Ukrainian Red Cross Society</t>
  </si>
  <si>
    <t>Société de la Croix-Rouge d'Ukraine</t>
  </si>
  <si>
    <t>Sociedad de la Cruz Roja de Ucrania</t>
  </si>
  <si>
    <t>جمعية الصليب الأحمر الأوكراني</t>
  </si>
  <si>
    <t>Croix-Rouge uruguayenne</t>
  </si>
  <si>
    <t>الصليب الأحمر الأوروغوياني</t>
  </si>
  <si>
    <t>Vanuatu Red Cross Society</t>
  </si>
  <si>
    <t>Croix-Rouge de Vanuatu</t>
  </si>
  <si>
    <t>Cruz Roja de Vanuatu</t>
  </si>
  <si>
    <t>جمعية الصليب الأحمر في فانواتو</t>
  </si>
  <si>
    <t>KEN</t>
  </si>
  <si>
    <t>5</t>
  </si>
  <si>
    <t>Croix-Rouge vénézuélienne</t>
  </si>
  <si>
    <t>الصليب الأحمر الفنزويلي</t>
  </si>
  <si>
    <t>Vietnam Red Cross Society</t>
  </si>
  <si>
    <t>Croix-Rouge du Viet Nam</t>
  </si>
  <si>
    <t>Cruz Roja de Viet Nam</t>
  </si>
  <si>
    <t>جمعية الصليب الأحمر الفيتنامي</t>
  </si>
  <si>
    <t>41</t>
  </si>
  <si>
    <t>Yemen</t>
  </si>
  <si>
    <t>Yemen Red Crescent Society</t>
  </si>
  <si>
    <t>Croissant-Rouge du Yémen</t>
  </si>
  <si>
    <t>Media Luna Roja de Yemen</t>
  </si>
  <si>
    <t>جمعية الهلال الأحمر اليمني</t>
  </si>
  <si>
    <t>Cruz Roja de Zambia</t>
  </si>
  <si>
    <t>جمعية الصليب الأحمر الزامبي</t>
  </si>
  <si>
    <t>KGZ</t>
  </si>
  <si>
    <t>Cruz Roja de Zimbabue</t>
  </si>
  <si>
    <t>جمعية الصليب الأحمر الزيمبابوي</t>
  </si>
  <si>
    <t>LAO</t>
  </si>
  <si>
    <t>157</t>
  </si>
  <si>
    <t>LBN</t>
  </si>
  <si>
    <t>227</t>
  </si>
  <si>
    <t>LBY</t>
  </si>
  <si>
    <t>27</t>
  </si>
  <si>
    <t>38</t>
  </si>
  <si>
    <t>473</t>
  </si>
  <si>
    <t>35’000</t>
  </si>
  <si>
    <t>MDG</t>
  </si>
  <si>
    <t>14</t>
  </si>
  <si>
    <t>MWI</t>
  </si>
  <si>
    <t>500</t>
  </si>
  <si>
    <t>MYS</t>
  </si>
  <si>
    <t>29</t>
  </si>
  <si>
    <t>MLI</t>
  </si>
  <si>
    <t>MDA</t>
  </si>
  <si>
    <t>MNG</t>
  </si>
  <si>
    <t>MNE</t>
  </si>
  <si>
    <t>412</t>
  </si>
  <si>
    <t>MOZ</t>
  </si>
  <si>
    <t>22’000</t>
  </si>
  <si>
    <t>MMR</t>
  </si>
  <si>
    <t>54</t>
  </si>
  <si>
    <t>52</t>
  </si>
  <si>
    <t>NPL</t>
  </si>
  <si>
    <t>NGA</t>
  </si>
  <si>
    <t>MKD</t>
  </si>
  <si>
    <t>PAK</t>
  </si>
  <si>
    <t>PNG</t>
  </si>
  <si>
    <t>82</t>
  </si>
  <si>
    <t>86</t>
  </si>
  <si>
    <t>PRY</t>
  </si>
  <si>
    <t>PHL</t>
  </si>
  <si>
    <t>78</t>
  </si>
  <si>
    <t>ROU</t>
  </si>
  <si>
    <t>303</t>
  </si>
  <si>
    <t>RUS</t>
  </si>
  <si>
    <t>RWA</t>
  </si>
  <si>
    <t>KNA</t>
  </si>
  <si>
    <t>100</t>
  </si>
  <si>
    <t>122</t>
  </si>
  <si>
    <t>98</t>
  </si>
  <si>
    <t>VCT</t>
  </si>
  <si>
    <t>STP</t>
  </si>
  <si>
    <t>SRB</t>
  </si>
  <si>
    <t>SLE</t>
  </si>
  <si>
    <t>ZAF</t>
  </si>
  <si>
    <t>531</t>
  </si>
  <si>
    <t>SSD</t>
  </si>
  <si>
    <t>LKA</t>
  </si>
  <si>
    <t>SUR</t>
  </si>
  <si>
    <t>12’000</t>
  </si>
  <si>
    <t>SYR</t>
  </si>
  <si>
    <t>TJK</t>
  </si>
  <si>
    <t>200</t>
  </si>
  <si>
    <t>671</t>
  </si>
  <si>
    <t>TZA</t>
  </si>
  <si>
    <t>149’000</t>
  </si>
  <si>
    <t>13</t>
  </si>
  <si>
    <t>THA</t>
  </si>
  <si>
    <t>47</t>
  </si>
  <si>
    <t>TLS</t>
  </si>
  <si>
    <t>68’000</t>
  </si>
  <si>
    <t>TGO</t>
  </si>
  <si>
    <t>770</t>
  </si>
  <si>
    <t>TTO</t>
  </si>
  <si>
    <t>111</t>
  </si>
  <si>
    <t>TKM</t>
  </si>
  <si>
    <t>71</t>
  </si>
  <si>
    <t>692</t>
  </si>
  <si>
    <t>TUR</t>
  </si>
  <si>
    <t>UGA</t>
  </si>
  <si>
    <t>URY</t>
  </si>
  <si>
    <t>15</t>
  </si>
  <si>
    <t>UZB</t>
  </si>
  <si>
    <t>VEN</t>
  </si>
  <si>
    <t>508</t>
  </si>
  <si>
    <t>VNM</t>
  </si>
  <si>
    <t>93</t>
  </si>
  <si>
    <t>YEM</t>
  </si>
  <si>
    <t>32</t>
  </si>
  <si>
    <t>204</t>
  </si>
  <si>
    <t>406</t>
  </si>
  <si>
    <t>ZMB</t>
  </si>
  <si>
    <t>66</t>
  </si>
  <si>
    <t>ZWE</t>
  </si>
  <si>
    <t>91</t>
  </si>
  <si>
    <t>42</t>
  </si>
  <si>
    <t>17</t>
  </si>
  <si>
    <t>160</t>
  </si>
  <si>
    <t>142</t>
  </si>
  <si>
    <t>115</t>
  </si>
  <si>
    <t>33</t>
  </si>
  <si>
    <t>86’000</t>
  </si>
  <si>
    <t>159</t>
  </si>
  <si>
    <t>62</t>
  </si>
  <si>
    <t>703</t>
  </si>
  <si>
    <t>23</t>
  </si>
  <si>
    <t>274</t>
  </si>
  <si>
    <t>77</t>
  </si>
  <si>
    <t>141</t>
  </si>
  <si>
    <t>37</t>
  </si>
  <si>
    <t>774</t>
  </si>
  <si>
    <t>800’000</t>
  </si>
  <si>
    <t>216</t>
  </si>
  <si>
    <t>379</t>
  </si>
  <si>
    <t>47’000</t>
  </si>
  <si>
    <t>67</t>
  </si>
  <si>
    <t>60</t>
  </si>
  <si>
    <t>2</t>
  </si>
  <si>
    <t>862</t>
  </si>
  <si>
    <t>102</t>
  </si>
  <si>
    <t>139</t>
  </si>
  <si>
    <t>533</t>
  </si>
  <si>
    <t>835</t>
  </si>
  <si>
    <t>280</t>
  </si>
  <si>
    <t>Cruz Roja de Eritrea</t>
  </si>
  <si>
    <t>186</t>
  </si>
  <si>
    <t>449</t>
  </si>
  <si>
    <t>130</t>
  </si>
  <si>
    <t>51</t>
  </si>
  <si>
    <t>120</t>
  </si>
  <si>
    <t>23’000</t>
  </si>
  <si>
    <t>109</t>
  </si>
  <si>
    <t>392</t>
  </si>
  <si>
    <t>137</t>
  </si>
  <si>
    <t>311</t>
  </si>
  <si>
    <t>350</t>
  </si>
  <si>
    <t>212</t>
  </si>
  <si>
    <t>45’000</t>
  </si>
  <si>
    <t>National Society name</t>
  </si>
  <si>
    <t>EFs</t>
  </si>
  <si>
    <t>SP2_2027</t>
  </si>
  <si>
    <t>SP1_2027</t>
  </si>
  <si>
    <t>SP3_2027</t>
  </si>
  <si>
    <t>SP4_2027</t>
  </si>
  <si>
    <t>SP5_2027</t>
  </si>
  <si>
    <t>EFs_2027</t>
  </si>
  <si>
    <t>SP2_2028</t>
  </si>
  <si>
    <t>SP1_2028</t>
  </si>
  <si>
    <t>SP3_2028</t>
  </si>
  <si>
    <t>SP4_2028</t>
  </si>
  <si>
    <t>SP5_2028</t>
  </si>
  <si>
    <t>EFs_2028</t>
  </si>
  <si>
    <t>Sp3</t>
  </si>
  <si>
    <t>EA</t>
  </si>
  <si>
    <t>2029 Longer term programmes</t>
  </si>
  <si>
    <t>Programmes 2029 à plus long terme</t>
  </si>
  <si>
    <t>2029 Programas a más largo plazo</t>
  </si>
  <si>
    <t>برامج طويلة الأجل 2029</t>
  </si>
  <si>
    <t>Emergency Appeals 2027</t>
  </si>
  <si>
    <t>Appels d'Urgence 2027</t>
  </si>
  <si>
    <t>Llamamientos de Emergencia 2027</t>
  </si>
  <si>
    <t>النداءات الطارئة 2027</t>
  </si>
  <si>
    <t>Please select your country at the Start page</t>
  </si>
  <si>
    <t>T42</t>
  </si>
  <si>
    <t>T43</t>
  </si>
  <si>
    <t xml:space="preserve">2027 Planning: </t>
  </si>
  <si>
    <t>Veuillez sélectionner votre pays sur la page de démarrage</t>
  </si>
  <si>
    <t>Por favor, seleccione su país en la página de inicio</t>
  </si>
  <si>
    <t>يرجى اختيار الدولة في صفحة البداية</t>
  </si>
  <si>
    <t>2027 Planification:</t>
  </si>
  <si>
    <t xml:space="preserve">2027 Planificación: </t>
  </si>
  <si>
    <t xml:space="preserve">تخطيط 2027: </t>
  </si>
  <si>
    <t>2027 Planning - Start here</t>
  </si>
  <si>
    <t>Planificación 2027 - Comience aquí</t>
  </si>
  <si>
    <t>تخطيط 2027 - ابدأ هنا</t>
  </si>
  <si>
    <t>T44</t>
  </si>
  <si>
    <t>⮟ Select here first!</t>
  </si>
  <si>
    <t>⮟ Sélectionnez d'abord ici !</t>
  </si>
  <si>
    <t>⮟ ¡Seleccione aquí primero!</t>
  </si>
  <si>
    <t>⮟ اختر هنا أولاً!</t>
  </si>
  <si>
    <t>181</t>
  </si>
  <si>
    <t>36’000</t>
  </si>
  <si>
    <t>413</t>
  </si>
  <si>
    <t>371</t>
  </si>
  <si>
    <t>402</t>
  </si>
  <si>
    <t>690</t>
  </si>
  <si>
    <t>80’000</t>
  </si>
  <si>
    <t>175</t>
  </si>
  <si>
    <t>841</t>
  </si>
  <si>
    <t>49</t>
  </si>
  <si>
    <t>132’000</t>
  </si>
  <si>
    <t>364</t>
  </si>
  <si>
    <t>391</t>
  </si>
  <si>
    <t>61’000</t>
  </si>
  <si>
    <t>148</t>
  </si>
  <si>
    <t>136</t>
  </si>
  <si>
    <t>84</t>
  </si>
  <si>
    <t>241’000</t>
  </si>
  <si>
    <t>3.5M</t>
  </si>
  <si>
    <t>40</t>
  </si>
  <si>
    <t>393</t>
  </si>
  <si>
    <t>40’000</t>
  </si>
  <si>
    <t>36</t>
  </si>
  <si>
    <t>717</t>
  </si>
  <si>
    <t>942</t>
  </si>
  <si>
    <t>259</t>
  </si>
  <si>
    <t>811</t>
  </si>
  <si>
    <t>222</t>
  </si>
  <si>
    <t>48’000</t>
  </si>
  <si>
    <t>704</t>
  </si>
  <si>
    <t>947</t>
  </si>
  <si>
    <t>97’000</t>
  </si>
  <si>
    <t>219</t>
  </si>
  <si>
    <t>212’000</t>
  </si>
  <si>
    <t>457’000</t>
  </si>
  <si>
    <t>67’000</t>
  </si>
  <si>
    <t>517</t>
  </si>
  <si>
    <t>197</t>
  </si>
  <si>
    <t>950</t>
  </si>
  <si>
    <t>94</t>
  </si>
  <si>
    <t>93’000</t>
  </si>
  <si>
    <t>528</t>
  </si>
  <si>
    <t>3.4M</t>
  </si>
  <si>
    <t>206</t>
  </si>
  <si>
    <t>723</t>
  </si>
  <si>
    <t>955</t>
  </si>
  <si>
    <t>416</t>
  </si>
  <si>
    <t>678’000</t>
  </si>
  <si>
    <t>708</t>
  </si>
  <si>
    <t>244’000</t>
  </si>
  <si>
    <t>361’000</t>
  </si>
  <si>
    <t>92’000</t>
  </si>
  <si>
    <t>162</t>
  </si>
  <si>
    <t>80</t>
  </si>
  <si>
    <t>998</t>
  </si>
  <si>
    <t>203</t>
  </si>
  <si>
    <t>414</t>
  </si>
  <si>
    <t>105</t>
  </si>
  <si>
    <t>900</t>
  </si>
  <si>
    <t>369</t>
  </si>
  <si>
    <t>16’000</t>
  </si>
  <si>
    <t>187</t>
  </si>
  <si>
    <t>118</t>
  </si>
  <si>
    <t>272</t>
  </si>
  <si>
    <t>82’000</t>
  </si>
  <si>
    <t>612</t>
  </si>
  <si>
    <t>286</t>
  </si>
  <si>
    <t>70</t>
  </si>
  <si>
    <t>110</t>
  </si>
  <si>
    <t>297</t>
  </si>
  <si>
    <t>468</t>
  </si>
  <si>
    <t>28’000</t>
  </si>
  <si>
    <t>179</t>
  </si>
  <si>
    <t>925</t>
  </si>
  <si>
    <t>215</t>
  </si>
  <si>
    <t>495</t>
  </si>
  <si>
    <t>343</t>
  </si>
  <si>
    <t>90’000</t>
  </si>
  <si>
    <t>754</t>
  </si>
  <si>
    <t>108</t>
  </si>
  <si>
    <t>550</t>
  </si>
  <si>
    <t>399</t>
  </si>
  <si>
    <t>351</t>
  </si>
  <si>
    <t>878</t>
  </si>
  <si>
    <t>39’000</t>
  </si>
  <si>
    <t>271</t>
  </si>
  <si>
    <t>167</t>
  </si>
  <si>
    <t>129</t>
  </si>
  <si>
    <t>1.2M</t>
  </si>
  <si>
    <t>123</t>
  </si>
  <si>
    <t>34’000</t>
  </si>
  <si>
    <t>624</t>
  </si>
  <si>
    <t>289</t>
  </si>
  <si>
    <t>605</t>
  </si>
  <si>
    <t>57’000</t>
  </si>
  <si>
    <t>70’000</t>
  </si>
  <si>
    <t>173</t>
  </si>
  <si>
    <t>912</t>
  </si>
  <si>
    <t>33’000</t>
  </si>
  <si>
    <t>32’000</t>
  </si>
  <si>
    <t>670</t>
  </si>
  <si>
    <t>464</t>
  </si>
  <si>
    <t>814</t>
  </si>
  <si>
    <t>147</t>
  </si>
  <si>
    <t>263</t>
  </si>
  <si>
    <t>270</t>
  </si>
  <si>
    <t>231’000</t>
  </si>
  <si>
    <t>302</t>
  </si>
  <si>
    <t>482</t>
  </si>
  <si>
    <t>109’000</t>
  </si>
  <si>
    <t>125</t>
  </si>
  <si>
    <t>308</t>
  </si>
  <si>
    <t>476</t>
  </si>
  <si>
    <t>174</t>
  </si>
  <si>
    <t>188</t>
  </si>
  <si>
    <t>119’000</t>
  </si>
  <si>
    <t>62’000</t>
  </si>
  <si>
    <t>631</t>
  </si>
  <si>
    <t>193</t>
  </si>
  <si>
    <t>513</t>
  </si>
  <si>
    <t>376’000</t>
  </si>
  <si>
    <t>444</t>
  </si>
  <si>
    <t>232</t>
  </si>
  <si>
    <t>280’000</t>
  </si>
  <si>
    <t>645</t>
  </si>
  <si>
    <t>677</t>
  </si>
  <si>
    <t>199’000</t>
  </si>
  <si>
    <t>718</t>
  </si>
  <si>
    <t>245</t>
  </si>
  <si>
    <t>168</t>
  </si>
  <si>
    <t>Number of National Society Local Units</t>
  </si>
  <si>
    <t>AR25</t>
  </si>
  <si>
    <t>Number of National Society branches</t>
  </si>
  <si>
    <t>ATG</t>
  </si>
  <si>
    <t>BHS</t>
  </si>
  <si>
    <t>BIH</t>
  </si>
  <si>
    <t>BFA</t>
  </si>
  <si>
    <t>CPV</t>
  </si>
  <si>
    <t>CAF</t>
  </si>
  <si>
    <t>TCD</t>
  </si>
  <si>
    <t>COK</t>
  </si>
  <si>
    <t>CIV</t>
  </si>
  <si>
    <t>FJI</t>
  </si>
  <si>
    <t>GMB</t>
  </si>
  <si>
    <t>GEO</t>
  </si>
  <si>
    <t>HND</t>
  </si>
  <si>
    <t>HUN</t>
  </si>
  <si>
    <t>KIR</t>
  </si>
  <si>
    <t>LSO</t>
  </si>
  <si>
    <t>LBR</t>
  </si>
  <si>
    <t>MHL</t>
  </si>
  <si>
    <t>MUS</t>
  </si>
  <si>
    <t>FSM</t>
  </si>
  <si>
    <t>MAR</t>
  </si>
  <si>
    <t>NER</t>
  </si>
  <si>
    <t>PLW</t>
  </si>
  <si>
    <t>PSE</t>
  </si>
  <si>
    <t>PAN</t>
  </si>
  <si>
    <t>POL</t>
  </si>
  <si>
    <t>LCA</t>
  </si>
  <si>
    <t>WSM</t>
  </si>
  <si>
    <t>SYC</t>
  </si>
  <si>
    <t>SLB</t>
  </si>
  <si>
    <t>SOM</t>
  </si>
  <si>
    <t>SDN</t>
  </si>
  <si>
    <t>TON</t>
  </si>
  <si>
    <t>TUV</t>
  </si>
  <si>
    <t>VUT</t>
  </si>
  <si>
    <t>1. Create a copy of this template.
2. Enter Country name, and MDR code and name for Emergency Appeals you have in 2027, and fill in the data in the following sheets.
3. Share the file with IFRC country or regional colleagues to migrate the data into the data portal.</t>
  </si>
  <si>
    <t>1. Créez une copie de ce modèle.
2. Saisissez le nom du pays, ainsi que le code et le nom MDR des Appels d’urgence prévus en 2027, puis complétez les données dans les feuilles suivantes.
3. Partagez le fichier avec les collègues de l’IFRC au niveau national ou régional afin de migrer les données vers le portail de données.</t>
  </si>
  <si>
    <t>1. Cree una copia de esta plantilla.
2. Ingrese el nombre del país, así como el código y el nombre MDR de los Llamamientos de Emergencia que tenga en 2027, y complete los datos en las siguientes hojas.
3. Comparta el archivo con los colegas de la IFRC a nivel nacional o regional para migrar los datos al portal de datos.</t>
  </si>
  <si>
    <t>1. قم بإنشاء نسخة من هذا النموذج.
2. أدخل اسم البلد، ورمز واسم MDR الخاص بنداءات الطوارئ المتوفرة لديكم في عام 2027، ثم قم بتعبئة البيانات في الأوراق التالية.
3. شارك الملف مع زملاء الاتحاد الدولي على المستوى القطري أو الإقليمي لنقل البيانات إلى بوابة البيانات.</t>
  </si>
  <si>
    <t xml:space="preserve">USE THIS TEMPLATE ONLY IF YOU HAVE CONNECTIVITY ISSUES AND CAN'T ACCESS THE </t>
  </si>
  <si>
    <t>T55</t>
  </si>
  <si>
    <t>UTILISEZ CE MODÈLE UNIQUEMENT SI VOUS RENCONTREZ DES PROBLÈMES DE CONNEXION ET NE POUVEZ PAS ACCÉDER AU</t>
  </si>
  <si>
    <t>UTILICE ESTA PLANTILLA ÚNICAMENTE SI TIENE PROBLEMAS DE CONECTIVIDAD Y NO PUEDE ACCEDER AL</t>
  </si>
  <si>
    <t>استخدم هذا النموذج فقط إذا كنت تواجه مشكلات في الاتصال ولا يمكنك الوصول إلى</t>
  </si>
  <si>
    <t>Figures for volunteers, staff, local units, and branches have been prefilled if the National Society has provided its data for 2025 unified annual reporting.
Please review and update these numbers if needed. FDRS 2024 figures have been listed only for reference.</t>
  </si>
  <si>
    <t>Les chiffres concernant les volontaires, le personnel, les unités locales et les branches ont été préremplis si la Société nationale a fourni ses données pour le rapport annuel harmonisé 2025.
Veuillez vérifier et mettre à jour ces chiffres si nécessaire. Les chiffres FDRS 2024 sont indiqués uniquement à titre de référence.</t>
  </si>
  <si>
    <t>Las cifras de voluntarios, personal, unidades locales y filiales han sido rellenadas previamente si la Sociedad Nacional proporcionó sus datos para el informe anual unificado de 2025.
Por favor, revise y actualice estas cifras si es necesario. Las cifras del FDRS 2024 se incluyen únicamente como referencia.</t>
  </si>
  <si>
    <t>تمت تعبئة أرقام المتطوعين والموظفين والوحدات المحلية والفروع مسبقًا إذا كانت الجمعية الوطنية قد قدمت بياناتها للتقرير السنوي الموحد لعام 2025.
يرجى مراجعة هذه الأرقام وتحديثها إذا لزم الأمر. تم إدراج أرقام FDRS لعام 2024 لأغراض مرجعية فقط.</t>
  </si>
  <si>
    <t xml:space="preserve">DATABANK        </t>
  </si>
  <si>
    <t>EA1_2027</t>
  </si>
  <si>
    <t>EA2_2027</t>
  </si>
  <si>
    <t>EA3_2027</t>
  </si>
  <si>
    <t>SP2_2029</t>
  </si>
  <si>
    <t>SP1_2029</t>
  </si>
  <si>
    <t>SP3_2029</t>
  </si>
  <si>
    <t>SP4_2029</t>
  </si>
  <si>
    <t>SP5_2029</t>
  </si>
  <si>
    <t>EFs_2029</t>
  </si>
  <si>
    <t>P27.V1.1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</si>
</sst>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_ ;_ * \-#,##0_ ;_ * &quot;-&quot;??_ ;_ @_ "/>
    <numFmt numFmtId="165" formatCode="_(* #,##0_);_(* \(#,##0\);_(* &quot;-&quot;??_);_(@_)"/>
    <numFmt numFmtId="166" formatCode="_ * #,##0.00_ ;_ * \-#,##0.00_ ;_ * &quot;-&quot;??_ ;_ @_ "/>
  </numFmts>
  <fonts count="27">
    <font>
      <sz val="11"/>
      <color theme="1"/>
      <name val="Calibri"/>
      <family val="2"/>
      <scheme val="minor"/>
    </font>
    <font>
      <sz val="11"/>
      <color rgb="FF3F3F76"/>
      <name val="Calibri"/>
      <family val="2"/>
      <scheme val="minor"/>
    </font>
    <font>
      <sz val="11"/>
      <color theme="0"/>
      <name val="Calibri"/>
      <family val="2"/>
      <scheme val="minor"/>
    </font>
    <font>
      <b/>
      <sz val="18"/>
      <color rgb="FF3F3F76"/>
      <name val="Calibri"/>
      <family val="2"/>
      <scheme val="minor"/>
    </font>
    <font>
      <sz val="11"/>
      <name val="Calibri"/>
      <family val="2"/>
      <scheme val="minor"/>
    </font>
    <font>
      <b/>
      <sz val="11"/>
      <name val="Calibri"/>
      <family val="2"/>
      <scheme val="minor"/>
    </font>
    <font>
      <sz val="10"/>
      <name val="Calibri"/>
      <family val="2"/>
      <scheme val="minor"/>
    </font>
    <font>
      <b/>
      <sz val="18"/>
      <color theme="0"/>
      <name val="Calibri"/>
      <family val="2"/>
      <scheme val="minor"/>
    </font>
    <font>
      <sz val="11"/>
      <color theme="1"/>
      <name val="Calibri"/>
      <family val="2"/>
      <scheme val="minor"/>
    </font>
    <font>
      <b/>
      <sz val="11"/>
      <color theme="1"/>
      <name val="Calibri"/>
      <family val="2"/>
      <scheme val="minor"/>
    </font>
    <font>
      <b/>
      <sz val="10"/>
      <name val="Calibri"/>
      <family val="2"/>
      <scheme val="minor"/>
    </font>
    <font>
      <sz val="12"/>
      <color theme="1"/>
      <name val="Calibri"/>
      <family val="2"/>
      <scheme val="minor"/>
    </font>
    <font>
      <b/>
      <sz val="12"/>
      <name val="Calibri"/>
      <family val="2"/>
      <scheme val="minor"/>
    </font>
    <font>
      <sz val="11"/>
      <color rgb="FFFF0000"/>
      <name val="Calibri"/>
      <family val="2"/>
      <scheme val="minor"/>
    </font>
    <font>
      <b/>
      <sz val="11"/>
      <color rgb="FFFF0000"/>
      <name val="Calibri"/>
      <family val="2"/>
      <scheme val="minor"/>
    </font>
    <font>
      <b/>
      <sz val="22"/>
      <name val="Calibri"/>
      <family val="2"/>
      <scheme val="minor"/>
    </font>
    <font>
      <sz val="14"/>
      <color theme="0"/>
      <name val="Calibri"/>
      <family val="2"/>
      <scheme val="minor"/>
    </font>
    <font>
      <b/>
      <sz val="11"/>
      <color rgb="FF3F3F76"/>
      <name val="Calibri"/>
      <family val="2"/>
      <scheme val="minor"/>
    </font>
    <font>
      <i/>
      <sz val="11"/>
      <color theme="1" tint="0.34998626667073579"/>
      <name val="Calibri"/>
      <family val="2"/>
      <scheme val="minor"/>
    </font>
    <font>
      <i/>
      <sz val="10"/>
      <color theme="1" tint="0.249977111117893"/>
      <name val="Calibri"/>
      <family val="2"/>
      <scheme val="minor"/>
    </font>
    <font>
      <b/>
      <sz val="18"/>
      <name val="Calibri"/>
      <family val="2"/>
      <scheme val="minor"/>
    </font>
    <font>
      <b/>
      <sz val="14"/>
      <color theme="0"/>
      <name val="Calibri"/>
      <family val="2"/>
      <scheme val="minor"/>
    </font>
    <font>
      <sz val="10"/>
      <color rgb="FF3F3F76"/>
      <name val="Calibri"/>
      <family val="2"/>
      <scheme val="minor"/>
    </font>
    <font>
      <sz val="11"/>
      <color rgb="FF9C0006"/>
      <name val="Calibri"/>
      <family val="2"/>
      <scheme val="minor"/>
    </font>
    <font>
      <b/>
      <sz val="11"/>
      <color rgb="FF9C0006"/>
      <name val="Calibri"/>
      <family val="2"/>
      <scheme val="minor"/>
    </font>
    <font>
      <b/>
      <u/>
      <sz val="14"/>
      <color theme="8" tint="-0.249977111117893"/>
      <name val="Calibri"/>
      <family val="2"/>
      <scheme val="minor"/>
    </font>
    <font>
      <sz val="10"/>
      <color theme="1"/>
      <name val="Arial Unicode MS"/>
    </font>
  </fonts>
  <fills count="17">
    <fill>
      <patternFill patternType="none"/>
    </fill>
    <fill>
      <patternFill patternType="gray125"/>
    </fill>
    <fill>
      <patternFill patternType="solid">
        <fgColor rgb="FFFFCC99"/>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7" tint="0.79998168889431442"/>
        <bgColor theme="6" tint="0.79998168889431442"/>
      </patternFill>
    </fill>
    <fill>
      <patternFill patternType="solid">
        <fgColor theme="7"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C7CE"/>
      </patternFill>
    </fill>
  </fills>
  <borders count="4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indexed="64"/>
      </top>
      <bottom style="thin">
        <color indexed="64"/>
      </bottom>
      <diagonal/>
    </border>
    <border>
      <left style="thin">
        <color theme="1" tint="0.499984740745262"/>
      </left>
      <right/>
      <top style="thin">
        <color theme="1" tint="0.499984740745262"/>
      </top>
      <bottom style="thin">
        <color theme="1" tint="0.499984740745262"/>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style="medium">
        <color theme="4" tint="-0.24994659260841701"/>
      </left>
      <right style="thin">
        <color theme="1" tint="0.499984740745262"/>
      </right>
      <top style="thin">
        <color theme="1" tint="0.499984740745262"/>
      </top>
      <bottom style="thin">
        <color theme="1" tint="0.499984740745262"/>
      </bottom>
      <diagonal/>
    </border>
    <border>
      <left style="medium">
        <color theme="4" tint="-0.24994659260841701"/>
      </left>
      <right style="thin">
        <color theme="1" tint="0.499984740745262"/>
      </right>
      <top style="thin">
        <color theme="1" tint="0.499984740745262"/>
      </top>
      <bottom style="medium">
        <color theme="4" tint="-0.24994659260841701"/>
      </bottom>
      <diagonal/>
    </border>
    <border>
      <left/>
      <right style="thin">
        <color indexed="64"/>
      </right>
      <top/>
      <bottom/>
      <diagonal/>
    </border>
    <border>
      <left/>
      <right style="thin">
        <color indexed="64"/>
      </right>
      <top style="thin">
        <color indexed="64"/>
      </top>
      <bottom style="thin">
        <color indexed="64"/>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top style="thin">
        <color indexed="64"/>
      </top>
      <bottom/>
      <diagonal/>
    </border>
    <border>
      <left/>
      <right/>
      <top style="thin">
        <color indexed="64"/>
      </top>
      <bottom style="thin">
        <color rgb="FF7F7F7F"/>
      </bottom>
      <diagonal/>
    </border>
    <border>
      <left/>
      <right style="thin">
        <color rgb="FF7F7F7F"/>
      </right>
      <top style="thin">
        <color indexed="64"/>
      </top>
      <bottom style="thin">
        <color rgb="FF7F7F7F"/>
      </bottom>
      <diagonal/>
    </border>
    <border>
      <left style="medium">
        <color theme="4" tint="-0.24994659260841701"/>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indexed="64"/>
      </left>
      <right/>
      <top/>
      <bottom/>
      <diagonal/>
    </border>
    <border>
      <left/>
      <right/>
      <top/>
      <bottom style="thick">
        <color theme="5" tint="-0.24994659260841701"/>
      </bottom>
      <diagonal/>
    </border>
    <border>
      <left style="thick">
        <color theme="7" tint="-0.24994659260841701"/>
      </left>
      <right/>
      <top/>
      <bottom/>
      <diagonal/>
    </border>
    <border>
      <left style="thick">
        <color theme="6" tint="-0.24994659260841701"/>
      </left>
      <right/>
      <top/>
      <bottom/>
      <diagonal/>
    </border>
    <border>
      <left style="thick">
        <color theme="5" tint="-0.24994659260841701"/>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1" tint="0.499984740745262"/>
      </right>
      <top style="thin">
        <color theme="1" tint="0.499984740745262"/>
      </top>
      <bottom style="medium">
        <color theme="4" tint="-0.24994659260841701"/>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medium">
        <color theme="4" tint="-0.24994659260841701"/>
      </right>
      <top/>
      <bottom style="thin">
        <color theme="1" tint="0.499984740745262"/>
      </bottom>
      <diagonal/>
    </border>
    <border>
      <left/>
      <right style="thin">
        <color indexed="64"/>
      </right>
      <top style="thin">
        <color indexed="64"/>
      </top>
      <bottom style="thin">
        <color rgb="FF7F7F7F"/>
      </bottom>
      <diagonal/>
    </border>
    <border>
      <left style="medium">
        <color theme="4" tint="-0.24994659260841701"/>
      </left>
      <right style="thin">
        <color theme="1" tint="0.499984740745262"/>
      </right>
      <top/>
      <bottom/>
      <diagonal/>
    </border>
    <border>
      <left style="medium">
        <color theme="4"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4" tint="-0.24994659260841701"/>
      </right>
      <top style="thin">
        <color theme="0" tint="-0.499984740745262"/>
      </top>
      <bottom style="thin">
        <color theme="0" tint="-0.499984740745262"/>
      </bottom>
      <diagonal/>
    </border>
    <border>
      <left style="thin">
        <color theme="1" tint="0.499984740745262"/>
      </left>
      <right/>
      <top style="thin">
        <color theme="1" tint="0.499984740745262"/>
      </top>
      <bottom style="medium">
        <color theme="4" tint="-0.2499465926084170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theme="1" tint="0.499984740745262"/>
      </right>
      <top style="thin">
        <color theme="1" tint="0.499984740745262"/>
      </top>
      <bottom/>
      <diagonal/>
    </border>
    <border>
      <left style="medium">
        <color theme="4" tint="-0.24994659260841701"/>
      </left>
      <right style="medium">
        <color theme="4" tint="-0.24994659260841701"/>
      </right>
      <top/>
      <bottom style="thin">
        <color theme="1" tint="0.499984740745262"/>
      </bottom>
      <diagonal/>
    </border>
    <border>
      <left/>
      <right style="thin">
        <color theme="1" tint="0.499984740745262"/>
      </right>
      <top/>
      <bottom/>
      <diagonal/>
    </border>
    <border>
      <left style="thin">
        <color indexed="64"/>
      </left>
      <right style="thin">
        <color rgb="FF7F7F7F"/>
      </right>
      <top style="thin">
        <color indexed="64"/>
      </top>
      <bottom style="thin">
        <color rgb="FF7F7F7F"/>
      </bottom>
      <diagonal/>
    </border>
    <border>
      <left style="thin">
        <color rgb="FF7F7F7F"/>
      </left>
      <right style="thin">
        <color indexed="64"/>
      </right>
      <top style="thin">
        <color indexed="64"/>
      </top>
      <bottom style="thin">
        <color rgb="FF7F7F7F"/>
      </bottom>
      <diagonal/>
    </border>
  </borders>
  <cellStyleXfs count="4">
    <xf numFmtId="0" fontId="0" fillId="0" borderId="0"/>
    <xf numFmtId="0" fontId="1" fillId="2" borderId="1"/>
    <xf numFmtId="166" fontId="8" fillId="0" borderId="0"/>
    <xf numFmtId="0" fontId="23" fillId="16" borderId="0" applyNumberFormat="0" applyBorder="0" applyAlignment="0" applyProtection="0"/>
  </cellStyleXfs>
  <cellXfs count="197">
    <xf numFmtId="0" fontId="0" fillId="0" borderId="0" xfId="0"/>
    <xf numFmtId="0" fontId="2" fillId="0" borderId="0" xfId="0" applyFont="1"/>
    <xf numFmtId="0" fontId="0" fillId="0" borderId="0" xfId="0" applyAlignment="1">
      <alignment horizontal="left" indent="1"/>
    </xf>
    <xf numFmtId="0" fontId="0" fillId="8" borderId="6" xfId="0" applyFill="1" applyBorder="1"/>
    <xf numFmtId="0" fontId="0" fillId="0" borderId="6" xfId="0" applyBorder="1"/>
    <xf numFmtId="0" fontId="0" fillId="8" borderId="7" xfId="0" applyFill="1" applyBorder="1"/>
    <xf numFmtId="0" fontId="0" fillId="0" borderId="8" xfId="0" applyBorder="1"/>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4" fillId="9" borderId="3" xfId="0" applyFont="1" applyFill="1" applyBorder="1" applyAlignment="1" applyProtection="1">
      <alignment horizontal="left" vertical="center" indent="1"/>
      <protection locked="0"/>
    </xf>
    <xf numFmtId="0" fontId="4" fillId="3" borderId="3" xfId="0" applyFont="1" applyFill="1" applyBorder="1" applyAlignment="1" applyProtection="1">
      <alignment horizontal="left" vertical="center" indent="1"/>
      <protection locked="0"/>
    </xf>
    <xf numFmtId="0" fontId="5" fillId="9" borderId="3" xfId="0" applyFont="1" applyFill="1" applyBorder="1" applyAlignment="1" applyProtection="1">
      <alignment horizontal="center" vertical="center"/>
      <protection locked="0"/>
    </xf>
    <xf numFmtId="164" fontId="0" fillId="3" borderId="10" xfId="2" applyNumberFormat="1" applyFont="1" applyFill="1" applyBorder="1" applyAlignment="1" applyProtection="1">
      <alignment horizontal="center" vertical="center"/>
      <protection locked="0"/>
    </xf>
    <xf numFmtId="164" fontId="0" fillId="3" borderId="11" xfId="2" applyNumberFormat="1" applyFont="1" applyFill="1" applyBorder="1" applyAlignment="1" applyProtection="1">
      <alignment horizontal="center" vertical="center"/>
      <protection locked="0"/>
    </xf>
    <xf numFmtId="0" fontId="0" fillId="4" borderId="5" xfId="0" applyFill="1" applyBorder="1" applyAlignment="1" applyProtection="1">
      <alignment horizontal="left" vertical="center" wrapText="1" indent="1"/>
      <protection hidden="1"/>
    </xf>
    <xf numFmtId="164" fontId="0" fillId="3" borderId="2" xfId="2" applyNumberFormat="1" applyFont="1" applyFill="1" applyBorder="1" applyAlignment="1" applyProtection="1">
      <alignment horizontal="center" vertical="center"/>
      <protection locked="0"/>
    </xf>
    <xf numFmtId="0" fontId="0" fillId="11" borderId="0" xfId="0" applyFill="1"/>
    <xf numFmtId="0" fontId="5" fillId="0" borderId="0" xfId="0" applyFont="1" applyAlignment="1" applyProtection="1">
      <alignment horizontal="center" vertical="center" wrapText="1"/>
      <protection hidden="1"/>
    </xf>
    <xf numFmtId="0" fontId="10" fillId="7" borderId="19" xfId="0" applyFont="1" applyFill="1" applyBorder="1" applyAlignment="1" applyProtection="1">
      <alignment horizontal="center" vertical="center" wrapText="1"/>
      <protection hidden="1"/>
    </xf>
    <xf numFmtId="0" fontId="10" fillId="4" borderId="5" xfId="0" applyFont="1" applyFill="1" applyBorder="1" applyAlignment="1" applyProtection="1">
      <alignment horizontal="center" vertical="center"/>
      <protection hidden="1"/>
    </xf>
    <xf numFmtId="0" fontId="6" fillId="4" borderId="5" xfId="0" applyFont="1" applyFill="1" applyBorder="1" applyAlignment="1" applyProtection="1">
      <alignment horizontal="center" vertical="center" wrapText="1"/>
      <protection hidden="1"/>
    </xf>
    <xf numFmtId="0" fontId="4" fillId="3" borderId="20" xfId="0" applyFont="1" applyFill="1" applyBorder="1" applyAlignment="1" applyProtection="1">
      <alignment horizontal="left" vertical="center" indent="1"/>
      <protection locked="0"/>
    </xf>
    <xf numFmtId="0" fontId="0" fillId="0" borderId="0" xfId="0" applyAlignment="1" applyProtection="1">
      <alignment vertical="center"/>
      <protection locked="0"/>
    </xf>
    <xf numFmtId="0" fontId="4" fillId="11" borderId="0" xfId="0" applyFont="1" applyFill="1" applyProtection="1">
      <protection hidden="1"/>
    </xf>
    <xf numFmtId="0" fontId="0" fillId="11" borderId="0" xfId="0" applyFill="1" applyProtection="1">
      <protection hidden="1"/>
    </xf>
    <xf numFmtId="0" fontId="14" fillId="11" borderId="0" xfId="0" applyFont="1" applyFill="1" applyAlignment="1" applyProtection="1">
      <alignment vertical="center"/>
      <protection hidden="1"/>
    </xf>
    <xf numFmtId="0" fontId="14" fillId="11" borderId="0" xfId="0" applyFont="1" applyFill="1" applyAlignment="1" applyProtection="1">
      <alignment horizontal="center" vertical="center"/>
      <protection hidden="1"/>
    </xf>
    <xf numFmtId="0" fontId="2" fillId="11" borderId="0" xfId="0" applyFont="1" applyFill="1" applyAlignment="1" applyProtection="1">
      <alignment horizontal="left" vertical="center" indent="2"/>
      <protection hidden="1"/>
    </xf>
    <xf numFmtId="0" fontId="4" fillId="11" borderId="0" xfId="0" applyFont="1" applyFill="1" applyAlignment="1" applyProtection="1">
      <alignment horizontal="right" vertical="center" indent="1"/>
      <protection hidden="1"/>
    </xf>
    <xf numFmtId="0" fontId="4" fillId="11" borderId="0" xfId="0" applyFont="1" applyFill="1" applyAlignment="1" applyProtection="1">
      <alignment horizontal="left" vertical="center" indent="2"/>
      <protection hidden="1"/>
    </xf>
    <xf numFmtId="0" fontId="5" fillId="11" borderId="0" xfId="0" applyFont="1" applyFill="1" applyAlignment="1" applyProtection="1">
      <alignment horizontal="centerContinuous" vertical="center" wrapText="1"/>
      <protection hidden="1"/>
    </xf>
    <xf numFmtId="0" fontId="4" fillId="11" borderId="21" xfId="0" applyFont="1" applyFill="1" applyBorder="1" applyAlignment="1" applyProtection="1">
      <alignment horizontal="left" vertical="center" indent="2"/>
      <protection hidden="1"/>
    </xf>
    <xf numFmtId="0" fontId="5" fillId="11" borderId="12" xfId="0" applyFont="1" applyFill="1" applyBorder="1" applyAlignment="1" applyProtection="1">
      <alignment horizontal="centerContinuous" vertical="center" wrapText="1"/>
      <protection hidden="1"/>
    </xf>
    <xf numFmtId="0" fontId="5" fillId="11" borderId="21" xfId="0" applyFont="1" applyFill="1" applyBorder="1" applyAlignment="1" applyProtection="1">
      <alignment horizontal="centerContinuous" vertical="center" wrapText="1"/>
      <protection hidden="1"/>
    </xf>
    <xf numFmtId="0" fontId="4" fillId="11" borderId="0" xfId="0" applyFont="1" applyFill="1" applyAlignment="1" applyProtection="1">
      <alignment horizontal="centerContinuous" vertical="center"/>
      <protection hidden="1"/>
    </xf>
    <xf numFmtId="0" fontId="4" fillId="11" borderId="12" xfId="0" applyFont="1" applyFill="1" applyBorder="1" applyAlignment="1" applyProtection="1">
      <alignment horizontal="left" vertical="center" indent="2"/>
      <protection hidden="1"/>
    </xf>
    <xf numFmtId="0" fontId="4" fillId="11" borderId="27" xfId="0" applyFont="1" applyFill="1" applyBorder="1" applyAlignment="1" applyProtection="1">
      <alignment horizontal="left" vertical="center" indent="2"/>
      <protection hidden="1"/>
    </xf>
    <xf numFmtId="0" fontId="4" fillId="11" borderId="9" xfId="0" applyFont="1" applyFill="1" applyBorder="1" applyAlignment="1" applyProtection="1">
      <alignment horizontal="left" vertical="center" indent="2"/>
      <protection hidden="1"/>
    </xf>
    <xf numFmtId="0" fontId="4" fillId="11" borderId="28" xfId="0" applyFont="1" applyFill="1" applyBorder="1" applyAlignment="1" applyProtection="1">
      <alignment horizontal="left" vertical="center" indent="2"/>
      <protection hidden="1"/>
    </xf>
    <xf numFmtId="0" fontId="4" fillId="11" borderId="0" xfId="0" applyFont="1" applyFill="1" applyAlignment="1" applyProtection="1">
      <alignment vertical="center"/>
      <protection hidden="1"/>
    </xf>
    <xf numFmtId="0" fontId="4" fillId="4" borderId="0" xfId="0" applyFont="1" applyFill="1" applyProtection="1">
      <protection hidden="1"/>
    </xf>
    <xf numFmtId="0" fontId="18" fillId="4" borderId="0" xfId="0" applyFont="1" applyFill="1" applyAlignment="1" applyProtection="1">
      <alignment horizontal="center"/>
      <protection hidden="1"/>
    </xf>
    <xf numFmtId="164" fontId="0" fillId="3" borderId="14" xfId="2" applyNumberFormat="1" applyFont="1" applyFill="1" applyBorder="1" applyAlignment="1" applyProtection="1">
      <alignment horizontal="center" vertical="center"/>
      <protection locked="0"/>
    </xf>
    <xf numFmtId="164" fontId="0" fillId="3" borderId="29" xfId="2" applyNumberFormat="1" applyFont="1" applyFill="1" applyBorder="1" applyAlignment="1" applyProtection="1">
      <alignment horizontal="center" vertical="center"/>
      <protection locked="0"/>
    </xf>
    <xf numFmtId="0" fontId="13" fillId="0" borderId="0" xfId="0" applyFont="1"/>
    <xf numFmtId="0" fontId="14" fillId="0" borderId="0" xfId="0" applyFont="1" applyAlignment="1">
      <alignment vertical="center"/>
    </xf>
    <xf numFmtId="0" fontId="13" fillId="0" borderId="0" xfId="0" applyFont="1" applyAlignment="1" applyProtection="1">
      <alignment vertical="center" wrapText="1"/>
      <protection hidden="1"/>
    </xf>
    <xf numFmtId="0" fontId="13" fillId="11" borderId="0" xfId="0" applyFont="1" applyFill="1"/>
    <xf numFmtId="0" fontId="4" fillId="4" borderId="5" xfId="0" applyFont="1" applyFill="1" applyBorder="1" applyAlignment="1" applyProtection="1">
      <alignment horizontal="left" vertical="center" wrapText="1" indent="1"/>
      <protection hidden="1"/>
    </xf>
    <xf numFmtId="0" fontId="5" fillId="0" borderId="2" xfId="0" applyFont="1" applyBorder="1" applyAlignment="1" applyProtection="1">
      <alignment horizontal="center" vertical="center" wrapText="1"/>
      <protection hidden="1"/>
    </xf>
    <xf numFmtId="0" fontId="0" fillId="11" borderId="0" xfId="0" applyFill="1" applyAlignment="1">
      <alignment vertical="center"/>
    </xf>
    <xf numFmtId="0" fontId="12" fillId="11" borderId="0" xfId="1" applyFont="1" applyFill="1" applyBorder="1" applyAlignment="1" applyProtection="1">
      <alignment vertical="center"/>
      <protection hidden="1"/>
    </xf>
    <xf numFmtId="0" fontId="5" fillId="3" borderId="2" xfId="0" applyFont="1" applyFill="1" applyBorder="1" applyAlignment="1" applyProtection="1">
      <alignment horizontal="center" vertical="center"/>
      <protection locked="0"/>
    </xf>
    <xf numFmtId="0" fontId="9" fillId="11" borderId="0" xfId="0" applyFont="1" applyFill="1" applyAlignment="1" applyProtection="1">
      <alignment vertical="center" wrapText="1"/>
      <protection hidden="1"/>
    </xf>
    <xf numFmtId="0" fontId="11" fillId="11" borderId="0" xfId="0" applyFont="1" applyFill="1" applyAlignment="1" applyProtection="1">
      <alignment horizontal="center" vertical="center"/>
      <protection hidden="1"/>
    </xf>
    <xf numFmtId="0" fontId="0" fillId="11" borderId="0" xfId="0" applyFill="1" applyAlignment="1" applyProtection="1">
      <alignment horizontal="center" vertical="center" wrapText="1"/>
      <protection hidden="1"/>
    </xf>
    <xf numFmtId="0" fontId="1" fillId="11" borderId="0" xfId="1" applyFill="1" applyBorder="1" applyAlignment="1" applyProtection="1">
      <alignment horizontal="center" vertical="center"/>
      <protection hidden="1"/>
    </xf>
    <xf numFmtId="164" fontId="0" fillId="3" borderId="2" xfId="2" applyNumberFormat="1" applyFont="1" applyFill="1" applyBorder="1" applyAlignment="1" applyProtection="1">
      <alignment vertical="center"/>
      <protection locked="0"/>
    </xf>
    <xf numFmtId="0" fontId="5" fillId="4" borderId="2" xfId="0" applyFont="1" applyFill="1" applyBorder="1" applyAlignment="1" applyProtection="1">
      <alignment horizontal="center" vertical="center"/>
      <protection hidden="1"/>
    </xf>
    <xf numFmtId="0" fontId="0" fillId="7" borderId="2" xfId="0" applyFill="1" applyBorder="1" applyAlignment="1" applyProtection="1">
      <alignment horizontal="center" vertical="center" wrapText="1"/>
      <protection hidden="1"/>
    </xf>
    <xf numFmtId="164" fontId="0" fillId="0" borderId="0" xfId="2" applyNumberFormat="1" applyFont="1"/>
    <xf numFmtId="0" fontId="5" fillId="7" borderId="2" xfId="0" applyFont="1" applyFill="1" applyBorder="1" applyAlignment="1" applyProtection="1">
      <alignment horizontal="center" vertical="center" wrapText="1"/>
      <protection hidden="1"/>
    </xf>
    <xf numFmtId="0" fontId="9" fillId="0" borderId="0" xfId="0" applyFont="1"/>
    <xf numFmtId="0" fontId="13" fillId="0" borderId="0" xfId="0" applyFont="1" applyAlignment="1">
      <alignment vertical="center"/>
    </xf>
    <xf numFmtId="0" fontId="2" fillId="11" borderId="0" xfId="0" applyFont="1" applyFill="1" applyAlignment="1" applyProtection="1">
      <alignment vertical="center"/>
      <protection hidden="1"/>
    </xf>
    <xf numFmtId="0" fontId="13" fillId="0" borderId="0" xfId="0" applyFont="1" applyAlignment="1" applyProtection="1">
      <alignment vertical="center"/>
      <protection hidden="1"/>
    </xf>
    <xf numFmtId="0" fontId="15" fillId="11" borderId="0" xfId="0" applyFont="1" applyFill="1" applyAlignment="1" applyProtection="1">
      <alignment horizontal="left"/>
      <protection hidden="1"/>
    </xf>
    <xf numFmtId="0" fontId="10" fillId="4" borderId="30" xfId="0" applyFont="1" applyFill="1" applyBorder="1" applyAlignment="1" applyProtection="1">
      <alignment vertical="center"/>
      <protection hidden="1"/>
    </xf>
    <xf numFmtId="0" fontId="7" fillId="10" borderId="27" xfId="1" applyFont="1" applyFill="1" applyBorder="1" applyAlignment="1" applyProtection="1">
      <alignment horizontal="center"/>
      <protection hidden="1"/>
    </xf>
    <xf numFmtId="0" fontId="2" fillId="10" borderId="9" xfId="1" applyFont="1" applyFill="1" applyBorder="1" applyAlignment="1" applyProtection="1">
      <alignment horizontal="center" vertical="center"/>
      <protection hidden="1"/>
    </xf>
    <xf numFmtId="0" fontId="2" fillId="11" borderId="0" xfId="0" applyFont="1" applyFill="1" applyAlignment="1" applyProtection="1">
      <alignment vertical="center" wrapText="1"/>
      <protection hidden="1"/>
    </xf>
    <xf numFmtId="164" fontId="2" fillId="11" borderId="0" xfId="2" applyNumberFormat="1" applyFont="1" applyFill="1" applyAlignment="1" applyProtection="1">
      <alignment horizontal="left" wrapText="1"/>
      <protection hidden="1"/>
    </xf>
    <xf numFmtId="0" fontId="2" fillId="0" borderId="0" xfId="0" applyFont="1" applyAlignment="1">
      <alignment vertical="center"/>
    </xf>
    <xf numFmtId="49" fontId="0" fillId="0" borderId="0" xfId="0" applyNumberFormat="1"/>
    <xf numFmtId="49" fontId="0" fillId="0" borderId="0" xfId="0" applyNumberFormat="1" applyAlignment="1">
      <alignment horizontal="center"/>
    </xf>
    <xf numFmtId="165" fontId="0" fillId="0" borderId="0" xfId="2" applyNumberFormat="1" applyFont="1"/>
    <xf numFmtId="0" fontId="0" fillId="15" borderId="0" xfId="0" applyFill="1" applyProtection="1">
      <protection hidden="1"/>
    </xf>
    <xf numFmtId="0" fontId="7" fillId="15" borderId="0" xfId="0" applyFont="1" applyFill="1" applyProtection="1">
      <protection hidden="1"/>
    </xf>
    <xf numFmtId="0" fontId="10" fillId="7" borderId="19" xfId="0" applyFont="1" applyFill="1" applyBorder="1" applyAlignment="1" applyProtection="1">
      <alignment horizontal="left" vertical="center" wrapText="1" indent="1"/>
      <protection hidden="1"/>
    </xf>
    <xf numFmtId="0" fontId="10" fillId="7" borderId="15" xfId="0" applyFont="1" applyFill="1" applyBorder="1" applyAlignment="1" applyProtection="1">
      <alignment horizontal="left" vertical="center" wrapText="1" indent="1"/>
      <protection hidden="1"/>
    </xf>
    <xf numFmtId="0" fontId="21" fillId="6" borderId="0" xfId="1" applyFont="1" applyFill="1" applyBorder="1" applyAlignment="1" applyProtection="1">
      <alignment horizontal="center" vertical="center"/>
      <protection hidden="1"/>
    </xf>
    <xf numFmtId="0" fontId="21" fillId="11" borderId="0" xfId="1" applyFont="1" applyFill="1" applyBorder="1" applyAlignment="1" applyProtection="1">
      <alignment vertical="center"/>
      <protection hidden="1"/>
    </xf>
    <xf numFmtId="0" fontId="3" fillId="11" borderId="0" xfId="1" applyFont="1" applyFill="1" applyBorder="1" applyAlignment="1" applyProtection="1">
      <alignment vertical="center"/>
      <protection hidden="1"/>
    </xf>
    <xf numFmtId="0" fontId="1" fillId="2" borderId="17" xfId="1" applyBorder="1" applyAlignment="1" applyProtection="1">
      <alignment vertical="center"/>
      <protection hidden="1"/>
    </xf>
    <xf numFmtId="0" fontId="2" fillId="11" borderId="0" xfId="0" applyFont="1" applyFill="1" applyProtection="1">
      <protection hidden="1"/>
    </xf>
    <xf numFmtId="0" fontId="2" fillId="10" borderId="0" xfId="1" applyFont="1" applyFill="1" applyBorder="1" applyAlignment="1" applyProtection="1">
      <alignment horizontal="center" vertical="center"/>
      <protection hidden="1"/>
    </xf>
    <xf numFmtId="0" fontId="10" fillId="7" borderId="0" xfId="0" applyFont="1" applyFill="1" applyAlignment="1" applyProtection="1">
      <alignment vertical="center"/>
      <protection hidden="1"/>
    </xf>
    <xf numFmtId="0" fontId="6" fillId="7" borderId="0" xfId="0" applyFont="1" applyFill="1" applyAlignment="1" applyProtection="1">
      <alignment horizontal="center" vertical="center" wrapText="1"/>
      <protection hidden="1"/>
    </xf>
    <xf numFmtId="0" fontId="10" fillId="7" borderId="0" xfId="0" applyFont="1" applyFill="1" applyAlignment="1" applyProtection="1">
      <alignment horizontal="center" vertical="center"/>
      <protection hidden="1"/>
    </xf>
    <xf numFmtId="0" fontId="10" fillId="7" borderId="0" xfId="0" applyFont="1" applyFill="1" applyAlignment="1" applyProtection="1">
      <alignment horizontal="left" vertical="center"/>
      <protection hidden="1"/>
    </xf>
    <xf numFmtId="164" fontId="0" fillId="3" borderId="0" xfId="2" applyNumberFormat="1" applyFont="1" applyFill="1" applyAlignment="1" applyProtection="1">
      <alignment horizontal="left" vertical="center" wrapText="1"/>
      <protection hidden="1"/>
    </xf>
    <xf numFmtId="0" fontId="0" fillId="11" borderId="0" xfId="0" applyFill="1" applyAlignment="1" applyProtection="1">
      <alignment vertical="center"/>
      <protection hidden="1"/>
    </xf>
    <xf numFmtId="0" fontId="0" fillId="11" borderId="0" xfId="0" applyFill="1" applyAlignment="1" applyProtection="1">
      <alignment vertical="center" wrapText="1"/>
      <protection hidden="1"/>
    </xf>
    <xf numFmtId="0" fontId="5" fillId="4" borderId="0" xfId="0" applyFont="1" applyFill="1" applyAlignment="1" applyProtection="1">
      <alignment horizontal="center" vertical="center"/>
      <protection hidden="1"/>
    </xf>
    <xf numFmtId="0" fontId="10" fillId="7" borderId="21" xfId="0" applyFont="1" applyFill="1" applyBorder="1" applyAlignment="1" applyProtection="1">
      <alignment horizontal="center" vertical="center" wrapText="1"/>
      <protection hidden="1"/>
    </xf>
    <xf numFmtId="164" fontId="0" fillId="11" borderId="0" xfId="2" applyNumberFormat="1" applyFont="1" applyFill="1" applyAlignment="1" applyProtection="1">
      <alignment horizontal="center" vertical="center"/>
      <protection hidden="1"/>
    </xf>
    <xf numFmtId="0" fontId="0" fillId="11" borderId="0" xfId="0" applyFill="1" applyAlignment="1" applyProtection="1">
      <alignment horizontal="left" indent="1"/>
      <protection hidden="1"/>
    </xf>
    <xf numFmtId="0" fontId="0" fillId="11" borderId="0" xfId="0" applyFill="1" applyAlignment="1" applyProtection="1">
      <alignment horizontal="center" vertical="center"/>
      <protection hidden="1"/>
    </xf>
    <xf numFmtId="0" fontId="0" fillId="0" borderId="0" xfId="0" applyProtection="1">
      <protection hidden="1"/>
    </xf>
    <xf numFmtId="0" fontId="5" fillId="4" borderId="0" xfId="0" applyFont="1" applyFill="1" applyAlignment="1" applyProtection="1">
      <alignment horizontal="right" vertical="center" wrapText="1"/>
      <protection hidden="1"/>
    </xf>
    <xf numFmtId="0" fontId="4" fillId="11" borderId="0" xfId="0" applyFont="1" applyFill="1" applyAlignment="1" applyProtection="1">
      <alignment vertical="top"/>
      <protection hidden="1"/>
    </xf>
    <xf numFmtId="0" fontId="18" fillId="11" borderId="0" xfId="0" applyFont="1" applyFill="1" applyAlignment="1" applyProtection="1">
      <alignment horizontal="center"/>
      <protection hidden="1"/>
    </xf>
    <xf numFmtId="0" fontId="19" fillId="11" borderId="0" xfId="0" applyFont="1" applyFill="1" applyProtection="1">
      <protection hidden="1"/>
    </xf>
    <xf numFmtId="0" fontId="0" fillId="5" borderId="0" xfId="0" applyFill="1" applyProtection="1">
      <protection hidden="1"/>
    </xf>
    <xf numFmtId="164" fontId="4" fillId="3" borderId="2" xfId="2" applyNumberFormat="1" applyFont="1" applyFill="1" applyBorder="1" applyAlignment="1" applyProtection="1">
      <alignment vertical="center"/>
      <protection locked="0"/>
    </xf>
    <xf numFmtId="0" fontId="4" fillId="11" borderId="0" xfId="0" applyFont="1" applyFill="1" applyAlignment="1" applyProtection="1">
      <alignment horizontal="right" vertical="center" wrapText="1" indent="1"/>
      <protection hidden="1"/>
    </xf>
    <xf numFmtId="0" fontId="10" fillId="7" borderId="0" xfId="0" applyFont="1" applyFill="1" applyAlignment="1" applyProtection="1">
      <alignment horizontal="left" vertical="center" wrapText="1" indent="1"/>
      <protection hidden="1"/>
    </xf>
    <xf numFmtId="0" fontId="10" fillId="7" borderId="35" xfId="0" applyFont="1" applyFill="1" applyBorder="1" applyAlignment="1" applyProtection="1">
      <alignment horizontal="center" vertical="center" wrapText="1"/>
      <protection hidden="1"/>
    </xf>
    <xf numFmtId="0" fontId="10" fillId="7" borderId="36" xfId="0" applyFont="1" applyFill="1" applyBorder="1" applyAlignment="1" applyProtection="1">
      <alignment horizontal="center" vertical="center" wrapText="1"/>
      <protection hidden="1"/>
    </xf>
    <xf numFmtId="0" fontId="10" fillId="7" borderId="37" xfId="0" applyFont="1" applyFill="1" applyBorder="1" applyAlignment="1" applyProtection="1">
      <alignment horizontal="center" vertical="center" wrapText="1"/>
      <protection hidden="1"/>
    </xf>
    <xf numFmtId="0" fontId="10" fillId="7" borderId="30" xfId="0" applyFont="1" applyFill="1" applyBorder="1" applyAlignment="1" applyProtection="1">
      <alignment horizontal="left" vertical="center" wrapText="1" indent="1"/>
      <protection hidden="1"/>
    </xf>
    <xf numFmtId="164" fontId="0" fillId="3" borderId="5" xfId="2" applyNumberFormat="1" applyFont="1" applyFill="1" applyBorder="1" applyAlignment="1" applyProtection="1">
      <alignment horizontal="center" vertical="center"/>
      <protection locked="0"/>
    </xf>
    <xf numFmtId="164" fontId="0" fillId="3" borderId="38" xfId="2" applyNumberFormat="1" applyFont="1" applyFill="1" applyBorder="1" applyAlignment="1" applyProtection="1">
      <alignment horizontal="center" vertical="center"/>
      <protection locked="0"/>
    </xf>
    <xf numFmtId="164" fontId="6" fillId="3" borderId="35" xfId="2" applyNumberFormat="1" applyFont="1" applyFill="1" applyBorder="1" applyAlignment="1" applyProtection="1">
      <alignment horizontal="center" vertical="center" wrapText="1"/>
      <protection locked="0"/>
    </xf>
    <xf numFmtId="164" fontId="6" fillId="3" borderId="36" xfId="2" applyNumberFormat="1" applyFont="1" applyFill="1" applyBorder="1" applyAlignment="1" applyProtection="1">
      <alignment horizontal="center" vertical="center" wrapText="1"/>
      <protection locked="0"/>
    </xf>
    <xf numFmtId="164" fontId="6" fillId="3" borderId="37" xfId="2" applyNumberFormat="1" applyFont="1" applyFill="1" applyBorder="1" applyAlignment="1" applyProtection="1">
      <alignment horizontal="center" vertical="center" wrapText="1"/>
      <protection locked="0"/>
    </xf>
    <xf numFmtId="164" fontId="0" fillId="3" borderId="35" xfId="2" applyNumberFormat="1" applyFont="1" applyFill="1" applyBorder="1" applyAlignment="1" applyProtection="1">
      <alignment horizontal="center" vertical="center"/>
      <protection locked="0"/>
    </xf>
    <xf numFmtId="164" fontId="0" fillId="3" borderId="36" xfId="2" applyNumberFormat="1" applyFont="1" applyFill="1" applyBorder="1" applyAlignment="1" applyProtection="1">
      <alignment horizontal="center" vertical="center"/>
      <protection locked="0"/>
    </xf>
    <xf numFmtId="164" fontId="0" fillId="3" borderId="37" xfId="2" applyNumberFormat="1" applyFont="1" applyFill="1" applyBorder="1" applyAlignment="1" applyProtection="1">
      <alignment horizontal="center" vertical="center"/>
      <protection locked="0"/>
    </xf>
    <xf numFmtId="0" fontId="21" fillId="11" borderId="0" xfId="1" applyFont="1" applyFill="1" applyBorder="1" applyAlignment="1" applyProtection="1">
      <alignment horizontal="center" vertical="center"/>
      <protection hidden="1"/>
    </xf>
    <xf numFmtId="0" fontId="1" fillId="11" borderId="0" xfId="1" applyFill="1" applyBorder="1" applyAlignment="1" applyProtection="1">
      <alignment vertical="center"/>
      <protection hidden="1"/>
    </xf>
    <xf numFmtId="0" fontId="2" fillId="11" borderId="0" xfId="1" applyFont="1" applyFill="1" applyBorder="1" applyAlignment="1" applyProtection="1">
      <alignment horizontal="center" vertical="center"/>
      <protection hidden="1"/>
    </xf>
    <xf numFmtId="0" fontId="10" fillId="11" borderId="0" xfId="0" applyFont="1" applyFill="1" applyAlignment="1" applyProtection="1">
      <alignment vertical="center"/>
      <protection hidden="1"/>
    </xf>
    <xf numFmtId="0" fontId="10" fillId="11" borderId="0" xfId="0" applyFont="1" applyFill="1" applyAlignment="1" applyProtection="1">
      <alignment horizontal="center" vertical="center"/>
      <protection hidden="1"/>
    </xf>
    <xf numFmtId="0" fontId="10" fillId="11" borderId="0" xfId="0" applyFont="1" applyFill="1" applyAlignment="1" applyProtection="1">
      <alignment horizontal="left" vertical="center" wrapText="1" indent="1"/>
      <protection hidden="1"/>
    </xf>
    <xf numFmtId="0" fontId="10" fillId="11" borderId="0" xfId="0" applyFont="1" applyFill="1" applyAlignment="1" applyProtection="1">
      <alignment horizontal="left" vertical="center"/>
      <protection hidden="1"/>
    </xf>
    <xf numFmtId="164" fontId="0" fillId="11" borderId="0" xfId="2" applyNumberFormat="1" applyFont="1" applyFill="1" applyAlignment="1" applyProtection="1">
      <alignment horizontal="left" vertical="center" wrapText="1"/>
      <protection hidden="1"/>
    </xf>
    <xf numFmtId="0" fontId="0" fillId="0" borderId="0" xfId="0" applyAlignment="1">
      <alignment wrapText="1"/>
    </xf>
    <xf numFmtId="0" fontId="26" fillId="0" borderId="0" xfId="0" applyFont="1" applyAlignment="1">
      <alignment vertical="center"/>
    </xf>
    <xf numFmtId="0" fontId="16" fillId="14" borderId="22" xfId="0" applyFont="1" applyFill="1" applyBorder="1" applyAlignment="1" applyProtection="1">
      <alignment horizontal="center" vertical="center"/>
      <protection hidden="1"/>
    </xf>
    <xf numFmtId="0" fontId="0" fillId="0" borderId="22" xfId="0" applyBorder="1" applyProtection="1">
      <protection hidden="1"/>
    </xf>
    <xf numFmtId="0" fontId="5" fillId="3" borderId="2" xfId="0" applyFont="1" applyFill="1" applyBorder="1" applyAlignment="1" applyProtection="1">
      <alignment horizontal="left" vertical="center" wrapText="1" indent="1"/>
      <protection locked="0"/>
    </xf>
    <xf numFmtId="0" fontId="0" fillId="0" borderId="16" xfId="0" applyBorder="1" applyProtection="1">
      <protection locked="0"/>
    </xf>
    <xf numFmtId="0" fontId="0" fillId="0" borderId="26" xfId="0" applyBorder="1" applyProtection="1">
      <protection locked="0"/>
    </xf>
    <xf numFmtId="0" fontId="0" fillId="0" borderId="27" xfId="0" applyBorder="1" applyProtection="1">
      <protection locked="0"/>
    </xf>
    <xf numFmtId="0" fontId="0" fillId="0" borderId="9" xfId="0" applyBorder="1" applyProtection="1">
      <protection locked="0"/>
    </xf>
    <xf numFmtId="0" fontId="0" fillId="0" borderId="28" xfId="0" applyBorder="1" applyProtection="1">
      <protection locked="0"/>
    </xf>
    <xf numFmtId="164" fontId="18" fillId="4" borderId="0" xfId="2" applyNumberFormat="1" applyFont="1" applyFill="1" applyAlignment="1" applyProtection="1">
      <alignment horizontal="center"/>
      <protection hidden="1"/>
    </xf>
    <xf numFmtId="0" fontId="0" fillId="0" borderId="0" xfId="0" applyProtection="1">
      <protection hidden="1"/>
    </xf>
    <xf numFmtId="0" fontId="5" fillId="3" borderId="2" xfId="0" applyFont="1" applyFill="1" applyBorder="1" applyAlignment="1" applyProtection="1">
      <alignment horizontal="center" vertical="center" wrapText="1"/>
      <protection locked="0"/>
    </xf>
    <xf numFmtId="0" fontId="0" fillId="0" borderId="4" xfId="0" applyBorder="1" applyProtection="1">
      <protection locked="0"/>
    </xf>
    <xf numFmtId="0" fontId="0" fillId="0" borderId="13" xfId="0" applyBorder="1" applyProtection="1">
      <protection locked="0"/>
    </xf>
    <xf numFmtId="0" fontId="18" fillId="4" borderId="0" xfId="0" applyFont="1" applyFill="1" applyAlignment="1" applyProtection="1">
      <alignment horizontal="center"/>
      <protection hidden="1"/>
    </xf>
    <xf numFmtId="0" fontId="5" fillId="11" borderId="39" xfId="0" applyFont="1" applyFill="1" applyBorder="1" applyAlignment="1" applyProtection="1">
      <alignment horizontal="center" vertical="center"/>
      <protection hidden="1"/>
    </xf>
    <xf numFmtId="0" fontId="0" fillId="0" borderId="16" xfId="0" applyBorder="1" applyProtection="1">
      <protection hidden="1"/>
    </xf>
    <xf numFmtId="0" fontId="0" fillId="0" borderId="26" xfId="0" applyBorder="1" applyProtection="1">
      <protection hidden="1"/>
    </xf>
    <xf numFmtId="0" fontId="12" fillId="3" borderId="2" xfId="0" applyFont="1" applyFill="1" applyBorder="1" applyAlignment="1" applyProtection="1">
      <alignment horizontal="left" vertical="center" wrapText="1" indent="1"/>
      <protection locked="0"/>
    </xf>
    <xf numFmtId="0" fontId="19" fillId="13" borderId="25" xfId="0" applyFont="1" applyFill="1" applyBorder="1" applyAlignment="1" applyProtection="1">
      <alignment horizontal="left" vertical="center" wrapText="1" indent="1"/>
      <protection hidden="1"/>
    </xf>
    <xf numFmtId="0" fontId="0" fillId="0" borderId="25" xfId="0" applyBorder="1" applyProtection="1">
      <protection hidden="1"/>
    </xf>
    <xf numFmtId="0" fontId="17" fillId="13" borderId="25" xfId="0" applyFont="1" applyFill="1" applyBorder="1" applyAlignment="1" applyProtection="1">
      <alignment horizontal="left" vertical="center" wrapText="1" indent="1"/>
      <protection hidden="1"/>
    </xf>
    <xf numFmtId="0" fontId="22" fillId="13" borderId="25" xfId="0" applyFont="1" applyFill="1" applyBorder="1" applyAlignment="1" applyProtection="1">
      <alignment horizontal="left" vertical="center" wrapText="1" indent="1"/>
      <protection hidden="1"/>
    </xf>
    <xf numFmtId="164" fontId="4" fillId="3" borderId="2" xfId="2" applyNumberFormat="1" applyFont="1" applyFill="1" applyBorder="1" applyAlignment="1" applyProtection="1">
      <alignment horizontal="center" vertical="center"/>
      <protection locked="0"/>
    </xf>
    <xf numFmtId="0" fontId="17" fillId="13" borderId="25" xfId="0" applyFont="1" applyFill="1" applyBorder="1" applyAlignment="1" applyProtection="1">
      <alignment horizontal="center" vertical="center" wrapText="1"/>
      <protection hidden="1"/>
    </xf>
    <xf numFmtId="164" fontId="18" fillId="11" borderId="0" xfId="2" applyNumberFormat="1" applyFont="1" applyFill="1" applyAlignment="1" applyProtection="1">
      <alignment horizontal="center" vertical="center"/>
      <protection hidden="1"/>
    </xf>
    <xf numFmtId="164" fontId="1" fillId="13" borderId="25" xfId="1" applyNumberFormat="1" applyFill="1" applyBorder="1" applyAlignment="1" applyProtection="1">
      <alignment horizontal="center" vertical="center"/>
      <protection hidden="1"/>
    </xf>
    <xf numFmtId="0" fontId="4" fillId="11" borderId="40" xfId="0" applyFont="1" applyFill="1" applyBorder="1" applyAlignment="1" applyProtection="1">
      <alignment horizontal="right" vertical="center" indent="1"/>
      <protection hidden="1"/>
    </xf>
    <xf numFmtId="0" fontId="0" fillId="0" borderId="12" xfId="0" applyBorder="1" applyProtection="1">
      <protection hidden="1"/>
    </xf>
    <xf numFmtId="0" fontId="0" fillId="0" borderId="21" xfId="0" applyBorder="1" applyProtection="1">
      <protection hidden="1"/>
    </xf>
    <xf numFmtId="164" fontId="8" fillId="12" borderId="24" xfId="2" applyNumberFormat="1" applyFill="1" applyBorder="1" applyAlignment="1" applyProtection="1">
      <alignment horizontal="center" vertical="center"/>
      <protection hidden="1"/>
    </xf>
    <xf numFmtId="0" fontId="4" fillId="11" borderId="0" xfId="0" applyFont="1" applyFill="1" applyAlignment="1" applyProtection="1">
      <alignment horizontal="right" vertical="center" indent="1"/>
      <protection hidden="1"/>
    </xf>
    <xf numFmtId="0" fontId="24" fillId="16" borderId="0" xfId="3" applyFont="1" applyAlignment="1" applyProtection="1">
      <alignment horizontal="right" vertical="center" wrapText="1" indent="1"/>
      <protection hidden="1"/>
    </xf>
    <xf numFmtId="164" fontId="8" fillId="3" borderId="23" xfId="2" applyNumberFormat="1" applyFill="1" applyBorder="1" applyAlignment="1" applyProtection="1">
      <alignment horizontal="center" vertical="center"/>
      <protection hidden="1"/>
    </xf>
    <xf numFmtId="0" fontId="25" fillId="16" borderId="0" xfId="3" applyFont="1" applyAlignment="1" applyProtection="1">
      <alignment horizontal="left" vertical="center"/>
      <protection hidden="1"/>
    </xf>
    <xf numFmtId="0" fontId="21" fillId="6" borderId="0" xfId="1" applyFont="1" applyFill="1" applyBorder="1" applyAlignment="1" applyProtection="1">
      <alignment horizontal="left" vertical="center" indent="1"/>
      <protection hidden="1"/>
    </xf>
    <xf numFmtId="0" fontId="10" fillId="7" borderId="2" xfId="0" applyFont="1" applyFill="1" applyBorder="1" applyAlignment="1" applyProtection="1">
      <alignment horizontal="center" vertical="center" wrapText="1"/>
      <protection hidden="1"/>
    </xf>
    <xf numFmtId="0" fontId="0" fillId="0" borderId="4" xfId="0" applyBorder="1" applyProtection="1">
      <protection hidden="1"/>
    </xf>
    <xf numFmtId="0" fontId="0" fillId="0" borderId="13" xfId="0" applyBorder="1" applyProtection="1">
      <protection hidden="1"/>
    </xf>
    <xf numFmtId="0" fontId="20" fillId="11" borderId="0" xfId="1" applyFont="1" applyFill="1" applyBorder="1" applyAlignment="1" applyProtection="1">
      <alignment horizontal="center" vertical="center"/>
      <protection hidden="1"/>
    </xf>
    <xf numFmtId="0" fontId="12" fillId="11" borderId="9" xfId="1" applyFont="1" applyFill="1" applyBorder="1" applyAlignment="1" applyProtection="1">
      <alignment horizontal="center" vertical="center"/>
      <protection hidden="1"/>
    </xf>
    <xf numFmtId="0" fontId="0" fillId="0" borderId="9" xfId="0" applyBorder="1" applyProtection="1">
      <protection hidden="1"/>
    </xf>
    <xf numFmtId="0" fontId="4" fillId="3" borderId="20" xfId="0" applyFont="1" applyFill="1" applyBorder="1" applyAlignment="1" applyProtection="1">
      <alignment horizontal="left" vertical="center" indent="1"/>
      <protection locked="0"/>
    </xf>
    <xf numFmtId="0" fontId="0" fillId="0" borderId="41" xfId="0" applyBorder="1" applyProtection="1">
      <protection locked="0"/>
    </xf>
    <xf numFmtId="0" fontId="4" fillId="3" borderId="3" xfId="0" applyFont="1" applyFill="1" applyBorder="1" applyAlignment="1" applyProtection="1">
      <alignment horizontal="left" vertical="center" wrapText="1" indent="1"/>
      <protection locked="0"/>
    </xf>
    <xf numFmtId="0" fontId="0" fillId="0" borderId="14" xfId="0" applyBorder="1" applyProtection="1">
      <protection locked="0"/>
    </xf>
    <xf numFmtId="0" fontId="4" fillId="3" borderId="3" xfId="0" applyFont="1" applyFill="1" applyBorder="1" applyAlignment="1" applyProtection="1">
      <alignment horizontal="left" vertical="center" indent="1"/>
      <protection locked="0"/>
    </xf>
    <xf numFmtId="0" fontId="4" fillId="9" borderId="3" xfId="0" applyFont="1" applyFill="1" applyBorder="1" applyAlignment="1" applyProtection="1">
      <alignment horizontal="left" vertical="center" indent="1"/>
      <protection locked="0"/>
    </xf>
    <xf numFmtId="0" fontId="5" fillId="0" borderId="2" xfId="0" applyFont="1" applyBorder="1" applyAlignment="1" applyProtection="1">
      <alignment horizontal="center" vertical="center" wrapText="1"/>
      <protection hidden="1"/>
    </xf>
    <xf numFmtId="0" fontId="20" fillId="11" borderId="28" xfId="1" applyFont="1" applyFill="1" applyBorder="1" applyAlignment="1" applyProtection="1">
      <alignment horizontal="center" vertical="center"/>
      <protection hidden="1"/>
    </xf>
    <xf numFmtId="0" fontId="0" fillId="0" borderId="28" xfId="0" applyBorder="1" applyProtection="1">
      <protection hidden="1"/>
    </xf>
    <xf numFmtId="0" fontId="4" fillId="9" borderId="3" xfId="0" applyFont="1" applyFill="1" applyBorder="1" applyAlignment="1" applyProtection="1">
      <alignment horizontal="left" vertical="center" wrapText="1" indent="1"/>
      <protection locked="0"/>
    </xf>
    <xf numFmtId="0" fontId="5" fillId="0" borderId="9" xfId="0" applyFont="1" applyBorder="1" applyAlignment="1" applyProtection="1">
      <alignment horizontal="center" vertical="center" wrapText="1"/>
      <protection hidden="1"/>
    </xf>
    <xf numFmtId="0" fontId="10" fillId="7" borderId="34" xfId="0" applyFont="1" applyFill="1" applyBorder="1" applyAlignment="1" applyProtection="1">
      <alignment horizontal="center" vertical="center"/>
      <protection hidden="1"/>
    </xf>
    <xf numFmtId="0" fontId="0" fillId="0" borderId="43" xfId="0" applyBorder="1" applyProtection="1">
      <protection hidden="1"/>
    </xf>
    <xf numFmtId="0" fontId="1" fillId="2" borderId="44" xfId="1" applyBorder="1" applyAlignment="1" applyProtection="1">
      <alignment horizontal="center" vertical="center"/>
      <protection hidden="1"/>
    </xf>
    <xf numFmtId="0" fontId="0" fillId="0" borderId="17" xfId="0" applyBorder="1" applyProtection="1">
      <protection hidden="1"/>
    </xf>
    <xf numFmtId="0" fontId="0" fillId="0" borderId="18" xfId="0" applyBorder="1" applyProtection="1">
      <protection hidden="1"/>
    </xf>
    <xf numFmtId="0" fontId="10" fillId="7" borderId="42" xfId="0" applyFont="1" applyFill="1" applyBorder="1" applyAlignment="1" applyProtection="1">
      <alignment horizontal="center" vertical="center"/>
      <protection hidden="1"/>
    </xf>
    <xf numFmtId="0" fontId="0" fillId="0" borderId="31" xfId="0" applyBorder="1" applyProtection="1">
      <protection hidden="1"/>
    </xf>
    <xf numFmtId="0" fontId="0" fillId="0" borderId="32" xfId="0" applyBorder="1" applyProtection="1">
      <protection hidden="1"/>
    </xf>
    <xf numFmtId="0" fontId="20" fillId="11" borderId="9" xfId="1" applyFont="1" applyFill="1" applyBorder="1" applyAlignment="1" applyProtection="1">
      <alignment horizontal="center" vertical="center"/>
      <protection hidden="1"/>
    </xf>
    <xf numFmtId="0" fontId="1" fillId="2" borderId="45" xfId="1" applyBorder="1" applyAlignment="1" applyProtection="1">
      <alignment horizontal="center" vertical="center"/>
      <protection hidden="1"/>
    </xf>
    <xf numFmtId="0" fontId="0" fillId="0" borderId="33" xfId="0" applyBorder="1" applyProtection="1">
      <protection hidden="1"/>
    </xf>
    <xf numFmtId="0" fontId="2" fillId="10" borderId="28" xfId="1" applyFont="1" applyFill="1" applyBorder="1" applyAlignment="1" applyProtection="1">
      <alignment horizontal="center" vertical="center"/>
      <protection hidden="1"/>
    </xf>
    <xf numFmtId="0" fontId="2" fillId="10" borderId="9" xfId="1" applyFont="1" applyFill="1" applyBorder="1" applyAlignment="1" applyProtection="1">
      <alignment horizontal="center" vertical="center"/>
      <protection hidden="1"/>
    </xf>
    <xf numFmtId="0" fontId="0" fillId="3" borderId="0" xfId="0" applyFill="1" applyAlignment="1" applyProtection="1">
      <alignment horizontal="left" vertical="center" indent="1"/>
      <protection locked="0"/>
    </xf>
    <xf numFmtId="0" fontId="0" fillId="0" borderId="0" xfId="0" applyProtection="1">
      <protection locked="0"/>
    </xf>
  </cellXfs>
  <cellStyles count="4">
    <cellStyle name="Bad" xfId="3" builtinId="27"/>
    <cellStyle name="Comma" xfId="2" builtinId="3"/>
    <cellStyle name="Input" xfId="1" builtinId="20"/>
    <cellStyle name="Normal" xfId="0" builtinId="0"/>
  </cellStyles>
  <dxfs count="79">
    <dxf>
      <font>
        <color rgb="FFFF0000"/>
      </font>
      <fill>
        <patternFill>
          <bgColor theme="0" tint="-0.34998626667073579"/>
        </patternFill>
      </fill>
    </dxf>
    <dxf>
      <font>
        <color rgb="FF9C0006"/>
      </font>
      <fill>
        <patternFill>
          <bgColor rgb="FFFFC7CE"/>
        </patternFill>
      </fill>
    </dxf>
    <dxf>
      <font>
        <color rgb="FFFF0000"/>
      </font>
      <fill>
        <patternFill>
          <bgColor theme="0" tint="-0.34998626667073579"/>
        </patternFill>
      </fill>
    </dxf>
    <dxf>
      <font>
        <color rgb="FFFF0000"/>
      </font>
      <fill>
        <patternFill>
          <bgColor theme="0" tint="-0.34998626667073579"/>
        </patternFill>
      </fill>
    </dxf>
    <dxf>
      <font>
        <color rgb="FFFF0000"/>
      </font>
      <fill>
        <patternFill>
          <bgColor theme="0" tint="-0.34998626667073579"/>
        </patternFill>
      </fill>
    </dxf>
    <dxf>
      <font>
        <color rgb="FFFF0000"/>
      </font>
      <fill>
        <patternFill>
          <bgColor theme="0" tint="-0.34998626667073579"/>
        </patternFill>
      </fill>
    </dxf>
    <dxf>
      <font>
        <color rgb="FFFF0000"/>
      </font>
      <fill>
        <patternFill>
          <bgColor theme="0" tint="-0.34998626667073579"/>
        </patternFill>
      </fill>
    </dxf>
    <dxf>
      <font>
        <color theme="0" tint="-0.34998626667073579"/>
      </font>
      <fill>
        <patternFill>
          <bgColor theme="0" tint="-0.34998626667073579"/>
        </patternFill>
      </fill>
    </dxf>
    <dxf>
      <font>
        <color rgb="FF9C0006"/>
      </font>
      <fill>
        <patternFill>
          <bgColor rgb="FFFFC7CE"/>
        </patternFill>
      </fill>
    </dxf>
    <dxf>
      <font>
        <color rgb="FFFF0000"/>
      </font>
      <fill>
        <patternFill>
          <bgColor theme="0" tint="-0.34998626667073579"/>
        </patternFill>
      </fill>
    </dxf>
    <dxf>
      <font>
        <color rgb="FF9C0006"/>
      </font>
      <fill>
        <patternFill>
          <bgColor rgb="FFFFC7CE"/>
        </patternFill>
      </fill>
    </dxf>
    <dxf>
      <font>
        <i/>
        <color theme="0" tint="-0.499984740745262"/>
      </font>
    </dxf>
    <dxf>
      <font>
        <color rgb="FF9C0006"/>
      </font>
      <fill>
        <patternFill>
          <bgColor rgb="FFFFC7CE"/>
        </patternFill>
      </fill>
    </dxf>
    <dxf>
      <font>
        <color rgb="FFFF0000"/>
      </font>
      <fill>
        <patternFill>
          <bgColor theme="0" tint="-0.34998626667073579"/>
        </patternFill>
      </fill>
    </dxf>
    <dxf>
      <font>
        <color rgb="FFFF0000"/>
      </font>
      <fill>
        <patternFill>
          <bgColor theme="0" tint="-0.34998626667073579"/>
        </patternFill>
      </fill>
    </dxf>
    <dxf>
      <font>
        <color rgb="FFFF0000"/>
      </font>
      <fill>
        <patternFill>
          <bgColor theme="0" tint="-0.3499862666707357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i/>
        <color rgb="FF9C0006"/>
      </font>
      <fill>
        <patternFill>
          <bgColor rgb="FFFFC7CE"/>
        </patternFill>
      </fill>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left" vertical="bottom" wrapText="1"/>
      <protection locked="1" hidden="1"/>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medium">
          <color theme="4" tint="-0.24994659260841701"/>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medium">
          <color theme="4" tint="-0.24994659260841701"/>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medium">
          <color theme="4" tint="-0.24994659260841701"/>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medium">
          <color theme="4" tint="-0.24994659260841701"/>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medium">
          <color theme="4" tint="-0.24994659260841701"/>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medium">
          <color theme="4" tint="-0.24994659260841701"/>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right style="thin">
          <color theme="1" tint="0.499984740745262"/>
        </right>
        <top style="thin">
          <color theme="1" tint="0.499984740745262"/>
        </top>
        <bottom style="thin">
          <color theme="1" tint="0.499984740745262"/>
        </bottom>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medium">
          <color theme="4" tint="-0.24994659260841701"/>
        </left>
        <right style="thin">
          <color theme="1" tint="0.499984740745262"/>
        </right>
        <top style="thin">
          <color theme="1" tint="0.499984740745262"/>
        </top>
        <bottom style="thin">
          <color theme="1" tint="0.499984740745262"/>
        </bottom>
      </border>
      <protection locked="0" hidden="0"/>
    </dxf>
    <dxf>
      <protection locked="1" hidden="1"/>
    </dxf>
    <dxf>
      <font>
        <strike val="0"/>
        <condense val="0"/>
        <extend val="0"/>
        <outline val="0"/>
        <shadow val="0"/>
        <vertAlign val="baseline"/>
        <sz val="10"/>
        <color auto="1"/>
        <name val="Calibri"/>
        <family val="2"/>
        <scheme val="minor"/>
      </font>
      <fill>
        <patternFill patternType="solid">
          <fgColor indexed="64"/>
          <bgColor theme="6" tint="0.79998168889431442"/>
        </patternFill>
      </fill>
      <alignment horizontal="center" vertical="center" wrapText="1"/>
      <protection locked="1" hidden="1"/>
    </dxf>
    <dxf>
      <font>
        <strike val="0"/>
        <outline val="0"/>
        <shadow val="0"/>
        <u val="none"/>
        <vertAlign val="baseline"/>
        <sz val="11"/>
        <color theme="0"/>
        <name val="Calibri"/>
        <family val="2"/>
        <scheme val="minor"/>
      </font>
      <numFmt numFmtId="0" formatCode="General"/>
      <fill>
        <patternFill patternType="solid">
          <fgColor indexed="64"/>
          <bgColor theme="0"/>
        </patternFill>
      </fill>
      <alignment horizontal="general" vertical="center"/>
      <border outline="0">
        <right style="thin">
          <color theme="1" tint="0.499984740745262"/>
        </right>
      </border>
      <protection locked="1" hidden="1"/>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outline="0">
        <left style="thin">
          <color theme="1" tint="0.499984740745262"/>
        </left>
        <right/>
        <top style="thin">
          <color theme="1" tint="0.499984740745262"/>
        </top>
        <bottom style="thin">
          <color theme="1" tint="0.499984740745262"/>
        </bottom>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vertical/>
        <horizontal/>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vertical/>
        <horizontal/>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vertical/>
        <horizontal/>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vertical/>
        <horizontal/>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vertical/>
        <horizontal/>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protection locked="1" hidden="1"/>
    </dxf>
    <dxf>
      <font>
        <b/>
        <strike val="0"/>
        <condense val="0"/>
        <extend val="0"/>
        <outline val="0"/>
        <shadow val="0"/>
        <vertAlign val="baseline"/>
        <sz val="11"/>
        <color auto="1"/>
        <name val="Calibri"/>
        <family val="2"/>
        <scheme val="minor"/>
      </font>
      <alignment horizontal="center" vertical="center" wrapText="1"/>
      <protection locked="1" hidden="1"/>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4" formatCode="_ * #,##0_ ;_ * \-#,##0_ ;_ * &quot;-&quot;??_ ;_ @_ "/>
      <fill>
        <patternFill patternType="solid">
          <fgColor indexed="64"/>
          <bgColor theme="7" tint="0.79998168889431442"/>
        </patternFill>
      </fill>
      <alignment horizontal="center" vertical="center"/>
      <border>
        <left style="thin">
          <color indexed="64"/>
        </left>
        <right style="thin">
          <color indexed="64"/>
        </right>
        <top style="thin">
          <color indexed="64"/>
        </top>
        <bottom style="thin">
          <color indexed="64"/>
        </bottom>
        <vertical/>
        <horizontal/>
      </border>
      <protection locked="0" hidden="0"/>
    </dxf>
    <dxf>
      <font>
        <strike val="0"/>
        <condense val="0"/>
        <extend val="0"/>
        <outline val="0"/>
        <shadow val="0"/>
        <vertAlign val="baseline"/>
        <sz val="11"/>
        <color theme="1"/>
        <name val="Calibri"/>
        <family val="2"/>
        <scheme val="minor"/>
      </font>
      <fill>
        <patternFill patternType="solid">
          <fgColor indexed="64"/>
          <bgColor theme="6" tint="0.79998168889431442"/>
        </patternFill>
      </fil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border outline="0">
        <left style="thin">
          <color indexed="64"/>
        </left>
      </border>
    </dxf>
    <dxf>
      <protection locked="1" hidden="1"/>
    </dxf>
    <dxf>
      <protection locked="1" hidden="1"/>
    </dxf>
    <dxf>
      <numFmt numFmtId="30" formatCode="@"/>
    </dxf>
    <dxf>
      <numFmt numFmtId="30" formatCode="@"/>
      <alignment horizontal="center" vertical="bottom"/>
    </dxf>
    <dxf>
      <numFmt numFmtId="0" formatCode="General"/>
    </dxf>
    <dxf>
      <numFmt numFmtId="0" formatCode="General"/>
    </dxf>
    <dxf>
      <font>
        <strike val="0"/>
        <condense val="0"/>
        <extend val="0"/>
        <outline val="0"/>
        <shadow val="0"/>
        <vertAlign val="baseline"/>
        <sz val="11"/>
        <color theme="1"/>
        <name val="Calibri"/>
        <family val="2"/>
        <scheme val="minor"/>
      </font>
      <numFmt numFmtId="165" formatCode="_(* #,##0_);_(* \(#,##0\);_(* &quot;-&quot;??_);_(@_)"/>
    </dxf>
    <dxf>
      <numFmt numFmtId="0" formatCode="General"/>
    </dxf>
    <dxf>
      <font>
        <strike val="0"/>
        <condense val="0"/>
        <extend val="0"/>
        <outline val="0"/>
        <shadow val="0"/>
        <vertAlign val="baseline"/>
        <sz val="11"/>
        <color theme="1"/>
        <name val="Calibri"/>
        <family val="2"/>
        <scheme val="minor"/>
      </font>
      <border>
        <left/>
        <right/>
        <top style="thin">
          <color theme="4" tint="0.39997558519241921"/>
        </top>
        <bottom style="thin">
          <color theme="4" tint="0.39997558519241921"/>
        </bottom>
        <vertical/>
        <horizontal/>
      </border>
    </dxf>
    <dxf>
      <font>
        <strike val="0"/>
        <condense val="0"/>
        <extend val="0"/>
        <outline val="0"/>
        <shadow val="0"/>
        <vertAlign val="baseline"/>
        <sz val="11"/>
        <color theme="1"/>
        <name val="Calibri"/>
        <family val="2"/>
        <scheme val="minor"/>
      </font>
      <border>
        <left/>
        <right/>
        <top style="thin">
          <color theme="4" tint="0.39997558519241921"/>
        </top>
        <bottom style="thin">
          <color theme="4" tint="0.39997558519241921"/>
        </bottom>
        <vertical/>
        <horizontal/>
      </border>
    </dxf>
    <dxf>
      <font>
        <strike val="0"/>
        <condense val="0"/>
        <extend val="0"/>
        <outline val="0"/>
        <shadow val="0"/>
        <vertAlign val="baseline"/>
        <sz val="11"/>
        <color theme="1"/>
        <name val="Calibri"/>
        <family val="2"/>
        <scheme val="minor"/>
      </font>
      <border>
        <left/>
        <right/>
        <top style="thin">
          <color theme="4" tint="0.39997558519241921"/>
        </top>
        <bottom style="thin">
          <color theme="4" tint="0.39997558519241921"/>
        </bottom>
        <vertical/>
        <horizontal/>
      </border>
    </dxf>
    <dxf>
      <font>
        <strike val="0"/>
        <condense val="0"/>
        <extend val="0"/>
        <outline val="0"/>
        <shadow val="0"/>
        <vertAlign val="baseline"/>
        <sz val="11"/>
        <color theme="1"/>
        <name val="Calibri"/>
        <family val="2"/>
        <scheme val="minor"/>
      </font>
      <border>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strike val="0"/>
        <condense val="0"/>
        <extend val="0"/>
        <outline val="0"/>
        <shadow val="0"/>
        <vertAlign val="baseline"/>
        <sz val="11"/>
        <color theme="1"/>
        <name val="Calibri"/>
        <family val="2"/>
        <scheme val="minor"/>
      </font>
    </dxf>
    <dxf>
      <border outline="0">
        <bottom style="thin">
          <color theme="4" tint="0.39997558519241921"/>
        </bottom>
      </border>
    </dxf>
    <dxf>
      <font>
        <strike val="0"/>
        <condense val="0"/>
        <extend val="0"/>
        <outline val="0"/>
        <shadow val="0"/>
        <vertAlign val="baseline"/>
        <sz val="11"/>
        <color theme="1"/>
        <name val="Calibri"/>
        <family val="2"/>
        <scheme val="minor"/>
      </font>
      <fill>
        <patternFill patternType="solid">
          <fgColor theme="4" tint="0.79998168889431442"/>
          <bgColor theme="4" tint="0.79998168889431442"/>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179071</xdr:colOff>
      <xdr:row>0</xdr:row>
      <xdr:rowOff>59057</xdr:rowOff>
    </xdr:from>
    <xdr:to>
      <xdr:col>1</xdr:col>
      <xdr:colOff>803540</xdr:colOff>
      <xdr:row>2</xdr:row>
      <xdr:rowOff>117476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77166" y="55247"/>
          <a:ext cx="626374" cy="605154"/>
        </a:xfrm>
        <a:prstGeom prst="rect">
          <a:avLst/>
        </a:prstGeom>
        <a:ln>
          <a:prstDash val="solid"/>
        </a:ln>
      </xdr:spPr>
    </xdr:pic>
    <xdr:clientData/>
  </xdr:twoCellAnchor>
  <xdr:twoCellAnchor editAs="oneCell">
    <xdr:from>
      <xdr:col>13</xdr:col>
      <xdr:colOff>685800</xdr:colOff>
      <xdr:row>7</xdr:row>
      <xdr:rowOff>76200</xdr:rowOff>
    </xdr:from>
    <xdr:to>
      <xdr:col>14</xdr:col>
      <xdr:colOff>114300</xdr:colOff>
      <xdr:row>7</xdr:row>
      <xdr:rowOff>283845</xdr:rowOff>
    </xdr:to>
    <xdr:pic>
      <xdr:nvPicPr>
        <xdr:cNvPr id="4" name="Graphic 3" descr="Link with solid fill">
          <a:extLst>
            <a:ext uri="{FF2B5EF4-FFF2-40B4-BE49-F238E27FC236}">
              <a16:creationId xmlns:a16="http://schemas.microsoft.com/office/drawing/2014/main" id="{F8D1B4AE-C1B7-742E-6947-5BFD9B6B29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458200" y="1653540"/>
          <a:ext cx="220980" cy="2209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192" totalsRowShown="0">
  <autoFilter ref="A1:E192" xr:uid="{00000000-0009-0000-0100-000001000000}"/>
  <tableColumns count="5">
    <tableColumn id="2" xr3:uid="{00000000-0010-0000-0000-000002000000}" name="Country"/>
    <tableColumn id="1" xr3:uid="{00000000-0010-0000-0000-000001000000}" name="NS"/>
    <tableColumn id="4" xr3:uid="{00000000-0010-0000-0000-000004000000}" name="FR" dataDxfId="78"/>
    <tableColumn id="3" xr3:uid="{00000000-0010-0000-0000-000003000000}" name="SP" dataDxfId="77"/>
    <tableColumn id="5" xr3:uid="{00000000-0010-0000-0000-000005000000}" nam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6" displayName="Table6" ref="G1:G192" totalsRowShown="0">
  <autoFilter ref="G1:G192" xr:uid="{00000000-0009-0000-0100-000002000000}"/>
  <sortState xmlns:xlrd2="http://schemas.microsoft.com/office/spreadsheetml/2017/richdata2" ref="G2:G192">
    <sortCondition ref="G1:G192"/>
  </sortState>
  <tableColumns count="1">
    <tableColumn id="1" xr3:uid="{00000000-0010-0000-0100-000001000000}" name="Count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7" displayName="Table7" ref="N1:O193" totalsRowShown="0">
  <autoFilter ref="N1:O193" xr:uid="{00000000-0009-0000-0100-000003000000}"/>
  <sortState xmlns:xlrd2="http://schemas.microsoft.com/office/spreadsheetml/2017/richdata2" ref="N2:O193">
    <sortCondition ref="N2:N193"/>
    <sortCondition ref="O2:O193"/>
  </sortState>
  <tableColumns count="2">
    <tableColumn id="2" xr3:uid="{00000000-0010-0000-0200-000002000000}" name="Region"/>
    <tableColumn id="3" xr3:uid="{00000000-0010-0000-0200-000003000000}" name="Count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8" displayName="Table8" ref="I1:L6" totalsRowShown="0" headerRowDxfId="76" dataDxfId="74" headerRowBorderDxfId="75" tableBorderDxfId="73" totalsRowBorderDxfId="72">
  <autoFilter ref="I1:L6" xr:uid="{00000000-0009-0000-0100-000004000000}"/>
  <tableColumns count="4">
    <tableColumn id="1" xr3:uid="{00000000-0010-0000-0300-000001000000}" name="Region" dataDxfId="71"/>
    <tableColumn id="2" xr3:uid="{00000000-0010-0000-0300-000002000000}" name="RegionFR" dataDxfId="70"/>
    <tableColumn id="3" xr3:uid="{00000000-0010-0000-0300-000003000000}" name="RegionSP" dataDxfId="69"/>
    <tableColumn id="4" xr3:uid="{00000000-0010-0000-0300-000004000000}" name="RegionAR" dataDxfId="6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9" displayName="Table9" ref="Q1:S767" totalsRowShown="0">
  <autoFilter ref="Q1:S767" xr:uid="{00000000-0009-0000-0100-000005000000}"/>
  <tableColumns count="3">
    <tableColumn id="1" xr3:uid="{00000000-0010-0000-0400-000001000000}" name="Region"/>
    <tableColumn id="2" xr3:uid="{00000000-0010-0000-0400-000002000000}" name="NS name"/>
    <tableColumn id="3" xr3:uid="{00000000-0010-0000-0400-000003000000}" name="Value" dataDxfId="6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UPR" displayName="UPR" ref="U1:Y539" totalsRowShown="0">
  <autoFilter ref="U1:Y539" xr:uid="{00000000-0009-0000-0100-000006000000}"/>
  <tableColumns count="5">
    <tableColumn id="1" xr3:uid="{00000000-0010-0000-0500-000001000000}" name="ISO3"/>
    <tableColumn id="2" xr3:uid="{00000000-0010-0000-0500-000002000000}" name="Country"/>
    <tableColumn id="3" xr3:uid="{00000000-0010-0000-0500-000003000000}" name="Indicator"/>
    <tableColumn id="4" xr3:uid="{00000000-0010-0000-0500-000004000000}" name="ValueNum" dataDxfId="66" dataCellStyle="Comma"/>
    <tableColumn id="5" xr3:uid="{00000000-0010-0000-0500-000005000000}" name="Round"/>
  </tableColumns>
  <tableStyleInfo name="TableStyleLight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DRS" displayName="FDRS" ref="AA1:AD681" totalsRowShown="0">
  <autoFilter ref="AA1:AD681" xr:uid="{00000000-0009-0000-0100-000007000000}"/>
  <tableColumns count="4">
    <tableColumn id="1" xr3:uid="{00000000-0010-0000-0600-000001000000}" name="Country" dataDxfId="65"/>
    <tableColumn id="2" xr3:uid="{00000000-0010-0000-0600-000002000000}" name="Attribute" dataDxfId="64"/>
    <tableColumn id="3" xr3:uid="{00000000-0010-0000-0600-000003000000}" name="Value" dataDxfId="63"/>
    <tableColumn id="4" xr3:uid="{00000000-0010-0000-0600-000004000000}" name="Year" dataDxfId="6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ranslations" displayName="Translations" ref="AF1:AJ52" totalsRowShown="0">
  <autoFilter ref="AF1:AJ52" xr:uid="{00000000-0009-0000-0100-000008000000}"/>
  <tableColumns count="5">
    <tableColumn id="1" xr3:uid="{00000000-0010-0000-0700-000001000000}" name="id"/>
    <tableColumn id="2" xr3:uid="{00000000-0010-0000-0700-000002000000}" name="EN"/>
    <tableColumn id="3" xr3:uid="{00000000-0010-0000-0700-000003000000}" name="FR"/>
    <tableColumn id="4" xr3:uid="{00000000-0010-0000-0700-000004000000}" name="SP"/>
    <tableColumn id="5" xr3:uid="{00000000-0010-0000-0700-000005000000}" name="AR"/>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ata_People" displayName="Data_People" ref="C5:H8" totalsRowShown="0" headerRowDxfId="61" dataDxfId="60" tableBorderDxfId="59">
  <autoFilter ref="C5:H8" xr:uid="{00000000-0009-0000-0100-000009000000}"/>
  <tableColumns count="6">
    <tableColumn id="1" xr3:uid="{00000000-0010-0000-0800-000001000000}" name="Year" dataDxfId="58"/>
    <tableColumn id="3" xr3:uid="{00000000-0010-0000-0800-000003000000}" name="SP2" dataDxfId="57" dataCellStyle="Comma"/>
    <tableColumn id="2" xr3:uid="{00000000-0010-0000-0800-000002000000}" name="SP1" dataDxfId="56"/>
    <tableColumn id="4" xr3:uid="{00000000-0010-0000-0800-000004000000}" name="SP3" dataDxfId="55"/>
    <tableColumn id="5" xr3:uid="{00000000-0010-0000-0800-000005000000}" name="SP4" dataDxfId="54"/>
    <tableColumn id="6" xr3:uid="{00000000-0010-0000-0800-000006000000}" name="SP5" dataDxfId="5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ata_Support" displayName="Data_Support" ref="E4:K34" totalsRowShown="0" headerRowDxfId="52" dataDxfId="51">
  <autoFilter ref="E4:K34" xr:uid="{00000000-0009-0000-0100-00000A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00000000-0010-0000-0900-000002000000}" name="SP2" dataDxfId="50"/>
    <tableColumn id="1" xr3:uid="{00000000-0010-0000-0900-000001000000}" name="SP1" dataDxfId="49"/>
    <tableColumn id="3" xr3:uid="{00000000-0010-0000-0900-000003000000}" name="SP3" dataDxfId="48"/>
    <tableColumn id="4" xr3:uid="{00000000-0010-0000-0900-000004000000}" name="SP4" dataDxfId="47"/>
    <tableColumn id="5" xr3:uid="{00000000-0010-0000-0900-000005000000}" name="SP5" dataDxfId="46"/>
    <tableColumn id="6" xr3:uid="{00000000-0010-0000-0900-000006000000}" name="EFs" dataDxfId="45"/>
    <tableColumn id="7" xr3:uid="{00000000-0010-0000-0900-000007000000}" name="NS" dataDxfId="44">
      <calculatedColumnFormula>IF(C5="","",_xlfn.XLOOKUP(C5,Table9[NS name],Table9[Value]))</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ata_FR" displayName="Data_FR" ref="C7:X33" totalsRowShown="0" headerRowDxfId="43" dataDxfId="42">
  <autoFilter ref="C7:X33"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A00-000001000000}" name="EA1_2027" dataDxfId="41" dataCellStyle="Comma"/>
    <tableColumn id="23" xr3:uid="{00000000-0010-0000-0A00-000017000000}" name="EA2_2027" dataDxfId="40" dataCellStyle="Comma"/>
    <tableColumn id="2" xr3:uid="{00000000-0010-0000-0A00-000002000000}" name="EA3_2027" dataDxfId="39" dataCellStyle="Comma"/>
    <tableColumn id="4" xr3:uid="{00000000-0010-0000-0A00-000004000000}" name="SP2_2027" dataDxfId="38" dataCellStyle="Comma"/>
    <tableColumn id="3" xr3:uid="{00000000-0010-0000-0A00-000003000000}" name="SP1_2027" dataDxfId="37" dataCellStyle="Comma"/>
    <tableColumn id="5" xr3:uid="{00000000-0010-0000-0A00-000005000000}" name="SP3_2027" dataDxfId="36" dataCellStyle="Comma"/>
    <tableColumn id="6" xr3:uid="{00000000-0010-0000-0A00-000006000000}" name="SP4_2027" dataDxfId="35" dataCellStyle="Comma"/>
    <tableColumn id="7" xr3:uid="{00000000-0010-0000-0A00-000007000000}" name="SP5_2027" dataDxfId="34" dataCellStyle="Comma"/>
    <tableColumn id="8" xr3:uid="{00000000-0010-0000-0A00-000008000000}" name="EFs_2027" dataDxfId="33" dataCellStyle="Comma"/>
    <tableColumn id="10" xr3:uid="{00000000-0010-0000-0A00-00000A000000}" name="SP2_2028" dataDxfId="32" dataCellStyle="Comma"/>
    <tableColumn id="9" xr3:uid="{00000000-0010-0000-0A00-000009000000}" name="SP1_2028" dataDxfId="31" dataCellStyle="Comma"/>
    <tableColumn id="11" xr3:uid="{00000000-0010-0000-0A00-00000B000000}" name="SP3_2028" dataDxfId="30" dataCellStyle="Comma"/>
    <tableColumn id="12" xr3:uid="{00000000-0010-0000-0A00-00000C000000}" name="SP4_2028" dataDxfId="29" dataCellStyle="Comma"/>
    <tableColumn id="13" xr3:uid="{00000000-0010-0000-0A00-00000D000000}" name="SP5_2028" dataDxfId="28" dataCellStyle="Comma"/>
    <tableColumn id="14" xr3:uid="{00000000-0010-0000-0A00-00000E000000}" name="EFs_2028" dataDxfId="27" dataCellStyle="Comma"/>
    <tableColumn id="16" xr3:uid="{00000000-0010-0000-0A00-000010000000}" name="SP2_2029" dataDxfId="26" dataCellStyle="Comma"/>
    <tableColumn id="15" xr3:uid="{00000000-0010-0000-0A00-00000F000000}" name="SP1_2029" dataDxfId="25" dataCellStyle="Comma"/>
    <tableColumn id="17" xr3:uid="{00000000-0010-0000-0A00-000011000000}" name="SP3_2029" dataDxfId="24" dataCellStyle="Comma"/>
    <tableColumn id="18" xr3:uid="{00000000-0010-0000-0A00-000012000000}" name="SP4_2029" dataDxfId="23" dataCellStyle="Comma"/>
    <tableColumn id="19" xr3:uid="{00000000-0010-0000-0A00-000013000000}" name="SP5_2029" dataDxfId="22" dataCellStyle="Comma"/>
    <tableColumn id="20" xr3:uid="{00000000-0010-0000-0A00-000014000000}" name="EFs_2029" dataDxfId="21" dataCellStyle="Comma"/>
    <tableColumn id="22" xr3:uid="{00000000-0010-0000-0A00-000016000000}" name="NS" dataDxfId="20">
      <calculatedColumnFormula>IF(B8="","",_xlfn.XLOOKUP(B8,Table9[NS name],Table9[Value]))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bank.ifrc.org/"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AJ767"/>
  <sheetViews>
    <sheetView workbookViewId="0"/>
  </sheetViews>
  <sheetFormatPr defaultColWidth="8.6640625" defaultRowHeight="14.4"/>
  <cols>
    <col min="1" max="1" width="33.44140625" bestFit="1" customWidth="1"/>
    <col min="2" max="2" width="53.6640625" bestFit="1" customWidth="1"/>
    <col min="3" max="5" width="33.44140625" customWidth="1"/>
    <col min="7" max="7" width="36.44140625" bestFit="1" customWidth="1"/>
    <col min="8" max="8" width="6.109375" customWidth="1"/>
    <col min="9" max="9" width="26" bestFit="1" customWidth="1"/>
    <col min="10" max="10" width="30.44140625" bestFit="1" customWidth="1"/>
    <col min="11" max="12" width="29.109375" customWidth="1"/>
    <col min="13" max="13" width="4.88671875" customWidth="1"/>
    <col min="15" max="15" width="35.44140625" bestFit="1" customWidth="1"/>
    <col min="16" max="16" width="9.5546875" customWidth="1"/>
    <col min="17" max="17" width="24.6640625" bestFit="1" customWidth="1"/>
    <col min="18" max="18" width="53.6640625" bestFit="1" customWidth="1"/>
    <col min="19" max="19" width="58.109375" bestFit="1" customWidth="1"/>
    <col min="20" max="20" width="9.5546875" customWidth="1"/>
    <col min="21" max="21" width="7.109375" bestFit="1" customWidth="1"/>
    <col min="22" max="22" width="34.6640625" bestFit="1" customWidth="1"/>
    <col min="23" max="23" width="29" bestFit="1" customWidth="1"/>
    <col min="24" max="24" width="12.33203125" bestFit="1" customWidth="1"/>
    <col min="25" max="25" width="10.6640625" bestFit="1" customWidth="1"/>
    <col min="27" max="27" width="35.44140625" bestFit="1" customWidth="1"/>
    <col min="28" max="28" width="11.109375" bestFit="1" customWidth="1"/>
    <col min="29" max="29" width="8.33203125" bestFit="1" customWidth="1"/>
    <col min="33" max="33" width="26.109375" bestFit="1" customWidth="1"/>
    <col min="34" max="34" width="24.5546875" bestFit="1" customWidth="1"/>
    <col min="35" max="35" width="25.44140625" bestFit="1" customWidth="1"/>
    <col min="36" max="36" width="16.44140625" bestFit="1" customWidth="1"/>
  </cols>
  <sheetData>
    <row r="1" spans="1:36">
      <c r="A1" t="s">
        <v>0</v>
      </c>
      <c r="B1" t="s">
        <v>1</v>
      </c>
      <c r="C1" t="s">
        <v>2</v>
      </c>
      <c r="D1" t="s">
        <v>3</v>
      </c>
      <c r="E1" t="s">
        <v>4</v>
      </c>
      <c r="G1" t="s">
        <v>0</v>
      </c>
      <c r="I1" s="5" t="s">
        <v>5</v>
      </c>
      <c r="J1" s="5" t="s">
        <v>6</v>
      </c>
      <c r="K1" s="5" t="s">
        <v>7</v>
      </c>
      <c r="L1" s="5" t="s">
        <v>8</v>
      </c>
      <c r="N1" t="s">
        <v>5</v>
      </c>
      <c r="O1" t="s">
        <v>0</v>
      </c>
      <c r="Q1" t="s">
        <v>5</v>
      </c>
      <c r="R1" t="s">
        <v>9</v>
      </c>
      <c r="S1" t="s">
        <v>10</v>
      </c>
      <c r="U1" t="s">
        <v>11</v>
      </c>
      <c r="V1" t="s">
        <v>0</v>
      </c>
      <c r="W1" t="s">
        <v>12</v>
      </c>
      <c r="X1" t="s">
        <v>13</v>
      </c>
      <c r="Y1" t="s">
        <v>14</v>
      </c>
      <c r="AA1" t="s">
        <v>0</v>
      </c>
      <c r="AB1" t="s">
        <v>15</v>
      </c>
      <c r="AC1" t="s">
        <v>10</v>
      </c>
      <c r="AD1" t="s">
        <v>16</v>
      </c>
      <c r="AF1" t="s">
        <v>17</v>
      </c>
      <c r="AG1" t="s">
        <v>18</v>
      </c>
      <c r="AH1" t="s">
        <v>2</v>
      </c>
      <c r="AI1" t="s">
        <v>3</v>
      </c>
      <c r="AJ1" t="s">
        <v>4</v>
      </c>
    </row>
    <row r="2" spans="1:36">
      <c r="A2" t="s">
        <v>19</v>
      </c>
      <c r="B2" t="s">
        <v>20</v>
      </c>
      <c r="C2" t="s">
        <v>21</v>
      </c>
      <c r="D2" t="s">
        <v>22</v>
      </c>
      <c r="E2" s="63" t="s">
        <v>23</v>
      </c>
      <c r="G2" t="s">
        <v>19</v>
      </c>
      <c r="I2" s="3" t="s">
        <v>24</v>
      </c>
      <c r="J2" s="5" t="s">
        <v>25</v>
      </c>
      <c r="K2" s="5" t="s">
        <v>26</v>
      </c>
      <c r="L2" s="3" t="s">
        <v>27</v>
      </c>
      <c r="N2" t="s">
        <v>28</v>
      </c>
      <c r="O2" t="s">
        <v>29</v>
      </c>
      <c r="Q2" t="s">
        <v>28</v>
      </c>
      <c r="R2" t="s">
        <v>30</v>
      </c>
      <c r="S2" t="s">
        <v>30</v>
      </c>
      <c r="U2" t="s">
        <v>31</v>
      </c>
      <c r="V2" t="s">
        <v>19</v>
      </c>
      <c r="W2" t="s">
        <v>1653</v>
      </c>
      <c r="X2" s="76">
        <v>329</v>
      </c>
      <c r="Y2" t="s">
        <v>1654</v>
      </c>
      <c r="Z2" s="61"/>
      <c r="AA2" t="s">
        <v>19</v>
      </c>
      <c r="AB2" t="s">
        <v>32</v>
      </c>
      <c r="AC2" t="s">
        <v>33</v>
      </c>
      <c r="AD2">
        <v>2024</v>
      </c>
      <c r="AF2" t="s">
        <v>34</v>
      </c>
      <c r="AG2" t="s">
        <v>35</v>
      </c>
      <c r="AH2" t="s">
        <v>36</v>
      </c>
      <c r="AI2" t="s">
        <v>37</v>
      </c>
      <c r="AJ2" t="s">
        <v>38</v>
      </c>
    </row>
    <row r="3" spans="1:36">
      <c r="A3" t="s">
        <v>39</v>
      </c>
      <c r="B3" t="s">
        <v>40</v>
      </c>
      <c r="C3" t="s">
        <v>41</v>
      </c>
      <c r="D3" t="s">
        <v>42</v>
      </c>
      <c r="E3" s="63" t="s">
        <v>43</v>
      </c>
      <c r="G3" t="s">
        <v>39</v>
      </c>
      <c r="I3" s="4" t="s">
        <v>28</v>
      </c>
      <c r="J3" s="4" t="s">
        <v>44</v>
      </c>
      <c r="K3" s="4" t="s">
        <v>45</v>
      </c>
      <c r="L3" s="4" t="s">
        <v>46</v>
      </c>
      <c r="N3" t="s">
        <v>28</v>
      </c>
      <c r="O3" t="s">
        <v>47</v>
      </c>
      <c r="Q3" t="s">
        <v>28</v>
      </c>
      <c r="R3" t="s">
        <v>48</v>
      </c>
      <c r="S3" t="s">
        <v>48</v>
      </c>
      <c r="U3" t="s">
        <v>31</v>
      </c>
      <c r="V3" t="s">
        <v>19</v>
      </c>
      <c r="W3" t="s">
        <v>1655</v>
      </c>
      <c r="X3" s="76">
        <v>34</v>
      </c>
      <c r="Y3" t="s">
        <v>1654</v>
      </c>
      <c r="Z3" s="61"/>
      <c r="AA3" t="s">
        <v>19</v>
      </c>
      <c r="AB3" t="s">
        <v>49</v>
      </c>
      <c r="AC3" t="s">
        <v>50</v>
      </c>
      <c r="AD3">
        <v>2024</v>
      </c>
      <c r="AF3" t="s">
        <v>51</v>
      </c>
      <c r="AG3" t="s">
        <v>52</v>
      </c>
      <c r="AH3" t="s">
        <v>53</v>
      </c>
      <c r="AI3" t="s">
        <v>54</v>
      </c>
      <c r="AJ3" t="s">
        <v>55</v>
      </c>
    </row>
    <row r="4" spans="1:36">
      <c r="A4" t="s">
        <v>56</v>
      </c>
      <c r="B4" t="s">
        <v>57</v>
      </c>
      <c r="C4" t="s">
        <v>58</v>
      </c>
      <c r="D4" t="s">
        <v>59</v>
      </c>
      <c r="E4" s="63" t="s">
        <v>60</v>
      </c>
      <c r="G4" t="s">
        <v>56</v>
      </c>
      <c r="I4" s="3" t="s">
        <v>61</v>
      </c>
      <c r="J4" s="3" t="s">
        <v>62</v>
      </c>
      <c r="K4" s="3" t="s">
        <v>63</v>
      </c>
      <c r="L4" s="3" t="s">
        <v>64</v>
      </c>
      <c r="N4" t="s">
        <v>28</v>
      </c>
      <c r="O4" t="s">
        <v>65</v>
      </c>
      <c r="Q4" t="s">
        <v>28</v>
      </c>
      <c r="R4" t="s">
        <v>66</v>
      </c>
      <c r="S4" t="s">
        <v>66</v>
      </c>
      <c r="U4" t="s">
        <v>31</v>
      </c>
      <c r="V4" t="s">
        <v>19</v>
      </c>
      <c r="W4" t="s">
        <v>67</v>
      </c>
      <c r="X4" s="76">
        <v>4006</v>
      </c>
      <c r="Y4" t="s">
        <v>1654</v>
      </c>
      <c r="Z4" s="61"/>
      <c r="AA4" t="s">
        <v>19</v>
      </c>
      <c r="AB4" t="s">
        <v>68</v>
      </c>
      <c r="AC4" t="s">
        <v>290</v>
      </c>
      <c r="AD4">
        <v>2024</v>
      </c>
      <c r="AF4" t="s">
        <v>70</v>
      </c>
      <c r="AG4" t="s">
        <v>71</v>
      </c>
      <c r="AH4" t="s">
        <v>72</v>
      </c>
      <c r="AI4" t="s">
        <v>73</v>
      </c>
      <c r="AJ4" t="s">
        <v>74</v>
      </c>
    </row>
    <row r="5" spans="1:36">
      <c r="A5" t="s">
        <v>75</v>
      </c>
      <c r="B5" t="s">
        <v>76</v>
      </c>
      <c r="C5" t="s">
        <v>77</v>
      </c>
      <c r="D5" t="s">
        <v>78</v>
      </c>
      <c r="E5" s="63" t="s">
        <v>79</v>
      </c>
      <c r="G5" t="s">
        <v>80</v>
      </c>
      <c r="I5" s="4" t="s">
        <v>81</v>
      </c>
      <c r="J5" s="4" t="s">
        <v>82</v>
      </c>
      <c r="K5" s="4" t="s">
        <v>83</v>
      </c>
      <c r="L5" s="4" t="s">
        <v>84</v>
      </c>
      <c r="N5" t="s">
        <v>28</v>
      </c>
      <c r="O5" t="s">
        <v>85</v>
      </c>
      <c r="Q5" t="s">
        <v>28</v>
      </c>
      <c r="R5" t="s">
        <v>86</v>
      </c>
      <c r="S5" t="s">
        <v>86</v>
      </c>
      <c r="U5" t="s">
        <v>31</v>
      </c>
      <c r="V5" t="s">
        <v>19</v>
      </c>
      <c r="W5" t="s">
        <v>87</v>
      </c>
      <c r="X5" s="76">
        <v>26568</v>
      </c>
      <c r="Y5" t="s">
        <v>1654</v>
      </c>
      <c r="Z5" s="61"/>
      <c r="AA5" t="s">
        <v>19</v>
      </c>
      <c r="AB5" t="s">
        <v>88</v>
      </c>
      <c r="AC5" t="s">
        <v>1180</v>
      </c>
      <c r="AD5">
        <v>2024</v>
      </c>
      <c r="AF5" t="s">
        <v>89</v>
      </c>
      <c r="AG5" t="s">
        <v>90</v>
      </c>
      <c r="AH5" t="s">
        <v>91</v>
      </c>
      <c r="AI5" t="s">
        <v>92</v>
      </c>
      <c r="AJ5" t="s">
        <v>93</v>
      </c>
    </row>
    <row r="6" spans="1:36">
      <c r="A6" t="s">
        <v>80</v>
      </c>
      <c r="B6" t="s">
        <v>94</v>
      </c>
      <c r="C6" t="s">
        <v>95</v>
      </c>
      <c r="D6" t="s">
        <v>96</v>
      </c>
      <c r="E6" s="63" t="s">
        <v>97</v>
      </c>
      <c r="G6" t="s">
        <v>29</v>
      </c>
      <c r="I6" s="6" t="s">
        <v>98</v>
      </c>
      <c r="J6" s="6" t="s">
        <v>99</v>
      </c>
      <c r="K6" s="6" t="s">
        <v>100</v>
      </c>
      <c r="L6" s="6" t="s">
        <v>101</v>
      </c>
      <c r="N6" t="s">
        <v>28</v>
      </c>
      <c r="O6" t="s">
        <v>102</v>
      </c>
      <c r="Q6" t="s">
        <v>28</v>
      </c>
      <c r="R6" t="s">
        <v>103</v>
      </c>
      <c r="S6" t="s">
        <v>103</v>
      </c>
      <c r="U6" t="s">
        <v>104</v>
      </c>
      <c r="V6" t="s">
        <v>39</v>
      </c>
      <c r="W6" t="s">
        <v>1653</v>
      </c>
      <c r="X6" s="76">
        <v>39</v>
      </c>
      <c r="Y6" t="s">
        <v>1654</v>
      </c>
      <c r="Z6" s="61"/>
      <c r="AA6" t="s">
        <v>39</v>
      </c>
      <c r="AB6" t="s">
        <v>32</v>
      </c>
      <c r="AC6" t="s">
        <v>105</v>
      </c>
      <c r="AD6">
        <v>2024</v>
      </c>
      <c r="AF6" t="s">
        <v>106</v>
      </c>
      <c r="AG6" t="s">
        <v>107</v>
      </c>
      <c r="AH6" t="s">
        <v>108</v>
      </c>
      <c r="AI6" t="s">
        <v>109</v>
      </c>
      <c r="AJ6" t="s">
        <v>110</v>
      </c>
    </row>
    <row r="7" spans="1:36">
      <c r="A7" t="s">
        <v>29</v>
      </c>
      <c r="B7" t="s">
        <v>30</v>
      </c>
      <c r="C7" t="s">
        <v>111</v>
      </c>
      <c r="D7" t="s">
        <v>112</v>
      </c>
      <c r="E7" s="63" t="s">
        <v>113</v>
      </c>
      <c r="G7" t="s">
        <v>114</v>
      </c>
      <c r="I7" s="6"/>
      <c r="N7" t="s">
        <v>28</v>
      </c>
      <c r="O7" t="s">
        <v>115</v>
      </c>
      <c r="Q7" t="s">
        <v>28</v>
      </c>
      <c r="R7" t="s">
        <v>116</v>
      </c>
      <c r="S7" t="s">
        <v>116</v>
      </c>
      <c r="U7" t="s">
        <v>104</v>
      </c>
      <c r="V7" t="s">
        <v>39</v>
      </c>
      <c r="W7" t="s">
        <v>1655</v>
      </c>
      <c r="X7" s="76">
        <v>39</v>
      </c>
      <c r="Y7" t="s">
        <v>1654</v>
      </c>
      <c r="Z7" s="61"/>
      <c r="AA7" t="s">
        <v>39</v>
      </c>
      <c r="AB7" t="s">
        <v>49</v>
      </c>
      <c r="AC7" t="s">
        <v>105</v>
      </c>
      <c r="AD7">
        <v>2024</v>
      </c>
      <c r="AF7" t="s">
        <v>117</v>
      </c>
      <c r="AG7" t="s">
        <v>118</v>
      </c>
      <c r="AH7" t="s">
        <v>119</v>
      </c>
      <c r="AI7" t="s">
        <v>120</v>
      </c>
      <c r="AJ7" t="s">
        <v>121</v>
      </c>
    </row>
    <row r="8" spans="1:36">
      <c r="A8" t="s">
        <v>114</v>
      </c>
      <c r="B8" t="s">
        <v>122</v>
      </c>
      <c r="C8" t="s">
        <v>123</v>
      </c>
      <c r="D8" t="s">
        <v>124</v>
      </c>
      <c r="E8" s="63" t="s">
        <v>125</v>
      </c>
      <c r="G8" t="s">
        <v>126</v>
      </c>
      <c r="N8" t="s">
        <v>28</v>
      </c>
      <c r="O8" t="s">
        <v>127</v>
      </c>
      <c r="Q8" t="s">
        <v>28</v>
      </c>
      <c r="R8" t="s">
        <v>128</v>
      </c>
      <c r="S8" t="s">
        <v>128</v>
      </c>
      <c r="U8" t="s">
        <v>104</v>
      </c>
      <c r="V8" t="s">
        <v>39</v>
      </c>
      <c r="W8" t="s">
        <v>67</v>
      </c>
      <c r="X8" s="76">
        <v>58</v>
      </c>
      <c r="Y8" t="s">
        <v>1654</v>
      </c>
      <c r="Z8" s="61"/>
      <c r="AA8" t="s">
        <v>39</v>
      </c>
      <c r="AB8" t="s">
        <v>68</v>
      </c>
      <c r="AC8" t="s">
        <v>228</v>
      </c>
      <c r="AD8">
        <v>2024</v>
      </c>
      <c r="AF8" t="s">
        <v>130</v>
      </c>
      <c r="AG8" t="s">
        <v>1515</v>
      </c>
      <c r="AH8" t="s">
        <v>131</v>
      </c>
      <c r="AI8" t="s">
        <v>1516</v>
      </c>
      <c r="AJ8" t="s">
        <v>1517</v>
      </c>
    </row>
    <row r="9" spans="1:36">
      <c r="A9" t="s">
        <v>126</v>
      </c>
      <c r="B9" t="s">
        <v>132</v>
      </c>
      <c r="C9" t="s">
        <v>133</v>
      </c>
      <c r="D9" t="s">
        <v>134</v>
      </c>
      <c r="E9" s="63" t="s">
        <v>135</v>
      </c>
      <c r="G9" t="s">
        <v>136</v>
      </c>
      <c r="N9" t="s">
        <v>28</v>
      </c>
      <c r="O9" t="s">
        <v>137</v>
      </c>
      <c r="Q9" t="s">
        <v>28</v>
      </c>
      <c r="R9" t="s">
        <v>138</v>
      </c>
      <c r="S9" t="s">
        <v>138</v>
      </c>
      <c r="U9" t="s">
        <v>104</v>
      </c>
      <c r="V9" t="s">
        <v>39</v>
      </c>
      <c r="W9" t="s">
        <v>87</v>
      </c>
      <c r="X9" s="76">
        <v>2800</v>
      </c>
      <c r="Y9" t="s">
        <v>1654</v>
      </c>
      <c r="Z9" s="61"/>
      <c r="AA9" t="s">
        <v>39</v>
      </c>
      <c r="AB9" t="s">
        <v>88</v>
      </c>
      <c r="AC9" t="s">
        <v>139</v>
      </c>
      <c r="AD9">
        <v>2024</v>
      </c>
      <c r="AF9" t="s">
        <v>140</v>
      </c>
      <c r="AG9" t="s">
        <v>141</v>
      </c>
      <c r="AH9" t="s">
        <v>142</v>
      </c>
      <c r="AI9" t="s">
        <v>143</v>
      </c>
      <c r="AJ9" t="s">
        <v>144</v>
      </c>
    </row>
    <row r="10" spans="1:36">
      <c r="A10" t="s">
        <v>136</v>
      </c>
      <c r="B10" t="s">
        <v>145</v>
      </c>
      <c r="C10" t="s">
        <v>146</v>
      </c>
      <c r="D10" t="s">
        <v>147</v>
      </c>
      <c r="E10" s="63" t="s">
        <v>148</v>
      </c>
      <c r="G10" t="s">
        <v>149</v>
      </c>
      <c r="N10" t="s">
        <v>28</v>
      </c>
      <c r="O10" t="s">
        <v>150</v>
      </c>
      <c r="Q10" t="s">
        <v>28</v>
      </c>
      <c r="R10" t="s">
        <v>151</v>
      </c>
      <c r="S10" t="s">
        <v>151</v>
      </c>
      <c r="U10" t="s">
        <v>152</v>
      </c>
      <c r="V10" t="s">
        <v>56</v>
      </c>
      <c r="W10" t="s">
        <v>1653</v>
      </c>
      <c r="X10" s="76">
        <v>592</v>
      </c>
      <c r="Y10" t="s">
        <v>1654</v>
      </c>
      <c r="Z10" s="61"/>
      <c r="AA10" t="s">
        <v>56</v>
      </c>
      <c r="AB10" t="s">
        <v>32</v>
      </c>
      <c r="AC10" t="s">
        <v>228</v>
      </c>
      <c r="AD10">
        <v>2024</v>
      </c>
      <c r="AF10" t="s">
        <v>153</v>
      </c>
      <c r="AG10" t="s">
        <v>154</v>
      </c>
      <c r="AH10" t="s">
        <v>154</v>
      </c>
      <c r="AI10" t="s">
        <v>155</v>
      </c>
      <c r="AJ10" t="s">
        <v>156</v>
      </c>
    </row>
    <row r="11" spans="1:36">
      <c r="A11" t="s">
        <v>149</v>
      </c>
      <c r="B11" t="s">
        <v>157</v>
      </c>
      <c r="C11" t="s">
        <v>158</v>
      </c>
      <c r="D11" t="s">
        <v>159</v>
      </c>
      <c r="E11" s="63" t="s">
        <v>160</v>
      </c>
      <c r="G11" t="s">
        <v>161</v>
      </c>
      <c r="I11" t="s">
        <v>1714</v>
      </c>
      <c r="N11" t="s">
        <v>28</v>
      </c>
      <c r="O11" t="s">
        <v>162</v>
      </c>
      <c r="Q11" t="s">
        <v>28</v>
      </c>
      <c r="R11" t="s">
        <v>163</v>
      </c>
      <c r="S11" t="s">
        <v>163</v>
      </c>
      <c r="U11" t="s">
        <v>152</v>
      </c>
      <c r="V11" t="s">
        <v>56</v>
      </c>
      <c r="W11" t="s">
        <v>1655</v>
      </c>
      <c r="X11" s="76">
        <v>58</v>
      </c>
      <c r="Y11" t="s">
        <v>1654</v>
      </c>
      <c r="Z11" s="61"/>
      <c r="AA11" t="s">
        <v>56</v>
      </c>
      <c r="AB11" t="s">
        <v>49</v>
      </c>
      <c r="AC11" t="s">
        <v>164</v>
      </c>
      <c r="AD11">
        <v>2024</v>
      </c>
      <c r="AF11" t="s">
        <v>165</v>
      </c>
      <c r="AG11" t="s">
        <v>166</v>
      </c>
      <c r="AH11" t="s">
        <v>167</v>
      </c>
      <c r="AI11" t="s">
        <v>168</v>
      </c>
      <c r="AJ11" t="s">
        <v>169</v>
      </c>
    </row>
    <row r="12" spans="1:36">
      <c r="A12" t="s">
        <v>161</v>
      </c>
      <c r="B12" t="s">
        <v>170</v>
      </c>
      <c r="C12" t="s">
        <v>171</v>
      </c>
      <c r="D12" t="s">
        <v>172</v>
      </c>
      <c r="E12" s="63" t="s">
        <v>173</v>
      </c>
      <c r="G12" t="s">
        <v>174</v>
      </c>
      <c r="N12" t="s">
        <v>28</v>
      </c>
      <c r="O12" t="s">
        <v>175</v>
      </c>
      <c r="Q12" t="s">
        <v>28</v>
      </c>
      <c r="R12" t="s">
        <v>176</v>
      </c>
      <c r="S12" t="s">
        <v>176</v>
      </c>
      <c r="U12" t="s">
        <v>152</v>
      </c>
      <c r="V12" t="s">
        <v>56</v>
      </c>
      <c r="W12" t="s">
        <v>67</v>
      </c>
      <c r="X12" s="76">
        <v>181</v>
      </c>
      <c r="Y12" t="s">
        <v>1654</v>
      </c>
      <c r="Z12" s="61"/>
      <c r="AA12" t="s">
        <v>56</v>
      </c>
      <c r="AB12" t="s">
        <v>68</v>
      </c>
      <c r="AC12" t="s">
        <v>1523</v>
      </c>
      <c r="AD12">
        <v>2024</v>
      </c>
      <c r="AF12" t="s">
        <v>177</v>
      </c>
      <c r="AG12" t="s">
        <v>178</v>
      </c>
      <c r="AH12" t="s">
        <v>179</v>
      </c>
      <c r="AI12" t="s">
        <v>180</v>
      </c>
      <c r="AJ12" t="s">
        <v>181</v>
      </c>
    </row>
    <row r="13" spans="1:36">
      <c r="A13" t="s">
        <v>182</v>
      </c>
      <c r="B13" t="s">
        <v>183</v>
      </c>
      <c r="C13" t="s">
        <v>184</v>
      </c>
      <c r="D13" t="s">
        <v>185</v>
      </c>
      <c r="E13" s="63" t="s">
        <v>186</v>
      </c>
      <c r="G13" t="s">
        <v>187</v>
      </c>
      <c r="N13" t="s">
        <v>28</v>
      </c>
      <c r="O13" t="s">
        <v>188</v>
      </c>
      <c r="Q13" t="s">
        <v>28</v>
      </c>
      <c r="R13" t="s">
        <v>189</v>
      </c>
      <c r="S13" t="s">
        <v>189</v>
      </c>
      <c r="U13" t="s">
        <v>152</v>
      </c>
      <c r="V13" t="s">
        <v>56</v>
      </c>
      <c r="W13" t="s">
        <v>87</v>
      </c>
      <c r="X13" s="76">
        <v>36000</v>
      </c>
      <c r="Y13" t="s">
        <v>1654</v>
      </c>
      <c r="Z13" s="61"/>
      <c r="AA13" t="s">
        <v>56</v>
      </c>
      <c r="AB13" t="s">
        <v>88</v>
      </c>
      <c r="AC13" t="s">
        <v>1524</v>
      </c>
      <c r="AD13">
        <v>2024</v>
      </c>
      <c r="AF13" t="s">
        <v>191</v>
      </c>
      <c r="AG13" t="s">
        <v>192</v>
      </c>
      <c r="AH13" t="s">
        <v>193</v>
      </c>
      <c r="AI13" t="s">
        <v>194</v>
      </c>
      <c r="AJ13" t="s">
        <v>195</v>
      </c>
    </row>
    <row r="14" spans="1:36">
      <c r="A14" t="s">
        <v>196</v>
      </c>
      <c r="B14" t="s">
        <v>197</v>
      </c>
      <c r="C14" t="s">
        <v>198</v>
      </c>
      <c r="D14" t="s">
        <v>199</v>
      </c>
      <c r="E14" s="63" t="s">
        <v>200</v>
      </c>
      <c r="G14" t="s">
        <v>182</v>
      </c>
      <c r="N14" t="s">
        <v>28</v>
      </c>
      <c r="O14" t="s">
        <v>201</v>
      </c>
      <c r="Q14" t="s">
        <v>28</v>
      </c>
      <c r="R14" t="s">
        <v>202</v>
      </c>
      <c r="S14" t="s">
        <v>202</v>
      </c>
      <c r="U14" t="s">
        <v>203</v>
      </c>
      <c r="V14" t="s">
        <v>29</v>
      </c>
      <c r="W14" t="s">
        <v>1653</v>
      </c>
      <c r="X14" s="76"/>
      <c r="Y14" t="s">
        <v>1654</v>
      </c>
      <c r="Z14" s="61"/>
      <c r="AA14" t="s">
        <v>80</v>
      </c>
      <c r="AB14" t="s">
        <v>32</v>
      </c>
      <c r="AC14" t="s">
        <v>204</v>
      </c>
      <c r="AD14">
        <v>2024</v>
      </c>
      <c r="AF14" t="s">
        <v>205</v>
      </c>
      <c r="AG14" t="s">
        <v>206</v>
      </c>
      <c r="AH14" t="s">
        <v>207</v>
      </c>
      <c r="AI14" t="s">
        <v>208</v>
      </c>
      <c r="AJ14" t="s">
        <v>209</v>
      </c>
    </row>
    <row r="15" spans="1:36">
      <c r="A15" t="s">
        <v>210</v>
      </c>
      <c r="B15" t="s">
        <v>48</v>
      </c>
      <c r="C15" t="s">
        <v>211</v>
      </c>
      <c r="D15" t="s">
        <v>212</v>
      </c>
      <c r="E15" s="63" t="s">
        <v>213</v>
      </c>
      <c r="G15" t="s">
        <v>196</v>
      </c>
      <c r="N15" t="s">
        <v>28</v>
      </c>
      <c r="O15" t="s">
        <v>214</v>
      </c>
      <c r="Q15" t="s">
        <v>28</v>
      </c>
      <c r="R15" t="s">
        <v>215</v>
      </c>
      <c r="S15" t="s">
        <v>215</v>
      </c>
      <c r="U15" t="s">
        <v>203</v>
      </c>
      <c r="V15" t="s">
        <v>29</v>
      </c>
      <c r="W15" t="s">
        <v>1655</v>
      </c>
      <c r="X15" s="76"/>
      <c r="Y15" t="s">
        <v>1654</v>
      </c>
      <c r="Z15" s="61"/>
      <c r="AA15" t="s">
        <v>80</v>
      </c>
      <c r="AB15" t="s">
        <v>49</v>
      </c>
      <c r="AC15" t="s">
        <v>204</v>
      </c>
      <c r="AD15">
        <v>2024</v>
      </c>
      <c r="AF15" t="s">
        <v>216</v>
      </c>
      <c r="AG15" t="s">
        <v>5</v>
      </c>
      <c r="AH15" t="s">
        <v>217</v>
      </c>
      <c r="AI15" t="s">
        <v>218</v>
      </c>
      <c r="AJ15" t="s">
        <v>219</v>
      </c>
    </row>
    <row r="16" spans="1:36">
      <c r="A16" t="s">
        <v>220</v>
      </c>
      <c r="B16" t="s">
        <v>221</v>
      </c>
      <c r="C16" t="s">
        <v>222</v>
      </c>
      <c r="D16" t="s">
        <v>223</v>
      </c>
      <c r="E16" s="63" t="s">
        <v>224</v>
      </c>
      <c r="G16" t="s">
        <v>225</v>
      </c>
      <c r="N16" t="s">
        <v>28</v>
      </c>
      <c r="O16" t="s">
        <v>226</v>
      </c>
      <c r="Q16" t="s">
        <v>28</v>
      </c>
      <c r="R16" t="s">
        <v>227</v>
      </c>
      <c r="S16" t="s">
        <v>227</v>
      </c>
      <c r="U16" t="s">
        <v>203</v>
      </c>
      <c r="V16" t="s">
        <v>29</v>
      </c>
      <c r="W16" t="s">
        <v>67</v>
      </c>
      <c r="X16" s="76"/>
      <c r="Y16" t="s">
        <v>1654</v>
      </c>
      <c r="Z16" s="61"/>
      <c r="AA16" t="s">
        <v>80</v>
      </c>
      <c r="AB16" t="s">
        <v>68</v>
      </c>
      <c r="AC16" t="s">
        <v>898</v>
      </c>
      <c r="AD16">
        <v>2024</v>
      </c>
      <c r="AF16" t="s">
        <v>229</v>
      </c>
      <c r="AG16" t="s">
        <v>0</v>
      </c>
      <c r="AH16" t="s">
        <v>230</v>
      </c>
      <c r="AI16" t="s">
        <v>231</v>
      </c>
      <c r="AJ16" t="s">
        <v>232</v>
      </c>
    </row>
    <row r="17" spans="1:36">
      <c r="A17" t="s">
        <v>233</v>
      </c>
      <c r="B17" t="s">
        <v>234</v>
      </c>
      <c r="C17" t="s">
        <v>235</v>
      </c>
      <c r="D17" t="s">
        <v>236</v>
      </c>
      <c r="E17" s="63" t="s">
        <v>237</v>
      </c>
      <c r="G17" t="s">
        <v>220</v>
      </c>
      <c r="N17" t="s">
        <v>28</v>
      </c>
      <c r="O17" t="s">
        <v>210</v>
      </c>
      <c r="Q17" t="s">
        <v>28</v>
      </c>
      <c r="R17" t="s">
        <v>238</v>
      </c>
      <c r="S17" t="s">
        <v>238</v>
      </c>
      <c r="U17" t="s">
        <v>203</v>
      </c>
      <c r="V17" t="s">
        <v>29</v>
      </c>
      <c r="W17" t="s">
        <v>87</v>
      </c>
      <c r="X17" s="76"/>
      <c r="Y17" t="s">
        <v>1654</v>
      </c>
      <c r="Z17" s="61"/>
      <c r="AA17" t="s">
        <v>80</v>
      </c>
      <c r="AB17" t="s">
        <v>88</v>
      </c>
      <c r="AC17" t="s">
        <v>1525</v>
      </c>
      <c r="AD17">
        <v>2024</v>
      </c>
      <c r="AF17" t="s">
        <v>240</v>
      </c>
      <c r="AG17" t="s">
        <v>241</v>
      </c>
      <c r="AH17" t="s">
        <v>242</v>
      </c>
      <c r="AI17" t="s">
        <v>243</v>
      </c>
      <c r="AJ17" t="s">
        <v>244</v>
      </c>
    </row>
    <row r="18" spans="1:36">
      <c r="A18" t="s">
        <v>245</v>
      </c>
      <c r="B18" t="s">
        <v>246</v>
      </c>
      <c r="C18" t="s">
        <v>247</v>
      </c>
      <c r="D18" t="s">
        <v>248</v>
      </c>
      <c r="E18" s="63" t="s">
        <v>249</v>
      </c>
      <c r="G18" t="s">
        <v>233</v>
      </c>
      <c r="N18" t="s">
        <v>28</v>
      </c>
      <c r="O18" t="s">
        <v>250</v>
      </c>
      <c r="Q18" t="s">
        <v>28</v>
      </c>
      <c r="R18" t="s">
        <v>251</v>
      </c>
      <c r="S18" t="s">
        <v>251</v>
      </c>
      <c r="U18" t="s">
        <v>1656</v>
      </c>
      <c r="V18" t="s">
        <v>114</v>
      </c>
      <c r="W18" t="s">
        <v>1653</v>
      </c>
      <c r="X18" s="76">
        <v>1</v>
      </c>
      <c r="Y18" t="s">
        <v>1654</v>
      </c>
      <c r="Z18" s="61"/>
      <c r="AA18" t="s">
        <v>29</v>
      </c>
      <c r="AB18" t="s">
        <v>32</v>
      </c>
      <c r="AC18" t="s">
        <v>253</v>
      </c>
      <c r="AD18">
        <v>2024</v>
      </c>
      <c r="AF18" t="s">
        <v>254</v>
      </c>
      <c r="AG18" t="s">
        <v>255</v>
      </c>
      <c r="AH18" t="s">
        <v>256</v>
      </c>
      <c r="AI18" t="s">
        <v>257</v>
      </c>
      <c r="AJ18" t="s">
        <v>258</v>
      </c>
    </row>
    <row r="19" spans="1:36">
      <c r="A19" t="s">
        <v>259</v>
      </c>
      <c r="B19" t="s">
        <v>260</v>
      </c>
      <c r="C19" t="s">
        <v>261</v>
      </c>
      <c r="D19" t="s">
        <v>262</v>
      </c>
      <c r="E19" s="63" t="s">
        <v>263</v>
      </c>
      <c r="G19" t="s">
        <v>245</v>
      </c>
      <c r="N19" t="s">
        <v>28</v>
      </c>
      <c r="O19" t="s">
        <v>264</v>
      </c>
      <c r="Q19" t="s">
        <v>28</v>
      </c>
      <c r="R19" t="s">
        <v>265</v>
      </c>
      <c r="S19" t="s">
        <v>265</v>
      </c>
      <c r="U19" t="s">
        <v>1656</v>
      </c>
      <c r="V19" t="s">
        <v>114</v>
      </c>
      <c r="W19" t="s">
        <v>1655</v>
      </c>
      <c r="X19" s="76">
        <v>0</v>
      </c>
      <c r="Y19" t="s">
        <v>1654</v>
      </c>
      <c r="Z19" s="61"/>
      <c r="AA19" t="s">
        <v>29</v>
      </c>
      <c r="AB19" t="s">
        <v>49</v>
      </c>
      <c r="AC19" t="s">
        <v>266</v>
      </c>
      <c r="AD19">
        <v>2024</v>
      </c>
      <c r="AF19" t="s">
        <v>267</v>
      </c>
      <c r="AG19" t="s">
        <v>268</v>
      </c>
      <c r="AH19" t="s">
        <v>269</v>
      </c>
      <c r="AI19" t="s">
        <v>270</v>
      </c>
      <c r="AJ19" t="s">
        <v>271</v>
      </c>
    </row>
    <row r="20" spans="1:36">
      <c r="A20" t="s">
        <v>272</v>
      </c>
      <c r="B20" t="s">
        <v>273</v>
      </c>
      <c r="C20" t="s">
        <v>274</v>
      </c>
      <c r="D20" t="s">
        <v>275</v>
      </c>
      <c r="E20" s="63" t="s">
        <v>276</v>
      </c>
      <c r="G20" t="s">
        <v>47</v>
      </c>
      <c r="N20" t="s">
        <v>28</v>
      </c>
      <c r="O20" t="s">
        <v>277</v>
      </c>
      <c r="Q20" t="s">
        <v>28</v>
      </c>
      <c r="R20" t="s">
        <v>278</v>
      </c>
      <c r="S20" t="s">
        <v>278</v>
      </c>
      <c r="U20" t="s">
        <v>1656</v>
      </c>
      <c r="V20" t="s">
        <v>114</v>
      </c>
      <c r="W20" t="s">
        <v>67</v>
      </c>
      <c r="X20" s="76">
        <v>5</v>
      </c>
      <c r="Y20" t="s">
        <v>1654</v>
      </c>
      <c r="Z20" s="61"/>
      <c r="AA20" t="s">
        <v>29</v>
      </c>
      <c r="AB20" t="s">
        <v>68</v>
      </c>
      <c r="AC20" t="s">
        <v>1450</v>
      </c>
      <c r="AD20">
        <v>2024</v>
      </c>
      <c r="AF20" t="s">
        <v>280</v>
      </c>
      <c r="AG20" t="s">
        <v>281</v>
      </c>
      <c r="AH20" t="s">
        <v>282</v>
      </c>
      <c r="AI20" t="s">
        <v>283</v>
      </c>
      <c r="AJ20" t="s">
        <v>284</v>
      </c>
    </row>
    <row r="21" spans="1:36">
      <c r="A21" t="s">
        <v>65</v>
      </c>
      <c r="B21" t="s">
        <v>66</v>
      </c>
      <c r="C21" t="s">
        <v>285</v>
      </c>
      <c r="D21" t="s">
        <v>286</v>
      </c>
      <c r="E21" s="63" t="s">
        <v>287</v>
      </c>
      <c r="G21" t="s">
        <v>259</v>
      </c>
      <c r="N21" t="s">
        <v>28</v>
      </c>
      <c r="O21" t="s">
        <v>288</v>
      </c>
      <c r="Q21" t="s">
        <v>28</v>
      </c>
      <c r="R21" t="s">
        <v>289</v>
      </c>
      <c r="S21" t="s">
        <v>289</v>
      </c>
      <c r="U21" t="s">
        <v>1656</v>
      </c>
      <c r="V21" t="s">
        <v>114</v>
      </c>
      <c r="W21" t="s">
        <v>87</v>
      </c>
      <c r="X21" s="76">
        <v>66</v>
      </c>
      <c r="Y21" t="s">
        <v>1654</v>
      </c>
      <c r="Z21" s="61"/>
      <c r="AA21" t="s">
        <v>29</v>
      </c>
      <c r="AB21" t="s">
        <v>88</v>
      </c>
      <c r="AC21" t="s">
        <v>290</v>
      </c>
      <c r="AD21">
        <v>2024</v>
      </c>
      <c r="AF21" t="s">
        <v>291</v>
      </c>
      <c r="AG21" t="s">
        <v>292</v>
      </c>
      <c r="AH21" t="s">
        <v>293</v>
      </c>
      <c r="AI21" t="s">
        <v>294</v>
      </c>
      <c r="AJ21" t="s">
        <v>295</v>
      </c>
    </row>
    <row r="22" spans="1:36">
      <c r="A22" t="s">
        <v>296</v>
      </c>
      <c r="B22" t="s">
        <v>297</v>
      </c>
      <c r="C22" t="s">
        <v>298</v>
      </c>
      <c r="D22" t="s">
        <v>299</v>
      </c>
      <c r="E22" s="63" t="s">
        <v>300</v>
      </c>
      <c r="G22" t="s">
        <v>272</v>
      </c>
      <c r="N22" t="s">
        <v>28</v>
      </c>
      <c r="O22" t="s">
        <v>301</v>
      </c>
      <c r="Q22" t="s">
        <v>28</v>
      </c>
      <c r="R22" t="s">
        <v>302</v>
      </c>
      <c r="S22" t="s">
        <v>302</v>
      </c>
      <c r="U22" t="s">
        <v>252</v>
      </c>
      <c r="V22" t="s">
        <v>126</v>
      </c>
      <c r="W22" t="s">
        <v>1653</v>
      </c>
      <c r="X22" s="76">
        <v>65</v>
      </c>
      <c r="Y22" t="s">
        <v>1654</v>
      </c>
      <c r="Z22" s="61"/>
      <c r="AA22" t="s">
        <v>114</v>
      </c>
      <c r="AB22" t="s">
        <v>49</v>
      </c>
      <c r="AC22" t="s">
        <v>204</v>
      </c>
      <c r="AD22">
        <v>2024</v>
      </c>
      <c r="AF22" t="s">
        <v>304</v>
      </c>
      <c r="AG22" t="s">
        <v>305</v>
      </c>
      <c r="AH22" t="s">
        <v>306</v>
      </c>
      <c r="AI22" t="s">
        <v>307</v>
      </c>
      <c r="AJ22" t="s">
        <v>308</v>
      </c>
    </row>
    <row r="23" spans="1:36">
      <c r="A23" t="s">
        <v>309</v>
      </c>
      <c r="B23" t="s">
        <v>310</v>
      </c>
      <c r="C23" t="s">
        <v>311</v>
      </c>
      <c r="D23" t="s">
        <v>312</v>
      </c>
      <c r="E23" s="63" t="s">
        <v>313</v>
      </c>
      <c r="G23" t="s">
        <v>314</v>
      </c>
      <c r="N23" t="s">
        <v>28</v>
      </c>
      <c r="O23" t="s">
        <v>315</v>
      </c>
      <c r="Q23" t="s">
        <v>28</v>
      </c>
      <c r="R23" t="s">
        <v>316</v>
      </c>
      <c r="S23" t="s">
        <v>316</v>
      </c>
      <c r="U23" t="s">
        <v>252</v>
      </c>
      <c r="V23" t="s">
        <v>126</v>
      </c>
      <c r="W23" t="s">
        <v>1655</v>
      </c>
      <c r="X23" s="76">
        <v>63</v>
      </c>
      <c r="Y23" t="s">
        <v>1654</v>
      </c>
      <c r="Z23" s="61"/>
      <c r="AA23" t="s">
        <v>114</v>
      </c>
      <c r="AB23" t="s">
        <v>68</v>
      </c>
      <c r="AC23" t="s">
        <v>1332</v>
      </c>
      <c r="AD23">
        <v>2024</v>
      </c>
      <c r="AF23" t="s">
        <v>318</v>
      </c>
      <c r="AG23" t="s">
        <v>88</v>
      </c>
      <c r="AH23" t="s">
        <v>319</v>
      </c>
      <c r="AI23" t="s">
        <v>320</v>
      </c>
      <c r="AJ23" t="s">
        <v>321</v>
      </c>
    </row>
    <row r="24" spans="1:36">
      <c r="A24" t="s">
        <v>322</v>
      </c>
      <c r="B24" t="s">
        <v>323</v>
      </c>
      <c r="C24" t="s">
        <v>324</v>
      </c>
      <c r="D24" t="s">
        <v>325</v>
      </c>
      <c r="E24" s="63" t="s">
        <v>326</v>
      </c>
      <c r="G24" t="s">
        <v>65</v>
      </c>
      <c r="N24" t="s">
        <v>28</v>
      </c>
      <c r="O24" t="s">
        <v>327</v>
      </c>
      <c r="Q24" t="s">
        <v>28</v>
      </c>
      <c r="R24" t="s">
        <v>328</v>
      </c>
      <c r="S24" t="s">
        <v>328</v>
      </c>
      <c r="U24" t="s">
        <v>252</v>
      </c>
      <c r="V24" t="s">
        <v>126</v>
      </c>
      <c r="W24" t="s">
        <v>67</v>
      </c>
      <c r="X24" s="76">
        <v>1855</v>
      </c>
      <c r="Y24" t="s">
        <v>1654</v>
      </c>
      <c r="Z24" s="61"/>
      <c r="AA24" t="s">
        <v>114</v>
      </c>
      <c r="AB24" t="s">
        <v>88</v>
      </c>
      <c r="AC24" t="s">
        <v>1435</v>
      </c>
      <c r="AD24">
        <v>2024</v>
      </c>
      <c r="AF24" t="s">
        <v>330</v>
      </c>
      <c r="AG24" t="s">
        <v>68</v>
      </c>
      <c r="AH24" t="s">
        <v>331</v>
      </c>
      <c r="AI24" t="s">
        <v>332</v>
      </c>
      <c r="AJ24" t="s">
        <v>333</v>
      </c>
    </row>
    <row r="25" spans="1:36">
      <c r="A25" t="s">
        <v>334</v>
      </c>
      <c r="B25" t="s">
        <v>335</v>
      </c>
      <c r="C25" t="s">
        <v>336</v>
      </c>
      <c r="D25" t="s">
        <v>337</v>
      </c>
      <c r="E25" s="63" t="s">
        <v>338</v>
      </c>
      <c r="G25" t="s">
        <v>296</v>
      </c>
      <c r="N25" t="s">
        <v>28</v>
      </c>
      <c r="O25" t="s">
        <v>339</v>
      </c>
      <c r="Q25" t="s">
        <v>28</v>
      </c>
      <c r="R25" t="s">
        <v>340</v>
      </c>
      <c r="S25" t="s">
        <v>340</v>
      </c>
      <c r="U25" t="s">
        <v>252</v>
      </c>
      <c r="V25" t="s">
        <v>126</v>
      </c>
      <c r="W25" t="s">
        <v>87</v>
      </c>
      <c r="X25" s="76">
        <v>7160</v>
      </c>
      <c r="Y25" t="s">
        <v>1654</v>
      </c>
      <c r="Z25" s="61"/>
      <c r="AA25" t="s">
        <v>126</v>
      </c>
      <c r="AB25" t="s">
        <v>32</v>
      </c>
      <c r="AC25" t="s">
        <v>341</v>
      </c>
      <c r="AD25">
        <v>2024</v>
      </c>
      <c r="AF25" t="s">
        <v>342</v>
      </c>
      <c r="AG25" t="s">
        <v>49</v>
      </c>
      <c r="AH25" t="s">
        <v>343</v>
      </c>
      <c r="AI25" t="s">
        <v>344</v>
      </c>
      <c r="AJ25" t="s">
        <v>345</v>
      </c>
    </row>
    <row r="26" spans="1:36">
      <c r="A26" t="s">
        <v>85</v>
      </c>
      <c r="B26" t="s">
        <v>86</v>
      </c>
      <c r="C26" t="s">
        <v>346</v>
      </c>
      <c r="D26" t="s">
        <v>347</v>
      </c>
      <c r="E26" s="63" t="s">
        <v>348</v>
      </c>
      <c r="G26" t="s">
        <v>322</v>
      </c>
      <c r="N26" t="s">
        <v>28</v>
      </c>
      <c r="O26" t="s">
        <v>349</v>
      </c>
      <c r="Q26" t="s">
        <v>28</v>
      </c>
      <c r="R26" t="s">
        <v>350</v>
      </c>
      <c r="S26" t="s">
        <v>350</v>
      </c>
      <c r="U26" t="s">
        <v>303</v>
      </c>
      <c r="V26" t="s">
        <v>136</v>
      </c>
      <c r="W26" t="s">
        <v>1653</v>
      </c>
      <c r="X26" s="76">
        <v>54</v>
      </c>
      <c r="Y26" t="s">
        <v>1654</v>
      </c>
      <c r="Z26" s="61"/>
      <c r="AA26" t="s">
        <v>126</v>
      </c>
      <c r="AB26" t="s">
        <v>49</v>
      </c>
      <c r="AC26" t="s">
        <v>352</v>
      </c>
      <c r="AD26">
        <v>2024</v>
      </c>
      <c r="AF26" t="s">
        <v>353</v>
      </c>
      <c r="AG26" t="s">
        <v>32</v>
      </c>
      <c r="AH26" t="s">
        <v>32</v>
      </c>
      <c r="AI26" t="s">
        <v>354</v>
      </c>
      <c r="AJ26" t="s">
        <v>355</v>
      </c>
    </row>
    <row r="27" spans="1:36">
      <c r="A27" t="s">
        <v>102</v>
      </c>
      <c r="B27" t="s">
        <v>103</v>
      </c>
      <c r="C27" t="s">
        <v>356</v>
      </c>
      <c r="D27" t="s">
        <v>357</v>
      </c>
      <c r="E27" s="63" t="s">
        <v>358</v>
      </c>
      <c r="G27" t="s">
        <v>334</v>
      </c>
      <c r="N27" t="s">
        <v>28</v>
      </c>
      <c r="O27" t="s">
        <v>359</v>
      </c>
      <c r="Q27" t="s">
        <v>28</v>
      </c>
      <c r="R27" t="s">
        <v>360</v>
      </c>
      <c r="S27" t="s">
        <v>360</v>
      </c>
      <c r="U27" t="s">
        <v>303</v>
      </c>
      <c r="V27" t="s">
        <v>136</v>
      </c>
      <c r="W27" t="s">
        <v>1655</v>
      </c>
      <c r="X27" s="76">
        <v>12</v>
      </c>
      <c r="Y27" t="s">
        <v>1654</v>
      </c>
      <c r="Z27" s="61"/>
      <c r="AA27" t="s">
        <v>126</v>
      </c>
      <c r="AB27" t="s">
        <v>68</v>
      </c>
      <c r="AC27" t="s">
        <v>361</v>
      </c>
      <c r="AD27">
        <v>2024</v>
      </c>
      <c r="AF27" t="s">
        <v>362</v>
      </c>
      <c r="AG27" t="s">
        <v>363</v>
      </c>
      <c r="AH27" t="s">
        <v>364</v>
      </c>
      <c r="AI27" t="s">
        <v>365</v>
      </c>
      <c r="AJ27" t="s">
        <v>366</v>
      </c>
    </row>
    <row r="28" spans="1:36">
      <c r="A28" t="s">
        <v>367</v>
      </c>
      <c r="B28" t="s">
        <v>368</v>
      </c>
      <c r="C28" t="s">
        <v>369</v>
      </c>
      <c r="D28" t="s">
        <v>370</v>
      </c>
      <c r="E28" s="63" t="s">
        <v>371</v>
      </c>
      <c r="G28" t="s">
        <v>85</v>
      </c>
      <c r="N28" t="s">
        <v>28</v>
      </c>
      <c r="O28" t="s">
        <v>372</v>
      </c>
      <c r="Q28" t="s">
        <v>28</v>
      </c>
      <c r="R28" t="s">
        <v>373</v>
      </c>
      <c r="S28" t="s">
        <v>373</v>
      </c>
      <c r="U28" t="s">
        <v>303</v>
      </c>
      <c r="V28" t="s">
        <v>136</v>
      </c>
      <c r="W28" t="s">
        <v>67</v>
      </c>
      <c r="X28" s="76">
        <v>300</v>
      </c>
      <c r="Y28" t="s">
        <v>1654</v>
      </c>
      <c r="Z28" s="61"/>
      <c r="AA28" t="s">
        <v>126</v>
      </c>
      <c r="AB28" t="s">
        <v>88</v>
      </c>
      <c r="AC28" t="s">
        <v>815</v>
      </c>
      <c r="AD28">
        <v>2024</v>
      </c>
      <c r="AF28" t="s">
        <v>375</v>
      </c>
      <c r="AG28" t="s">
        <v>376</v>
      </c>
      <c r="AH28" t="s">
        <v>377</v>
      </c>
      <c r="AI28" t="s">
        <v>378</v>
      </c>
      <c r="AJ28" t="s">
        <v>379</v>
      </c>
    </row>
    <row r="29" spans="1:36">
      <c r="A29" t="s">
        <v>115</v>
      </c>
      <c r="B29" t="s">
        <v>116</v>
      </c>
      <c r="C29" t="s">
        <v>380</v>
      </c>
      <c r="D29" t="s">
        <v>381</v>
      </c>
      <c r="E29" s="63" t="s">
        <v>382</v>
      </c>
      <c r="G29" t="s">
        <v>102</v>
      </c>
      <c r="N29" t="s">
        <v>28</v>
      </c>
      <c r="O29" t="s">
        <v>383</v>
      </c>
      <c r="Q29" t="s">
        <v>28</v>
      </c>
      <c r="R29" t="s">
        <v>384</v>
      </c>
      <c r="S29" t="s">
        <v>384</v>
      </c>
      <c r="U29" t="s">
        <v>303</v>
      </c>
      <c r="V29" t="s">
        <v>136</v>
      </c>
      <c r="W29" t="s">
        <v>87</v>
      </c>
      <c r="X29" s="76">
        <v>1792</v>
      </c>
      <c r="Y29" t="s">
        <v>1654</v>
      </c>
      <c r="Z29" s="61"/>
      <c r="AA29" t="s">
        <v>136</v>
      </c>
      <c r="AB29" t="s">
        <v>32</v>
      </c>
      <c r="AC29" t="s">
        <v>385</v>
      </c>
      <c r="AD29">
        <v>2024</v>
      </c>
      <c r="AF29" t="s">
        <v>386</v>
      </c>
      <c r="AG29" t="s">
        <v>16</v>
      </c>
      <c r="AH29" t="s">
        <v>387</v>
      </c>
      <c r="AI29" t="s">
        <v>388</v>
      </c>
      <c r="AJ29" t="s">
        <v>389</v>
      </c>
    </row>
    <row r="30" spans="1:36">
      <c r="A30" t="s">
        <v>137</v>
      </c>
      <c r="B30" t="s">
        <v>128</v>
      </c>
      <c r="C30" t="s">
        <v>390</v>
      </c>
      <c r="D30" t="s">
        <v>391</v>
      </c>
      <c r="E30" s="63" t="s">
        <v>392</v>
      </c>
      <c r="G30" t="s">
        <v>367</v>
      </c>
      <c r="N30" t="s">
        <v>28</v>
      </c>
      <c r="O30" t="s">
        <v>393</v>
      </c>
      <c r="Q30" t="s">
        <v>28</v>
      </c>
      <c r="R30" t="s">
        <v>394</v>
      </c>
      <c r="S30" t="s">
        <v>394</v>
      </c>
      <c r="U30" t="s">
        <v>351</v>
      </c>
      <c r="V30" t="s">
        <v>174</v>
      </c>
      <c r="W30" t="s">
        <v>1653</v>
      </c>
      <c r="X30" s="76">
        <v>105</v>
      </c>
      <c r="Y30" t="s">
        <v>1654</v>
      </c>
      <c r="Z30" s="61"/>
      <c r="AA30" t="s">
        <v>136</v>
      </c>
      <c r="AB30" t="s">
        <v>49</v>
      </c>
      <c r="AC30" t="s">
        <v>1374</v>
      </c>
      <c r="AD30">
        <v>2024</v>
      </c>
      <c r="AF30" t="s">
        <v>397</v>
      </c>
      <c r="AG30" t="s">
        <v>1501</v>
      </c>
      <c r="AH30" t="s">
        <v>1502</v>
      </c>
      <c r="AI30" t="s">
        <v>1503</v>
      </c>
      <c r="AJ30" t="s">
        <v>1504</v>
      </c>
    </row>
    <row r="31" spans="1:36">
      <c r="A31" t="s">
        <v>398</v>
      </c>
      <c r="B31" t="s">
        <v>399</v>
      </c>
      <c r="C31" t="s">
        <v>400</v>
      </c>
      <c r="D31" t="s">
        <v>401</v>
      </c>
      <c r="E31" s="63" t="s">
        <v>402</v>
      </c>
      <c r="G31" t="s">
        <v>115</v>
      </c>
      <c r="N31" t="s">
        <v>28</v>
      </c>
      <c r="O31" t="s">
        <v>403</v>
      </c>
      <c r="Q31" t="s">
        <v>28</v>
      </c>
      <c r="R31" t="s">
        <v>404</v>
      </c>
      <c r="S31" t="s">
        <v>404</v>
      </c>
      <c r="U31" t="s">
        <v>351</v>
      </c>
      <c r="V31" t="s">
        <v>174</v>
      </c>
      <c r="W31" t="s">
        <v>1655</v>
      </c>
      <c r="X31" s="76">
        <v>85</v>
      </c>
      <c r="Y31" t="s">
        <v>1654</v>
      </c>
      <c r="Z31" s="61"/>
      <c r="AA31" t="s">
        <v>136</v>
      </c>
      <c r="AB31" t="s">
        <v>68</v>
      </c>
      <c r="AC31" t="s">
        <v>1526</v>
      </c>
      <c r="AD31">
        <v>2024</v>
      </c>
      <c r="AF31" t="s">
        <v>405</v>
      </c>
      <c r="AG31" t="s">
        <v>406</v>
      </c>
      <c r="AH31" t="s">
        <v>407</v>
      </c>
      <c r="AI31" t="s">
        <v>408</v>
      </c>
      <c r="AJ31" t="s">
        <v>409</v>
      </c>
    </row>
    <row r="32" spans="1:36">
      <c r="A32" t="s">
        <v>410</v>
      </c>
      <c r="B32" t="s">
        <v>411</v>
      </c>
      <c r="C32" t="s">
        <v>412</v>
      </c>
      <c r="D32" t="s">
        <v>413</v>
      </c>
      <c r="E32" s="63" t="s">
        <v>414</v>
      </c>
      <c r="G32" t="s">
        <v>415</v>
      </c>
      <c r="N32" t="s">
        <v>28</v>
      </c>
      <c r="O32" t="s">
        <v>416</v>
      </c>
      <c r="Q32" t="s">
        <v>28</v>
      </c>
      <c r="R32" t="s">
        <v>417</v>
      </c>
      <c r="S32" t="s">
        <v>417</v>
      </c>
      <c r="U32" t="s">
        <v>351</v>
      </c>
      <c r="V32" t="s">
        <v>174</v>
      </c>
      <c r="W32" t="s">
        <v>67</v>
      </c>
      <c r="X32" s="76">
        <v>175</v>
      </c>
      <c r="Y32" t="s">
        <v>1654</v>
      </c>
      <c r="Z32" s="61"/>
      <c r="AA32" t="s">
        <v>136</v>
      </c>
      <c r="AB32" t="s">
        <v>88</v>
      </c>
      <c r="AC32" t="s">
        <v>361</v>
      </c>
      <c r="AD32">
        <v>2024</v>
      </c>
      <c r="AF32" t="s">
        <v>419</v>
      </c>
      <c r="AG32" t="s">
        <v>420</v>
      </c>
      <c r="AH32" t="s">
        <v>421</v>
      </c>
      <c r="AI32" t="s">
        <v>422</v>
      </c>
      <c r="AJ32" t="s">
        <v>423</v>
      </c>
    </row>
    <row r="33" spans="1:36">
      <c r="A33" t="s">
        <v>175</v>
      </c>
      <c r="B33" t="s">
        <v>138</v>
      </c>
      <c r="C33" t="s">
        <v>424</v>
      </c>
      <c r="D33" t="s">
        <v>425</v>
      </c>
      <c r="E33" s="63" t="s">
        <v>426</v>
      </c>
      <c r="G33" t="s">
        <v>127</v>
      </c>
      <c r="N33" t="s">
        <v>28</v>
      </c>
      <c r="O33" t="s">
        <v>427</v>
      </c>
      <c r="Q33" t="s">
        <v>28</v>
      </c>
      <c r="R33" t="s">
        <v>428</v>
      </c>
      <c r="S33" t="s">
        <v>428</v>
      </c>
      <c r="U33" t="s">
        <v>351</v>
      </c>
      <c r="V33" t="s">
        <v>174</v>
      </c>
      <c r="W33" t="s">
        <v>87</v>
      </c>
      <c r="X33" s="76">
        <v>6000</v>
      </c>
      <c r="Y33" t="s">
        <v>1654</v>
      </c>
      <c r="Z33" s="61"/>
      <c r="AA33" t="s">
        <v>149</v>
      </c>
      <c r="AB33" t="s">
        <v>32</v>
      </c>
      <c r="AC33" t="s">
        <v>1527</v>
      </c>
      <c r="AD33">
        <v>2024</v>
      </c>
      <c r="AF33" t="s">
        <v>430</v>
      </c>
      <c r="AG33" t="s">
        <v>431</v>
      </c>
      <c r="AH33" t="s">
        <v>432</v>
      </c>
      <c r="AI33" t="s">
        <v>433</v>
      </c>
      <c r="AJ33" t="s">
        <v>434</v>
      </c>
    </row>
    <row r="34" spans="1:36">
      <c r="A34" t="s">
        <v>435</v>
      </c>
      <c r="B34" t="s">
        <v>436</v>
      </c>
      <c r="C34" t="s">
        <v>437</v>
      </c>
      <c r="D34" t="s">
        <v>438</v>
      </c>
      <c r="E34" s="63" t="s">
        <v>439</v>
      </c>
      <c r="G34" t="s">
        <v>137</v>
      </c>
      <c r="N34" t="s">
        <v>28</v>
      </c>
      <c r="O34" t="s">
        <v>440</v>
      </c>
      <c r="Q34" t="s">
        <v>28</v>
      </c>
      <c r="R34" t="s">
        <v>441</v>
      </c>
      <c r="S34" t="s">
        <v>441</v>
      </c>
      <c r="U34" t="s">
        <v>1657</v>
      </c>
      <c r="V34" t="s">
        <v>187</v>
      </c>
      <c r="W34" t="s">
        <v>1653</v>
      </c>
      <c r="X34" s="76">
        <v>15</v>
      </c>
      <c r="Y34" t="s">
        <v>1654</v>
      </c>
      <c r="Z34" s="61"/>
      <c r="AA34" t="s">
        <v>149</v>
      </c>
      <c r="AB34" t="s">
        <v>49</v>
      </c>
      <c r="AC34" t="s">
        <v>1528</v>
      </c>
      <c r="AD34">
        <v>2024</v>
      </c>
      <c r="AF34" t="s">
        <v>444</v>
      </c>
      <c r="AG34" t="s">
        <v>445</v>
      </c>
      <c r="AH34" t="s">
        <v>446</v>
      </c>
      <c r="AI34" t="s">
        <v>447</v>
      </c>
      <c r="AJ34" t="s">
        <v>448</v>
      </c>
    </row>
    <row r="35" spans="1:36">
      <c r="A35" t="s">
        <v>449</v>
      </c>
      <c r="B35" t="s">
        <v>450</v>
      </c>
      <c r="C35" t="s">
        <v>451</v>
      </c>
      <c r="D35" t="s">
        <v>452</v>
      </c>
      <c r="E35" s="63" t="s">
        <v>453</v>
      </c>
      <c r="G35" t="s">
        <v>150</v>
      </c>
      <c r="N35" t="s">
        <v>28</v>
      </c>
      <c r="O35" t="s">
        <v>454</v>
      </c>
      <c r="Q35" t="s">
        <v>28</v>
      </c>
      <c r="R35" t="s">
        <v>455</v>
      </c>
      <c r="S35" t="s">
        <v>455</v>
      </c>
      <c r="U35" t="s">
        <v>1657</v>
      </c>
      <c r="V35" t="s">
        <v>187</v>
      </c>
      <c r="W35" t="s">
        <v>1655</v>
      </c>
      <c r="X35" s="76">
        <v>1</v>
      </c>
      <c r="Y35" t="s">
        <v>1654</v>
      </c>
      <c r="Z35" s="61"/>
      <c r="AA35" t="s">
        <v>149</v>
      </c>
      <c r="AB35" t="s">
        <v>68</v>
      </c>
      <c r="AC35" t="s">
        <v>290</v>
      </c>
      <c r="AD35">
        <v>2024</v>
      </c>
      <c r="AF35" t="s">
        <v>457</v>
      </c>
      <c r="AG35" t="s">
        <v>458</v>
      </c>
      <c r="AH35" t="s">
        <v>459</v>
      </c>
      <c r="AI35" t="s">
        <v>460</v>
      </c>
      <c r="AJ35" t="s">
        <v>461</v>
      </c>
    </row>
    <row r="36" spans="1:36">
      <c r="A36" t="s">
        <v>462</v>
      </c>
      <c r="B36" t="s">
        <v>463</v>
      </c>
      <c r="C36" t="s">
        <v>464</v>
      </c>
      <c r="D36" t="s">
        <v>465</v>
      </c>
      <c r="E36" s="63" t="s">
        <v>466</v>
      </c>
      <c r="G36" t="s">
        <v>398</v>
      </c>
      <c r="N36" t="s">
        <v>28</v>
      </c>
      <c r="O36" t="s">
        <v>467</v>
      </c>
      <c r="Q36" t="s">
        <v>28</v>
      </c>
      <c r="R36" t="s">
        <v>468</v>
      </c>
      <c r="S36" t="s">
        <v>468</v>
      </c>
      <c r="U36" t="s">
        <v>1657</v>
      </c>
      <c r="V36" t="s">
        <v>187</v>
      </c>
      <c r="W36" t="s">
        <v>67</v>
      </c>
      <c r="X36" s="76">
        <v>18</v>
      </c>
      <c r="Y36" t="s">
        <v>1654</v>
      </c>
      <c r="Z36" s="61"/>
      <c r="AA36" t="s">
        <v>149</v>
      </c>
      <c r="AB36" t="s">
        <v>88</v>
      </c>
      <c r="AC36" t="s">
        <v>506</v>
      </c>
      <c r="AD36">
        <v>2024</v>
      </c>
      <c r="AF36" t="s">
        <v>470</v>
      </c>
      <c r="AG36" t="s">
        <v>471</v>
      </c>
      <c r="AH36" t="s">
        <v>472</v>
      </c>
      <c r="AI36" t="s">
        <v>473</v>
      </c>
      <c r="AJ36" t="s">
        <v>474</v>
      </c>
    </row>
    <row r="37" spans="1:36">
      <c r="A37" t="s">
        <v>475</v>
      </c>
      <c r="B37" t="s">
        <v>476</v>
      </c>
      <c r="C37" t="s">
        <v>477</v>
      </c>
      <c r="D37" t="s">
        <v>478</v>
      </c>
      <c r="E37" s="63" t="s">
        <v>479</v>
      </c>
      <c r="G37" t="s">
        <v>480</v>
      </c>
      <c r="N37" t="s">
        <v>28</v>
      </c>
      <c r="O37" t="s">
        <v>481</v>
      </c>
      <c r="Q37" t="s">
        <v>28</v>
      </c>
      <c r="R37" t="s">
        <v>482</v>
      </c>
      <c r="S37" t="s">
        <v>482</v>
      </c>
      <c r="U37" t="s">
        <v>1657</v>
      </c>
      <c r="V37" t="s">
        <v>187</v>
      </c>
      <c r="W37" t="s">
        <v>87</v>
      </c>
      <c r="X37" s="76">
        <v>860</v>
      </c>
      <c r="Y37" t="s">
        <v>1654</v>
      </c>
      <c r="Z37" s="61"/>
      <c r="AA37" t="s">
        <v>161</v>
      </c>
      <c r="AB37" t="s">
        <v>32</v>
      </c>
      <c r="AC37" t="s">
        <v>483</v>
      </c>
      <c r="AD37">
        <v>2024</v>
      </c>
      <c r="AF37" t="s">
        <v>484</v>
      </c>
      <c r="AG37" t="s">
        <v>495</v>
      </c>
      <c r="AH37" t="s">
        <v>496</v>
      </c>
      <c r="AI37" t="s">
        <v>497</v>
      </c>
      <c r="AJ37" t="s">
        <v>498</v>
      </c>
    </row>
    <row r="38" spans="1:36">
      <c r="A38" t="s">
        <v>485</v>
      </c>
      <c r="B38" t="s">
        <v>486</v>
      </c>
      <c r="C38" t="s">
        <v>487</v>
      </c>
      <c r="D38" t="s">
        <v>488</v>
      </c>
      <c r="E38" s="63" t="s">
        <v>489</v>
      </c>
      <c r="G38" t="s">
        <v>410</v>
      </c>
      <c r="N38" t="s">
        <v>28</v>
      </c>
      <c r="O38" t="s">
        <v>490</v>
      </c>
      <c r="Q38" t="s">
        <v>28</v>
      </c>
      <c r="R38" t="s">
        <v>491</v>
      </c>
      <c r="S38" t="s">
        <v>491</v>
      </c>
      <c r="U38" t="s">
        <v>395</v>
      </c>
      <c r="V38" t="s">
        <v>196</v>
      </c>
      <c r="W38" t="s">
        <v>1653</v>
      </c>
      <c r="X38" s="76">
        <v>155</v>
      </c>
      <c r="Y38" t="s">
        <v>1654</v>
      </c>
      <c r="Z38" s="61"/>
      <c r="AA38" t="s">
        <v>161</v>
      </c>
      <c r="AB38" t="s">
        <v>49</v>
      </c>
      <c r="AC38" t="s">
        <v>493</v>
      </c>
      <c r="AD38">
        <v>2024</v>
      </c>
      <c r="AF38" t="s">
        <v>494</v>
      </c>
      <c r="AG38" t="s">
        <v>508</v>
      </c>
      <c r="AH38" t="s">
        <v>509</v>
      </c>
      <c r="AI38" t="s">
        <v>510</v>
      </c>
      <c r="AJ38" t="s">
        <v>511</v>
      </c>
    </row>
    <row r="39" spans="1:36">
      <c r="A39" t="s">
        <v>499</v>
      </c>
      <c r="B39" t="s">
        <v>500</v>
      </c>
      <c r="C39" t="s">
        <v>501</v>
      </c>
      <c r="D39" t="s">
        <v>502</v>
      </c>
      <c r="E39" s="63" t="s">
        <v>503</v>
      </c>
      <c r="G39" t="s">
        <v>162</v>
      </c>
      <c r="N39" t="s">
        <v>28</v>
      </c>
      <c r="O39" t="s">
        <v>504</v>
      </c>
      <c r="Q39" t="s">
        <v>28</v>
      </c>
      <c r="R39" t="s">
        <v>505</v>
      </c>
      <c r="S39" t="s">
        <v>505</v>
      </c>
      <c r="U39" t="s">
        <v>395</v>
      </c>
      <c r="V39" t="s">
        <v>196</v>
      </c>
      <c r="W39" t="s">
        <v>1655</v>
      </c>
      <c r="X39" s="76">
        <v>68</v>
      </c>
      <c r="Y39" t="s">
        <v>1654</v>
      </c>
      <c r="Z39" s="61"/>
      <c r="AA39" t="s">
        <v>161</v>
      </c>
      <c r="AB39" t="s">
        <v>68</v>
      </c>
      <c r="AC39" t="s">
        <v>469</v>
      </c>
      <c r="AD39">
        <v>2024</v>
      </c>
      <c r="AF39" t="s">
        <v>507</v>
      </c>
      <c r="AG39" t="s">
        <v>1497</v>
      </c>
      <c r="AH39" t="s">
        <v>1498</v>
      </c>
      <c r="AI39" t="s">
        <v>1499</v>
      </c>
      <c r="AJ39" t="s">
        <v>1500</v>
      </c>
    </row>
    <row r="40" spans="1:36">
      <c r="A40" t="s">
        <v>512</v>
      </c>
      <c r="B40" t="s">
        <v>513</v>
      </c>
      <c r="C40" t="s">
        <v>514</v>
      </c>
      <c r="D40" t="s">
        <v>515</v>
      </c>
      <c r="E40" s="63" t="s">
        <v>516</v>
      </c>
      <c r="G40" t="s">
        <v>175</v>
      </c>
      <c r="N40" t="s">
        <v>28</v>
      </c>
      <c r="O40" t="s">
        <v>517</v>
      </c>
      <c r="Q40" t="s">
        <v>28</v>
      </c>
      <c r="R40" t="s">
        <v>518</v>
      </c>
      <c r="S40" t="s">
        <v>518</v>
      </c>
      <c r="U40" t="s">
        <v>395</v>
      </c>
      <c r="V40" t="s">
        <v>196</v>
      </c>
      <c r="W40" t="s">
        <v>67</v>
      </c>
      <c r="X40" s="76">
        <v>2639</v>
      </c>
      <c r="Y40" t="s">
        <v>1654</v>
      </c>
      <c r="Z40" s="61"/>
      <c r="AA40" t="s">
        <v>161</v>
      </c>
      <c r="AB40" t="s">
        <v>88</v>
      </c>
      <c r="AC40" t="s">
        <v>1529</v>
      </c>
      <c r="AD40">
        <v>2024</v>
      </c>
      <c r="AF40" t="s">
        <v>519</v>
      </c>
      <c r="AG40" t="s">
        <v>520</v>
      </c>
      <c r="AH40" t="s">
        <v>521</v>
      </c>
      <c r="AI40" t="s">
        <v>522</v>
      </c>
      <c r="AJ40" t="s">
        <v>523</v>
      </c>
    </row>
    <row r="41" spans="1:36">
      <c r="A41" t="s">
        <v>524</v>
      </c>
      <c r="B41" t="s">
        <v>525</v>
      </c>
      <c r="C41" t="s">
        <v>526</v>
      </c>
      <c r="D41" t="s">
        <v>527</v>
      </c>
      <c r="E41" s="63" t="s">
        <v>528</v>
      </c>
      <c r="G41" t="s">
        <v>188</v>
      </c>
      <c r="N41" t="s">
        <v>28</v>
      </c>
      <c r="O41" t="s">
        <v>529</v>
      </c>
      <c r="Q41" t="s">
        <v>28</v>
      </c>
      <c r="R41" t="s">
        <v>530</v>
      </c>
      <c r="S41" t="s">
        <v>530</v>
      </c>
      <c r="U41" t="s">
        <v>395</v>
      </c>
      <c r="V41" t="s">
        <v>196</v>
      </c>
      <c r="W41" t="s">
        <v>87</v>
      </c>
      <c r="X41" s="76">
        <v>132319</v>
      </c>
      <c r="Y41" t="s">
        <v>1654</v>
      </c>
      <c r="Z41" s="61"/>
      <c r="AA41" t="s">
        <v>174</v>
      </c>
      <c r="AB41" t="s">
        <v>32</v>
      </c>
      <c r="AC41" t="s">
        <v>1381</v>
      </c>
      <c r="AD41">
        <v>2024</v>
      </c>
      <c r="AF41" t="s">
        <v>532</v>
      </c>
      <c r="AG41" t="s">
        <v>533</v>
      </c>
      <c r="AH41" t="s">
        <v>534</v>
      </c>
      <c r="AI41" t="s">
        <v>535</v>
      </c>
      <c r="AJ41" t="s">
        <v>536</v>
      </c>
    </row>
    <row r="42" spans="1:36">
      <c r="A42" t="s">
        <v>537</v>
      </c>
      <c r="B42" t="s">
        <v>538</v>
      </c>
      <c r="C42" t="s">
        <v>539</v>
      </c>
      <c r="D42" t="s">
        <v>540</v>
      </c>
      <c r="E42" s="63" t="s">
        <v>541</v>
      </c>
      <c r="G42" t="s">
        <v>435</v>
      </c>
      <c r="N42" t="s">
        <v>28</v>
      </c>
      <c r="O42" t="s">
        <v>542</v>
      </c>
      <c r="Q42" t="s">
        <v>28</v>
      </c>
      <c r="R42" t="s">
        <v>543</v>
      </c>
      <c r="S42" t="s">
        <v>543</v>
      </c>
      <c r="U42" t="s">
        <v>442</v>
      </c>
      <c r="V42" t="s">
        <v>225</v>
      </c>
      <c r="W42" t="s">
        <v>1653</v>
      </c>
      <c r="X42" s="76">
        <v>1</v>
      </c>
      <c r="Y42" t="s">
        <v>1654</v>
      </c>
      <c r="Z42" s="61"/>
      <c r="AA42" t="s">
        <v>174</v>
      </c>
      <c r="AB42" t="s">
        <v>49</v>
      </c>
      <c r="AC42" t="s">
        <v>1381</v>
      </c>
      <c r="AD42">
        <v>2024</v>
      </c>
      <c r="AF42" t="s">
        <v>545</v>
      </c>
      <c r="AG42" t="s">
        <v>546</v>
      </c>
      <c r="AH42" t="s">
        <v>547</v>
      </c>
      <c r="AI42" t="s">
        <v>548</v>
      </c>
      <c r="AJ42" t="s">
        <v>549</v>
      </c>
    </row>
    <row r="43" spans="1:36">
      <c r="A43" t="s">
        <v>550</v>
      </c>
      <c r="B43" t="s">
        <v>551</v>
      </c>
      <c r="C43" t="s">
        <v>552</v>
      </c>
      <c r="D43" t="s">
        <v>553</v>
      </c>
      <c r="E43" s="63" t="s">
        <v>554</v>
      </c>
      <c r="G43" t="s">
        <v>449</v>
      </c>
      <c r="N43" t="s">
        <v>28</v>
      </c>
      <c r="O43" t="s">
        <v>555</v>
      </c>
      <c r="Q43" t="s">
        <v>28</v>
      </c>
      <c r="R43" t="s">
        <v>556</v>
      </c>
      <c r="S43" t="s">
        <v>556</v>
      </c>
      <c r="U43" t="s">
        <v>442</v>
      </c>
      <c r="V43" t="s">
        <v>225</v>
      </c>
      <c r="W43" t="s">
        <v>1655</v>
      </c>
      <c r="X43" s="76">
        <v>1</v>
      </c>
      <c r="Y43" t="s">
        <v>1654</v>
      </c>
      <c r="Z43" s="61"/>
      <c r="AA43" t="s">
        <v>174</v>
      </c>
      <c r="AB43" t="s">
        <v>68</v>
      </c>
      <c r="AC43" t="s">
        <v>1530</v>
      </c>
      <c r="AD43">
        <v>2024</v>
      </c>
      <c r="AF43" t="s">
        <v>557</v>
      </c>
      <c r="AG43" t="s">
        <v>558</v>
      </c>
      <c r="AH43" t="s">
        <v>559</v>
      </c>
      <c r="AI43" t="s">
        <v>560</v>
      </c>
      <c r="AJ43" t="s">
        <v>561</v>
      </c>
    </row>
    <row r="44" spans="1:36">
      <c r="A44" t="s">
        <v>562</v>
      </c>
      <c r="B44" t="s">
        <v>563</v>
      </c>
      <c r="C44" t="s">
        <v>564</v>
      </c>
      <c r="D44" t="s">
        <v>565</v>
      </c>
      <c r="E44" s="63" t="s">
        <v>566</v>
      </c>
      <c r="G44" t="s">
        <v>201</v>
      </c>
      <c r="N44" t="s">
        <v>28</v>
      </c>
      <c r="O44" t="s">
        <v>567</v>
      </c>
      <c r="Q44" t="s">
        <v>28</v>
      </c>
      <c r="R44" t="s">
        <v>568</v>
      </c>
      <c r="S44" t="s">
        <v>568</v>
      </c>
      <c r="U44" t="s">
        <v>442</v>
      </c>
      <c r="V44" t="s">
        <v>225</v>
      </c>
      <c r="W44" t="s">
        <v>67</v>
      </c>
      <c r="X44" s="76">
        <v>7</v>
      </c>
      <c r="Y44" t="s">
        <v>1654</v>
      </c>
      <c r="Z44" s="61"/>
      <c r="AA44" t="s">
        <v>174</v>
      </c>
      <c r="AB44" t="s">
        <v>88</v>
      </c>
      <c r="AC44" t="s">
        <v>456</v>
      </c>
      <c r="AD44">
        <v>2024</v>
      </c>
      <c r="AF44" t="s">
        <v>570</v>
      </c>
      <c r="AG44" t="s">
        <v>571</v>
      </c>
      <c r="AH44" t="s">
        <v>572</v>
      </c>
      <c r="AI44" t="s">
        <v>573</v>
      </c>
      <c r="AJ44" t="s">
        <v>574</v>
      </c>
    </row>
    <row r="45" spans="1:36" ht="216">
      <c r="A45" t="s">
        <v>575</v>
      </c>
      <c r="B45" t="s">
        <v>576</v>
      </c>
      <c r="C45" t="s">
        <v>577</v>
      </c>
      <c r="D45" t="s">
        <v>578</v>
      </c>
      <c r="E45" s="63" t="s">
        <v>579</v>
      </c>
      <c r="G45" t="s">
        <v>462</v>
      </c>
      <c r="N45" t="s">
        <v>28</v>
      </c>
      <c r="O45" t="s">
        <v>580</v>
      </c>
      <c r="Q45" t="s">
        <v>28</v>
      </c>
      <c r="R45" t="s">
        <v>581</v>
      </c>
      <c r="S45" t="s">
        <v>581</v>
      </c>
      <c r="U45" t="s">
        <v>442</v>
      </c>
      <c r="V45" t="s">
        <v>225</v>
      </c>
      <c r="W45" t="s">
        <v>87</v>
      </c>
      <c r="X45" s="76">
        <v>130</v>
      </c>
      <c r="Y45" t="s">
        <v>1654</v>
      </c>
      <c r="Z45" s="61"/>
      <c r="AA45" t="s">
        <v>187</v>
      </c>
      <c r="AB45" t="s">
        <v>32</v>
      </c>
      <c r="AC45" t="s">
        <v>204</v>
      </c>
      <c r="AD45">
        <v>2024</v>
      </c>
      <c r="AF45" t="s">
        <v>583</v>
      </c>
      <c r="AG45" s="128" t="s">
        <v>1691</v>
      </c>
      <c r="AH45" s="128" t="s">
        <v>1692</v>
      </c>
      <c r="AI45" s="128" t="s">
        <v>1693</v>
      </c>
      <c r="AJ45" s="128" t="s">
        <v>1694</v>
      </c>
    </row>
    <row r="46" spans="1:36" ht="201.6">
      <c r="A46" t="s">
        <v>250</v>
      </c>
      <c r="B46" t="s">
        <v>151</v>
      </c>
      <c r="C46" t="s">
        <v>584</v>
      </c>
      <c r="D46" t="s">
        <v>585</v>
      </c>
      <c r="E46" s="63" t="s">
        <v>586</v>
      </c>
      <c r="G46" t="s">
        <v>475</v>
      </c>
      <c r="N46" t="s">
        <v>28</v>
      </c>
      <c r="O46" t="s">
        <v>587</v>
      </c>
      <c r="Q46" t="s">
        <v>28</v>
      </c>
      <c r="R46" t="s">
        <v>588</v>
      </c>
      <c r="S46" t="s">
        <v>588</v>
      </c>
      <c r="U46" t="s">
        <v>492</v>
      </c>
      <c r="V46" t="s">
        <v>245</v>
      </c>
      <c r="W46" t="s">
        <v>1653</v>
      </c>
      <c r="X46" s="76">
        <v>7</v>
      </c>
      <c r="Y46" t="s">
        <v>1654</v>
      </c>
      <c r="Z46" s="61"/>
      <c r="AA46" t="s">
        <v>187</v>
      </c>
      <c r="AB46" t="s">
        <v>49</v>
      </c>
      <c r="AC46" t="s">
        <v>590</v>
      </c>
      <c r="AD46">
        <v>2024</v>
      </c>
      <c r="AF46" t="s">
        <v>591</v>
      </c>
      <c r="AG46" s="128" t="s">
        <v>1700</v>
      </c>
      <c r="AH46" s="128" t="s">
        <v>1701</v>
      </c>
      <c r="AI46" s="128" t="s">
        <v>1702</v>
      </c>
      <c r="AJ46" s="128" t="s">
        <v>1703</v>
      </c>
    </row>
    <row r="47" spans="1:36">
      <c r="A47" t="s">
        <v>592</v>
      </c>
      <c r="B47" t="s">
        <v>593</v>
      </c>
      <c r="C47" t="s">
        <v>594</v>
      </c>
      <c r="D47" t="s">
        <v>595</v>
      </c>
      <c r="E47" s="63" t="s">
        <v>596</v>
      </c>
      <c r="G47" t="s">
        <v>485</v>
      </c>
      <c r="N47" t="s">
        <v>28</v>
      </c>
      <c r="O47" t="s">
        <v>597</v>
      </c>
      <c r="Q47" t="s">
        <v>28</v>
      </c>
      <c r="R47" t="s">
        <v>598</v>
      </c>
      <c r="S47" t="s">
        <v>598</v>
      </c>
      <c r="U47" t="s">
        <v>492</v>
      </c>
      <c r="V47" t="s">
        <v>245</v>
      </c>
      <c r="W47" t="s">
        <v>1655</v>
      </c>
      <c r="X47" s="76">
        <v>6</v>
      </c>
      <c r="Y47" t="s">
        <v>1654</v>
      </c>
      <c r="Z47" s="61"/>
      <c r="AA47" t="s">
        <v>187</v>
      </c>
      <c r="AB47" t="s">
        <v>68</v>
      </c>
      <c r="AC47" t="s">
        <v>1424</v>
      </c>
      <c r="AD47">
        <v>2024</v>
      </c>
      <c r="AF47" t="s">
        <v>600</v>
      </c>
      <c r="AG47" t="s">
        <v>601</v>
      </c>
      <c r="AH47" t="s">
        <v>602</v>
      </c>
      <c r="AI47" t="s">
        <v>603</v>
      </c>
      <c r="AJ47" t="s">
        <v>604</v>
      </c>
    </row>
    <row r="48" spans="1:36">
      <c r="A48" t="s">
        <v>605</v>
      </c>
      <c r="B48" t="s">
        <v>606</v>
      </c>
      <c r="C48" t="s">
        <v>607</v>
      </c>
      <c r="D48" t="s">
        <v>608</v>
      </c>
      <c r="E48" s="63" t="s">
        <v>609</v>
      </c>
      <c r="G48" t="s">
        <v>499</v>
      </c>
      <c r="N48" t="s">
        <v>28</v>
      </c>
      <c r="O48" t="s">
        <v>610</v>
      </c>
      <c r="Q48" t="s">
        <v>28</v>
      </c>
      <c r="R48" t="s">
        <v>611</v>
      </c>
      <c r="S48" t="s">
        <v>611</v>
      </c>
      <c r="U48" t="s">
        <v>492</v>
      </c>
      <c r="V48" t="s">
        <v>245</v>
      </c>
      <c r="W48" t="s">
        <v>67</v>
      </c>
      <c r="X48" s="76">
        <v>8</v>
      </c>
      <c r="Y48" t="s">
        <v>1654</v>
      </c>
      <c r="Z48" s="61"/>
      <c r="AA48" t="s">
        <v>187</v>
      </c>
      <c r="AB48" t="s">
        <v>88</v>
      </c>
      <c r="AC48" t="s">
        <v>1531</v>
      </c>
      <c r="AD48">
        <v>2024</v>
      </c>
      <c r="AF48" t="s">
        <v>612</v>
      </c>
      <c r="AG48" t="s">
        <v>613</v>
      </c>
      <c r="AH48" t="s">
        <v>614</v>
      </c>
      <c r="AI48" t="s">
        <v>615</v>
      </c>
      <c r="AJ48" t="s">
        <v>616</v>
      </c>
    </row>
    <row r="49" spans="1:36">
      <c r="A49" t="s">
        <v>617</v>
      </c>
      <c r="B49" t="s">
        <v>618</v>
      </c>
      <c r="C49" t="s">
        <v>619</v>
      </c>
      <c r="D49" t="s">
        <v>620</v>
      </c>
      <c r="E49" s="63" t="s">
        <v>621</v>
      </c>
      <c r="G49" t="s">
        <v>512</v>
      </c>
      <c r="N49" t="s">
        <v>28</v>
      </c>
      <c r="O49" t="s">
        <v>622</v>
      </c>
      <c r="Q49" t="s">
        <v>28</v>
      </c>
      <c r="R49" t="s">
        <v>623</v>
      </c>
      <c r="S49" t="s">
        <v>623</v>
      </c>
      <c r="U49" t="s">
        <v>492</v>
      </c>
      <c r="V49" t="s">
        <v>245</v>
      </c>
      <c r="W49" t="s">
        <v>87</v>
      </c>
      <c r="X49" s="76">
        <v>396</v>
      </c>
      <c r="Y49" t="s">
        <v>1654</v>
      </c>
      <c r="Z49" s="61"/>
      <c r="AA49" t="s">
        <v>182</v>
      </c>
      <c r="AB49" t="s">
        <v>32</v>
      </c>
      <c r="AC49" t="s">
        <v>204</v>
      </c>
      <c r="AD49">
        <v>2024</v>
      </c>
      <c r="AF49" t="s">
        <v>1506</v>
      </c>
      <c r="AG49" t="s">
        <v>1505</v>
      </c>
      <c r="AH49" t="s">
        <v>1509</v>
      </c>
      <c r="AI49" t="s">
        <v>1510</v>
      </c>
      <c r="AJ49" t="s">
        <v>1511</v>
      </c>
    </row>
    <row r="50" spans="1:36">
      <c r="A50" t="s">
        <v>264</v>
      </c>
      <c r="B50" t="s">
        <v>163</v>
      </c>
      <c r="C50" t="s">
        <v>624</v>
      </c>
      <c r="D50" t="s">
        <v>625</v>
      </c>
      <c r="E50" s="63" t="s">
        <v>626</v>
      </c>
      <c r="G50" t="s">
        <v>214</v>
      </c>
      <c r="N50" t="s">
        <v>61</v>
      </c>
      <c r="O50" t="s">
        <v>114</v>
      </c>
      <c r="Q50" t="s">
        <v>44</v>
      </c>
      <c r="R50" t="s">
        <v>627</v>
      </c>
      <c r="S50" t="s">
        <v>543</v>
      </c>
      <c r="U50" t="s">
        <v>544</v>
      </c>
      <c r="V50" t="s">
        <v>47</v>
      </c>
      <c r="W50" t="s">
        <v>1653</v>
      </c>
      <c r="X50" s="76">
        <v>103</v>
      </c>
      <c r="Y50" t="s">
        <v>1654</v>
      </c>
      <c r="Z50" s="61"/>
      <c r="AA50" t="s">
        <v>182</v>
      </c>
      <c r="AB50" t="s">
        <v>49</v>
      </c>
      <c r="AC50" t="s">
        <v>204</v>
      </c>
      <c r="AD50">
        <v>2024</v>
      </c>
      <c r="AF50" t="s">
        <v>1507</v>
      </c>
      <c r="AG50" t="s">
        <v>1508</v>
      </c>
      <c r="AH50" t="s">
        <v>1512</v>
      </c>
      <c r="AI50" t="s">
        <v>1513</v>
      </c>
      <c r="AJ50" t="s">
        <v>1514</v>
      </c>
    </row>
    <row r="51" spans="1:36">
      <c r="A51" t="s">
        <v>629</v>
      </c>
      <c r="B51" t="s">
        <v>630</v>
      </c>
      <c r="C51" t="s">
        <v>631</v>
      </c>
      <c r="D51" t="s">
        <v>632</v>
      </c>
      <c r="E51" s="63" t="s">
        <v>633</v>
      </c>
      <c r="G51" t="s">
        <v>524</v>
      </c>
      <c r="N51" t="s">
        <v>61</v>
      </c>
      <c r="O51" t="s">
        <v>126</v>
      </c>
      <c r="Q51" t="s">
        <v>44</v>
      </c>
      <c r="R51" t="s">
        <v>634</v>
      </c>
      <c r="S51" t="s">
        <v>505</v>
      </c>
      <c r="U51" t="s">
        <v>544</v>
      </c>
      <c r="V51" t="s">
        <v>47</v>
      </c>
      <c r="W51" t="s">
        <v>1655</v>
      </c>
      <c r="X51" s="76">
        <v>24</v>
      </c>
      <c r="Y51" t="s">
        <v>1654</v>
      </c>
      <c r="Z51" s="61"/>
      <c r="AA51" t="s">
        <v>182</v>
      </c>
      <c r="AB51" t="s">
        <v>68</v>
      </c>
      <c r="AC51" t="s">
        <v>635</v>
      </c>
      <c r="AD51">
        <v>2024</v>
      </c>
      <c r="AF51" t="s">
        <v>1518</v>
      </c>
      <c r="AG51" t="s">
        <v>1519</v>
      </c>
      <c r="AH51" t="s">
        <v>1520</v>
      </c>
      <c r="AI51" t="s">
        <v>1521</v>
      </c>
      <c r="AJ51" t="s">
        <v>1522</v>
      </c>
    </row>
    <row r="52" spans="1:36">
      <c r="A52" t="s">
        <v>288</v>
      </c>
      <c r="B52" t="s">
        <v>176</v>
      </c>
      <c r="C52" t="s">
        <v>636</v>
      </c>
      <c r="D52" t="s">
        <v>637</v>
      </c>
      <c r="E52" s="63" t="s">
        <v>638</v>
      </c>
      <c r="G52" t="s">
        <v>537</v>
      </c>
      <c r="N52" t="s">
        <v>61</v>
      </c>
      <c r="O52" t="s">
        <v>187</v>
      </c>
      <c r="Q52" t="s">
        <v>44</v>
      </c>
      <c r="R52" t="s">
        <v>639</v>
      </c>
      <c r="S52" t="s">
        <v>265</v>
      </c>
      <c r="U52" t="s">
        <v>544</v>
      </c>
      <c r="V52" t="s">
        <v>47</v>
      </c>
      <c r="W52" t="s">
        <v>67</v>
      </c>
      <c r="X52" s="76">
        <v>85</v>
      </c>
      <c r="Y52" t="s">
        <v>1654</v>
      </c>
      <c r="Z52" s="61"/>
      <c r="AA52" t="s">
        <v>182</v>
      </c>
      <c r="AB52" t="s">
        <v>88</v>
      </c>
      <c r="AC52" t="s">
        <v>1532</v>
      </c>
      <c r="AD52">
        <v>2024</v>
      </c>
      <c r="AF52" t="s">
        <v>1696</v>
      </c>
      <c r="AG52" t="s">
        <v>1695</v>
      </c>
      <c r="AH52" t="s">
        <v>1697</v>
      </c>
      <c r="AI52" t="s">
        <v>1698</v>
      </c>
      <c r="AJ52" s="129" t="s">
        <v>1699</v>
      </c>
    </row>
    <row r="53" spans="1:36">
      <c r="A53" t="s">
        <v>640</v>
      </c>
      <c r="B53" t="s">
        <v>641</v>
      </c>
      <c r="C53" t="s">
        <v>642</v>
      </c>
      <c r="D53" t="s">
        <v>643</v>
      </c>
      <c r="E53" s="63" t="s">
        <v>644</v>
      </c>
      <c r="G53" t="s">
        <v>550</v>
      </c>
      <c r="N53" t="s">
        <v>61</v>
      </c>
      <c r="O53" t="s">
        <v>225</v>
      </c>
      <c r="Q53" t="s">
        <v>44</v>
      </c>
      <c r="R53" t="s">
        <v>645</v>
      </c>
      <c r="S53" t="s">
        <v>581</v>
      </c>
      <c r="U53" t="s">
        <v>544</v>
      </c>
      <c r="V53" t="s">
        <v>47</v>
      </c>
      <c r="W53" t="s">
        <v>87</v>
      </c>
      <c r="X53" s="76">
        <v>12600</v>
      </c>
      <c r="Y53" t="s">
        <v>1654</v>
      </c>
      <c r="Z53" s="61"/>
      <c r="AA53" t="s">
        <v>196</v>
      </c>
      <c r="AB53" t="s">
        <v>32</v>
      </c>
      <c r="AC53" t="s">
        <v>329</v>
      </c>
      <c r="AD53">
        <v>2024</v>
      </c>
    </row>
    <row r="54" spans="1:36">
      <c r="A54" t="s">
        <v>646</v>
      </c>
      <c r="B54" t="s">
        <v>647</v>
      </c>
      <c r="C54" t="s">
        <v>648</v>
      </c>
      <c r="D54" t="s">
        <v>649</v>
      </c>
      <c r="E54" s="63" t="s">
        <v>650</v>
      </c>
      <c r="G54" t="s">
        <v>562</v>
      </c>
      <c r="N54" t="s">
        <v>61</v>
      </c>
      <c r="O54" t="s">
        <v>245</v>
      </c>
      <c r="Q54" t="s">
        <v>44</v>
      </c>
      <c r="R54" t="s">
        <v>111</v>
      </c>
      <c r="S54" t="s">
        <v>30</v>
      </c>
      <c r="U54" t="s">
        <v>1658</v>
      </c>
      <c r="V54" t="s">
        <v>314</v>
      </c>
      <c r="W54" t="s">
        <v>1653</v>
      </c>
      <c r="X54" s="76">
        <v>165</v>
      </c>
      <c r="Y54" t="s">
        <v>1654</v>
      </c>
      <c r="Z54" s="61"/>
      <c r="AA54" t="s">
        <v>196</v>
      </c>
      <c r="AB54" t="s">
        <v>49</v>
      </c>
      <c r="AC54" t="s">
        <v>652</v>
      </c>
      <c r="AD54">
        <v>2024</v>
      </c>
    </row>
    <row r="55" spans="1:36">
      <c r="A55" t="s">
        <v>653</v>
      </c>
      <c r="B55" t="s">
        <v>654</v>
      </c>
      <c r="C55" t="s">
        <v>655</v>
      </c>
      <c r="D55" t="s">
        <v>656</v>
      </c>
      <c r="E55" s="63" t="s">
        <v>657</v>
      </c>
      <c r="G55" t="s">
        <v>658</v>
      </c>
      <c r="N55" t="s">
        <v>61</v>
      </c>
      <c r="O55" t="s">
        <v>272</v>
      </c>
      <c r="Q55" t="s">
        <v>44</v>
      </c>
      <c r="R55" t="s">
        <v>346</v>
      </c>
      <c r="S55" t="s">
        <v>86</v>
      </c>
      <c r="U55" t="s">
        <v>1658</v>
      </c>
      <c r="V55" t="s">
        <v>314</v>
      </c>
      <c r="W55" t="s">
        <v>1655</v>
      </c>
      <c r="X55" s="76">
        <v>21</v>
      </c>
      <c r="Y55" t="s">
        <v>1654</v>
      </c>
      <c r="Z55" s="61"/>
      <c r="AA55" t="s">
        <v>196</v>
      </c>
      <c r="AB55" t="s">
        <v>68</v>
      </c>
      <c r="AC55" t="s">
        <v>139</v>
      </c>
      <c r="AD55">
        <v>2024</v>
      </c>
    </row>
    <row r="56" spans="1:36">
      <c r="A56" t="s">
        <v>659</v>
      </c>
      <c r="B56" t="s">
        <v>660</v>
      </c>
      <c r="C56" t="s">
        <v>661</v>
      </c>
      <c r="D56" t="s">
        <v>662</v>
      </c>
      <c r="E56" s="63" t="s">
        <v>663</v>
      </c>
      <c r="G56" t="s">
        <v>226</v>
      </c>
      <c r="N56" t="s">
        <v>61</v>
      </c>
      <c r="O56" t="s">
        <v>296</v>
      </c>
      <c r="Q56" t="s">
        <v>44</v>
      </c>
      <c r="R56" t="s">
        <v>664</v>
      </c>
      <c r="S56" t="s">
        <v>384</v>
      </c>
      <c r="U56" t="s">
        <v>1658</v>
      </c>
      <c r="V56" t="s">
        <v>314</v>
      </c>
      <c r="W56" t="s">
        <v>67</v>
      </c>
      <c r="X56" s="76">
        <v>339</v>
      </c>
      <c r="Y56" t="s">
        <v>1654</v>
      </c>
      <c r="Z56" s="61"/>
      <c r="AA56" t="s">
        <v>196</v>
      </c>
      <c r="AB56" t="s">
        <v>88</v>
      </c>
      <c r="AC56" t="s">
        <v>1533</v>
      </c>
      <c r="AD56">
        <v>2024</v>
      </c>
    </row>
    <row r="57" spans="1:36">
      <c r="A57" t="s">
        <v>665</v>
      </c>
      <c r="B57" t="s">
        <v>666</v>
      </c>
      <c r="C57" t="s">
        <v>667</v>
      </c>
      <c r="D57" t="s">
        <v>668</v>
      </c>
      <c r="E57" s="63" t="s">
        <v>669</v>
      </c>
      <c r="G57" t="s">
        <v>575</v>
      </c>
      <c r="N57" t="s">
        <v>61</v>
      </c>
      <c r="O57" t="s">
        <v>415</v>
      </c>
      <c r="Q57" t="s">
        <v>44</v>
      </c>
      <c r="R57" t="s">
        <v>380</v>
      </c>
      <c r="S57" t="s">
        <v>116</v>
      </c>
      <c r="U57" t="s">
        <v>1658</v>
      </c>
      <c r="V57" t="s">
        <v>314</v>
      </c>
      <c r="W57" t="s">
        <v>87</v>
      </c>
      <c r="X57" s="76">
        <v>9781</v>
      </c>
      <c r="Y57" t="s">
        <v>1654</v>
      </c>
      <c r="Z57" s="61"/>
      <c r="AA57" t="s">
        <v>225</v>
      </c>
      <c r="AB57" t="s">
        <v>49</v>
      </c>
      <c r="AC57" t="s">
        <v>204</v>
      </c>
      <c r="AD57">
        <v>2024</v>
      </c>
    </row>
    <row r="58" spans="1:36">
      <c r="A58" t="s">
        <v>670</v>
      </c>
      <c r="B58" t="s">
        <v>671</v>
      </c>
      <c r="C58" t="s">
        <v>672</v>
      </c>
      <c r="D58" t="s">
        <v>673</v>
      </c>
      <c r="E58" s="63" t="s">
        <v>674</v>
      </c>
      <c r="G58" t="s">
        <v>210</v>
      </c>
      <c r="N58" t="s">
        <v>61</v>
      </c>
      <c r="O58" t="s">
        <v>398</v>
      </c>
      <c r="Q58" t="s">
        <v>44</v>
      </c>
      <c r="R58" t="s">
        <v>424</v>
      </c>
      <c r="S58" t="s">
        <v>138</v>
      </c>
      <c r="U58" t="s">
        <v>589</v>
      </c>
      <c r="V58" t="s">
        <v>65</v>
      </c>
      <c r="W58" t="s">
        <v>1653</v>
      </c>
      <c r="X58" s="76"/>
      <c r="Y58" t="s">
        <v>1654</v>
      </c>
      <c r="Z58" s="61"/>
      <c r="AA58" t="s">
        <v>225</v>
      </c>
      <c r="AB58" t="s">
        <v>68</v>
      </c>
      <c r="AC58" t="s">
        <v>317</v>
      </c>
      <c r="AD58">
        <v>2024</v>
      </c>
    </row>
    <row r="59" spans="1:36">
      <c r="A59" t="s">
        <v>676</v>
      </c>
      <c r="B59" t="s">
        <v>677</v>
      </c>
      <c r="C59" t="s">
        <v>678</v>
      </c>
      <c r="D59" t="s">
        <v>679</v>
      </c>
      <c r="E59" s="63" t="s">
        <v>680</v>
      </c>
      <c r="G59" t="s">
        <v>250</v>
      </c>
      <c r="N59" t="s">
        <v>61</v>
      </c>
      <c r="O59" t="s">
        <v>410</v>
      </c>
      <c r="Q59" t="s">
        <v>44</v>
      </c>
      <c r="R59" t="s">
        <v>211</v>
      </c>
      <c r="S59" t="s">
        <v>48</v>
      </c>
      <c r="U59" t="s">
        <v>589</v>
      </c>
      <c r="V59" t="s">
        <v>65</v>
      </c>
      <c r="W59" t="s">
        <v>1655</v>
      </c>
      <c r="X59" s="76"/>
      <c r="Y59" t="s">
        <v>1654</v>
      </c>
      <c r="Z59" s="61"/>
      <c r="AA59" t="s">
        <v>225</v>
      </c>
      <c r="AB59" t="s">
        <v>88</v>
      </c>
      <c r="AC59" t="s">
        <v>352</v>
      </c>
      <c r="AD59">
        <v>2024</v>
      </c>
    </row>
    <row r="60" spans="1:36">
      <c r="A60" t="s">
        <v>681</v>
      </c>
      <c r="B60" t="s">
        <v>682</v>
      </c>
      <c r="C60" t="s">
        <v>683</v>
      </c>
      <c r="D60" t="s">
        <v>684</v>
      </c>
      <c r="E60" s="63" t="s">
        <v>685</v>
      </c>
      <c r="G60" t="s">
        <v>592</v>
      </c>
      <c r="N60" t="s">
        <v>61</v>
      </c>
      <c r="O60" t="s">
        <v>449</v>
      </c>
      <c r="Q60" t="s">
        <v>44</v>
      </c>
      <c r="R60" t="s">
        <v>686</v>
      </c>
      <c r="S60" t="s">
        <v>340</v>
      </c>
      <c r="U60" t="s">
        <v>589</v>
      </c>
      <c r="V60" t="s">
        <v>65</v>
      </c>
      <c r="W60" t="s">
        <v>67</v>
      </c>
      <c r="X60" s="76"/>
      <c r="Y60" t="s">
        <v>1654</v>
      </c>
      <c r="Z60" s="61"/>
      <c r="AA60" t="s">
        <v>233</v>
      </c>
      <c r="AB60" t="s">
        <v>32</v>
      </c>
      <c r="AC60" t="s">
        <v>1534</v>
      </c>
      <c r="AD60">
        <v>2024</v>
      </c>
    </row>
    <row r="61" spans="1:36">
      <c r="A61" t="s">
        <v>688</v>
      </c>
      <c r="B61" t="s">
        <v>689</v>
      </c>
      <c r="C61" t="s">
        <v>690</v>
      </c>
      <c r="D61" t="s">
        <v>691</v>
      </c>
      <c r="E61" s="63" t="s">
        <v>692</v>
      </c>
      <c r="G61" t="s">
        <v>605</v>
      </c>
      <c r="N61" t="s">
        <v>61</v>
      </c>
      <c r="O61" t="s">
        <v>475</v>
      </c>
      <c r="Q61" t="s">
        <v>44</v>
      </c>
      <c r="R61" t="s">
        <v>693</v>
      </c>
      <c r="S61" t="s">
        <v>417</v>
      </c>
      <c r="U61" t="s">
        <v>589</v>
      </c>
      <c r="V61" t="s">
        <v>65</v>
      </c>
      <c r="W61" t="s">
        <v>87</v>
      </c>
      <c r="X61" s="76"/>
      <c r="Y61" t="s">
        <v>1654</v>
      </c>
      <c r="Z61" s="61"/>
      <c r="AA61" t="s">
        <v>233</v>
      </c>
      <c r="AB61" t="s">
        <v>49</v>
      </c>
      <c r="AC61" t="s">
        <v>1534</v>
      </c>
      <c r="AD61">
        <v>2024</v>
      </c>
    </row>
    <row r="62" spans="1:36">
      <c r="A62" t="s">
        <v>695</v>
      </c>
      <c r="B62" t="s">
        <v>696</v>
      </c>
      <c r="C62" t="s">
        <v>697</v>
      </c>
      <c r="D62" t="s">
        <v>698</v>
      </c>
      <c r="E62" s="63" t="s">
        <v>699</v>
      </c>
      <c r="G62" t="s">
        <v>617</v>
      </c>
      <c r="N62" t="s">
        <v>61</v>
      </c>
      <c r="O62" t="s">
        <v>524</v>
      </c>
      <c r="Q62" t="s">
        <v>44</v>
      </c>
      <c r="R62" t="s">
        <v>700</v>
      </c>
      <c r="S62" t="s">
        <v>278</v>
      </c>
      <c r="U62" t="s">
        <v>628</v>
      </c>
      <c r="V62" t="s">
        <v>296</v>
      </c>
      <c r="W62" t="s">
        <v>1653</v>
      </c>
      <c r="X62" s="76">
        <v>69</v>
      </c>
      <c r="Y62" t="s">
        <v>1654</v>
      </c>
      <c r="Z62" s="61"/>
      <c r="AA62" t="s">
        <v>233</v>
      </c>
      <c r="AB62" t="s">
        <v>68</v>
      </c>
      <c r="AC62" t="s">
        <v>69</v>
      </c>
      <c r="AD62">
        <v>2024</v>
      </c>
    </row>
    <row r="63" spans="1:36">
      <c r="A63" t="s">
        <v>703</v>
      </c>
      <c r="B63" t="s">
        <v>704</v>
      </c>
      <c r="C63" t="s">
        <v>705</v>
      </c>
      <c r="D63" t="s">
        <v>706</v>
      </c>
      <c r="E63" s="63" t="s">
        <v>707</v>
      </c>
      <c r="G63" t="s">
        <v>264</v>
      </c>
      <c r="N63" t="s">
        <v>61</v>
      </c>
      <c r="O63" t="s">
        <v>537</v>
      </c>
      <c r="Q63" t="s">
        <v>44</v>
      </c>
      <c r="R63" t="s">
        <v>708</v>
      </c>
      <c r="S63" t="s">
        <v>302</v>
      </c>
      <c r="U63" t="s">
        <v>628</v>
      </c>
      <c r="V63" t="s">
        <v>296</v>
      </c>
      <c r="W63" t="s">
        <v>1655</v>
      </c>
      <c r="X63" s="76">
        <v>15</v>
      </c>
      <c r="Y63" t="s">
        <v>1654</v>
      </c>
      <c r="Z63" s="61"/>
      <c r="AA63" t="s">
        <v>233</v>
      </c>
      <c r="AB63" t="s">
        <v>88</v>
      </c>
      <c r="AC63" t="s">
        <v>569</v>
      </c>
      <c r="AD63">
        <v>2024</v>
      </c>
    </row>
    <row r="64" spans="1:36">
      <c r="A64" t="s">
        <v>710</v>
      </c>
      <c r="B64" t="s">
        <v>711</v>
      </c>
      <c r="C64" t="s">
        <v>712</v>
      </c>
      <c r="D64" t="s">
        <v>713</v>
      </c>
      <c r="E64" s="63" t="s">
        <v>714</v>
      </c>
      <c r="G64" t="s">
        <v>277</v>
      </c>
      <c r="N64" t="s">
        <v>61</v>
      </c>
      <c r="O64" t="s">
        <v>550</v>
      </c>
      <c r="Q64" t="s">
        <v>44</v>
      </c>
      <c r="R64" t="s">
        <v>715</v>
      </c>
      <c r="S64" t="s">
        <v>455</v>
      </c>
      <c r="U64" t="s">
        <v>628</v>
      </c>
      <c r="V64" t="s">
        <v>296</v>
      </c>
      <c r="W64" t="s">
        <v>67</v>
      </c>
      <c r="X64" s="76">
        <v>1810</v>
      </c>
      <c r="Y64" t="s">
        <v>1654</v>
      </c>
      <c r="Z64" s="61"/>
      <c r="AA64" t="s">
        <v>245</v>
      </c>
      <c r="AB64" t="s">
        <v>32</v>
      </c>
      <c r="AC64" t="s">
        <v>754</v>
      </c>
      <c r="AD64">
        <v>2024</v>
      </c>
    </row>
    <row r="65" spans="1:30">
      <c r="A65" t="s">
        <v>716</v>
      </c>
      <c r="B65" t="s">
        <v>717</v>
      </c>
      <c r="C65" t="s">
        <v>718</v>
      </c>
      <c r="D65" t="s">
        <v>719</v>
      </c>
      <c r="E65" s="63" t="s">
        <v>720</v>
      </c>
      <c r="G65" t="s">
        <v>721</v>
      </c>
      <c r="N65" t="s">
        <v>61</v>
      </c>
      <c r="O65" t="s">
        <v>658</v>
      </c>
      <c r="Q65" t="s">
        <v>44</v>
      </c>
      <c r="R65" t="s">
        <v>722</v>
      </c>
      <c r="S65" t="s">
        <v>491</v>
      </c>
      <c r="U65" t="s">
        <v>628</v>
      </c>
      <c r="V65" t="s">
        <v>296</v>
      </c>
      <c r="W65" t="s">
        <v>87</v>
      </c>
      <c r="X65" s="76">
        <v>12000</v>
      </c>
      <c r="Y65" t="s">
        <v>1654</v>
      </c>
      <c r="Z65" s="61"/>
      <c r="AA65" t="s">
        <v>245</v>
      </c>
      <c r="AB65" t="s">
        <v>49</v>
      </c>
      <c r="AC65" t="s">
        <v>1332</v>
      </c>
      <c r="AD65">
        <v>2024</v>
      </c>
    </row>
    <row r="66" spans="1:30">
      <c r="A66" t="s">
        <v>723</v>
      </c>
      <c r="B66" t="s">
        <v>724</v>
      </c>
      <c r="C66" t="s">
        <v>725</v>
      </c>
      <c r="D66" t="s">
        <v>726</v>
      </c>
      <c r="E66" s="63" t="s">
        <v>727</v>
      </c>
      <c r="G66" t="s">
        <v>629</v>
      </c>
      <c r="N66" t="s">
        <v>61</v>
      </c>
      <c r="O66" t="s">
        <v>640</v>
      </c>
      <c r="Q66" t="s">
        <v>44</v>
      </c>
      <c r="R66" t="s">
        <v>728</v>
      </c>
      <c r="S66" t="s">
        <v>611</v>
      </c>
      <c r="U66" t="s">
        <v>651</v>
      </c>
      <c r="V66" t="s">
        <v>322</v>
      </c>
      <c r="W66" t="s">
        <v>1653</v>
      </c>
      <c r="X66" s="76">
        <v>4</v>
      </c>
      <c r="Y66" t="s">
        <v>1654</v>
      </c>
      <c r="Z66" s="61"/>
      <c r="AA66" t="s">
        <v>245</v>
      </c>
      <c r="AB66" t="s">
        <v>68</v>
      </c>
      <c r="AC66" t="s">
        <v>483</v>
      </c>
      <c r="AD66">
        <v>2024</v>
      </c>
    </row>
    <row r="67" spans="1:30">
      <c r="A67" t="s">
        <v>730</v>
      </c>
      <c r="B67" t="s">
        <v>731</v>
      </c>
      <c r="C67" t="s">
        <v>732</v>
      </c>
      <c r="D67" t="s">
        <v>733</v>
      </c>
      <c r="E67" s="63" t="s">
        <v>734</v>
      </c>
      <c r="G67" t="s">
        <v>288</v>
      </c>
      <c r="N67" t="s">
        <v>61</v>
      </c>
      <c r="O67" t="s">
        <v>646</v>
      </c>
      <c r="Q67" t="s">
        <v>44</v>
      </c>
      <c r="R67" t="s">
        <v>735</v>
      </c>
      <c r="S67" t="s">
        <v>588</v>
      </c>
      <c r="U67" t="s">
        <v>651</v>
      </c>
      <c r="V67" t="s">
        <v>322</v>
      </c>
      <c r="W67" t="s">
        <v>1655</v>
      </c>
      <c r="X67" s="76">
        <v>4</v>
      </c>
      <c r="Y67" t="s">
        <v>1654</v>
      </c>
      <c r="Z67" s="61"/>
      <c r="AA67" t="s">
        <v>245</v>
      </c>
      <c r="AB67" t="s">
        <v>88</v>
      </c>
      <c r="AC67" t="s">
        <v>1535</v>
      </c>
      <c r="AD67">
        <v>2024</v>
      </c>
    </row>
    <row r="68" spans="1:30">
      <c r="A68" t="s">
        <v>736</v>
      </c>
      <c r="B68" t="s">
        <v>737</v>
      </c>
      <c r="C68" t="s">
        <v>738</v>
      </c>
      <c r="D68" t="s">
        <v>739</v>
      </c>
      <c r="E68" s="63" t="s">
        <v>740</v>
      </c>
      <c r="G68" t="s">
        <v>659</v>
      </c>
      <c r="N68" t="s">
        <v>61</v>
      </c>
      <c r="O68" t="s">
        <v>741</v>
      </c>
      <c r="Q68" t="s">
        <v>44</v>
      </c>
      <c r="R68" t="s">
        <v>742</v>
      </c>
      <c r="S68" t="s">
        <v>556</v>
      </c>
      <c r="U68" t="s">
        <v>651</v>
      </c>
      <c r="V68" t="s">
        <v>322</v>
      </c>
      <c r="W68" t="s">
        <v>67</v>
      </c>
      <c r="X68" s="76">
        <v>1</v>
      </c>
      <c r="Y68" t="s">
        <v>1654</v>
      </c>
      <c r="Z68" s="61"/>
      <c r="AA68" t="s">
        <v>47</v>
      </c>
      <c r="AB68" t="s">
        <v>32</v>
      </c>
      <c r="AC68" t="s">
        <v>768</v>
      </c>
      <c r="AD68">
        <v>2024</v>
      </c>
    </row>
    <row r="69" spans="1:30">
      <c r="A69" t="s">
        <v>743</v>
      </c>
      <c r="B69" t="s">
        <v>744</v>
      </c>
      <c r="C69" t="s">
        <v>745</v>
      </c>
      <c r="D69" t="s">
        <v>746</v>
      </c>
      <c r="E69" s="63" t="s">
        <v>747</v>
      </c>
      <c r="G69" t="s">
        <v>640</v>
      </c>
      <c r="N69" t="s">
        <v>61</v>
      </c>
      <c r="O69" t="s">
        <v>653</v>
      </c>
      <c r="Q69" t="s">
        <v>44</v>
      </c>
      <c r="R69" t="s">
        <v>748</v>
      </c>
      <c r="S69" t="s">
        <v>360</v>
      </c>
      <c r="U69" t="s">
        <v>651</v>
      </c>
      <c r="V69" t="s">
        <v>322</v>
      </c>
      <c r="W69" t="s">
        <v>87</v>
      </c>
      <c r="X69" s="76">
        <v>1780</v>
      </c>
      <c r="Y69" t="s">
        <v>1654</v>
      </c>
      <c r="Z69" s="61"/>
      <c r="AA69" t="s">
        <v>47</v>
      </c>
      <c r="AB69" t="s">
        <v>49</v>
      </c>
      <c r="AC69" t="s">
        <v>776</v>
      </c>
      <c r="AD69">
        <v>2024</v>
      </c>
    </row>
    <row r="70" spans="1:30">
      <c r="A70" t="s">
        <v>327</v>
      </c>
      <c r="B70" t="s">
        <v>189</v>
      </c>
      <c r="C70" t="s">
        <v>749</v>
      </c>
      <c r="D70" t="s">
        <v>750</v>
      </c>
      <c r="E70" s="63" t="s">
        <v>751</v>
      </c>
      <c r="G70" t="s">
        <v>646</v>
      </c>
      <c r="N70" t="s">
        <v>61</v>
      </c>
      <c r="O70" t="s">
        <v>665</v>
      </c>
      <c r="Q70" t="s">
        <v>44</v>
      </c>
      <c r="R70" t="s">
        <v>752</v>
      </c>
      <c r="S70" t="s">
        <v>428</v>
      </c>
      <c r="U70" t="s">
        <v>675</v>
      </c>
      <c r="V70" t="s">
        <v>334</v>
      </c>
      <c r="W70" t="s">
        <v>1653</v>
      </c>
      <c r="X70" s="76">
        <v>379</v>
      </c>
      <c r="Y70" t="s">
        <v>1654</v>
      </c>
      <c r="Z70" s="61"/>
      <c r="AA70" t="s">
        <v>47</v>
      </c>
      <c r="AB70" t="s">
        <v>68</v>
      </c>
      <c r="AC70" t="s">
        <v>352</v>
      </c>
      <c r="AD70">
        <v>2024</v>
      </c>
    </row>
    <row r="71" spans="1:30">
      <c r="A71" t="s">
        <v>755</v>
      </c>
      <c r="B71" t="s">
        <v>756</v>
      </c>
      <c r="C71" t="s">
        <v>757</v>
      </c>
      <c r="D71" t="s">
        <v>758</v>
      </c>
      <c r="E71" s="63" t="s">
        <v>759</v>
      </c>
      <c r="G71" t="s">
        <v>301</v>
      </c>
      <c r="N71" t="s">
        <v>61</v>
      </c>
      <c r="O71" t="s">
        <v>723</v>
      </c>
      <c r="Q71" t="s">
        <v>44</v>
      </c>
      <c r="R71" t="s">
        <v>760</v>
      </c>
      <c r="S71" t="s">
        <v>482</v>
      </c>
      <c r="U71" t="s">
        <v>675</v>
      </c>
      <c r="V71" t="s">
        <v>334</v>
      </c>
      <c r="W71" t="s">
        <v>1655</v>
      </c>
      <c r="X71" s="76">
        <v>28</v>
      </c>
      <c r="Y71" t="s">
        <v>1654</v>
      </c>
      <c r="Z71" s="61"/>
      <c r="AA71" t="s">
        <v>47</v>
      </c>
      <c r="AB71" t="s">
        <v>88</v>
      </c>
      <c r="AC71" t="s">
        <v>709</v>
      </c>
      <c r="AD71">
        <v>2024</v>
      </c>
    </row>
    <row r="72" spans="1:30">
      <c r="A72" t="s">
        <v>762</v>
      </c>
      <c r="B72" t="s">
        <v>763</v>
      </c>
      <c r="C72" t="s">
        <v>764</v>
      </c>
      <c r="D72" t="s">
        <v>765</v>
      </c>
      <c r="E72" s="63" t="s">
        <v>766</v>
      </c>
      <c r="G72" t="s">
        <v>315</v>
      </c>
      <c r="N72" t="s">
        <v>61</v>
      </c>
      <c r="O72" t="s">
        <v>767</v>
      </c>
      <c r="Q72" t="s">
        <v>44</v>
      </c>
      <c r="R72" t="s">
        <v>356</v>
      </c>
      <c r="S72" t="s">
        <v>103</v>
      </c>
      <c r="U72" t="s">
        <v>675</v>
      </c>
      <c r="V72" t="s">
        <v>334</v>
      </c>
      <c r="W72" t="s">
        <v>67</v>
      </c>
      <c r="X72" s="76">
        <v>543</v>
      </c>
      <c r="Y72" t="s">
        <v>1654</v>
      </c>
      <c r="Z72" s="61"/>
      <c r="AA72" t="s">
        <v>259</v>
      </c>
      <c r="AB72" t="s">
        <v>32</v>
      </c>
      <c r="AC72" t="s">
        <v>794</v>
      </c>
      <c r="AD72">
        <v>2024</v>
      </c>
    </row>
    <row r="73" spans="1:30">
      <c r="A73" t="s">
        <v>769</v>
      </c>
      <c r="B73" t="s">
        <v>770</v>
      </c>
      <c r="C73" t="s">
        <v>771</v>
      </c>
      <c r="D73" t="s">
        <v>772</v>
      </c>
      <c r="E73" s="63" t="s">
        <v>773</v>
      </c>
      <c r="G73" t="s">
        <v>741</v>
      </c>
      <c r="N73" t="s">
        <v>61</v>
      </c>
      <c r="O73" t="s">
        <v>774</v>
      </c>
      <c r="Q73" t="s">
        <v>44</v>
      </c>
      <c r="R73" t="s">
        <v>775</v>
      </c>
      <c r="S73" t="s">
        <v>394</v>
      </c>
      <c r="U73" t="s">
        <v>675</v>
      </c>
      <c r="V73" t="s">
        <v>334</v>
      </c>
      <c r="W73" t="s">
        <v>87</v>
      </c>
      <c r="X73" s="76">
        <v>16546</v>
      </c>
      <c r="Y73" t="s">
        <v>1654</v>
      </c>
      <c r="Z73" s="61"/>
      <c r="AA73" t="s">
        <v>259</v>
      </c>
      <c r="AB73" t="s">
        <v>49</v>
      </c>
      <c r="AC73" t="s">
        <v>635</v>
      </c>
      <c r="AD73">
        <v>2024</v>
      </c>
    </row>
    <row r="74" spans="1:30">
      <c r="A74" t="s">
        <v>777</v>
      </c>
      <c r="B74" t="s">
        <v>778</v>
      </c>
      <c r="C74" t="s">
        <v>779</v>
      </c>
      <c r="D74" t="s">
        <v>780</v>
      </c>
      <c r="E74" s="63" t="s">
        <v>781</v>
      </c>
      <c r="G74" t="s">
        <v>653</v>
      </c>
      <c r="N74" t="s">
        <v>61</v>
      </c>
      <c r="O74" t="s">
        <v>782</v>
      </c>
      <c r="Q74" t="s">
        <v>44</v>
      </c>
      <c r="R74" t="s">
        <v>636</v>
      </c>
      <c r="S74" t="s">
        <v>176</v>
      </c>
      <c r="U74" t="s">
        <v>1659</v>
      </c>
      <c r="V74" t="s">
        <v>85</v>
      </c>
      <c r="W74" t="s">
        <v>1653</v>
      </c>
      <c r="X74" s="76">
        <v>45</v>
      </c>
      <c r="Y74" t="s">
        <v>1654</v>
      </c>
      <c r="Z74" s="61"/>
      <c r="AA74" t="s">
        <v>259</v>
      </c>
      <c r="AB74" t="s">
        <v>68</v>
      </c>
      <c r="AC74" t="s">
        <v>1409</v>
      </c>
      <c r="AD74">
        <v>2024</v>
      </c>
    </row>
    <row r="75" spans="1:30">
      <c r="A75" t="s">
        <v>784</v>
      </c>
      <c r="B75" t="s">
        <v>785</v>
      </c>
      <c r="C75" t="s">
        <v>786</v>
      </c>
      <c r="D75" t="s">
        <v>787</v>
      </c>
      <c r="E75" s="63" t="s">
        <v>788</v>
      </c>
      <c r="G75" t="s">
        <v>665</v>
      </c>
      <c r="N75" t="s">
        <v>61</v>
      </c>
      <c r="O75" t="s">
        <v>789</v>
      </c>
      <c r="Q75" t="s">
        <v>44</v>
      </c>
      <c r="R75" t="s">
        <v>749</v>
      </c>
      <c r="S75" t="s">
        <v>189</v>
      </c>
      <c r="U75" t="s">
        <v>1659</v>
      </c>
      <c r="V75" t="s">
        <v>85</v>
      </c>
      <c r="W75" t="s">
        <v>1655</v>
      </c>
      <c r="X75" s="76">
        <v>45</v>
      </c>
      <c r="Y75" t="s">
        <v>1654</v>
      </c>
      <c r="Z75" s="61"/>
      <c r="AA75" t="s">
        <v>259</v>
      </c>
      <c r="AB75" t="s">
        <v>88</v>
      </c>
      <c r="AC75" t="s">
        <v>374</v>
      </c>
      <c r="AD75">
        <v>2024</v>
      </c>
    </row>
    <row r="76" spans="1:30">
      <c r="A76" t="s">
        <v>339</v>
      </c>
      <c r="B76" t="s">
        <v>202</v>
      </c>
      <c r="C76" t="s">
        <v>790</v>
      </c>
      <c r="D76" t="s">
        <v>791</v>
      </c>
      <c r="E76" s="63" t="s">
        <v>792</v>
      </c>
      <c r="G76" t="s">
        <v>670</v>
      </c>
      <c r="N76" t="s">
        <v>61</v>
      </c>
      <c r="O76" t="s">
        <v>793</v>
      </c>
      <c r="Q76" t="s">
        <v>44</v>
      </c>
      <c r="R76" t="s">
        <v>790</v>
      </c>
      <c r="S76" t="s">
        <v>202</v>
      </c>
      <c r="U76" t="s">
        <v>1659</v>
      </c>
      <c r="V76" t="s">
        <v>85</v>
      </c>
      <c r="W76" t="s">
        <v>67</v>
      </c>
      <c r="X76" s="76">
        <v>324</v>
      </c>
      <c r="Y76" t="s">
        <v>1654</v>
      </c>
      <c r="Z76" s="61"/>
      <c r="AA76" t="s">
        <v>272</v>
      </c>
      <c r="AB76" t="s">
        <v>32</v>
      </c>
      <c r="AC76" t="s">
        <v>1452</v>
      </c>
      <c r="AD76">
        <v>2024</v>
      </c>
    </row>
    <row r="77" spans="1:30">
      <c r="A77" t="s">
        <v>349</v>
      </c>
      <c r="B77" t="s">
        <v>215</v>
      </c>
      <c r="C77" t="s">
        <v>795</v>
      </c>
      <c r="D77" t="s">
        <v>796</v>
      </c>
      <c r="E77" s="63" t="s">
        <v>797</v>
      </c>
      <c r="G77" t="s">
        <v>676</v>
      </c>
      <c r="N77" t="s">
        <v>61</v>
      </c>
      <c r="O77" t="s">
        <v>798</v>
      </c>
      <c r="Q77" t="s">
        <v>44</v>
      </c>
      <c r="R77" t="s">
        <v>795</v>
      </c>
      <c r="S77" t="s">
        <v>215</v>
      </c>
      <c r="U77" t="s">
        <v>1659</v>
      </c>
      <c r="V77" t="s">
        <v>85</v>
      </c>
      <c r="W77" t="s">
        <v>87</v>
      </c>
      <c r="X77" s="76">
        <v>45707</v>
      </c>
      <c r="Y77" t="s">
        <v>1654</v>
      </c>
      <c r="Z77" s="61"/>
      <c r="AA77" t="s">
        <v>272</v>
      </c>
      <c r="AB77" t="s">
        <v>49</v>
      </c>
      <c r="AC77" t="s">
        <v>824</v>
      </c>
      <c r="AD77">
        <v>2024</v>
      </c>
    </row>
    <row r="78" spans="1:30">
      <c r="A78" t="s">
        <v>799</v>
      </c>
      <c r="B78" t="s">
        <v>800</v>
      </c>
      <c r="C78" t="s">
        <v>801</v>
      </c>
      <c r="D78" t="s">
        <v>802</v>
      </c>
      <c r="E78" s="63" t="s">
        <v>803</v>
      </c>
      <c r="G78" t="s">
        <v>681</v>
      </c>
      <c r="N78" t="s">
        <v>61</v>
      </c>
      <c r="O78" t="s">
        <v>804</v>
      </c>
      <c r="Q78" t="s">
        <v>44</v>
      </c>
      <c r="R78" t="s">
        <v>805</v>
      </c>
      <c r="S78" t="s">
        <v>238</v>
      </c>
      <c r="U78" t="s">
        <v>701</v>
      </c>
      <c r="V78" t="s">
        <v>102</v>
      </c>
      <c r="W78" t="s">
        <v>1653</v>
      </c>
      <c r="X78" s="76">
        <v>3044</v>
      </c>
      <c r="Y78" t="s">
        <v>1654</v>
      </c>
      <c r="Z78" s="61"/>
      <c r="AA78" t="s">
        <v>272</v>
      </c>
      <c r="AB78" t="s">
        <v>68</v>
      </c>
      <c r="AC78" t="s">
        <v>635</v>
      </c>
      <c r="AD78">
        <v>2024</v>
      </c>
    </row>
    <row r="79" spans="1:30">
      <c r="A79" t="s">
        <v>808</v>
      </c>
      <c r="B79" t="s">
        <v>809</v>
      </c>
      <c r="C79" t="s">
        <v>810</v>
      </c>
      <c r="D79" t="s">
        <v>811</v>
      </c>
      <c r="E79" s="63" t="s">
        <v>812</v>
      </c>
      <c r="G79" t="s">
        <v>688</v>
      </c>
      <c r="N79" t="s">
        <v>61</v>
      </c>
      <c r="O79" t="s">
        <v>813</v>
      </c>
      <c r="Q79" t="s">
        <v>44</v>
      </c>
      <c r="R79" t="s">
        <v>814</v>
      </c>
      <c r="S79" t="s">
        <v>289</v>
      </c>
      <c r="U79" t="s">
        <v>701</v>
      </c>
      <c r="V79" t="s">
        <v>102</v>
      </c>
      <c r="W79" t="s">
        <v>1655</v>
      </c>
      <c r="X79" s="76">
        <v>42</v>
      </c>
      <c r="Y79" t="s">
        <v>1654</v>
      </c>
      <c r="Z79" s="61"/>
      <c r="AA79" t="s">
        <v>272</v>
      </c>
      <c r="AB79" t="s">
        <v>88</v>
      </c>
      <c r="AC79" t="s">
        <v>841</v>
      </c>
      <c r="AD79">
        <v>2024</v>
      </c>
    </row>
    <row r="80" spans="1:30">
      <c r="A80" t="s">
        <v>816</v>
      </c>
      <c r="B80" t="s">
        <v>817</v>
      </c>
      <c r="C80" t="s">
        <v>818</v>
      </c>
      <c r="D80" t="s">
        <v>819</v>
      </c>
      <c r="E80" s="63" t="s">
        <v>820</v>
      </c>
      <c r="G80" t="s">
        <v>821</v>
      </c>
      <c r="N80" t="s">
        <v>61</v>
      </c>
      <c r="O80" t="s">
        <v>822</v>
      </c>
      <c r="Q80" t="s">
        <v>44</v>
      </c>
      <c r="R80" t="s">
        <v>823</v>
      </c>
      <c r="S80" t="s">
        <v>316</v>
      </c>
      <c r="U80" t="s">
        <v>701</v>
      </c>
      <c r="V80" t="s">
        <v>102</v>
      </c>
      <c r="W80" t="s">
        <v>67</v>
      </c>
      <c r="X80" s="76">
        <v>243</v>
      </c>
      <c r="Y80" t="s">
        <v>1654</v>
      </c>
      <c r="Z80" s="61"/>
      <c r="AA80" t="s">
        <v>65</v>
      </c>
      <c r="AB80" t="s">
        <v>32</v>
      </c>
      <c r="AC80" t="s">
        <v>1275</v>
      </c>
      <c r="AD80">
        <v>2024</v>
      </c>
    </row>
    <row r="81" spans="1:30">
      <c r="A81" t="s">
        <v>825</v>
      </c>
      <c r="B81" t="s">
        <v>826</v>
      </c>
      <c r="C81" t="s">
        <v>827</v>
      </c>
      <c r="D81" t="s">
        <v>828</v>
      </c>
      <c r="E81" s="63" t="s">
        <v>829</v>
      </c>
      <c r="G81" t="s">
        <v>695</v>
      </c>
      <c r="N81" t="s">
        <v>61</v>
      </c>
      <c r="O81" t="s">
        <v>830</v>
      </c>
      <c r="Q81" t="s">
        <v>44</v>
      </c>
      <c r="R81" t="s">
        <v>831</v>
      </c>
      <c r="S81" t="s">
        <v>518</v>
      </c>
      <c r="U81" t="s">
        <v>701</v>
      </c>
      <c r="V81" t="s">
        <v>102</v>
      </c>
      <c r="W81" t="s">
        <v>87</v>
      </c>
      <c r="X81" s="76">
        <v>619232</v>
      </c>
      <c r="Y81" t="s">
        <v>1654</v>
      </c>
      <c r="Z81" s="61"/>
      <c r="AA81" t="s">
        <v>65</v>
      </c>
      <c r="AB81" t="s">
        <v>49</v>
      </c>
      <c r="AC81" t="s">
        <v>956</v>
      </c>
      <c r="AD81">
        <v>2024</v>
      </c>
    </row>
    <row r="82" spans="1:30">
      <c r="A82" t="s">
        <v>359</v>
      </c>
      <c r="B82" t="s">
        <v>227</v>
      </c>
      <c r="C82" t="s">
        <v>832</v>
      </c>
      <c r="D82" t="s">
        <v>833</v>
      </c>
      <c r="E82" s="63" t="s">
        <v>834</v>
      </c>
      <c r="G82" t="s">
        <v>703</v>
      </c>
      <c r="N82" t="s">
        <v>61</v>
      </c>
      <c r="O82" t="s">
        <v>75</v>
      </c>
      <c r="Q82" t="s">
        <v>44</v>
      </c>
      <c r="R82" t="s">
        <v>835</v>
      </c>
      <c r="S82" t="s">
        <v>404</v>
      </c>
      <c r="U82" t="s">
        <v>729</v>
      </c>
      <c r="V82" t="s">
        <v>367</v>
      </c>
      <c r="W82" t="s">
        <v>1653</v>
      </c>
      <c r="X82" s="76">
        <v>1886</v>
      </c>
      <c r="Y82" t="s">
        <v>1654</v>
      </c>
      <c r="Z82" s="61"/>
      <c r="AA82" t="s">
        <v>65</v>
      </c>
      <c r="AB82" t="s">
        <v>68</v>
      </c>
      <c r="AC82" t="s">
        <v>877</v>
      </c>
      <c r="AD82">
        <v>2024</v>
      </c>
    </row>
    <row r="83" spans="1:30">
      <c r="A83" t="s">
        <v>372</v>
      </c>
      <c r="B83" t="s">
        <v>238</v>
      </c>
      <c r="C83" t="s">
        <v>805</v>
      </c>
      <c r="D83" t="s">
        <v>837</v>
      </c>
      <c r="E83" s="63" t="s">
        <v>838</v>
      </c>
      <c r="G83" t="s">
        <v>710</v>
      </c>
      <c r="N83" t="s">
        <v>61</v>
      </c>
      <c r="O83" t="s">
        <v>839</v>
      </c>
      <c r="Q83" t="s">
        <v>44</v>
      </c>
      <c r="R83" t="s">
        <v>840</v>
      </c>
      <c r="S83" t="s">
        <v>623</v>
      </c>
      <c r="U83" t="s">
        <v>729</v>
      </c>
      <c r="V83" t="s">
        <v>367</v>
      </c>
      <c r="W83" t="s">
        <v>1655</v>
      </c>
      <c r="X83" s="76">
        <v>25</v>
      </c>
      <c r="Y83" t="s">
        <v>1654</v>
      </c>
      <c r="Z83" s="61"/>
      <c r="AA83" t="s">
        <v>65</v>
      </c>
      <c r="AB83" t="s">
        <v>88</v>
      </c>
      <c r="AC83" t="s">
        <v>709</v>
      </c>
      <c r="AD83">
        <v>2024</v>
      </c>
    </row>
    <row r="84" spans="1:30">
      <c r="A84" t="s">
        <v>842</v>
      </c>
      <c r="B84" t="s">
        <v>843</v>
      </c>
      <c r="C84" t="s">
        <v>844</v>
      </c>
      <c r="D84" t="s">
        <v>845</v>
      </c>
      <c r="E84" s="63" t="s">
        <v>846</v>
      </c>
      <c r="G84" t="s">
        <v>716</v>
      </c>
      <c r="N84" t="s">
        <v>61</v>
      </c>
      <c r="O84" t="s">
        <v>847</v>
      </c>
      <c r="Q84" t="s">
        <v>44</v>
      </c>
      <c r="R84" t="s">
        <v>624</v>
      </c>
      <c r="S84" t="s">
        <v>163</v>
      </c>
      <c r="U84" t="s">
        <v>729</v>
      </c>
      <c r="V84" t="s">
        <v>367</v>
      </c>
      <c r="W84" t="s">
        <v>67</v>
      </c>
      <c r="X84" s="76">
        <v>350</v>
      </c>
      <c r="Y84" t="s">
        <v>1654</v>
      </c>
      <c r="Z84" s="61"/>
      <c r="AA84" t="s">
        <v>296</v>
      </c>
      <c r="AB84" t="s">
        <v>32</v>
      </c>
      <c r="AC84" t="s">
        <v>1424</v>
      </c>
      <c r="AD84">
        <v>2024</v>
      </c>
    </row>
    <row r="85" spans="1:30">
      <c r="A85" t="s">
        <v>848</v>
      </c>
      <c r="B85" t="s">
        <v>849</v>
      </c>
      <c r="C85" t="s">
        <v>850</v>
      </c>
      <c r="D85" t="s">
        <v>851</v>
      </c>
      <c r="E85" s="63" t="s">
        <v>852</v>
      </c>
      <c r="G85" t="s">
        <v>723</v>
      </c>
      <c r="N85" t="s">
        <v>24</v>
      </c>
      <c r="O85" t="s">
        <v>19</v>
      </c>
      <c r="Q85" t="s">
        <v>44</v>
      </c>
      <c r="R85" t="s">
        <v>853</v>
      </c>
      <c r="S85" t="s">
        <v>350</v>
      </c>
      <c r="U85" t="s">
        <v>729</v>
      </c>
      <c r="V85" t="s">
        <v>367</v>
      </c>
      <c r="W85" t="s">
        <v>87</v>
      </c>
      <c r="X85" s="76">
        <v>61492</v>
      </c>
      <c r="Y85" t="s">
        <v>1654</v>
      </c>
      <c r="Z85" s="61"/>
      <c r="AA85" t="s">
        <v>296</v>
      </c>
      <c r="AB85" t="s">
        <v>49</v>
      </c>
      <c r="AC85" t="s">
        <v>396</v>
      </c>
      <c r="AD85">
        <v>2024</v>
      </c>
    </row>
    <row r="86" spans="1:30">
      <c r="A86" t="s">
        <v>383</v>
      </c>
      <c r="B86" t="s">
        <v>251</v>
      </c>
      <c r="C86" t="s">
        <v>854</v>
      </c>
      <c r="D86" t="s">
        <v>855</v>
      </c>
      <c r="E86" s="63" t="s">
        <v>856</v>
      </c>
      <c r="G86" t="s">
        <v>730</v>
      </c>
      <c r="N86" t="s">
        <v>24</v>
      </c>
      <c r="O86" t="s">
        <v>149</v>
      </c>
      <c r="Q86" t="s">
        <v>44</v>
      </c>
      <c r="R86" t="s">
        <v>832</v>
      </c>
      <c r="S86" t="s">
        <v>227</v>
      </c>
      <c r="U86" t="s">
        <v>753</v>
      </c>
      <c r="V86" t="s">
        <v>115</v>
      </c>
      <c r="W86" t="s">
        <v>1653</v>
      </c>
      <c r="X86" s="76">
        <v>320</v>
      </c>
      <c r="Y86" t="s">
        <v>1654</v>
      </c>
      <c r="Z86" s="61"/>
      <c r="AA86" t="s">
        <v>296</v>
      </c>
      <c r="AB86" t="s">
        <v>68</v>
      </c>
      <c r="AC86" t="s">
        <v>361</v>
      </c>
      <c r="AD86">
        <v>2024</v>
      </c>
    </row>
    <row r="87" spans="1:30">
      <c r="A87" t="s">
        <v>858</v>
      </c>
      <c r="B87" t="s">
        <v>859</v>
      </c>
      <c r="C87" t="s">
        <v>860</v>
      </c>
      <c r="D87" t="s">
        <v>861</v>
      </c>
      <c r="E87" s="63" t="s">
        <v>862</v>
      </c>
      <c r="G87" t="s">
        <v>736</v>
      </c>
      <c r="N87" t="s">
        <v>24</v>
      </c>
      <c r="O87" t="s">
        <v>196</v>
      </c>
      <c r="Q87" t="s">
        <v>44</v>
      </c>
      <c r="R87" t="s">
        <v>854</v>
      </c>
      <c r="S87" t="s">
        <v>251</v>
      </c>
      <c r="U87" t="s">
        <v>753</v>
      </c>
      <c r="V87" t="s">
        <v>115</v>
      </c>
      <c r="W87" t="s">
        <v>1655</v>
      </c>
      <c r="X87" s="76">
        <v>58</v>
      </c>
      <c r="Y87" t="s">
        <v>1654</v>
      </c>
      <c r="Z87" s="61"/>
      <c r="AA87" t="s">
        <v>296</v>
      </c>
      <c r="AB87" t="s">
        <v>88</v>
      </c>
      <c r="AC87" t="s">
        <v>1402</v>
      </c>
      <c r="AD87">
        <v>2024</v>
      </c>
    </row>
    <row r="88" spans="1:30">
      <c r="A88" t="s">
        <v>863</v>
      </c>
      <c r="B88" t="s">
        <v>864</v>
      </c>
      <c r="C88" t="s">
        <v>865</v>
      </c>
      <c r="D88" t="s">
        <v>866</v>
      </c>
      <c r="E88" s="63" t="s">
        <v>867</v>
      </c>
      <c r="G88" t="s">
        <v>743</v>
      </c>
      <c r="N88" t="s">
        <v>24</v>
      </c>
      <c r="O88" t="s">
        <v>259</v>
      </c>
      <c r="Q88" t="s">
        <v>44</v>
      </c>
      <c r="R88" t="s">
        <v>868</v>
      </c>
      <c r="S88" t="s">
        <v>530</v>
      </c>
      <c r="U88" t="s">
        <v>753</v>
      </c>
      <c r="V88" t="s">
        <v>115</v>
      </c>
      <c r="W88" t="s">
        <v>67</v>
      </c>
      <c r="X88" s="76">
        <v>148</v>
      </c>
      <c r="Y88" t="s">
        <v>1654</v>
      </c>
      <c r="Z88" s="61"/>
      <c r="AA88" t="s">
        <v>322</v>
      </c>
      <c r="AB88" t="s">
        <v>32</v>
      </c>
      <c r="AC88" t="s">
        <v>915</v>
      </c>
      <c r="AD88">
        <v>2024</v>
      </c>
    </row>
    <row r="89" spans="1:30">
      <c r="A89" t="s">
        <v>393</v>
      </c>
      <c r="B89" t="s">
        <v>265</v>
      </c>
      <c r="C89" t="s">
        <v>639</v>
      </c>
      <c r="D89" t="s">
        <v>869</v>
      </c>
      <c r="E89" s="63" t="s">
        <v>870</v>
      </c>
      <c r="G89" t="s">
        <v>327</v>
      </c>
      <c r="N89" t="s">
        <v>24</v>
      </c>
      <c r="O89" t="s">
        <v>322</v>
      </c>
      <c r="Q89" t="s">
        <v>44</v>
      </c>
      <c r="R89" t="s">
        <v>871</v>
      </c>
      <c r="S89" t="s">
        <v>373</v>
      </c>
      <c r="U89" t="s">
        <v>753</v>
      </c>
      <c r="V89" t="s">
        <v>115</v>
      </c>
      <c r="W89" t="s">
        <v>87</v>
      </c>
      <c r="X89" s="76">
        <v>105000</v>
      </c>
      <c r="Y89" t="s">
        <v>1654</v>
      </c>
      <c r="Z89" s="61"/>
      <c r="AA89" t="s">
        <v>322</v>
      </c>
      <c r="AB89" t="s">
        <v>49</v>
      </c>
      <c r="AC89" t="s">
        <v>915</v>
      </c>
      <c r="AD89">
        <v>2024</v>
      </c>
    </row>
    <row r="90" spans="1:30">
      <c r="A90" t="s">
        <v>403</v>
      </c>
      <c r="B90" t="s">
        <v>278</v>
      </c>
      <c r="C90" t="s">
        <v>700</v>
      </c>
      <c r="D90" t="s">
        <v>873</v>
      </c>
      <c r="E90" s="63" t="s">
        <v>874</v>
      </c>
      <c r="G90" t="s">
        <v>755</v>
      </c>
      <c r="N90" t="s">
        <v>24</v>
      </c>
      <c r="O90" t="s">
        <v>367</v>
      </c>
      <c r="Q90" t="s">
        <v>44</v>
      </c>
      <c r="R90" t="s">
        <v>875</v>
      </c>
      <c r="S90" t="s">
        <v>441</v>
      </c>
      <c r="U90" t="s">
        <v>1660</v>
      </c>
      <c r="V90" t="s">
        <v>127</v>
      </c>
      <c r="W90" t="s">
        <v>1653</v>
      </c>
      <c r="X90" s="76">
        <v>46</v>
      </c>
      <c r="Y90" t="s">
        <v>1654</v>
      </c>
      <c r="Z90" s="61"/>
      <c r="AA90" t="s">
        <v>322</v>
      </c>
      <c r="AB90" t="s">
        <v>88</v>
      </c>
      <c r="AC90" t="s">
        <v>361</v>
      </c>
      <c r="AD90">
        <v>2024</v>
      </c>
    </row>
    <row r="91" spans="1:30">
      <c r="A91" t="s">
        <v>767</v>
      </c>
      <c r="B91" t="s">
        <v>878</v>
      </c>
      <c r="C91" t="s">
        <v>879</v>
      </c>
      <c r="D91" t="s">
        <v>880</v>
      </c>
      <c r="E91" s="63" t="s">
        <v>881</v>
      </c>
      <c r="G91" t="s">
        <v>882</v>
      </c>
      <c r="N91" t="s">
        <v>24</v>
      </c>
      <c r="O91" t="s">
        <v>480</v>
      </c>
      <c r="Q91" t="s">
        <v>44</v>
      </c>
      <c r="R91" t="s">
        <v>883</v>
      </c>
      <c r="S91" t="s">
        <v>568</v>
      </c>
      <c r="U91" t="s">
        <v>1660</v>
      </c>
      <c r="V91" t="s">
        <v>127</v>
      </c>
      <c r="W91" t="s">
        <v>1655</v>
      </c>
      <c r="X91" s="76">
        <v>19</v>
      </c>
      <c r="Y91" t="s">
        <v>1654</v>
      </c>
      <c r="Z91" s="61"/>
      <c r="AA91" t="s">
        <v>334</v>
      </c>
      <c r="AB91" t="s">
        <v>32</v>
      </c>
      <c r="AC91" t="s">
        <v>932</v>
      </c>
      <c r="AD91">
        <v>2024</v>
      </c>
    </row>
    <row r="92" spans="1:30">
      <c r="A92" t="s">
        <v>884</v>
      </c>
      <c r="B92" t="s">
        <v>885</v>
      </c>
      <c r="C92" t="s">
        <v>886</v>
      </c>
      <c r="D92" t="s">
        <v>887</v>
      </c>
      <c r="E92" s="63" t="s">
        <v>888</v>
      </c>
      <c r="G92" t="s">
        <v>889</v>
      </c>
      <c r="N92" t="s">
        <v>24</v>
      </c>
      <c r="O92" t="s">
        <v>435</v>
      </c>
      <c r="Q92" t="s">
        <v>44</v>
      </c>
      <c r="R92" t="s">
        <v>890</v>
      </c>
      <c r="S92" t="s">
        <v>468</v>
      </c>
      <c r="U92" t="s">
        <v>1660</v>
      </c>
      <c r="V92" t="s">
        <v>127</v>
      </c>
      <c r="W92" t="s">
        <v>67</v>
      </c>
      <c r="X92" s="76">
        <v>137</v>
      </c>
      <c r="Y92" t="s">
        <v>1654</v>
      </c>
      <c r="Z92" s="61"/>
      <c r="AA92" t="s">
        <v>334</v>
      </c>
      <c r="AB92" t="s">
        <v>49</v>
      </c>
      <c r="AC92" t="s">
        <v>1456</v>
      </c>
      <c r="AD92">
        <v>2024</v>
      </c>
    </row>
    <row r="93" spans="1:30">
      <c r="A93" t="s">
        <v>892</v>
      </c>
      <c r="B93" t="s">
        <v>893</v>
      </c>
      <c r="C93" t="s">
        <v>894</v>
      </c>
      <c r="D93" t="s">
        <v>895</v>
      </c>
      <c r="E93" s="63" t="s">
        <v>896</v>
      </c>
      <c r="G93" t="s">
        <v>762</v>
      </c>
      <c r="N93" t="s">
        <v>24</v>
      </c>
      <c r="O93" t="s">
        <v>592</v>
      </c>
      <c r="Q93" t="s">
        <v>44</v>
      </c>
      <c r="R93" t="s">
        <v>897</v>
      </c>
      <c r="S93" t="s">
        <v>598</v>
      </c>
      <c r="U93" t="s">
        <v>1660</v>
      </c>
      <c r="V93" t="s">
        <v>127</v>
      </c>
      <c r="W93" t="s">
        <v>87</v>
      </c>
      <c r="X93" s="76">
        <v>2270</v>
      </c>
      <c r="Y93" t="s">
        <v>1654</v>
      </c>
      <c r="Z93" s="61"/>
      <c r="AA93" t="s">
        <v>334</v>
      </c>
      <c r="AB93" t="s">
        <v>68</v>
      </c>
      <c r="AC93" t="s">
        <v>1469</v>
      </c>
      <c r="AD93">
        <v>2024</v>
      </c>
    </row>
    <row r="94" spans="1:30">
      <c r="A94" t="s">
        <v>899</v>
      </c>
      <c r="B94" t="s">
        <v>900</v>
      </c>
      <c r="C94" t="s">
        <v>901</v>
      </c>
      <c r="D94" t="s">
        <v>902</v>
      </c>
      <c r="E94" s="63" t="s">
        <v>903</v>
      </c>
      <c r="G94" t="s">
        <v>904</v>
      </c>
      <c r="N94" t="s">
        <v>24</v>
      </c>
      <c r="O94" t="s">
        <v>681</v>
      </c>
      <c r="Q94" t="s">
        <v>44</v>
      </c>
      <c r="R94" t="s">
        <v>584</v>
      </c>
      <c r="S94" t="s">
        <v>151</v>
      </c>
      <c r="U94" t="s">
        <v>1661</v>
      </c>
      <c r="V94" t="s">
        <v>137</v>
      </c>
      <c r="W94" t="s">
        <v>1653</v>
      </c>
      <c r="X94" s="76">
        <v>1194</v>
      </c>
      <c r="Y94" t="s">
        <v>1654</v>
      </c>
      <c r="Z94" s="61"/>
      <c r="AA94" t="s">
        <v>334</v>
      </c>
      <c r="AB94" t="s">
        <v>88</v>
      </c>
      <c r="AC94" t="s">
        <v>950</v>
      </c>
      <c r="AD94">
        <v>2024</v>
      </c>
    </row>
    <row r="95" spans="1:30">
      <c r="A95" t="s">
        <v>416</v>
      </c>
      <c r="B95" t="s">
        <v>289</v>
      </c>
      <c r="C95" t="s">
        <v>814</v>
      </c>
      <c r="D95" t="s">
        <v>906</v>
      </c>
      <c r="E95" s="63" t="s">
        <v>907</v>
      </c>
      <c r="G95" t="s">
        <v>769</v>
      </c>
      <c r="N95" t="s">
        <v>24</v>
      </c>
      <c r="O95" t="s">
        <v>688</v>
      </c>
      <c r="Q95" t="s">
        <v>44</v>
      </c>
      <c r="R95" t="s">
        <v>390</v>
      </c>
      <c r="S95" t="s">
        <v>128</v>
      </c>
      <c r="U95" t="s">
        <v>1661</v>
      </c>
      <c r="V95" t="s">
        <v>137</v>
      </c>
      <c r="W95" t="s">
        <v>1655</v>
      </c>
      <c r="X95" s="76">
        <v>84</v>
      </c>
      <c r="Y95" t="s">
        <v>1654</v>
      </c>
      <c r="Z95" s="61"/>
      <c r="AA95" t="s">
        <v>85</v>
      </c>
      <c r="AB95" t="s">
        <v>32</v>
      </c>
      <c r="AC95" t="s">
        <v>956</v>
      </c>
      <c r="AD95">
        <v>2024</v>
      </c>
    </row>
    <row r="96" spans="1:30">
      <c r="A96" t="s">
        <v>908</v>
      </c>
      <c r="B96" t="s">
        <v>909</v>
      </c>
      <c r="C96" t="s">
        <v>910</v>
      </c>
      <c r="D96" t="s">
        <v>911</v>
      </c>
      <c r="E96" s="63" t="s">
        <v>912</v>
      </c>
      <c r="G96" t="s">
        <v>777</v>
      </c>
      <c r="N96" t="s">
        <v>24</v>
      </c>
      <c r="O96" t="s">
        <v>730</v>
      </c>
      <c r="Q96" t="s">
        <v>44</v>
      </c>
      <c r="R96" t="s">
        <v>913</v>
      </c>
      <c r="S96" t="s">
        <v>914</v>
      </c>
      <c r="U96" t="s">
        <v>1661</v>
      </c>
      <c r="V96" t="s">
        <v>137</v>
      </c>
      <c r="W96" t="s">
        <v>67</v>
      </c>
      <c r="X96" s="76">
        <v>111</v>
      </c>
      <c r="Y96" t="s">
        <v>1654</v>
      </c>
      <c r="Z96" s="61"/>
      <c r="AA96" t="s">
        <v>85</v>
      </c>
      <c r="AB96" t="s">
        <v>49</v>
      </c>
      <c r="AC96" t="s">
        <v>956</v>
      </c>
      <c r="AD96">
        <v>2024</v>
      </c>
    </row>
    <row r="97" spans="1:30">
      <c r="A97" t="s">
        <v>427</v>
      </c>
      <c r="B97" t="s">
        <v>302</v>
      </c>
      <c r="C97" t="s">
        <v>708</v>
      </c>
      <c r="D97" t="s">
        <v>916</v>
      </c>
      <c r="E97" s="63" t="s">
        <v>917</v>
      </c>
      <c r="G97" t="s">
        <v>784</v>
      </c>
      <c r="N97" t="s">
        <v>24</v>
      </c>
      <c r="O97" t="s">
        <v>755</v>
      </c>
      <c r="Q97" t="s">
        <v>44</v>
      </c>
      <c r="R97" t="s">
        <v>285</v>
      </c>
      <c r="S97" t="s">
        <v>66</v>
      </c>
      <c r="U97" t="s">
        <v>1661</v>
      </c>
      <c r="V97" t="s">
        <v>137</v>
      </c>
      <c r="W97" t="s">
        <v>87</v>
      </c>
      <c r="X97" s="76">
        <v>18040</v>
      </c>
      <c r="Y97" t="s">
        <v>1654</v>
      </c>
      <c r="Z97" s="61"/>
      <c r="AA97" t="s">
        <v>85</v>
      </c>
      <c r="AB97" t="s">
        <v>68</v>
      </c>
      <c r="AC97" t="s">
        <v>429</v>
      </c>
      <c r="AD97">
        <v>2024</v>
      </c>
    </row>
    <row r="98" spans="1:30">
      <c r="A98" t="s">
        <v>918</v>
      </c>
      <c r="B98" t="s">
        <v>919</v>
      </c>
      <c r="C98" t="s">
        <v>920</v>
      </c>
      <c r="D98" t="s">
        <v>921</v>
      </c>
      <c r="E98" s="63" t="s">
        <v>922</v>
      </c>
      <c r="G98" t="s">
        <v>339</v>
      </c>
      <c r="N98" t="s">
        <v>24</v>
      </c>
      <c r="O98" t="s">
        <v>882</v>
      </c>
      <c r="Q98" t="s">
        <v>44</v>
      </c>
      <c r="R98" t="s">
        <v>923</v>
      </c>
      <c r="S98" t="s">
        <v>328</v>
      </c>
      <c r="U98" t="s">
        <v>1662</v>
      </c>
      <c r="V98" t="s">
        <v>150</v>
      </c>
      <c r="W98" t="s">
        <v>1653</v>
      </c>
      <c r="X98" s="76">
        <v>102</v>
      </c>
      <c r="Y98" t="s">
        <v>1654</v>
      </c>
      <c r="Z98" s="61"/>
      <c r="AA98" t="s">
        <v>85</v>
      </c>
      <c r="AB98" t="s">
        <v>88</v>
      </c>
      <c r="AC98" t="s">
        <v>971</v>
      </c>
      <c r="AD98">
        <v>2024</v>
      </c>
    </row>
    <row r="99" spans="1:30">
      <c r="A99" t="s">
        <v>925</v>
      </c>
      <c r="B99" t="s">
        <v>926</v>
      </c>
      <c r="C99" t="s">
        <v>927</v>
      </c>
      <c r="D99" t="s">
        <v>928</v>
      </c>
      <c r="E99" s="63" t="s">
        <v>929</v>
      </c>
      <c r="G99" t="s">
        <v>349</v>
      </c>
      <c r="N99" t="s">
        <v>24</v>
      </c>
      <c r="O99" t="s">
        <v>889</v>
      </c>
      <c r="Q99" t="s">
        <v>61</v>
      </c>
      <c r="R99" t="s">
        <v>76</v>
      </c>
      <c r="S99" t="s">
        <v>76</v>
      </c>
      <c r="U99" t="s">
        <v>1662</v>
      </c>
      <c r="V99" t="s">
        <v>150</v>
      </c>
      <c r="W99" t="s">
        <v>1655</v>
      </c>
      <c r="X99" s="76">
        <v>23</v>
      </c>
      <c r="Y99" t="s">
        <v>1654</v>
      </c>
      <c r="Z99" s="61"/>
      <c r="AA99" t="s">
        <v>102</v>
      </c>
      <c r="AB99" t="s">
        <v>32</v>
      </c>
      <c r="AC99" t="s">
        <v>253</v>
      </c>
      <c r="AD99">
        <v>2024</v>
      </c>
    </row>
    <row r="100" spans="1:30">
      <c r="A100" t="s">
        <v>454</v>
      </c>
      <c r="B100" t="s">
        <v>316</v>
      </c>
      <c r="C100" t="s">
        <v>823</v>
      </c>
      <c r="D100" t="s">
        <v>930</v>
      </c>
      <c r="E100" s="63" t="s">
        <v>931</v>
      </c>
      <c r="G100" t="s">
        <v>799</v>
      </c>
      <c r="N100" t="s">
        <v>24</v>
      </c>
      <c r="O100" t="s">
        <v>769</v>
      </c>
      <c r="Q100" t="s">
        <v>61</v>
      </c>
      <c r="R100" t="s">
        <v>122</v>
      </c>
      <c r="S100" t="s">
        <v>122</v>
      </c>
      <c r="U100" t="s">
        <v>1662</v>
      </c>
      <c r="V100" t="s">
        <v>150</v>
      </c>
      <c r="W100" t="s">
        <v>67</v>
      </c>
      <c r="X100" s="76">
        <v>195</v>
      </c>
      <c r="Y100" t="s">
        <v>1654</v>
      </c>
      <c r="Z100" s="61"/>
      <c r="AA100" t="s">
        <v>102</v>
      </c>
      <c r="AB100" t="s">
        <v>49</v>
      </c>
      <c r="AC100" t="s">
        <v>139</v>
      </c>
      <c r="AD100">
        <v>2024</v>
      </c>
    </row>
    <row r="101" spans="1:30">
      <c r="A101" t="s">
        <v>933</v>
      </c>
      <c r="B101" t="s">
        <v>934</v>
      </c>
      <c r="C101" t="s">
        <v>935</v>
      </c>
      <c r="D101" t="s">
        <v>936</v>
      </c>
      <c r="E101" s="63" t="s">
        <v>937</v>
      </c>
      <c r="G101" t="s">
        <v>808</v>
      </c>
      <c r="N101" t="s">
        <v>24</v>
      </c>
      <c r="O101" t="s">
        <v>842</v>
      </c>
      <c r="Q101" t="s">
        <v>61</v>
      </c>
      <c r="R101" t="s">
        <v>132</v>
      </c>
      <c r="S101" t="s">
        <v>132</v>
      </c>
      <c r="U101" t="s">
        <v>1662</v>
      </c>
      <c r="V101" t="s">
        <v>150</v>
      </c>
      <c r="W101" t="s">
        <v>87</v>
      </c>
      <c r="X101" s="76">
        <v>57923</v>
      </c>
      <c r="Y101" t="s">
        <v>1654</v>
      </c>
      <c r="Z101" s="61"/>
      <c r="AA101" t="s">
        <v>102</v>
      </c>
      <c r="AB101" t="s">
        <v>68</v>
      </c>
      <c r="AC101" t="s">
        <v>1478</v>
      </c>
      <c r="AD101">
        <v>2024</v>
      </c>
    </row>
    <row r="102" spans="1:30">
      <c r="A102" t="s">
        <v>940</v>
      </c>
      <c r="B102" t="s">
        <v>941</v>
      </c>
      <c r="C102" t="s">
        <v>942</v>
      </c>
      <c r="D102" t="s">
        <v>943</v>
      </c>
      <c r="E102" s="63" t="s">
        <v>944</v>
      </c>
      <c r="G102" t="s">
        <v>816</v>
      </c>
      <c r="N102" t="s">
        <v>24</v>
      </c>
      <c r="O102" t="s">
        <v>848</v>
      </c>
      <c r="Q102" t="s">
        <v>61</v>
      </c>
      <c r="R102" t="s">
        <v>246</v>
      </c>
      <c r="S102" t="s">
        <v>246</v>
      </c>
      <c r="U102" t="s">
        <v>783</v>
      </c>
      <c r="V102" t="s">
        <v>398</v>
      </c>
      <c r="W102" t="s">
        <v>1653</v>
      </c>
      <c r="X102" s="76">
        <v>158</v>
      </c>
      <c r="Y102" t="s">
        <v>1654</v>
      </c>
      <c r="Z102" s="61"/>
      <c r="AA102" t="s">
        <v>102</v>
      </c>
      <c r="AB102" t="s">
        <v>88</v>
      </c>
      <c r="AC102" t="s">
        <v>993</v>
      </c>
      <c r="AD102">
        <v>2024</v>
      </c>
    </row>
    <row r="103" spans="1:30">
      <c r="A103" t="s">
        <v>945</v>
      </c>
      <c r="B103" t="s">
        <v>946</v>
      </c>
      <c r="C103" t="s">
        <v>947</v>
      </c>
      <c r="D103" t="s">
        <v>948</v>
      </c>
      <c r="E103" s="63" t="s">
        <v>949</v>
      </c>
      <c r="G103" t="s">
        <v>825</v>
      </c>
      <c r="N103" t="s">
        <v>24</v>
      </c>
      <c r="O103" t="s">
        <v>863</v>
      </c>
      <c r="Q103" t="s">
        <v>61</v>
      </c>
      <c r="R103" t="s">
        <v>273</v>
      </c>
      <c r="S103" t="s">
        <v>273</v>
      </c>
      <c r="U103" t="s">
        <v>783</v>
      </c>
      <c r="V103" t="s">
        <v>398</v>
      </c>
      <c r="W103" t="s">
        <v>1655</v>
      </c>
      <c r="X103" s="76">
        <v>158</v>
      </c>
      <c r="Y103" t="s">
        <v>1654</v>
      </c>
      <c r="Z103" s="61"/>
      <c r="AA103" t="s">
        <v>367</v>
      </c>
      <c r="AB103" t="s">
        <v>32</v>
      </c>
      <c r="AC103" t="s">
        <v>996</v>
      </c>
      <c r="AD103">
        <v>2024</v>
      </c>
    </row>
    <row r="104" spans="1:30">
      <c r="A104" t="s">
        <v>951</v>
      </c>
      <c r="B104" t="s">
        <v>952</v>
      </c>
      <c r="C104" t="s">
        <v>953</v>
      </c>
      <c r="D104" t="s">
        <v>954</v>
      </c>
      <c r="E104" s="63" t="s">
        <v>955</v>
      </c>
      <c r="G104" t="s">
        <v>359</v>
      </c>
      <c r="N104" t="s">
        <v>24</v>
      </c>
      <c r="O104" t="s">
        <v>884</v>
      </c>
      <c r="Q104" t="s">
        <v>61</v>
      </c>
      <c r="R104" t="s">
        <v>297</v>
      </c>
      <c r="S104" t="s">
        <v>297</v>
      </c>
      <c r="U104" t="s">
        <v>783</v>
      </c>
      <c r="V104" t="s">
        <v>398</v>
      </c>
      <c r="W104" t="s">
        <v>67</v>
      </c>
      <c r="X104" s="76">
        <v>24</v>
      </c>
      <c r="Y104" t="s">
        <v>1654</v>
      </c>
      <c r="Z104" s="61"/>
      <c r="AA104" t="s">
        <v>367</v>
      </c>
      <c r="AB104" t="s">
        <v>49</v>
      </c>
      <c r="AC104" t="s">
        <v>361</v>
      </c>
      <c r="AD104">
        <v>2024</v>
      </c>
    </row>
    <row r="105" spans="1:30">
      <c r="A105" t="s">
        <v>789</v>
      </c>
      <c r="B105" t="s">
        <v>957</v>
      </c>
      <c r="C105" t="s">
        <v>958</v>
      </c>
      <c r="D105" t="s">
        <v>959</v>
      </c>
      <c r="E105" s="63" t="s">
        <v>960</v>
      </c>
      <c r="G105" t="s">
        <v>372</v>
      </c>
      <c r="N105" t="s">
        <v>24</v>
      </c>
      <c r="O105" t="s">
        <v>892</v>
      </c>
      <c r="Q105" t="s">
        <v>61</v>
      </c>
      <c r="R105" t="s">
        <v>399</v>
      </c>
      <c r="S105" t="s">
        <v>399</v>
      </c>
      <c r="U105" t="s">
        <v>783</v>
      </c>
      <c r="V105" t="s">
        <v>398</v>
      </c>
      <c r="W105" t="s">
        <v>87</v>
      </c>
      <c r="X105" s="76">
        <v>2580</v>
      </c>
      <c r="Y105" t="s">
        <v>1654</v>
      </c>
      <c r="Z105" s="61"/>
      <c r="AA105" t="s">
        <v>367</v>
      </c>
      <c r="AB105" t="s">
        <v>68</v>
      </c>
      <c r="AC105" t="s">
        <v>1478</v>
      </c>
      <c r="AD105">
        <v>2024</v>
      </c>
    </row>
    <row r="106" spans="1:30">
      <c r="A106" t="s">
        <v>793</v>
      </c>
      <c r="B106" t="s">
        <v>962</v>
      </c>
      <c r="C106" t="s">
        <v>963</v>
      </c>
      <c r="D106" t="s">
        <v>964</v>
      </c>
      <c r="E106" s="63" t="s">
        <v>965</v>
      </c>
      <c r="G106" t="s">
        <v>842</v>
      </c>
      <c r="N106" t="s">
        <v>24</v>
      </c>
      <c r="O106" t="s">
        <v>908</v>
      </c>
      <c r="Q106" t="s">
        <v>61</v>
      </c>
      <c r="R106" t="s">
        <v>411</v>
      </c>
      <c r="S106" t="s">
        <v>411</v>
      </c>
      <c r="U106" t="s">
        <v>806</v>
      </c>
      <c r="V106" t="s">
        <v>410</v>
      </c>
      <c r="W106" t="s">
        <v>1653</v>
      </c>
      <c r="X106" s="76">
        <v>209</v>
      </c>
      <c r="Y106" t="s">
        <v>1654</v>
      </c>
      <c r="Z106" s="61"/>
      <c r="AA106" t="s">
        <v>367</v>
      </c>
      <c r="AB106" t="s">
        <v>88</v>
      </c>
      <c r="AC106" t="s">
        <v>1536</v>
      </c>
      <c r="AD106">
        <v>2024</v>
      </c>
    </row>
    <row r="107" spans="1:30">
      <c r="A107" t="s">
        <v>966</v>
      </c>
      <c r="B107" t="s">
        <v>967</v>
      </c>
      <c r="C107" t="s">
        <v>968</v>
      </c>
      <c r="D107" t="s">
        <v>969</v>
      </c>
      <c r="E107" s="63" t="s">
        <v>970</v>
      </c>
      <c r="G107" t="s">
        <v>848</v>
      </c>
      <c r="N107" t="s">
        <v>24</v>
      </c>
      <c r="O107" t="s">
        <v>918</v>
      </c>
      <c r="Q107" t="s">
        <v>61</v>
      </c>
      <c r="R107" t="s">
        <v>450</v>
      </c>
      <c r="S107" t="s">
        <v>450</v>
      </c>
      <c r="U107" t="s">
        <v>806</v>
      </c>
      <c r="V107" t="s">
        <v>410</v>
      </c>
      <c r="W107" t="s">
        <v>1655</v>
      </c>
      <c r="X107" s="76">
        <v>31</v>
      </c>
      <c r="Y107" t="s">
        <v>1654</v>
      </c>
      <c r="Z107" s="61"/>
      <c r="AA107" t="s">
        <v>115</v>
      </c>
      <c r="AB107" t="s">
        <v>32</v>
      </c>
      <c r="AC107" t="s">
        <v>228</v>
      </c>
      <c r="AD107">
        <v>2024</v>
      </c>
    </row>
    <row r="108" spans="1:30">
      <c r="A108" t="s">
        <v>972</v>
      </c>
      <c r="B108" t="s">
        <v>973</v>
      </c>
      <c r="C108" t="s">
        <v>974</v>
      </c>
      <c r="D108" t="s">
        <v>975</v>
      </c>
      <c r="E108" s="63" t="s">
        <v>976</v>
      </c>
      <c r="G108" t="s">
        <v>383</v>
      </c>
      <c r="N108" t="s">
        <v>24</v>
      </c>
      <c r="O108" t="s">
        <v>925</v>
      </c>
      <c r="Q108" t="s">
        <v>61</v>
      </c>
      <c r="R108" t="s">
        <v>476</v>
      </c>
      <c r="S108" t="s">
        <v>476</v>
      </c>
      <c r="U108" t="s">
        <v>806</v>
      </c>
      <c r="V108" t="s">
        <v>410</v>
      </c>
      <c r="W108" t="s">
        <v>67</v>
      </c>
      <c r="X108" s="76">
        <v>2900</v>
      </c>
      <c r="Y108" t="s">
        <v>1654</v>
      </c>
      <c r="Z108" s="61"/>
      <c r="AA108" t="s">
        <v>115</v>
      </c>
      <c r="AB108" t="s">
        <v>49</v>
      </c>
      <c r="AC108" t="s">
        <v>1029</v>
      </c>
      <c r="AD108">
        <v>2024</v>
      </c>
    </row>
    <row r="109" spans="1:30">
      <c r="A109" t="s">
        <v>977</v>
      </c>
      <c r="B109" t="s">
        <v>978</v>
      </c>
      <c r="C109" t="s">
        <v>979</v>
      </c>
      <c r="D109" t="s">
        <v>980</v>
      </c>
      <c r="E109" s="63" t="s">
        <v>981</v>
      </c>
      <c r="G109" t="s">
        <v>858</v>
      </c>
      <c r="N109" t="s">
        <v>24</v>
      </c>
      <c r="O109" t="s">
        <v>940</v>
      </c>
      <c r="Q109" t="s">
        <v>61</v>
      </c>
      <c r="R109" t="s">
        <v>525</v>
      </c>
      <c r="S109" t="s">
        <v>525</v>
      </c>
      <c r="U109" t="s">
        <v>806</v>
      </c>
      <c r="V109" t="s">
        <v>410</v>
      </c>
      <c r="W109" t="s">
        <v>87</v>
      </c>
      <c r="X109" s="76">
        <v>20220</v>
      </c>
      <c r="Y109" t="s">
        <v>1654</v>
      </c>
      <c r="Z109" s="61"/>
      <c r="AA109" t="s">
        <v>115</v>
      </c>
      <c r="AB109" t="s">
        <v>68</v>
      </c>
      <c r="AC109" t="s">
        <v>1537</v>
      </c>
      <c r="AD109">
        <v>2024</v>
      </c>
    </row>
    <row r="110" spans="1:30">
      <c r="A110" t="s">
        <v>983</v>
      </c>
      <c r="B110" t="s">
        <v>984</v>
      </c>
      <c r="C110" t="s">
        <v>985</v>
      </c>
      <c r="D110" t="s">
        <v>986</v>
      </c>
      <c r="E110" s="63" t="s">
        <v>987</v>
      </c>
      <c r="G110" t="s">
        <v>863</v>
      </c>
      <c r="N110" t="s">
        <v>24</v>
      </c>
      <c r="O110" t="s">
        <v>945</v>
      </c>
      <c r="Q110" t="s">
        <v>61</v>
      </c>
      <c r="R110" t="s">
        <v>538</v>
      </c>
      <c r="S110" t="s">
        <v>538</v>
      </c>
      <c r="U110" t="s">
        <v>836</v>
      </c>
      <c r="V110" t="s">
        <v>162</v>
      </c>
      <c r="W110" t="s">
        <v>1653</v>
      </c>
      <c r="X110" s="76"/>
      <c r="Y110" t="s">
        <v>1654</v>
      </c>
      <c r="Z110" s="61"/>
      <c r="AA110" t="s">
        <v>115</v>
      </c>
      <c r="AB110" t="s">
        <v>88</v>
      </c>
      <c r="AC110" t="s">
        <v>1041</v>
      </c>
      <c r="AD110">
        <v>2024</v>
      </c>
    </row>
    <row r="111" spans="1:30">
      <c r="A111" t="s">
        <v>174</v>
      </c>
      <c r="B111" t="s">
        <v>989</v>
      </c>
      <c r="C111" t="s">
        <v>990</v>
      </c>
      <c r="D111" t="s">
        <v>991</v>
      </c>
      <c r="E111" s="63" t="s">
        <v>992</v>
      </c>
      <c r="G111" t="s">
        <v>393</v>
      </c>
      <c r="N111" t="s">
        <v>24</v>
      </c>
      <c r="O111" t="s">
        <v>951</v>
      </c>
      <c r="Q111" t="s">
        <v>61</v>
      </c>
      <c r="R111" t="s">
        <v>551</v>
      </c>
      <c r="S111" t="s">
        <v>551</v>
      </c>
      <c r="U111" t="s">
        <v>836</v>
      </c>
      <c r="V111" t="s">
        <v>162</v>
      </c>
      <c r="W111" t="s">
        <v>1655</v>
      </c>
      <c r="X111" s="76"/>
      <c r="Y111" t="s">
        <v>1654</v>
      </c>
      <c r="Z111" s="61"/>
      <c r="AA111" t="s">
        <v>415</v>
      </c>
      <c r="AB111" t="s">
        <v>49</v>
      </c>
      <c r="AC111" t="s">
        <v>1538</v>
      </c>
      <c r="AD111">
        <v>2024</v>
      </c>
    </row>
    <row r="112" spans="1:30">
      <c r="A112" t="s">
        <v>214</v>
      </c>
      <c r="B112" t="s">
        <v>328</v>
      </c>
      <c r="C112" t="s">
        <v>923</v>
      </c>
      <c r="D112" t="s">
        <v>994</v>
      </c>
      <c r="E112" s="63" t="s">
        <v>995</v>
      </c>
      <c r="G112" t="s">
        <v>403</v>
      </c>
      <c r="N112" t="s">
        <v>24</v>
      </c>
      <c r="O112" t="s">
        <v>966</v>
      </c>
      <c r="Q112" t="s">
        <v>61</v>
      </c>
      <c r="R112" t="s">
        <v>641</v>
      </c>
      <c r="S112" t="s">
        <v>641</v>
      </c>
      <c r="U112" t="s">
        <v>836</v>
      </c>
      <c r="V112" t="s">
        <v>162</v>
      </c>
      <c r="W112" t="s">
        <v>67</v>
      </c>
      <c r="X112" s="76"/>
      <c r="Y112" t="s">
        <v>1654</v>
      </c>
      <c r="Z112" s="61"/>
      <c r="AA112" t="s">
        <v>415</v>
      </c>
      <c r="AB112" t="s">
        <v>68</v>
      </c>
      <c r="AC112" t="s">
        <v>139</v>
      </c>
      <c r="AD112">
        <v>2024</v>
      </c>
    </row>
    <row r="113" spans="1:30">
      <c r="A113" t="s">
        <v>904</v>
      </c>
      <c r="B113" t="s">
        <v>997</v>
      </c>
      <c r="C113" t="s">
        <v>998</v>
      </c>
      <c r="D113" t="s">
        <v>999</v>
      </c>
      <c r="E113" s="63" t="s">
        <v>1000</v>
      </c>
      <c r="G113" t="s">
        <v>767</v>
      </c>
      <c r="N113" t="s">
        <v>24</v>
      </c>
      <c r="O113" t="s">
        <v>1001</v>
      </c>
      <c r="Q113" t="s">
        <v>61</v>
      </c>
      <c r="R113" t="s">
        <v>647</v>
      </c>
      <c r="S113" t="s">
        <v>647</v>
      </c>
      <c r="U113" t="s">
        <v>836</v>
      </c>
      <c r="V113" t="s">
        <v>162</v>
      </c>
      <c r="W113" t="s">
        <v>87</v>
      </c>
      <c r="X113" s="76"/>
      <c r="Y113" t="s">
        <v>1654</v>
      </c>
      <c r="Z113" s="61"/>
      <c r="AA113" t="s">
        <v>415</v>
      </c>
      <c r="AB113" t="s">
        <v>88</v>
      </c>
      <c r="AC113" t="s">
        <v>1294</v>
      </c>
      <c r="AD113">
        <v>2024</v>
      </c>
    </row>
    <row r="114" spans="1:30">
      <c r="A114" t="s">
        <v>1003</v>
      </c>
      <c r="B114" t="s">
        <v>1004</v>
      </c>
      <c r="C114" t="s">
        <v>1005</v>
      </c>
      <c r="D114" t="s">
        <v>1006</v>
      </c>
      <c r="E114" s="63" t="s">
        <v>1007</v>
      </c>
      <c r="G114" t="s">
        <v>884</v>
      </c>
      <c r="N114" t="s">
        <v>24</v>
      </c>
      <c r="O114" t="s">
        <v>1008</v>
      </c>
      <c r="Q114" t="s">
        <v>61</v>
      </c>
      <c r="R114" t="s">
        <v>654</v>
      </c>
      <c r="S114" t="s">
        <v>654</v>
      </c>
      <c r="U114" t="s">
        <v>857</v>
      </c>
      <c r="V114" t="s">
        <v>175</v>
      </c>
      <c r="W114" t="s">
        <v>1653</v>
      </c>
      <c r="X114" s="76">
        <v>96</v>
      </c>
      <c r="Y114" t="s">
        <v>1654</v>
      </c>
      <c r="Z114" s="61"/>
      <c r="AA114" t="s">
        <v>127</v>
      </c>
      <c r="AB114" t="s">
        <v>32</v>
      </c>
      <c r="AC114" t="s">
        <v>266</v>
      </c>
      <c r="AD114">
        <v>2024</v>
      </c>
    </row>
    <row r="115" spans="1:30">
      <c r="A115" t="s">
        <v>821</v>
      </c>
      <c r="B115" t="s">
        <v>1009</v>
      </c>
      <c r="C115" t="s">
        <v>1010</v>
      </c>
      <c r="D115" t="s">
        <v>1011</v>
      </c>
      <c r="E115" s="63" t="s">
        <v>1012</v>
      </c>
      <c r="G115" t="s">
        <v>1013</v>
      </c>
      <c r="N115" t="s">
        <v>24</v>
      </c>
      <c r="O115" t="s">
        <v>1014</v>
      </c>
      <c r="Q115" t="s">
        <v>61</v>
      </c>
      <c r="R115" t="s">
        <v>666</v>
      </c>
      <c r="S115" t="s">
        <v>666</v>
      </c>
      <c r="U115" t="s">
        <v>857</v>
      </c>
      <c r="V115" t="s">
        <v>175</v>
      </c>
      <c r="W115" t="s">
        <v>1655</v>
      </c>
      <c r="X115" s="76">
        <v>15</v>
      </c>
      <c r="Y115" t="s">
        <v>1654</v>
      </c>
      <c r="Z115" s="61"/>
      <c r="AA115" t="s">
        <v>127</v>
      </c>
      <c r="AB115" t="s">
        <v>49</v>
      </c>
      <c r="AC115" t="s">
        <v>872</v>
      </c>
      <c r="AD115">
        <v>2024</v>
      </c>
    </row>
    <row r="116" spans="1:30">
      <c r="A116" t="s">
        <v>1015</v>
      </c>
      <c r="B116" t="s">
        <v>1016</v>
      </c>
      <c r="C116" t="s">
        <v>1017</v>
      </c>
      <c r="D116" t="s">
        <v>1018</v>
      </c>
      <c r="E116" s="63" t="s">
        <v>1019</v>
      </c>
      <c r="G116" t="s">
        <v>1020</v>
      </c>
      <c r="N116" t="s">
        <v>24</v>
      </c>
      <c r="O116" t="s">
        <v>1021</v>
      </c>
      <c r="Q116" t="s">
        <v>61</v>
      </c>
      <c r="R116" t="s">
        <v>724</v>
      </c>
      <c r="S116" t="s">
        <v>724</v>
      </c>
      <c r="U116" t="s">
        <v>857</v>
      </c>
      <c r="V116" t="s">
        <v>175</v>
      </c>
      <c r="W116" t="s">
        <v>67</v>
      </c>
      <c r="X116" s="76">
        <v>31</v>
      </c>
      <c r="Y116" t="s">
        <v>1654</v>
      </c>
      <c r="Z116" s="61"/>
      <c r="AA116" t="s">
        <v>127</v>
      </c>
      <c r="AB116" t="s">
        <v>68</v>
      </c>
      <c r="AC116" t="s">
        <v>1476</v>
      </c>
      <c r="AD116">
        <v>2024</v>
      </c>
    </row>
    <row r="117" spans="1:30">
      <c r="A117" t="s">
        <v>1022</v>
      </c>
      <c r="B117" t="s">
        <v>1023</v>
      </c>
      <c r="C117" t="s">
        <v>1024</v>
      </c>
      <c r="D117" t="s">
        <v>1025</v>
      </c>
      <c r="E117" s="63" t="s">
        <v>1026</v>
      </c>
      <c r="G117" t="s">
        <v>892</v>
      </c>
      <c r="N117" t="s">
        <v>24</v>
      </c>
      <c r="O117" t="s">
        <v>1027</v>
      </c>
      <c r="Q117" t="s">
        <v>61</v>
      </c>
      <c r="R117" t="s">
        <v>878</v>
      </c>
      <c r="S117" t="s">
        <v>878</v>
      </c>
      <c r="U117" t="s">
        <v>857</v>
      </c>
      <c r="V117" t="s">
        <v>175</v>
      </c>
      <c r="W117" t="s">
        <v>87</v>
      </c>
      <c r="X117" s="76">
        <v>30500</v>
      </c>
      <c r="Y117" t="s">
        <v>1654</v>
      </c>
      <c r="Z117" s="61"/>
      <c r="AA117" t="s">
        <v>127</v>
      </c>
      <c r="AB117" t="s">
        <v>88</v>
      </c>
      <c r="AC117" t="s">
        <v>361</v>
      </c>
      <c r="AD117">
        <v>2024</v>
      </c>
    </row>
    <row r="118" spans="1:30">
      <c r="A118" t="s">
        <v>1030</v>
      </c>
      <c r="B118" t="s">
        <v>1031</v>
      </c>
      <c r="C118" t="s">
        <v>1032</v>
      </c>
      <c r="D118" t="s">
        <v>1033</v>
      </c>
      <c r="E118" s="63" t="s">
        <v>1034</v>
      </c>
      <c r="G118" t="s">
        <v>1035</v>
      </c>
      <c r="N118" t="s">
        <v>24</v>
      </c>
      <c r="O118" t="s">
        <v>1036</v>
      </c>
      <c r="Q118" t="s">
        <v>61</v>
      </c>
      <c r="R118" t="s">
        <v>957</v>
      </c>
      <c r="S118" t="s">
        <v>957</v>
      </c>
      <c r="U118" t="s">
        <v>876</v>
      </c>
      <c r="V118" t="s">
        <v>188</v>
      </c>
      <c r="W118" t="s">
        <v>1653</v>
      </c>
      <c r="X118" s="76">
        <v>307</v>
      </c>
      <c r="Y118" t="s">
        <v>1654</v>
      </c>
      <c r="Z118" s="61"/>
      <c r="AA118" t="s">
        <v>137</v>
      </c>
      <c r="AB118" t="s">
        <v>32</v>
      </c>
      <c r="AC118" t="s">
        <v>841</v>
      </c>
      <c r="AD118">
        <v>2024</v>
      </c>
    </row>
    <row r="119" spans="1:30">
      <c r="A119" t="s">
        <v>47</v>
      </c>
      <c r="B119" t="s">
        <v>384</v>
      </c>
      <c r="C119" t="s">
        <v>664</v>
      </c>
      <c r="D119" t="s">
        <v>1038</v>
      </c>
      <c r="E119" s="63" t="s">
        <v>1039</v>
      </c>
      <c r="G119" t="s">
        <v>899</v>
      </c>
      <c r="N119" t="s">
        <v>24</v>
      </c>
      <c r="O119" t="s">
        <v>1040</v>
      </c>
      <c r="Q119" t="s">
        <v>61</v>
      </c>
      <c r="R119" t="s">
        <v>962</v>
      </c>
      <c r="S119" t="s">
        <v>962</v>
      </c>
      <c r="U119" t="s">
        <v>876</v>
      </c>
      <c r="V119" t="s">
        <v>188</v>
      </c>
      <c r="W119" t="s">
        <v>1655</v>
      </c>
      <c r="X119" s="76">
        <v>26</v>
      </c>
      <c r="Y119" t="s">
        <v>1654</v>
      </c>
      <c r="Z119" s="61"/>
      <c r="AA119" t="s">
        <v>137</v>
      </c>
      <c r="AB119" t="s">
        <v>49</v>
      </c>
      <c r="AC119" t="s">
        <v>1539</v>
      </c>
      <c r="AD119">
        <v>2024</v>
      </c>
    </row>
    <row r="120" spans="1:30">
      <c r="A120" t="s">
        <v>127</v>
      </c>
      <c r="B120" t="s">
        <v>394</v>
      </c>
      <c r="C120" t="s">
        <v>775</v>
      </c>
      <c r="D120" t="s">
        <v>1042</v>
      </c>
      <c r="E120" s="63" t="s">
        <v>1043</v>
      </c>
      <c r="G120" t="s">
        <v>416</v>
      </c>
      <c r="N120" t="s">
        <v>24</v>
      </c>
      <c r="O120" t="s">
        <v>1044</v>
      </c>
      <c r="Q120" t="s">
        <v>61</v>
      </c>
      <c r="R120" t="s">
        <v>1045</v>
      </c>
      <c r="S120" t="s">
        <v>1045</v>
      </c>
      <c r="U120" t="s">
        <v>876</v>
      </c>
      <c r="V120" t="s">
        <v>188</v>
      </c>
      <c r="W120" t="s">
        <v>67</v>
      </c>
      <c r="X120" s="76">
        <v>118</v>
      </c>
      <c r="Y120" t="s">
        <v>1654</v>
      </c>
      <c r="Z120" s="61"/>
      <c r="AA120" t="s">
        <v>137</v>
      </c>
      <c r="AB120" t="s">
        <v>68</v>
      </c>
      <c r="AC120" t="s">
        <v>1417</v>
      </c>
      <c r="AD120">
        <v>2024</v>
      </c>
    </row>
    <row r="121" spans="1:30">
      <c r="A121" t="s">
        <v>150</v>
      </c>
      <c r="B121" t="s">
        <v>404</v>
      </c>
      <c r="C121" t="s">
        <v>835</v>
      </c>
      <c r="D121" t="s">
        <v>1046</v>
      </c>
      <c r="E121" s="63" t="s">
        <v>1047</v>
      </c>
      <c r="G121" t="s">
        <v>908</v>
      </c>
      <c r="N121" t="s">
        <v>24</v>
      </c>
      <c r="O121" t="s">
        <v>1048</v>
      </c>
      <c r="Q121" t="s">
        <v>61</v>
      </c>
      <c r="R121" t="s">
        <v>1049</v>
      </c>
      <c r="S121" t="s">
        <v>1049</v>
      </c>
      <c r="U121" t="s">
        <v>876</v>
      </c>
      <c r="V121" t="s">
        <v>188</v>
      </c>
      <c r="W121" t="s">
        <v>87</v>
      </c>
      <c r="X121" s="76">
        <v>503311</v>
      </c>
      <c r="Y121" t="s">
        <v>1654</v>
      </c>
      <c r="Z121" s="61"/>
      <c r="AA121" t="s">
        <v>137</v>
      </c>
      <c r="AB121" t="s">
        <v>88</v>
      </c>
      <c r="AC121" t="s">
        <v>1101</v>
      </c>
      <c r="AD121">
        <v>2024</v>
      </c>
    </row>
    <row r="122" spans="1:30">
      <c r="A122" t="s">
        <v>226</v>
      </c>
      <c r="B122" t="s">
        <v>417</v>
      </c>
      <c r="C122" t="s">
        <v>693</v>
      </c>
      <c r="D122" t="s">
        <v>1051</v>
      </c>
      <c r="E122" s="63" t="s">
        <v>1052</v>
      </c>
      <c r="G122" t="s">
        <v>427</v>
      </c>
      <c r="N122" t="s">
        <v>24</v>
      </c>
      <c r="O122" t="s">
        <v>1053</v>
      </c>
      <c r="Q122" t="s">
        <v>61</v>
      </c>
      <c r="R122" t="s">
        <v>1054</v>
      </c>
      <c r="S122" t="s">
        <v>1054</v>
      </c>
      <c r="U122" t="s">
        <v>1663</v>
      </c>
      <c r="V122" t="s">
        <v>435</v>
      </c>
      <c r="W122" t="s">
        <v>1653</v>
      </c>
      <c r="X122" s="76">
        <v>12</v>
      </c>
      <c r="Y122" t="s">
        <v>1654</v>
      </c>
      <c r="Z122" s="61"/>
      <c r="AA122" t="s">
        <v>398</v>
      </c>
      <c r="AB122" t="s">
        <v>32</v>
      </c>
      <c r="AC122" t="s">
        <v>807</v>
      </c>
      <c r="AD122">
        <v>2024</v>
      </c>
    </row>
    <row r="123" spans="1:30">
      <c r="A123" t="s">
        <v>1020</v>
      </c>
      <c r="B123" t="s">
        <v>1056</v>
      </c>
      <c r="C123" t="s">
        <v>1057</v>
      </c>
      <c r="D123" t="s">
        <v>1058</v>
      </c>
      <c r="E123" s="63" t="s">
        <v>1059</v>
      </c>
      <c r="G123" t="s">
        <v>918</v>
      </c>
      <c r="N123" t="s">
        <v>81</v>
      </c>
      <c r="O123" t="s">
        <v>39</v>
      </c>
      <c r="Q123" t="s">
        <v>61</v>
      </c>
      <c r="R123" t="s">
        <v>1060</v>
      </c>
      <c r="S123" t="s">
        <v>1060</v>
      </c>
      <c r="U123" t="s">
        <v>1663</v>
      </c>
      <c r="V123" t="s">
        <v>435</v>
      </c>
      <c r="W123" t="s">
        <v>1655</v>
      </c>
      <c r="X123" s="76">
        <v>12</v>
      </c>
      <c r="Y123" t="s">
        <v>1654</v>
      </c>
      <c r="Z123" s="61"/>
      <c r="AA123" t="s">
        <v>398</v>
      </c>
      <c r="AB123" t="s">
        <v>49</v>
      </c>
      <c r="AC123" t="s">
        <v>1451</v>
      </c>
      <c r="AD123">
        <v>2024</v>
      </c>
    </row>
    <row r="124" spans="1:30">
      <c r="A124" t="s">
        <v>1035</v>
      </c>
      <c r="B124" t="s">
        <v>1061</v>
      </c>
      <c r="C124" t="s">
        <v>1062</v>
      </c>
      <c r="D124" t="s">
        <v>1063</v>
      </c>
      <c r="E124" s="63" t="s">
        <v>1064</v>
      </c>
      <c r="G124" t="s">
        <v>1065</v>
      </c>
      <c r="N124" t="s">
        <v>81</v>
      </c>
      <c r="O124" t="s">
        <v>80</v>
      </c>
      <c r="Q124" t="s">
        <v>61</v>
      </c>
      <c r="R124" t="s">
        <v>1066</v>
      </c>
      <c r="S124" t="s">
        <v>1066</v>
      </c>
      <c r="U124" t="s">
        <v>1663</v>
      </c>
      <c r="V124" t="s">
        <v>435</v>
      </c>
      <c r="W124" t="s">
        <v>67</v>
      </c>
      <c r="X124" s="76">
        <v>6</v>
      </c>
      <c r="Y124" t="s">
        <v>1654</v>
      </c>
      <c r="Z124" s="61"/>
      <c r="AA124" t="s">
        <v>398</v>
      </c>
      <c r="AB124" t="s">
        <v>68</v>
      </c>
      <c r="AC124" t="s">
        <v>1186</v>
      </c>
      <c r="AD124">
        <v>2024</v>
      </c>
    </row>
    <row r="125" spans="1:30">
      <c r="A125" t="s">
        <v>1067</v>
      </c>
      <c r="B125" t="s">
        <v>1068</v>
      </c>
      <c r="C125" t="s">
        <v>1069</v>
      </c>
      <c r="D125" t="s">
        <v>1070</v>
      </c>
      <c r="E125" s="63" t="s">
        <v>1071</v>
      </c>
      <c r="G125" t="s">
        <v>925</v>
      </c>
      <c r="N125" t="s">
        <v>81</v>
      </c>
      <c r="O125" t="s">
        <v>136</v>
      </c>
      <c r="Q125" t="s">
        <v>61</v>
      </c>
      <c r="R125" t="s">
        <v>1072</v>
      </c>
      <c r="S125" t="s">
        <v>1072</v>
      </c>
      <c r="U125" t="s">
        <v>1663</v>
      </c>
      <c r="V125" t="s">
        <v>435</v>
      </c>
      <c r="W125" t="s">
        <v>87</v>
      </c>
      <c r="X125" s="76">
        <v>233</v>
      </c>
      <c r="Y125" t="s">
        <v>1654</v>
      </c>
      <c r="Z125" s="61"/>
      <c r="AA125" t="s">
        <v>398</v>
      </c>
      <c r="AB125" t="s">
        <v>88</v>
      </c>
      <c r="AC125" t="s">
        <v>139</v>
      </c>
      <c r="AD125">
        <v>2024</v>
      </c>
    </row>
    <row r="126" spans="1:30">
      <c r="A126" t="s">
        <v>188</v>
      </c>
      <c r="B126" t="s">
        <v>428</v>
      </c>
      <c r="C126" t="s">
        <v>752</v>
      </c>
      <c r="D126" t="s">
        <v>1075</v>
      </c>
      <c r="E126" s="63" t="s">
        <v>1076</v>
      </c>
      <c r="G126" t="s">
        <v>440</v>
      </c>
      <c r="N126" t="s">
        <v>81</v>
      </c>
      <c r="O126" t="s">
        <v>161</v>
      </c>
      <c r="Q126" t="s">
        <v>61</v>
      </c>
      <c r="R126" t="s">
        <v>1077</v>
      </c>
      <c r="S126" t="s">
        <v>1077</v>
      </c>
      <c r="U126" t="s">
        <v>905</v>
      </c>
      <c r="V126" t="s">
        <v>449</v>
      </c>
      <c r="W126" t="s">
        <v>1653</v>
      </c>
      <c r="X126" s="76"/>
      <c r="Y126" t="s">
        <v>1654</v>
      </c>
      <c r="Z126" s="61"/>
      <c r="AA126" t="s">
        <v>480</v>
      </c>
      <c r="AB126" t="s">
        <v>32</v>
      </c>
      <c r="AC126" t="s">
        <v>139</v>
      </c>
      <c r="AD126">
        <v>2024</v>
      </c>
    </row>
    <row r="127" spans="1:30">
      <c r="A127" t="s">
        <v>1078</v>
      </c>
      <c r="B127" t="s">
        <v>1079</v>
      </c>
      <c r="C127" t="s">
        <v>1080</v>
      </c>
      <c r="D127" t="s">
        <v>1081</v>
      </c>
      <c r="E127" s="63" t="s">
        <v>1082</v>
      </c>
      <c r="G127" t="s">
        <v>454</v>
      </c>
      <c r="N127" t="s">
        <v>81</v>
      </c>
      <c r="O127" t="s">
        <v>174</v>
      </c>
      <c r="Q127" t="s">
        <v>61</v>
      </c>
      <c r="R127" t="s">
        <v>1083</v>
      </c>
      <c r="S127" t="s">
        <v>1083</v>
      </c>
      <c r="U127" t="s">
        <v>905</v>
      </c>
      <c r="V127" t="s">
        <v>449</v>
      </c>
      <c r="W127" t="s">
        <v>1655</v>
      </c>
      <c r="X127" s="76"/>
      <c r="Y127" t="s">
        <v>1654</v>
      </c>
      <c r="Z127" s="61"/>
      <c r="AA127" t="s">
        <v>480</v>
      </c>
      <c r="AB127" t="s">
        <v>49</v>
      </c>
      <c r="AC127" t="s">
        <v>1540</v>
      </c>
      <c r="AD127">
        <v>2024</v>
      </c>
    </row>
    <row r="128" spans="1:30">
      <c r="A128" t="s">
        <v>480</v>
      </c>
      <c r="B128" t="s">
        <v>1085</v>
      </c>
      <c r="C128" t="s">
        <v>1086</v>
      </c>
      <c r="D128" t="s">
        <v>1087</v>
      </c>
      <c r="E128" s="63" t="s">
        <v>1088</v>
      </c>
      <c r="G128" t="s">
        <v>1067</v>
      </c>
      <c r="N128" t="s">
        <v>81</v>
      </c>
      <c r="O128" t="s">
        <v>220</v>
      </c>
      <c r="Q128" t="s">
        <v>61</v>
      </c>
      <c r="R128" t="s">
        <v>1089</v>
      </c>
      <c r="S128" t="s">
        <v>1089</v>
      </c>
      <c r="U128" t="s">
        <v>905</v>
      </c>
      <c r="V128" t="s">
        <v>449</v>
      </c>
      <c r="W128" t="s">
        <v>67</v>
      </c>
      <c r="X128" s="76"/>
      <c r="Y128" t="s">
        <v>1654</v>
      </c>
      <c r="Z128" s="61"/>
      <c r="AA128" t="s">
        <v>480</v>
      </c>
      <c r="AB128" t="s">
        <v>68</v>
      </c>
      <c r="AC128" t="s">
        <v>1129</v>
      </c>
      <c r="AD128">
        <v>2024</v>
      </c>
    </row>
    <row r="129" spans="1:30">
      <c r="A129" t="s">
        <v>201</v>
      </c>
      <c r="B129" t="s">
        <v>340</v>
      </c>
      <c r="C129" t="s">
        <v>686</v>
      </c>
      <c r="D129" t="s">
        <v>1090</v>
      </c>
      <c r="E129" s="63" t="s">
        <v>1091</v>
      </c>
      <c r="G129" t="s">
        <v>933</v>
      </c>
      <c r="N129" t="s">
        <v>81</v>
      </c>
      <c r="O129" t="s">
        <v>233</v>
      </c>
      <c r="Q129" t="s">
        <v>61</v>
      </c>
      <c r="R129" t="s">
        <v>1092</v>
      </c>
      <c r="S129" t="s">
        <v>1092</v>
      </c>
      <c r="U129" t="s">
        <v>905</v>
      </c>
      <c r="V129" t="s">
        <v>449</v>
      </c>
      <c r="W129" t="s">
        <v>87</v>
      </c>
      <c r="X129" s="76"/>
      <c r="Y129" t="s">
        <v>1654</v>
      </c>
      <c r="Z129" s="61"/>
      <c r="AA129" t="s">
        <v>480</v>
      </c>
      <c r="AB129" t="s">
        <v>88</v>
      </c>
      <c r="AC129" t="s">
        <v>1541</v>
      </c>
      <c r="AD129">
        <v>2024</v>
      </c>
    </row>
    <row r="130" spans="1:30">
      <c r="A130" t="s">
        <v>721</v>
      </c>
      <c r="B130" t="s">
        <v>1095</v>
      </c>
      <c r="C130" t="s">
        <v>1096</v>
      </c>
      <c r="D130" t="s">
        <v>1097</v>
      </c>
      <c r="E130" s="63" t="s">
        <v>1098</v>
      </c>
      <c r="G130" t="s">
        <v>940</v>
      </c>
      <c r="N130" t="s">
        <v>81</v>
      </c>
      <c r="O130" t="s">
        <v>314</v>
      </c>
      <c r="Q130" t="s">
        <v>61</v>
      </c>
      <c r="R130" t="s">
        <v>1099</v>
      </c>
      <c r="S130" t="s">
        <v>1099</v>
      </c>
      <c r="U130" t="s">
        <v>924</v>
      </c>
      <c r="V130" t="s">
        <v>462</v>
      </c>
      <c r="W130" t="s">
        <v>1653</v>
      </c>
      <c r="X130" s="76"/>
      <c r="Y130" t="s">
        <v>1654</v>
      </c>
      <c r="Z130" s="61"/>
      <c r="AA130" t="s">
        <v>410</v>
      </c>
      <c r="AB130" t="s">
        <v>32</v>
      </c>
      <c r="AC130" t="s">
        <v>1136</v>
      </c>
      <c r="AD130">
        <v>2024</v>
      </c>
    </row>
    <row r="131" spans="1:30">
      <c r="A131" t="s">
        <v>301</v>
      </c>
      <c r="B131" t="s">
        <v>350</v>
      </c>
      <c r="C131" t="s">
        <v>853</v>
      </c>
      <c r="D131" t="s">
        <v>1102</v>
      </c>
      <c r="E131" s="63" t="s">
        <v>1103</v>
      </c>
      <c r="G131" t="s">
        <v>945</v>
      </c>
      <c r="N131" t="s">
        <v>81</v>
      </c>
      <c r="O131" t="s">
        <v>334</v>
      </c>
      <c r="Q131" t="s">
        <v>61</v>
      </c>
      <c r="R131" t="s">
        <v>1104</v>
      </c>
      <c r="S131" t="s">
        <v>1104</v>
      </c>
      <c r="U131" t="s">
        <v>924</v>
      </c>
      <c r="V131" t="s">
        <v>462</v>
      </c>
      <c r="W131" t="s">
        <v>1655</v>
      </c>
      <c r="X131" s="76"/>
      <c r="Y131" t="s">
        <v>1654</v>
      </c>
      <c r="Z131" s="61"/>
      <c r="AA131" t="s">
        <v>410</v>
      </c>
      <c r="AB131" t="s">
        <v>49</v>
      </c>
      <c r="AC131" t="s">
        <v>1140</v>
      </c>
      <c r="AD131">
        <v>2024</v>
      </c>
    </row>
    <row r="132" spans="1:30">
      <c r="A132" t="s">
        <v>315</v>
      </c>
      <c r="B132" t="s">
        <v>360</v>
      </c>
      <c r="C132" t="s">
        <v>748</v>
      </c>
      <c r="D132" t="s">
        <v>1106</v>
      </c>
      <c r="E132" s="63" t="s">
        <v>1107</v>
      </c>
      <c r="G132" t="s">
        <v>1108</v>
      </c>
      <c r="N132" t="s">
        <v>81</v>
      </c>
      <c r="O132" t="s">
        <v>462</v>
      </c>
      <c r="Q132" t="s">
        <v>61</v>
      </c>
      <c r="R132" t="s">
        <v>1109</v>
      </c>
      <c r="S132" t="s">
        <v>1109</v>
      </c>
      <c r="U132" t="s">
        <v>924</v>
      </c>
      <c r="V132" t="s">
        <v>462</v>
      </c>
      <c r="W132" t="s">
        <v>67</v>
      </c>
      <c r="X132" s="76"/>
      <c r="Y132" t="s">
        <v>1654</v>
      </c>
      <c r="Z132" s="61"/>
      <c r="AA132" t="s">
        <v>410</v>
      </c>
      <c r="AB132" t="s">
        <v>68</v>
      </c>
      <c r="AC132" t="s">
        <v>139</v>
      </c>
      <c r="AD132">
        <v>2024</v>
      </c>
    </row>
    <row r="133" spans="1:30">
      <c r="A133" t="s">
        <v>440</v>
      </c>
      <c r="B133" t="s">
        <v>373</v>
      </c>
      <c r="C133" t="s">
        <v>871</v>
      </c>
      <c r="D133" t="s">
        <v>1110</v>
      </c>
      <c r="E133" s="63" t="s">
        <v>1111</v>
      </c>
      <c r="G133" t="s">
        <v>782</v>
      </c>
      <c r="N133" t="s">
        <v>81</v>
      </c>
      <c r="O133" t="s">
        <v>485</v>
      </c>
      <c r="Q133" t="s">
        <v>63</v>
      </c>
      <c r="R133" t="s">
        <v>78</v>
      </c>
      <c r="S133" t="s">
        <v>76</v>
      </c>
      <c r="U133" t="s">
        <v>924</v>
      </c>
      <c r="V133" t="s">
        <v>462</v>
      </c>
      <c r="W133" t="s">
        <v>87</v>
      </c>
      <c r="X133" s="76"/>
      <c r="Y133" t="s">
        <v>1654</v>
      </c>
      <c r="Z133" s="61"/>
      <c r="AA133" t="s">
        <v>410</v>
      </c>
      <c r="AB133" t="s">
        <v>88</v>
      </c>
      <c r="AC133" t="s">
        <v>1371</v>
      </c>
      <c r="AD133">
        <v>2024</v>
      </c>
    </row>
    <row r="134" spans="1:30">
      <c r="A134" t="s">
        <v>782</v>
      </c>
      <c r="B134" t="s">
        <v>1045</v>
      </c>
      <c r="C134" t="s">
        <v>1112</v>
      </c>
      <c r="D134" t="s">
        <v>1113</v>
      </c>
      <c r="E134" s="63" t="s">
        <v>1114</v>
      </c>
      <c r="G134" t="s">
        <v>951</v>
      </c>
      <c r="N134" t="s">
        <v>81</v>
      </c>
      <c r="O134" t="s">
        <v>499</v>
      </c>
      <c r="Q134" t="s">
        <v>63</v>
      </c>
      <c r="R134" t="s">
        <v>134</v>
      </c>
      <c r="S134" t="s">
        <v>132</v>
      </c>
      <c r="U134" t="s">
        <v>938</v>
      </c>
      <c r="V134" t="s">
        <v>475</v>
      </c>
      <c r="W134" t="s">
        <v>1653</v>
      </c>
      <c r="X134" s="76"/>
      <c r="Y134" t="s">
        <v>1654</v>
      </c>
      <c r="Z134" s="61"/>
      <c r="AA134" t="s">
        <v>162</v>
      </c>
      <c r="AB134" t="s">
        <v>32</v>
      </c>
      <c r="AC134" t="s">
        <v>582</v>
      </c>
      <c r="AD134">
        <v>2024</v>
      </c>
    </row>
    <row r="135" spans="1:30">
      <c r="A135" t="s">
        <v>882</v>
      </c>
      <c r="B135" t="s">
        <v>1116</v>
      </c>
      <c r="C135" t="s">
        <v>1117</v>
      </c>
      <c r="D135" t="s">
        <v>1118</v>
      </c>
      <c r="E135" s="63" t="s">
        <v>1119</v>
      </c>
      <c r="G135" t="s">
        <v>789</v>
      </c>
      <c r="N135" t="s">
        <v>81</v>
      </c>
      <c r="O135" t="s">
        <v>512</v>
      </c>
      <c r="Q135" t="s">
        <v>63</v>
      </c>
      <c r="R135" t="s">
        <v>275</v>
      </c>
      <c r="S135" t="s">
        <v>273</v>
      </c>
      <c r="U135" t="s">
        <v>938</v>
      </c>
      <c r="V135" t="s">
        <v>475</v>
      </c>
      <c r="W135" t="s">
        <v>1655</v>
      </c>
      <c r="X135" s="76"/>
      <c r="Y135" t="s">
        <v>1654</v>
      </c>
      <c r="Z135" s="61"/>
      <c r="AA135" t="s">
        <v>162</v>
      </c>
      <c r="AB135" t="s">
        <v>49</v>
      </c>
      <c r="AC135" t="s">
        <v>1155</v>
      </c>
      <c r="AD135">
        <v>2024</v>
      </c>
    </row>
    <row r="136" spans="1:30">
      <c r="A136" t="s">
        <v>1013</v>
      </c>
      <c r="B136" t="s">
        <v>1120</v>
      </c>
      <c r="C136" t="s">
        <v>1121</v>
      </c>
      <c r="D136" t="s">
        <v>1122</v>
      </c>
      <c r="E136" s="63" t="s">
        <v>1123</v>
      </c>
      <c r="G136" t="s">
        <v>793</v>
      </c>
      <c r="N136" t="s">
        <v>81</v>
      </c>
      <c r="O136" t="s">
        <v>575</v>
      </c>
      <c r="Q136" t="s">
        <v>63</v>
      </c>
      <c r="R136" t="s">
        <v>299</v>
      </c>
      <c r="S136" t="s">
        <v>297</v>
      </c>
      <c r="U136" t="s">
        <v>938</v>
      </c>
      <c r="V136" t="s">
        <v>475</v>
      </c>
      <c r="W136" t="s">
        <v>67</v>
      </c>
      <c r="X136" s="76"/>
      <c r="Y136" t="s">
        <v>1654</v>
      </c>
      <c r="Z136" s="61"/>
      <c r="AA136" t="s">
        <v>162</v>
      </c>
      <c r="AB136" t="s">
        <v>68</v>
      </c>
      <c r="AC136" t="s">
        <v>1542</v>
      </c>
      <c r="AD136">
        <v>2024</v>
      </c>
    </row>
    <row r="137" spans="1:30">
      <c r="A137" t="s">
        <v>1124</v>
      </c>
      <c r="B137" t="s">
        <v>1125</v>
      </c>
      <c r="C137" t="s">
        <v>1126</v>
      </c>
      <c r="D137" t="s">
        <v>1127</v>
      </c>
      <c r="E137" s="63" t="s">
        <v>1128</v>
      </c>
      <c r="G137" t="s">
        <v>966</v>
      </c>
      <c r="N137" t="s">
        <v>81</v>
      </c>
      <c r="O137" t="s">
        <v>605</v>
      </c>
      <c r="Q137" t="s">
        <v>63</v>
      </c>
      <c r="R137" t="s">
        <v>401</v>
      </c>
      <c r="S137" t="s">
        <v>399</v>
      </c>
      <c r="U137" t="s">
        <v>938</v>
      </c>
      <c r="V137" t="s">
        <v>475</v>
      </c>
      <c r="W137" t="s">
        <v>87</v>
      </c>
      <c r="X137" s="76"/>
      <c r="Y137" t="s">
        <v>1654</v>
      </c>
      <c r="Z137" s="61"/>
      <c r="AA137" t="s">
        <v>162</v>
      </c>
      <c r="AB137" t="s">
        <v>88</v>
      </c>
      <c r="AC137" t="s">
        <v>69</v>
      </c>
      <c r="AD137">
        <v>2024</v>
      </c>
    </row>
    <row r="138" spans="1:30">
      <c r="A138" t="s">
        <v>467</v>
      </c>
      <c r="B138" t="s">
        <v>441</v>
      </c>
      <c r="C138" t="s">
        <v>875</v>
      </c>
      <c r="D138" t="s">
        <v>1130</v>
      </c>
      <c r="E138" s="63" t="s">
        <v>1131</v>
      </c>
      <c r="G138" t="s">
        <v>972</v>
      </c>
      <c r="N138" t="s">
        <v>81</v>
      </c>
      <c r="O138" t="s">
        <v>617</v>
      </c>
      <c r="Q138" t="s">
        <v>63</v>
      </c>
      <c r="R138" t="s">
        <v>452</v>
      </c>
      <c r="S138" t="s">
        <v>450</v>
      </c>
      <c r="U138" t="s">
        <v>1664</v>
      </c>
      <c r="V138" t="s">
        <v>201</v>
      </c>
      <c r="W138" t="s">
        <v>1653</v>
      </c>
      <c r="X138" s="76">
        <v>107</v>
      </c>
      <c r="Y138" t="s">
        <v>1654</v>
      </c>
      <c r="Z138" s="61"/>
      <c r="AA138" t="s">
        <v>175</v>
      </c>
      <c r="AB138" t="s">
        <v>32</v>
      </c>
      <c r="AC138" t="s">
        <v>1424</v>
      </c>
      <c r="AD138">
        <v>2024</v>
      </c>
    </row>
    <row r="139" spans="1:30">
      <c r="A139" t="s">
        <v>798</v>
      </c>
      <c r="B139" t="s">
        <v>1049</v>
      </c>
      <c r="C139" t="s">
        <v>1133</v>
      </c>
      <c r="D139" t="s">
        <v>1134</v>
      </c>
      <c r="E139" s="63" t="s">
        <v>1135</v>
      </c>
      <c r="G139" t="s">
        <v>977</v>
      </c>
      <c r="N139" t="s">
        <v>81</v>
      </c>
      <c r="O139" t="s">
        <v>721</v>
      </c>
      <c r="Q139" t="s">
        <v>63</v>
      </c>
      <c r="R139" t="s">
        <v>478</v>
      </c>
      <c r="S139" t="s">
        <v>476</v>
      </c>
      <c r="U139" t="s">
        <v>1664</v>
      </c>
      <c r="V139" t="s">
        <v>201</v>
      </c>
      <c r="W139" t="s">
        <v>1655</v>
      </c>
      <c r="X139" s="76">
        <v>107</v>
      </c>
      <c r="Y139" t="s">
        <v>1654</v>
      </c>
      <c r="Z139" s="61"/>
      <c r="AA139" t="s">
        <v>175</v>
      </c>
      <c r="AB139" t="s">
        <v>49</v>
      </c>
      <c r="AC139" t="s">
        <v>768</v>
      </c>
      <c r="AD139">
        <v>2024</v>
      </c>
    </row>
    <row r="140" spans="1:30">
      <c r="A140" t="s">
        <v>804</v>
      </c>
      <c r="B140" t="s">
        <v>1054</v>
      </c>
      <c r="C140" t="s">
        <v>1137</v>
      </c>
      <c r="D140" t="s">
        <v>1138</v>
      </c>
      <c r="E140" s="63" t="s">
        <v>1139</v>
      </c>
      <c r="G140" t="s">
        <v>983</v>
      </c>
      <c r="N140" t="s">
        <v>81</v>
      </c>
      <c r="O140" t="s">
        <v>629</v>
      </c>
      <c r="Q140" t="s">
        <v>63</v>
      </c>
      <c r="R140" t="s">
        <v>540</v>
      </c>
      <c r="S140" t="s">
        <v>538</v>
      </c>
      <c r="U140" t="s">
        <v>1664</v>
      </c>
      <c r="V140" t="s">
        <v>201</v>
      </c>
      <c r="W140" t="s">
        <v>67</v>
      </c>
      <c r="X140" s="76">
        <v>158</v>
      </c>
      <c r="Y140" t="s">
        <v>1654</v>
      </c>
      <c r="Z140" s="61"/>
      <c r="AA140" t="s">
        <v>175</v>
      </c>
      <c r="AB140" t="s">
        <v>68</v>
      </c>
      <c r="AC140" t="s">
        <v>1136</v>
      </c>
      <c r="AD140">
        <v>2024</v>
      </c>
    </row>
    <row r="141" spans="1:30">
      <c r="A141" t="s">
        <v>813</v>
      </c>
      <c r="B141" t="s">
        <v>1060</v>
      </c>
      <c r="C141" t="s">
        <v>1141</v>
      </c>
      <c r="D141" t="s">
        <v>1142</v>
      </c>
      <c r="E141" s="63" t="s">
        <v>1143</v>
      </c>
      <c r="G141" t="s">
        <v>1124</v>
      </c>
      <c r="N141" t="s">
        <v>81</v>
      </c>
      <c r="O141" t="s">
        <v>659</v>
      </c>
      <c r="Q141" t="s">
        <v>63</v>
      </c>
      <c r="R141" t="s">
        <v>553</v>
      </c>
      <c r="S141" t="s">
        <v>551</v>
      </c>
      <c r="U141" t="s">
        <v>1664</v>
      </c>
      <c r="V141" t="s">
        <v>201</v>
      </c>
      <c r="W141" t="s">
        <v>87</v>
      </c>
      <c r="X141" s="76">
        <v>3574</v>
      </c>
      <c r="Y141" t="s">
        <v>1654</v>
      </c>
      <c r="Z141" s="61"/>
      <c r="AA141" t="s">
        <v>175</v>
      </c>
      <c r="AB141" t="s">
        <v>88</v>
      </c>
      <c r="AC141" t="s">
        <v>1180</v>
      </c>
      <c r="AD141">
        <v>2024</v>
      </c>
    </row>
    <row r="142" spans="1:30">
      <c r="A142" t="s">
        <v>658</v>
      </c>
      <c r="B142" t="s">
        <v>1066</v>
      </c>
      <c r="C142" t="s">
        <v>1144</v>
      </c>
      <c r="D142" t="s">
        <v>1145</v>
      </c>
      <c r="E142" s="63" t="s">
        <v>1146</v>
      </c>
      <c r="G142" t="s">
        <v>1147</v>
      </c>
      <c r="N142" t="s">
        <v>81</v>
      </c>
      <c r="O142" t="s">
        <v>670</v>
      </c>
      <c r="Q142" t="s">
        <v>63</v>
      </c>
      <c r="R142" t="s">
        <v>649</v>
      </c>
      <c r="S142" t="s">
        <v>647</v>
      </c>
      <c r="U142" t="s">
        <v>961</v>
      </c>
      <c r="V142" t="s">
        <v>214</v>
      </c>
      <c r="W142" t="s">
        <v>1653</v>
      </c>
      <c r="X142" s="76">
        <v>6</v>
      </c>
      <c r="Y142" t="s">
        <v>1654</v>
      </c>
      <c r="Z142" s="61"/>
      <c r="AA142" t="s">
        <v>188</v>
      </c>
      <c r="AB142" t="s">
        <v>32</v>
      </c>
      <c r="AC142" t="s">
        <v>1186</v>
      </c>
      <c r="AD142">
        <v>2024</v>
      </c>
    </row>
    <row r="143" spans="1:30">
      <c r="A143" t="s">
        <v>1001</v>
      </c>
      <c r="B143" t="s">
        <v>1149</v>
      </c>
      <c r="C143" t="s">
        <v>1150</v>
      </c>
      <c r="D143" t="s">
        <v>1151</v>
      </c>
      <c r="E143" s="63" t="s">
        <v>1152</v>
      </c>
      <c r="G143" t="s">
        <v>467</v>
      </c>
      <c r="N143" t="s">
        <v>81</v>
      </c>
      <c r="O143" t="s">
        <v>676</v>
      </c>
      <c r="Q143" t="s">
        <v>63</v>
      </c>
      <c r="R143" t="s">
        <v>668</v>
      </c>
      <c r="S143" t="s">
        <v>666</v>
      </c>
      <c r="U143" t="s">
        <v>961</v>
      </c>
      <c r="V143" t="s">
        <v>214</v>
      </c>
      <c r="W143" t="s">
        <v>1655</v>
      </c>
      <c r="X143" s="76">
        <v>5</v>
      </c>
      <c r="Y143" t="s">
        <v>1654</v>
      </c>
      <c r="Z143" s="61"/>
      <c r="AA143" t="s">
        <v>188</v>
      </c>
      <c r="AB143" t="s">
        <v>49</v>
      </c>
      <c r="AC143" t="s">
        <v>239</v>
      </c>
      <c r="AD143">
        <v>2024</v>
      </c>
    </row>
    <row r="144" spans="1:30">
      <c r="A144" t="s">
        <v>481</v>
      </c>
      <c r="B144" t="s">
        <v>455</v>
      </c>
      <c r="C144" t="s">
        <v>715</v>
      </c>
      <c r="D144" t="s">
        <v>1153</v>
      </c>
      <c r="E144" s="63" t="s">
        <v>1154</v>
      </c>
      <c r="G144" t="s">
        <v>798</v>
      </c>
      <c r="N144" t="s">
        <v>81</v>
      </c>
      <c r="O144" t="s">
        <v>703</v>
      </c>
      <c r="Q144" t="s">
        <v>63</v>
      </c>
      <c r="R144" t="s">
        <v>880</v>
      </c>
      <c r="S144" t="s">
        <v>878</v>
      </c>
      <c r="U144" t="s">
        <v>961</v>
      </c>
      <c r="V144" t="s">
        <v>214</v>
      </c>
      <c r="W144" t="s">
        <v>67</v>
      </c>
      <c r="X144" s="76">
        <v>39</v>
      </c>
      <c r="Y144" t="s">
        <v>1654</v>
      </c>
      <c r="Z144" s="61"/>
      <c r="AA144" t="s">
        <v>188</v>
      </c>
      <c r="AB144" t="s">
        <v>68</v>
      </c>
      <c r="AC144" t="s">
        <v>1074</v>
      </c>
      <c r="AD144">
        <v>2024</v>
      </c>
    </row>
    <row r="145" spans="1:30">
      <c r="A145" t="s">
        <v>1156</v>
      </c>
      <c r="B145" t="s">
        <v>1157</v>
      </c>
      <c r="C145" t="s">
        <v>1158</v>
      </c>
      <c r="D145" t="s">
        <v>1159</v>
      </c>
      <c r="E145" s="63" t="s">
        <v>1160</v>
      </c>
      <c r="G145" t="s">
        <v>804</v>
      </c>
      <c r="N145" t="s">
        <v>81</v>
      </c>
      <c r="O145" t="s">
        <v>710</v>
      </c>
      <c r="Q145" t="s">
        <v>63</v>
      </c>
      <c r="R145" t="s">
        <v>1113</v>
      </c>
      <c r="S145" t="s">
        <v>1045</v>
      </c>
      <c r="U145" t="s">
        <v>961</v>
      </c>
      <c r="V145" t="s">
        <v>214</v>
      </c>
      <c r="W145" t="s">
        <v>87</v>
      </c>
      <c r="X145" s="76">
        <v>1000</v>
      </c>
      <c r="Y145" t="s">
        <v>1654</v>
      </c>
      <c r="Z145" s="61"/>
      <c r="AA145" t="s">
        <v>188</v>
      </c>
      <c r="AB145" t="s">
        <v>88</v>
      </c>
      <c r="AC145" t="s">
        <v>1202</v>
      </c>
      <c r="AD145">
        <v>2024</v>
      </c>
    </row>
    <row r="146" spans="1:30">
      <c r="A146" t="s">
        <v>490</v>
      </c>
      <c r="B146" t="s">
        <v>468</v>
      </c>
      <c r="C146" t="s">
        <v>890</v>
      </c>
      <c r="D146" t="s">
        <v>1162</v>
      </c>
      <c r="E146" s="63" t="s">
        <v>1163</v>
      </c>
      <c r="G146" t="s">
        <v>813</v>
      </c>
      <c r="N146" t="s">
        <v>81</v>
      </c>
      <c r="O146" t="s">
        <v>716</v>
      </c>
      <c r="Q146" t="s">
        <v>63</v>
      </c>
      <c r="R146" t="s">
        <v>959</v>
      </c>
      <c r="S146" t="s">
        <v>957</v>
      </c>
      <c r="U146" t="s">
        <v>982</v>
      </c>
      <c r="V146" t="s">
        <v>524</v>
      </c>
      <c r="W146" t="s">
        <v>1653</v>
      </c>
      <c r="X146" s="76">
        <v>12</v>
      </c>
      <c r="Y146" t="s">
        <v>1654</v>
      </c>
      <c r="Z146" s="61"/>
      <c r="AA146" t="s">
        <v>435</v>
      </c>
      <c r="AB146" t="s">
        <v>32</v>
      </c>
      <c r="AC146" t="s">
        <v>807</v>
      </c>
      <c r="AD146">
        <v>2024</v>
      </c>
    </row>
    <row r="147" spans="1:30">
      <c r="A147" t="s">
        <v>504</v>
      </c>
      <c r="B147" t="s">
        <v>482</v>
      </c>
      <c r="C147" t="s">
        <v>760</v>
      </c>
      <c r="D147" t="s">
        <v>1164</v>
      </c>
      <c r="E147" s="63" t="s">
        <v>1165</v>
      </c>
      <c r="G147" t="s">
        <v>1001</v>
      </c>
      <c r="N147" t="s">
        <v>81</v>
      </c>
      <c r="O147" t="s">
        <v>743</v>
      </c>
      <c r="Q147" t="s">
        <v>63</v>
      </c>
      <c r="R147" t="s">
        <v>964</v>
      </c>
      <c r="S147" t="s">
        <v>962</v>
      </c>
      <c r="U147" t="s">
        <v>982</v>
      </c>
      <c r="V147" t="s">
        <v>524</v>
      </c>
      <c r="W147" t="s">
        <v>1655</v>
      </c>
      <c r="X147" s="76">
        <v>11</v>
      </c>
      <c r="Y147" t="s">
        <v>1654</v>
      </c>
      <c r="Z147" s="61"/>
      <c r="AA147" t="s">
        <v>435</v>
      </c>
      <c r="AB147" t="s">
        <v>49</v>
      </c>
      <c r="AC147" t="s">
        <v>807</v>
      </c>
      <c r="AD147">
        <v>2024</v>
      </c>
    </row>
    <row r="148" spans="1:30">
      <c r="A148" t="s">
        <v>517</v>
      </c>
      <c r="B148" t="s">
        <v>491</v>
      </c>
      <c r="C148" t="s">
        <v>722</v>
      </c>
      <c r="D148" t="s">
        <v>1166</v>
      </c>
      <c r="E148" s="63" t="s">
        <v>1167</v>
      </c>
      <c r="G148" t="s">
        <v>1078</v>
      </c>
      <c r="N148" t="s">
        <v>81</v>
      </c>
      <c r="O148" t="s">
        <v>904</v>
      </c>
      <c r="Q148" t="s">
        <v>63</v>
      </c>
      <c r="R148" t="s">
        <v>1145</v>
      </c>
      <c r="S148" t="s">
        <v>1066</v>
      </c>
      <c r="U148" t="s">
        <v>982</v>
      </c>
      <c r="V148" t="s">
        <v>524</v>
      </c>
      <c r="W148" t="s">
        <v>67</v>
      </c>
      <c r="X148" s="76">
        <v>7</v>
      </c>
      <c r="Y148" t="s">
        <v>1654</v>
      </c>
      <c r="Z148" s="61"/>
      <c r="AA148" t="s">
        <v>435</v>
      </c>
      <c r="AB148" t="s">
        <v>68</v>
      </c>
      <c r="AC148" t="s">
        <v>754</v>
      </c>
      <c r="AD148">
        <v>2024</v>
      </c>
    </row>
    <row r="149" spans="1:30">
      <c r="A149" t="s">
        <v>1008</v>
      </c>
      <c r="B149" t="s">
        <v>1168</v>
      </c>
      <c r="C149" t="s">
        <v>1169</v>
      </c>
      <c r="D149" t="s">
        <v>1170</v>
      </c>
      <c r="E149" s="63" t="s">
        <v>1171</v>
      </c>
      <c r="G149" t="s">
        <v>481</v>
      </c>
      <c r="N149" t="s">
        <v>81</v>
      </c>
      <c r="O149" t="s">
        <v>777</v>
      </c>
      <c r="Q149" t="s">
        <v>63</v>
      </c>
      <c r="R149" t="s">
        <v>1172</v>
      </c>
      <c r="S149" t="s">
        <v>1104</v>
      </c>
      <c r="U149" t="s">
        <v>982</v>
      </c>
      <c r="V149" t="s">
        <v>524</v>
      </c>
      <c r="W149" t="s">
        <v>87</v>
      </c>
      <c r="X149" s="76">
        <v>300</v>
      </c>
      <c r="Y149" t="s">
        <v>1654</v>
      </c>
      <c r="Z149" s="61"/>
      <c r="AA149" t="s">
        <v>435</v>
      </c>
      <c r="AB149" t="s">
        <v>88</v>
      </c>
      <c r="AC149" t="s">
        <v>694</v>
      </c>
      <c r="AD149">
        <v>2024</v>
      </c>
    </row>
    <row r="150" spans="1:30">
      <c r="A150" t="s">
        <v>1174</v>
      </c>
      <c r="B150" t="s">
        <v>1175</v>
      </c>
      <c r="C150" t="s">
        <v>1176</v>
      </c>
      <c r="D150" t="s">
        <v>1177</v>
      </c>
      <c r="E150" s="63" t="s">
        <v>1178</v>
      </c>
      <c r="G150" t="s">
        <v>1156</v>
      </c>
      <c r="N150" t="s">
        <v>81</v>
      </c>
      <c r="O150" t="s">
        <v>808</v>
      </c>
      <c r="Q150" t="s">
        <v>63</v>
      </c>
      <c r="R150" t="s">
        <v>1179</v>
      </c>
      <c r="S150" t="s">
        <v>1109</v>
      </c>
      <c r="U150" t="s">
        <v>1002</v>
      </c>
      <c r="V150" t="s">
        <v>537</v>
      </c>
      <c r="W150" t="s">
        <v>1653</v>
      </c>
      <c r="X150" s="76"/>
      <c r="Y150" t="s">
        <v>1654</v>
      </c>
      <c r="Z150" s="61"/>
      <c r="AA150" t="s">
        <v>449</v>
      </c>
      <c r="AB150" t="s">
        <v>32</v>
      </c>
      <c r="AC150" t="s">
        <v>1074</v>
      </c>
      <c r="AD150">
        <v>2024</v>
      </c>
    </row>
    <row r="151" spans="1:30">
      <c r="A151" t="s">
        <v>1181</v>
      </c>
      <c r="B151" t="s">
        <v>1182</v>
      </c>
      <c r="C151" t="s">
        <v>1183</v>
      </c>
      <c r="D151" t="s">
        <v>1184</v>
      </c>
      <c r="E151" s="63" t="s">
        <v>1185</v>
      </c>
      <c r="G151" t="s">
        <v>490</v>
      </c>
      <c r="N151" t="s">
        <v>81</v>
      </c>
      <c r="O151" t="s">
        <v>816</v>
      </c>
      <c r="Q151" t="s">
        <v>63</v>
      </c>
      <c r="R151" t="s">
        <v>124</v>
      </c>
      <c r="S151" t="s">
        <v>122</v>
      </c>
      <c r="U151" t="s">
        <v>1002</v>
      </c>
      <c r="V151" t="s">
        <v>537</v>
      </c>
      <c r="W151" t="s">
        <v>1655</v>
      </c>
      <c r="X151" s="76"/>
      <c r="Y151" t="s">
        <v>1654</v>
      </c>
      <c r="Z151" s="61"/>
      <c r="AA151" t="s">
        <v>449</v>
      </c>
      <c r="AB151" t="s">
        <v>49</v>
      </c>
      <c r="AC151" t="s">
        <v>1074</v>
      </c>
      <c r="AD151">
        <v>2024</v>
      </c>
    </row>
    <row r="152" spans="1:30">
      <c r="A152" t="s">
        <v>529</v>
      </c>
      <c r="B152" t="s">
        <v>505</v>
      </c>
      <c r="C152" t="s">
        <v>634</v>
      </c>
      <c r="D152" t="s">
        <v>1187</v>
      </c>
      <c r="E152" s="63" t="s">
        <v>1188</v>
      </c>
      <c r="G152" t="s">
        <v>1189</v>
      </c>
      <c r="N152" t="s">
        <v>81</v>
      </c>
      <c r="O152" t="s">
        <v>825</v>
      </c>
      <c r="Q152" t="s">
        <v>63</v>
      </c>
      <c r="R152" t="s">
        <v>1190</v>
      </c>
      <c r="S152" t="s">
        <v>1083</v>
      </c>
      <c r="U152" t="s">
        <v>1002</v>
      </c>
      <c r="V152" t="s">
        <v>537</v>
      </c>
      <c r="W152" t="s">
        <v>67</v>
      </c>
      <c r="X152" s="76"/>
      <c r="Y152" t="s">
        <v>1654</v>
      </c>
      <c r="Z152" s="61"/>
      <c r="AA152" t="s">
        <v>449</v>
      </c>
      <c r="AB152" t="s">
        <v>68</v>
      </c>
      <c r="AC152" t="s">
        <v>841</v>
      </c>
      <c r="AD152">
        <v>2024</v>
      </c>
    </row>
    <row r="153" spans="1:30">
      <c r="A153" t="s">
        <v>555</v>
      </c>
      <c r="B153" t="s">
        <v>518</v>
      </c>
      <c r="C153" t="s">
        <v>831</v>
      </c>
      <c r="D153" t="s">
        <v>1192</v>
      </c>
      <c r="E153" s="63" t="s">
        <v>1193</v>
      </c>
      <c r="G153" t="s">
        <v>504</v>
      </c>
      <c r="N153" t="s">
        <v>81</v>
      </c>
      <c r="O153" t="s">
        <v>858</v>
      </c>
      <c r="Q153" t="s">
        <v>63</v>
      </c>
      <c r="R153" t="s">
        <v>643</v>
      </c>
      <c r="S153" t="s">
        <v>641</v>
      </c>
      <c r="U153" t="s">
        <v>1002</v>
      </c>
      <c r="V153" t="s">
        <v>537</v>
      </c>
      <c r="W153" t="s">
        <v>87</v>
      </c>
      <c r="X153" s="76"/>
      <c r="Y153" t="s">
        <v>1654</v>
      </c>
      <c r="Z153" s="61"/>
      <c r="AA153" t="s">
        <v>449</v>
      </c>
      <c r="AB153" t="s">
        <v>88</v>
      </c>
      <c r="AC153" t="s">
        <v>290</v>
      </c>
      <c r="AD153">
        <v>2024</v>
      </c>
    </row>
    <row r="154" spans="1:30">
      <c r="A154" t="s">
        <v>1196</v>
      </c>
      <c r="B154" t="s">
        <v>1197</v>
      </c>
      <c r="C154" t="s">
        <v>1198</v>
      </c>
      <c r="D154" t="s">
        <v>1199</v>
      </c>
      <c r="E154" s="63" t="s">
        <v>1200</v>
      </c>
      <c r="G154" t="s">
        <v>517</v>
      </c>
      <c r="N154" t="s">
        <v>81</v>
      </c>
      <c r="O154" t="s">
        <v>1013</v>
      </c>
      <c r="Q154" t="s">
        <v>63</v>
      </c>
      <c r="R154" t="s">
        <v>1201</v>
      </c>
      <c r="S154" t="s">
        <v>1092</v>
      </c>
      <c r="U154" t="s">
        <v>1028</v>
      </c>
      <c r="V154" t="s">
        <v>550</v>
      </c>
      <c r="W154" t="s">
        <v>1653</v>
      </c>
      <c r="X154" s="76">
        <v>200</v>
      </c>
      <c r="Y154" t="s">
        <v>1654</v>
      </c>
      <c r="Z154" s="61"/>
      <c r="AA154" t="s">
        <v>462</v>
      </c>
      <c r="AB154" t="s">
        <v>32</v>
      </c>
      <c r="AC154" t="s">
        <v>493</v>
      </c>
      <c r="AD154">
        <v>2024</v>
      </c>
    </row>
    <row r="155" spans="1:30">
      <c r="A155" t="s">
        <v>1021</v>
      </c>
      <c r="B155" t="s">
        <v>1203</v>
      </c>
      <c r="C155" t="s">
        <v>1204</v>
      </c>
      <c r="D155" t="s">
        <v>1205</v>
      </c>
      <c r="E155" s="63" t="s">
        <v>1206</v>
      </c>
      <c r="G155" t="s">
        <v>1008</v>
      </c>
      <c r="N155" t="s">
        <v>81</v>
      </c>
      <c r="O155" t="s">
        <v>1020</v>
      </c>
      <c r="Q155" t="s">
        <v>63</v>
      </c>
      <c r="R155" t="s">
        <v>726</v>
      </c>
      <c r="S155" t="s">
        <v>724</v>
      </c>
      <c r="U155" t="s">
        <v>1028</v>
      </c>
      <c r="V155" t="s">
        <v>550</v>
      </c>
      <c r="W155" t="s">
        <v>1655</v>
      </c>
      <c r="X155" s="76">
        <v>24</v>
      </c>
      <c r="Y155" t="s">
        <v>1654</v>
      </c>
      <c r="Z155" s="61"/>
      <c r="AA155" t="s">
        <v>462</v>
      </c>
      <c r="AB155" t="s">
        <v>49</v>
      </c>
      <c r="AC155" t="s">
        <v>493</v>
      </c>
      <c r="AD155">
        <v>2024</v>
      </c>
    </row>
    <row r="156" spans="1:30">
      <c r="A156" t="s">
        <v>822</v>
      </c>
      <c r="B156" t="s">
        <v>1072</v>
      </c>
      <c r="C156" t="s">
        <v>1207</v>
      </c>
      <c r="D156" t="s">
        <v>1208</v>
      </c>
      <c r="E156" s="63" t="s">
        <v>1209</v>
      </c>
      <c r="G156" t="s">
        <v>1174</v>
      </c>
      <c r="N156" t="s">
        <v>81</v>
      </c>
      <c r="O156" t="s">
        <v>1035</v>
      </c>
      <c r="Q156" t="s">
        <v>63</v>
      </c>
      <c r="R156" t="s">
        <v>1134</v>
      </c>
      <c r="S156" t="s">
        <v>1049</v>
      </c>
      <c r="U156" t="s">
        <v>1028</v>
      </c>
      <c r="V156" t="s">
        <v>550</v>
      </c>
      <c r="W156" t="s">
        <v>67</v>
      </c>
      <c r="X156" s="76">
        <v>829</v>
      </c>
      <c r="Y156" t="s">
        <v>1654</v>
      </c>
      <c r="Z156" s="61"/>
      <c r="AA156" t="s">
        <v>462</v>
      </c>
      <c r="AB156" t="s">
        <v>68</v>
      </c>
      <c r="AC156" t="s">
        <v>361</v>
      </c>
      <c r="AD156">
        <v>2024</v>
      </c>
    </row>
    <row r="157" spans="1:30">
      <c r="A157" t="s">
        <v>1210</v>
      </c>
      <c r="B157" t="s">
        <v>1211</v>
      </c>
      <c r="C157" t="s">
        <v>1212</v>
      </c>
      <c r="D157" t="s">
        <v>1213</v>
      </c>
      <c r="E157" s="63" t="s">
        <v>1214</v>
      </c>
      <c r="G157" t="s">
        <v>1181</v>
      </c>
      <c r="N157" t="s">
        <v>81</v>
      </c>
      <c r="O157" t="s">
        <v>1065</v>
      </c>
      <c r="Q157" t="s">
        <v>63</v>
      </c>
      <c r="R157" t="s">
        <v>1142</v>
      </c>
      <c r="S157" t="s">
        <v>1060</v>
      </c>
      <c r="U157" t="s">
        <v>1028</v>
      </c>
      <c r="V157" t="s">
        <v>550</v>
      </c>
      <c r="W157" t="s">
        <v>87</v>
      </c>
      <c r="X157" s="76">
        <v>7877</v>
      </c>
      <c r="Y157" t="s">
        <v>1654</v>
      </c>
      <c r="Z157" s="61"/>
      <c r="AA157" t="s">
        <v>462</v>
      </c>
      <c r="AB157" t="s">
        <v>88</v>
      </c>
      <c r="AC157" t="s">
        <v>815</v>
      </c>
      <c r="AD157">
        <v>2024</v>
      </c>
    </row>
    <row r="158" spans="1:30">
      <c r="A158" t="s">
        <v>1216</v>
      </c>
      <c r="B158" t="s">
        <v>1217</v>
      </c>
      <c r="C158" t="s">
        <v>1218</v>
      </c>
      <c r="D158" t="s">
        <v>1219</v>
      </c>
      <c r="E158" s="63" t="s">
        <v>1220</v>
      </c>
      <c r="G158" t="s">
        <v>1014</v>
      </c>
      <c r="N158" t="s">
        <v>81</v>
      </c>
      <c r="O158" t="s">
        <v>1067</v>
      </c>
      <c r="Q158" t="s">
        <v>63</v>
      </c>
      <c r="R158" t="s">
        <v>1138</v>
      </c>
      <c r="S158" t="s">
        <v>1054</v>
      </c>
      <c r="U158" t="s">
        <v>1050</v>
      </c>
      <c r="V158" t="s">
        <v>562</v>
      </c>
      <c r="W158" t="s">
        <v>1653</v>
      </c>
      <c r="X158" s="76">
        <v>38</v>
      </c>
      <c r="Y158" t="s">
        <v>1654</v>
      </c>
      <c r="Z158" s="61"/>
      <c r="AA158" t="s">
        <v>475</v>
      </c>
      <c r="AB158" t="s">
        <v>32</v>
      </c>
      <c r="AC158" t="s">
        <v>1249</v>
      </c>
      <c r="AD158">
        <v>2024</v>
      </c>
    </row>
    <row r="159" spans="1:30">
      <c r="A159" t="s">
        <v>1221</v>
      </c>
      <c r="B159" t="s">
        <v>1222</v>
      </c>
      <c r="C159" t="s">
        <v>1223</v>
      </c>
      <c r="D159" t="s">
        <v>1224</v>
      </c>
      <c r="E159" s="63" t="s">
        <v>1225</v>
      </c>
      <c r="G159" t="s">
        <v>529</v>
      </c>
      <c r="N159" t="s">
        <v>81</v>
      </c>
      <c r="O159" t="s">
        <v>933</v>
      </c>
      <c r="Q159" t="s">
        <v>63</v>
      </c>
      <c r="R159" t="s">
        <v>1208</v>
      </c>
      <c r="S159" t="s">
        <v>1072</v>
      </c>
      <c r="U159" t="s">
        <v>1050</v>
      </c>
      <c r="V159" t="s">
        <v>562</v>
      </c>
      <c r="W159" t="s">
        <v>1655</v>
      </c>
      <c r="X159" s="76">
        <v>27</v>
      </c>
      <c r="Y159" t="s">
        <v>1654</v>
      </c>
      <c r="Z159" s="61"/>
      <c r="AA159" t="s">
        <v>475</v>
      </c>
      <c r="AB159" t="s">
        <v>49</v>
      </c>
      <c r="AC159" t="s">
        <v>841</v>
      </c>
      <c r="AD159">
        <v>2024</v>
      </c>
    </row>
    <row r="160" spans="1:30">
      <c r="A160" t="s">
        <v>580</v>
      </c>
      <c r="B160" t="s">
        <v>530</v>
      </c>
      <c r="C160" t="s">
        <v>868</v>
      </c>
      <c r="D160" t="s">
        <v>1226</v>
      </c>
      <c r="E160" s="63" t="s">
        <v>1227</v>
      </c>
      <c r="G160" t="s">
        <v>542</v>
      </c>
      <c r="N160" t="s">
        <v>81</v>
      </c>
      <c r="O160" t="s">
        <v>972</v>
      </c>
      <c r="Q160" t="s">
        <v>63</v>
      </c>
      <c r="R160" t="s">
        <v>1228</v>
      </c>
      <c r="S160" t="s">
        <v>1099</v>
      </c>
      <c r="U160" t="s">
        <v>1050</v>
      </c>
      <c r="V160" t="s">
        <v>562</v>
      </c>
      <c r="W160" t="s">
        <v>67</v>
      </c>
      <c r="X160" s="76">
        <v>473</v>
      </c>
      <c r="Y160" t="s">
        <v>1654</v>
      </c>
      <c r="Z160" s="61"/>
      <c r="AA160" t="s">
        <v>475</v>
      </c>
      <c r="AB160" t="s">
        <v>68</v>
      </c>
      <c r="AC160" t="s">
        <v>1543</v>
      </c>
      <c r="AD160">
        <v>2024</v>
      </c>
    </row>
    <row r="161" spans="1:30">
      <c r="A161" t="s">
        <v>187</v>
      </c>
      <c r="B161" t="s">
        <v>1077</v>
      </c>
      <c r="C161" t="s">
        <v>1230</v>
      </c>
      <c r="D161" t="s">
        <v>1231</v>
      </c>
      <c r="E161" s="63" t="s">
        <v>1232</v>
      </c>
      <c r="G161" t="s">
        <v>555</v>
      </c>
      <c r="N161" t="s">
        <v>81</v>
      </c>
      <c r="O161" t="s">
        <v>977</v>
      </c>
      <c r="Q161" t="s">
        <v>63</v>
      </c>
      <c r="R161" t="s">
        <v>1231</v>
      </c>
      <c r="S161" t="s">
        <v>1077</v>
      </c>
      <c r="U161" t="s">
        <v>1050</v>
      </c>
      <c r="V161" t="s">
        <v>562</v>
      </c>
      <c r="W161" t="s">
        <v>87</v>
      </c>
      <c r="X161" s="76">
        <v>35040</v>
      </c>
      <c r="Y161" t="s">
        <v>1654</v>
      </c>
      <c r="Z161" s="61"/>
      <c r="AA161" t="s">
        <v>475</v>
      </c>
      <c r="AB161" t="s">
        <v>88</v>
      </c>
      <c r="AC161" t="s">
        <v>1544</v>
      </c>
      <c r="AD161">
        <v>2024</v>
      </c>
    </row>
    <row r="162" spans="1:30">
      <c r="A162" t="s">
        <v>225</v>
      </c>
      <c r="B162" t="s">
        <v>1083</v>
      </c>
      <c r="C162" t="s">
        <v>1233</v>
      </c>
      <c r="D162" t="s">
        <v>1190</v>
      </c>
      <c r="E162" s="63" t="s">
        <v>1234</v>
      </c>
      <c r="G162" t="s">
        <v>1196</v>
      </c>
      <c r="N162" t="s">
        <v>81</v>
      </c>
      <c r="O162" t="s">
        <v>1124</v>
      </c>
      <c r="Q162" t="s">
        <v>63</v>
      </c>
      <c r="R162" t="s">
        <v>1235</v>
      </c>
      <c r="S162" t="s">
        <v>1089</v>
      </c>
      <c r="U162" t="s">
        <v>1050</v>
      </c>
      <c r="V162" t="s">
        <v>562</v>
      </c>
      <c r="W162" t="s">
        <v>1653</v>
      </c>
      <c r="X162" s="76"/>
      <c r="Y162" t="s">
        <v>1654</v>
      </c>
      <c r="Z162" s="61"/>
      <c r="AA162" t="s">
        <v>485</v>
      </c>
      <c r="AB162" t="s">
        <v>32</v>
      </c>
      <c r="AC162" t="s">
        <v>1268</v>
      </c>
      <c r="AD162">
        <v>2024</v>
      </c>
    </row>
    <row r="163" spans="1:30">
      <c r="A163" t="s">
        <v>415</v>
      </c>
      <c r="B163" t="s">
        <v>1089</v>
      </c>
      <c r="C163" t="s">
        <v>1236</v>
      </c>
      <c r="D163" t="s">
        <v>1235</v>
      </c>
      <c r="E163" s="63" t="s">
        <v>1237</v>
      </c>
      <c r="G163" t="s">
        <v>1021</v>
      </c>
      <c r="N163" t="s">
        <v>81</v>
      </c>
      <c r="O163" t="s">
        <v>1147</v>
      </c>
      <c r="Q163" t="s">
        <v>63</v>
      </c>
      <c r="R163" t="s">
        <v>413</v>
      </c>
      <c r="S163" t="s">
        <v>411</v>
      </c>
      <c r="U163" t="s">
        <v>1050</v>
      </c>
      <c r="V163" t="s">
        <v>562</v>
      </c>
      <c r="W163" t="s">
        <v>87</v>
      </c>
      <c r="X163" s="76"/>
      <c r="Y163" t="s">
        <v>1654</v>
      </c>
      <c r="Z163" s="61"/>
      <c r="AA163" t="s">
        <v>485</v>
      </c>
      <c r="AB163" t="s">
        <v>49</v>
      </c>
      <c r="AC163" t="s">
        <v>1275</v>
      </c>
      <c r="AD163">
        <v>2024</v>
      </c>
    </row>
    <row r="164" spans="1:30">
      <c r="A164" t="s">
        <v>162</v>
      </c>
      <c r="B164" t="s">
        <v>543</v>
      </c>
      <c r="C164" t="s">
        <v>627</v>
      </c>
      <c r="D164" t="s">
        <v>1238</v>
      </c>
      <c r="E164" s="63" t="s">
        <v>1239</v>
      </c>
      <c r="G164" t="s">
        <v>567</v>
      </c>
      <c r="N164" t="s">
        <v>81</v>
      </c>
      <c r="O164" t="s">
        <v>1078</v>
      </c>
      <c r="Q164" t="s">
        <v>63</v>
      </c>
      <c r="R164" t="s">
        <v>248</v>
      </c>
      <c r="S164" t="s">
        <v>246</v>
      </c>
      <c r="U164" t="s">
        <v>1073</v>
      </c>
      <c r="V164" t="s">
        <v>226</v>
      </c>
      <c r="W164" t="s">
        <v>1653</v>
      </c>
      <c r="X164" s="76">
        <v>18</v>
      </c>
      <c r="Y164" t="s">
        <v>1654</v>
      </c>
      <c r="Z164" s="61"/>
      <c r="AA164" t="s">
        <v>485</v>
      </c>
      <c r="AB164" t="s">
        <v>68</v>
      </c>
      <c r="AC164" t="s">
        <v>1545</v>
      </c>
      <c r="AD164">
        <v>2024</v>
      </c>
    </row>
    <row r="165" spans="1:30">
      <c r="A165" t="s">
        <v>277</v>
      </c>
      <c r="B165" t="s">
        <v>556</v>
      </c>
      <c r="C165" t="s">
        <v>742</v>
      </c>
      <c r="D165" t="s">
        <v>1241</v>
      </c>
      <c r="E165" s="63" t="s">
        <v>1242</v>
      </c>
      <c r="G165" t="s">
        <v>822</v>
      </c>
      <c r="N165" t="s">
        <v>81</v>
      </c>
      <c r="O165" t="s">
        <v>1189</v>
      </c>
      <c r="Q165" t="s">
        <v>63</v>
      </c>
      <c r="R165" t="s">
        <v>527</v>
      </c>
      <c r="S165" t="s">
        <v>525</v>
      </c>
      <c r="U165" t="s">
        <v>1073</v>
      </c>
      <c r="V165" t="s">
        <v>226</v>
      </c>
      <c r="W165" t="s">
        <v>1655</v>
      </c>
      <c r="X165" s="76">
        <v>8</v>
      </c>
      <c r="Y165" t="s">
        <v>1654</v>
      </c>
      <c r="Z165" s="61"/>
      <c r="AA165" t="s">
        <v>485</v>
      </c>
      <c r="AB165" t="s">
        <v>88</v>
      </c>
      <c r="AC165" t="s">
        <v>841</v>
      </c>
      <c r="AD165">
        <v>2024</v>
      </c>
    </row>
    <row r="166" spans="1:30">
      <c r="A166" t="s">
        <v>741</v>
      </c>
      <c r="B166" t="s">
        <v>1092</v>
      </c>
      <c r="C166" t="s">
        <v>1243</v>
      </c>
      <c r="D166" t="s">
        <v>1201</v>
      </c>
      <c r="E166" s="63" t="s">
        <v>1244</v>
      </c>
      <c r="G166" t="s">
        <v>1210</v>
      </c>
      <c r="N166" t="s">
        <v>81</v>
      </c>
      <c r="O166" t="s">
        <v>1174</v>
      </c>
      <c r="Q166" t="s">
        <v>63</v>
      </c>
      <c r="R166" t="s">
        <v>656</v>
      </c>
      <c r="S166" t="s">
        <v>654</v>
      </c>
      <c r="U166" t="s">
        <v>1073</v>
      </c>
      <c r="V166" t="s">
        <v>226</v>
      </c>
      <c r="W166" t="s">
        <v>67</v>
      </c>
      <c r="X166" s="76">
        <v>28</v>
      </c>
      <c r="Y166" t="s">
        <v>1654</v>
      </c>
      <c r="Z166" s="61"/>
      <c r="AA166" t="s">
        <v>499</v>
      </c>
      <c r="AB166" t="s">
        <v>32</v>
      </c>
      <c r="AC166" t="s">
        <v>599</v>
      </c>
      <c r="AD166">
        <v>2024</v>
      </c>
    </row>
    <row r="167" spans="1:30">
      <c r="A167" t="s">
        <v>1065</v>
      </c>
      <c r="B167" t="s">
        <v>1245</v>
      </c>
      <c r="C167" t="s">
        <v>1246</v>
      </c>
      <c r="D167" t="s">
        <v>1247</v>
      </c>
      <c r="E167" s="63" t="s">
        <v>1248</v>
      </c>
      <c r="G167" t="s">
        <v>1216</v>
      </c>
      <c r="N167" t="s">
        <v>81</v>
      </c>
      <c r="O167" t="s">
        <v>1181</v>
      </c>
      <c r="Q167" t="s">
        <v>62</v>
      </c>
      <c r="R167" t="s">
        <v>77</v>
      </c>
      <c r="S167" t="s">
        <v>76</v>
      </c>
      <c r="U167" t="s">
        <v>1073</v>
      </c>
      <c r="V167" t="s">
        <v>226</v>
      </c>
      <c r="W167" t="s">
        <v>87</v>
      </c>
      <c r="X167" s="76">
        <v>500</v>
      </c>
      <c r="Y167" t="s">
        <v>1654</v>
      </c>
      <c r="Z167" s="61"/>
      <c r="AA167" t="s">
        <v>499</v>
      </c>
      <c r="AB167" t="s">
        <v>49</v>
      </c>
      <c r="AC167" t="s">
        <v>1433</v>
      </c>
      <c r="AD167">
        <v>2024</v>
      </c>
    </row>
    <row r="168" spans="1:30">
      <c r="A168" t="s">
        <v>1108</v>
      </c>
      <c r="B168" t="s">
        <v>1250</v>
      </c>
      <c r="C168" t="s">
        <v>1251</v>
      </c>
      <c r="D168" t="s">
        <v>1252</v>
      </c>
      <c r="E168" s="63" t="s">
        <v>1253</v>
      </c>
      <c r="G168" t="s">
        <v>1221</v>
      </c>
      <c r="N168" t="s">
        <v>81</v>
      </c>
      <c r="O168" t="s">
        <v>1196</v>
      </c>
      <c r="Q168" t="s">
        <v>62</v>
      </c>
      <c r="R168" t="s">
        <v>133</v>
      </c>
      <c r="S168" t="s">
        <v>132</v>
      </c>
      <c r="U168" t="s">
        <v>1093</v>
      </c>
      <c r="V168" t="s">
        <v>210</v>
      </c>
      <c r="W168" t="s">
        <v>1653</v>
      </c>
      <c r="X168" s="76"/>
      <c r="Y168" t="s">
        <v>1654</v>
      </c>
      <c r="Z168" s="61"/>
      <c r="AA168" t="s">
        <v>499</v>
      </c>
      <c r="AB168" t="s">
        <v>68</v>
      </c>
      <c r="AC168" t="s">
        <v>1546</v>
      </c>
      <c r="AD168">
        <v>2024</v>
      </c>
    </row>
    <row r="169" spans="1:30">
      <c r="A169" t="s">
        <v>1189</v>
      </c>
      <c r="B169" t="s">
        <v>1255</v>
      </c>
      <c r="C169" t="s">
        <v>1256</v>
      </c>
      <c r="D169" t="s">
        <v>1257</v>
      </c>
      <c r="E169" s="63" t="s">
        <v>1258</v>
      </c>
      <c r="G169" t="s">
        <v>1003</v>
      </c>
      <c r="N169" t="s">
        <v>81</v>
      </c>
      <c r="O169" t="s">
        <v>1210</v>
      </c>
      <c r="Q169" t="s">
        <v>62</v>
      </c>
      <c r="R169" t="s">
        <v>274</v>
      </c>
      <c r="S169" t="s">
        <v>273</v>
      </c>
      <c r="U169" t="s">
        <v>1093</v>
      </c>
      <c r="V169" t="s">
        <v>210</v>
      </c>
      <c r="W169" t="s">
        <v>1655</v>
      </c>
      <c r="X169" s="76"/>
      <c r="Y169" t="s">
        <v>1654</v>
      </c>
      <c r="Z169" s="61"/>
      <c r="AA169" t="s">
        <v>499</v>
      </c>
      <c r="AB169" t="s">
        <v>88</v>
      </c>
      <c r="AC169" t="s">
        <v>1294</v>
      </c>
      <c r="AD169">
        <v>2024</v>
      </c>
    </row>
    <row r="170" spans="1:30">
      <c r="A170" t="s">
        <v>314</v>
      </c>
      <c r="B170" t="s">
        <v>1259</v>
      </c>
      <c r="C170" t="s">
        <v>1260</v>
      </c>
      <c r="D170" t="s">
        <v>1261</v>
      </c>
      <c r="E170" s="63" t="s">
        <v>1262</v>
      </c>
      <c r="G170" t="s">
        <v>580</v>
      </c>
      <c r="N170" t="s">
        <v>81</v>
      </c>
      <c r="O170" t="s">
        <v>1216</v>
      </c>
      <c r="Q170" t="s">
        <v>62</v>
      </c>
      <c r="R170" t="s">
        <v>298</v>
      </c>
      <c r="S170" t="s">
        <v>297</v>
      </c>
      <c r="U170" t="s">
        <v>1093</v>
      </c>
      <c r="V170" t="s">
        <v>210</v>
      </c>
      <c r="W170" t="s">
        <v>67</v>
      </c>
      <c r="X170" s="76"/>
      <c r="Y170" t="s">
        <v>1654</v>
      </c>
      <c r="Z170" s="61"/>
      <c r="AA170" t="s">
        <v>201</v>
      </c>
      <c r="AB170" t="s">
        <v>49</v>
      </c>
      <c r="AC170" t="s">
        <v>1299</v>
      </c>
      <c r="AD170">
        <v>2024</v>
      </c>
    </row>
    <row r="171" spans="1:30">
      <c r="A171" t="s">
        <v>889</v>
      </c>
      <c r="B171" t="s">
        <v>1264</v>
      </c>
      <c r="C171" t="s">
        <v>1265</v>
      </c>
      <c r="D171" t="s">
        <v>1266</v>
      </c>
      <c r="E171" s="63" t="s">
        <v>1267</v>
      </c>
      <c r="G171" t="s">
        <v>1027</v>
      </c>
      <c r="N171" t="s">
        <v>81</v>
      </c>
      <c r="O171" t="s">
        <v>1003</v>
      </c>
      <c r="Q171" t="s">
        <v>62</v>
      </c>
      <c r="R171" t="s">
        <v>400</v>
      </c>
      <c r="S171" t="s">
        <v>399</v>
      </c>
      <c r="U171" t="s">
        <v>1093</v>
      </c>
      <c r="V171" t="s">
        <v>210</v>
      </c>
      <c r="W171" t="s">
        <v>87</v>
      </c>
      <c r="X171" s="76"/>
      <c r="Y171" t="s">
        <v>1654</v>
      </c>
      <c r="Z171" s="61"/>
      <c r="AA171" t="s">
        <v>201</v>
      </c>
      <c r="AB171" t="s">
        <v>88</v>
      </c>
      <c r="AC171" t="s">
        <v>69</v>
      </c>
      <c r="AD171">
        <v>2024</v>
      </c>
    </row>
    <row r="172" spans="1:30">
      <c r="A172" t="s">
        <v>1147</v>
      </c>
      <c r="B172" t="s">
        <v>1269</v>
      </c>
      <c r="C172" t="s">
        <v>1270</v>
      </c>
      <c r="D172" t="s">
        <v>1271</v>
      </c>
      <c r="E172" s="63" t="s">
        <v>1272</v>
      </c>
      <c r="G172" t="s">
        <v>1036</v>
      </c>
      <c r="N172" t="s">
        <v>81</v>
      </c>
      <c r="O172" t="s">
        <v>1273</v>
      </c>
      <c r="Q172" t="s">
        <v>62</v>
      </c>
      <c r="R172" t="s">
        <v>451</v>
      </c>
      <c r="S172" t="s">
        <v>450</v>
      </c>
      <c r="U172" t="s">
        <v>1100</v>
      </c>
      <c r="V172" t="s">
        <v>250</v>
      </c>
      <c r="W172" t="s">
        <v>1653</v>
      </c>
      <c r="X172" s="76">
        <v>241</v>
      </c>
      <c r="Y172" t="s">
        <v>1654</v>
      </c>
      <c r="Z172" s="61"/>
      <c r="AA172" t="s">
        <v>512</v>
      </c>
      <c r="AB172" t="s">
        <v>32</v>
      </c>
      <c r="AC172" t="s">
        <v>1315</v>
      </c>
      <c r="AD172">
        <v>2024</v>
      </c>
    </row>
    <row r="173" spans="1:30">
      <c r="A173" t="s">
        <v>1014</v>
      </c>
      <c r="B173" t="s">
        <v>1276</v>
      </c>
      <c r="C173" t="s">
        <v>1277</v>
      </c>
      <c r="D173" t="s">
        <v>1278</v>
      </c>
      <c r="E173" s="63" t="s">
        <v>1279</v>
      </c>
      <c r="G173" t="s">
        <v>587</v>
      </c>
      <c r="N173" t="s">
        <v>81</v>
      </c>
      <c r="O173" t="s">
        <v>1022</v>
      </c>
      <c r="Q173" t="s">
        <v>62</v>
      </c>
      <c r="R173" t="s">
        <v>477</v>
      </c>
      <c r="S173" t="s">
        <v>476</v>
      </c>
      <c r="U173" t="s">
        <v>1100</v>
      </c>
      <c r="V173" t="s">
        <v>250</v>
      </c>
      <c r="W173" t="s">
        <v>1655</v>
      </c>
      <c r="X173" s="76">
        <v>180</v>
      </c>
      <c r="Y173" t="s">
        <v>1654</v>
      </c>
      <c r="Z173" s="61"/>
      <c r="AA173" t="s">
        <v>512</v>
      </c>
      <c r="AB173" t="s">
        <v>49</v>
      </c>
      <c r="AC173" t="s">
        <v>1315</v>
      </c>
      <c r="AD173">
        <v>2024</v>
      </c>
    </row>
    <row r="174" spans="1:30">
      <c r="A174" t="s">
        <v>542</v>
      </c>
      <c r="B174" t="s">
        <v>568</v>
      </c>
      <c r="C174" t="s">
        <v>883</v>
      </c>
      <c r="D174" t="s">
        <v>1280</v>
      </c>
      <c r="E174" s="63" t="s">
        <v>1281</v>
      </c>
      <c r="G174" t="s">
        <v>1040</v>
      </c>
      <c r="N174" t="s">
        <v>81</v>
      </c>
      <c r="O174" t="s">
        <v>1282</v>
      </c>
      <c r="Q174" t="s">
        <v>62</v>
      </c>
      <c r="R174" t="s">
        <v>123</v>
      </c>
      <c r="S174" t="s">
        <v>122</v>
      </c>
      <c r="U174" t="s">
        <v>1100</v>
      </c>
      <c r="V174" t="s">
        <v>250</v>
      </c>
      <c r="W174" t="s">
        <v>67</v>
      </c>
      <c r="X174" s="76">
        <v>2231</v>
      </c>
      <c r="Y174" t="s">
        <v>1654</v>
      </c>
      <c r="Z174" s="61"/>
      <c r="AA174" t="s">
        <v>512</v>
      </c>
      <c r="AB174" t="s">
        <v>68</v>
      </c>
      <c r="AC174" t="s">
        <v>1547</v>
      </c>
      <c r="AD174">
        <v>2024</v>
      </c>
    </row>
    <row r="175" spans="1:30">
      <c r="A175" t="s">
        <v>567</v>
      </c>
      <c r="B175" t="s">
        <v>581</v>
      </c>
      <c r="C175" t="s">
        <v>645</v>
      </c>
      <c r="D175" t="s">
        <v>1283</v>
      </c>
      <c r="E175" s="63" t="s">
        <v>1284</v>
      </c>
      <c r="G175" t="s">
        <v>830</v>
      </c>
      <c r="N175" t="s">
        <v>81</v>
      </c>
      <c r="O175" t="s">
        <v>309</v>
      </c>
      <c r="Q175" t="s">
        <v>62</v>
      </c>
      <c r="R175" t="s">
        <v>1144</v>
      </c>
      <c r="S175" t="s">
        <v>1066</v>
      </c>
      <c r="U175" t="s">
        <v>1100</v>
      </c>
      <c r="V175" t="s">
        <v>250</v>
      </c>
      <c r="W175" t="s">
        <v>87</v>
      </c>
      <c r="X175" s="76">
        <v>48628</v>
      </c>
      <c r="Y175" t="s">
        <v>1654</v>
      </c>
      <c r="Z175" s="61"/>
      <c r="AA175" t="s">
        <v>512</v>
      </c>
      <c r="AB175" t="s">
        <v>88</v>
      </c>
      <c r="AC175" t="s">
        <v>1544</v>
      </c>
      <c r="AD175">
        <v>2024</v>
      </c>
    </row>
    <row r="176" spans="1:30">
      <c r="A176" t="s">
        <v>1027</v>
      </c>
      <c r="B176" t="s">
        <v>1285</v>
      </c>
      <c r="C176" t="s">
        <v>1286</v>
      </c>
      <c r="D176" t="s">
        <v>1287</v>
      </c>
      <c r="E176" s="63" t="s">
        <v>1288</v>
      </c>
      <c r="G176" t="s">
        <v>1289</v>
      </c>
      <c r="N176" t="s">
        <v>81</v>
      </c>
      <c r="O176" t="s">
        <v>1030</v>
      </c>
      <c r="Q176" t="s">
        <v>62</v>
      </c>
      <c r="R176" t="s">
        <v>642</v>
      </c>
      <c r="S176" t="s">
        <v>641</v>
      </c>
      <c r="U176" t="s">
        <v>1665</v>
      </c>
      <c r="V176" t="s">
        <v>592</v>
      </c>
      <c r="W176" t="s">
        <v>1653</v>
      </c>
      <c r="X176" s="76">
        <v>16</v>
      </c>
      <c r="Y176" t="s">
        <v>1654</v>
      </c>
      <c r="Z176" s="61"/>
      <c r="AA176" t="s">
        <v>214</v>
      </c>
      <c r="AB176" t="s">
        <v>32</v>
      </c>
      <c r="AC176" t="s">
        <v>1332</v>
      </c>
      <c r="AD176">
        <v>2024</v>
      </c>
    </row>
    <row r="177" spans="1:30">
      <c r="A177" t="s">
        <v>830</v>
      </c>
      <c r="B177" t="s">
        <v>1099</v>
      </c>
      <c r="C177" t="s">
        <v>1290</v>
      </c>
      <c r="D177" t="s">
        <v>1228</v>
      </c>
      <c r="E177" s="63" t="s">
        <v>1291</v>
      </c>
      <c r="G177" t="s">
        <v>1273</v>
      </c>
      <c r="N177" t="s">
        <v>98</v>
      </c>
      <c r="O177" t="s">
        <v>56</v>
      </c>
      <c r="Q177" t="s">
        <v>62</v>
      </c>
      <c r="R177" t="s">
        <v>1112</v>
      </c>
      <c r="S177" t="s">
        <v>1045</v>
      </c>
      <c r="U177" t="s">
        <v>1665</v>
      </c>
      <c r="V177" t="s">
        <v>592</v>
      </c>
      <c r="W177" t="s">
        <v>1655</v>
      </c>
      <c r="X177" s="76">
        <v>16</v>
      </c>
      <c r="Y177" t="s">
        <v>1654</v>
      </c>
      <c r="Z177" s="61"/>
      <c r="AA177" t="s">
        <v>214</v>
      </c>
      <c r="AB177" t="s">
        <v>49</v>
      </c>
      <c r="AC177" t="s">
        <v>754</v>
      </c>
      <c r="AD177">
        <v>2024</v>
      </c>
    </row>
    <row r="178" spans="1:30">
      <c r="A178" t="s">
        <v>597</v>
      </c>
      <c r="B178" t="s">
        <v>588</v>
      </c>
      <c r="C178" t="s">
        <v>735</v>
      </c>
      <c r="D178" t="s">
        <v>1292</v>
      </c>
      <c r="E178" s="63" t="s">
        <v>1293</v>
      </c>
      <c r="G178" t="s">
        <v>1022</v>
      </c>
      <c r="N178" t="s">
        <v>98</v>
      </c>
      <c r="O178" t="s">
        <v>182</v>
      </c>
      <c r="Q178" t="s">
        <v>62</v>
      </c>
      <c r="R178" t="s">
        <v>1133</v>
      </c>
      <c r="S178" t="s">
        <v>1049</v>
      </c>
      <c r="U178" t="s">
        <v>1665</v>
      </c>
      <c r="V178" t="s">
        <v>592</v>
      </c>
      <c r="W178" t="s">
        <v>67</v>
      </c>
      <c r="X178" s="76">
        <v>31</v>
      </c>
      <c r="Y178" t="s">
        <v>1654</v>
      </c>
      <c r="Z178" s="61"/>
      <c r="AA178" t="s">
        <v>214</v>
      </c>
      <c r="AB178" t="s">
        <v>68</v>
      </c>
      <c r="AC178" t="s">
        <v>1542</v>
      </c>
      <c r="AD178">
        <v>2024</v>
      </c>
    </row>
    <row r="179" spans="1:30">
      <c r="A179" t="s">
        <v>1036</v>
      </c>
      <c r="B179" t="s">
        <v>1295</v>
      </c>
      <c r="C179" t="s">
        <v>1296</v>
      </c>
      <c r="D179" t="s">
        <v>1297</v>
      </c>
      <c r="E179" s="63" t="s">
        <v>1298</v>
      </c>
      <c r="G179" t="s">
        <v>1044</v>
      </c>
      <c r="N179" t="s">
        <v>98</v>
      </c>
      <c r="O179" t="s">
        <v>562</v>
      </c>
      <c r="Q179" t="s">
        <v>62</v>
      </c>
      <c r="R179" t="s">
        <v>1141</v>
      </c>
      <c r="S179" t="s">
        <v>1060</v>
      </c>
      <c r="U179" t="s">
        <v>1665</v>
      </c>
      <c r="V179" t="s">
        <v>592</v>
      </c>
      <c r="W179" t="s">
        <v>87</v>
      </c>
      <c r="X179" s="76">
        <v>838</v>
      </c>
      <c r="Y179" t="s">
        <v>1654</v>
      </c>
      <c r="Z179" s="61"/>
      <c r="AA179" t="s">
        <v>214</v>
      </c>
      <c r="AB179" t="s">
        <v>88</v>
      </c>
      <c r="AC179" t="s">
        <v>841</v>
      </c>
      <c r="AD179">
        <v>2024</v>
      </c>
    </row>
    <row r="180" spans="1:30">
      <c r="A180" t="s">
        <v>587</v>
      </c>
      <c r="B180" t="s">
        <v>598</v>
      </c>
      <c r="C180" t="s">
        <v>897</v>
      </c>
      <c r="D180" t="s">
        <v>1300</v>
      </c>
      <c r="E180" s="63" t="s">
        <v>1301</v>
      </c>
      <c r="G180" t="s">
        <v>597</v>
      </c>
      <c r="N180" t="s">
        <v>98</v>
      </c>
      <c r="O180" t="s">
        <v>821</v>
      </c>
      <c r="Q180" t="s">
        <v>62</v>
      </c>
      <c r="R180" t="s">
        <v>1137</v>
      </c>
      <c r="S180" t="s">
        <v>1054</v>
      </c>
      <c r="U180" t="s">
        <v>1115</v>
      </c>
      <c r="V180" t="s">
        <v>264</v>
      </c>
      <c r="W180" t="s">
        <v>1653</v>
      </c>
      <c r="X180" s="76">
        <v>54</v>
      </c>
      <c r="Y180" t="s">
        <v>1654</v>
      </c>
      <c r="Z180" s="61"/>
      <c r="AA180" t="s">
        <v>524</v>
      </c>
      <c r="AB180" t="s">
        <v>32</v>
      </c>
      <c r="AC180" t="s">
        <v>807</v>
      </c>
      <c r="AD180">
        <v>2024</v>
      </c>
    </row>
    <row r="181" spans="1:30">
      <c r="A181" t="s">
        <v>1040</v>
      </c>
      <c r="B181" t="s">
        <v>1303</v>
      </c>
      <c r="C181" t="s">
        <v>1304</v>
      </c>
      <c r="D181" t="s">
        <v>1305</v>
      </c>
      <c r="E181" s="63" t="s">
        <v>1306</v>
      </c>
      <c r="G181" t="s">
        <v>1282</v>
      </c>
      <c r="N181" t="s">
        <v>98</v>
      </c>
      <c r="O181" t="s">
        <v>695</v>
      </c>
      <c r="Q181" t="s">
        <v>62</v>
      </c>
      <c r="R181" t="s">
        <v>1290</v>
      </c>
      <c r="S181" t="s">
        <v>1099</v>
      </c>
      <c r="U181" t="s">
        <v>1115</v>
      </c>
      <c r="V181" t="s">
        <v>264</v>
      </c>
      <c r="W181" t="s">
        <v>1655</v>
      </c>
      <c r="X181" s="76">
        <v>9</v>
      </c>
      <c r="Y181" t="s">
        <v>1654</v>
      </c>
      <c r="Z181" s="61"/>
      <c r="AA181" t="s">
        <v>524</v>
      </c>
      <c r="AB181" t="s">
        <v>49</v>
      </c>
      <c r="AC181" t="s">
        <v>385</v>
      </c>
      <c r="AD181">
        <v>2024</v>
      </c>
    </row>
    <row r="182" spans="1:30">
      <c r="A182" t="s">
        <v>1289</v>
      </c>
      <c r="B182" t="s">
        <v>1307</v>
      </c>
      <c r="C182" t="s">
        <v>1308</v>
      </c>
      <c r="D182" t="s">
        <v>1309</v>
      </c>
      <c r="E182" s="63" t="s">
        <v>1310</v>
      </c>
      <c r="G182" t="s">
        <v>1015</v>
      </c>
      <c r="N182" t="s">
        <v>98</v>
      </c>
      <c r="O182" t="s">
        <v>736</v>
      </c>
      <c r="Q182" t="s">
        <v>62</v>
      </c>
      <c r="R182" t="s">
        <v>1233</v>
      </c>
      <c r="S182" t="s">
        <v>1083</v>
      </c>
      <c r="U182" t="s">
        <v>1115</v>
      </c>
      <c r="V182" t="s">
        <v>264</v>
      </c>
      <c r="W182" t="s">
        <v>67</v>
      </c>
      <c r="X182" s="76">
        <v>35</v>
      </c>
      <c r="Y182" t="s">
        <v>1654</v>
      </c>
      <c r="Z182" s="61"/>
      <c r="AA182" t="s">
        <v>524</v>
      </c>
      <c r="AB182" t="s">
        <v>68</v>
      </c>
      <c r="AC182" t="s">
        <v>582</v>
      </c>
      <c r="AD182">
        <v>2024</v>
      </c>
    </row>
    <row r="183" spans="1:30">
      <c r="A183" t="s">
        <v>1273</v>
      </c>
      <c r="B183" t="s">
        <v>1311</v>
      </c>
      <c r="C183" t="s">
        <v>1312</v>
      </c>
      <c r="D183" t="s">
        <v>1313</v>
      </c>
      <c r="E183" s="63" t="s">
        <v>1314</v>
      </c>
      <c r="G183" t="s">
        <v>309</v>
      </c>
      <c r="N183" t="s">
        <v>98</v>
      </c>
      <c r="O183" t="s">
        <v>762</v>
      </c>
      <c r="Q183" t="s">
        <v>62</v>
      </c>
      <c r="R183" t="s">
        <v>725</v>
      </c>
      <c r="S183" t="s">
        <v>724</v>
      </c>
      <c r="U183" t="s">
        <v>1115</v>
      </c>
      <c r="V183" t="s">
        <v>264</v>
      </c>
      <c r="W183" t="s">
        <v>87</v>
      </c>
      <c r="X183" s="76">
        <v>3835</v>
      </c>
      <c r="Y183" t="s">
        <v>1654</v>
      </c>
      <c r="Z183" s="61"/>
      <c r="AA183" t="s">
        <v>524</v>
      </c>
      <c r="AB183" t="s">
        <v>88</v>
      </c>
      <c r="AC183" t="s">
        <v>1478</v>
      </c>
      <c r="AD183">
        <v>2024</v>
      </c>
    </row>
    <row r="184" spans="1:30">
      <c r="A184" t="s">
        <v>1044</v>
      </c>
      <c r="B184" t="s">
        <v>1316</v>
      </c>
      <c r="C184" t="s">
        <v>1317</v>
      </c>
      <c r="D184" t="s">
        <v>1318</v>
      </c>
      <c r="E184" s="63" t="s">
        <v>1319</v>
      </c>
      <c r="G184" t="s">
        <v>75</v>
      </c>
      <c r="N184" t="s">
        <v>98</v>
      </c>
      <c r="O184" t="s">
        <v>784</v>
      </c>
      <c r="Q184" t="s">
        <v>62</v>
      </c>
      <c r="R184" t="s">
        <v>1230</v>
      </c>
      <c r="S184" t="s">
        <v>1077</v>
      </c>
      <c r="U184" t="s">
        <v>1666</v>
      </c>
      <c r="V184" t="s">
        <v>277</v>
      </c>
      <c r="W184" t="s">
        <v>1653</v>
      </c>
      <c r="X184" s="76">
        <v>473</v>
      </c>
      <c r="Y184" t="s">
        <v>1654</v>
      </c>
      <c r="Z184" s="61"/>
      <c r="AA184" t="s">
        <v>537</v>
      </c>
      <c r="AB184" t="s">
        <v>32</v>
      </c>
      <c r="AC184" t="s">
        <v>1351</v>
      </c>
      <c r="AD184">
        <v>2024</v>
      </c>
    </row>
    <row r="185" spans="1:30">
      <c r="A185" t="s">
        <v>1282</v>
      </c>
      <c r="B185" t="s">
        <v>1321</v>
      </c>
      <c r="C185" t="s">
        <v>1322</v>
      </c>
      <c r="D185" t="s">
        <v>1323</v>
      </c>
      <c r="E185" s="63" t="s">
        <v>1324</v>
      </c>
      <c r="G185" t="s">
        <v>839</v>
      </c>
      <c r="N185" t="s">
        <v>98</v>
      </c>
      <c r="O185" t="s">
        <v>799</v>
      </c>
      <c r="Q185" t="s">
        <v>62</v>
      </c>
      <c r="R185" t="s">
        <v>539</v>
      </c>
      <c r="S185" t="s">
        <v>538</v>
      </c>
      <c r="U185" t="s">
        <v>1666</v>
      </c>
      <c r="V185" t="s">
        <v>277</v>
      </c>
      <c r="W185" t="s">
        <v>1655</v>
      </c>
      <c r="X185" s="76">
        <v>7</v>
      </c>
      <c r="Y185" t="s">
        <v>1654</v>
      </c>
      <c r="Z185" s="61"/>
      <c r="AA185" t="s">
        <v>537</v>
      </c>
      <c r="AB185" t="s">
        <v>49</v>
      </c>
      <c r="AC185" t="s">
        <v>1351</v>
      </c>
      <c r="AD185">
        <v>2024</v>
      </c>
    </row>
    <row r="186" spans="1:30">
      <c r="A186" t="s">
        <v>839</v>
      </c>
      <c r="B186" t="s">
        <v>1104</v>
      </c>
      <c r="C186" t="s">
        <v>1325</v>
      </c>
      <c r="D186" t="s">
        <v>1172</v>
      </c>
      <c r="E186" s="63" t="s">
        <v>1326</v>
      </c>
      <c r="G186" t="s">
        <v>1030</v>
      </c>
      <c r="N186" t="s">
        <v>98</v>
      </c>
      <c r="O186" t="s">
        <v>899</v>
      </c>
      <c r="Q186" t="s">
        <v>62</v>
      </c>
      <c r="R186" t="s">
        <v>648</v>
      </c>
      <c r="S186" t="s">
        <v>647</v>
      </c>
      <c r="U186" t="s">
        <v>1666</v>
      </c>
      <c r="V186" t="s">
        <v>277</v>
      </c>
      <c r="W186" t="s">
        <v>67</v>
      </c>
      <c r="X186" s="76">
        <v>56</v>
      </c>
      <c r="Y186" t="s">
        <v>1654</v>
      </c>
      <c r="Z186" s="61"/>
      <c r="AA186" t="s">
        <v>537</v>
      </c>
      <c r="AB186" t="s">
        <v>68</v>
      </c>
      <c r="AC186" t="s">
        <v>841</v>
      </c>
      <c r="AD186">
        <v>2024</v>
      </c>
    </row>
    <row r="187" spans="1:30">
      <c r="A187" t="s">
        <v>1048</v>
      </c>
      <c r="B187" t="s">
        <v>1327</v>
      </c>
      <c r="C187" t="s">
        <v>1328</v>
      </c>
      <c r="D187" t="s">
        <v>1329</v>
      </c>
      <c r="E187" s="63" t="s">
        <v>1330</v>
      </c>
      <c r="G187" t="s">
        <v>1048</v>
      </c>
      <c r="N187" t="s">
        <v>98</v>
      </c>
      <c r="O187" t="s">
        <v>1108</v>
      </c>
      <c r="Q187" t="s">
        <v>62</v>
      </c>
      <c r="R187" t="s">
        <v>1243</v>
      </c>
      <c r="S187" t="s">
        <v>1092</v>
      </c>
      <c r="U187" t="s">
        <v>1666</v>
      </c>
      <c r="V187" t="s">
        <v>277</v>
      </c>
      <c r="W187" t="s">
        <v>87</v>
      </c>
      <c r="X187" s="76">
        <v>17889</v>
      </c>
      <c r="Y187" t="s">
        <v>1654</v>
      </c>
      <c r="Z187" s="61"/>
      <c r="AA187" t="s">
        <v>537</v>
      </c>
      <c r="AB187" t="s">
        <v>88</v>
      </c>
      <c r="AC187" t="s">
        <v>469</v>
      </c>
      <c r="AD187">
        <v>2024</v>
      </c>
    </row>
    <row r="188" spans="1:30">
      <c r="A188" t="s">
        <v>847</v>
      </c>
      <c r="B188" t="s">
        <v>1109</v>
      </c>
      <c r="C188" t="s">
        <v>1333</v>
      </c>
      <c r="D188" t="s">
        <v>1179</v>
      </c>
      <c r="E188" s="63" t="s">
        <v>1334</v>
      </c>
      <c r="G188" t="s">
        <v>847</v>
      </c>
      <c r="N188" t="s">
        <v>98</v>
      </c>
      <c r="O188" t="s">
        <v>983</v>
      </c>
      <c r="Q188" t="s">
        <v>62</v>
      </c>
      <c r="R188" t="s">
        <v>667</v>
      </c>
      <c r="S188" t="s">
        <v>666</v>
      </c>
      <c r="U188" t="s">
        <v>1667</v>
      </c>
      <c r="V188" t="s">
        <v>721</v>
      </c>
      <c r="W188" t="s">
        <v>1653</v>
      </c>
      <c r="X188" s="76">
        <v>48</v>
      </c>
      <c r="Y188" t="s">
        <v>1654</v>
      </c>
      <c r="Z188" s="61"/>
      <c r="AA188" t="s">
        <v>550</v>
      </c>
      <c r="AB188" t="s">
        <v>32</v>
      </c>
      <c r="AC188" t="s">
        <v>768</v>
      </c>
      <c r="AD188">
        <v>2024</v>
      </c>
    </row>
    <row r="189" spans="1:30">
      <c r="A189" t="s">
        <v>1053</v>
      </c>
      <c r="B189" t="s">
        <v>1335</v>
      </c>
      <c r="C189" t="s">
        <v>1336</v>
      </c>
      <c r="D189" t="s">
        <v>1337</v>
      </c>
      <c r="E189" s="63" t="s">
        <v>1338</v>
      </c>
      <c r="G189" t="s">
        <v>1053</v>
      </c>
      <c r="N189" t="s">
        <v>98</v>
      </c>
      <c r="O189" t="s">
        <v>1156</v>
      </c>
      <c r="Q189" t="s">
        <v>62</v>
      </c>
      <c r="R189" t="s">
        <v>1207</v>
      </c>
      <c r="S189" t="s">
        <v>1072</v>
      </c>
      <c r="U189" t="s">
        <v>1667</v>
      </c>
      <c r="V189" t="s">
        <v>721</v>
      </c>
      <c r="W189" t="s">
        <v>1655</v>
      </c>
      <c r="X189" s="76">
        <v>39</v>
      </c>
      <c r="Y189" t="s">
        <v>1654</v>
      </c>
      <c r="Z189" s="61"/>
      <c r="AA189" t="s">
        <v>550</v>
      </c>
      <c r="AB189" t="s">
        <v>49</v>
      </c>
      <c r="AC189" t="s">
        <v>1405</v>
      </c>
      <c r="AD189">
        <v>2024</v>
      </c>
    </row>
    <row r="190" spans="1:30">
      <c r="A190" t="s">
        <v>1340</v>
      </c>
      <c r="B190" t="s">
        <v>1341</v>
      </c>
      <c r="C190" t="s">
        <v>1342</v>
      </c>
      <c r="D190" t="s">
        <v>1343</v>
      </c>
      <c r="E190" s="63" t="s">
        <v>1344</v>
      </c>
      <c r="G190" t="s">
        <v>1340</v>
      </c>
      <c r="N190" t="s">
        <v>98</v>
      </c>
      <c r="O190" t="s">
        <v>1221</v>
      </c>
      <c r="Q190" t="s">
        <v>62</v>
      </c>
      <c r="R190" t="s">
        <v>655</v>
      </c>
      <c r="S190" t="s">
        <v>654</v>
      </c>
      <c r="U190" t="s">
        <v>1667</v>
      </c>
      <c r="V190" t="s">
        <v>721</v>
      </c>
      <c r="W190" t="s">
        <v>67</v>
      </c>
      <c r="X190" s="76">
        <v>178</v>
      </c>
      <c r="Y190" t="s">
        <v>1654</v>
      </c>
      <c r="Z190" s="61"/>
      <c r="AA190" t="s">
        <v>550</v>
      </c>
      <c r="AB190" t="s">
        <v>68</v>
      </c>
      <c r="AC190" t="s">
        <v>443</v>
      </c>
      <c r="AD190">
        <v>2024</v>
      </c>
    </row>
    <row r="191" spans="1:30">
      <c r="A191" t="s">
        <v>610</v>
      </c>
      <c r="B191" t="s">
        <v>611</v>
      </c>
      <c r="C191" t="s">
        <v>728</v>
      </c>
      <c r="D191" t="s">
        <v>1345</v>
      </c>
      <c r="E191" s="63" t="s">
        <v>1346</v>
      </c>
      <c r="G191" t="s">
        <v>610</v>
      </c>
      <c r="N191" t="s">
        <v>98</v>
      </c>
      <c r="O191" t="s">
        <v>1289</v>
      </c>
      <c r="Q191" t="s">
        <v>62</v>
      </c>
      <c r="R191" t="s">
        <v>879</v>
      </c>
      <c r="S191" t="s">
        <v>878</v>
      </c>
      <c r="U191" t="s">
        <v>1667</v>
      </c>
      <c r="V191" t="s">
        <v>721</v>
      </c>
      <c r="W191" t="s">
        <v>87</v>
      </c>
      <c r="X191" s="76">
        <v>15000</v>
      </c>
      <c r="Y191" t="s">
        <v>1654</v>
      </c>
      <c r="Z191" s="61"/>
      <c r="AA191" t="s">
        <v>550</v>
      </c>
      <c r="AB191" t="s">
        <v>88</v>
      </c>
      <c r="AC191" t="s">
        <v>815</v>
      </c>
      <c r="AD191">
        <v>2024</v>
      </c>
    </row>
    <row r="192" spans="1:30">
      <c r="A192" t="s">
        <v>622</v>
      </c>
      <c r="B192" t="s">
        <v>623</v>
      </c>
      <c r="C192" t="s">
        <v>840</v>
      </c>
      <c r="D192" t="s">
        <v>1348</v>
      </c>
      <c r="E192" s="63" t="s">
        <v>1349</v>
      </c>
      <c r="G192" t="s">
        <v>622</v>
      </c>
      <c r="N192" t="s">
        <v>98</v>
      </c>
      <c r="O192" t="s">
        <v>1015</v>
      </c>
      <c r="Q192" t="s">
        <v>62</v>
      </c>
      <c r="R192" t="s">
        <v>958</v>
      </c>
      <c r="S192" t="s">
        <v>957</v>
      </c>
      <c r="U192" t="s">
        <v>1132</v>
      </c>
      <c r="V192" t="s">
        <v>288</v>
      </c>
      <c r="W192" t="s">
        <v>1653</v>
      </c>
      <c r="X192" s="76">
        <v>3266</v>
      </c>
      <c r="Y192" t="s">
        <v>1654</v>
      </c>
      <c r="Z192" s="61"/>
      <c r="AA192" t="s">
        <v>562</v>
      </c>
      <c r="AB192" t="s">
        <v>32</v>
      </c>
      <c r="AC192" t="s">
        <v>807</v>
      </c>
      <c r="AD192">
        <v>2024</v>
      </c>
    </row>
    <row r="193" spans="14:30">
      <c r="N193" t="s">
        <v>98</v>
      </c>
      <c r="O193" t="s">
        <v>1340</v>
      </c>
      <c r="Q193" t="s">
        <v>62</v>
      </c>
      <c r="R193" t="s">
        <v>963</v>
      </c>
      <c r="S193" t="s">
        <v>962</v>
      </c>
      <c r="U193" t="s">
        <v>1132</v>
      </c>
      <c r="V193" t="s">
        <v>288</v>
      </c>
      <c r="W193" t="s">
        <v>1655</v>
      </c>
      <c r="X193" s="76">
        <v>10</v>
      </c>
      <c r="Y193" t="s">
        <v>1654</v>
      </c>
      <c r="Z193" s="61"/>
      <c r="AA193" t="s">
        <v>562</v>
      </c>
      <c r="AB193" t="s">
        <v>49</v>
      </c>
      <c r="AC193" t="s">
        <v>1355</v>
      </c>
      <c r="AD193">
        <v>2024</v>
      </c>
    </row>
    <row r="194" spans="14:30">
      <c r="Q194" t="s">
        <v>62</v>
      </c>
      <c r="R194" t="s">
        <v>1325</v>
      </c>
      <c r="S194" t="s">
        <v>1104</v>
      </c>
      <c r="U194" t="s">
        <v>1132</v>
      </c>
      <c r="V194" t="s">
        <v>288</v>
      </c>
      <c r="W194" t="s">
        <v>67</v>
      </c>
      <c r="X194" s="76">
        <v>50</v>
      </c>
      <c r="Y194" t="s">
        <v>1654</v>
      </c>
      <c r="Z194" s="61"/>
      <c r="AA194" t="s">
        <v>562</v>
      </c>
      <c r="AB194" t="s">
        <v>68</v>
      </c>
      <c r="AC194" t="s">
        <v>361</v>
      </c>
      <c r="AD194">
        <v>2024</v>
      </c>
    </row>
    <row r="195" spans="14:30">
      <c r="Q195" t="s">
        <v>62</v>
      </c>
      <c r="R195" t="s">
        <v>1333</v>
      </c>
      <c r="S195" t="s">
        <v>1109</v>
      </c>
      <c r="U195" t="s">
        <v>1132</v>
      </c>
      <c r="V195" t="s">
        <v>288</v>
      </c>
      <c r="W195" t="s">
        <v>87</v>
      </c>
      <c r="X195" s="76">
        <v>66000</v>
      </c>
      <c r="Y195" t="s">
        <v>1654</v>
      </c>
      <c r="Z195" s="61"/>
      <c r="AA195" t="s">
        <v>562</v>
      </c>
      <c r="AB195" t="s">
        <v>88</v>
      </c>
      <c r="AC195" t="s">
        <v>1544</v>
      </c>
      <c r="AD195">
        <v>2024</v>
      </c>
    </row>
    <row r="196" spans="14:30">
      <c r="Q196" t="s">
        <v>62</v>
      </c>
      <c r="R196" t="s">
        <v>552</v>
      </c>
      <c r="S196" t="s">
        <v>551</v>
      </c>
      <c r="U196" t="s">
        <v>1148</v>
      </c>
      <c r="V196" t="s">
        <v>640</v>
      </c>
      <c r="W196" t="s">
        <v>1653</v>
      </c>
      <c r="X196" s="76">
        <v>1</v>
      </c>
      <c r="Y196" t="s">
        <v>1654</v>
      </c>
      <c r="Z196" s="61"/>
      <c r="AA196" t="s">
        <v>658</v>
      </c>
      <c r="AB196" t="s">
        <v>32</v>
      </c>
      <c r="AC196" t="s">
        <v>1360</v>
      </c>
      <c r="AD196">
        <v>2024</v>
      </c>
    </row>
    <row r="197" spans="14:30">
      <c r="Q197" t="s">
        <v>62</v>
      </c>
      <c r="R197" t="s">
        <v>1236</v>
      </c>
      <c r="S197" t="s">
        <v>1089</v>
      </c>
      <c r="U197" t="s">
        <v>1148</v>
      </c>
      <c r="V197" t="s">
        <v>640</v>
      </c>
      <c r="W197" t="s">
        <v>1655</v>
      </c>
      <c r="X197" s="76">
        <v>0</v>
      </c>
      <c r="Y197" t="s">
        <v>1654</v>
      </c>
      <c r="Z197" s="61"/>
      <c r="AA197" t="s">
        <v>658</v>
      </c>
      <c r="AB197" t="s">
        <v>49</v>
      </c>
      <c r="AC197" t="s">
        <v>1459</v>
      </c>
      <c r="AD197">
        <v>2024</v>
      </c>
    </row>
    <row r="198" spans="14:30">
      <c r="Q198" t="s">
        <v>62</v>
      </c>
      <c r="R198" t="s">
        <v>412</v>
      </c>
      <c r="S198" t="s">
        <v>411</v>
      </c>
      <c r="U198" t="s">
        <v>1148</v>
      </c>
      <c r="V198" t="s">
        <v>640</v>
      </c>
      <c r="W198" t="s">
        <v>67</v>
      </c>
      <c r="X198" s="76">
        <v>6</v>
      </c>
      <c r="Y198" t="s">
        <v>1654</v>
      </c>
      <c r="Z198" s="61"/>
      <c r="AA198" t="s">
        <v>658</v>
      </c>
      <c r="AB198" t="s">
        <v>68</v>
      </c>
      <c r="AC198" t="s">
        <v>1548</v>
      </c>
      <c r="AD198">
        <v>2024</v>
      </c>
    </row>
    <row r="199" spans="14:30">
      <c r="Q199" t="s">
        <v>62</v>
      </c>
      <c r="R199" t="s">
        <v>526</v>
      </c>
      <c r="S199" t="s">
        <v>525</v>
      </c>
      <c r="U199" t="s">
        <v>1148</v>
      </c>
      <c r="V199" t="s">
        <v>640</v>
      </c>
      <c r="W199" t="s">
        <v>87</v>
      </c>
      <c r="X199" s="76">
        <v>75</v>
      </c>
      <c r="Y199" t="s">
        <v>1654</v>
      </c>
      <c r="Z199" s="61"/>
      <c r="AA199" t="s">
        <v>658</v>
      </c>
      <c r="AB199" t="s">
        <v>88</v>
      </c>
      <c r="AC199" t="s">
        <v>361</v>
      </c>
      <c r="AD199">
        <v>2024</v>
      </c>
    </row>
    <row r="200" spans="14:30">
      <c r="Q200" t="s">
        <v>62</v>
      </c>
      <c r="R200" t="s">
        <v>247</v>
      </c>
      <c r="S200" t="s">
        <v>246</v>
      </c>
      <c r="U200" t="s">
        <v>1161</v>
      </c>
      <c r="V200" t="s">
        <v>646</v>
      </c>
      <c r="W200" t="s">
        <v>1653</v>
      </c>
      <c r="X200" s="76">
        <v>21</v>
      </c>
      <c r="Y200" t="s">
        <v>1654</v>
      </c>
      <c r="Z200" s="61"/>
      <c r="AA200" t="s">
        <v>226</v>
      </c>
      <c r="AB200" t="s">
        <v>32</v>
      </c>
      <c r="AC200" t="s">
        <v>1268</v>
      </c>
      <c r="AD200">
        <v>2024</v>
      </c>
    </row>
    <row r="201" spans="14:30">
      <c r="Q201" t="s">
        <v>24</v>
      </c>
      <c r="R201" t="s">
        <v>20</v>
      </c>
      <c r="S201" t="s">
        <v>20</v>
      </c>
      <c r="U201" t="s">
        <v>1161</v>
      </c>
      <c r="V201" t="s">
        <v>646</v>
      </c>
      <c r="W201" t="s">
        <v>1655</v>
      </c>
      <c r="X201" s="76">
        <v>21</v>
      </c>
      <c r="Y201" t="s">
        <v>1654</v>
      </c>
      <c r="Z201" s="61"/>
      <c r="AA201" t="s">
        <v>226</v>
      </c>
      <c r="AB201" t="s">
        <v>49</v>
      </c>
      <c r="AC201" t="s">
        <v>253</v>
      </c>
      <c r="AD201">
        <v>2024</v>
      </c>
    </row>
    <row r="202" spans="14:30">
      <c r="Q202" t="s">
        <v>24</v>
      </c>
      <c r="R202" t="s">
        <v>157</v>
      </c>
      <c r="S202" t="s">
        <v>157</v>
      </c>
      <c r="U202" t="s">
        <v>1161</v>
      </c>
      <c r="V202" t="s">
        <v>646</v>
      </c>
      <c r="W202" t="s">
        <v>67</v>
      </c>
      <c r="X202" s="76">
        <v>190</v>
      </c>
      <c r="Y202" t="s">
        <v>1654</v>
      </c>
      <c r="Z202" s="61"/>
      <c r="AA202" t="s">
        <v>226</v>
      </c>
      <c r="AB202" t="s">
        <v>68</v>
      </c>
      <c r="AC202" t="s">
        <v>932</v>
      </c>
      <c r="AD202">
        <v>2024</v>
      </c>
    </row>
    <row r="203" spans="14:30">
      <c r="Q203" t="s">
        <v>24</v>
      </c>
      <c r="R203" t="s">
        <v>197</v>
      </c>
      <c r="S203" t="s">
        <v>197</v>
      </c>
      <c r="U203" t="s">
        <v>1161</v>
      </c>
      <c r="V203" t="s">
        <v>646</v>
      </c>
      <c r="W203" t="s">
        <v>87</v>
      </c>
      <c r="X203" s="76">
        <v>2000</v>
      </c>
      <c r="Y203" t="s">
        <v>1654</v>
      </c>
      <c r="Z203" s="61"/>
      <c r="AA203" t="s">
        <v>226</v>
      </c>
      <c r="AB203" t="s">
        <v>88</v>
      </c>
      <c r="AC203" t="s">
        <v>1362</v>
      </c>
      <c r="AD203">
        <v>2024</v>
      </c>
    </row>
    <row r="204" spans="14:30">
      <c r="Q204" t="s">
        <v>24</v>
      </c>
      <c r="R204" t="s">
        <v>260</v>
      </c>
      <c r="S204" t="s">
        <v>260</v>
      </c>
      <c r="U204" t="s">
        <v>1173</v>
      </c>
      <c r="V204" t="s">
        <v>301</v>
      </c>
      <c r="W204" t="s">
        <v>1653</v>
      </c>
      <c r="X204" s="76">
        <v>303</v>
      </c>
      <c r="Y204" t="s">
        <v>1654</v>
      </c>
      <c r="Z204" s="61"/>
      <c r="AA204" t="s">
        <v>575</v>
      </c>
      <c r="AB204" t="s">
        <v>32</v>
      </c>
      <c r="AC204" t="s">
        <v>590</v>
      </c>
      <c r="AD204">
        <v>2024</v>
      </c>
    </row>
    <row r="205" spans="14:30">
      <c r="Q205" t="s">
        <v>24</v>
      </c>
      <c r="R205" t="s">
        <v>323</v>
      </c>
      <c r="S205" t="s">
        <v>323</v>
      </c>
      <c r="U205" t="s">
        <v>1173</v>
      </c>
      <c r="V205" t="s">
        <v>301</v>
      </c>
      <c r="W205" t="s">
        <v>1655</v>
      </c>
      <c r="X205" s="76">
        <v>38</v>
      </c>
      <c r="Y205" t="s">
        <v>1654</v>
      </c>
      <c r="Z205" s="61"/>
      <c r="AA205" t="s">
        <v>575</v>
      </c>
      <c r="AB205" t="s">
        <v>49</v>
      </c>
      <c r="AC205" t="s">
        <v>1439</v>
      </c>
      <c r="AD205">
        <v>2024</v>
      </c>
    </row>
    <row r="206" spans="14:30">
      <c r="Q206" t="s">
        <v>24</v>
      </c>
      <c r="R206" t="s">
        <v>368</v>
      </c>
      <c r="S206" t="s">
        <v>368</v>
      </c>
      <c r="U206" t="s">
        <v>1173</v>
      </c>
      <c r="V206" t="s">
        <v>301</v>
      </c>
      <c r="W206" t="s">
        <v>67</v>
      </c>
      <c r="X206" s="76">
        <v>71</v>
      </c>
      <c r="Y206" t="s">
        <v>1654</v>
      </c>
      <c r="Z206" s="61"/>
      <c r="AA206" t="s">
        <v>575</v>
      </c>
      <c r="AB206" t="s">
        <v>68</v>
      </c>
      <c r="AC206" t="s">
        <v>1364</v>
      </c>
      <c r="AD206">
        <v>2024</v>
      </c>
    </row>
    <row r="207" spans="14:30">
      <c r="Q207" t="s">
        <v>24</v>
      </c>
      <c r="R207" t="s">
        <v>436</v>
      </c>
      <c r="S207" t="s">
        <v>436</v>
      </c>
      <c r="U207" t="s">
        <v>1173</v>
      </c>
      <c r="V207" t="s">
        <v>301</v>
      </c>
      <c r="W207" t="s">
        <v>87</v>
      </c>
      <c r="X207" s="76">
        <v>31200</v>
      </c>
      <c r="Y207" t="s">
        <v>1654</v>
      </c>
      <c r="Z207" s="61"/>
      <c r="AA207" t="s">
        <v>575</v>
      </c>
      <c r="AB207" t="s">
        <v>88</v>
      </c>
      <c r="AC207" t="s">
        <v>1549</v>
      </c>
      <c r="AD207">
        <v>2024</v>
      </c>
    </row>
    <row r="208" spans="14:30">
      <c r="Q208" t="s">
        <v>24</v>
      </c>
      <c r="R208" t="s">
        <v>593</v>
      </c>
      <c r="S208" t="s">
        <v>593</v>
      </c>
      <c r="U208" t="s">
        <v>1194</v>
      </c>
      <c r="V208" t="s">
        <v>315</v>
      </c>
      <c r="W208" t="s">
        <v>1653</v>
      </c>
      <c r="X208" s="76">
        <v>52</v>
      </c>
      <c r="Y208" t="s">
        <v>1654</v>
      </c>
      <c r="Z208" s="61"/>
      <c r="AA208" t="s">
        <v>210</v>
      </c>
      <c r="AB208" t="s">
        <v>32</v>
      </c>
      <c r="AC208" t="s">
        <v>1332</v>
      </c>
      <c r="AD208">
        <v>2024</v>
      </c>
    </row>
    <row r="209" spans="17:30">
      <c r="Q209" t="s">
        <v>24</v>
      </c>
      <c r="R209" t="s">
        <v>682</v>
      </c>
      <c r="S209" t="s">
        <v>682</v>
      </c>
      <c r="U209" t="s">
        <v>1194</v>
      </c>
      <c r="V209" t="s">
        <v>315</v>
      </c>
      <c r="W209" t="s">
        <v>1655</v>
      </c>
      <c r="X209" s="76">
        <v>11</v>
      </c>
      <c r="Y209" t="s">
        <v>1654</v>
      </c>
      <c r="Z209" s="61"/>
      <c r="AA209" t="s">
        <v>210</v>
      </c>
      <c r="AB209" t="s">
        <v>49</v>
      </c>
      <c r="AC209" t="s">
        <v>1391</v>
      </c>
      <c r="AD209">
        <v>2024</v>
      </c>
    </row>
    <row r="210" spans="17:30">
      <c r="Q210" t="s">
        <v>24</v>
      </c>
      <c r="R210" t="s">
        <v>689</v>
      </c>
      <c r="S210" t="s">
        <v>689</v>
      </c>
      <c r="U210" t="s">
        <v>1194</v>
      </c>
      <c r="V210" t="s">
        <v>315</v>
      </c>
      <c r="W210" t="s">
        <v>67</v>
      </c>
      <c r="X210" s="76">
        <v>17</v>
      </c>
      <c r="Y210" t="s">
        <v>1654</v>
      </c>
      <c r="Z210" s="61"/>
      <c r="AA210" t="s">
        <v>210</v>
      </c>
      <c r="AB210" t="s">
        <v>68</v>
      </c>
      <c r="AC210" t="s">
        <v>891</v>
      </c>
      <c r="AD210">
        <v>2024</v>
      </c>
    </row>
    <row r="211" spans="17:30">
      <c r="Q211" t="s">
        <v>24</v>
      </c>
      <c r="R211" t="s">
        <v>731</v>
      </c>
      <c r="S211" t="s">
        <v>731</v>
      </c>
      <c r="U211" t="s">
        <v>1194</v>
      </c>
      <c r="V211" t="s">
        <v>315</v>
      </c>
      <c r="W211" t="s">
        <v>87</v>
      </c>
      <c r="X211" s="76">
        <v>5000</v>
      </c>
      <c r="Y211" t="s">
        <v>1654</v>
      </c>
      <c r="Z211" s="61"/>
      <c r="AA211" t="s">
        <v>210</v>
      </c>
      <c r="AB211" t="s">
        <v>88</v>
      </c>
      <c r="AC211" t="s">
        <v>290</v>
      </c>
      <c r="AD211">
        <v>2024</v>
      </c>
    </row>
    <row r="212" spans="17:30">
      <c r="Q212" t="s">
        <v>24</v>
      </c>
      <c r="R212" t="s">
        <v>756</v>
      </c>
      <c r="S212" t="s">
        <v>756</v>
      </c>
      <c r="U212" t="s">
        <v>1215</v>
      </c>
      <c r="V212" t="s">
        <v>741</v>
      </c>
      <c r="W212" t="s">
        <v>1653</v>
      </c>
      <c r="X212" s="76">
        <v>3</v>
      </c>
      <c r="Y212" t="s">
        <v>1654</v>
      </c>
      <c r="Z212" s="61"/>
      <c r="AA212" t="s">
        <v>250</v>
      </c>
      <c r="AB212" t="s">
        <v>32</v>
      </c>
      <c r="AC212" t="s">
        <v>129</v>
      </c>
      <c r="AD212">
        <v>2024</v>
      </c>
    </row>
    <row r="213" spans="17:30">
      <c r="Q213" t="s">
        <v>24</v>
      </c>
      <c r="R213" t="s">
        <v>770</v>
      </c>
      <c r="S213" t="s">
        <v>770</v>
      </c>
      <c r="U213" t="s">
        <v>1215</v>
      </c>
      <c r="V213" t="s">
        <v>741</v>
      </c>
      <c r="W213" t="s">
        <v>1655</v>
      </c>
      <c r="X213" s="76">
        <v>0</v>
      </c>
      <c r="Y213" t="s">
        <v>1654</v>
      </c>
      <c r="Z213" s="61"/>
      <c r="AA213" t="s">
        <v>250</v>
      </c>
      <c r="AB213" t="s">
        <v>49</v>
      </c>
      <c r="AC213" t="s">
        <v>1550</v>
      </c>
      <c r="AD213">
        <v>2024</v>
      </c>
    </row>
    <row r="214" spans="17:30">
      <c r="Q214" t="s">
        <v>24</v>
      </c>
      <c r="R214" t="s">
        <v>843</v>
      </c>
      <c r="S214" t="s">
        <v>843</v>
      </c>
      <c r="U214" t="s">
        <v>1215</v>
      </c>
      <c r="V214" t="s">
        <v>741</v>
      </c>
      <c r="W214" t="s">
        <v>67</v>
      </c>
      <c r="X214" s="76">
        <v>11</v>
      </c>
      <c r="Y214" t="s">
        <v>1654</v>
      </c>
      <c r="Z214" s="61"/>
      <c r="AA214" t="s">
        <v>250</v>
      </c>
      <c r="AB214" t="s">
        <v>68</v>
      </c>
      <c r="AC214" t="s">
        <v>361</v>
      </c>
      <c r="AD214">
        <v>2024</v>
      </c>
    </row>
    <row r="215" spans="17:30">
      <c r="Q215" t="s">
        <v>24</v>
      </c>
      <c r="R215" t="s">
        <v>849</v>
      </c>
      <c r="S215" t="s">
        <v>849</v>
      </c>
      <c r="U215" t="s">
        <v>1215</v>
      </c>
      <c r="V215" t="s">
        <v>741</v>
      </c>
      <c r="W215" t="s">
        <v>87</v>
      </c>
      <c r="X215" s="76">
        <v>100</v>
      </c>
      <c r="Y215" t="s">
        <v>1654</v>
      </c>
      <c r="Z215" s="61"/>
      <c r="AA215" t="s">
        <v>250</v>
      </c>
      <c r="AB215" t="s">
        <v>88</v>
      </c>
      <c r="AC215" t="s">
        <v>1551</v>
      </c>
      <c r="AD215">
        <v>2024</v>
      </c>
    </row>
    <row r="216" spans="17:30">
      <c r="Q216" t="s">
        <v>24</v>
      </c>
      <c r="R216" t="s">
        <v>864</v>
      </c>
      <c r="S216" t="s">
        <v>864</v>
      </c>
      <c r="U216" t="s">
        <v>1229</v>
      </c>
      <c r="V216" t="s">
        <v>653</v>
      </c>
      <c r="W216" t="s">
        <v>1653</v>
      </c>
      <c r="X216" s="76"/>
      <c r="Y216" t="s">
        <v>1654</v>
      </c>
      <c r="Z216" s="61"/>
      <c r="AA216" t="s">
        <v>592</v>
      </c>
      <c r="AB216" t="s">
        <v>32</v>
      </c>
      <c r="AC216" t="s">
        <v>590</v>
      </c>
      <c r="AD216">
        <v>2024</v>
      </c>
    </row>
    <row r="217" spans="17:30">
      <c r="Q217" t="s">
        <v>24</v>
      </c>
      <c r="R217" t="s">
        <v>885</v>
      </c>
      <c r="S217" t="s">
        <v>885</v>
      </c>
      <c r="U217" t="s">
        <v>1229</v>
      </c>
      <c r="V217" t="s">
        <v>653</v>
      </c>
      <c r="W217" t="s">
        <v>1655</v>
      </c>
      <c r="X217" s="76"/>
      <c r="Y217" t="s">
        <v>1654</v>
      </c>
      <c r="Z217" s="61"/>
      <c r="AA217" t="s">
        <v>592</v>
      </c>
      <c r="AB217" t="s">
        <v>49</v>
      </c>
      <c r="AC217" t="s">
        <v>590</v>
      </c>
      <c r="AD217">
        <v>2024</v>
      </c>
    </row>
    <row r="218" spans="17:30">
      <c r="Q218" t="s">
        <v>24</v>
      </c>
      <c r="R218" t="s">
        <v>893</v>
      </c>
      <c r="S218" t="s">
        <v>893</v>
      </c>
      <c r="U218" t="s">
        <v>1229</v>
      </c>
      <c r="V218" t="s">
        <v>653</v>
      </c>
      <c r="W218" t="s">
        <v>67</v>
      </c>
      <c r="X218" s="76"/>
      <c r="Y218" t="s">
        <v>1654</v>
      </c>
      <c r="Z218" s="61"/>
      <c r="AA218" t="s">
        <v>592</v>
      </c>
      <c r="AB218" t="s">
        <v>68</v>
      </c>
      <c r="AC218" t="s">
        <v>1438</v>
      </c>
      <c r="AD218">
        <v>2024</v>
      </c>
    </row>
    <row r="219" spans="17:30">
      <c r="Q219" t="s">
        <v>24</v>
      </c>
      <c r="R219" t="s">
        <v>909</v>
      </c>
      <c r="S219" t="s">
        <v>909</v>
      </c>
      <c r="U219" t="s">
        <v>1229</v>
      </c>
      <c r="V219" t="s">
        <v>653</v>
      </c>
      <c r="W219" t="s">
        <v>87</v>
      </c>
      <c r="X219" s="76"/>
      <c r="Y219" t="s">
        <v>1654</v>
      </c>
      <c r="Z219" s="61"/>
      <c r="AA219" t="s">
        <v>592</v>
      </c>
      <c r="AB219" t="s">
        <v>88</v>
      </c>
      <c r="AC219" t="s">
        <v>1552</v>
      </c>
      <c r="AD219">
        <v>2024</v>
      </c>
    </row>
    <row r="220" spans="17:30">
      <c r="Q220" t="s">
        <v>24</v>
      </c>
      <c r="R220" t="s">
        <v>919</v>
      </c>
      <c r="S220" t="s">
        <v>919</v>
      </c>
      <c r="U220" t="s">
        <v>1668</v>
      </c>
      <c r="V220" t="s">
        <v>665</v>
      </c>
      <c r="W220" t="s">
        <v>1653</v>
      </c>
      <c r="X220" s="76">
        <v>53</v>
      </c>
      <c r="Y220" t="s">
        <v>1654</v>
      </c>
      <c r="Z220" s="61"/>
      <c r="AA220" t="s">
        <v>605</v>
      </c>
      <c r="AB220" t="s">
        <v>32</v>
      </c>
      <c r="AC220" t="s">
        <v>385</v>
      </c>
      <c r="AD220">
        <v>2024</v>
      </c>
    </row>
    <row r="221" spans="17:30">
      <c r="Q221" t="s">
        <v>24</v>
      </c>
      <c r="R221" t="s">
        <v>926</v>
      </c>
      <c r="S221" t="s">
        <v>926</v>
      </c>
      <c r="U221" t="s">
        <v>1668</v>
      </c>
      <c r="V221" t="s">
        <v>665</v>
      </c>
      <c r="W221" t="s">
        <v>1655</v>
      </c>
      <c r="X221" s="76">
        <v>7</v>
      </c>
      <c r="Y221" t="s">
        <v>1654</v>
      </c>
      <c r="Z221" s="61"/>
      <c r="AA221" t="s">
        <v>605</v>
      </c>
      <c r="AB221" t="s">
        <v>49</v>
      </c>
      <c r="AC221" t="s">
        <v>1369</v>
      </c>
      <c r="AD221">
        <v>2024</v>
      </c>
    </row>
    <row r="222" spans="17:30">
      <c r="Q222" t="s">
        <v>24</v>
      </c>
      <c r="R222" t="s">
        <v>941</v>
      </c>
      <c r="S222" t="s">
        <v>941</v>
      </c>
      <c r="U222" t="s">
        <v>1668</v>
      </c>
      <c r="V222" t="s">
        <v>665</v>
      </c>
      <c r="W222" t="s">
        <v>67</v>
      </c>
      <c r="X222" s="76">
        <v>487</v>
      </c>
      <c r="Y222" t="s">
        <v>1654</v>
      </c>
      <c r="Z222" s="61"/>
      <c r="AA222" t="s">
        <v>605</v>
      </c>
      <c r="AB222" t="s">
        <v>68</v>
      </c>
      <c r="AC222" t="s">
        <v>1553</v>
      </c>
      <c r="AD222">
        <v>2024</v>
      </c>
    </row>
    <row r="223" spans="17:30">
      <c r="Q223" t="s">
        <v>24</v>
      </c>
      <c r="R223" t="s">
        <v>946</v>
      </c>
      <c r="S223" t="s">
        <v>946</v>
      </c>
      <c r="U223" t="s">
        <v>1668</v>
      </c>
      <c r="V223" t="s">
        <v>665</v>
      </c>
      <c r="W223" t="s">
        <v>87</v>
      </c>
      <c r="X223" s="76">
        <v>6633</v>
      </c>
      <c r="Y223" t="s">
        <v>1654</v>
      </c>
      <c r="Z223" s="61"/>
      <c r="AA223" t="s">
        <v>605</v>
      </c>
      <c r="AB223" t="s">
        <v>88</v>
      </c>
      <c r="AC223" t="s">
        <v>1524</v>
      </c>
      <c r="AD223">
        <v>2024</v>
      </c>
    </row>
    <row r="224" spans="17:30">
      <c r="Q224" t="s">
        <v>24</v>
      </c>
      <c r="R224" t="s">
        <v>952</v>
      </c>
      <c r="S224" t="s">
        <v>952</v>
      </c>
      <c r="U224" t="s">
        <v>1669</v>
      </c>
      <c r="V224" t="s">
        <v>670</v>
      </c>
      <c r="W224" t="s">
        <v>1653</v>
      </c>
      <c r="X224" s="76"/>
      <c r="Y224" t="s">
        <v>1654</v>
      </c>
      <c r="Z224" s="61"/>
      <c r="AA224" t="s">
        <v>617</v>
      </c>
      <c r="AB224" t="s">
        <v>32</v>
      </c>
      <c r="AC224" t="s">
        <v>1472</v>
      </c>
      <c r="AD224">
        <v>2024</v>
      </c>
    </row>
    <row r="225" spans="17:30">
      <c r="Q225" t="s">
        <v>24</v>
      </c>
      <c r="R225" t="s">
        <v>967</v>
      </c>
      <c r="S225" t="s">
        <v>967</v>
      </c>
      <c r="U225" t="s">
        <v>1669</v>
      </c>
      <c r="V225" t="s">
        <v>670</v>
      </c>
      <c r="W225" t="s">
        <v>1655</v>
      </c>
      <c r="X225" s="76"/>
      <c r="Y225" t="s">
        <v>1654</v>
      </c>
      <c r="Z225" s="61"/>
      <c r="AA225" t="s">
        <v>617</v>
      </c>
      <c r="AB225" t="s">
        <v>49</v>
      </c>
      <c r="AC225" t="s">
        <v>841</v>
      </c>
      <c r="AD225">
        <v>2024</v>
      </c>
    </row>
    <row r="226" spans="17:30">
      <c r="Q226" t="s">
        <v>24</v>
      </c>
      <c r="R226" t="s">
        <v>1085</v>
      </c>
      <c r="S226" t="s">
        <v>1085</v>
      </c>
      <c r="U226" t="s">
        <v>1669</v>
      </c>
      <c r="V226" t="s">
        <v>670</v>
      </c>
      <c r="W226" t="s">
        <v>67</v>
      </c>
      <c r="X226" s="76"/>
      <c r="Y226" t="s">
        <v>1654</v>
      </c>
      <c r="Z226" s="61"/>
      <c r="AA226" t="s">
        <v>617</v>
      </c>
      <c r="AB226" t="s">
        <v>68</v>
      </c>
      <c r="AC226" t="s">
        <v>190</v>
      </c>
      <c r="AD226">
        <v>2024</v>
      </c>
    </row>
    <row r="227" spans="17:30">
      <c r="Q227" t="s">
        <v>24</v>
      </c>
      <c r="R227" t="s">
        <v>1116</v>
      </c>
      <c r="S227" t="s">
        <v>1116</v>
      </c>
      <c r="U227" t="s">
        <v>1669</v>
      </c>
      <c r="V227" t="s">
        <v>670</v>
      </c>
      <c r="W227" t="s">
        <v>87</v>
      </c>
      <c r="X227" s="76"/>
      <c r="Y227" t="s">
        <v>1654</v>
      </c>
      <c r="Z227" s="61"/>
      <c r="AA227" t="s">
        <v>617</v>
      </c>
      <c r="AB227" t="s">
        <v>88</v>
      </c>
      <c r="AC227" t="s">
        <v>1554</v>
      </c>
      <c r="AD227">
        <v>2024</v>
      </c>
    </row>
    <row r="228" spans="17:30">
      <c r="Q228" t="s">
        <v>24</v>
      </c>
      <c r="R228" t="s">
        <v>1149</v>
      </c>
      <c r="S228" t="s">
        <v>1149</v>
      </c>
      <c r="U228" t="s">
        <v>1240</v>
      </c>
      <c r="V228" t="s">
        <v>688</v>
      </c>
      <c r="W228" t="s">
        <v>1653</v>
      </c>
      <c r="X228" s="76">
        <v>531</v>
      </c>
      <c r="Y228" t="s">
        <v>1654</v>
      </c>
      <c r="Z228" s="61"/>
      <c r="AA228" t="s">
        <v>264</v>
      </c>
      <c r="AB228" t="s">
        <v>32</v>
      </c>
      <c r="AC228" t="s">
        <v>483</v>
      </c>
      <c r="AD228">
        <v>2024</v>
      </c>
    </row>
    <row r="229" spans="17:30">
      <c r="Q229" t="s">
        <v>24</v>
      </c>
      <c r="R229" t="s">
        <v>1168</v>
      </c>
      <c r="S229" t="s">
        <v>1168</v>
      </c>
      <c r="U229" t="s">
        <v>1240</v>
      </c>
      <c r="V229" t="s">
        <v>688</v>
      </c>
      <c r="W229" t="s">
        <v>1655</v>
      </c>
      <c r="X229" s="76">
        <v>531</v>
      </c>
      <c r="Y229" t="s">
        <v>1654</v>
      </c>
      <c r="Z229" s="61"/>
      <c r="AA229" t="s">
        <v>264</v>
      </c>
      <c r="AB229" t="s">
        <v>49</v>
      </c>
      <c r="AC229" t="s">
        <v>1373</v>
      </c>
      <c r="AD229">
        <v>2024</v>
      </c>
    </row>
    <row r="230" spans="17:30">
      <c r="Q230" t="s">
        <v>24</v>
      </c>
      <c r="R230" t="s">
        <v>1203</v>
      </c>
      <c r="S230" t="s">
        <v>1203</v>
      </c>
      <c r="U230" t="s">
        <v>1240</v>
      </c>
      <c r="V230" t="s">
        <v>688</v>
      </c>
      <c r="W230" t="s">
        <v>67</v>
      </c>
      <c r="X230" s="76">
        <v>8075</v>
      </c>
      <c r="Y230" t="s">
        <v>1654</v>
      </c>
      <c r="Z230" s="61"/>
      <c r="AA230" t="s">
        <v>264</v>
      </c>
      <c r="AB230" t="s">
        <v>68</v>
      </c>
      <c r="AC230" t="s">
        <v>939</v>
      </c>
      <c r="AD230">
        <v>2024</v>
      </c>
    </row>
    <row r="231" spans="17:30">
      <c r="Q231" t="s">
        <v>24</v>
      </c>
      <c r="R231" t="s">
        <v>1264</v>
      </c>
      <c r="S231" t="s">
        <v>1264</v>
      </c>
      <c r="U231" t="s">
        <v>1240</v>
      </c>
      <c r="V231" t="s">
        <v>688</v>
      </c>
      <c r="W231" t="s">
        <v>87</v>
      </c>
      <c r="X231" s="76">
        <v>92941</v>
      </c>
      <c r="Y231" t="s">
        <v>1654</v>
      </c>
      <c r="Z231" s="61"/>
      <c r="AA231" t="s">
        <v>264</v>
      </c>
      <c r="AB231" t="s">
        <v>88</v>
      </c>
      <c r="AC231" t="s">
        <v>69</v>
      </c>
      <c r="AD231">
        <v>2024</v>
      </c>
    </row>
    <row r="232" spans="17:30">
      <c r="Q232" t="s">
        <v>24</v>
      </c>
      <c r="R232" t="s">
        <v>1276</v>
      </c>
      <c r="S232" t="s">
        <v>1276</v>
      </c>
      <c r="U232" t="s">
        <v>1254</v>
      </c>
      <c r="V232" t="s">
        <v>821</v>
      </c>
      <c r="W232" t="s">
        <v>1653</v>
      </c>
      <c r="X232" s="76">
        <v>7897</v>
      </c>
      <c r="Y232" t="s">
        <v>1654</v>
      </c>
      <c r="Z232" s="61"/>
      <c r="AA232" t="s">
        <v>277</v>
      </c>
      <c r="AB232" t="s">
        <v>32</v>
      </c>
      <c r="AC232" t="s">
        <v>317</v>
      </c>
      <c r="AD232">
        <v>2024</v>
      </c>
    </row>
    <row r="233" spans="17:30">
      <c r="Q233" t="s">
        <v>24</v>
      </c>
      <c r="R233" t="s">
        <v>1285</v>
      </c>
      <c r="S233" t="s">
        <v>1285</v>
      </c>
      <c r="U233" t="s">
        <v>1254</v>
      </c>
      <c r="V233" t="s">
        <v>821</v>
      </c>
      <c r="W233" t="s">
        <v>1655</v>
      </c>
      <c r="X233" s="76">
        <v>579</v>
      </c>
      <c r="Y233" t="s">
        <v>1654</v>
      </c>
      <c r="Z233" s="61"/>
      <c r="AA233" t="s">
        <v>277</v>
      </c>
      <c r="AB233" t="s">
        <v>49</v>
      </c>
      <c r="AC233" t="s">
        <v>1357</v>
      </c>
      <c r="AD233">
        <v>2024</v>
      </c>
    </row>
    <row r="234" spans="17:30">
      <c r="Q234" t="s">
        <v>24</v>
      </c>
      <c r="R234" t="s">
        <v>1295</v>
      </c>
      <c r="S234" t="s">
        <v>1295</v>
      </c>
      <c r="U234" t="s">
        <v>1254</v>
      </c>
      <c r="V234" t="s">
        <v>821</v>
      </c>
      <c r="W234" t="s">
        <v>67</v>
      </c>
      <c r="X234" s="76">
        <v>7454</v>
      </c>
      <c r="Y234" t="s">
        <v>1654</v>
      </c>
      <c r="Z234" s="61"/>
      <c r="AA234" t="s">
        <v>277</v>
      </c>
      <c r="AB234" t="s">
        <v>68</v>
      </c>
      <c r="AC234" t="s">
        <v>1037</v>
      </c>
      <c r="AD234">
        <v>2024</v>
      </c>
    </row>
    <row r="235" spans="17:30">
      <c r="Q235" t="s">
        <v>24</v>
      </c>
      <c r="R235" t="s">
        <v>1303</v>
      </c>
      <c r="S235" t="s">
        <v>1303</v>
      </c>
      <c r="U235" t="s">
        <v>1254</v>
      </c>
      <c r="V235" t="s">
        <v>821</v>
      </c>
      <c r="W235" t="s">
        <v>87</v>
      </c>
      <c r="X235" s="76">
        <v>2998610</v>
      </c>
      <c r="Y235" t="s">
        <v>1654</v>
      </c>
      <c r="Z235" s="61"/>
      <c r="AA235" t="s">
        <v>277</v>
      </c>
      <c r="AB235" t="s">
        <v>88</v>
      </c>
      <c r="AC235" t="s">
        <v>1101</v>
      </c>
      <c r="AD235">
        <v>2024</v>
      </c>
    </row>
    <row r="236" spans="17:30">
      <c r="Q236" t="s">
        <v>24</v>
      </c>
      <c r="R236" t="s">
        <v>1316</v>
      </c>
      <c r="S236" t="s">
        <v>1316</v>
      </c>
      <c r="U236" t="s">
        <v>1274</v>
      </c>
      <c r="V236" t="s">
        <v>695</v>
      </c>
      <c r="W236" t="s">
        <v>1653</v>
      </c>
      <c r="X236" s="76">
        <v>113</v>
      </c>
      <c r="Y236" t="s">
        <v>1654</v>
      </c>
      <c r="Z236" s="61"/>
      <c r="AA236" t="s">
        <v>721</v>
      </c>
      <c r="AB236" t="s">
        <v>32</v>
      </c>
      <c r="AC236" t="s">
        <v>105</v>
      </c>
      <c r="AD236">
        <v>2024</v>
      </c>
    </row>
    <row r="237" spans="17:30">
      <c r="Q237" t="s">
        <v>24</v>
      </c>
      <c r="R237" t="s">
        <v>1327</v>
      </c>
      <c r="S237" t="s">
        <v>1327</v>
      </c>
      <c r="U237" t="s">
        <v>1274</v>
      </c>
      <c r="V237" t="s">
        <v>695</v>
      </c>
      <c r="W237" t="s">
        <v>1655</v>
      </c>
      <c r="X237" s="76">
        <v>19</v>
      </c>
      <c r="Y237" t="s">
        <v>1654</v>
      </c>
      <c r="Z237" s="61"/>
      <c r="AA237" t="s">
        <v>721</v>
      </c>
      <c r="AB237" t="s">
        <v>49</v>
      </c>
      <c r="AC237" t="s">
        <v>1542</v>
      </c>
      <c r="AD237">
        <v>2024</v>
      </c>
    </row>
    <row r="238" spans="17:30">
      <c r="Q238" t="s">
        <v>24</v>
      </c>
      <c r="R238" t="s">
        <v>1335</v>
      </c>
      <c r="S238" t="s">
        <v>1335</v>
      </c>
      <c r="U238" t="s">
        <v>1274</v>
      </c>
      <c r="V238" t="s">
        <v>695</v>
      </c>
      <c r="W238" t="s">
        <v>67</v>
      </c>
      <c r="X238" s="76">
        <v>1800</v>
      </c>
      <c r="Y238" t="s">
        <v>1654</v>
      </c>
      <c r="Z238" s="61"/>
      <c r="AA238" t="s">
        <v>721</v>
      </c>
      <c r="AB238" t="s">
        <v>68</v>
      </c>
      <c r="AC238" t="s">
        <v>1555</v>
      </c>
      <c r="AD238">
        <v>2024</v>
      </c>
    </row>
    <row r="239" spans="17:30">
      <c r="Q239" t="s">
        <v>26</v>
      </c>
      <c r="R239" t="s">
        <v>159</v>
      </c>
      <c r="S239" t="s">
        <v>157</v>
      </c>
      <c r="U239" t="s">
        <v>1274</v>
      </c>
      <c r="V239" t="s">
        <v>695</v>
      </c>
      <c r="W239" t="s">
        <v>87</v>
      </c>
      <c r="X239" s="76">
        <v>15000</v>
      </c>
      <c r="Y239" t="s">
        <v>1654</v>
      </c>
      <c r="Z239" s="61"/>
      <c r="AA239" t="s">
        <v>721</v>
      </c>
      <c r="AB239" t="s">
        <v>88</v>
      </c>
      <c r="AC239" t="s">
        <v>1055</v>
      </c>
      <c r="AD239">
        <v>2024</v>
      </c>
    </row>
    <row r="240" spans="17:30">
      <c r="Q240" t="s">
        <v>26</v>
      </c>
      <c r="R240" t="s">
        <v>1087</v>
      </c>
      <c r="S240" t="s">
        <v>1085</v>
      </c>
      <c r="U240" t="s">
        <v>1302</v>
      </c>
      <c r="V240" t="s">
        <v>736</v>
      </c>
      <c r="W240" t="s">
        <v>1653</v>
      </c>
      <c r="X240" s="76">
        <v>11</v>
      </c>
      <c r="Y240" t="s">
        <v>1654</v>
      </c>
      <c r="Z240" s="61"/>
      <c r="AA240" t="s">
        <v>629</v>
      </c>
      <c r="AB240" t="s">
        <v>32</v>
      </c>
      <c r="AC240" t="s">
        <v>204</v>
      </c>
      <c r="AD240">
        <v>2024</v>
      </c>
    </row>
    <row r="241" spans="17:30">
      <c r="Q241" t="s">
        <v>26</v>
      </c>
      <c r="R241" t="s">
        <v>691</v>
      </c>
      <c r="S241" t="s">
        <v>689</v>
      </c>
      <c r="U241" t="s">
        <v>1302</v>
      </c>
      <c r="V241" t="s">
        <v>736</v>
      </c>
      <c r="W241" t="s">
        <v>1655</v>
      </c>
      <c r="X241" s="76">
        <v>10</v>
      </c>
      <c r="Y241" t="s">
        <v>1654</v>
      </c>
      <c r="Z241" s="61"/>
      <c r="AA241" t="s">
        <v>629</v>
      </c>
      <c r="AB241" t="s">
        <v>49</v>
      </c>
      <c r="AC241" t="s">
        <v>69</v>
      </c>
      <c r="AD241">
        <v>2024</v>
      </c>
    </row>
    <row r="242" spans="17:30">
      <c r="Q242" t="s">
        <v>26</v>
      </c>
      <c r="R242" t="s">
        <v>928</v>
      </c>
      <c r="S242" t="s">
        <v>926</v>
      </c>
      <c r="U242" t="s">
        <v>1302</v>
      </c>
      <c r="V242" t="s">
        <v>736</v>
      </c>
      <c r="W242" t="s">
        <v>67</v>
      </c>
      <c r="X242" s="76">
        <v>52</v>
      </c>
      <c r="Y242" t="s">
        <v>1654</v>
      </c>
      <c r="Z242" s="61"/>
      <c r="AA242" t="s">
        <v>629</v>
      </c>
      <c r="AB242" t="s">
        <v>68</v>
      </c>
      <c r="AC242" t="s">
        <v>1556</v>
      </c>
      <c r="AD242">
        <v>2024</v>
      </c>
    </row>
    <row r="243" spans="17:30">
      <c r="Q243" t="s">
        <v>26</v>
      </c>
      <c r="R243" t="s">
        <v>921</v>
      </c>
      <c r="S243" t="s">
        <v>919</v>
      </c>
      <c r="U243" t="s">
        <v>1302</v>
      </c>
      <c r="V243" t="s">
        <v>736</v>
      </c>
      <c r="W243" t="s">
        <v>87</v>
      </c>
      <c r="X243" s="76">
        <v>700</v>
      </c>
      <c r="Y243" t="s">
        <v>1654</v>
      </c>
      <c r="Z243" s="61"/>
      <c r="AA243" t="s">
        <v>629</v>
      </c>
      <c r="AB243" t="s">
        <v>88</v>
      </c>
      <c r="AC243" t="s">
        <v>1557</v>
      </c>
      <c r="AD243">
        <v>2024</v>
      </c>
    </row>
    <row r="244" spans="17:30">
      <c r="Q244" t="s">
        <v>26</v>
      </c>
      <c r="R244" t="s">
        <v>1287</v>
      </c>
      <c r="S244" t="s">
        <v>1285</v>
      </c>
      <c r="U244" t="s">
        <v>1320</v>
      </c>
      <c r="V244" t="s">
        <v>743</v>
      </c>
      <c r="W244" t="s">
        <v>1653</v>
      </c>
      <c r="X244" s="76"/>
      <c r="Y244" t="s">
        <v>1654</v>
      </c>
      <c r="Z244" s="61"/>
      <c r="AA244" t="s">
        <v>288</v>
      </c>
      <c r="AB244" t="s">
        <v>32</v>
      </c>
      <c r="AC244" t="s">
        <v>1275</v>
      </c>
      <c r="AD244">
        <v>2024</v>
      </c>
    </row>
    <row r="245" spans="17:30">
      <c r="Q245" t="s">
        <v>26</v>
      </c>
      <c r="R245" t="s">
        <v>262</v>
      </c>
      <c r="S245" t="s">
        <v>260</v>
      </c>
      <c r="U245" t="s">
        <v>1320</v>
      </c>
      <c r="V245" t="s">
        <v>743</v>
      </c>
      <c r="W245" t="s">
        <v>1655</v>
      </c>
      <c r="X245" s="76"/>
      <c r="Y245" t="s">
        <v>1654</v>
      </c>
      <c r="Z245" s="61"/>
      <c r="AA245" t="s">
        <v>288</v>
      </c>
      <c r="AB245" t="s">
        <v>49</v>
      </c>
      <c r="AC245" t="s">
        <v>139</v>
      </c>
      <c r="AD245">
        <v>2024</v>
      </c>
    </row>
    <row r="246" spans="17:30">
      <c r="Q246" t="s">
        <v>26</v>
      </c>
      <c r="R246" t="s">
        <v>370</v>
      </c>
      <c r="S246" t="s">
        <v>368</v>
      </c>
      <c r="U246" t="s">
        <v>1320</v>
      </c>
      <c r="V246" t="s">
        <v>743</v>
      </c>
      <c r="W246" t="s">
        <v>67</v>
      </c>
      <c r="X246" s="76"/>
      <c r="Y246" t="s">
        <v>1654</v>
      </c>
      <c r="Z246" s="61"/>
      <c r="AA246" t="s">
        <v>288</v>
      </c>
      <c r="AB246" t="s">
        <v>68</v>
      </c>
      <c r="AC246" t="s">
        <v>228</v>
      </c>
      <c r="AD246">
        <v>2024</v>
      </c>
    </row>
    <row r="247" spans="17:30">
      <c r="Q247" t="s">
        <v>26</v>
      </c>
      <c r="R247" t="s">
        <v>969</v>
      </c>
      <c r="S247" t="s">
        <v>967</v>
      </c>
      <c r="U247" t="s">
        <v>1320</v>
      </c>
      <c r="V247" t="s">
        <v>743</v>
      </c>
      <c r="W247" t="s">
        <v>87</v>
      </c>
      <c r="X247" s="76"/>
      <c r="Y247" t="s">
        <v>1654</v>
      </c>
      <c r="Z247" s="61"/>
      <c r="AA247" t="s">
        <v>288</v>
      </c>
      <c r="AB247" t="s">
        <v>88</v>
      </c>
      <c r="AC247" t="s">
        <v>1558</v>
      </c>
      <c r="AD247">
        <v>2024</v>
      </c>
    </row>
    <row r="248" spans="17:30">
      <c r="Q248" t="s">
        <v>26</v>
      </c>
      <c r="R248" t="s">
        <v>595</v>
      </c>
      <c r="S248" t="s">
        <v>593</v>
      </c>
      <c r="U248" t="s">
        <v>1331</v>
      </c>
      <c r="V248" t="s">
        <v>327</v>
      </c>
      <c r="W248" t="s">
        <v>1653</v>
      </c>
      <c r="X248" s="76">
        <v>65</v>
      </c>
      <c r="Y248" t="s">
        <v>1654</v>
      </c>
      <c r="Z248" s="61"/>
      <c r="AA248" t="s">
        <v>659</v>
      </c>
      <c r="AB248" t="s">
        <v>32</v>
      </c>
      <c r="AC248" t="s">
        <v>1380</v>
      </c>
      <c r="AD248">
        <v>2024</v>
      </c>
    </row>
    <row r="249" spans="17:30">
      <c r="Q249" t="s">
        <v>26</v>
      </c>
      <c r="R249" t="s">
        <v>758</v>
      </c>
      <c r="S249" t="s">
        <v>756</v>
      </c>
      <c r="U249" t="s">
        <v>1331</v>
      </c>
      <c r="V249" t="s">
        <v>327</v>
      </c>
      <c r="W249" t="s">
        <v>1655</v>
      </c>
      <c r="X249" s="76">
        <v>47</v>
      </c>
      <c r="Y249" t="s">
        <v>1654</v>
      </c>
      <c r="Z249" s="61"/>
      <c r="AA249" t="s">
        <v>659</v>
      </c>
      <c r="AB249" t="s">
        <v>49</v>
      </c>
      <c r="AC249" t="s">
        <v>1381</v>
      </c>
      <c r="AD249">
        <v>2024</v>
      </c>
    </row>
    <row r="250" spans="17:30">
      <c r="Q250" t="s">
        <v>26</v>
      </c>
      <c r="R250" t="s">
        <v>772</v>
      </c>
      <c r="S250" t="s">
        <v>770</v>
      </c>
      <c r="U250" t="s">
        <v>1331</v>
      </c>
      <c r="V250" t="s">
        <v>327</v>
      </c>
      <c r="W250" t="s">
        <v>67</v>
      </c>
      <c r="X250" s="76">
        <v>739</v>
      </c>
      <c r="Y250" t="s">
        <v>1654</v>
      </c>
      <c r="Z250" s="61"/>
      <c r="AA250" t="s">
        <v>659</v>
      </c>
      <c r="AB250" t="s">
        <v>68</v>
      </c>
      <c r="AC250" t="s">
        <v>1559</v>
      </c>
      <c r="AD250">
        <v>2024</v>
      </c>
    </row>
    <row r="251" spans="17:30">
      <c r="Q251" t="s">
        <v>26</v>
      </c>
      <c r="R251" t="s">
        <v>887</v>
      </c>
      <c r="S251" t="s">
        <v>885</v>
      </c>
      <c r="U251" t="s">
        <v>1331</v>
      </c>
      <c r="V251" t="s">
        <v>327</v>
      </c>
      <c r="W251" t="s">
        <v>87</v>
      </c>
      <c r="X251" s="76">
        <v>280263</v>
      </c>
      <c r="Y251" t="s">
        <v>1654</v>
      </c>
      <c r="Z251" s="61"/>
      <c r="AA251" t="s">
        <v>659</v>
      </c>
      <c r="AB251" t="s">
        <v>88</v>
      </c>
      <c r="AC251" t="s">
        <v>456</v>
      </c>
      <c r="AD251">
        <v>2024</v>
      </c>
    </row>
    <row r="252" spans="17:30">
      <c r="Q252" t="s">
        <v>26</v>
      </c>
      <c r="R252" t="s">
        <v>895</v>
      </c>
      <c r="S252" t="s">
        <v>893</v>
      </c>
      <c r="U252" t="s">
        <v>1331</v>
      </c>
      <c r="V252" t="s">
        <v>327</v>
      </c>
      <c r="W252" t="s">
        <v>87</v>
      </c>
      <c r="X252" s="76">
        <v>326000</v>
      </c>
      <c r="Y252" t="s">
        <v>1654</v>
      </c>
      <c r="Z252" s="61"/>
      <c r="AA252" t="s">
        <v>646</v>
      </c>
      <c r="AB252" t="s">
        <v>32</v>
      </c>
      <c r="AC252" t="s">
        <v>794</v>
      </c>
      <c r="AD252">
        <v>2024</v>
      </c>
    </row>
    <row r="253" spans="17:30">
      <c r="Q253" t="s">
        <v>26</v>
      </c>
      <c r="R253" t="s">
        <v>911</v>
      </c>
      <c r="S253" t="s">
        <v>909</v>
      </c>
      <c r="U253" t="s">
        <v>1670</v>
      </c>
      <c r="V253" t="s">
        <v>755</v>
      </c>
      <c r="W253" t="s">
        <v>1653</v>
      </c>
      <c r="X253" s="76">
        <v>5</v>
      </c>
      <c r="Y253" t="s">
        <v>1654</v>
      </c>
      <c r="Z253" s="61"/>
      <c r="AA253" t="s">
        <v>646</v>
      </c>
      <c r="AB253" t="s">
        <v>49</v>
      </c>
      <c r="AC253" t="s">
        <v>794</v>
      </c>
      <c r="AD253">
        <v>2024</v>
      </c>
    </row>
    <row r="254" spans="17:30">
      <c r="Q254" t="s">
        <v>26</v>
      </c>
      <c r="R254" t="s">
        <v>948</v>
      </c>
      <c r="S254" t="s">
        <v>946</v>
      </c>
      <c r="U254" t="s">
        <v>1670</v>
      </c>
      <c r="V254" t="s">
        <v>755</v>
      </c>
      <c r="W254" t="s">
        <v>1655</v>
      </c>
      <c r="X254" s="76">
        <v>4</v>
      </c>
      <c r="Y254" t="s">
        <v>1654</v>
      </c>
      <c r="Z254" s="61"/>
      <c r="AA254" t="s">
        <v>646</v>
      </c>
      <c r="AB254" t="s">
        <v>68</v>
      </c>
      <c r="AC254" t="s">
        <v>1560</v>
      </c>
      <c r="AD254">
        <v>2024</v>
      </c>
    </row>
    <row r="255" spans="17:30">
      <c r="Q255" t="s">
        <v>26</v>
      </c>
      <c r="R255" t="s">
        <v>954</v>
      </c>
      <c r="S255" t="s">
        <v>952</v>
      </c>
      <c r="U255" t="s">
        <v>1670</v>
      </c>
      <c r="V255" t="s">
        <v>755</v>
      </c>
      <c r="W255" t="s">
        <v>67</v>
      </c>
      <c r="X255" s="76">
        <v>13</v>
      </c>
      <c r="Y255" t="s">
        <v>1654</v>
      </c>
      <c r="Z255" s="61"/>
      <c r="AA255" t="s">
        <v>646</v>
      </c>
      <c r="AB255" t="s">
        <v>88</v>
      </c>
      <c r="AC255" t="s">
        <v>361</v>
      </c>
      <c r="AD255">
        <v>2024</v>
      </c>
    </row>
    <row r="256" spans="17:30">
      <c r="Q256" t="s">
        <v>26</v>
      </c>
      <c r="R256" t="s">
        <v>1151</v>
      </c>
      <c r="S256" t="s">
        <v>1149</v>
      </c>
      <c r="U256" t="s">
        <v>1670</v>
      </c>
      <c r="V256" t="s">
        <v>755</v>
      </c>
      <c r="W256" t="s">
        <v>87</v>
      </c>
      <c r="X256" s="76">
        <v>116</v>
      </c>
      <c r="Y256" t="s">
        <v>1654</v>
      </c>
      <c r="Z256" s="61"/>
      <c r="AA256" t="s">
        <v>301</v>
      </c>
      <c r="AB256" t="s">
        <v>32</v>
      </c>
      <c r="AC256" t="s">
        <v>1356</v>
      </c>
      <c r="AD256">
        <v>2024</v>
      </c>
    </row>
    <row r="257" spans="17:30">
      <c r="Q257" t="s">
        <v>26</v>
      </c>
      <c r="R257" t="s">
        <v>1205</v>
      </c>
      <c r="S257" t="s">
        <v>1203</v>
      </c>
      <c r="U257" t="s">
        <v>1347</v>
      </c>
      <c r="V257" t="s">
        <v>904</v>
      </c>
      <c r="W257" t="s">
        <v>1653</v>
      </c>
      <c r="X257" s="76"/>
      <c r="Y257" t="s">
        <v>1654</v>
      </c>
      <c r="Z257" s="61"/>
      <c r="AA257" t="s">
        <v>301</v>
      </c>
      <c r="AB257" t="s">
        <v>49</v>
      </c>
      <c r="AC257" t="s">
        <v>1386</v>
      </c>
      <c r="AD257">
        <v>2024</v>
      </c>
    </row>
    <row r="258" spans="17:30">
      <c r="Q258" t="s">
        <v>26</v>
      </c>
      <c r="R258" t="s">
        <v>1297</v>
      </c>
      <c r="S258" t="s">
        <v>1295</v>
      </c>
      <c r="U258" t="s">
        <v>1347</v>
      </c>
      <c r="V258" t="s">
        <v>904</v>
      </c>
      <c r="W258" t="s">
        <v>1655</v>
      </c>
      <c r="X258" s="76"/>
      <c r="Y258" t="s">
        <v>1654</v>
      </c>
      <c r="Z258" s="61"/>
      <c r="AA258" t="s">
        <v>301</v>
      </c>
      <c r="AB258" t="s">
        <v>68</v>
      </c>
      <c r="AC258" t="s">
        <v>761</v>
      </c>
      <c r="AD258">
        <v>2024</v>
      </c>
    </row>
    <row r="259" spans="17:30">
      <c r="Q259" t="s">
        <v>26</v>
      </c>
      <c r="R259" t="s">
        <v>1305</v>
      </c>
      <c r="S259" t="s">
        <v>1303</v>
      </c>
      <c r="U259" t="s">
        <v>1347</v>
      </c>
      <c r="V259" t="s">
        <v>904</v>
      </c>
      <c r="W259" t="s">
        <v>67</v>
      </c>
      <c r="X259" s="76"/>
      <c r="Y259" t="s">
        <v>1654</v>
      </c>
      <c r="Z259" s="61"/>
      <c r="AA259" t="s">
        <v>301</v>
      </c>
      <c r="AB259" t="s">
        <v>88</v>
      </c>
      <c r="AC259" t="s">
        <v>1263</v>
      </c>
      <c r="AD259">
        <v>2024</v>
      </c>
    </row>
    <row r="260" spans="17:30">
      <c r="Q260" t="s">
        <v>26</v>
      </c>
      <c r="R260" t="s">
        <v>1329</v>
      </c>
      <c r="S260" t="s">
        <v>1327</v>
      </c>
      <c r="U260" t="s">
        <v>1347</v>
      </c>
      <c r="V260" t="s">
        <v>904</v>
      </c>
      <c r="W260" t="s">
        <v>87</v>
      </c>
      <c r="X260" s="76"/>
      <c r="Y260" t="s">
        <v>1654</v>
      </c>
      <c r="Z260" s="61"/>
      <c r="AA260" t="s">
        <v>315</v>
      </c>
      <c r="AB260" t="s">
        <v>32</v>
      </c>
      <c r="AC260" t="s">
        <v>807</v>
      </c>
      <c r="AD260">
        <v>2024</v>
      </c>
    </row>
    <row r="261" spans="17:30">
      <c r="Q261" t="s">
        <v>26</v>
      </c>
      <c r="R261" t="s">
        <v>1337</v>
      </c>
      <c r="S261" t="s">
        <v>1335</v>
      </c>
      <c r="U261" t="s">
        <v>1350</v>
      </c>
      <c r="V261" t="s">
        <v>769</v>
      </c>
      <c r="W261" t="s">
        <v>1653</v>
      </c>
      <c r="X261" s="76">
        <v>74</v>
      </c>
      <c r="Y261" t="s">
        <v>1654</v>
      </c>
      <c r="Z261" s="61"/>
      <c r="AA261" t="s">
        <v>315</v>
      </c>
      <c r="AB261" t="s">
        <v>49</v>
      </c>
      <c r="AC261" t="s">
        <v>1374</v>
      </c>
      <c r="AD261">
        <v>2024</v>
      </c>
    </row>
    <row r="262" spans="17:30">
      <c r="Q262" t="s">
        <v>26</v>
      </c>
      <c r="R262" t="s">
        <v>684</v>
      </c>
      <c r="S262" t="s">
        <v>682</v>
      </c>
      <c r="U262" t="s">
        <v>1350</v>
      </c>
      <c r="V262" t="s">
        <v>769</v>
      </c>
      <c r="W262" t="s">
        <v>1655</v>
      </c>
      <c r="X262" s="76">
        <v>18</v>
      </c>
      <c r="Y262" t="s">
        <v>1654</v>
      </c>
      <c r="Z262" s="61"/>
      <c r="AA262" t="s">
        <v>315</v>
      </c>
      <c r="AB262" t="s">
        <v>68</v>
      </c>
      <c r="AC262" t="s">
        <v>590</v>
      </c>
      <c r="AD262">
        <v>2024</v>
      </c>
    </row>
    <row r="263" spans="17:30">
      <c r="Q263" t="s">
        <v>26</v>
      </c>
      <c r="R263" t="s">
        <v>1266</v>
      </c>
      <c r="S263" t="s">
        <v>1264</v>
      </c>
      <c r="U263" t="s">
        <v>1350</v>
      </c>
      <c r="V263" t="s">
        <v>769</v>
      </c>
      <c r="W263" t="s">
        <v>67</v>
      </c>
      <c r="X263" s="76">
        <v>508</v>
      </c>
      <c r="Y263" t="s">
        <v>1654</v>
      </c>
      <c r="Z263" s="61"/>
      <c r="AA263" t="s">
        <v>315</v>
      </c>
      <c r="AB263" t="s">
        <v>88</v>
      </c>
      <c r="AC263" t="s">
        <v>290</v>
      </c>
      <c r="AD263">
        <v>2024</v>
      </c>
    </row>
    <row r="264" spans="17:30">
      <c r="Q264" t="s">
        <v>26</v>
      </c>
      <c r="R264" t="s">
        <v>438</v>
      </c>
      <c r="S264" t="s">
        <v>436</v>
      </c>
      <c r="U264" t="s">
        <v>1350</v>
      </c>
      <c r="V264" t="s">
        <v>769</v>
      </c>
      <c r="W264" t="s">
        <v>87</v>
      </c>
      <c r="X264" s="76">
        <v>1055</v>
      </c>
      <c r="Y264" t="s">
        <v>1654</v>
      </c>
      <c r="Z264" s="61"/>
      <c r="AA264" t="s">
        <v>741</v>
      </c>
      <c r="AB264" t="s">
        <v>49</v>
      </c>
      <c r="AC264" t="s">
        <v>582</v>
      </c>
      <c r="AD264">
        <v>2024</v>
      </c>
    </row>
    <row r="265" spans="17:30">
      <c r="Q265" t="s">
        <v>26</v>
      </c>
      <c r="R265" t="s">
        <v>866</v>
      </c>
      <c r="S265" t="s">
        <v>864</v>
      </c>
      <c r="U265" t="s">
        <v>1352</v>
      </c>
      <c r="V265" t="s">
        <v>784</v>
      </c>
      <c r="W265" t="s">
        <v>1653</v>
      </c>
      <c r="X265" s="76">
        <v>204</v>
      </c>
      <c r="Y265" t="s">
        <v>1654</v>
      </c>
      <c r="Z265" s="61"/>
      <c r="AA265" t="s">
        <v>741</v>
      </c>
      <c r="AB265" t="s">
        <v>68</v>
      </c>
      <c r="AC265" t="s">
        <v>807</v>
      </c>
      <c r="AD265">
        <v>2024</v>
      </c>
    </row>
    <row r="266" spans="17:30">
      <c r="Q266" t="s">
        <v>26</v>
      </c>
      <c r="R266" t="s">
        <v>1278</v>
      </c>
      <c r="S266" t="s">
        <v>1276</v>
      </c>
      <c r="U266" t="s">
        <v>1352</v>
      </c>
      <c r="V266" t="s">
        <v>784</v>
      </c>
      <c r="W266" t="s">
        <v>1655</v>
      </c>
      <c r="X266" s="76">
        <v>34</v>
      </c>
      <c r="Y266" t="s">
        <v>1654</v>
      </c>
      <c r="Z266" s="61"/>
      <c r="AA266" t="s">
        <v>741</v>
      </c>
      <c r="AB266" t="s">
        <v>88</v>
      </c>
      <c r="AC266" t="s">
        <v>1390</v>
      </c>
      <c r="AD266">
        <v>2024</v>
      </c>
    </row>
    <row r="267" spans="17:30">
      <c r="Q267" t="s">
        <v>26</v>
      </c>
      <c r="R267" t="s">
        <v>22</v>
      </c>
      <c r="S267" t="s">
        <v>20</v>
      </c>
      <c r="U267" t="s">
        <v>1352</v>
      </c>
      <c r="V267" t="s">
        <v>784</v>
      </c>
      <c r="W267" t="s">
        <v>67</v>
      </c>
      <c r="X267" s="76">
        <v>400</v>
      </c>
      <c r="Y267" t="s">
        <v>1654</v>
      </c>
      <c r="Z267" s="61"/>
      <c r="AA267" t="s">
        <v>653</v>
      </c>
      <c r="AB267" t="s">
        <v>32</v>
      </c>
      <c r="AC267" t="s">
        <v>1409</v>
      </c>
      <c r="AD267">
        <v>2024</v>
      </c>
    </row>
    <row r="268" spans="17:30">
      <c r="Q268" t="s">
        <v>26</v>
      </c>
      <c r="R268" t="s">
        <v>199</v>
      </c>
      <c r="S268" t="s">
        <v>197</v>
      </c>
      <c r="U268" t="s">
        <v>1352</v>
      </c>
      <c r="V268" t="s">
        <v>784</v>
      </c>
      <c r="W268" t="s">
        <v>87</v>
      </c>
      <c r="X268" s="76">
        <v>12000</v>
      </c>
      <c r="Y268" t="s">
        <v>1654</v>
      </c>
      <c r="Z268" s="61"/>
      <c r="AA268" t="s">
        <v>653</v>
      </c>
      <c r="AB268" t="s">
        <v>49</v>
      </c>
      <c r="AC268" t="s">
        <v>1442</v>
      </c>
      <c r="AD268">
        <v>2024</v>
      </c>
    </row>
    <row r="269" spans="17:30">
      <c r="Q269" t="s">
        <v>26</v>
      </c>
      <c r="R269" t="s">
        <v>325</v>
      </c>
      <c r="S269" t="s">
        <v>323</v>
      </c>
      <c r="U269" t="s">
        <v>1671</v>
      </c>
      <c r="V269" t="s">
        <v>339</v>
      </c>
      <c r="W269" t="s">
        <v>1653</v>
      </c>
      <c r="X269" s="76"/>
      <c r="Y269" t="s">
        <v>1654</v>
      </c>
      <c r="Z269" s="61"/>
      <c r="AA269" t="s">
        <v>653</v>
      </c>
      <c r="AB269" t="s">
        <v>68</v>
      </c>
      <c r="AC269" t="s">
        <v>1374</v>
      </c>
      <c r="AD269">
        <v>2024</v>
      </c>
    </row>
    <row r="270" spans="17:30">
      <c r="Q270" t="s">
        <v>26</v>
      </c>
      <c r="R270" t="s">
        <v>845</v>
      </c>
      <c r="S270" t="s">
        <v>843</v>
      </c>
      <c r="U270" t="s">
        <v>1671</v>
      </c>
      <c r="V270" t="s">
        <v>339</v>
      </c>
      <c r="W270" t="s">
        <v>1655</v>
      </c>
      <c r="X270" s="76"/>
      <c r="Y270" t="s">
        <v>1654</v>
      </c>
      <c r="Z270" s="61"/>
      <c r="AA270" t="s">
        <v>653</v>
      </c>
      <c r="AB270" t="s">
        <v>88</v>
      </c>
      <c r="AC270" t="s">
        <v>290</v>
      </c>
      <c r="AD270">
        <v>2024</v>
      </c>
    </row>
    <row r="271" spans="17:30">
      <c r="Q271" t="s">
        <v>26</v>
      </c>
      <c r="R271" t="s">
        <v>851</v>
      </c>
      <c r="S271" t="s">
        <v>849</v>
      </c>
      <c r="U271" t="s">
        <v>1671</v>
      </c>
      <c r="V271" t="s">
        <v>339</v>
      </c>
      <c r="W271" t="s">
        <v>67</v>
      </c>
      <c r="X271" s="76"/>
      <c r="Y271" t="s">
        <v>1654</v>
      </c>
      <c r="Z271" s="61"/>
      <c r="AA271" t="s">
        <v>665</v>
      </c>
      <c r="AB271" t="s">
        <v>32</v>
      </c>
      <c r="AC271" t="s">
        <v>1332</v>
      </c>
      <c r="AD271">
        <v>2024</v>
      </c>
    </row>
    <row r="272" spans="17:30">
      <c r="Q272" t="s">
        <v>26</v>
      </c>
      <c r="R272" t="s">
        <v>943</v>
      </c>
      <c r="S272" t="s">
        <v>941</v>
      </c>
      <c r="U272" t="s">
        <v>1671</v>
      </c>
      <c r="V272" t="s">
        <v>339</v>
      </c>
      <c r="W272" t="s">
        <v>87</v>
      </c>
      <c r="X272" s="76"/>
      <c r="Y272" t="s">
        <v>1654</v>
      </c>
      <c r="Z272" s="61"/>
      <c r="AA272" t="s">
        <v>665</v>
      </c>
      <c r="AB272" t="s">
        <v>49</v>
      </c>
      <c r="AC272" t="s">
        <v>129</v>
      </c>
      <c r="AD272">
        <v>2024</v>
      </c>
    </row>
    <row r="273" spans="17:30">
      <c r="Q273" t="s">
        <v>26</v>
      </c>
      <c r="R273" t="s">
        <v>733</v>
      </c>
      <c r="S273" t="s">
        <v>731</v>
      </c>
      <c r="U273" t="s">
        <v>1672</v>
      </c>
      <c r="V273" t="s">
        <v>349</v>
      </c>
      <c r="W273" t="s">
        <v>1653</v>
      </c>
      <c r="X273" s="76">
        <v>91</v>
      </c>
      <c r="Y273" t="s">
        <v>1654</v>
      </c>
      <c r="Z273" s="61"/>
      <c r="AA273" t="s">
        <v>665</v>
      </c>
      <c r="AB273" t="s">
        <v>68</v>
      </c>
      <c r="AC273" t="s">
        <v>1464</v>
      </c>
      <c r="AD273">
        <v>2024</v>
      </c>
    </row>
    <row r="274" spans="17:30">
      <c r="Q274" t="s">
        <v>26</v>
      </c>
      <c r="R274" t="s">
        <v>1170</v>
      </c>
      <c r="S274" t="s">
        <v>1168</v>
      </c>
      <c r="U274" t="s">
        <v>1672</v>
      </c>
      <c r="V274" t="s">
        <v>349</v>
      </c>
      <c r="W274" t="s">
        <v>1655</v>
      </c>
      <c r="X274" s="76">
        <v>15</v>
      </c>
      <c r="Y274" t="s">
        <v>1654</v>
      </c>
      <c r="Z274" s="61"/>
      <c r="AA274" t="s">
        <v>665</v>
      </c>
      <c r="AB274" t="s">
        <v>88</v>
      </c>
      <c r="AC274" t="s">
        <v>456</v>
      </c>
      <c r="AD274">
        <v>2024</v>
      </c>
    </row>
    <row r="275" spans="17:30">
      <c r="Q275" t="s">
        <v>26</v>
      </c>
      <c r="R275" t="s">
        <v>1118</v>
      </c>
      <c r="S275" t="s">
        <v>1116</v>
      </c>
      <c r="U275" t="s">
        <v>1672</v>
      </c>
      <c r="V275" t="s">
        <v>349</v>
      </c>
      <c r="W275" t="s">
        <v>67</v>
      </c>
      <c r="X275" s="76">
        <v>38</v>
      </c>
      <c r="Y275" t="s">
        <v>1654</v>
      </c>
      <c r="Z275" s="61"/>
      <c r="AA275" t="s">
        <v>670</v>
      </c>
      <c r="AB275" t="s">
        <v>32</v>
      </c>
      <c r="AC275" t="s">
        <v>1084</v>
      </c>
      <c r="AD275">
        <v>2024</v>
      </c>
    </row>
    <row r="276" spans="17:30">
      <c r="Q276" t="s">
        <v>26</v>
      </c>
      <c r="R276" t="s">
        <v>1318</v>
      </c>
      <c r="S276" t="s">
        <v>1316</v>
      </c>
      <c r="U276" t="s">
        <v>1672</v>
      </c>
      <c r="V276" t="s">
        <v>349</v>
      </c>
      <c r="W276" t="s">
        <v>87</v>
      </c>
      <c r="X276" s="76">
        <v>4920</v>
      </c>
      <c r="Y276" t="s">
        <v>1654</v>
      </c>
      <c r="Z276" s="61"/>
      <c r="AA276" t="s">
        <v>670</v>
      </c>
      <c r="AB276" t="s">
        <v>49</v>
      </c>
      <c r="AC276" t="s">
        <v>841</v>
      </c>
      <c r="AD276">
        <v>2024</v>
      </c>
    </row>
    <row r="277" spans="17:30">
      <c r="Q277" t="s">
        <v>25</v>
      </c>
      <c r="R277" t="s">
        <v>21</v>
      </c>
      <c r="S277" t="s">
        <v>20</v>
      </c>
      <c r="U277" t="s">
        <v>1354</v>
      </c>
      <c r="V277" t="s">
        <v>799</v>
      </c>
      <c r="W277" t="s">
        <v>1653</v>
      </c>
      <c r="X277" s="76">
        <v>41</v>
      </c>
      <c r="Y277" t="s">
        <v>1654</v>
      </c>
      <c r="Z277" s="61"/>
      <c r="AA277" t="s">
        <v>670</v>
      </c>
      <c r="AB277" t="s">
        <v>68</v>
      </c>
      <c r="AC277" t="s">
        <v>1561</v>
      </c>
      <c r="AD277">
        <v>2024</v>
      </c>
    </row>
    <row r="278" spans="17:30">
      <c r="Q278" t="s">
        <v>25</v>
      </c>
      <c r="R278" t="s">
        <v>324</v>
      </c>
      <c r="S278" t="s">
        <v>323</v>
      </c>
      <c r="U278" t="s">
        <v>1354</v>
      </c>
      <c r="V278" t="s">
        <v>799</v>
      </c>
      <c r="W278" t="s">
        <v>1655</v>
      </c>
      <c r="X278" s="76">
        <v>38</v>
      </c>
      <c r="Y278" t="s">
        <v>1654</v>
      </c>
      <c r="Z278" s="61"/>
      <c r="AA278" t="s">
        <v>670</v>
      </c>
      <c r="AB278" t="s">
        <v>88</v>
      </c>
      <c r="AC278" t="s">
        <v>418</v>
      </c>
      <c r="AD278">
        <v>2024</v>
      </c>
    </row>
    <row r="279" spans="17:30">
      <c r="Q279" t="s">
        <v>25</v>
      </c>
      <c r="R279" t="s">
        <v>844</v>
      </c>
      <c r="S279" t="s">
        <v>843</v>
      </c>
      <c r="U279" t="s">
        <v>1354</v>
      </c>
      <c r="V279" t="s">
        <v>799</v>
      </c>
      <c r="W279" t="s">
        <v>67</v>
      </c>
      <c r="X279" s="76">
        <v>655</v>
      </c>
      <c r="Y279" t="s">
        <v>1654</v>
      </c>
      <c r="Z279" s="61"/>
      <c r="AA279" t="s">
        <v>676</v>
      </c>
      <c r="AB279" t="s">
        <v>32</v>
      </c>
      <c r="AC279" t="s">
        <v>932</v>
      </c>
      <c r="AD279">
        <v>2024</v>
      </c>
    </row>
    <row r="280" spans="17:30">
      <c r="Q280" t="s">
        <v>25</v>
      </c>
      <c r="R280" t="s">
        <v>850</v>
      </c>
      <c r="S280" t="s">
        <v>849</v>
      </c>
      <c r="U280" t="s">
        <v>1354</v>
      </c>
      <c r="V280" t="s">
        <v>799</v>
      </c>
      <c r="W280" t="s">
        <v>87</v>
      </c>
      <c r="X280" s="76">
        <v>3000</v>
      </c>
      <c r="Y280" t="s">
        <v>1654</v>
      </c>
      <c r="Z280" s="61"/>
      <c r="AA280" t="s">
        <v>676</v>
      </c>
      <c r="AB280" t="s">
        <v>49</v>
      </c>
      <c r="AC280" t="s">
        <v>1443</v>
      </c>
      <c r="AD280">
        <v>2024</v>
      </c>
    </row>
    <row r="281" spans="17:30">
      <c r="Q281" t="s">
        <v>25</v>
      </c>
      <c r="R281" t="s">
        <v>198</v>
      </c>
      <c r="S281" t="s">
        <v>197</v>
      </c>
      <c r="U281" t="s">
        <v>1359</v>
      </c>
      <c r="V281" t="s">
        <v>359</v>
      </c>
      <c r="W281" t="s">
        <v>1653</v>
      </c>
      <c r="X281" s="76">
        <v>141</v>
      </c>
      <c r="Y281" t="s">
        <v>1654</v>
      </c>
      <c r="Z281" s="61"/>
      <c r="AA281" t="s">
        <v>676</v>
      </c>
      <c r="AB281" t="s">
        <v>68</v>
      </c>
      <c r="AC281" t="s">
        <v>1562</v>
      </c>
      <c r="AD281">
        <v>2024</v>
      </c>
    </row>
    <row r="282" spans="17:30">
      <c r="Q282" t="s">
        <v>25</v>
      </c>
      <c r="R282" t="s">
        <v>942</v>
      </c>
      <c r="S282" t="s">
        <v>941</v>
      </c>
      <c r="U282" t="s">
        <v>1359</v>
      </c>
      <c r="V282" t="s">
        <v>359</v>
      </c>
      <c r="W282" t="s">
        <v>1655</v>
      </c>
      <c r="X282" s="76">
        <v>23</v>
      </c>
      <c r="Y282" t="s">
        <v>1654</v>
      </c>
      <c r="Z282" s="61"/>
      <c r="AA282" t="s">
        <v>676</v>
      </c>
      <c r="AB282" t="s">
        <v>88</v>
      </c>
      <c r="AC282" t="s">
        <v>361</v>
      </c>
      <c r="AD282">
        <v>2024</v>
      </c>
    </row>
    <row r="283" spans="17:30">
      <c r="Q283" t="s">
        <v>25</v>
      </c>
      <c r="R283" t="s">
        <v>158</v>
      </c>
      <c r="S283" t="s">
        <v>157</v>
      </c>
      <c r="U283" t="s">
        <v>1359</v>
      </c>
      <c r="V283" t="s">
        <v>359</v>
      </c>
      <c r="W283" t="s">
        <v>67</v>
      </c>
      <c r="X283" s="76">
        <v>150</v>
      </c>
      <c r="Y283" t="s">
        <v>1654</v>
      </c>
      <c r="Z283" s="61"/>
      <c r="AA283" t="s">
        <v>688</v>
      </c>
      <c r="AB283" t="s">
        <v>32</v>
      </c>
      <c r="AC283" t="s">
        <v>1398</v>
      </c>
      <c r="AD283">
        <v>2024</v>
      </c>
    </row>
    <row r="284" spans="17:30">
      <c r="Q284" t="s">
        <v>25</v>
      </c>
      <c r="R284" t="s">
        <v>369</v>
      </c>
      <c r="S284" t="s">
        <v>368</v>
      </c>
      <c r="U284" t="s">
        <v>1359</v>
      </c>
      <c r="V284" t="s">
        <v>359</v>
      </c>
      <c r="W284" t="s">
        <v>87</v>
      </c>
      <c r="X284" s="76">
        <v>10000</v>
      </c>
      <c r="Y284" t="s">
        <v>1654</v>
      </c>
      <c r="Z284" s="61"/>
      <c r="AA284" t="s">
        <v>688</v>
      </c>
      <c r="AB284" t="s">
        <v>49</v>
      </c>
      <c r="AC284" t="s">
        <v>1398</v>
      </c>
      <c r="AD284">
        <v>2024</v>
      </c>
    </row>
    <row r="285" spans="17:30">
      <c r="Q285" t="s">
        <v>25</v>
      </c>
      <c r="R285" t="s">
        <v>1086</v>
      </c>
      <c r="S285" t="s">
        <v>1085</v>
      </c>
      <c r="U285" t="s">
        <v>1361</v>
      </c>
      <c r="V285" t="s">
        <v>372</v>
      </c>
      <c r="W285" t="s">
        <v>1653</v>
      </c>
      <c r="X285" s="76">
        <v>2150</v>
      </c>
      <c r="Y285" t="s">
        <v>1654</v>
      </c>
      <c r="Z285" s="61"/>
      <c r="AA285" t="s">
        <v>688</v>
      </c>
      <c r="AB285" t="s">
        <v>68</v>
      </c>
      <c r="AC285" t="s">
        <v>374</v>
      </c>
      <c r="AD285">
        <v>2024</v>
      </c>
    </row>
    <row r="286" spans="17:30">
      <c r="Q286" t="s">
        <v>25</v>
      </c>
      <c r="R286" t="s">
        <v>594</v>
      </c>
      <c r="S286" t="s">
        <v>593</v>
      </c>
      <c r="U286" t="s">
        <v>1361</v>
      </c>
      <c r="V286" t="s">
        <v>372</v>
      </c>
      <c r="W286" t="s">
        <v>1655</v>
      </c>
      <c r="X286" s="76">
        <v>33</v>
      </c>
      <c r="Y286" t="s">
        <v>1654</v>
      </c>
      <c r="Z286" s="61"/>
      <c r="AA286" t="s">
        <v>688</v>
      </c>
      <c r="AB286" t="s">
        <v>88</v>
      </c>
      <c r="AC286" t="s">
        <v>1563</v>
      </c>
      <c r="AD286">
        <v>2024</v>
      </c>
    </row>
    <row r="287" spans="17:30">
      <c r="Q287" t="s">
        <v>25</v>
      </c>
      <c r="R287" t="s">
        <v>757</v>
      </c>
      <c r="S287" t="s">
        <v>756</v>
      </c>
      <c r="U287" t="s">
        <v>1361</v>
      </c>
      <c r="V287" t="s">
        <v>372</v>
      </c>
      <c r="W287" t="s">
        <v>67</v>
      </c>
      <c r="X287" s="76">
        <v>272</v>
      </c>
      <c r="Y287" t="s">
        <v>1654</v>
      </c>
      <c r="Z287" s="61"/>
      <c r="AA287" t="s">
        <v>821</v>
      </c>
      <c r="AB287" t="s">
        <v>32</v>
      </c>
      <c r="AC287" t="s">
        <v>1564</v>
      </c>
      <c r="AD287">
        <v>2024</v>
      </c>
    </row>
    <row r="288" spans="17:30">
      <c r="Q288" t="s">
        <v>25</v>
      </c>
      <c r="R288" t="s">
        <v>886</v>
      </c>
      <c r="S288" t="s">
        <v>885</v>
      </c>
      <c r="U288" t="s">
        <v>1361</v>
      </c>
      <c r="V288" t="s">
        <v>372</v>
      </c>
      <c r="W288" t="s">
        <v>87</v>
      </c>
      <c r="X288" s="76">
        <v>85600</v>
      </c>
      <c r="Y288" t="s">
        <v>1654</v>
      </c>
      <c r="Z288" s="61"/>
      <c r="AA288" t="s">
        <v>821</v>
      </c>
      <c r="AB288" t="s">
        <v>49</v>
      </c>
      <c r="AC288" t="s">
        <v>374</v>
      </c>
      <c r="AD288">
        <v>2024</v>
      </c>
    </row>
    <row r="289" spans="17:30">
      <c r="Q289" t="s">
        <v>25</v>
      </c>
      <c r="R289" t="s">
        <v>894</v>
      </c>
      <c r="S289" t="s">
        <v>893</v>
      </c>
      <c r="U289" t="s">
        <v>1363</v>
      </c>
      <c r="V289" t="s">
        <v>842</v>
      </c>
      <c r="W289" t="s">
        <v>1653</v>
      </c>
      <c r="X289" s="76">
        <v>105</v>
      </c>
      <c r="Y289" t="s">
        <v>1654</v>
      </c>
      <c r="Z289" s="61"/>
      <c r="AA289" t="s">
        <v>821</v>
      </c>
      <c r="AB289" t="s">
        <v>68</v>
      </c>
      <c r="AC289" t="s">
        <v>815</v>
      </c>
      <c r="AD289">
        <v>2024</v>
      </c>
    </row>
    <row r="290" spans="17:30">
      <c r="Q290" t="s">
        <v>25</v>
      </c>
      <c r="R290" t="s">
        <v>953</v>
      </c>
      <c r="S290" t="s">
        <v>952</v>
      </c>
      <c r="U290" t="s">
        <v>1363</v>
      </c>
      <c r="V290" t="s">
        <v>842</v>
      </c>
      <c r="W290" t="s">
        <v>1655</v>
      </c>
      <c r="X290" s="76">
        <v>88</v>
      </c>
      <c r="Y290" t="s">
        <v>1654</v>
      </c>
      <c r="Z290" s="61"/>
      <c r="AA290" t="s">
        <v>821</v>
      </c>
      <c r="AB290" t="s">
        <v>88</v>
      </c>
      <c r="AC290" t="s">
        <v>1565</v>
      </c>
      <c r="AD290">
        <v>2024</v>
      </c>
    </row>
    <row r="291" spans="17:30">
      <c r="Q291" t="s">
        <v>25</v>
      </c>
      <c r="R291" t="s">
        <v>1150</v>
      </c>
      <c r="S291" t="s">
        <v>1149</v>
      </c>
      <c r="U291" t="s">
        <v>1363</v>
      </c>
      <c r="V291" t="s">
        <v>842</v>
      </c>
      <c r="W291" t="s">
        <v>67</v>
      </c>
      <c r="X291" s="76">
        <v>98</v>
      </c>
      <c r="Y291" t="s">
        <v>1654</v>
      </c>
      <c r="Z291" s="61"/>
      <c r="AA291" t="s">
        <v>695</v>
      </c>
      <c r="AB291" t="s">
        <v>32</v>
      </c>
      <c r="AC291" t="s">
        <v>253</v>
      </c>
      <c r="AD291">
        <v>2024</v>
      </c>
    </row>
    <row r="292" spans="17:30">
      <c r="Q292" t="s">
        <v>25</v>
      </c>
      <c r="R292" t="s">
        <v>1204</v>
      </c>
      <c r="S292" t="s">
        <v>1203</v>
      </c>
      <c r="U292" t="s">
        <v>1363</v>
      </c>
      <c r="V292" t="s">
        <v>842</v>
      </c>
      <c r="W292" t="s">
        <v>87</v>
      </c>
      <c r="X292" s="76">
        <v>86956</v>
      </c>
      <c r="Y292" t="s">
        <v>1654</v>
      </c>
      <c r="Z292" s="61"/>
      <c r="AA292" t="s">
        <v>695</v>
      </c>
      <c r="AB292" t="s">
        <v>49</v>
      </c>
      <c r="AC292" t="s">
        <v>1195</v>
      </c>
      <c r="AD292">
        <v>2024</v>
      </c>
    </row>
    <row r="293" spans="17:30">
      <c r="Q293" t="s">
        <v>25</v>
      </c>
      <c r="R293" t="s">
        <v>1328</v>
      </c>
      <c r="S293" t="s">
        <v>1327</v>
      </c>
      <c r="U293" t="s">
        <v>1365</v>
      </c>
      <c r="V293" t="s">
        <v>383</v>
      </c>
      <c r="W293" t="s">
        <v>1653</v>
      </c>
      <c r="X293" s="76">
        <v>612</v>
      </c>
      <c r="Y293" t="s">
        <v>1654</v>
      </c>
      <c r="Z293" s="61"/>
      <c r="AA293" t="s">
        <v>695</v>
      </c>
      <c r="AB293" t="s">
        <v>68</v>
      </c>
      <c r="AC293" t="s">
        <v>361</v>
      </c>
      <c r="AD293">
        <v>2024</v>
      </c>
    </row>
    <row r="294" spans="17:30">
      <c r="Q294" t="s">
        <v>25</v>
      </c>
      <c r="R294" t="s">
        <v>683</v>
      </c>
      <c r="S294" t="s">
        <v>682</v>
      </c>
      <c r="U294" t="s">
        <v>1365</v>
      </c>
      <c r="V294" t="s">
        <v>383</v>
      </c>
      <c r="W294" t="s">
        <v>1655</v>
      </c>
      <c r="X294" s="76">
        <v>11</v>
      </c>
      <c r="Y294" t="s">
        <v>1654</v>
      </c>
      <c r="Z294" s="61"/>
      <c r="AA294" t="s">
        <v>695</v>
      </c>
      <c r="AB294" t="s">
        <v>88</v>
      </c>
      <c r="AC294" t="s">
        <v>1294</v>
      </c>
      <c r="AD294">
        <v>2024</v>
      </c>
    </row>
    <row r="295" spans="17:30">
      <c r="Q295" t="s">
        <v>25</v>
      </c>
      <c r="R295" t="s">
        <v>1265</v>
      </c>
      <c r="S295" t="s">
        <v>1264</v>
      </c>
      <c r="U295" t="s">
        <v>1365</v>
      </c>
      <c r="V295" t="s">
        <v>383</v>
      </c>
      <c r="W295" t="s">
        <v>67</v>
      </c>
      <c r="X295" s="76">
        <v>272</v>
      </c>
      <c r="Y295" t="s">
        <v>1654</v>
      </c>
      <c r="Z295" s="61"/>
      <c r="AA295" t="s">
        <v>710</v>
      </c>
      <c r="AB295" t="s">
        <v>32</v>
      </c>
      <c r="AC295" t="s">
        <v>807</v>
      </c>
      <c r="AD295">
        <v>2024</v>
      </c>
    </row>
    <row r="296" spans="17:30">
      <c r="Q296" t="s">
        <v>25</v>
      </c>
      <c r="R296" t="s">
        <v>1277</v>
      </c>
      <c r="S296" t="s">
        <v>1276</v>
      </c>
      <c r="U296" t="s">
        <v>1365</v>
      </c>
      <c r="V296" t="s">
        <v>383</v>
      </c>
      <c r="W296" t="s">
        <v>87</v>
      </c>
      <c r="X296" s="76">
        <v>9276</v>
      </c>
      <c r="Y296" t="s">
        <v>1654</v>
      </c>
      <c r="Z296" s="61"/>
      <c r="AA296" t="s">
        <v>710</v>
      </c>
      <c r="AB296" t="s">
        <v>49</v>
      </c>
      <c r="AC296" t="s">
        <v>1566</v>
      </c>
      <c r="AD296">
        <v>2024</v>
      </c>
    </row>
    <row r="297" spans="17:30">
      <c r="Q297" t="s">
        <v>25</v>
      </c>
      <c r="R297" t="s">
        <v>947</v>
      </c>
      <c r="S297" t="s">
        <v>946</v>
      </c>
      <c r="U297" t="s">
        <v>1673</v>
      </c>
      <c r="V297" t="s">
        <v>863</v>
      </c>
      <c r="W297" t="s">
        <v>1653</v>
      </c>
      <c r="X297" s="76">
        <v>4</v>
      </c>
      <c r="Y297" t="s">
        <v>1654</v>
      </c>
      <c r="Z297" s="61"/>
      <c r="AA297" t="s">
        <v>710</v>
      </c>
      <c r="AB297" t="s">
        <v>68</v>
      </c>
      <c r="AC297" t="s">
        <v>139</v>
      </c>
      <c r="AD297">
        <v>2024</v>
      </c>
    </row>
    <row r="298" spans="17:30">
      <c r="Q298" t="s">
        <v>25</v>
      </c>
      <c r="R298" t="s">
        <v>1304</v>
      </c>
      <c r="S298" t="s">
        <v>1303</v>
      </c>
      <c r="U298" t="s">
        <v>1673</v>
      </c>
      <c r="V298" t="s">
        <v>863</v>
      </c>
      <c r="W298" t="s">
        <v>1655</v>
      </c>
      <c r="X298" s="76">
        <v>4</v>
      </c>
      <c r="Y298" t="s">
        <v>1654</v>
      </c>
      <c r="Z298" s="61"/>
      <c r="AA298" t="s">
        <v>710</v>
      </c>
      <c r="AB298" t="s">
        <v>88</v>
      </c>
      <c r="AC298" t="s">
        <v>1524</v>
      </c>
      <c r="AD298">
        <v>2024</v>
      </c>
    </row>
    <row r="299" spans="17:30">
      <c r="Q299" t="s">
        <v>25</v>
      </c>
      <c r="R299" t="s">
        <v>261</v>
      </c>
      <c r="S299" t="s">
        <v>260</v>
      </c>
      <c r="U299" t="s">
        <v>1673</v>
      </c>
      <c r="V299" t="s">
        <v>863</v>
      </c>
      <c r="W299" t="s">
        <v>67</v>
      </c>
      <c r="X299" s="76">
        <v>8</v>
      </c>
      <c r="Y299" t="s">
        <v>1654</v>
      </c>
      <c r="Z299" s="61"/>
      <c r="AA299" t="s">
        <v>716</v>
      </c>
      <c r="AB299" t="s">
        <v>32</v>
      </c>
      <c r="AC299" t="s">
        <v>1406</v>
      </c>
      <c r="AD299">
        <v>2024</v>
      </c>
    </row>
    <row r="300" spans="17:30">
      <c r="Q300" t="s">
        <v>25</v>
      </c>
      <c r="R300" t="s">
        <v>910</v>
      </c>
      <c r="S300" t="s">
        <v>909</v>
      </c>
      <c r="U300" t="s">
        <v>1673</v>
      </c>
      <c r="V300" t="s">
        <v>863</v>
      </c>
      <c r="W300" t="s">
        <v>87</v>
      </c>
      <c r="X300" s="76">
        <v>400</v>
      </c>
      <c r="Y300" t="s">
        <v>1654</v>
      </c>
      <c r="Z300" s="61"/>
      <c r="AA300" t="s">
        <v>716</v>
      </c>
      <c r="AB300" t="s">
        <v>49</v>
      </c>
      <c r="AC300" t="s">
        <v>1567</v>
      </c>
      <c r="AD300">
        <v>2024</v>
      </c>
    </row>
    <row r="301" spans="17:30">
      <c r="Q301" t="s">
        <v>25</v>
      </c>
      <c r="R301" t="s">
        <v>920</v>
      </c>
      <c r="S301" t="s">
        <v>919</v>
      </c>
      <c r="U301" t="s">
        <v>1674</v>
      </c>
      <c r="V301" t="s">
        <v>403</v>
      </c>
      <c r="W301" t="s">
        <v>1653</v>
      </c>
      <c r="X301" s="76"/>
      <c r="Y301" t="s">
        <v>1654</v>
      </c>
      <c r="Z301" s="61"/>
      <c r="AA301" t="s">
        <v>716</v>
      </c>
      <c r="AB301" t="s">
        <v>68</v>
      </c>
      <c r="AC301" t="s">
        <v>1568</v>
      </c>
      <c r="AD301">
        <v>2024</v>
      </c>
    </row>
    <row r="302" spans="17:30">
      <c r="Q302" t="s">
        <v>25</v>
      </c>
      <c r="R302" t="s">
        <v>1296</v>
      </c>
      <c r="S302" t="s">
        <v>1295</v>
      </c>
      <c r="U302" t="s">
        <v>1674</v>
      </c>
      <c r="V302" t="s">
        <v>403</v>
      </c>
      <c r="W302" t="s">
        <v>1655</v>
      </c>
      <c r="X302" s="76"/>
      <c r="Y302" t="s">
        <v>1654</v>
      </c>
      <c r="Z302" s="61"/>
      <c r="AA302" t="s">
        <v>716</v>
      </c>
      <c r="AB302" t="s">
        <v>88</v>
      </c>
      <c r="AC302" t="s">
        <v>1408</v>
      </c>
      <c r="AD302">
        <v>2024</v>
      </c>
    </row>
    <row r="303" spans="17:30">
      <c r="Q303" t="s">
        <v>25</v>
      </c>
      <c r="R303" t="s">
        <v>1336</v>
      </c>
      <c r="S303" t="s">
        <v>1335</v>
      </c>
      <c r="U303" t="s">
        <v>1674</v>
      </c>
      <c r="V303" t="s">
        <v>403</v>
      </c>
      <c r="W303" t="s">
        <v>67</v>
      </c>
      <c r="X303" s="76"/>
      <c r="Y303" t="s">
        <v>1654</v>
      </c>
      <c r="Z303" s="61"/>
      <c r="AA303" t="s">
        <v>723</v>
      </c>
      <c r="AB303" t="s">
        <v>32</v>
      </c>
      <c r="AC303" t="s">
        <v>1409</v>
      </c>
      <c r="AD303">
        <v>2024</v>
      </c>
    </row>
    <row r="304" spans="17:30">
      <c r="Q304" t="s">
        <v>25</v>
      </c>
      <c r="R304" t="s">
        <v>690</v>
      </c>
      <c r="S304" t="s">
        <v>689</v>
      </c>
      <c r="U304" t="s">
        <v>1674</v>
      </c>
      <c r="V304" t="s">
        <v>403</v>
      </c>
      <c r="W304" t="s">
        <v>87</v>
      </c>
      <c r="X304" s="76"/>
      <c r="Y304" t="s">
        <v>1654</v>
      </c>
      <c r="Z304" s="61"/>
      <c r="AA304" t="s">
        <v>723</v>
      </c>
      <c r="AB304" t="s">
        <v>49</v>
      </c>
      <c r="AC304" t="s">
        <v>1409</v>
      </c>
      <c r="AD304">
        <v>2024</v>
      </c>
    </row>
    <row r="305" spans="17:30">
      <c r="Q305" t="s">
        <v>25</v>
      </c>
      <c r="R305" t="s">
        <v>771</v>
      </c>
      <c r="S305" t="s">
        <v>770</v>
      </c>
      <c r="U305" t="s">
        <v>1675</v>
      </c>
      <c r="V305" t="s">
        <v>884</v>
      </c>
      <c r="W305" t="s">
        <v>1653</v>
      </c>
      <c r="X305" s="76">
        <v>3</v>
      </c>
      <c r="Y305" t="s">
        <v>1654</v>
      </c>
      <c r="Z305" s="61"/>
      <c r="AA305" t="s">
        <v>723</v>
      </c>
      <c r="AB305" t="s">
        <v>68</v>
      </c>
      <c r="AC305" t="s">
        <v>996</v>
      </c>
      <c r="AD305">
        <v>2024</v>
      </c>
    </row>
    <row r="306" spans="17:30">
      <c r="Q306" t="s">
        <v>25</v>
      </c>
      <c r="R306" t="s">
        <v>927</v>
      </c>
      <c r="S306" t="s">
        <v>926</v>
      </c>
      <c r="U306" t="s">
        <v>1675</v>
      </c>
      <c r="V306" t="s">
        <v>884</v>
      </c>
      <c r="W306" t="s">
        <v>1655</v>
      </c>
      <c r="X306" s="76">
        <v>3</v>
      </c>
      <c r="Y306" t="s">
        <v>1654</v>
      </c>
      <c r="Z306" s="61"/>
      <c r="AA306" t="s">
        <v>723</v>
      </c>
      <c r="AB306" t="s">
        <v>88</v>
      </c>
      <c r="AC306" t="s">
        <v>290</v>
      </c>
      <c r="AD306">
        <v>2024</v>
      </c>
    </row>
    <row r="307" spans="17:30">
      <c r="Q307" t="s">
        <v>25</v>
      </c>
      <c r="R307" t="s">
        <v>968</v>
      </c>
      <c r="S307" t="s">
        <v>967</v>
      </c>
      <c r="U307" t="s">
        <v>1675</v>
      </c>
      <c r="V307" t="s">
        <v>884</v>
      </c>
      <c r="W307" t="s">
        <v>67</v>
      </c>
      <c r="X307" s="76">
        <v>8</v>
      </c>
      <c r="Y307" t="s">
        <v>1654</v>
      </c>
      <c r="Z307" s="61"/>
      <c r="AA307" t="s">
        <v>730</v>
      </c>
      <c r="AB307" t="s">
        <v>32</v>
      </c>
      <c r="AC307" t="s">
        <v>1411</v>
      </c>
      <c r="AD307">
        <v>2024</v>
      </c>
    </row>
    <row r="308" spans="17:30">
      <c r="Q308" t="s">
        <v>25</v>
      </c>
      <c r="R308" t="s">
        <v>1286</v>
      </c>
      <c r="S308" t="s">
        <v>1285</v>
      </c>
      <c r="U308" t="s">
        <v>1675</v>
      </c>
      <c r="V308" t="s">
        <v>884</v>
      </c>
      <c r="W308" t="s">
        <v>87</v>
      </c>
      <c r="X308" s="76">
        <v>425</v>
      </c>
      <c r="Y308" t="s">
        <v>1654</v>
      </c>
      <c r="Z308" s="61"/>
      <c r="AA308" t="s">
        <v>730</v>
      </c>
      <c r="AB308" t="s">
        <v>49</v>
      </c>
      <c r="AC308" t="s">
        <v>1569</v>
      </c>
      <c r="AD308">
        <v>2024</v>
      </c>
    </row>
    <row r="309" spans="17:30">
      <c r="Q309" t="s">
        <v>25</v>
      </c>
      <c r="R309" t="s">
        <v>1169</v>
      </c>
      <c r="S309" t="s">
        <v>1168</v>
      </c>
      <c r="U309" t="s">
        <v>1366</v>
      </c>
      <c r="V309" t="s">
        <v>1013</v>
      </c>
      <c r="W309" t="s">
        <v>1653</v>
      </c>
      <c r="X309" s="76"/>
      <c r="Y309" t="s">
        <v>1654</v>
      </c>
      <c r="Z309" s="61"/>
      <c r="AA309" t="s">
        <v>730</v>
      </c>
      <c r="AB309" t="s">
        <v>68</v>
      </c>
      <c r="AC309" t="s">
        <v>1413</v>
      </c>
      <c r="AD309">
        <v>2024</v>
      </c>
    </row>
    <row r="310" spans="17:30">
      <c r="Q310" t="s">
        <v>25</v>
      </c>
      <c r="R310" t="s">
        <v>1117</v>
      </c>
      <c r="S310" t="s">
        <v>1116</v>
      </c>
      <c r="U310" t="s">
        <v>1366</v>
      </c>
      <c r="V310" t="s">
        <v>1013</v>
      </c>
      <c r="W310" t="s">
        <v>1655</v>
      </c>
      <c r="X310" s="76">
        <v>21</v>
      </c>
      <c r="Y310" t="s">
        <v>1654</v>
      </c>
      <c r="Z310" s="61"/>
      <c r="AA310" t="s">
        <v>730</v>
      </c>
      <c r="AB310" t="s">
        <v>88</v>
      </c>
      <c r="AC310" t="s">
        <v>1570</v>
      </c>
      <c r="AD310">
        <v>2024</v>
      </c>
    </row>
    <row r="311" spans="17:30">
      <c r="Q311" t="s">
        <v>25</v>
      </c>
      <c r="R311" t="s">
        <v>437</v>
      </c>
      <c r="S311" t="s">
        <v>436</v>
      </c>
      <c r="U311" t="s">
        <v>1366</v>
      </c>
      <c r="V311" t="s">
        <v>1013</v>
      </c>
      <c r="W311" t="s">
        <v>67</v>
      </c>
      <c r="X311" s="76">
        <v>55</v>
      </c>
      <c r="Y311" t="s">
        <v>1654</v>
      </c>
      <c r="Z311" s="61"/>
      <c r="AA311" t="s">
        <v>736</v>
      </c>
      <c r="AB311" t="s">
        <v>32</v>
      </c>
      <c r="AC311" t="s">
        <v>1275</v>
      </c>
      <c r="AD311">
        <v>2024</v>
      </c>
    </row>
    <row r="312" spans="17:30">
      <c r="Q312" t="s">
        <v>25</v>
      </c>
      <c r="R312" t="s">
        <v>865</v>
      </c>
      <c r="S312" t="s">
        <v>864</v>
      </c>
      <c r="U312" t="s">
        <v>1366</v>
      </c>
      <c r="V312" t="s">
        <v>1013</v>
      </c>
      <c r="W312" t="s">
        <v>87</v>
      </c>
      <c r="X312" s="76">
        <v>1550</v>
      </c>
      <c r="Y312" t="s">
        <v>1654</v>
      </c>
      <c r="Z312" s="61"/>
      <c r="AA312" t="s">
        <v>736</v>
      </c>
      <c r="AB312" t="s">
        <v>49</v>
      </c>
      <c r="AC312" t="s">
        <v>807</v>
      </c>
      <c r="AD312">
        <v>2024</v>
      </c>
    </row>
    <row r="313" spans="17:30">
      <c r="Q313" t="s">
        <v>25</v>
      </c>
      <c r="R313" t="s">
        <v>732</v>
      </c>
      <c r="S313" t="s">
        <v>731</v>
      </c>
      <c r="U313" t="s">
        <v>1367</v>
      </c>
      <c r="V313" t="s">
        <v>892</v>
      </c>
      <c r="W313" t="s">
        <v>1653</v>
      </c>
      <c r="X313" s="76">
        <v>703</v>
      </c>
      <c r="Y313" t="s">
        <v>1654</v>
      </c>
      <c r="Z313" s="61"/>
      <c r="AA313" t="s">
        <v>736</v>
      </c>
      <c r="AB313" t="s">
        <v>68</v>
      </c>
      <c r="AC313" t="s">
        <v>1374</v>
      </c>
      <c r="AD313">
        <v>2024</v>
      </c>
    </row>
    <row r="314" spans="17:30">
      <c r="Q314" t="s">
        <v>25</v>
      </c>
      <c r="R314" t="s">
        <v>1317</v>
      </c>
      <c r="S314" t="s">
        <v>1316</v>
      </c>
      <c r="U314" t="s">
        <v>1367</v>
      </c>
      <c r="V314" t="s">
        <v>892</v>
      </c>
      <c r="W314" t="s">
        <v>1655</v>
      </c>
      <c r="X314" s="76">
        <v>31</v>
      </c>
      <c r="Y314" t="s">
        <v>1654</v>
      </c>
      <c r="Z314" s="61"/>
      <c r="AA314" t="s">
        <v>736</v>
      </c>
      <c r="AB314" t="s">
        <v>88</v>
      </c>
      <c r="AC314" t="s">
        <v>1415</v>
      </c>
      <c r="AD314">
        <v>2024</v>
      </c>
    </row>
    <row r="315" spans="17:30">
      <c r="Q315" t="s">
        <v>83</v>
      </c>
      <c r="R315" t="s">
        <v>632</v>
      </c>
      <c r="S315" t="s">
        <v>630</v>
      </c>
      <c r="U315" t="s">
        <v>1367</v>
      </c>
      <c r="V315" t="s">
        <v>892</v>
      </c>
      <c r="W315" t="s">
        <v>67</v>
      </c>
      <c r="X315" s="76">
        <v>190</v>
      </c>
      <c r="Y315" t="s">
        <v>1654</v>
      </c>
      <c r="AA315" t="s">
        <v>743</v>
      </c>
      <c r="AB315" t="s">
        <v>32</v>
      </c>
      <c r="AC315" t="s">
        <v>590</v>
      </c>
      <c r="AD315">
        <v>2024</v>
      </c>
    </row>
    <row r="316" spans="17:30">
      <c r="Q316" t="s">
        <v>83</v>
      </c>
      <c r="R316" t="s">
        <v>96</v>
      </c>
      <c r="S316" t="s">
        <v>94</v>
      </c>
      <c r="U316" t="s">
        <v>1367</v>
      </c>
      <c r="V316" t="s">
        <v>892</v>
      </c>
      <c r="W316" t="s">
        <v>87</v>
      </c>
      <c r="X316" s="76">
        <v>17800</v>
      </c>
      <c r="Y316" t="s">
        <v>1654</v>
      </c>
      <c r="AA316" t="s">
        <v>743</v>
      </c>
      <c r="AB316" t="s">
        <v>49</v>
      </c>
      <c r="AC316" t="s">
        <v>1439</v>
      </c>
      <c r="AD316">
        <v>2024</v>
      </c>
    </row>
    <row r="317" spans="17:30">
      <c r="Q317" t="s">
        <v>83</v>
      </c>
      <c r="R317" t="s">
        <v>172</v>
      </c>
      <c r="S317" t="s">
        <v>170</v>
      </c>
      <c r="U317" t="s">
        <v>1368</v>
      </c>
      <c r="V317" t="s">
        <v>1035</v>
      </c>
      <c r="W317" t="s">
        <v>1653</v>
      </c>
      <c r="X317" s="76">
        <v>23</v>
      </c>
      <c r="Y317" t="s">
        <v>1654</v>
      </c>
      <c r="AA317" t="s">
        <v>743</v>
      </c>
      <c r="AB317" t="s">
        <v>68</v>
      </c>
      <c r="AC317" t="s">
        <v>1392</v>
      </c>
      <c r="AD317">
        <v>2024</v>
      </c>
    </row>
    <row r="318" spans="17:30">
      <c r="Q318" t="s">
        <v>83</v>
      </c>
      <c r="R318" t="s">
        <v>312</v>
      </c>
      <c r="S318" t="s">
        <v>310</v>
      </c>
      <c r="U318" t="s">
        <v>1368</v>
      </c>
      <c r="V318" t="s">
        <v>1035</v>
      </c>
      <c r="W318" t="s">
        <v>1655</v>
      </c>
      <c r="X318" s="76">
        <v>23</v>
      </c>
      <c r="Y318" t="s">
        <v>1654</v>
      </c>
      <c r="AA318" t="s">
        <v>743</v>
      </c>
      <c r="AB318" t="s">
        <v>88</v>
      </c>
      <c r="AC318" t="s">
        <v>815</v>
      </c>
      <c r="AD318">
        <v>2024</v>
      </c>
    </row>
    <row r="319" spans="17:30">
      <c r="Q319" t="s">
        <v>83</v>
      </c>
      <c r="R319" t="s">
        <v>337</v>
      </c>
      <c r="S319" t="s">
        <v>335</v>
      </c>
      <c r="U319" t="s">
        <v>1368</v>
      </c>
      <c r="V319" t="s">
        <v>1035</v>
      </c>
      <c r="W319" t="s">
        <v>67</v>
      </c>
      <c r="X319" s="76">
        <v>156</v>
      </c>
      <c r="Y319" t="s">
        <v>1654</v>
      </c>
      <c r="AA319" t="s">
        <v>327</v>
      </c>
      <c r="AB319" t="s">
        <v>32</v>
      </c>
      <c r="AC319" t="s">
        <v>1411</v>
      </c>
      <c r="AD319">
        <v>2024</v>
      </c>
    </row>
    <row r="320" spans="17:30">
      <c r="Q320" t="s">
        <v>83</v>
      </c>
      <c r="R320" t="s">
        <v>502</v>
      </c>
      <c r="S320" t="s">
        <v>500</v>
      </c>
      <c r="U320" t="s">
        <v>1368</v>
      </c>
      <c r="V320" t="s">
        <v>1035</v>
      </c>
      <c r="W320" t="s">
        <v>87</v>
      </c>
      <c r="X320" s="76">
        <v>1578</v>
      </c>
      <c r="Y320" t="s">
        <v>1654</v>
      </c>
      <c r="AA320" t="s">
        <v>327</v>
      </c>
      <c r="AB320" t="s">
        <v>49</v>
      </c>
      <c r="AC320" t="s">
        <v>1419</v>
      </c>
      <c r="AD320">
        <v>2024</v>
      </c>
    </row>
    <row r="321" spans="17:30">
      <c r="Q321" t="s">
        <v>83</v>
      </c>
      <c r="R321" t="s">
        <v>515</v>
      </c>
      <c r="S321" t="s">
        <v>513</v>
      </c>
      <c r="U321" t="s">
        <v>1676</v>
      </c>
      <c r="V321" t="s">
        <v>899</v>
      </c>
      <c r="W321" t="s">
        <v>1653</v>
      </c>
      <c r="X321" s="76">
        <v>77</v>
      </c>
      <c r="Y321" t="s">
        <v>1654</v>
      </c>
      <c r="AA321" t="s">
        <v>327</v>
      </c>
      <c r="AB321" t="s">
        <v>68</v>
      </c>
      <c r="AC321" t="s">
        <v>1571</v>
      </c>
      <c r="AD321">
        <v>2024</v>
      </c>
    </row>
    <row r="322" spans="17:30">
      <c r="Q322" t="s">
        <v>83</v>
      </c>
      <c r="R322" t="s">
        <v>1177</v>
      </c>
      <c r="S322" t="s">
        <v>1175</v>
      </c>
      <c r="U322" t="s">
        <v>1676</v>
      </c>
      <c r="V322" t="s">
        <v>899</v>
      </c>
      <c r="W322" t="s">
        <v>1655</v>
      </c>
      <c r="X322" s="76">
        <v>28</v>
      </c>
      <c r="Y322" t="s">
        <v>1654</v>
      </c>
      <c r="AA322" t="s">
        <v>327</v>
      </c>
      <c r="AB322" t="s">
        <v>88</v>
      </c>
      <c r="AC322" t="s">
        <v>1572</v>
      </c>
      <c r="AD322">
        <v>2024</v>
      </c>
    </row>
    <row r="323" spans="17:30">
      <c r="Q323" t="s">
        <v>83</v>
      </c>
      <c r="R323" t="s">
        <v>1199</v>
      </c>
      <c r="S323" t="s">
        <v>1197</v>
      </c>
      <c r="U323" t="s">
        <v>1676</v>
      </c>
      <c r="V323" t="s">
        <v>899</v>
      </c>
      <c r="W323" t="s">
        <v>67</v>
      </c>
      <c r="X323" s="76">
        <v>900</v>
      </c>
      <c r="Y323" t="s">
        <v>1654</v>
      </c>
      <c r="AA323" t="s">
        <v>755</v>
      </c>
      <c r="AB323" t="s">
        <v>32</v>
      </c>
      <c r="AC323" t="s">
        <v>915</v>
      </c>
      <c r="AD323">
        <v>2024</v>
      </c>
    </row>
    <row r="324" spans="17:30">
      <c r="Q324" t="s">
        <v>83</v>
      </c>
      <c r="R324" t="s">
        <v>608</v>
      </c>
      <c r="S324" t="s">
        <v>606</v>
      </c>
      <c r="U324" t="s">
        <v>1676</v>
      </c>
      <c r="V324" t="s">
        <v>899</v>
      </c>
      <c r="W324" t="s">
        <v>87</v>
      </c>
      <c r="X324" s="76">
        <v>15000</v>
      </c>
      <c r="Y324" t="s">
        <v>1654</v>
      </c>
      <c r="AA324" t="s">
        <v>755</v>
      </c>
      <c r="AB324" t="s">
        <v>49</v>
      </c>
      <c r="AC324" t="s">
        <v>1332</v>
      </c>
      <c r="AD324">
        <v>2024</v>
      </c>
    </row>
    <row r="325" spans="17:30">
      <c r="Q325" t="s">
        <v>83</v>
      </c>
      <c r="R325" t="s">
        <v>620</v>
      </c>
      <c r="S325" t="s">
        <v>618</v>
      </c>
      <c r="U325" t="s">
        <v>1370</v>
      </c>
      <c r="V325" t="s">
        <v>416</v>
      </c>
      <c r="W325" t="s">
        <v>1653</v>
      </c>
      <c r="X325" s="76"/>
      <c r="Y325" t="s">
        <v>1654</v>
      </c>
      <c r="AA325" t="s">
        <v>755</v>
      </c>
      <c r="AB325" t="s">
        <v>68</v>
      </c>
      <c r="AC325" t="s">
        <v>1424</v>
      </c>
      <c r="AD325">
        <v>2024</v>
      </c>
    </row>
    <row r="326" spans="17:30">
      <c r="Q326" t="s">
        <v>83</v>
      </c>
      <c r="R326" t="s">
        <v>662</v>
      </c>
      <c r="S326" t="s">
        <v>660</v>
      </c>
      <c r="U326" t="s">
        <v>1370</v>
      </c>
      <c r="V326" t="s">
        <v>416</v>
      </c>
      <c r="W326" t="s">
        <v>1655</v>
      </c>
      <c r="X326" s="76"/>
      <c r="Y326" t="s">
        <v>1654</v>
      </c>
      <c r="AA326" t="s">
        <v>755</v>
      </c>
      <c r="AB326" t="s">
        <v>88</v>
      </c>
      <c r="AC326" t="s">
        <v>279</v>
      </c>
      <c r="AD326">
        <v>2024</v>
      </c>
    </row>
    <row r="327" spans="17:30">
      <c r="Q327" t="s">
        <v>83</v>
      </c>
      <c r="R327" t="s">
        <v>673</v>
      </c>
      <c r="S327" t="s">
        <v>671</v>
      </c>
      <c r="U327" t="s">
        <v>1370</v>
      </c>
      <c r="V327" t="s">
        <v>416</v>
      </c>
      <c r="W327" t="s">
        <v>67</v>
      </c>
      <c r="X327" s="76"/>
      <c r="Y327" t="s">
        <v>1654</v>
      </c>
      <c r="AA327" t="s">
        <v>882</v>
      </c>
      <c r="AB327" t="s">
        <v>32</v>
      </c>
      <c r="AC327" t="s">
        <v>1140</v>
      </c>
      <c r="AD327">
        <v>2024</v>
      </c>
    </row>
    <row r="328" spans="17:30">
      <c r="Q328" t="s">
        <v>83</v>
      </c>
      <c r="R328" t="s">
        <v>706</v>
      </c>
      <c r="S328" t="s">
        <v>704</v>
      </c>
      <c r="U328" t="s">
        <v>1370</v>
      </c>
      <c r="V328" t="s">
        <v>416</v>
      </c>
      <c r="W328" t="s">
        <v>87</v>
      </c>
      <c r="X328" s="76"/>
      <c r="Y328" t="s">
        <v>1654</v>
      </c>
      <c r="AA328" t="s">
        <v>882</v>
      </c>
      <c r="AB328" t="s">
        <v>49</v>
      </c>
      <c r="AC328" t="s">
        <v>1140</v>
      </c>
      <c r="AD328">
        <v>2024</v>
      </c>
    </row>
    <row r="329" spans="17:30">
      <c r="Q329" t="s">
        <v>83</v>
      </c>
      <c r="R329" t="s">
        <v>679</v>
      </c>
      <c r="S329" t="s">
        <v>677</v>
      </c>
      <c r="U329" t="s">
        <v>1372</v>
      </c>
      <c r="V329" t="s">
        <v>908</v>
      </c>
      <c r="W329" t="s">
        <v>1653</v>
      </c>
      <c r="X329" s="76">
        <v>2518</v>
      </c>
      <c r="Y329" t="s">
        <v>1654</v>
      </c>
      <c r="AA329" t="s">
        <v>882</v>
      </c>
      <c r="AB329" t="s">
        <v>68</v>
      </c>
      <c r="AC329" t="s">
        <v>1455</v>
      </c>
      <c r="AD329">
        <v>2024</v>
      </c>
    </row>
    <row r="330" spans="17:30">
      <c r="Q330" t="s">
        <v>83</v>
      </c>
      <c r="R330" t="s">
        <v>719</v>
      </c>
      <c r="S330" t="s">
        <v>717</v>
      </c>
      <c r="U330" t="s">
        <v>1372</v>
      </c>
      <c r="V330" t="s">
        <v>908</v>
      </c>
      <c r="W330" t="s">
        <v>1655</v>
      </c>
      <c r="X330" s="76">
        <v>274</v>
      </c>
      <c r="Y330" t="s">
        <v>1654</v>
      </c>
      <c r="AA330" t="s">
        <v>882</v>
      </c>
      <c r="AB330" t="s">
        <v>88</v>
      </c>
      <c r="AC330" t="s">
        <v>1573</v>
      </c>
      <c r="AD330">
        <v>2024</v>
      </c>
    </row>
    <row r="331" spans="17:30">
      <c r="Q331" t="s">
        <v>83</v>
      </c>
      <c r="R331" t="s">
        <v>780</v>
      </c>
      <c r="S331" t="s">
        <v>778</v>
      </c>
      <c r="U331" t="s">
        <v>1372</v>
      </c>
      <c r="V331" t="s">
        <v>908</v>
      </c>
      <c r="W331" t="s">
        <v>67</v>
      </c>
      <c r="X331" s="76">
        <v>505</v>
      </c>
      <c r="Y331" t="s">
        <v>1654</v>
      </c>
      <c r="AA331" t="s">
        <v>889</v>
      </c>
      <c r="AB331" t="s">
        <v>32</v>
      </c>
      <c r="AC331" t="s">
        <v>1424</v>
      </c>
      <c r="AD331">
        <v>2024</v>
      </c>
    </row>
    <row r="332" spans="17:30">
      <c r="Q332" t="s">
        <v>83</v>
      </c>
      <c r="R332" t="s">
        <v>819</v>
      </c>
      <c r="S332" t="s">
        <v>817</v>
      </c>
      <c r="U332" t="s">
        <v>1372</v>
      </c>
      <c r="V332" t="s">
        <v>908</v>
      </c>
      <c r="W332" t="s">
        <v>87</v>
      </c>
      <c r="X332" s="76">
        <v>7615</v>
      </c>
      <c r="Y332" t="s">
        <v>1654</v>
      </c>
      <c r="AA332" t="s">
        <v>889</v>
      </c>
      <c r="AB332" t="s">
        <v>49</v>
      </c>
      <c r="AC332" t="s">
        <v>1562</v>
      </c>
      <c r="AD332">
        <v>2024</v>
      </c>
    </row>
    <row r="333" spans="17:30">
      <c r="Q333" t="s">
        <v>83</v>
      </c>
      <c r="R333" t="s">
        <v>1058</v>
      </c>
      <c r="S333" t="s">
        <v>1056</v>
      </c>
      <c r="U333" t="s">
        <v>1375</v>
      </c>
      <c r="V333" t="s">
        <v>918</v>
      </c>
      <c r="W333" t="s">
        <v>1653</v>
      </c>
      <c r="X333" s="76">
        <v>8319</v>
      </c>
      <c r="Y333" t="s">
        <v>1654</v>
      </c>
      <c r="AA333" t="s">
        <v>889</v>
      </c>
      <c r="AB333" t="s">
        <v>68</v>
      </c>
      <c r="AC333" t="s">
        <v>290</v>
      </c>
      <c r="AD333">
        <v>2024</v>
      </c>
    </row>
    <row r="334" spans="17:30">
      <c r="Q334" t="s">
        <v>83</v>
      </c>
      <c r="R334" t="s">
        <v>1247</v>
      </c>
      <c r="S334" t="s">
        <v>1245</v>
      </c>
      <c r="U334" t="s">
        <v>1375</v>
      </c>
      <c r="V334" t="s">
        <v>918</v>
      </c>
      <c r="W334" t="s">
        <v>1655</v>
      </c>
      <c r="X334" s="76">
        <v>77</v>
      </c>
      <c r="Y334" t="s">
        <v>1654</v>
      </c>
      <c r="AA334" t="s">
        <v>889</v>
      </c>
      <c r="AB334" t="s">
        <v>88</v>
      </c>
      <c r="AC334" t="s">
        <v>1574</v>
      </c>
      <c r="AD334">
        <v>2024</v>
      </c>
    </row>
    <row r="335" spans="17:30">
      <c r="Q335" t="s">
        <v>83</v>
      </c>
      <c r="R335" t="s">
        <v>936</v>
      </c>
      <c r="S335" t="s">
        <v>934</v>
      </c>
      <c r="U335" t="s">
        <v>1375</v>
      </c>
      <c r="V335" t="s">
        <v>918</v>
      </c>
      <c r="W335" t="s">
        <v>67</v>
      </c>
      <c r="X335" s="76">
        <v>343</v>
      </c>
      <c r="Y335" t="s">
        <v>1654</v>
      </c>
      <c r="AA335" t="s">
        <v>904</v>
      </c>
      <c r="AB335" t="s">
        <v>32</v>
      </c>
      <c r="AC335" t="s">
        <v>1268</v>
      </c>
      <c r="AD335">
        <v>2024</v>
      </c>
    </row>
    <row r="336" spans="17:30">
      <c r="Q336" t="s">
        <v>83</v>
      </c>
      <c r="R336" t="s">
        <v>975</v>
      </c>
      <c r="S336" t="s">
        <v>973</v>
      </c>
      <c r="U336" t="s">
        <v>1375</v>
      </c>
      <c r="V336" t="s">
        <v>918</v>
      </c>
      <c r="W336" t="s">
        <v>87</v>
      </c>
      <c r="X336" s="76">
        <v>89863</v>
      </c>
      <c r="Y336" t="s">
        <v>1654</v>
      </c>
      <c r="AA336" t="s">
        <v>904</v>
      </c>
      <c r="AB336" t="s">
        <v>49</v>
      </c>
      <c r="AC336" t="s">
        <v>1356</v>
      </c>
      <c r="AD336">
        <v>2024</v>
      </c>
    </row>
    <row r="337" spans="17:30">
      <c r="Q337" t="s">
        <v>83</v>
      </c>
      <c r="R337" t="s">
        <v>980</v>
      </c>
      <c r="S337" t="s">
        <v>978</v>
      </c>
      <c r="U337" t="s">
        <v>1677</v>
      </c>
      <c r="V337" t="s">
        <v>440</v>
      </c>
      <c r="W337" t="s">
        <v>1653</v>
      </c>
      <c r="X337" s="76">
        <v>71</v>
      </c>
      <c r="Y337" t="s">
        <v>1654</v>
      </c>
      <c r="AA337" t="s">
        <v>904</v>
      </c>
      <c r="AB337" t="s">
        <v>68</v>
      </c>
      <c r="AC337" t="s">
        <v>1575</v>
      </c>
      <c r="AD337">
        <v>2024</v>
      </c>
    </row>
    <row r="338" spans="17:30">
      <c r="Q338" t="s">
        <v>83</v>
      </c>
      <c r="R338" t="s">
        <v>1213</v>
      </c>
      <c r="S338" t="s">
        <v>1211</v>
      </c>
      <c r="U338" t="s">
        <v>1677</v>
      </c>
      <c r="V338" t="s">
        <v>440</v>
      </c>
      <c r="W338" t="s">
        <v>1655</v>
      </c>
      <c r="X338" s="76">
        <v>8</v>
      </c>
      <c r="Y338" t="s">
        <v>1654</v>
      </c>
      <c r="AA338" t="s">
        <v>904</v>
      </c>
      <c r="AB338" t="s">
        <v>88</v>
      </c>
      <c r="AC338" t="s">
        <v>290</v>
      </c>
      <c r="AD338">
        <v>2024</v>
      </c>
    </row>
    <row r="339" spans="17:30">
      <c r="Q339" t="s">
        <v>83</v>
      </c>
      <c r="R339" t="s">
        <v>1219</v>
      </c>
      <c r="S339" t="s">
        <v>1217</v>
      </c>
      <c r="U339" t="s">
        <v>1677</v>
      </c>
      <c r="V339" t="s">
        <v>440</v>
      </c>
      <c r="W339" t="s">
        <v>67</v>
      </c>
      <c r="X339" s="76">
        <v>399</v>
      </c>
      <c r="Y339" t="s">
        <v>1654</v>
      </c>
      <c r="AA339" t="s">
        <v>769</v>
      </c>
      <c r="AB339" t="s">
        <v>32</v>
      </c>
      <c r="AC339" t="s">
        <v>253</v>
      </c>
      <c r="AD339">
        <v>2024</v>
      </c>
    </row>
    <row r="340" spans="17:30">
      <c r="Q340" t="s">
        <v>83</v>
      </c>
      <c r="R340" t="s">
        <v>42</v>
      </c>
      <c r="S340" t="s">
        <v>40</v>
      </c>
      <c r="U340" t="s">
        <v>1677</v>
      </c>
      <c r="V340" t="s">
        <v>440</v>
      </c>
      <c r="W340" t="s">
        <v>87</v>
      </c>
      <c r="X340" s="76">
        <v>10102</v>
      </c>
      <c r="Y340" t="s">
        <v>1654</v>
      </c>
      <c r="AA340" t="s">
        <v>769</v>
      </c>
      <c r="AB340" t="s">
        <v>49</v>
      </c>
      <c r="AC340" t="s">
        <v>891</v>
      </c>
      <c r="AD340">
        <v>2024</v>
      </c>
    </row>
    <row r="341" spans="17:30">
      <c r="Q341" t="s">
        <v>83</v>
      </c>
      <c r="R341" t="s">
        <v>223</v>
      </c>
      <c r="S341" t="s">
        <v>221</v>
      </c>
      <c r="U341" t="s">
        <v>1376</v>
      </c>
      <c r="V341" t="s">
        <v>454</v>
      </c>
      <c r="W341" t="s">
        <v>1653</v>
      </c>
      <c r="X341" s="76">
        <v>774</v>
      </c>
      <c r="Y341" t="s">
        <v>1654</v>
      </c>
      <c r="AA341" t="s">
        <v>769</v>
      </c>
      <c r="AB341" t="s">
        <v>68</v>
      </c>
      <c r="AC341" t="s">
        <v>1427</v>
      </c>
      <c r="AD341">
        <v>2024</v>
      </c>
    </row>
    <row r="342" spans="17:30">
      <c r="Q342" t="s">
        <v>83</v>
      </c>
      <c r="R342" t="s">
        <v>1261</v>
      </c>
      <c r="S342" t="s">
        <v>1259</v>
      </c>
      <c r="U342" t="s">
        <v>1376</v>
      </c>
      <c r="V342" t="s">
        <v>454</v>
      </c>
      <c r="W342" t="s">
        <v>1655</v>
      </c>
      <c r="X342" s="76">
        <v>37</v>
      </c>
      <c r="Y342" t="s">
        <v>1654</v>
      </c>
      <c r="AA342" t="s">
        <v>769</v>
      </c>
      <c r="AB342" t="s">
        <v>88</v>
      </c>
      <c r="AC342" t="s">
        <v>841</v>
      </c>
      <c r="AD342">
        <v>2024</v>
      </c>
    </row>
    <row r="343" spans="17:30">
      <c r="Q343" t="s">
        <v>83</v>
      </c>
      <c r="R343" t="s">
        <v>236</v>
      </c>
      <c r="S343" t="s">
        <v>234</v>
      </c>
      <c r="U343" t="s">
        <v>1376</v>
      </c>
      <c r="V343" t="s">
        <v>454</v>
      </c>
      <c r="W343" t="s">
        <v>67</v>
      </c>
      <c r="X343" s="76">
        <v>500</v>
      </c>
      <c r="Y343" t="s">
        <v>1654</v>
      </c>
      <c r="AA343" t="s">
        <v>777</v>
      </c>
      <c r="AB343" t="s">
        <v>32</v>
      </c>
      <c r="AC343" t="s">
        <v>754</v>
      </c>
      <c r="AD343">
        <v>2024</v>
      </c>
    </row>
    <row r="344" spans="17:30">
      <c r="Q344" t="s">
        <v>83</v>
      </c>
      <c r="R344" t="s">
        <v>488</v>
      </c>
      <c r="S344" t="s">
        <v>486</v>
      </c>
      <c r="U344" t="s">
        <v>1376</v>
      </c>
      <c r="V344" t="s">
        <v>454</v>
      </c>
      <c r="W344" t="s">
        <v>87</v>
      </c>
      <c r="X344" s="76">
        <v>800000</v>
      </c>
      <c r="Y344" t="s">
        <v>1654</v>
      </c>
      <c r="AA344" t="s">
        <v>777</v>
      </c>
      <c r="AB344" t="s">
        <v>49</v>
      </c>
      <c r="AC344" t="s">
        <v>1576</v>
      </c>
      <c r="AD344">
        <v>2024</v>
      </c>
    </row>
    <row r="345" spans="17:30">
      <c r="Q345" t="s">
        <v>83</v>
      </c>
      <c r="R345" t="s">
        <v>465</v>
      </c>
      <c r="S345" t="s">
        <v>463</v>
      </c>
      <c r="U345" t="s">
        <v>1377</v>
      </c>
      <c r="V345" t="s">
        <v>1067</v>
      </c>
      <c r="W345" t="s">
        <v>1653</v>
      </c>
      <c r="X345" s="76"/>
      <c r="Y345" t="s">
        <v>1654</v>
      </c>
      <c r="AA345" t="s">
        <v>777</v>
      </c>
      <c r="AB345" t="s">
        <v>68</v>
      </c>
      <c r="AC345" t="s">
        <v>361</v>
      </c>
      <c r="AD345">
        <v>2024</v>
      </c>
    </row>
    <row r="346" spans="17:30">
      <c r="Q346" t="s">
        <v>83</v>
      </c>
      <c r="R346" t="s">
        <v>1184</v>
      </c>
      <c r="S346" t="s">
        <v>1182</v>
      </c>
      <c r="U346" t="s">
        <v>1377</v>
      </c>
      <c r="V346" t="s">
        <v>1067</v>
      </c>
      <c r="W346" t="s">
        <v>1655</v>
      </c>
      <c r="X346" s="76"/>
      <c r="Y346" t="s">
        <v>1654</v>
      </c>
      <c r="AA346" t="s">
        <v>777</v>
      </c>
      <c r="AB346" t="s">
        <v>88</v>
      </c>
      <c r="AC346" t="s">
        <v>1577</v>
      </c>
      <c r="AD346">
        <v>2024</v>
      </c>
    </row>
    <row r="347" spans="17:30">
      <c r="Q347" t="s">
        <v>83</v>
      </c>
      <c r="R347" t="s">
        <v>578</v>
      </c>
      <c r="S347" t="s">
        <v>576</v>
      </c>
      <c r="U347" t="s">
        <v>1377</v>
      </c>
      <c r="V347" t="s">
        <v>1067</v>
      </c>
      <c r="W347" t="s">
        <v>67</v>
      </c>
      <c r="X347" s="76"/>
      <c r="Y347" t="s">
        <v>1654</v>
      </c>
      <c r="AA347" t="s">
        <v>784</v>
      </c>
      <c r="AB347" t="s">
        <v>32</v>
      </c>
      <c r="AC347" t="s">
        <v>1431</v>
      </c>
      <c r="AD347">
        <v>2024</v>
      </c>
    </row>
    <row r="348" spans="17:30">
      <c r="Q348" t="s">
        <v>83</v>
      </c>
      <c r="R348" t="s">
        <v>811</v>
      </c>
      <c r="S348" t="s">
        <v>809</v>
      </c>
      <c r="U348" t="s">
        <v>1377</v>
      </c>
      <c r="V348" t="s">
        <v>1067</v>
      </c>
      <c r="W348" t="s">
        <v>87</v>
      </c>
      <c r="X348" s="76"/>
      <c r="Y348" t="s">
        <v>1654</v>
      </c>
      <c r="AA348" t="s">
        <v>784</v>
      </c>
      <c r="AB348" t="s">
        <v>49</v>
      </c>
      <c r="AC348" t="s">
        <v>1578</v>
      </c>
      <c r="AD348">
        <v>2024</v>
      </c>
    </row>
    <row r="349" spans="17:30">
      <c r="Q349" t="s">
        <v>83</v>
      </c>
      <c r="R349" t="s">
        <v>828</v>
      </c>
      <c r="S349" t="s">
        <v>826</v>
      </c>
      <c r="U349" t="s">
        <v>1377</v>
      </c>
      <c r="V349" t="s">
        <v>1067</v>
      </c>
      <c r="W349" t="s">
        <v>1653</v>
      </c>
      <c r="X349" s="76">
        <v>33</v>
      </c>
      <c r="Y349" t="s">
        <v>1654</v>
      </c>
      <c r="AA349" t="s">
        <v>784</v>
      </c>
      <c r="AB349" t="s">
        <v>68</v>
      </c>
      <c r="AC349" t="s">
        <v>1579</v>
      </c>
      <c r="AD349">
        <v>2024</v>
      </c>
    </row>
    <row r="350" spans="17:30">
      <c r="Q350" t="s">
        <v>83</v>
      </c>
      <c r="R350" t="s">
        <v>1070</v>
      </c>
      <c r="S350" t="s">
        <v>1068</v>
      </c>
      <c r="U350" t="s">
        <v>1377</v>
      </c>
      <c r="V350" t="s">
        <v>1067</v>
      </c>
      <c r="W350" t="s">
        <v>1655</v>
      </c>
      <c r="X350" s="76">
        <v>33</v>
      </c>
      <c r="Y350" t="s">
        <v>1654</v>
      </c>
      <c r="AA350" t="s">
        <v>784</v>
      </c>
      <c r="AB350" t="s">
        <v>88</v>
      </c>
      <c r="AC350" t="s">
        <v>1402</v>
      </c>
      <c r="AD350">
        <v>2024</v>
      </c>
    </row>
    <row r="351" spans="17:30">
      <c r="Q351" t="s">
        <v>83</v>
      </c>
      <c r="R351" t="s">
        <v>1063</v>
      </c>
      <c r="S351" t="s">
        <v>1061</v>
      </c>
      <c r="U351" t="s">
        <v>1377</v>
      </c>
      <c r="V351" t="s">
        <v>1067</v>
      </c>
      <c r="W351" t="s">
        <v>67</v>
      </c>
      <c r="X351" s="76">
        <v>200</v>
      </c>
      <c r="Y351" t="s">
        <v>1654</v>
      </c>
      <c r="AA351" t="s">
        <v>339</v>
      </c>
      <c r="AB351" t="s">
        <v>32</v>
      </c>
      <c r="AC351" t="s">
        <v>1275</v>
      </c>
      <c r="AD351">
        <v>2024</v>
      </c>
    </row>
    <row r="352" spans="17:30">
      <c r="Q352" t="s">
        <v>83</v>
      </c>
      <c r="R352" t="s">
        <v>1127</v>
      </c>
      <c r="S352" t="s">
        <v>1125</v>
      </c>
      <c r="U352" t="s">
        <v>1377</v>
      </c>
      <c r="V352" t="s">
        <v>1067</v>
      </c>
      <c r="W352" t="s">
        <v>87</v>
      </c>
      <c r="X352" s="76">
        <v>4500</v>
      </c>
      <c r="Y352" t="s">
        <v>1654</v>
      </c>
      <c r="AA352" t="s">
        <v>339</v>
      </c>
      <c r="AB352" t="s">
        <v>49</v>
      </c>
      <c r="AC352" t="s">
        <v>1580</v>
      </c>
      <c r="AD352">
        <v>2024</v>
      </c>
    </row>
    <row r="353" spans="17:30">
      <c r="Q353" t="s">
        <v>83</v>
      </c>
      <c r="R353" t="s">
        <v>1257</v>
      </c>
      <c r="S353" t="s">
        <v>1255</v>
      </c>
      <c r="U353" t="s">
        <v>1378</v>
      </c>
      <c r="V353" t="s">
        <v>940</v>
      </c>
      <c r="W353" t="s">
        <v>1653</v>
      </c>
      <c r="X353" s="76">
        <v>62</v>
      </c>
      <c r="Y353" t="s">
        <v>1654</v>
      </c>
      <c r="AA353" t="s">
        <v>339</v>
      </c>
      <c r="AB353" t="s">
        <v>68</v>
      </c>
      <c r="AC353" t="s">
        <v>1446</v>
      </c>
      <c r="AD353">
        <v>2024</v>
      </c>
    </row>
    <row r="354" spans="17:30">
      <c r="Q354" t="s">
        <v>83</v>
      </c>
      <c r="R354" t="s">
        <v>1081</v>
      </c>
      <c r="S354" t="s">
        <v>1079</v>
      </c>
      <c r="U354" t="s">
        <v>1378</v>
      </c>
      <c r="V354" t="s">
        <v>940</v>
      </c>
      <c r="W354" t="s">
        <v>1655</v>
      </c>
      <c r="X354" s="76">
        <v>7</v>
      </c>
      <c r="Y354" t="s">
        <v>1654</v>
      </c>
      <c r="AA354" t="s">
        <v>339</v>
      </c>
      <c r="AB354" t="s">
        <v>88</v>
      </c>
      <c r="AC354" t="s">
        <v>1581</v>
      </c>
      <c r="AD354">
        <v>2024</v>
      </c>
    </row>
    <row r="355" spans="17:30">
      <c r="Q355" t="s">
        <v>83</v>
      </c>
      <c r="R355" t="s">
        <v>713</v>
      </c>
      <c r="S355" t="s">
        <v>711</v>
      </c>
      <c r="U355" t="s">
        <v>1378</v>
      </c>
      <c r="V355" t="s">
        <v>940</v>
      </c>
      <c r="W355" t="s">
        <v>67</v>
      </c>
      <c r="X355" s="76">
        <v>692</v>
      </c>
      <c r="Y355" t="s">
        <v>1654</v>
      </c>
      <c r="AA355" t="s">
        <v>349</v>
      </c>
      <c r="AB355" t="s">
        <v>32</v>
      </c>
      <c r="AC355" t="s">
        <v>1424</v>
      </c>
      <c r="AD355">
        <v>2024</v>
      </c>
    </row>
    <row r="356" spans="17:30">
      <c r="Q356" t="s">
        <v>83</v>
      </c>
      <c r="R356" t="s">
        <v>746</v>
      </c>
      <c r="S356" t="s">
        <v>744</v>
      </c>
      <c r="U356" t="s">
        <v>1378</v>
      </c>
      <c r="V356" t="s">
        <v>940</v>
      </c>
      <c r="W356" t="s">
        <v>87</v>
      </c>
      <c r="X356" s="76">
        <v>5000</v>
      </c>
      <c r="Y356" t="s">
        <v>1654</v>
      </c>
      <c r="AA356" t="s">
        <v>349</v>
      </c>
      <c r="AB356" t="s">
        <v>49</v>
      </c>
      <c r="AC356" t="s">
        <v>1437</v>
      </c>
      <c r="AD356">
        <v>2024</v>
      </c>
    </row>
    <row r="357" spans="17:30">
      <c r="Q357" t="s">
        <v>83</v>
      </c>
      <c r="R357" t="s">
        <v>1025</v>
      </c>
      <c r="S357" t="s">
        <v>1023</v>
      </c>
      <c r="U357" t="s">
        <v>1678</v>
      </c>
      <c r="V357" t="s">
        <v>945</v>
      </c>
      <c r="W357" t="s">
        <v>1653</v>
      </c>
      <c r="X357" s="76">
        <v>2</v>
      </c>
      <c r="Y357" t="s">
        <v>1654</v>
      </c>
      <c r="AA357" t="s">
        <v>349</v>
      </c>
      <c r="AB357" t="s">
        <v>68</v>
      </c>
      <c r="AC357" t="s">
        <v>1545</v>
      </c>
      <c r="AD357">
        <v>2024</v>
      </c>
    </row>
    <row r="358" spans="17:30">
      <c r="Q358" t="s">
        <v>83</v>
      </c>
      <c r="R358" t="s">
        <v>1033</v>
      </c>
      <c r="S358" t="s">
        <v>1031</v>
      </c>
      <c r="U358" t="s">
        <v>1678</v>
      </c>
      <c r="V358" t="s">
        <v>945</v>
      </c>
      <c r="W358" t="s">
        <v>1655</v>
      </c>
      <c r="X358" s="76">
        <v>2</v>
      </c>
      <c r="Y358" t="s">
        <v>1654</v>
      </c>
      <c r="AA358" t="s">
        <v>349</v>
      </c>
      <c r="AB358" t="s">
        <v>88</v>
      </c>
      <c r="AC358" t="s">
        <v>290</v>
      </c>
      <c r="AD358">
        <v>2024</v>
      </c>
    </row>
    <row r="359" spans="17:30">
      <c r="Q359" t="s">
        <v>83</v>
      </c>
      <c r="R359" t="s">
        <v>147</v>
      </c>
      <c r="S359" t="s">
        <v>145</v>
      </c>
      <c r="U359" t="s">
        <v>1678</v>
      </c>
      <c r="V359" t="s">
        <v>945</v>
      </c>
      <c r="W359" t="s">
        <v>67</v>
      </c>
      <c r="X359" s="76">
        <v>11</v>
      </c>
      <c r="Y359" t="s">
        <v>1654</v>
      </c>
      <c r="AA359" t="s">
        <v>799</v>
      </c>
      <c r="AB359" t="s">
        <v>32</v>
      </c>
      <c r="AC359" t="s">
        <v>1339</v>
      </c>
      <c r="AD359">
        <v>2024</v>
      </c>
    </row>
    <row r="360" spans="17:30">
      <c r="Q360" t="s">
        <v>83</v>
      </c>
      <c r="R360" t="s">
        <v>1097</v>
      </c>
      <c r="S360" t="s">
        <v>1095</v>
      </c>
      <c r="U360" t="s">
        <v>1678</v>
      </c>
      <c r="V360" t="s">
        <v>945</v>
      </c>
      <c r="W360" t="s">
        <v>87</v>
      </c>
      <c r="X360" s="76">
        <v>163</v>
      </c>
      <c r="Y360" t="s">
        <v>1654</v>
      </c>
      <c r="AA360" t="s">
        <v>799</v>
      </c>
      <c r="AB360" t="s">
        <v>49</v>
      </c>
      <c r="AC360" t="s">
        <v>1339</v>
      </c>
      <c r="AD360">
        <v>2024</v>
      </c>
    </row>
    <row r="361" spans="17:30">
      <c r="Q361" t="s">
        <v>83</v>
      </c>
      <c r="R361" t="s">
        <v>861</v>
      </c>
      <c r="S361" t="s">
        <v>859</v>
      </c>
      <c r="U361" t="s">
        <v>1679</v>
      </c>
      <c r="V361" t="s">
        <v>1108</v>
      </c>
      <c r="W361" t="s">
        <v>1653</v>
      </c>
      <c r="X361" s="76"/>
      <c r="Y361" t="s">
        <v>1654</v>
      </c>
      <c r="AA361" t="s">
        <v>799</v>
      </c>
      <c r="AB361" t="s">
        <v>68</v>
      </c>
      <c r="AC361" t="s">
        <v>1582</v>
      </c>
      <c r="AD361">
        <v>2024</v>
      </c>
    </row>
    <row r="362" spans="17:30">
      <c r="Q362" t="s">
        <v>83</v>
      </c>
      <c r="R362" t="s">
        <v>1323</v>
      </c>
      <c r="S362" t="s">
        <v>1321</v>
      </c>
      <c r="U362" t="s">
        <v>1679</v>
      </c>
      <c r="V362" t="s">
        <v>1108</v>
      </c>
      <c r="W362" t="s">
        <v>1655</v>
      </c>
      <c r="X362" s="76"/>
      <c r="Y362" t="s">
        <v>1654</v>
      </c>
      <c r="AA362" t="s">
        <v>799</v>
      </c>
      <c r="AB362" t="s">
        <v>88</v>
      </c>
      <c r="AC362" t="s">
        <v>69</v>
      </c>
      <c r="AD362">
        <v>2024</v>
      </c>
    </row>
    <row r="363" spans="17:30">
      <c r="Q363" t="s">
        <v>83</v>
      </c>
      <c r="R363" t="s">
        <v>1271</v>
      </c>
      <c r="S363" t="s">
        <v>1269</v>
      </c>
      <c r="U363" t="s">
        <v>1679</v>
      </c>
      <c r="V363" t="s">
        <v>1108</v>
      </c>
      <c r="W363" t="s">
        <v>67</v>
      </c>
      <c r="X363" s="76"/>
      <c r="Y363" t="s">
        <v>1654</v>
      </c>
      <c r="AA363" t="s">
        <v>808</v>
      </c>
      <c r="AB363" t="s">
        <v>32</v>
      </c>
      <c r="AC363" t="s">
        <v>204</v>
      </c>
      <c r="AD363">
        <v>2024</v>
      </c>
    </row>
    <row r="364" spans="17:30">
      <c r="Q364" t="s">
        <v>83</v>
      </c>
      <c r="R364" t="s">
        <v>1122</v>
      </c>
      <c r="S364" t="s">
        <v>1120</v>
      </c>
      <c r="U364" t="s">
        <v>1679</v>
      </c>
      <c r="V364" t="s">
        <v>1108</v>
      </c>
      <c r="W364" t="s">
        <v>87</v>
      </c>
      <c r="X364" s="76"/>
      <c r="Y364" t="s">
        <v>1654</v>
      </c>
      <c r="AA364" t="s">
        <v>808</v>
      </c>
      <c r="AB364" t="s">
        <v>49</v>
      </c>
      <c r="AC364" t="s">
        <v>204</v>
      </c>
      <c r="AD364">
        <v>2024</v>
      </c>
    </row>
    <row r="365" spans="17:30">
      <c r="Q365" t="s">
        <v>83</v>
      </c>
      <c r="R365" t="s">
        <v>1313</v>
      </c>
      <c r="S365" t="s">
        <v>1311</v>
      </c>
      <c r="U365" t="s">
        <v>1680</v>
      </c>
      <c r="V365" t="s">
        <v>782</v>
      </c>
      <c r="W365" t="s">
        <v>1653</v>
      </c>
      <c r="X365" s="76">
        <v>1</v>
      </c>
      <c r="Y365" t="s">
        <v>1654</v>
      </c>
      <c r="AA365" t="s">
        <v>808</v>
      </c>
      <c r="AB365" t="s">
        <v>68</v>
      </c>
      <c r="AC365" t="s">
        <v>1186</v>
      </c>
      <c r="AD365">
        <v>2024</v>
      </c>
    </row>
    <row r="366" spans="17:30">
      <c r="Q366" t="s">
        <v>83</v>
      </c>
      <c r="R366" t="s">
        <v>999</v>
      </c>
      <c r="S366" t="s">
        <v>997</v>
      </c>
      <c r="U366" t="s">
        <v>1680</v>
      </c>
      <c r="V366" t="s">
        <v>782</v>
      </c>
      <c r="W366" t="s">
        <v>1655</v>
      </c>
      <c r="X366" s="76">
        <v>23</v>
      </c>
      <c r="Y366" t="s">
        <v>1654</v>
      </c>
      <c r="AA366" t="s">
        <v>808</v>
      </c>
      <c r="AB366" t="s">
        <v>88</v>
      </c>
      <c r="AC366" t="s">
        <v>1136</v>
      </c>
      <c r="AD366">
        <v>2024</v>
      </c>
    </row>
    <row r="367" spans="17:30">
      <c r="Q367" t="s">
        <v>83</v>
      </c>
      <c r="R367" t="s">
        <v>991</v>
      </c>
      <c r="S367" t="s">
        <v>989</v>
      </c>
      <c r="U367" t="s">
        <v>1680</v>
      </c>
      <c r="V367" t="s">
        <v>782</v>
      </c>
      <c r="W367" t="s">
        <v>67</v>
      </c>
      <c r="X367" s="76">
        <v>135</v>
      </c>
      <c r="Y367" t="s">
        <v>1654</v>
      </c>
      <c r="AA367" t="s">
        <v>816</v>
      </c>
      <c r="AB367" t="s">
        <v>32</v>
      </c>
      <c r="AC367" t="s">
        <v>1360</v>
      </c>
      <c r="AD367">
        <v>2024</v>
      </c>
    </row>
    <row r="368" spans="17:30">
      <c r="Q368" t="s">
        <v>83</v>
      </c>
      <c r="R368" t="s">
        <v>1006</v>
      </c>
      <c r="S368" t="s">
        <v>1004</v>
      </c>
      <c r="U368" t="s">
        <v>1680</v>
      </c>
      <c r="V368" t="s">
        <v>782</v>
      </c>
      <c r="W368" t="s">
        <v>87</v>
      </c>
      <c r="X368" s="76">
        <v>1300</v>
      </c>
      <c r="Y368" t="s">
        <v>1654</v>
      </c>
      <c r="AA368" t="s">
        <v>816</v>
      </c>
      <c r="AB368" t="s">
        <v>49</v>
      </c>
      <c r="AC368" t="s">
        <v>932</v>
      </c>
      <c r="AD368">
        <v>2024</v>
      </c>
    </row>
    <row r="369" spans="17:30">
      <c r="Q369" t="s">
        <v>81</v>
      </c>
      <c r="R369" t="s">
        <v>40</v>
      </c>
      <c r="S369" t="s">
        <v>40</v>
      </c>
      <c r="U369" t="s">
        <v>1379</v>
      </c>
      <c r="V369" t="s">
        <v>951</v>
      </c>
      <c r="W369" t="s">
        <v>1653</v>
      </c>
      <c r="X369" s="76">
        <v>13</v>
      </c>
      <c r="Y369" t="s">
        <v>1654</v>
      </c>
      <c r="AA369" t="s">
        <v>816</v>
      </c>
      <c r="AB369" t="s">
        <v>68</v>
      </c>
      <c r="AC369" t="s">
        <v>1440</v>
      </c>
      <c r="AD369">
        <v>2024</v>
      </c>
    </row>
    <row r="370" spans="17:30">
      <c r="Q370" t="s">
        <v>81</v>
      </c>
      <c r="R370" t="s">
        <v>94</v>
      </c>
      <c r="S370" t="s">
        <v>94</v>
      </c>
      <c r="U370" t="s">
        <v>1379</v>
      </c>
      <c r="V370" t="s">
        <v>951</v>
      </c>
      <c r="W370" t="s">
        <v>1655</v>
      </c>
      <c r="X370" s="76">
        <v>12</v>
      </c>
      <c r="Y370" t="s">
        <v>1654</v>
      </c>
      <c r="AA370" t="s">
        <v>816</v>
      </c>
      <c r="AB370" t="s">
        <v>88</v>
      </c>
      <c r="AC370" t="s">
        <v>1583</v>
      </c>
      <c r="AD370">
        <v>2024</v>
      </c>
    </row>
    <row r="371" spans="17:30">
      <c r="Q371" t="s">
        <v>81</v>
      </c>
      <c r="R371" t="s">
        <v>145</v>
      </c>
      <c r="S371" t="s">
        <v>145</v>
      </c>
      <c r="U371" t="s">
        <v>1379</v>
      </c>
      <c r="V371" t="s">
        <v>951</v>
      </c>
      <c r="W371" t="s">
        <v>67</v>
      </c>
      <c r="X371" s="76">
        <v>32</v>
      </c>
      <c r="Y371" t="s">
        <v>1654</v>
      </c>
      <c r="AA371" t="s">
        <v>825</v>
      </c>
      <c r="AB371" t="s">
        <v>32</v>
      </c>
      <c r="AC371" t="s">
        <v>1136</v>
      </c>
      <c r="AD371">
        <v>2024</v>
      </c>
    </row>
    <row r="372" spans="17:30">
      <c r="Q372" t="s">
        <v>81</v>
      </c>
      <c r="R372" t="s">
        <v>170</v>
      </c>
      <c r="S372" t="s">
        <v>170</v>
      </c>
      <c r="U372" t="s">
        <v>1379</v>
      </c>
      <c r="V372" t="s">
        <v>951</v>
      </c>
      <c r="W372" t="s">
        <v>87</v>
      </c>
      <c r="X372" s="76">
        <v>850</v>
      </c>
      <c r="Y372" t="s">
        <v>1654</v>
      </c>
      <c r="AA372" t="s">
        <v>825</v>
      </c>
      <c r="AB372" t="s">
        <v>49</v>
      </c>
      <c r="AC372" t="s">
        <v>1584</v>
      </c>
      <c r="AD372">
        <v>2024</v>
      </c>
    </row>
    <row r="373" spans="17:30">
      <c r="Q373" t="s">
        <v>81</v>
      </c>
      <c r="R373" t="s">
        <v>221</v>
      </c>
      <c r="S373" t="s">
        <v>221</v>
      </c>
      <c r="U373" t="s">
        <v>1382</v>
      </c>
      <c r="V373" t="s">
        <v>789</v>
      </c>
      <c r="W373" t="s">
        <v>1653</v>
      </c>
      <c r="X373" s="76"/>
      <c r="Y373" t="s">
        <v>1654</v>
      </c>
      <c r="AA373" t="s">
        <v>825</v>
      </c>
      <c r="AB373" t="s">
        <v>68</v>
      </c>
      <c r="AC373" t="s">
        <v>139</v>
      </c>
      <c r="AD373">
        <v>2024</v>
      </c>
    </row>
    <row r="374" spans="17:30">
      <c r="Q374" t="s">
        <v>81</v>
      </c>
      <c r="R374" t="s">
        <v>234</v>
      </c>
      <c r="S374" t="s">
        <v>234</v>
      </c>
      <c r="U374" t="s">
        <v>1382</v>
      </c>
      <c r="V374" t="s">
        <v>789</v>
      </c>
      <c r="W374" t="s">
        <v>1655</v>
      </c>
      <c r="X374" s="76"/>
      <c r="Y374" t="s">
        <v>1654</v>
      </c>
      <c r="AA374" t="s">
        <v>825</v>
      </c>
      <c r="AB374" t="s">
        <v>88</v>
      </c>
      <c r="AC374" t="s">
        <v>361</v>
      </c>
      <c r="AD374">
        <v>2024</v>
      </c>
    </row>
    <row r="375" spans="17:30">
      <c r="Q375" t="s">
        <v>81</v>
      </c>
      <c r="R375" t="s">
        <v>310</v>
      </c>
      <c r="S375" t="s">
        <v>310</v>
      </c>
      <c r="U375" t="s">
        <v>1382</v>
      </c>
      <c r="V375" t="s">
        <v>789</v>
      </c>
      <c r="W375" t="s">
        <v>67</v>
      </c>
      <c r="X375" s="76"/>
      <c r="Y375" t="s">
        <v>1654</v>
      </c>
      <c r="AA375" t="s">
        <v>359</v>
      </c>
      <c r="AB375" t="s">
        <v>32</v>
      </c>
      <c r="AC375" t="s">
        <v>1448</v>
      </c>
      <c r="AD375">
        <v>2024</v>
      </c>
    </row>
    <row r="376" spans="17:30">
      <c r="Q376" t="s">
        <v>81</v>
      </c>
      <c r="R376" t="s">
        <v>335</v>
      </c>
      <c r="S376" t="s">
        <v>335</v>
      </c>
      <c r="U376" t="s">
        <v>1382</v>
      </c>
      <c r="V376" t="s">
        <v>789</v>
      </c>
      <c r="W376" t="s">
        <v>87</v>
      </c>
      <c r="X376" s="76"/>
      <c r="Y376" t="s">
        <v>1654</v>
      </c>
      <c r="AA376" t="s">
        <v>359</v>
      </c>
      <c r="AB376" t="s">
        <v>49</v>
      </c>
      <c r="AC376" t="s">
        <v>1585</v>
      </c>
      <c r="AD376">
        <v>2024</v>
      </c>
    </row>
    <row r="377" spans="17:30">
      <c r="Q377" t="s">
        <v>81</v>
      </c>
      <c r="R377" t="s">
        <v>463</v>
      </c>
      <c r="S377" t="s">
        <v>463</v>
      </c>
      <c r="U377" t="s">
        <v>1383</v>
      </c>
      <c r="V377" t="s">
        <v>966</v>
      </c>
      <c r="W377" t="s">
        <v>1653</v>
      </c>
      <c r="X377" s="76">
        <v>139</v>
      </c>
      <c r="Y377" t="s">
        <v>1654</v>
      </c>
      <c r="AA377" t="s">
        <v>359</v>
      </c>
      <c r="AB377" t="s">
        <v>68</v>
      </c>
      <c r="AC377" t="s">
        <v>1105</v>
      </c>
      <c r="AD377">
        <v>2024</v>
      </c>
    </row>
    <row r="378" spans="17:30">
      <c r="Q378" t="s">
        <v>81</v>
      </c>
      <c r="R378" t="s">
        <v>486</v>
      </c>
      <c r="S378" t="s">
        <v>486</v>
      </c>
      <c r="U378" t="s">
        <v>1383</v>
      </c>
      <c r="V378" t="s">
        <v>966</v>
      </c>
      <c r="W378" t="s">
        <v>1655</v>
      </c>
      <c r="X378" s="76">
        <v>102</v>
      </c>
      <c r="Y378" t="s">
        <v>1654</v>
      </c>
      <c r="AA378" t="s">
        <v>359</v>
      </c>
      <c r="AB378" t="s">
        <v>88</v>
      </c>
      <c r="AC378" t="s">
        <v>506</v>
      </c>
      <c r="AD378">
        <v>2024</v>
      </c>
    </row>
    <row r="379" spans="17:30">
      <c r="Q379" t="s">
        <v>81</v>
      </c>
      <c r="R379" t="s">
        <v>500</v>
      </c>
      <c r="S379" t="s">
        <v>500</v>
      </c>
      <c r="U379" t="s">
        <v>1383</v>
      </c>
      <c r="V379" t="s">
        <v>966</v>
      </c>
      <c r="W379" t="s">
        <v>67</v>
      </c>
      <c r="X379" s="76">
        <v>1765</v>
      </c>
      <c r="Y379" t="s">
        <v>1654</v>
      </c>
      <c r="AA379" t="s">
        <v>372</v>
      </c>
      <c r="AB379" t="s">
        <v>32</v>
      </c>
      <c r="AC379" t="s">
        <v>1443</v>
      </c>
      <c r="AD379">
        <v>2024</v>
      </c>
    </row>
    <row r="380" spans="17:30">
      <c r="Q380" t="s">
        <v>81</v>
      </c>
      <c r="R380" t="s">
        <v>513</v>
      </c>
      <c r="S380" t="s">
        <v>513</v>
      </c>
      <c r="U380" t="s">
        <v>1383</v>
      </c>
      <c r="V380" t="s">
        <v>966</v>
      </c>
      <c r="W380" t="s">
        <v>87</v>
      </c>
      <c r="X380" s="76">
        <v>1161590</v>
      </c>
      <c r="Y380" t="s">
        <v>1654</v>
      </c>
      <c r="AA380" t="s">
        <v>372</v>
      </c>
      <c r="AB380" t="s">
        <v>49</v>
      </c>
      <c r="AC380" t="s">
        <v>361</v>
      </c>
      <c r="AD380">
        <v>2024</v>
      </c>
    </row>
    <row r="381" spans="17:30">
      <c r="Q381" t="s">
        <v>81</v>
      </c>
      <c r="R381" t="s">
        <v>576</v>
      </c>
      <c r="S381" t="s">
        <v>576</v>
      </c>
      <c r="U381" t="s">
        <v>1681</v>
      </c>
      <c r="V381" t="s">
        <v>972</v>
      </c>
      <c r="W381" t="s">
        <v>1653</v>
      </c>
      <c r="X381" s="76"/>
      <c r="Y381" t="s">
        <v>1654</v>
      </c>
      <c r="AA381" t="s">
        <v>372</v>
      </c>
      <c r="AB381" t="s">
        <v>68</v>
      </c>
      <c r="AC381" t="s">
        <v>1586</v>
      </c>
      <c r="AD381">
        <v>2024</v>
      </c>
    </row>
    <row r="382" spans="17:30">
      <c r="Q382" t="s">
        <v>81</v>
      </c>
      <c r="R382" t="s">
        <v>606</v>
      </c>
      <c r="S382" t="s">
        <v>606</v>
      </c>
      <c r="U382" t="s">
        <v>1681</v>
      </c>
      <c r="V382" t="s">
        <v>972</v>
      </c>
      <c r="W382" t="s">
        <v>1655</v>
      </c>
      <c r="X382" s="76"/>
      <c r="Y382" t="s">
        <v>1654</v>
      </c>
      <c r="AA382" t="s">
        <v>372</v>
      </c>
      <c r="AB382" t="s">
        <v>88</v>
      </c>
      <c r="AC382" t="s">
        <v>1444</v>
      </c>
      <c r="AD382">
        <v>2024</v>
      </c>
    </row>
    <row r="383" spans="17:30">
      <c r="Q383" t="s">
        <v>81</v>
      </c>
      <c r="R383" t="s">
        <v>618</v>
      </c>
      <c r="S383" t="s">
        <v>618</v>
      </c>
      <c r="U383" t="s">
        <v>1681</v>
      </c>
      <c r="V383" t="s">
        <v>972</v>
      </c>
      <c r="W383" t="s">
        <v>67</v>
      </c>
      <c r="X383" s="76"/>
      <c r="Y383" t="s">
        <v>1654</v>
      </c>
      <c r="AA383" t="s">
        <v>842</v>
      </c>
      <c r="AB383" t="s">
        <v>32</v>
      </c>
      <c r="AC383" t="s">
        <v>1441</v>
      </c>
      <c r="AD383">
        <v>2024</v>
      </c>
    </row>
    <row r="384" spans="17:30">
      <c r="Q384" t="s">
        <v>81</v>
      </c>
      <c r="R384" t="s">
        <v>630</v>
      </c>
      <c r="S384" t="s">
        <v>630</v>
      </c>
      <c r="U384" t="s">
        <v>1681</v>
      </c>
      <c r="V384" t="s">
        <v>972</v>
      </c>
      <c r="W384" t="s">
        <v>87</v>
      </c>
      <c r="X384" s="76"/>
      <c r="Y384" t="s">
        <v>1654</v>
      </c>
      <c r="AA384" t="s">
        <v>842</v>
      </c>
      <c r="AB384" t="s">
        <v>49</v>
      </c>
      <c r="AC384" t="s">
        <v>1445</v>
      </c>
      <c r="AD384">
        <v>2024</v>
      </c>
    </row>
    <row r="385" spans="17:30">
      <c r="Q385" t="s">
        <v>81</v>
      </c>
      <c r="R385" t="s">
        <v>660</v>
      </c>
      <c r="S385" t="s">
        <v>660</v>
      </c>
      <c r="U385" t="s">
        <v>1385</v>
      </c>
      <c r="V385" t="s">
        <v>1124</v>
      </c>
      <c r="W385" t="s">
        <v>1653</v>
      </c>
      <c r="X385" s="76">
        <v>620</v>
      </c>
      <c r="Y385" t="s">
        <v>1654</v>
      </c>
      <c r="AA385" t="s">
        <v>842</v>
      </c>
      <c r="AB385" t="s">
        <v>68</v>
      </c>
      <c r="AC385" t="s">
        <v>1472</v>
      </c>
      <c r="AD385">
        <v>2024</v>
      </c>
    </row>
    <row r="386" spans="17:30">
      <c r="Q386" t="s">
        <v>81</v>
      </c>
      <c r="R386" t="s">
        <v>671</v>
      </c>
      <c r="S386" t="s">
        <v>671</v>
      </c>
      <c r="U386" t="s">
        <v>1385</v>
      </c>
      <c r="V386" t="s">
        <v>1124</v>
      </c>
      <c r="W386" t="s">
        <v>1655</v>
      </c>
      <c r="X386" s="76">
        <v>47</v>
      </c>
      <c r="Y386" t="s">
        <v>1654</v>
      </c>
      <c r="AA386" t="s">
        <v>842</v>
      </c>
      <c r="AB386" t="s">
        <v>88</v>
      </c>
      <c r="AC386" t="s">
        <v>1587</v>
      </c>
      <c r="AD386">
        <v>2024</v>
      </c>
    </row>
    <row r="387" spans="17:30">
      <c r="Q387" t="s">
        <v>81</v>
      </c>
      <c r="R387" t="s">
        <v>677</v>
      </c>
      <c r="S387" t="s">
        <v>677</v>
      </c>
      <c r="U387" t="s">
        <v>1385</v>
      </c>
      <c r="V387" t="s">
        <v>1124</v>
      </c>
      <c r="W387" t="s">
        <v>67</v>
      </c>
      <c r="X387" s="76">
        <v>289</v>
      </c>
      <c r="Y387" t="s">
        <v>1654</v>
      </c>
      <c r="AA387" t="s">
        <v>848</v>
      </c>
      <c r="AB387" t="s">
        <v>49</v>
      </c>
      <c r="AC387" t="s">
        <v>1268</v>
      </c>
      <c r="AD387">
        <v>2024</v>
      </c>
    </row>
    <row r="388" spans="17:30">
      <c r="Q388" t="s">
        <v>81</v>
      </c>
      <c r="R388" t="s">
        <v>704</v>
      </c>
      <c r="S388" t="s">
        <v>704</v>
      </c>
      <c r="U388" t="s">
        <v>1385</v>
      </c>
      <c r="V388" t="s">
        <v>1124</v>
      </c>
      <c r="W388" t="s">
        <v>87</v>
      </c>
      <c r="X388" s="76">
        <v>7314</v>
      </c>
      <c r="Y388" t="s">
        <v>1654</v>
      </c>
      <c r="AA388" t="s">
        <v>848</v>
      </c>
      <c r="AB388" t="s">
        <v>68</v>
      </c>
      <c r="AC388" t="s">
        <v>1431</v>
      </c>
      <c r="AD388">
        <v>2024</v>
      </c>
    </row>
    <row r="389" spans="17:30">
      <c r="Q389" t="s">
        <v>81</v>
      </c>
      <c r="R389" t="s">
        <v>711</v>
      </c>
      <c r="S389" t="s">
        <v>711</v>
      </c>
      <c r="U389" t="s">
        <v>1387</v>
      </c>
      <c r="V389" t="s">
        <v>1147</v>
      </c>
      <c r="W389" t="s">
        <v>1653</v>
      </c>
      <c r="X389" s="76">
        <v>615</v>
      </c>
      <c r="Y389" t="s">
        <v>1654</v>
      </c>
      <c r="AA389" t="s">
        <v>848</v>
      </c>
      <c r="AB389" t="s">
        <v>88</v>
      </c>
      <c r="AC389" t="s">
        <v>841</v>
      </c>
      <c r="AD389">
        <v>2024</v>
      </c>
    </row>
    <row r="390" spans="17:30">
      <c r="Q390" t="s">
        <v>81</v>
      </c>
      <c r="R390" t="s">
        <v>717</v>
      </c>
      <c r="S390" t="s">
        <v>717</v>
      </c>
      <c r="U390" t="s">
        <v>1387</v>
      </c>
      <c r="V390" t="s">
        <v>1147</v>
      </c>
      <c r="W390" t="s">
        <v>1655</v>
      </c>
      <c r="X390" s="76">
        <v>85</v>
      </c>
      <c r="Y390" t="s">
        <v>1654</v>
      </c>
      <c r="AA390" t="s">
        <v>383</v>
      </c>
      <c r="AB390" t="s">
        <v>32</v>
      </c>
      <c r="AC390" t="s">
        <v>807</v>
      </c>
      <c r="AD390">
        <v>2024</v>
      </c>
    </row>
    <row r="391" spans="17:30">
      <c r="Q391" t="s">
        <v>81</v>
      </c>
      <c r="R391" t="s">
        <v>744</v>
      </c>
      <c r="S391" t="s">
        <v>744</v>
      </c>
      <c r="U391" t="s">
        <v>1387</v>
      </c>
      <c r="V391" t="s">
        <v>1147</v>
      </c>
      <c r="W391" t="s">
        <v>67</v>
      </c>
      <c r="X391" s="76">
        <v>835</v>
      </c>
      <c r="Y391" t="s">
        <v>1654</v>
      </c>
      <c r="AA391" t="s">
        <v>383</v>
      </c>
      <c r="AB391" t="s">
        <v>49</v>
      </c>
      <c r="AC391" t="s">
        <v>1588</v>
      </c>
      <c r="AD391">
        <v>2024</v>
      </c>
    </row>
    <row r="392" spans="17:30">
      <c r="Q392" t="s">
        <v>81</v>
      </c>
      <c r="R392" t="s">
        <v>778</v>
      </c>
      <c r="S392" t="s">
        <v>778</v>
      </c>
      <c r="U392" t="s">
        <v>1387</v>
      </c>
      <c r="V392" t="s">
        <v>1147</v>
      </c>
      <c r="W392" t="s">
        <v>87</v>
      </c>
      <c r="X392" s="76">
        <v>57000</v>
      </c>
      <c r="Y392" t="s">
        <v>1654</v>
      </c>
      <c r="AA392" t="s">
        <v>383</v>
      </c>
      <c r="AB392" t="s">
        <v>68</v>
      </c>
      <c r="AC392" t="s">
        <v>1589</v>
      </c>
      <c r="AD392">
        <v>2024</v>
      </c>
    </row>
    <row r="393" spans="17:30">
      <c r="Q393" t="s">
        <v>81</v>
      </c>
      <c r="R393" t="s">
        <v>809</v>
      </c>
      <c r="S393" t="s">
        <v>809</v>
      </c>
      <c r="U393" t="s">
        <v>1388</v>
      </c>
      <c r="V393" t="s">
        <v>467</v>
      </c>
      <c r="W393" t="s">
        <v>1653</v>
      </c>
      <c r="X393" s="76">
        <v>31</v>
      </c>
      <c r="Y393" t="s">
        <v>1654</v>
      </c>
      <c r="AA393" t="s">
        <v>383</v>
      </c>
      <c r="AB393" t="s">
        <v>88</v>
      </c>
      <c r="AC393" t="s">
        <v>139</v>
      </c>
      <c r="AD393">
        <v>2024</v>
      </c>
    </row>
    <row r="394" spans="17:30">
      <c r="Q394" t="s">
        <v>81</v>
      </c>
      <c r="R394" t="s">
        <v>817</v>
      </c>
      <c r="S394" t="s">
        <v>817</v>
      </c>
      <c r="U394" t="s">
        <v>1388</v>
      </c>
      <c r="V394" t="s">
        <v>467</v>
      </c>
      <c r="W394" t="s">
        <v>1655</v>
      </c>
      <c r="X394" s="76">
        <v>30</v>
      </c>
      <c r="Y394" t="s">
        <v>1654</v>
      </c>
      <c r="AA394" t="s">
        <v>858</v>
      </c>
      <c r="AB394" t="s">
        <v>68</v>
      </c>
      <c r="AC394" t="s">
        <v>1373</v>
      </c>
      <c r="AD394">
        <v>2024</v>
      </c>
    </row>
    <row r="395" spans="17:30">
      <c r="Q395" t="s">
        <v>81</v>
      </c>
      <c r="R395" t="s">
        <v>826</v>
      </c>
      <c r="S395" t="s">
        <v>826</v>
      </c>
      <c r="U395" t="s">
        <v>1388</v>
      </c>
      <c r="V395" t="s">
        <v>467</v>
      </c>
      <c r="W395" t="s">
        <v>67</v>
      </c>
      <c r="X395" s="76">
        <v>87</v>
      </c>
      <c r="Y395" t="s">
        <v>1654</v>
      </c>
      <c r="AA395" t="s">
        <v>858</v>
      </c>
      <c r="AB395" t="s">
        <v>88</v>
      </c>
      <c r="AC395" t="s">
        <v>1590</v>
      </c>
      <c r="AD395">
        <v>2024</v>
      </c>
    </row>
    <row r="396" spans="17:30">
      <c r="Q396" t="s">
        <v>81</v>
      </c>
      <c r="R396" t="s">
        <v>859</v>
      </c>
      <c r="S396" t="s">
        <v>859</v>
      </c>
      <c r="U396" t="s">
        <v>1388</v>
      </c>
      <c r="V396" t="s">
        <v>467</v>
      </c>
      <c r="W396" t="s">
        <v>87</v>
      </c>
      <c r="X396" s="76">
        <v>70013</v>
      </c>
      <c r="Y396" t="s">
        <v>1654</v>
      </c>
      <c r="AA396" t="s">
        <v>863</v>
      </c>
      <c r="AB396" t="s">
        <v>32</v>
      </c>
      <c r="AC396" t="s">
        <v>915</v>
      </c>
      <c r="AD396">
        <v>2024</v>
      </c>
    </row>
    <row r="397" spans="17:30">
      <c r="Q397" t="s">
        <v>81</v>
      </c>
      <c r="R397" t="s">
        <v>934</v>
      </c>
      <c r="S397" t="s">
        <v>934</v>
      </c>
      <c r="U397" t="s">
        <v>1389</v>
      </c>
      <c r="V397" t="s">
        <v>798</v>
      </c>
      <c r="W397" t="s">
        <v>1653</v>
      </c>
      <c r="X397" s="76">
        <v>2</v>
      </c>
      <c r="Y397" t="s">
        <v>1654</v>
      </c>
      <c r="AA397" t="s">
        <v>863</v>
      </c>
      <c r="AB397" t="s">
        <v>49</v>
      </c>
      <c r="AC397" t="s">
        <v>915</v>
      </c>
      <c r="AD397">
        <v>2024</v>
      </c>
    </row>
    <row r="398" spans="17:30">
      <c r="Q398" t="s">
        <v>81</v>
      </c>
      <c r="R398" t="s">
        <v>973</v>
      </c>
      <c r="S398" t="s">
        <v>973</v>
      </c>
      <c r="U398" t="s">
        <v>1389</v>
      </c>
      <c r="V398" t="s">
        <v>798</v>
      </c>
      <c r="W398" t="s">
        <v>1655</v>
      </c>
      <c r="X398" s="76">
        <v>2</v>
      </c>
      <c r="Y398" t="s">
        <v>1654</v>
      </c>
      <c r="AA398" t="s">
        <v>863</v>
      </c>
      <c r="AB398" t="s">
        <v>68</v>
      </c>
      <c r="AC398" t="s">
        <v>483</v>
      </c>
      <c r="AD398">
        <v>2024</v>
      </c>
    </row>
    <row r="399" spans="17:30">
      <c r="Q399" t="s">
        <v>81</v>
      </c>
      <c r="R399" t="s">
        <v>978</v>
      </c>
      <c r="S399" t="s">
        <v>978</v>
      </c>
      <c r="U399" t="s">
        <v>1389</v>
      </c>
      <c r="V399" t="s">
        <v>798</v>
      </c>
      <c r="W399" t="s">
        <v>67</v>
      </c>
      <c r="X399" s="76">
        <v>4</v>
      </c>
      <c r="Y399" t="s">
        <v>1654</v>
      </c>
      <c r="AA399" t="s">
        <v>863</v>
      </c>
      <c r="AB399" t="s">
        <v>88</v>
      </c>
      <c r="AC399" t="s">
        <v>1452</v>
      </c>
      <c r="AD399">
        <v>2024</v>
      </c>
    </row>
    <row r="400" spans="17:30">
      <c r="Q400" t="s">
        <v>81</v>
      </c>
      <c r="R400" t="s">
        <v>989</v>
      </c>
      <c r="S400" t="s">
        <v>989</v>
      </c>
      <c r="U400" t="s">
        <v>1389</v>
      </c>
      <c r="V400" t="s">
        <v>798</v>
      </c>
      <c r="W400" t="s">
        <v>87</v>
      </c>
      <c r="X400" s="76">
        <v>100</v>
      </c>
      <c r="Y400" t="s">
        <v>1654</v>
      </c>
      <c r="AA400" t="s">
        <v>393</v>
      </c>
      <c r="AB400" t="s">
        <v>32</v>
      </c>
      <c r="AC400" t="s">
        <v>915</v>
      </c>
      <c r="AD400">
        <v>2024</v>
      </c>
    </row>
    <row r="401" spans="17:30">
      <c r="Q401" t="s">
        <v>81</v>
      </c>
      <c r="R401" t="s">
        <v>997</v>
      </c>
      <c r="S401" t="s">
        <v>997</v>
      </c>
      <c r="U401" t="s">
        <v>1682</v>
      </c>
      <c r="V401" t="s">
        <v>804</v>
      </c>
      <c r="W401" t="s">
        <v>1653</v>
      </c>
      <c r="X401" s="76">
        <v>1</v>
      </c>
      <c r="Y401" t="s">
        <v>1654</v>
      </c>
      <c r="AA401" t="s">
        <v>393</v>
      </c>
      <c r="AB401" t="s">
        <v>49</v>
      </c>
      <c r="AC401" t="s">
        <v>1037</v>
      </c>
      <c r="AD401">
        <v>2024</v>
      </c>
    </row>
    <row r="402" spans="17:30">
      <c r="Q402" t="s">
        <v>81</v>
      </c>
      <c r="R402" t="s">
        <v>1004</v>
      </c>
      <c r="S402" t="s">
        <v>1004</v>
      </c>
      <c r="U402" t="s">
        <v>1682</v>
      </c>
      <c r="V402" t="s">
        <v>804</v>
      </c>
      <c r="W402" t="s">
        <v>1655</v>
      </c>
      <c r="X402" s="76">
        <v>1</v>
      </c>
      <c r="Y402" t="s">
        <v>1654</v>
      </c>
      <c r="AA402" t="s">
        <v>393</v>
      </c>
      <c r="AB402" t="s">
        <v>68</v>
      </c>
      <c r="AC402" t="s">
        <v>266</v>
      </c>
      <c r="AD402">
        <v>2024</v>
      </c>
    </row>
    <row r="403" spans="17:30">
      <c r="Q403" t="s">
        <v>81</v>
      </c>
      <c r="R403" t="s">
        <v>1023</v>
      </c>
      <c r="S403" t="s">
        <v>1023</v>
      </c>
      <c r="U403" t="s">
        <v>1682</v>
      </c>
      <c r="V403" t="s">
        <v>804</v>
      </c>
      <c r="W403" t="s">
        <v>67</v>
      </c>
      <c r="X403" s="76">
        <v>7</v>
      </c>
      <c r="Y403" t="s">
        <v>1654</v>
      </c>
      <c r="AA403" t="s">
        <v>393</v>
      </c>
      <c r="AB403" t="s">
        <v>88</v>
      </c>
      <c r="AC403" t="s">
        <v>290</v>
      </c>
      <c r="AD403">
        <v>2024</v>
      </c>
    </row>
    <row r="404" spans="17:30">
      <c r="Q404" t="s">
        <v>81</v>
      </c>
      <c r="R404" t="s">
        <v>1031</v>
      </c>
      <c r="S404" t="s">
        <v>1031</v>
      </c>
      <c r="U404" t="s">
        <v>1682</v>
      </c>
      <c r="V404" t="s">
        <v>804</v>
      </c>
      <c r="W404" t="s">
        <v>87</v>
      </c>
      <c r="X404" s="76">
        <v>800</v>
      </c>
      <c r="Y404" t="s">
        <v>1654</v>
      </c>
      <c r="AA404" t="s">
        <v>403</v>
      </c>
      <c r="AB404" t="s">
        <v>32</v>
      </c>
      <c r="AC404" t="s">
        <v>915</v>
      </c>
      <c r="AD404">
        <v>2024</v>
      </c>
    </row>
    <row r="405" spans="17:30">
      <c r="Q405" t="s">
        <v>81</v>
      </c>
      <c r="R405" t="s">
        <v>1095</v>
      </c>
      <c r="S405" t="s">
        <v>1095</v>
      </c>
      <c r="U405" t="s">
        <v>1393</v>
      </c>
      <c r="V405" t="s">
        <v>813</v>
      </c>
      <c r="W405" t="s">
        <v>1653</v>
      </c>
      <c r="X405" s="76">
        <v>27</v>
      </c>
      <c r="Y405" t="s">
        <v>1654</v>
      </c>
      <c r="AA405" t="s">
        <v>403</v>
      </c>
      <c r="AB405" t="s">
        <v>49</v>
      </c>
      <c r="AC405" t="s">
        <v>1332</v>
      </c>
      <c r="AD405">
        <v>2024</v>
      </c>
    </row>
    <row r="406" spans="17:30">
      <c r="Q406" t="s">
        <v>81</v>
      </c>
      <c r="R406" t="s">
        <v>1120</v>
      </c>
      <c r="S406" t="s">
        <v>1120</v>
      </c>
      <c r="U406" t="s">
        <v>1393</v>
      </c>
      <c r="V406" t="s">
        <v>813</v>
      </c>
      <c r="W406" t="s">
        <v>1655</v>
      </c>
      <c r="X406" s="76">
        <v>1</v>
      </c>
      <c r="Y406" t="s">
        <v>1654</v>
      </c>
      <c r="AA406" t="s">
        <v>403</v>
      </c>
      <c r="AB406" t="s">
        <v>68</v>
      </c>
      <c r="AC406" t="s">
        <v>483</v>
      </c>
      <c r="AD406">
        <v>2024</v>
      </c>
    </row>
    <row r="407" spans="17:30">
      <c r="Q407" t="s">
        <v>81</v>
      </c>
      <c r="R407" t="s">
        <v>1056</v>
      </c>
      <c r="S407" t="s">
        <v>1056</v>
      </c>
      <c r="U407" t="s">
        <v>1393</v>
      </c>
      <c r="V407" t="s">
        <v>813</v>
      </c>
      <c r="W407" t="s">
        <v>67</v>
      </c>
      <c r="X407" s="76">
        <v>7</v>
      </c>
      <c r="Y407" t="s">
        <v>1654</v>
      </c>
      <c r="AA407" t="s">
        <v>403</v>
      </c>
      <c r="AB407" t="s">
        <v>88</v>
      </c>
      <c r="AC407" t="s">
        <v>1591</v>
      </c>
      <c r="AD407">
        <v>2024</v>
      </c>
    </row>
    <row r="408" spans="17:30">
      <c r="Q408" t="s">
        <v>81</v>
      </c>
      <c r="R408" t="s">
        <v>1061</v>
      </c>
      <c r="S408" t="s">
        <v>1061</v>
      </c>
      <c r="U408" t="s">
        <v>1393</v>
      </c>
      <c r="V408" t="s">
        <v>813</v>
      </c>
      <c r="W408" t="s">
        <v>87</v>
      </c>
      <c r="X408" s="76">
        <v>300</v>
      </c>
      <c r="Y408" t="s">
        <v>1654</v>
      </c>
      <c r="AA408" t="s">
        <v>767</v>
      </c>
      <c r="AB408" t="s">
        <v>32</v>
      </c>
      <c r="AC408" t="s">
        <v>1592</v>
      </c>
      <c r="AD408">
        <v>2024</v>
      </c>
    </row>
    <row r="409" spans="17:30">
      <c r="Q409" t="s">
        <v>81</v>
      </c>
      <c r="R409" t="s">
        <v>1068</v>
      </c>
      <c r="S409" t="s">
        <v>1068</v>
      </c>
      <c r="U409" t="s">
        <v>1683</v>
      </c>
      <c r="V409" t="s">
        <v>1001</v>
      </c>
      <c r="W409" t="s">
        <v>1653</v>
      </c>
      <c r="X409" s="76">
        <v>7</v>
      </c>
      <c r="Y409" t="s">
        <v>1654</v>
      </c>
      <c r="AA409" t="s">
        <v>767</v>
      </c>
      <c r="AB409" t="s">
        <v>49</v>
      </c>
      <c r="AC409" t="s">
        <v>1593</v>
      </c>
      <c r="AD409">
        <v>2024</v>
      </c>
    </row>
    <row r="410" spans="17:30">
      <c r="Q410" t="s">
        <v>81</v>
      </c>
      <c r="R410" t="s">
        <v>1079</v>
      </c>
      <c r="S410" t="s">
        <v>1079</v>
      </c>
      <c r="U410" t="s">
        <v>1683</v>
      </c>
      <c r="V410" t="s">
        <v>1001</v>
      </c>
      <c r="W410" t="s">
        <v>1655</v>
      </c>
      <c r="X410" s="76">
        <v>1</v>
      </c>
      <c r="Y410" t="s">
        <v>1654</v>
      </c>
      <c r="AA410" t="s">
        <v>767</v>
      </c>
      <c r="AB410" t="s">
        <v>68</v>
      </c>
      <c r="AC410" t="s">
        <v>950</v>
      </c>
      <c r="AD410">
        <v>2024</v>
      </c>
    </row>
    <row r="411" spans="17:30">
      <c r="Q411" t="s">
        <v>81</v>
      </c>
      <c r="R411" t="s">
        <v>1125</v>
      </c>
      <c r="S411" t="s">
        <v>1125</v>
      </c>
      <c r="U411" t="s">
        <v>1683</v>
      </c>
      <c r="V411" t="s">
        <v>1001</v>
      </c>
      <c r="W411" t="s">
        <v>67</v>
      </c>
      <c r="X411" s="76">
        <v>8</v>
      </c>
      <c r="Y411" t="s">
        <v>1654</v>
      </c>
      <c r="AA411" t="s">
        <v>767</v>
      </c>
      <c r="AB411" t="s">
        <v>88</v>
      </c>
      <c r="AC411" t="s">
        <v>1358</v>
      </c>
      <c r="AD411">
        <v>2024</v>
      </c>
    </row>
    <row r="412" spans="17:30">
      <c r="Q412" t="s">
        <v>81</v>
      </c>
      <c r="R412" t="s">
        <v>1175</v>
      </c>
      <c r="S412" t="s">
        <v>1175</v>
      </c>
      <c r="U412" t="s">
        <v>1683</v>
      </c>
      <c r="V412" t="s">
        <v>1001</v>
      </c>
      <c r="W412" t="s">
        <v>87</v>
      </c>
      <c r="X412" s="76">
        <v>1508</v>
      </c>
      <c r="Y412" t="s">
        <v>1654</v>
      </c>
      <c r="AA412" t="s">
        <v>884</v>
      </c>
      <c r="AB412" t="s">
        <v>32</v>
      </c>
      <c r="AC412" t="s">
        <v>582</v>
      </c>
      <c r="AD412">
        <v>2024</v>
      </c>
    </row>
    <row r="413" spans="17:30">
      <c r="Q413" t="s">
        <v>81</v>
      </c>
      <c r="R413" t="s">
        <v>1182</v>
      </c>
      <c r="S413" t="s">
        <v>1182</v>
      </c>
      <c r="U413" t="s">
        <v>1394</v>
      </c>
      <c r="V413" t="s">
        <v>481</v>
      </c>
      <c r="W413" t="s">
        <v>1653</v>
      </c>
      <c r="X413" s="76">
        <v>5</v>
      </c>
      <c r="Y413" t="s">
        <v>1654</v>
      </c>
      <c r="AA413" t="s">
        <v>884</v>
      </c>
      <c r="AB413" t="s">
        <v>49</v>
      </c>
      <c r="AC413" t="s">
        <v>915</v>
      </c>
      <c r="AD413">
        <v>2024</v>
      </c>
    </row>
    <row r="414" spans="17:30">
      <c r="Q414" t="s">
        <v>81</v>
      </c>
      <c r="R414" t="s">
        <v>1197</v>
      </c>
      <c r="S414" t="s">
        <v>1197</v>
      </c>
      <c r="U414" t="s">
        <v>1394</v>
      </c>
      <c r="V414" t="s">
        <v>481</v>
      </c>
      <c r="W414" t="s">
        <v>1655</v>
      </c>
      <c r="X414" s="76">
        <v>5</v>
      </c>
      <c r="Y414" t="s">
        <v>1654</v>
      </c>
      <c r="AA414" t="s">
        <v>884</v>
      </c>
      <c r="AB414" t="s">
        <v>68</v>
      </c>
      <c r="AC414" t="s">
        <v>1275</v>
      </c>
      <c r="AD414">
        <v>2024</v>
      </c>
    </row>
    <row r="415" spans="17:30">
      <c r="Q415" t="s">
        <v>81</v>
      </c>
      <c r="R415" t="s">
        <v>1211</v>
      </c>
      <c r="S415" t="s">
        <v>1211</v>
      </c>
      <c r="U415" t="s">
        <v>1394</v>
      </c>
      <c r="V415" t="s">
        <v>481</v>
      </c>
      <c r="W415" t="s">
        <v>67</v>
      </c>
      <c r="X415" s="76">
        <v>32</v>
      </c>
      <c r="Y415" t="s">
        <v>1654</v>
      </c>
      <c r="AA415" t="s">
        <v>884</v>
      </c>
      <c r="AB415" t="s">
        <v>88</v>
      </c>
      <c r="AC415" t="s">
        <v>1450</v>
      </c>
      <c r="AD415">
        <v>2024</v>
      </c>
    </row>
    <row r="416" spans="17:30">
      <c r="Q416" t="s">
        <v>81</v>
      </c>
      <c r="R416" t="s">
        <v>1217</v>
      </c>
      <c r="S416" t="s">
        <v>1217</v>
      </c>
      <c r="U416" t="s">
        <v>1394</v>
      </c>
      <c r="V416" t="s">
        <v>481</v>
      </c>
      <c r="W416" t="s">
        <v>87</v>
      </c>
      <c r="X416" s="76">
        <v>200</v>
      </c>
      <c r="Y416" t="s">
        <v>1654</v>
      </c>
      <c r="AA416" t="s">
        <v>1013</v>
      </c>
      <c r="AB416" t="s">
        <v>32</v>
      </c>
      <c r="AC416" t="s">
        <v>1084</v>
      </c>
      <c r="AD416">
        <v>2024</v>
      </c>
    </row>
    <row r="417" spans="17:30">
      <c r="Q417" t="s">
        <v>81</v>
      </c>
      <c r="R417" t="s">
        <v>1245</v>
      </c>
      <c r="S417" t="s">
        <v>1245</v>
      </c>
      <c r="U417" t="s">
        <v>1395</v>
      </c>
      <c r="V417" t="s">
        <v>1189</v>
      </c>
      <c r="W417" t="s">
        <v>1653</v>
      </c>
      <c r="X417" s="76">
        <v>186</v>
      </c>
      <c r="Y417" t="s">
        <v>1654</v>
      </c>
      <c r="AA417" t="s">
        <v>1013</v>
      </c>
      <c r="AB417" t="s">
        <v>68</v>
      </c>
      <c r="AC417" t="s">
        <v>352</v>
      </c>
      <c r="AD417">
        <v>2024</v>
      </c>
    </row>
    <row r="418" spans="17:30">
      <c r="Q418" t="s">
        <v>81</v>
      </c>
      <c r="R418" t="s">
        <v>1259</v>
      </c>
      <c r="S418" t="s">
        <v>1259</v>
      </c>
      <c r="U418" t="s">
        <v>1395</v>
      </c>
      <c r="V418" t="s">
        <v>1189</v>
      </c>
      <c r="W418" t="s">
        <v>1655</v>
      </c>
      <c r="X418" s="76">
        <v>183</v>
      </c>
      <c r="Y418" t="s">
        <v>1654</v>
      </c>
      <c r="AA418" t="s">
        <v>1013</v>
      </c>
      <c r="AB418" t="s">
        <v>88</v>
      </c>
      <c r="AC418" t="s">
        <v>361</v>
      </c>
      <c r="AD418">
        <v>2024</v>
      </c>
    </row>
    <row r="419" spans="17:30">
      <c r="Q419" t="s">
        <v>81</v>
      </c>
      <c r="R419" t="s">
        <v>1255</v>
      </c>
      <c r="S419" t="s">
        <v>1255</v>
      </c>
      <c r="U419" t="s">
        <v>1395</v>
      </c>
      <c r="V419" t="s">
        <v>1189</v>
      </c>
      <c r="W419" t="s">
        <v>67</v>
      </c>
      <c r="X419" s="76">
        <v>1090</v>
      </c>
      <c r="Y419" t="s">
        <v>1654</v>
      </c>
      <c r="AA419" t="s">
        <v>1020</v>
      </c>
      <c r="AB419" t="s">
        <v>32</v>
      </c>
      <c r="AC419" t="s">
        <v>204</v>
      </c>
      <c r="AD419">
        <v>2024</v>
      </c>
    </row>
    <row r="420" spans="17:30">
      <c r="Q420" t="s">
        <v>81</v>
      </c>
      <c r="R420" t="s">
        <v>1269</v>
      </c>
      <c r="S420" t="s">
        <v>1269</v>
      </c>
      <c r="U420" t="s">
        <v>1395</v>
      </c>
      <c r="V420" t="s">
        <v>1189</v>
      </c>
      <c r="W420" t="s">
        <v>87</v>
      </c>
      <c r="X420" s="76">
        <v>26803</v>
      </c>
      <c r="Y420" t="s">
        <v>1654</v>
      </c>
      <c r="AA420" t="s">
        <v>1020</v>
      </c>
      <c r="AB420" t="s">
        <v>49</v>
      </c>
      <c r="AC420" t="s">
        <v>204</v>
      </c>
      <c r="AD420">
        <v>2024</v>
      </c>
    </row>
    <row r="421" spans="17:30">
      <c r="Q421" t="s">
        <v>81</v>
      </c>
      <c r="R421" t="s">
        <v>1311</v>
      </c>
      <c r="S421" t="s">
        <v>1311</v>
      </c>
      <c r="U421" t="s">
        <v>1684</v>
      </c>
      <c r="V421" t="s">
        <v>504</v>
      </c>
      <c r="W421" t="s">
        <v>1653</v>
      </c>
      <c r="X421" s="76"/>
      <c r="Y421" t="s">
        <v>1654</v>
      </c>
      <c r="AA421" t="s">
        <v>1020</v>
      </c>
      <c r="AB421" t="s">
        <v>68</v>
      </c>
      <c r="AC421" t="s">
        <v>1384</v>
      </c>
      <c r="AD421">
        <v>2024</v>
      </c>
    </row>
    <row r="422" spans="17:30">
      <c r="Q422" t="s">
        <v>81</v>
      </c>
      <c r="R422" t="s">
        <v>1321</v>
      </c>
      <c r="S422" t="s">
        <v>1321</v>
      </c>
      <c r="U422" t="s">
        <v>1684</v>
      </c>
      <c r="V422" t="s">
        <v>504</v>
      </c>
      <c r="W422" t="s">
        <v>1655</v>
      </c>
      <c r="X422" s="76"/>
      <c r="Y422" t="s">
        <v>1654</v>
      </c>
      <c r="AA422" t="s">
        <v>1020</v>
      </c>
      <c r="AB422" t="s">
        <v>88</v>
      </c>
      <c r="AC422" t="s">
        <v>988</v>
      </c>
      <c r="AD422">
        <v>2024</v>
      </c>
    </row>
    <row r="423" spans="17:30">
      <c r="Q423" t="s">
        <v>82</v>
      </c>
      <c r="R423" t="s">
        <v>745</v>
      </c>
      <c r="S423" t="s">
        <v>744</v>
      </c>
      <c r="U423" t="s">
        <v>1684</v>
      </c>
      <c r="V423" t="s">
        <v>504</v>
      </c>
      <c r="W423" t="s">
        <v>67</v>
      </c>
      <c r="X423" s="76"/>
      <c r="Y423" t="s">
        <v>1654</v>
      </c>
      <c r="AA423" t="s">
        <v>892</v>
      </c>
      <c r="AB423" t="s">
        <v>32</v>
      </c>
      <c r="AC423" t="s">
        <v>1136</v>
      </c>
      <c r="AD423">
        <v>2024</v>
      </c>
    </row>
    <row r="424" spans="17:30">
      <c r="Q424" t="s">
        <v>82</v>
      </c>
      <c r="R424" t="s">
        <v>41</v>
      </c>
      <c r="S424" t="s">
        <v>40</v>
      </c>
      <c r="U424" t="s">
        <v>1684</v>
      </c>
      <c r="V424" t="s">
        <v>504</v>
      </c>
      <c r="W424" t="s">
        <v>87</v>
      </c>
      <c r="X424" s="76"/>
      <c r="Y424" t="s">
        <v>1654</v>
      </c>
      <c r="AA424" t="s">
        <v>892</v>
      </c>
      <c r="AB424" t="s">
        <v>49</v>
      </c>
      <c r="AC424" t="s">
        <v>1447</v>
      </c>
      <c r="AD424">
        <v>2024</v>
      </c>
    </row>
    <row r="425" spans="17:30">
      <c r="Q425" t="s">
        <v>82</v>
      </c>
      <c r="R425" t="s">
        <v>631</v>
      </c>
      <c r="S425" t="s">
        <v>630</v>
      </c>
      <c r="U425" t="s">
        <v>1396</v>
      </c>
      <c r="V425" t="s">
        <v>517</v>
      </c>
      <c r="W425" t="s">
        <v>1653</v>
      </c>
      <c r="X425" s="76">
        <v>16</v>
      </c>
      <c r="Y425" t="s">
        <v>1654</v>
      </c>
      <c r="AA425" t="s">
        <v>892</v>
      </c>
      <c r="AB425" t="s">
        <v>68</v>
      </c>
      <c r="AC425" t="s">
        <v>1523</v>
      </c>
      <c r="AD425">
        <v>2024</v>
      </c>
    </row>
    <row r="426" spans="17:30">
      <c r="Q426" t="s">
        <v>82</v>
      </c>
      <c r="R426" t="s">
        <v>95</v>
      </c>
      <c r="S426" t="s">
        <v>94</v>
      </c>
      <c r="U426" t="s">
        <v>1396</v>
      </c>
      <c r="V426" t="s">
        <v>517</v>
      </c>
      <c r="W426" t="s">
        <v>1655</v>
      </c>
      <c r="X426" s="76">
        <v>14</v>
      </c>
      <c r="Y426" t="s">
        <v>1654</v>
      </c>
      <c r="AA426" t="s">
        <v>892</v>
      </c>
      <c r="AB426" t="s">
        <v>88</v>
      </c>
      <c r="AC426" t="s">
        <v>1594</v>
      </c>
      <c r="AD426">
        <v>2024</v>
      </c>
    </row>
    <row r="427" spans="17:30">
      <c r="Q427" t="s">
        <v>82</v>
      </c>
      <c r="R427" t="s">
        <v>171</v>
      </c>
      <c r="S427" t="s">
        <v>170</v>
      </c>
      <c r="U427" t="s">
        <v>1396</v>
      </c>
      <c r="V427" t="s">
        <v>517</v>
      </c>
      <c r="W427" t="s">
        <v>67</v>
      </c>
      <c r="X427" s="76">
        <v>67</v>
      </c>
      <c r="Y427" t="s">
        <v>1654</v>
      </c>
      <c r="AA427" t="s">
        <v>1035</v>
      </c>
      <c r="AB427" t="s">
        <v>32</v>
      </c>
      <c r="AC427" t="s">
        <v>1448</v>
      </c>
      <c r="AD427">
        <v>2024</v>
      </c>
    </row>
    <row r="428" spans="17:30">
      <c r="Q428" t="s">
        <v>82</v>
      </c>
      <c r="R428" t="s">
        <v>311</v>
      </c>
      <c r="S428" t="s">
        <v>310</v>
      </c>
      <c r="U428" t="s">
        <v>1396</v>
      </c>
      <c r="V428" t="s">
        <v>517</v>
      </c>
      <c r="W428" t="s">
        <v>87</v>
      </c>
      <c r="X428" s="76">
        <v>18000</v>
      </c>
      <c r="Y428" t="s">
        <v>1654</v>
      </c>
      <c r="AA428" t="s">
        <v>1035</v>
      </c>
      <c r="AB428" t="s">
        <v>49</v>
      </c>
      <c r="AC428" t="s">
        <v>1448</v>
      </c>
      <c r="AD428">
        <v>2024</v>
      </c>
    </row>
    <row r="429" spans="17:30">
      <c r="Q429" t="s">
        <v>82</v>
      </c>
      <c r="R429" t="s">
        <v>336</v>
      </c>
      <c r="S429" t="s">
        <v>335</v>
      </c>
      <c r="U429" t="s">
        <v>1685</v>
      </c>
      <c r="V429" t="s">
        <v>1014</v>
      </c>
      <c r="W429" t="s">
        <v>1653</v>
      </c>
      <c r="X429" s="76">
        <v>7</v>
      </c>
      <c r="Y429" t="s">
        <v>1654</v>
      </c>
      <c r="AA429" t="s">
        <v>1035</v>
      </c>
      <c r="AB429" t="s">
        <v>68</v>
      </c>
      <c r="AC429" t="s">
        <v>1595</v>
      </c>
      <c r="AD429">
        <v>2024</v>
      </c>
    </row>
    <row r="430" spans="17:30">
      <c r="Q430" t="s">
        <v>82</v>
      </c>
      <c r="R430" t="s">
        <v>487</v>
      </c>
      <c r="S430" t="s">
        <v>486</v>
      </c>
      <c r="U430" t="s">
        <v>1685</v>
      </c>
      <c r="V430" t="s">
        <v>1014</v>
      </c>
      <c r="W430" t="s">
        <v>1655</v>
      </c>
      <c r="X430" s="76">
        <v>7</v>
      </c>
      <c r="Y430" t="s">
        <v>1654</v>
      </c>
      <c r="AA430" t="s">
        <v>1035</v>
      </c>
      <c r="AB430" t="s">
        <v>88</v>
      </c>
      <c r="AC430" t="s">
        <v>1531</v>
      </c>
      <c r="AD430">
        <v>2024</v>
      </c>
    </row>
    <row r="431" spans="17:30">
      <c r="Q431" t="s">
        <v>82</v>
      </c>
      <c r="R431" t="s">
        <v>464</v>
      </c>
      <c r="S431" t="s">
        <v>463</v>
      </c>
      <c r="U431" t="s">
        <v>1685</v>
      </c>
      <c r="V431" t="s">
        <v>1014</v>
      </c>
      <c r="W431" t="s">
        <v>67</v>
      </c>
      <c r="X431" s="76">
        <v>34</v>
      </c>
      <c r="Y431" t="s">
        <v>1654</v>
      </c>
      <c r="AA431" t="s">
        <v>899</v>
      </c>
      <c r="AB431" t="s">
        <v>32</v>
      </c>
      <c r="AC431" t="s">
        <v>932</v>
      </c>
      <c r="AD431">
        <v>2024</v>
      </c>
    </row>
    <row r="432" spans="17:30">
      <c r="Q432" t="s">
        <v>82</v>
      </c>
      <c r="R432" t="s">
        <v>577</v>
      </c>
      <c r="S432" t="s">
        <v>576</v>
      </c>
      <c r="U432" t="s">
        <v>1685</v>
      </c>
      <c r="V432" t="s">
        <v>1014</v>
      </c>
      <c r="W432" t="s">
        <v>87</v>
      </c>
      <c r="X432" s="76">
        <v>172</v>
      </c>
      <c r="Y432" t="s">
        <v>1654</v>
      </c>
      <c r="AA432" t="s">
        <v>899</v>
      </c>
      <c r="AB432" t="s">
        <v>49</v>
      </c>
      <c r="AC432" t="s">
        <v>1450</v>
      </c>
      <c r="AD432">
        <v>2024</v>
      </c>
    </row>
    <row r="433" spans="17:30">
      <c r="Q433" t="s">
        <v>82</v>
      </c>
      <c r="R433" t="s">
        <v>514</v>
      </c>
      <c r="S433" t="s">
        <v>513</v>
      </c>
      <c r="U433" t="s">
        <v>1686</v>
      </c>
      <c r="V433" t="s">
        <v>529</v>
      </c>
      <c r="W433" t="s">
        <v>1653</v>
      </c>
      <c r="X433" s="76">
        <v>130</v>
      </c>
      <c r="Y433" t="s">
        <v>1654</v>
      </c>
      <c r="AA433" t="s">
        <v>899</v>
      </c>
      <c r="AB433" t="s">
        <v>68</v>
      </c>
      <c r="AC433" t="s">
        <v>1596</v>
      </c>
      <c r="AD433">
        <v>2024</v>
      </c>
    </row>
    <row r="434" spans="17:30">
      <c r="Q434" t="s">
        <v>82</v>
      </c>
      <c r="R434" t="s">
        <v>235</v>
      </c>
      <c r="S434" t="s">
        <v>234</v>
      </c>
      <c r="U434" t="s">
        <v>1686</v>
      </c>
      <c r="V434" t="s">
        <v>529</v>
      </c>
      <c r="W434" t="s">
        <v>1655</v>
      </c>
      <c r="X434" s="76">
        <v>18</v>
      </c>
      <c r="Y434" t="s">
        <v>1654</v>
      </c>
      <c r="AA434" t="s">
        <v>899</v>
      </c>
      <c r="AB434" t="s">
        <v>88</v>
      </c>
      <c r="AC434" t="s">
        <v>69</v>
      </c>
      <c r="AD434">
        <v>2024</v>
      </c>
    </row>
    <row r="435" spans="17:30">
      <c r="Q435" t="s">
        <v>82</v>
      </c>
      <c r="R435" t="s">
        <v>1069</v>
      </c>
      <c r="S435" t="s">
        <v>1068</v>
      </c>
      <c r="U435" t="s">
        <v>1686</v>
      </c>
      <c r="V435" t="s">
        <v>529</v>
      </c>
      <c r="W435" t="s">
        <v>67</v>
      </c>
      <c r="X435" s="76">
        <v>1118</v>
      </c>
      <c r="Y435" t="s">
        <v>1654</v>
      </c>
      <c r="AA435" t="s">
        <v>416</v>
      </c>
      <c r="AB435" t="s">
        <v>32</v>
      </c>
      <c r="AC435" t="s">
        <v>807</v>
      </c>
      <c r="AD435">
        <v>2024</v>
      </c>
    </row>
    <row r="436" spans="17:30">
      <c r="Q436" t="s">
        <v>82</v>
      </c>
      <c r="R436" t="s">
        <v>935</v>
      </c>
      <c r="S436" t="s">
        <v>934</v>
      </c>
      <c r="U436" t="s">
        <v>1686</v>
      </c>
      <c r="V436" t="s">
        <v>529</v>
      </c>
      <c r="W436" t="s">
        <v>87</v>
      </c>
      <c r="X436" s="76">
        <v>20000</v>
      </c>
      <c r="Y436" t="s">
        <v>1654</v>
      </c>
      <c r="AA436" t="s">
        <v>416</v>
      </c>
      <c r="AB436" t="s">
        <v>49</v>
      </c>
      <c r="AC436" t="s">
        <v>1094</v>
      </c>
      <c r="AD436">
        <v>2024</v>
      </c>
    </row>
    <row r="437" spans="17:30">
      <c r="Q437" t="s">
        <v>82</v>
      </c>
      <c r="R437" t="s">
        <v>1126</v>
      </c>
      <c r="S437" t="s">
        <v>1125</v>
      </c>
      <c r="U437" t="s">
        <v>1397</v>
      </c>
      <c r="V437" t="s">
        <v>542</v>
      </c>
      <c r="W437" t="s">
        <v>1653</v>
      </c>
      <c r="X437" s="76"/>
      <c r="Y437" t="s">
        <v>1654</v>
      </c>
      <c r="AA437" t="s">
        <v>416</v>
      </c>
      <c r="AB437" t="s">
        <v>68</v>
      </c>
      <c r="AC437" t="s">
        <v>1597</v>
      </c>
      <c r="AD437">
        <v>2024</v>
      </c>
    </row>
    <row r="438" spans="17:30">
      <c r="Q438" t="s">
        <v>82</v>
      </c>
      <c r="R438" t="s">
        <v>1256</v>
      </c>
      <c r="S438" t="s">
        <v>1255</v>
      </c>
      <c r="U438" t="s">
        <v>1397</v>
      </c>
      <c r="V438" t="s">
        <v>542</v>
      </c>
      <c r="W438" t="s">
        <v>1655</v>
      </c>
      <c r="X438" s="76"/>
      <c r="Y438" t="s">
        <v>1654</v>
      </c>
      <c r="AA438" t="s">
        <v>416</v>
      </c>
      <c r="AB438" t="s">
        <v>88</v>
      </c>
      <c r="AC438" t="s">
        <v>506</v>
      </c>
      <c r="AD438">
        <v>2024</v>
      </c>
    </row>
    <row r="439" spans="17:30">
      <c r="Q439" t="s">
        <v>82</v>
      </c>
      <c r="R439" t="s">
        <v>1270</v>
      </c>
      <c r="S439" t="s">
        <v>1269</v>
      </c>
      <c r="U439" t="s">
        <v>1397</v>
      </c>
      <c r="V439" t="s">
        <v>542</v>
      </c>
      <c r="W439" t="s">
        <v>67</v>
      </c>
      <c r="X439" s="76"/>
      <c r="Y439" t="s">
        <v>1654</v>
      </c>
      <c r="AA439" t="s">
        <v>908</v>
      </c>
      <c r="AB439" t="s">
        <v>32</v>
      </c>
      <c r="AC439" t="s">
        <v>1449</v>
      </c>
      <c r="AD439">
        <v>2024</v>
      </c>
    </row>
    <row r="440" spans="17:30">
      <c r="Q440" t="s">
        <v>82</v>
      </c>
      <c r="R440" t="s">
        <v>1080</v>
      </c>
      <c r="S440" t="s">
        <v>1079</v>
      </c>
      <c r="U440" t="s">
        <v>1397</v>
      </c>
      <c r="V440" t="s">
        <v>542</v>
      </c>
      <c r="W440" t="s">
        <v>87</v>
      </c>
      <c r="X440" s="76"/>
      <c r="Y440" t="s">
        <v>1654</v>
      </c>
      <c r="AA440" t="s">
        <v>908</v>
      </c>
      <c r="AB440" t="s">
        <v>49</v>
      </c>
      <c r="AC440" t="s">
        <v>139</v>
      </c>
      <c r="AD440">
        <v>2024</v>
      </c>
    </row>
    <row r="441" spans="17:30">
      <c r="Q441" t="s">
        <v>82</v>
      </c>
      <c r="R441" t="s">
        <v>222</v>
      </c>
      <c r="S441" t="s">
        <v>221</v>
      </c>
      <c r="U441" t="s">
        <v>1399</v>
      </c>
      <c r="V441" t="s">
        <v>555</v>
      </c>
      <c r="W441" t="s">
        <v>1653</v>
      </c>
      <c r="X441" s="76"/>
      <c r="Y441" t="s">
        <v>1654</v>
      </c>
      <c r="AA441" t="s">
        <v>908</v>
      </c>
      <c r="AB441" t="s">
        <v>68</v>
      </c>
      <c r="AC441" t="s">
        <v>1598</v>
      </c>
      <c r="AD441">
        <v>2024</v>
      </c>
    </row>
    <row r="442" spans="17:30">
      <c r="Q442" t="s">
        <v>82</v>
      </c>
      <c r="R442" t="s">
        <v>810</v>
      </c>
      <c r="S442" t="s">
        <v>809</v>
      </c>
      <c r="U442" t="s">
        <v>1399</v>
      </c>
      <c r="V442" t="s">
        <v>555</v>
      </c>
      <c r="W442" t="s">
        <v>1655</v>
      </c>
      <c r="X442" s="76"/>
      <c r="Y442" t="s">
        <v>1654</v>
      </c>
      <c r="AA442" t="s">
        <v>908</v>
      </c>
      <c r="AB442" t="s">
        <v>88</v>
      </c>
      <c r="AC442" t="s">
        <v>815</v>
      </c>
      <c r="AD442">
        <v>2024</v>
      </c>
    </row>
    <row r="443" spans="17:30">
      <c r="Q443" t="s">
        <v>82</v>
      </c>
      <c r="R443" t="s">
        <v>1062</v>
      </c>
      <c r="S443" t="s">
        <v>1061</v>
      </c>
      <c r="U443" t="s">
        <v>1399</v>
      </c>
      <c r="V443" t="s">
        <v>555</v>
      </c>
      <c r="W443" t="s">
        <v>67</v>
      </c>
      <c r="X443" s="76"/>
      <c r="Y443" t="s">
        <v>1654</v>
      </c>
      <c r="AA443" t="s">
        <v>427</v>
      </c>
      <c r="AB443" t="s">
        <v>32</v>
      </c>
      <c r="AC443" t="s">
        <v>483</v>
      </c>
      <c r="AD443">
        <v>2024</v>
      </c>
    </row>
    <row r="444" spans="17:30">
      <c r="Q444" t="s">
        <v>82</v>
      </c>
      <c r="R444" t="s">
        <v>1198</v>
      </c>
      <c r="S444" t="s">
        <v>1197</v>
      </c>
      <c r="U444" t="s">
        <v>1399</v>
      </c>
      <c r="V444" t="s">
        <v>555</v>
      </c>
      <c r="W444" t="s">
        <v>87</v>
      </c>
      <c r="X444" s="76"/>
      <c r="Y444" t="s">
        <v>1654</v>
      </c>
      <c r="AA444" t="s">
        <v>427</v>
      </c>
      <c r="AB444" t="s">
        <v>49</v>
      </c>
      <c r="AC444" t="s">
        <v>483</v>
      </c>
      <c r="AD444">
        <v>2024</v>
      </c>
    </row>
    <row r="445" spans="17:30">
      <c r="Q445" t="s">
        <v>82</v>
      </c>
      <c r="R445" t="s">
        <v>607</v>
      </c>
      <c r="S445" t="s">
        <v>606</v>
      </c>
      <c r="U445" t="s">
        <v>1399</v>
      </c>
      <c r="V445" t="s">
        <v>555</v>
      </c>
      <c r="W445" t="s">
        <v>1653</v>
      </c>
      <c r="X445" s="76"/>
      <c r="Y445" t="s">
        <v>1654</v>
      </c>
      <c r="AA445" t="s">
        <v>427</v>
      </c>
      <c r="AB445" t="s">
        <v>68</v>
      </c>
      <c r="AC445" t="s">
        <v>1409</v>
      </c>
      <c r="AD445">
        <v>2024</v>
      </c>
    </row>
    <row r="446" spans="17:30">
      <c r="Q446" t="s">
        <v>82</v>
      </c>
      <c r="R446" t="s">
        <v>619</v>
      </c>
      <c r="S446" t="s">
        <v>618</v>
      </c>
      <c r="U446" t="s">
        <v>1400</v>
      </c>
      <c r="V446" t="s">
        <v>1021</v>
      </c>
      <c r="W446" t="s">
        <v>1653</v>
      </c>
      <c r="X446" s="76">
        <v>302</v>
      </c>
      <c r="Y446" t="s">
        <v>1654</v>
      </c>
      <c r="AA446" t="s">
        <v>918</v>
      </c>
      <c r="AB446" t="s">
        <v>32</v>
      </c>
      <c r="AC446" t="s">
        <v>1450</v>
      </c>
      <c r="AD446">
        <v>2024</v>
      </c>
    </row>
    <row r="447" spans="17:30">
      <c r="Q447" t="s">
        <v>82</v>
      </c>
      <c r="R447" t="s">
        <v>661</v>
      </c>
      <c r="S447" t="s">
        <v>660</v>
      </c>
      <c r="U447" t="s">
        <v>1400</v>
      </c>
      <c r="V447" t="s">
        <v>1021</v>
      </c>
      <c r="W447" t="s">
        <v>1655</v>
      </c>
      <c r="X447" s="76">
        <v>25</v>
      </c>
      <c r="Y447" t="s">
        <v>1654</v>
      </c>
      <c r="AA447" t="s">
        <v>918</v>
      </c>
      <c r="AB447" t="s">
        <v>49</v>
      </c>
      <c r="AC447" t="s">
        <v>374</v>
      </c>
      <c r="AD447">
        <v>2024</v>
      </c>
    </row>
    <row r="448" spans="17:30">
      <c r="Q448" t="s">
        <v>82</v>
      </c>
      <c r="R448" t="s">
        <v>672</v>
      </c>
      <c r="S448" t="s">
        <v>671</v>
      </c>
      <c r="U448" t="s">
        <v>1400</v>
      </c>
      <c r="V448" t="s">
        <v>1021</v>
      </c>
      <c r="W448" t="s">
        <v>67</v>
      </c>
      <c r="X448" s="76">
        <v>90</v>
      </c>
      <c r="Y448" t="s">
        <v>1654</v>
      </c>
      <c r="AA448" t="s">
        <v>918</v>
      </c>
      <c r="AB448" t="s">
        <v>68</v>
      </c>
      <c r="AC448" t="s">
        <v>1599</v>
      </c>
      <c r="AD448">
        <v>2024</v>
      </c>
    </row>
    <row r="449" spans="17:30">
      <c r="Q449" t="s">
        <v>82</v>
      </c>
      <c r="R449" t="s">
        <v>705</v>
      </c>
      <c r="S449" t="s">
        <v>704</v>
      </c>
      <c r="U449" t="s">
        <v>1400</v>
      </c>
      <c r="V449" t="s">
        <v>1021</v>
      </c>
      <c r="W449" t="s">
        <v>87</v>
      </c>
      <c r="X449" s="76">
        <v>3895</v>
      </c>
      <c r="Y449" t="s">
        <v>1654</v>
      </c>
      <c r="AA449" t="s">
        <v>918</v>
      </c>
      <c r="AB449" t="s">
        <v>88</v>
      </c>
      <c r="AC449" t="s">
        <v>1600</v>
      </c>
      <c r="AD449">
        <v>2024</v>
      </c>
    </row>
    <row r="450" spans="17:30">
      <c r="Q450" t="s">
        <v>82</v>
      </c>
      <c r="R450" t="s">
        <v>678</v>
      </c>
      <c r="S450" t="s">
        <v>677</v>
      </c>
      <c r="U450" t="s">
        <v>1687</v>
      </c>
      <c r="V450" t="s">
        <v>567</v>
      </c>
      <c r="W450" t="s">
        <v>1653</v>
      </c>
      <c r="X450" s="76">
        <v>1660</v>
      </c>
      <c r="Y450" t="s">
        <v>1654</v>
      </c>
      <c r="AA450" t="s">
        <v>1065</v>
      </c>
      <c r="AB450" t="s">
        <v>32</v>
      </c>
      <c r="AC450" t="s">
        <v>1275</v>
      </c>
      <c r="AD450">
        <v>2024</v>
      </c>
    </row>
    <row r="451" spans="17:30">
      <c r="Q451" t="s">
        <v>82</v>
      </c>
      <c r="R451" t="s">
        <v>718</v>
      </c>
      <c r="S451" t="s">
        <v>717</v>
      </c>
      <c r="U451" t="s">
        <v>1687</v>
      </c>
      <c r="V451" t="s">
        <v>567</v>
      </c>
      <c r="W451" t="s">
        <v>1655</v>
      </c>
      <c r="X451" s="76">
        <v>18</v>
      </c>
      <c r="Y451" t="s">
        <v>1654</v>
      </c>
      <c r="AA451" t="s">
        <v>1065</v>
      </c>
      <c r="AB451" t="s">
        <v>68</v>
      </c>
      <c r="AC451" t="s">
        <v>1601</v>
      </c>
      <c r="AD451">
        <v>2024</v>
      </c>
    </row>
    <row r="452" spans="17:30">
      <c r="Q452" t="s">
        <v>82</v>
      </c>
      <c r="R452" t="s">
        <v>779</v>
      </c>
      <c r="S452" t="s">
        <v>778</v>
      </c>
      <c r="U452" t="s">
        <v>1687</v>
      </c>
      <c r="V452" t="s">
        <v>567</v>
      </c>
      <c r="W452" t="s">
        <v>67</v>
      </c>
      <c r="X452" s="76">
        <v>668</v>
      </c>
      <c r="Y452" t="s">
        <v>1654</v>
      </c>
      <c r="AA452" t="s">
        <v>1065</v>
      </c>
      <c r="AB452" t="s">
        <v>88</v>
      </c>
      <c r="AC452" t="s">
        <v>506</v>
      </c>
      <c r="AD452">
        <v>2024</v>
      </c>
    </row>
    <row r="453" spans="17:30">
      <c r="Q453" t="s">
        <v>82</v>
      </c>
      <c r="R453" t="s">
        <v>818</v>
      </c>
      <c r="S453" t="s">
        <v>817</v>
      </c>
      <c r="U453" t="s">
        <v>1687</v>
      </c>
      <c r="V453" t="s">
        <v>567</v>
      </c>
      <c r="W453" t="s">
        <v>87</v>
      </c>
      <c r="X453" s="76">
        <v>283144</v>
      </c>
      <c r="Y453" t="s">
        <v>1654</v>
      </c>
      <c r="AA453" t="s">
        <v>925</v>
      </c>
      <c r="AB453" t="s">
        <v>32</v>
      </c>
      <c r="AC453" t="s">
        <v>872</v>
      </c>
      <c r="AD453">
        <v>2024</v>
      </c>
    </row>
    <row r="454" spans="17:30">
      <c r="Q454" t="s">
        <v>82</v>
      </c>
      <c r="R454" t="s">
        <v>827</v>
      </c>
      <c r="S454" t="s">
        <v>826</v>
      </c>
      <c r="U454" t="s">
        <v>1401</v>
      </c>
      <c r="V454" t="s">
        <v>822</v>
      </c>
      <c r="W454" t="s">
        <v>1653</v>
      </c>
      <c r="X454" s="76">
        <v>4</v>
      </c>
      <c r="Y454" t="s">
        <v>1654</v>
      </c>
      <c r="AA454" t="s">
        <v>925</v>
      </c>
      <c r="AB454" t="s">
        <v>49</v>
      </c>
      <c r="AC454" t="s">
        <v>1602</v>
      </c>
      <c r="AD454">
        <v>2024</v>
      </c>
    </row>
    <row r="455" spans="17:30">
      <c r="Q455" t="s">
        <v>82</v>
      </c>
      <c r="R455" t="s">
        <v>1057</v>
      </c>
      <c r="S455" t="s">
        <v>1056</v>
      </c>
      <c r="U455" t="s">
        <v>1401</v>
      </c>
      <c r="V455" t="s">
        <v>822</v>
      </c>
      <c r="W455" t="s">
        <v>1655</v>
      </c>
      <c r="X455" s="76">
        <v>0</v>
      </c>
      <c r="Y455" t="s">
        <v>1654</v>
      </c>
      <c r="AA455" t="s">
        <v>925</v>
      </c>
      <c r="AB455" t="s">
        <v>68</v>
      </c>
      <c r="AC455" t="s">
        <v>1603</v>
      </c>
      <c r="AD455">
        <v>2024</v>
      </c>
    </row>
    <row r="456" spans="17:30">
      <c r="Q456" t="s">
        <v>82</v>
      </c>
      <c r="R456" t="s">
        <v>1246</v>
      </c>
      <c r="S456" t="s">
        <v>1245</v>
      </c>
      <c r="U456" t="s">
        <v>1401</v>
      </c>
      <c r="V456" t="s">
        <v>822</v>
      </c>
      <c r="W456" t="s">
        <v>67</v>
      </c>
      <c r="X456" s="76">
        <v>15</v>
      </c>
      <c r="Y456" t="s">
        <v>1654</v>
      </c>
      <c r="AA456" t="s">
        <v>925</v>
      </c>
      <c r="AB456" t="s">
        <v>88</v>
      </c>
      <c r="AC456" t="s">
        <v>456</v>
      </c>
      <c r="AD456">
        <v>2024</v>
      </c>
    </row>
    <row r="457" spans="17:30">
      <c r="Q457" t="s">
        <v>82</v>
      </c>
      <c r="R457" t="s">
        <v>974</v>
      </c>
      <c r="S457" t="s">
        <v>973</v>
      </c>
      <c r="U457" t="s">
        <v>1401</v>
      </c>
      <c r="V457" t="s">
        <v>822</v>
      </c>
      <c r="W457" t="s">
        <v>87</v>
      </c>
      <c r="X457" s="76">
        <v>130</v>
      </c>
      <c r="Y457" t="s">
        <v>1654</v>
      </c>
      <c r="AA457" t="s">
        <v>440</v>
      </c>
      <c r="AB457" t="s">
        <v>32</v>
      </c>
      <c r="AC457" t="s">
        <v>1268</v>
      </c>
      <c r="AD457">
        <v>2024</v>
      </c>
    </row>
    <row r="458" spans="17:30">
      <c r="Q458" t="s">
        <v>82</v>
      </c>
      <c r="R458" t="s">
        <v>979</v>
      </c>
      <c r="S458" t="s">
        <v>978</v>
      </c>
      <c r="U458" t="s">
        <v>1403</v>
      </c>
      <c r="V458" t="s">
        <v>1221</v>
      </c>
      <c r="W458" t="s">
        <v>1653</v>
      </c>
      <c r="X458" s="76">
        <v>75</v>
      </c>
      <c r="Y458" t="s">
        <v>1654</v>
      </c>
      <c r="AA458" t="s">
        <v>440</v>
      </c>
      <c r="AB458" t="s">
        <v>49</v>
      </c>
      <c r="AC458" t="s">
        <v>1419</v>
      </c>
      <c r="AD458">
        <v>2024</v>
      </c>
    </row>
    <row r="459" spans="17:30">
      <c r="Q459" t="s">
        <v>82</v>
      </c>
      <c r="R459" t="s">
        <v>1176</v>
      </c>
      <c r="S459" t="s">
        <v>1175</v>
      </c>
      <c r="U459" t="s">
        <v>1403</v>
      </c>
      <c r="V459" t="s">
        <v>1221</v>
      </c>
      <c r="W459" t="s">
        <v>1655</v>
      </c>
      <c r="X459" s="76">
        <v>14</v>
      </c>
      <c r="Y459" t="s">
        <v>1654</v>
      </c>
      <c r="AA459" t="s">
        <v>440</v>
      </c>
      <c r="AB459" t="s">
        <v>68</v>
      </c>
      <c r="AC459" t="s">
        <v>1604</v>
      </c>
      <c r="AD459">
        <v>2024</v>
      </c>
    </row>
    <row r="460" spans="17:30">
      <c r="Q460" t="s">
        <v>82</v>
      </c>
      <c r="R460" t="s">
        <v>1183</v>
      </c>
      <c r="S460" t="s">
        <v>1182</v>
      </c>
      <c r="U460" t="s">
        <v>1403</v>
      </c>
      <c r="V460" t="s">
        <v>1221</v>
      </c>
      <c r="W460" t="s">
        <v>67</v>
      </c>
      <c r="X460" s="76">
        <v>4357</v>
      </c>
      <c r="Y460" t="s">
        <v>1654</v>
      </c>
      <c r="AA460" t="s">
        <v>440</v>
      </c>
      <c r="AB460" t="s">
        <v>88</v>
      </c>
      <c r="AC460" t="s">
        <v>506</v>
      </c>
      <c r="AD460">
        <v>2024</v>
      </c>
    </row>
    <row r="461" spans="17:30">
      <c r="Q461" t="s">
        <v>82</v>
      </c>
      <c r="R461" t="s">
        <v>1218</v>
      </c>
      <c r="S461" t="s">
        <v>1217</v>
      </c>
      <c r="U461" t="s">
        <v>1403</v>
      </c>
      <c r="V461" t="s">
        <v>1221</v>
      </c>
      <c r="W461" t="s">
        <v>87</v>
      </c>
      <c r="X461" s="76">
        <v>12878</v>
      </c>
      <c r="Y461" t="s">
        <v>1654</v>
      </c>
      <c r="AA461" t="s">
        <v>454</v>
      </c>
      <c r="AB461" t="s">
        <v>32</v>
      </c>
      <c r="AC461" t="s">
        <v>1452</v>
      </c>
      <c r="AD461">
        <v>2024</v>
      </c>
    </row>
    <row r="462" spans="17:30">
      <c r="Q462" t="s">
        <v>82</v>
      </c>
      <c r="R462" t="s">
        <v>1212</v>
      </c>
      <c r="S462" t="s">
        <v>1211</v>
      </c>
      <c r="U462" t="s">
        <v>1404</v>
      </c>
      <c r="V462" t="s">
        <v>1003</v>
      </c>
      <c r="W462" t="s">
        <v>1653</v>
      </c>
      <c r="X462" s="76"/>
      <c r="Y462" t="s">
        <v>1654</v>
      </c>
      <c r="AA462" t="s">
        <v>454</v>
      </c>
      <c r="AB462" t="s">
        <v>49</v>
      </c>
      <c r="AC462" t="s">
        <v>1453</v>
      </c>
      <c r="AD462">
        <v>2024</v>
      </c>
    </row>
    <row r="463" spans="17:30">
      <c r="Q463" t="s">
        <v>82</v>
      </c>
      <c r="R463" t="s">
        <v>501</v>
      </c>
      <c r="S463" t="s">
        <v>500</v>
      </c>
      <c r="U463" t="s">
        <v>1404</v>
      </c>
      <c r="V463" t="s">
        <v>1003</v>
      </c>
      <c r="W463" t="s">
        <v>1655</v>
      </c>
      <c r="X463" s="76"/>
      <c r="Y463" t="s">
        <v>1654</v>
      </c>
      <c r="AA463" t="s">
        <v>454</v>
      </c>
      <c r="AB463" t="s">
        <v>68</v>
      </c>
      <c r="AC463" t="s">
        <v>1362</v>
      </c>
      <c r="AD463">
        <v>2024</v>
      </c>
    </row>
    <row r="464" spans="17:30">
      <c r="Q464" t="s">
        <v>82</v>
      </c>
      <c r="R464" t="s">
        <v>712</v>
      </c>
      <c r="S464" t="s">
        <v>711</v>
      </c>
      <c r="U464" t="s">
        <v>1404</v>
      </c>
      <c r="V464" t="s">
        <v>1003</v>
      </c>
      <c r="W464" t="s">
        <v>67</v>
      </c>
      <c r="X464" s="76"/>
      <c r="Y464" t="s">
        <v>1654</v>
      </c>
      <c r="AA464" t="s">
        <v>454</v>
      </c>
      <c r="AB464" t="s">
        <v>88</v>
      </c>
      <c r="AC464" t="s">
        <v>1454</v>
      </c>
      <c r="AD464">
        <v>2024</v>
      </c>
    </row>
    <row r="465" spans="17:30">
      <c r="Q465" t="s">
        <v>82</v>
      </c>
      <c r="R465" t="s">
        <v>990</v>
      </c>
      <c r="S465" t="s">
        <v>989</v>
      </c>
      <c r="U465" t="s">
        <v>1404</v>
      </c>
      <c r="V465" t="s">
        <v>1003</v>
      </c>
      <c r="W465" t="s">
        <v>87</v>
      </c>
      <c r="X465" s="76"/>
      <c r="Y465" t="s">
        <v>1654</v>
      </c>
      <c r="AA465" t="s">
        <v>1067</v>
      </c>
      <c r="AB465" t="s">
        <v>32</v>
      </c>
      <c r="AC465" t="s">
        <v>1443</v>
      </c>
      <c r="AD465">
        <v>2024</v>
      </c>
    </row>
    <row r="466" spans="17:30">
      <c r="Q466" t="s">
        <v>82</v>
      </c>
      <c r="R466" t="s">
        <v>146</v>
      </c>
      <c r="S466" t="s">
        <v>145</v>
      </c>
      <c r="U466" t="s">
        <v>1407</v>
      </c>
      <c r="V466" t="s">
        <v>580</v>
      </c>
      <c r="W466" t="s">
        <v>1653</v>
      </c>
      <c r="X466" s="76">
        <v>1583</v>
      </c>
      <c r="Y466" t="s">
        <v>1654</v>
      </c>
      <c r="AA466" t="s">
        <v>1067</v>
      </c>
      <c r="AB466" t="s">
        <v>49</v>
      </c>
      <c r="AC466" t="s">
        <v>1443</v>
      </c>
      <c r="AD466">
        <v>2024</v>
      </c>
    </row>
    <row r="467" spans="17:30">
      <c r="Q467" t="s">
        <v>82</v>
      </c>
      <c r="R467" t="s">
        <v>1322</v>
      </c>
      <c r="S467" t="s">
        <v>1321</v>
      </c>
      <c r="U467" t="s">
        <v>1407</v>
      </c>
      <c r="V467" t="s">
        <v>580</v>
      </c>
      <c r="W467" t="s">
        <v>1655</v>
      </c>
      <c r="X467" s="76">
        <v>32</v>
      </c>
      <c r="Y467" t="s">
        <v>1654</v>
      </c>
      <c r="AA467" t="s">
        <v>1067</v>
      </c>
      <c r="AB467" t="s">
        <v>68</v>
      </c>
      <c r="AC467" t="s">
        <v>1432</v>
      </c>
      <c r="AD467">
        <v>2024</v>
      </c>
    </row>
    <row r="468" spans="17:30">
      <c r="Q468" t="s">
        <v>82</v>
      </c>
      <c r="R468" t="s">
        <v>1260</v>
      </c>
      <c r="S468" t="s">
        <v>1259</v>
      </c>
      <c r="U468" t="s">
        <v>1407</v>
      </c>
      <c r="V468" t="s">
        <v>580</v>
      </c>
      <c r="W468" t="s">
        <v>67</v>
      </c>
      <c r="X468" s="76">
        <v>171</v>
      </c>
      <c r="Y468" t="s">
        <v>1654</v>
      </c>
      <c r="AA468" t="s">
        <v>1067</v>
      </c>
      <c r="AB468" t="s">
        <v>88</v>
      </c>
      <c r="AC468" t="s">
        <v>290</v>
      </c>
      <c r="AD468">
        <v>2024</v>
      </c>
    </row>
    <row r="469" spans="17:30">
      <c r="Q469" t="s">
        <v>82</v>
      </c>
      <c r="R469" t="s">
        <v>1096</v>
      </c>
      <c r="S469" t="s">
        <v>1095</v>
      </c>
      <c r="U469" t="s">
        <v>1407</v>
      </c>
      <c r="V469" t="s">
        <v>580</v>
      </c>
      <c r="W469" t="s">
        <v>87</v>
      </c>
      <c r="X469" s="76">
        <v>12467</v>
      </c>
      <c r="Y469" t="s">
        <v>1654</v>
      </c>
      <c r="AA469" t="s">
        <v>933</v>
      </c>
      <c r="AB469" t="s">
        <v>32</v>
      </c>
      <c r="AC469" t="s">
        <v>1605</v>
      </c>
      <c r="AD469">
        <v>2024</v>
      </c>
    </row>
    <row r="470" spans="17:30">
      <c r="Q470" t="s">
        <v>82</v>
      </c>
      <c r="R470" t="s">
        <v>860</v>
      </c>
      <c r="S470" t="s">
        <v>859</v>
      </c>
      <c r="U470" t="s">
        <v>1410</v>
      </c>
      <c r="V470" t="s">
        <v>1027</v>
      </c>
      <c r="W470" t="s">
        <v>1653</v>
      </c>
      <c r="X470" s="76">
        <v>392</v>
      </c>
      <c r="Y470" t="s">
        <v>1654</v>
      </c>
      <c r="AA470" t="s">
        <v>933</v>
      </c>
      <c r="AB470" t="s">
        <v>49</v>
      </c>
      <c r="AC470" t="s">
        <v>702</v>
      </c>
      <c r="AD470">
        <v>2024</v>
      </c>
    </row>
    <row r="471" spans="17:30">
      <c r="Q471" t="s">
        <v>82</v>
      </c>
      <c r="R471" t="s">
        <v>1121</v>
      </c>
      <c r="S471" t="s">
        <v>1120</v>
      </c>
      <c r="U471" t="s">
        <v>1410</v>
      </c>
      <c r="V471" t="s">
        <v>1027</v>
      </c>
      <c r="W471" t="s">
        <v>1655</v>
      </c>
      <c r="X471" s="76">
        <v>76</v>
      </c>
      <c r="Y471" t="s">
        <v>1654</v>
      </c>
      <c r="AA471" t="s">
        <v>933</v>
      </c>
      <c r="AB471" t="s">
        <v>68</v>
      </c>
      <c r="AC471" t="s">
        <v>1606</v>
      </c>
      <c r="AD471">
        <v>2024</v>
      </c>
    </row>
    <row r="472" spans="17:30">
      <c r="Q472" t="s">
        <v>82</v>
      </c>
      <c r="R472" t="s">
        <v>1032</v>
      </c>
      <c r="S472" t="s">
        <v>1031</v>
      </c>
      <c r="U472" t="s">
        <v>1410</v>
      </c>
      <c r="V472" t="s">
        <v>1027</v>
      </c>
      <c r="W472" t="s">
        <v>67</v>
      </c>
      <c r="X472" s="76">
        <v>11704</v>
      </c>
      <c r="Y472" t="s">
        <v>1654</v>
      </c>
      <c r="AA472" t="s">
        <v>933</v>
      </c>
      <c r="AB472" t="s">
        <v>88</v>
      </c>
      <c r="AC472" t="s">
        <v>1607</v>
      </c>
      <c r="AD472">
        <v>2024</v>
      </c>
    </row>
    <row r="473" spans="17:30">
      <c r="Q473" t="s">
        <v>82</v>
      </c>
      <c r="R473" t="s">
        <v>998</v>
      </c>
      <c r="S473" t="s">
        <v>997</v>
      </c>
      <c r="U473" t="s">
        <v>1410</v>
      </c>
      <c r="V473" t="s">
        <v>1027</v>
      </c>
      <c r="W473" t="s">
        <v>87</v>
      </c>
      <c r="X473" s="76">
        <v>61856</v>
      </c>
      <c r="Y473" t="s">
        <v>1654</v>
      </c>
      <c r="AA473" t="s">
        <v>940</v>
      </c>
      <c r="AB473" t="s">
        <v>32</v>
      </c>
      <c r="AC473" t="s">
        <v>396</v>
      </c>
      <c r="AD473">
        <v>2024</v>
      </c>
    </row>
    <row r="474" spans="17:30">
      <c r="Q474" t="s">
        <v>82</v>
      </c>
      <c r="R474" t="s">
        <v>1005</v>
      </c>
      <c r="S474" t="s">
        <v>1004</v>
      </c>
      <c r="U474" t="s">
        <v>1412</v>
      </c>
      <c r="V474" t="s">
        <v>1036</v>
      </c>
      <c r="W474" t="s">
        <v>1653</v>
      </c>
      <c r="X474" s="76">
        <v>14</v>
      </c>
      <c r="Y474" t="s">
        <v>1654</v>
      </c>
      <c r="AA474" t="s">
        <v>940</v>
      </c>
      <c r="AB474" t="s">
        <v>49</v>
      </c>
      <c r="AC474" t="s">
        <v>1590</v>
      </c>
      <c r="AD474">
        <v>2024</v>
      </c>
    </row>
    <row r="475" spans="17:30">
      <c r="Q475" t="s">
        <v>82</v>
      </c>
      <c r="R475" t="s">
        <v>1024</v>
      </c>
      <c r="S475" t="s">
        <v>1023</v>
      </c>
      <c r="U475" t="s">
        <v>1412</v>
      </c>
      <c r="V475" t="s">
        <v>1036</v>
      </c>
      <c r="W475" t="s">
        <v>1655</v>
      </c>
      <c r="X475" s="76">
        <v>13</v>
      </c>
      <c r="Y475" t="s">
        <v>1654</v>
      </c>
      <c r="AA475" t="s">
        <v>940</v>
      </c>
      <c r="AB475" t="s">
        <v>68</v>
      </c>
      <c r="AC475" t="s">
        <v>1420</v>
      </c>
      <c r="AD475">
        <v>2024</v>
      </c>
    </row>
    <row r="476" spans="17:30">
      <c r="Q476" t="s">
        <v>82</v>
      </c>
      <c r="R476" t="s">
        <v>1312</v>
      </c>
      <c r="S476" t="s">
        <v>1311</v>
      </c>
      <c r="U476" t="s">
        <v>1412</v>
      </c>
      <c r="V476" t="s">
        <v>1036</v>
      </c>
      <c r="W476" t="s">
        <v>67</v>
      </c>
      <c r="X476" s="76">
        <v>142</v>
      </c>
      <c r="Y476" t="s">
        <v>1654</v>
      </c>
      <c r="AA476" t="s">
        <v>940</v>
      </c>
      <c r="AB476" t="s">
        <v>88</v>
      </c>
      <c r="AC476" t="s">
        <v>290</v>
      </c>
      <c r="AD476">
        <v>2024</v>
      </c>
    </row>
    <row r="477" spans="17:30">
      <c r="Q477" t="s">
        <v>100</v>
      </c>
      <c r="R477" t="s">
        <v>787</v>
      </c>
      <c r="S477" t="s">
        <v>785</v>
      </c>
      <c r="U477" t="s">
        <v>1412</v>
      </c>
      <c r="V477" t="s">
        <v>1036</v>
      </c>
      <c r="W477" t="s">
        <v>87</v>
      </c>
      <c r="X477" s="76">
        <v>951</v>
      </c>
      <c r="Y477" t="s">
        <v>1654</v>
      </c>
      <c r="AA477" t="s">
        <v>945</v>
      </c>
      <c r="AB477" t="s">
        <v>32</v>
      </c>
      <c r="AC477" t="s">
        <v>1460</v>
      </c>
      <c r="AD477">
        <v>2024</v>
      </c>
    </row>
    <row r="478" spans="17:30">
      <c r="Q478" t="s">
        <v>100</v>
      </c>
      <c r="R478" t="s">
        <v>1224</v>
      </c>
      <c r="S478" t="s">
        <v>1222</v>
      </c>
      <c r="U478" t="s">
        <v>1414</v>
      </c>
      <c r="V478" t="s">
        <v>587</v>
      </c>
      <c r="W478" t="s">
        <v>1653</v>
      </c>
      <c r="X478" s="76">
        <v>311</v>
      </c>
      <c r="Y478" t="s">
        <v>1654</v>
      </c>
      <c r="AA478" t="s">
        <v>945</v>
      </c>
      <c r="AB478" t="s">
        <v>49</v>
      </c>
      <c r="AC478" t="s">
        <v>1460</v>
      </c>
      <c r="AD478">
        <v>2024</v>
      </c>
    </row>
    <row r="479" spans="17:30">
      <c r="Q479" t="s">
        <v>100</v>
      </c>
      <c r="R479" t="s">
        <v>59</v>
      </c>
      <c r="S479" t="s">
        <v>57</v>
      </c>
      <c r="U479" t="s">
        <v>1414</v>
      </c>
      <c r="V479" t="s">
        <v>587</v>
      </c>
      <c r="W479" t="s">
        <v>1655</v>
      </c>
      <c r="X479" s="76">
        <v>5</v>
      </c>
      <c r="Y479" t="s">
        <v>1654</v>
      </c>
      <c r="AA479" t="s">
        <v>945</v>
      </c>
      <c r="AB479" t="s">
        <v>68</v>
      </c>
      <c r="AC479" t="s">
        <v>807</v>
      </c>
      <c r="AD479">
        <v>2024</v>
      </c>
    </row>
    <row r="480" spans="17:30">
      <c r="Q480" t="s">
        <v>100</v>
      </c>
      <c r="R480" t="s">
        <v>802</v>
      </c>
      <c r="S480" t="s">
        <v>800</v>
      </c>
      <c r="U480" t="s">
        <v>1414</v>
      </c>
      <c r="V480" t="s">
        <v>587</v>
      </c>
      <c r="W480" t="s">
        <v>67</v>
      </c>
      <c r="X480" s="76">
        <v>92</v>
      </c>
      <c r="Y480" t="s">
        <v>1654</v>
      </c>
      <c r="AA480" t="s">
        <v>945</v>
      </c>
      <c r="AB480" t="s">
        <v>88</v>
      </c>
      <c r="AC480" t="s">
        <v>1608</v>
      </c>
      <c r="AD480">
        <v>2024</v>
      </c>
    </row>
    <row r="481" spans="17:30">
      <c r="Q481" t="s">
        <v>100</v>
      </c>
      <c r="R481" t="s">
        <v>902</v>
      </c>
      <c r="S481" t="s">
        <v>900</v>
      </c>
      <c r="U481" t="s">
        <v>1414</v>
      </c>
      <c r="V481" t="s">
        <v>587</v>
      </c>
      <c r="W481" t="s">
        <v>87</v>
      </c>
      <c r="X481" s="76">
        <v>46937</v>
      </c>
      <c r="Y481" t="s">
        <v>1654</v>
      </c>
      <c r="AA481" t="s">
        <v>1108</v>
      </c>
      <c r="AB481" t="s">
        <v>32</v>
      </c>
      <c r="AC481" t="s">
        <v>1443</v>
      </c>
      <c r="AD481">
        <v>2024</v>
      </c>
    </row>
    <row r="482" spans="17:30">
      <c r="Q482" t="s">
        <v>100</v>
      </c>
      <c r="R482" t="s">
        <v>1252</v>
      </c>
      <c r="S482" t="s">
        <v>1250</v>
      </c>
      <c r="U482" t="s">
        <v>1688</v>
      </c>
      <c r="V482" t="s">
        <v>1040</v>
      </c>
      <c r="W482" t="s">
        <v>1653</v>
      </c>
      <c r="X482" s="76">
        <v>3</v>
      </c>
      <c r="Y482" t="s">
        <v>1654</v>
      </c>
      <c r="AA482" t="s">
        <v>1108</v>
      </c>
      <c r="AB482" t="s">
        <v>49</v>
      </c>
      <c r="AC482" t="s">
        <v>1609</v>
      </c>
      <c r="AD482">
        <v>2024</v>
      </c>
    </row>
    <row r="483" spans="17:30">
      <c r="Q483" t="s">
        <v>100</v>
      </c>
      <c r="R483" t="s">
        <v>1309</v>
      </c>
      <c r="S483" t="s">
        <v>1307</v>
      </c>
      <c r="U483" t="s">
        <v>1688</v>
      </c>
      <c r="V483" t="s">
        <v>1040</v>
      </c>
      <c r="W483" t="s">
        <v>1655</v>
      </c>
      <c r="X483" s="76">
        <v>3</v>
      </c>
      <c r="Y483" t="s">
        <v>1654</v>
      </c>
      <c r="AA483" t="s">
        <v>1108</v>
      </c>
      <c r="AB483" t="s">
        <v>68</v>
      </c>
      <c r="AC483" t="s">
        <v>69</v>
      </c>
      <c r="AD483">
        <v>2024</v>
      </c>
    </row>
    <row r="484" spans="17:30">
      <c r="Q484" t="s">
        <v>100</v>
      </c>
      <c r="R484" t="s">
        <v>1159</v>
      </c>
      <c r="S484" t="s">
        <v>1157</v>
      </c>
      <c r="U484" t="s">
        <v>1688</v>
      </c>
      <c r="V484" t="s">
        <v>1040</v>
      </c>
      <c r="W484" t="s">
        <v>67</v>
      </c>
      <c r="X484" s="76">
        <v>19</v>
      </c>
      <c r="Y484" t="s">
        <v>1654</v>
      </c>
      <c r="AA484" t="s">
        <v>1108</v>
      </c>
      <c r="AB484" t="s">
        <v>88</v>
      </c>
      <c r="AC484" t="s">
        <v>418</v>
      </c>
      <c r="AD484">
        <v>2024</v>
      </c>
    </row>
    <row r="485" spans="17:30">
      <c r="Q485" t="s">
        <v>100</v>
      </c>
      <c r="R485" t="s">
        <v>739</v>
      </c>
      <c r="S485" t="s">
        <v>737</v>
      </c>
      <c r="U485" t="s">
        <v>1688</v>
      </c>
      <c r="V485" t="s">
        <v>1040</v>
      </c>
      <c r="W485" t="s">
        <v>87</v>
      </c>
      <c r="X485" s="76">
        <v>125</v>
      </c>
      <c r="Y485" t="s">
        <v>1654</v>
      </c>
      <c r="AA485" t="s">
        <v>782</v>
      </c>
      <c r="AB485" t="s">
        <v>32</v>
      </c>
      <c r="AC485" t="s">
        <v>1448</v>
      </c>
      <c r="AD485">
        <v>2024</v>
      </c>
    </row>
    <row r="486" spans="17:30">
      <c r="Q486" t="s">
        <v>100</v>
      </c>
      <c r="R486" t="s">
        <v>765</v>
      </c>
      <c r="S486" t="s">
        <v>763</v>
      </c>
      <c r="U486" t="s">
        <v>1416</v>
      </c>
      <c r="V486" t="s">
        <v>830</v>
      </c>
      <c r="W486" t="s">
        <v>1653</v>
      </c>
      <c r="X486" s="76">
        <v>8</v>
      </c>
      <c r="Y486" t="s">
        <v>1654</v>
      </c>
      <c r="AA486" t="s">
        <v>782</v>
      </c>
      <c r="AB486" t="s">
        <v>49</v>
      </c>
      <c r="AC486" t="s">
        <v>932</v>
      </c>
      <c r="AD486">
        <v>2024</v>
      </c>
    </row>
    <row r="487" spans="17:30">
      <c r="Q487" t="s">
        <v>100</v>
      </c>
      <c r="R487" t="s">
        <v>986</v>
      </c>
      <c r="S487" t="s">
        <v>984</v>
      </c>
      <c r="U487" t="s">
        <v>1416</v>
      </c>
      <c r="V487" t="s">
        <v>830</v>
      </c>
      <c r="W487" t="s">
        <v>1655</v>
      </c>
      <c r="X487" s="76">
        <v>3</v>
      </c>
      <c r="Y487" t="s">
        <v>1654</v>
      </c>
      <c r="AA487" t="s">
        <v>782</v>
      </c>
      <c r="AB487" t="s">
        <v>68</v>
      </c>
      <c r="AC487" t="s">
        <v>1610</v>
      </c>
      <c r="AD487">
        <v>2024</v>
      </c>
    </row>
    <row r="488" spans="17:30">
      <c r="Q488" t="s">
        <v>100</v>
      </c>
      <c r="R488" t="s">
        <v>1343</v>
      </c>
      <c r="S488" t="s">
        <v>1341</v>
      </c>
      <c r="U488" t="s">
        <v>1416</v>
      </c>
      <c r="V488" t="s">
        <v>830</v>
      </c>
      <c r="W488" t="s">
        <v>67</v>
      </c>
      <c r="X488" s="76">
        <v>23</v>
      </c>
      <c r="Y488" t="s">
        <v>1654</v>
      </c>
      <c r="AA488" t="s">
        <v>782</v>
      </c>
      <c r="AB488" t="s">
        <v>88</v>
      </c>
      <c r="AC488" t="s">
        <v>841</v>
      </c>
      <c r="AD488">
        <v>2024</v>
      </c>
    </row>
    <row r="489" spans="17:30">
      <c r="Q489" t="s">
        <v>100</v>
      </c>
      <c r="R489" t="s">
        <v>698</v>
      </c>
      <c r="S489" t="s">
        <v>696</v>
      </c>
      <c r="U489" t="s">
        <v>1416</v>
      </c>
      <c r="V489" t="s">
        <v>830</v>
      </c>
      <c r="W489" t="s">
        <v>87</v>
      </c>
      <c r="X489" s="76">
        <v>508</v>
      </c>
      <c r="Y489" t="s">
        <v>1654</v>
      </c>
      <c r="AA489" t="s">
        <v>951</v>
      </c>
      <c r="AB489" t="s">
        <v>32</v>
      </c>
      <c r="AC489" t="s">
        <v>385</v>
      </c>
      <c r="AD489">
        <v>2024</v>
      </c>
    </row>
    <row r="490" spans="17:30">
      <c r="Q490" t="s">
        <v>100</v>
      </c>
      <c r="R490" t="s">
        <v>565</v>
      </c>
      <c r="S490" t="s">
        <v>563</v>
      </c>
      <c r="U490" t="s">
        <v>1418</v>
      </c>
      <c r="V490" t="s">
        <v>1022</v>
      </c>
      <c r="W490" t="s">
        <v>1653</v>
      </c>
      <c r="X490" s="76">
        <v>39</v>
      </c>
      <c r="Y490" t="s">
        <v>1654</v>
      </c>
      <c r="AA490" t="s">
        <v>951</v>
      </c>
      <c r="AB490" t="s">
        <v>49</v>
      </c>
      <c r="AC490" t="s">
        <v>1409</v>
      </c>
      <c r="AD490">
        <v>2024</v>
      </c>
    </row>
    <row r="491" spans="17:30">
      <c r="Q491" t="s">
        <v>100</v>
      </c>
      <c r="R491" t="s">
        <v>185</v>
      </c>
      <c r="S491" t="s">
        <v>183</v>
      </c>
      <c r="U491" t="s">
        <v>1418</v>
      </c>
      <c r="V491" t="s">
        <v>1022</v>
      </c>
      <c r="W491" t="s">
        <v>1655</v>
      </c>
      <c r="X491" s="76">
        <v>6</v>
      </c>
      <c r="Y491" t="s">
        <v>1654</v>
      </c>
      <c r="AA491" t="s">
        <v>951</v>
      </c>
      <c r="AB491" t="s">
        <v>68</v>
      </c>
      <c r="AC491" t="s">
        <v>1431</v>
      </c>
      <c r="AD491">
        <v>2024</v>
      </c>
    </row>
    <row r="492" spans="17:30">
      <c r="Q492" t="s">
        <v>100</v>
      </c>
      <c r="R492" t="s">
        <v>1011</v>
      </c>
      <c r="S492" t="s">
        <v>1009</v>
      </c>
      <c r="U492" t="s">
        <v>1418</v>
      </c>
      <c r="V492" t="s">
        <v>1022</v>
      </c>
      <c r="W492" t="s">
        <v>67</v>
      </c>
      <c r="X492" s="76">
        <v>126</v>
      </c>
      <c r="Y492" t="s">
        <v>1654</v>
      </c>
      <c r="AA492" t="s">
        <v>951</v>
      </c>
      <c r="AB492" t="s">
        <v>88</v>
      </c>
      <c r="AC492" t="s">
        <v>1461</v>
      </c>
      <c r="AD492">
        <v>2024</v>
      </c>
    </row>
    <row r="493" spans="17:30">
      <c r="Q493" t="s">
        <v>100</v>
      </c>
      <c r="R493" t="s">
        <v>1018</v>
      </c>
      <c r="S493" t="s">
        <v>1016</v>
      </c>
      <c r="U493" t="s">
        <v>1418</v>
      </c>
      <c r="V493" t="s">
        <v>1022</v>
      </c>
      <c r="W493" t="s">
        <v>87</v>
      </c>
      <c r="X493" s="76">
        <v>2342</v>
      </c>
      <c r="Y493" t="s">
        <v>1654</v>
      </c>
      <c r="AA493" t="s">
        <v>789</v>
      </c>
      <c r="AB493" t="s">
        <v>32</v>
      </c>
      <c r="AC493" t="s">
        <v>266</v>
      </c>
      <c r="AD493">
        <v>2024</v>
      </c>
    </row>
    <row r="494" spans="17:30">
      <c r="Q494" t="s">
        <v>98</v>
      </c>
      <c r="R494" t="s">
        <v>57</v>
      </c>
      <c r="S494" t="s">
        <v>57</v>
      </c>
      <c r="U494" t="s">
        <v>1689</v>
      </c>
      <c r="V494" t="s">
        <v>1044</v>
      </c>
      <c r="W494" t="s">
        <v>1653</v>
      </c>
      <c r="X494" s="76">
        <v>8</v>
      </c>
      <c r="Y494" t="s">
        <v>1654</v>
      </c>
      <c r="AA494" t="s">
        <v>789</v>
      </c>
      <c r="AB494" t="s">
        <v>49</v>
      </c>
      <c r="AC494" t="s">
        <v>794</v>
      </c>
      <c r="AD494">
        <v>2024</v>
      </c>
    </row>
    <row r="495" spans="17:30">
      <c r="Q495" t="s">
        <v>98</v>
      </c>
      <c r="R495" t="s">
        <v>183</v>
      </c>
      <c r="S495" t="s">
        <v>183</v>
      </c>
      <c r="U495" t="s">
        <v>1689</v>
      </c>
      <c r="V495" t="s">
        <v>1044</v>
      </c>
      <c r="W495" t="s">
        <v>1655</v>
      </c>
      <c r="X495" s="76">
        <v>7</v>
      </c>
      <c r="Y495" t="s">
        <v>1654</v>
      </c>
      <c r="AA495" t="s">
        <v>789</v>
      </c>
      <c r="AB495" t="s">
        <v>68</v>
      </c>
      <c r="AC495" t="s">
        <v>635</v>
      </c>
      <c r="AD495">
        <v>2024</v>
      </c>
    </row>
    <row r="496" spans="17:30">
      <c r="Q496" t="s">
        <v>98</v>
      </c>
      <c r="R496" t="s">
        <v>563</v>
      </c>
      <c r="S496" t="s">
        <v>563</v>
      </c>
      <c r="U496" t="s">
        <v>1689</v>
      </c>
      <c r="V496" t="s">
        <v>1044</v>
      </c>
      <c r="W496" t="s">
        <v>67</v>
      </c>
      <c r="X496" s="76">
        <v>9</v>
      </c>
      <c r="Y496" t="s">
        <v>1654</v>
      </c>
      <c r="AA496" t="s">
        <v>789</v>
      </c>
      <c r="AB496" t="s">
        <v>88</v>
      </c>
      <c r="AC496" t="s">
        <v>841</v>
      </c>
      <c r="AD496">
        <v>2024</v>
      </c>
    </row>
    <row r="497" spans="17:30">
      <c r="Q497" t="s">
        <v>98</v>
      </c>
      <c r="R497" t="s">
        <v>696</v>
      </c>
      <c r="S497" t="s">
        <v>696</v>
      </c>
      <c r="U497" t="s">
        <v>1689</v>
      </c>
      <c r="V497" t="s">
        <v>1044</v>
      </c>
      <c r="W497" t="s">
        <v>87</v>
      </c>
      <c r="X497" s="76">
        <v>247</v>
      </c>
      <c r="Y497" t="s">
        <v>1654</v>
      </c>
      <c r="AA497" t="s">
        <v>966</v>
      </c>
      <c r="AB497" t="s">
        <v>32</v>
      </c>
      <c r="AC497" t="s">
        <v>1462</v>
      </c>
      <c r="AD497">
        <v>2024</v>
      </c>
    </row>
    <row r="498" spans="17:30">
      <c r="Q498" t="s">
        <v>98</v>
      </c>
      <c r="R498" t="s">
        <v>737</v>
      </c>
      <c r="S498" t="s">
        <v>737</v>
      </c>
      <c r="U498" t="s">
        <v>1421</v>
      </c>
      <c r="V498" t="s">
        <v>1273</v>
      </c>
      <c r="W498" t="s">
        <v>1653</v>
      </c>
      <c r="X498" s="76">
        <v>1725</v>
      </c>
      <c r="Y498" t="s">
        <v>1654</v>
      </c>
      <c r="AA498" t="s">
        <v>966</v>
      </c>
      <c r="AB498" t="s">
        <v>49</v>
      </c>
      <c r="AC498" t="s">
        <v>1463</v>
      </c>
      <c r="AD498">
        <v>2024</v>
      </c>
    </row>
    <row r="499" spans="17:30">
      <c r="Q499" t="s">
        <v>98</v>
      </c>
      <c r="R499" t="s">
        <v>763</v>
      </c>
      <c r="S499" t="s">
        <v>763</v>
      </c>
      <c r="U499" t="s">
        <v>1421</v>
      </c>
      <c r="V499" t="s">
        <v>1273</v>
      </c>
      <c r="W499" t="s">
        <v>1655</v>
      </c>
      <c r="X499" s="76">
        <v>525</v>
      </c>
      <c r="Y499" t="s">
        <v>1654</v>
      </c>
      <c r="AA499" t="s">
        <v>966</v>
      </c>
      <c r="AB499" t="s">
        <v>68</v>
      </c>
      <c r="AC499" t="s">
        <v>361</v>
      </c>
      <c r="AD499">
        <v>2024</v>
      </c>
    </row>
    <row r="500" spans="17:30">
      <c r="Q500" t="s">
        <v>98</v>
      </c>
      <c r="R500" t="s">
        <v>785</v>
      </c>
      <c r="S500" t="s">
        <v>785</v>
      </c>
      <c r="U500" t="s">
        <v>1421</v>
      </c>
      <c r="V500" t="s">
        <v>1273</v>
      </c>
      <c r="W500" t="s">
        <v>67</v>
      </c>
      <c r="X500" s="76">
        <v>6140</v>
      </c>
      <c r="Y500" t="s">
        <v>1654</v>
      </c>
      <c r="AA500" t="s">
        <v>966</v>
      </c>
      <c r="AB500" t="s">
        <v>88</v>
      </c>
      <c r="AC500" t="s">
        <v>1611</v>
      </c>
      <c r="AD500">
        <v>2024</v>
      </c>
    </row>
    <row r="501" spans="17:30">
      <c r="Q501" t="s">
        <v>98</v>
      </c>
      <c r="R501" t="s">
        <v>800</v>
      </c>
      <c r="S501" t="s">
        <v>800</v>
      </c>
      <c r="U501" t="s">
        <v>1421</v>
      </c>
      <c r="V501" t="s">
        <v>1273</v>
      </c>
      <c r="W501" t="s">
        <v>87</v>
      </c>
      <c r="X501" s="76">
        <v>449406</v>
      </c>
      <c r="Y501" t="s">
        <v>1654</v>
      </c>
      <c r="AA501" t="s">
        <v>972</v>
      </c>
      <c r="AB501" t="s">
        <v>32</v>
      </c>
      <c r="AC501" t="s">
        <v>590</v>
      </c>
      <c r="AD501">
        <v>2024</v>
      </c>
    </row>
    <row r="502" spans="17:30">
      <c r="Q502" t="s">
        <v>98</v>
      </c>
      <c r="R502" t="s">
        <v>900</v>
      </c>
      <c r="S502" t="s">
        <v>900</v>
      </c>
      <c r="U502" t="s">
        <v>1421</v>
      </c>
      <c r="V502" t="s">
        <v>1273</v>
      </c>
      <c r="W502" t="s">
        <v>67</v>
      </c>
      <c r="X502" s="76"/>
      <c r="Y502" t="s">
        <v>1654</v>
      </c>
      <c r="AA502" t="s">
        <v>972</v>
      </c>
      <c r="AB502" t="s">
        <v>49</v>
      </c>
      <c r="AC502" t="s">
        <v>1468</v>
      </c>
      <c r="AD502">
        <v>2024</v>
      </c>
    </row>
    <row r="503" spans="17:30">
      <c r="Q503" t="s">
        <v>98</v>
      </c>
      <c r="R503" t="s">
        <v>984</v>
      </c>
      <c r="S503" t="s">
        <v>984</v>
      </c>
      <c r="U503" t="s">
        <v>1421</v>
      </c>
      <c r="V503" t="s">
        <v>1273</v>
      </c>
      <c r="W503" t="s">
        <v>87</v>
      </c>
      <c r="X503" s="76">
        <v>75713</v>
      </c>
      <c r="Y503" t="s">
        <v>1654</v>
      </c>
      <c r="AA503" t="s">
        <v>972</v>
      </c>
      <c r="AB503" t="s">
        <v>68</v>
      </c>
      <c r="AC503" t="s">
        <v>815</v>
      </c>
      <c r="AD503">
        <v>2024</v>
      </c>
    </row>
    <row r="504" spans="17:30">
      <c r="Q504" t="s">
        <v>98</v>
      </c>
      <c r="R504" t="s">
        <v>1009</v>
      </c>
      <c r="S504" t="s">
        <v>1009</v>
      </c>
      <c r="U504" t="s">
        <v>1422</v>
      </c>
      <c r="V504" t="s">
        <v>597</v>
      </c>
      <c r="W504" t="s">
        <v>1653</v>
      </c>
      <c r="X504" s="76">
        <v>52</v>
      </c>
      <c r="Y504" t="s">
        <v>1654</v>
      </c>
      <c r="AA504" t="s">
        <v>972</v>
      </c>
      <c r="AB504" t="s">
        <v>88</v>
      </c>
      <c r="AC504" t="s">
        <v>139</v>
      </c>
      <c r="AD504">
        <v>2024</v>
      </c>
    </row>
    <row r="505" spans="17:30">
      <c r="Q505" t="s">
        <v>98</v>
      </c>
      <c r="R505" t="s">
        <v>1016</v>
      </c>
      <c r="S505" t="s">
        <v>1016</v>
      </c>
      <c r="U505" t="s">
        <v>1422</v>
      </c>
      <c r="V505" t="s">
        <v>597</v>
      </c>
      <c r="W505" t="s">
        <v>1655</v>
      </c>
      <c r="X505" s="76">
        <v>51</v>
      </c>
      <c r="Y505" t="s">
        <v>1654</v>
      </c>
      <c r="AA505" t="s">
        <v>977</v>
      </c>
      <c r="AB505" t="s">
        <v>32</v>
      </c>
      <c r="AC505" t="s">
        <v>1612</v>
      </c>
      <c r="AD505">
        <v>2024</v>
      </c>
    </row>
    <row r="506" spans="17:30">
      <c r="Q506" t="s">
        <v>98</v>
      </c>
      <c r="R506" t="s">
        <v>1157</v>
      </c>
      <c r="S506" t="s">
        <v>1157</v>
      </c>
      <c r="U506" t="s">
        <v>1422</v>
      </c>
      <c r="V506" t="s">
        <v>597</v>
      </c>
      <c r="W506" t="s">
        <v>67</v>
      </c>
      <c r="X506" s="76">
        <v>217</v>
      </c>
      <c r="Y506" t="s">
        <v>1654</v>
      </c>
      <c r="AA506" t="s">
        <v>977</v>
      </c>
      <c r="AB506" t="s">
        <v>49</v>
      </c>
      <c r="AC506" t="s">
        <v>1445</v>
      </c>
      <c r="AD506">
        <v>2024</v>
      </c>
    </row>
    <row r="507" spans="17:30">
      <c r="Q507" t="s">
        <v>98</v>
      </c>
      <c r="R507" t="s">
        <v>1222</v>
      </c>
      <c r="S507" t="s">
        <v>1222</v>
      </c>
      <c r="U507" t="s">
        <v>1422</v>
      </c>
      <c r="V507" t="s">
        <v>597</v>
      </c>
      <c r="W507" t="s">
        <v>87</v>
      </c>
      <c r="X507" s="76">
        <v>6275</v>
      </c>
      <c r="Y507" t="s">
        <v>1654</v>
      </c>
      <c r="AA507" t="s">
        <v>977</v>
      </c>
      <c r="AB507" t="s">
        <v>68</v>
      </c>
      <c r="AC507" t="s">
        <v>139</v>
      </c>
      <c r="AD507">
        <v>2024</v>
      </c>
    </row>
    <row r="508" spans="17:30">
      <c r="Q508" t="s">
        <v>98</v>
      </c>
      <c r="R508" t="s">
        <v>1250</v>
      </c>
      <c r="S508" t="s">
        <v>1250</v>
      </c>
      <c r="U508" t="s">
        <v>1423</v>
      </c>
      <c r="V508" t="s">
        <v>839</v>
      </c>
      <c r="W508" t="s">
        <v>1653</v>
      </c>
      <c r="X508" s="76"/>
      <c r="Y508" t="s">
        <v>1654</v>
      </c>
      <c r="AA508" t="s">
        <v>977</v>
      </c>
      <c r="AB508" t="s">
        <v>88</v>
      </c>
      <c r="AC508" t="s">
        <v>290</v>
      </c>
      <c r="AD508">
        <v>2024</v>
      </c>
    </row>
    <row r="509" spans="17:30">
      <c r="Q509" t="s">
        <v>98</v>
      </c>
      <c r="R509" t="s">
        <v>1307</v>
      </c>
      <c r="S509" t="s">
        <v>1307</v>
      </c>
      <c r="U509" t="s">
        <v>1423</v>
      </c>
      <c r="V509" t="s">
        <v>839</v>
      </c>
      <c r="W509" t="s">
        <v>1655</v>
      </c>
      <c r="X509" s="76"/>
      <c r="Y509" t="s">
        <v>1654</v>
      </c>
      <c r="AA509" t="s">
        <v>983</v>
      </c>
      <c r="AB509" t="s">
        <v>32</v>
      </c>
      <c r="AC509" t="s">
        <v>204</v>
      </c>
      <c r="AD509">
        <v>2024</v>
      </c>
    </row>
    <row r="510" spans="17:30">
      <c r="Q510" t="s">
        <v>98</v>
      </c>
      <c r="R510" t="s">
        <v>1341</v>
      </c>
      <c r="S510" t="s">
        <v>1341</v>
      </c>
      <c r="U510" t="s">
        <v>1423</v>
      </c>
      <c r="V510" t="s">
        <v>839</v>
      </c>
      <c r="W510" t="s">
        <v>67</v>
      </c>
      <c r="X510" s="76"/>
      <c r="Y510" t="s">
        <v>1654</v>
      </c>
      <c r="AA510" t="s">
        <v>983</v>
      </c>
      <c r="AB510" t="s">
        <v>49</v>
      </c>
      <c r="AC510" t="s">
        <v>317</v>
      </c>
      <c r="AD510">
        <v>2024</v>
      </c>
    </row>
    <row r="511" spans="17:30">
      <c r="Q511" t="s">
        <v>99</v>
      </c>
      <c r="R511" t="s">
        <v>58</v>
      </c>
      <c r="S511" t="s">
        <v>57</v>
      </c>
      <c r="U511" t="s">
        <v>1423</v>
      </c>
      <c r="V511" t="s">
        <v>839</v>
      </c>
      <c r="W511" t="s">
        <v>87</v>
      </c>
      <c r="X511" s="76"/>
      <c r="Y511" t="s">
        <v>1654</v>
      </c>
      <c r="AA511" t="s">
        <v>983</v>
      </c>
      <c r="AB511" t="s">
        <v>68</v>
      </c>
      <c r="AC511" t="s">
        <v>841</v>
      </c>
      <c r="AD511">
        <v>2024</v>
      </c>
    </row>
    <row r="512" spans="17:30">
      <c r="Q512" t="s">
        <v>99</v>
      </c>
      <c r="R512" t="s">
        <v>1223</v>
      </c>
      <c r="S512" t="s">
        <v>1222</v>
      </c>
      <c r="U512" t="s">
        <v>1425</v>
      </c>
      <c r="V512" t="s">
        <v>1030</v>
      </c>
      <c r="W512" t="s">
        <v>1653</v>
      </c>
      <c r="X512" s="76"/>
      <c r="Y512" t="s">
        <v>1654</v>
      </c>
      <c r="AA512" t="s">
        <v>983</v>
      </c>
      <c r="AB512" t="s">
        <v>88</v>
      </c>
      <c r="AC512" t="s">
        <v>1613</v>
      </c>
      <c r="AD512">
        <v>2024</v>
      </c>
    </row>
    <row r="513" spans="17:30">
      <c r="Q513" t="s">
        <v>99</v>
      </c>
      <c r="R513" t="s">
        <v>1158</v>
      </c>
      <c r="S513" t="s">
        <v>1157</v>
      </c>
      <c r="U513" t="s">
        <v>1425</v>
      </c>
      <c r="V513" t="s">
        <v>1030</v>
      </c>
      <c r="W513" t="s">
        <v>1655</v>
      </c>
      <c r="X513" s="76"/>
      <c r="Y513" t="s">
        <v>1654</v>
      </c>
      <c r="AA513" t="s">
        <v>1124</v>
      </c>
      <c r="AB513" t="s">
        <v>32</v>
      </c>
      <c r="AC513" t="s">
        <v>1411</v>
      </c>
      <c r="AD513">
        <v>2024</v>
      </c>
    </row>
    <row r="514" spans="17:30">
      <c r="Q514" t="s">
        <v>99</v>
      </c>
      <c r="R514" t="s">
        <v>697</v>
      </c>
      <c r="S514" t="s">
        <v>696</v>
      </c>
      <c r="U514" t="s">
        <v>1425</v>
      </c>
      <c r="V514" t="s">
        <v>1030</v>
      </c>
      <c r="W514" t="s">
        <v>67</v>
      </c>
      <c r="X514" s="76"/>
      <c r="Y514" t="s">
        <v>1654</v>
      </c>
      <c r="AA514" t="s">
        <v>1124</v>
      </c>
      <c r="AB514" t="s">
        <v>49</v>
      </c>
      <c r="AC514" t="s">
        <v>1614</v>
      </c>
      <c r="AD514">
        <v>2024</v>
      </c>
    </row>
    <row r="515" spans="17:30">
      <c r="Q515" t="s">
        <v>99</v>
      </c>
      <c r="R515" t="s">
        <v>764</v>
      </c>
      <c r="S515" t="s">
        <v>763</v>
      </c>
      <c r="U515" t="s">
        <v>1425</v>
      </c>
      <c r="V515" t="s">
        <v>1030</v>
      </c>
      <c r="W515" t="s">
        <v>87</v>
      </c>
      <c r="X515" s="76"/>
      <c r="Y515" t="s">
        <v>1654</v>
      </c>
      <c r="AA515" t="s">
        <v>1124</v>
      </c>
      <c r="AB515" t="s">
        <v>68</v>
      </c>
      <c r="AC515" t="s">
        <v>1615</v>
      </c>
      <c r="AD515">
        <v>2024</v>
      </c>
    </row>
    <row r="516" spans="17:30">
      <c r="Q516" t="s">
        <v>99</v>
      </c>
      <c r="R516" t="s">
        <v>985</v>
      </c>
      <c r="S516" t="s">
        <v>984</v>
      </c>
      <c r="U516" t="s">
        <v>1690</v>
      </c>
      <c r="V516" t="s">
        <v>1048</v>
      </c>
      <c r="W516" t="s">
        <v>1653</v>
      </c>
      <c r="X516" s="76">
        <v>6</v>
      </c>
      <c r="Y516" t="s">
        <v>1654</v>
      </c>
      <c r="AA516" t="s">
        <v>1124</v>
      </c>
      <c r="AB516" t="s">
        <v>88</v>
      </c>
      <c r="AC516" t="s">
        <v>418</v>
      </c>
      <c r="AD516">
        <v>2024</v>
      </c>
    </row>
    <row r="517" spans="17:30">
      <c r="Q517" t="s">
        <v>99</v>
      </c>
      <c r="R517" t="s">
        <v>1342</v>
      </c>
      <c r="S517" t="s">
        <v>1341</v>
      </c>
      <c r="U517" t="s">
        <v>1690</v>
      </c>
      <c r="V517" t="s">
        <v>1048</v>
      </c>
      <c r="W517" t="s">
        <v>1655</v>
      </c>
      <c r="X517" s="76">
        <v>6</v>
      </c>
      <c r="Y517" t="s">
        <v>1654</v>
      </c>
      <c r="AA517" t="s">
        <v>1147</v>
      </c>
      <c r="AB517" t="s">
        <v>32</v>
      </c>
      <c r="AC517" t="s">
        <v>531</v>
      </c>
      <c r="AD517">
        <v>2024</v>
      </c>
    </row>
    <row r="518" spans="17:30">
      <c r="Q518" t="s">
        <v>99</v>
      </c>
      <c r="R518" t="s">
        <v>738</v>
      </c>
      <c r="S518" t="s">
        <v>737</v>
      </c>
      <c r="U518" t="s">
        <v>1690</v>
      </c>
      <c r="V518" t="s">
        <v>1048</v>
      </c>
      <c r="W518" t="s">
        <v>67</v>
      </c>
      <c r="X518" s="76">
        <v>50</v>
      </c>
      <c r="Y518" t="s">
        <v>1654</v>
      </c>
      <c r="AA518" t="s">
        <v>1147</v>
      </c>
      <c r="AB518" t="s">
        <v>49</v>
      </c>
      <c r="AC518" t="s">
        <v>1616</v>
      </c>
      <c r="AD518">
        <v>2024</v>
      </c>
    </row>
    <row r="519" spans="17:30">
      <c r="Q519" t="s">
        <v>99</v>
      </c>
      <c r="R519" t="s">
        <v>801</v>
      </c>
      <c r="S519" t="s">
        <v>800</v>
      </c>
      <c r="U519" t="s">
        <v>1690</v>
      </c>
      <c r="V519" t="s">
        <v>1048</v>
      </c>
      <c r="W519" t="s">
        <v>87</v>
      </c>
      <c r="X519" s="76">
        <v>361</v>
      </c>
      <c r="Y519" t="s">
        <v>1654</v>
      </c>
      <c r="AA519" t="s">
        <v>1147</v>
      </c>
      <c r="AB519" t="s">
        <v>68</v>
      </c>
      <c r="AC519" t="s">
        <v>1465</v>
      </c>
      <c r="AD519">
        <v>2024</v>
      </c>
    </row>
    <row r="520" spans="17:30">
      <c r="Q520" t="s">
        <v>99</v>
      </c>
      <c r="R520" t="s">
        <v>901</v>
      </c>
      <c r="S520" t="s">
        <v>900</v>
      </c>
      <c r="U520" t="s">
        <v>1426</v>
      </c>
      <c r="V520" t="s">
        <v>847</v>
      </c>
      <c r="W520" t="s">
        <v>1653</v>
      </c>
      <c r="X520" s="76">
        <v>42</v>
      </c>
      <c r="Y520" t="s">
        <v>1654</v>
      </c>
      <c r="AA520" t="s">
        <v>1147</v>
      </c>
      <c r="AB520" t="s">
        <v>88</v>
      </c>
      <c r="AC520" t="s">
        <v>1617</v>
      </c>
      <c r="AD520">
        <v>2024</v>
      </c>
    </row>
    <row r="521" spans="17:30">
      <c r="Q521" t="s">
        <v>99</v>
      </c>
      <c r="R521" t="s">
        <v>1308</v>
      </c>
      <c r="S521" t="s">
        <v>1307</v>
      </c>
      <c r="U521" t="s">
        <v>1426</v>
      </c>
      <c r="V521" t="s">
        <v>847</v>
      </c>
      <c r="W521" t="s">
        <v>1655</v>
      </c>
      <c r="X521" s="76">
        <v>41</v>
      </c>
      <c r="Y521" t="s">
        <v>1654</v>
      </c>
      <c r="AA521" t="s">
        <v>467</v>
      </c>
      <c r="AB521" t="s">
        <v>32</v>
      </c>
      <c r="AC521" t="s">
        <v>824</v>
      </c>
      <c r="AD521">
        <v>2024</v>
      </c>
    </row>
    <row r="522" spans="17:30">
      <c r="Q522" t="s">
        <v>99</v>
      </c>
      <c r="R522" t="s">
        <v>786</v>
      </c>
      <c r="S522" t="s">
        <v>785</v>
      </c>
      <c r="U522" t="s">
        <v>1426</v>
      </c>
      <c r="V522" t="s">
        <v>847</v>
      </c>
      <c r="W522" t="s">
        <v>67</v>
      </c>
      <c r="X522" s="76">
        <v>677</v>
      </c>
      <c r="Y522" t="s">
        <v>1654</v>
      </c>
      <c r="AA522" t="s">
        <v>467</v>
      </c>
      <c r="AB522" t="s">
        <v>49</v>
      </c>
      <c r="AC522" t="s">
        <v>1136</v>
      </c>
      <c r="AD522">
        <v>2024</v>
      </c>
    </row>
    <row r="523" spans="17:30">
      <c r="Q523" t="s">
        <v>99</v>
      </c>
      <c r="R523" t="s">
        <v>184</v>
      </c>
      <c r="S523" t="s">
        <v>183</v>
      </c>
      <c r="U523" t="s">
        <v>1426</v>
      </c>
      <c r="V523" t="s">
        <v>847</v>
      </c>
      <c r="W523" t="s">
        <v>87</v>
      </c>
      <c r="X523" s="76">
        <v>3322</v>
      </c>
      <c r="Y523" t="s">
        <v>1654</v>
      </c>
      <c r="AA523" t="s">
        <v>467</v>
      </c>
      <c r="AB523" t="s">
        <v>68</v>
      </c>
      <c r="AC523" t="s">
        <v>279</v>
      </c>
      <c r="AD523">
        <v>2024</v>
      </c>
    </row>
    <row r="524" spans="17:30">
      <c r="Q524" t="s">
        <v>99</v>
      </c>
      <c r="R524" t="s">
        <v>1010</v>
      </c>
      <c r="S524" t="s">
        <v>1009</v>
      </c>
      <c r="U524" t="s">
        <v>1428</v>
      </c>
      <c r="V524" t="s">
        <v>1053</v>
      </c>
      <c r="W524" t="s">
        <v>1653</v>
      </c>
      <c r="X524" s="76">
        <v>13061</v>
      </c>
      <c r="Y524" t="s">
        <v>1654</v>
      </c>
      <c r="AA524" t="s">
        <v>467</v>
      </c>
      <c r="AB524" t="s">
        <v>88</v>
      </c>
      <c r="AC524" t="s">
        <v>1618</v>
      </c>
      <c r="AD524">
        <v>2024</v>
      </c>
    </row>
    <row r="525" spans="17:30">
      <c r="Q525" t="s">
        <v>99</v>
      </c>
      <c r="R525" t="s">
        <v>1017</v>
      </c>
      <c r="S525" t="s">
        <v>1016</v>
      </c>
      <c r="U525" t="s">
        <v>1428</v>
      </c>
      <c r="V525" t="s">
        <v>1053</v>
      </c>
      <c r="W525" t="s">
        <v>1655</v>
      </c>
      <c r="X525" s="76">
        <v>63</v>
      </c>
      <c r="Y525" t="s">
        <v>1654</v>
      </c>
      <c r="AA525" t="s">
        <v>804</v>
      </c>
      <c r="AB525" t="s">
        <v>32</v>
      </c>
      <c r="AC525" t="s">
        <v>204</v>
      </c>
      <c r="AD525">
        <v>2024</v>
      </c>
    </row>
    <row r="526" spans="17:30">
      <c r="Q526" t="s">
        <v>99</v>
      </c>
      <c r="R526" t="s">
        <v>1251</v>
      </c>
      <c r="S526" t="s">
        <v>1250</v>
      </c>
      <c r="U526" t="s">
        <v>1428</v>
      </c>
      <c r="V526" t="s">
        <v>1053</v>
      </c>
      <c r="W526" t="s">
        <v>67</v>
      </c>
      <c r="X526" s="76">
        <v>14960</v>
      </c>
      <c r="Y526" t="s">
        <v>1654</v>
      </c>
      <c r="AA526" t="s">
        <v>804</v>
      </c>
      <c r="AB526" t="s">
        <v>49</v>
      </c>
      <c r="AC526" t="s">
        <v>204</v>
      </c>
      <c r="AD526">
        <v>2024</v>
      </c>
    </row>
    <row r="527" spans="17:30">
      <c r="Q527" t="s">
        <v>99</v>
      </c>
      <c r="R527" t="s">
        <v>564</v>
      </c>
      <c r="S527" t="s">
        <v>563</v>
      </c>
      <c r="U527" t="s">
        <v>1428</v>
      </c>
      <c r="V527" t="s">
        <v>1053</v>
      </c>
      <c r="W527" t="s">
        <v>87</v>
      </c>
      <c r="X527" s="76">
        <v>198657</v>
      </c>
      <c r="Y527" t="s">
        <v>1654</v>
      </c>
      <c r="AA527" t="s">
        <v>804</v>
      </c>
      <c r="AB527" t="s">
        <v>68</v>
      </c>
      <c r="AC527" t="s">
        <v>754</v>
      </c>
      <c r="AD527">
        <v>2024</v>
      </c>
    </row>
    <row r="528" spans="17:30">
      <c r="Q528" t="s">
        <v>45</v>
      </c>
      <c r="R528" t="s">
        <v>425</v>
      </c>
      <c r="S528" t="s">
        <v>138</v>
      </c>
      <c r="U528" t="s">
        <v>1430</v>
      </c>
      <c r="V528" t="s">
        <v>1340</v>
      </c>
      <c r="W528" t="s">
        <v>1653</v>
      </c>
      <c r="X528" s="76">
        <v>32</v>
      </c>
      <c r="Y528" t="s">
        <v>1654</v>
      </c>
      <c r="AA528" t="s">
        <v>804</v>
      </c>
      <c r="AB528" t="s">
        <v>88</v>
      </c>
      <c r="AC528" t="s">
        <v>1466</v>
      </c>
      <c r="AD528">
        <v>2024</v>
      </c>
    </row>
    <row r="529" spans="17:30">
      <c r="Q529" t="s">
        <v>45</v>
      </c>
      <c r="R529" t="s">
        <v>585</v>
      </c>
      <c r="S529" t="s">
        <v>151</v>
      </c>
      <c r="U529" t="s">
        <v>1430</v>
      </c>
      <c r="V529" t="s">
        <v>1340</v>
      </c>
      <c r="W529" t="s">
        <v>1655</v>
      </c>
      <c r="X529" s="76">
        <v>22</v>
      </c>
      <c r="Y529" t="s">
        <v>1654</v>
      </c>
      <c r="AA529" t="s">
        <v>1001</v>
      </c>
      <c r="AB529" t="s">
        <v>32</v>
      </c>
      <c r="AC529" t="s">
        <v>204</v>
      </c>
      <c r="AD529">
        <v>2024</v>
      </c>
    </row>
    <row r="530" spans="17:30">
      <c r="Q530" t="s">
        <v>45</v>
      </c>
      <c r="R530" t="s">
        <v>625</v>
      </c>
      <c r="S530" t="s">
        <v>163</v>
      </c>
      <c r="U530" t="s">
        <v>1430</v>
      </c>
      <c r="V530" t="s">
        <v>1340</v>
      </c>
      <c r="W530" t="s">
        <v>67</v>
      </c>
      <c r="X530" s="76">
        <v>673</v>
      </c>
      <c r="Y530" t="s">
        <v>1654</v>
      </c>
      <c r="AA530" t="s">
        <v>1001</v>
      </c>
      <c r="AB530" t="s">
        <v>49</v>
      </c>
      <c r="AC530" t="s">
        <v>317</v>
      </c>
      <c r="AD530">
        <v>2024</v>
      </c>
    </row>
    <row r="531" spans="17:30">
      <c r="Q531" t="s">
        <v>45</v>
      </c>
      <c r="R531" t="s">
        <v>833</v>
      </c>
      <c r="S531" t="s">
        <v>227</v>
      </c>
      <c r="U531" t="s">
        <v>1430</v>
      </c>
      <c r="V531" t="s">
        <v>1340</v>
      </c>
      <c r="W531" t="s">
        <v>87</v>
      </c>
      <c r="X531" s="76">
        <v>7724</v>
      </c>
      <c r="Y531" t="s">
        <v>1654</v>
      </c>
      <c r="AA531" t="s">
        <v>1001</v>
      </c>
      <c r="AB531" t="s">
        <v>68</v>
      </c>
      <c r="AC531" t="s">
        <v>1275</v>
      </c>
      <c r="AD531">
        <v>2024</v>
      </c>
    </row>
    <row r="532" spans="17:30">
      <c r="Q532" t="s">
        <v>45</v>
      </c>
      <c r="R532" t="s">
        <v>855</v>
      </c>
      <c r="S532" t="s">
        <v>251</v>
      </c>
      <c r="U532" t="s">
        <v>1434</v>
      </c>
      <c r="V532" t="s">
        <v>610</v>
      </c>
      <c r="W532" t="s">
        <v>1653</v>
      </c>
      <c r="X532" s="76">
        <v>68</v>
      </c>
      <c r="Y532" t="s">
        <v>1654</v>
      </c>
      <c r="AA532" t="s">
        <v>1001</v>
      </c>
      <c r="AB532" t="s">
        <v>88</v>
      </c>
      <c r="AC532" t="s">
        <v>1055</v>
      </c>
      <c r="AD532">
        <v>2024</v>
      </c>
    </row>
    <row r="533" spans="17:30">
      <c r="Q533" t="s">
        <v>45</v>
      </c>
      <c r="R533" t="s">
        <v>1226</v>
      </c>
      <c r="S533" t="s">
        <v>530</v>
      </c>
      <c r="U533" t="s">
        <v>1434</v>
      </c>
      <c r="V533" t="s">
        <v>610</v>
      </c>
      <c r="W533" t="s">
        <v>1655</v>
      </c>
      <c r="X533" s="76">
        <v>65</v>
      </c>
      <c r="Y533" t="s">
        <v>1654</v>
      </c>
      <c r="AA533" t="s">
        <v>481</v>
      </c>
      <c r="AB533" t="s">
        <v>32</v>
      </c>
      <c r="AC533" t="s">
        <v>1332</v>
      </c>
      <c r="AD533">
        <v>2024</v>
      </c>
    </row>
    <row r="534" spans="17:30">
      <c r="Q534" t="s">
        <v>45</v>
      </c>
      <c r="R534" t="s">
        <v>1130</v>
      </c>
      <c r="S534" t="s">
        <v>441</v>
      </c>
      <c r="U534" t="s">
        <v>1434</v>
      </c>
      <c r="V534" t="s">
        <v>610</v>
      </c>
      <c r="W534" t="s">
        <v>67</v>
      </c>
      <c r="X534" s="76">
        <v>114</v>
      </c>
      <c r="Y534" t="s">
        <v>1654</v>
      </c>
      <c r="AA534" t="s">
        <v>481</v>
      </c>
      <c r="AB534" t="s">
        <v>49</v>
      </c>
      <c r="AC534" t="s">
        <v>1332</v>
      </c>
      <c r="AD534">
        <v>2024</v>
      </c>
    </row>
    <row r="535" spans="17:30">
      <c r="Q535" t="s">
        <v>45</v>
      </c>
      <c r="R535" t="s">
        <v>1162</v>
      </c>
      <c r="S535" t="s">
        <v>468</v>
      </c>
      <c r="U535" t="s">
        <v>1434</v>
      </c>
      <c r="V535" t="s">
        <v>610</v>
      </c>
      <c r="W535" t="s">
        <v>87</v>
      </c>
      <c r="X535" s="76">
        <v>8455</v>
      </c>
      <c r="Y535" t="s">
        <v>1654</v>
      </c>
      <c r="AA535" t="s">
        <v>481</v>
      </c>
      <c r="AB535" t="s">
        <v>68</v>
      </c>
      <c r="AC535" t="s">
        <v>1431</v>
      </c>
      <c r="AD535">
        <v>2024</v>
      </c>
    </row>
    <row r="536" spans="17:30">
      <c r="Q536" t="s">
        <v>45</v>
      </c>
      <c r="R536" t="s">
        <v>1280</v>
      </c>
      <c r="S536" t="s">
        <v>568</v>
      </c>
      <c r="U536" t="s">
        <v>1436</v>
      </c>
      <c r="V536" t="s">
        <v>622</v>
      </c>
      <c r="W536" t="s">
        <v>1653</v>
      </c>
      <c r="X536" s="76">
        <v>169</v>
      </c>
      <c r="Y536" t="s">
        <v>1654</v>
      </c>
      <c r="AA536" t="s">
        <v>481</v>
      </c>
      <c r="AB536" t="s">
        <v>88</v>
      </c>
      <c r="AC536" t="s">
        <v>1619</v>
      </c>
      <c r="AD536">
        <v>2024</v>
      </c>
    </row>
    <row r="537" spans="17:30">
      <c r="Q537" t="s">
        <v>45</v>
      </c>
      <c r="R537" t="s">
        <v>1300</v>
      </c>
      <c r="S537" t="s">
        <v>598</v>
      </c>
      <c r="U537" t="s">
        <v>1436</v>
      </c>
      <c r="V537" t="s">
        <v>622</v>
      </c>
      <c r="W537" t="s">
        <v>1655</v>
      </c>
      <c r="X537" s="76">
        <v>10</v>
      </c>
      <c r="Y537" t="s">
        <v>1654</v>
      </c>
      <c r="AA537" t="s">
        <v>1156</v>
      </c>
      <c r="AB537" t="s">
        <v>32</v>
      </c>
      <c r="AC537" t="s">
        <v>1409</v>
      </c>
      <c r="AD537">
        <v>2024</v>
      </c>
    </row>
    <row r="538" spans="17:30">
      <c r="Q538" t="s">
        <v>45</v>
      </c>
      <c r="R538" t="s">
        <v>112</v>
      </c>
      <c r="S538" t="s">
        <v>30</v>
      </c>
      <c r="U538" t="s">
        <v>1436</v>
      </c>
      <c r="V538" t="s">
        <v>622</v>
      </c>
      <c r="W538" t="s">
        <v>67</v>
      </c>
      <c r="X538" s="76">
        <v>167</v>
      </c>
      <c r="Y538" t="s">
        <v>1654</v>
      </c>
      <c r="AA538" t="s">
        <v>1189</v>
      </c>
      <c r="AB538" t="s">
        <v>32</v>
      </c>
      <c r="AC538" t="s">
        <v>1249</v>
      </c>
      <c r="AD538">
        <v>2024</v>
      </c>
    </row>
    <row r="539" spans="17:30">
      <c r="Q539" t="s">
        <v>45</v>
      </c>
      <c r="R539" t="s">
        <v>1038</v>
      </c>
      <c r="S539" t="s">
        <v>384</v>
      </c>
      <c r="U539" t="s">
        <v>1436</v>
      </c>
      <c r="V539" t="s">
        <v>622</v>
      </c>
      <c r="W539" t="s">
        <v>87</v>
      </c>
      <c r="X539" s="76">
        <v>19000</v>
      </c>
      <c r="Y539" t="s">
        <v>1654</v>
      </c>
      <c r="AA539" t="s">
        <v>1189</v>
      </c>
      <c r="AB539" t="s">
        <v>49</v>
      </c>
      <c r="AC539" t="s">
        <v>1468</v>
      </c>
      <c r="AD539">
        <v>2024</v>
      </c>
    </row>
    <row r="540" spans="17:30">
      <c r="Q540" t="s">
        <v>45</v>
      </c>
      <c r="R540" t="s">
        <v>347</v>
      </c>
      <c r="S540" t="s">
        <v>86</v>
      </c>
      <c r="AA540" t="s">
        <v>1189</v>
      </c>
      <c r="AB540" t="s">
        <v>68</v>
      </c>
      <c r="AC540" t="s">
        <v>1620</v>
      </c>
      <c r="AD540">
        <v>2024</v>
      </c>
    </row>
    <row r="541" spans="17:30">
      <c r="Q541" t="s">
        <v>45</v>
      </c>
      <c r="R541" t="s">
        <v>357</v>
      </c>
      <c r="S541" t="s">
        <v>103</v>
      </c>
      <c r="AA541" t="s">
        <v>1189</v>
      </c>
      <c r="AB541" t="s">
        <v>88</v>
      </c>
      <c r="AC541" t="s">
        <v>1621</v>
      </c>
      <c r="AD541">
        <v>2024</v>
      </c>
    </row>
    <row r="542" spans="17:30">
      <c r="Q542" t="s">
        <v>45</v>
      </c>
      <c r="R542" t="s">
        <v>1042</v>
      </c>
      <c r="S542" t="s">
        <v>394</v>
      </c>
      <c r="AA542" t="s">
        <v>517</v>
      </c>
      <c r="AB542" t="s">
        <v>32</v>
      </c>
      <c r="AC542" t="s">
        <v>1360</v>
      </c>
      <c r="AD542">
        <v>2024</v>
      </c>
    </row>
    <row r="543" spans="17:30">
      <c r="Q543" t="s">
        <v>45</v>
      </c>
      <c r="R543" t="s">
        <v>1046</v>
      </c>
      <c r="S543" t="s">
        <v>404</v>
      </c>
      <c r="AA543" t="s">
        <v>517</v>
      </c>
      <c r="AB543" t="s">
        <v>49</v>
      </c>
      <c r="AC543" t="s">
        <v>590</v>
      </c>
      <c r="AD543">
        <v>2024</v>
      </c>
    </row>
    <row r="544" spans="17:30">
      <c r="Q544" t="s">
        <v>45</v>
      </c>
      <c r="R544" t="s">
        <v>1467</v>
      </c>
      <c r="S544" t="s">
        <v>914</v>
      </c>
      <c r="AA544" t="s">
        <v>517</v>
      </c>
      <c r="AB544" t="s">
        <v>68</v>
      </c>
      <c r="AC544" t="s">
        <v>1458</v>
      </c>
      <c r="AD544">
        <v>2024</v>
      </c>
    </row>
    <row r="545" spans="17:30">
      <c r="Q545" t="s">
        <v>45</v>
      </c>
      <c r="R545" t="s">
        <v>1241</v>
      </c>
      <c r="S545" t="s">
        <v>556</v>
      </c>
      <c r="AA545" t="s">
        <v>517</v>
      </c>
      <c r="AB545" t="s">
        <v>88</v>
      </c>
      <c r="AC545" t="s">
        <v>1402</v>
      </c>
      <c r="AD545">
        <v>2024</v>
      </c>
    </row>
    <row r="546" spans="17:30">
      <c r="Q546" t="s">
        <v>45</v>
      </c>
      <c r="R546" t="s">
        <v>637</v>
      </c>
      <c r="S546" t="s">
        <v>176</v>
      </c>
      <c r="AA546" t="s">
        <v>1008</v>
      </c>
      <c r="AB546" t="s">
        <v>49</v>
      </c>
      <c r="AC546" t="s">
        <v>1360</v>
      </c>
      <c r="AD546">
        <v>2024</v>
      </c>
    </row>
    <row r="547" spans="17:30">
      <c r="Q547" t="s">
        <v>45</v>
      </c>
      <c r="R547" t="s">
        <v>1102</v>
      </c>
      <c r="S547" t="s">
        <v>350</v>
      </c>
      <c r="AA547" t="s">
        <v>1008</v>
      </c>
      <c r="AB547" t="s">
        <v>68</v>
      </c>
      <c r="AC547" t="s">
        <v>1191</v>
      </c>
      <c r="AD547">
        <v>2024</v>
      </c>
    </row>
    <row r="548" spans="17:30">
      <c r="Q548" t="s">
        <v>45</v>
      </c>
      <c r="R548" t="s">
        <v>1106</v>
      </c>
      <c r="S548" t="s">
        <v>360</v>
      </c>
      <c r="AA548" t="s">
        <v>1008</v>
      </c>
      <c r="AB548" t="s">
        <v>88</v>
      </c>
      <c r="AC548" t="s">
        <v>1622</v>
      </c>
      <c r="AD548">
        <v>2024</v>
      </c>
    </row>
    <row r="549" spans="17:30">
      <c r="Q549" t="s">
        <v>45</v>
      </c>
      <c r="R549" t="s">
        <v>1051</v>
      </c>
      <c r="S549" t="s">
        <v>417</v>
      </c>
      <c r="AA549" t="s">
        <v>1174</v>
      </c>
      <c r="AB549" t="s">
        <v>32</v>
      </c>
      <c r="AC549" t="s">
        <v>1443</v>
      </c>
      <c r="AD549">
        <v>2024</v>
      </c>
    </row>
    <row r="550" spans="17:30">
      <c r="Q550" t="s">
        <v>45</v>
      </c>
      <c r="R550" t="s">
        <v>750</v>
      </c>
      <c r="S550" t="s">
        <v>189</v>
      </c>
      <c r="AA550" t="s">
        <v>1174</v>
      </c>
      <c r="AB550" t="s">
        <v>49</v>
      </c>
      <c r="AC550" t="s">
        <v>1623</v>
      </c>
      <c r="AD550">
        <v>2024</v>
      </c>
    </row>
    <row r="551" spans="17:30">
      <c r="Q551" t="s">
        <v>45</v>
      </c>
      <c r="R551" t="s">
        <v>791</v>
      </c>
      <c r="S551" t="s">
        <v>202</v>
      </c>
      <c r="AA551" t="s">
        <v>1174</v>
      </c>
      <c r="AB551" t="s">
        <v>68</v>
      </c>
      <c r="AC551" t="s">
        <v>1624</v>
      </c>
      <c r="AD551">
        <v>2024</v>
      </c>
    </row>
    <row r="552" spans="17:30">
      <c r="Q552" t="s">
        <v>45</v>
      </c>
      <c r="R552" t="s">
        <v>796</v>
      </c>
      <c r="S552" t="s">
        <v>215</v>
      </c>
      <c r="AA552" t="s">
        <v>1174</v>
      </c>
      <c r="AB552" t="s">
        <v>88</v>
      </c>
      <c r="AC552" t="s">
        <v>361</v>
      </c>
      <c r="AD552">
        <v>2024</v>
      </c>
    </row>
    <row r="553" spans="17:30">
      <c r="Q553" t="s">
        <v>45</v>
      </c>
      <c r="R553" t="s">
        <v>837</v>
      </c>
      <c r="S553" t="s">
        <v>238</v>
      </c>
      <c r="AA553" t="s">
        <v>1181</v>
      </c>
      <c r="AB553" t="s">
        <v>32</v>
      </c>
      <c r="AC553" t="s">
        <v>1037</v>
      </c>
      <c r="AD553">
        <v>2024</v>
      </c>
    </row>
    <row r="554" spans="17:30">
      <c r="Q554" t="s">
        <v>45</v>
      </c>
      <c r="R554" t="s">
        <v>873</v>
      </c>
      <c r="S554" t="s">
        <v>278</v>
      </c>
      <c r="AA554" t="s">
        <v>1181</v>
      </c>
      <c r="AB554" t="s">
        <v>49</v>
      </c>
      <c r="AC554" t="s">
        <v>1625</v>
      </c>
      <c r="AD554">
        <v>2024</v>
      </c>
    </row>
    <row r="555" spans="17:30">
      <c r="Q555" t="s">
        <v>45</v>
      </c>
      <c r="R555" t="s">
        <v>906</v>
      </c>
      <c r="S555" t="s">
        <v>289</v>
      </c>
      <c r="AA555" t="s">
        <v>1181</v>
      </c>
      <c r="AB555" t="s">
        <v>68</v>
      </c>
      <c r="AC555" t="s">
        <v>1626</v>
      </c>
      <c r="AD555">
        <v>2024</v>
      </c>
    </row>
    <row r="556" spans="17:30">
      <c r="Q556" t="s">
        <v>45</v>
      </c>
      <c r="R556" t="s">
        <v>916</v>
      </c>
      <c r="S556" t="s">
        <v>302</v>
      </c>
      <c r="AA556" t="s">
        <v>1181</v>
      </c>
      <c r="AB556" t="s">
        <v>88</v>
      </c>
      <c r="AC556" t="s">
        <v>1583</v>
      </c>
      <c r="AD556">
        <v>2024</v>
      </c>
    </row>
    <row r="557" spans="17:30">
      <c r="Q557" t="s">
        <v>45</v>
      </c>
      <c r="R557" t="s">
        <v>930</v>
      </c>
      <c r="S557" t="s">
        <v>316</v>
      </c>
      <c r="AA557" t="s">
        <v>529</v>
      </c>
      <c r="AB557" t="s">
        <v>32</v>
      </c>
      <c r="AC557" t="s">
        <v>266</v>
      </c>
      <c r="AD557">
        <v>2024</v>
      </c>
    </row>
    <row r="558" spans="17:30">
      <c r="Q558" t="s">
        <v>45</v>
      </c>
      <c r="R558" t="s">
        <v>1110</v>
      </c>
      <c r="S558" t="s">
        <v>373</v>
      </c>
      <c r="AA558" t="s">
        <v>529</v>
      </c>
      <c r="AB558" t="s">
        <v>49</v>
      </c>
      <c r="AC558" t="s">
        <v>1470</v>
      </c>
      <c r="AD558">
        <v>2024</v>
      </c>
    </row>
    <row r="559" spans="17:30">
      <c r="Q559" t="s">
        <v>45</v>
      </c>
      <c r="R559" t="s">
        <v>1153</v>
      </c>
      <c r="S559" t="s">
        <v>455</v>
      </c>
      <c r="AA559" t="s">
        <v>529</v>
      </c>
      <c r="AB559" t="s">
        <v>68</v>
      </c>
      <c r="AC559" t="s">
        <v>841</v>
      </c>
      <c r="AD559">
        <v>2024</v>
      </c>
    </row>
    <row r="560" spans="17:30">
      <c r="Q560" t="s">
        <v>45</v>
      </c>
      <c r="R560" t="s">
        <v>1164</v>
      </c>
      <c r="S560" t="s">
        <v>482</v>
      </c>
      <c r="AA560" t="s">
        <v>529</v>
      </c>
      <c r="AB560" t="s">
        <v>88</v>
      </c>
      <c r="AC560" t="s">
        <v>361</v>
      </c>
      <c r="AD560">
        <v>2024</v>
      </c>
    </row>
    <row r="561" spans="17:30">
      <c r="Q561" t="s">
        <v>45</v>
      </c>
      <c r="R561" t="s">
        <v>1166</v>
      </c>
      <c r="S561" t="s">
        <v>491</v>
      </c>
      <c r="AA561" t="s">
        <v>542</v>
      </c>
      <c r="AB561" t="s">
        <v>32</v>
      </c>
      <c r="AC561" t="s">
        <v>1471</v>
      </c>
      <c r="AD561">
        <v>2024</v>
      </c>
    </row>
    <row r="562" spans="17:30">
      <c r="Q562" t="s">
        <v>45</v>
      </c>
      <c r="R562" t="s">
        <v>212</v>
      </c>
      <c r="S562" t="s">
        <v>48</v>
      </c>
      <c r="AA562" t="s">
        <v>542</v>
      </c>
      <c r="AB562" t="s">
        <v>49</v>
      </c>
      <c r="AC562" t="s">
        <v>1429</v>
      </c>
      <c r="AD562">
        <v>2024</v>
      </c>
    </row>
    <row r="563" spans="17:30">
      <c r="Q563" t="s">
        <v>45</v>
      </c>
      <c r="R563" t="s">
        <v>1292</v>
      </c>
      <c r="S563" t="s">
        <v>588</v>
      </c>
      <c r="AA563" t="s">
        <v>542</v>
      </c>
      <c r="AB563" t="s">
        <v>68</v>
      </c>
      <c r="AC563" t="s">
        <v>1627</v>
      </c>
      <c r="AD563">
        <v>2024</v>
      </c>
    </row>
    <row r="564" spans="17:30">
      <c r="Q564" t="s">
        <v>45</v>
      </c>
      <c r="R564" t="s">
        <v>1345</v>
      </c>
      <c r="S564" t="s">
        <v>611</v>
      </c>
      <c r="AA564" t="s">
        <v>542</v>
      </c>
      <c r="AB564" t="s">
        <v>88</v>
      </c>
      <c r="AC564" t="s">
        <v>469</v>
      </c>
      <c r="AD564">
        <v>2024</v>
      </c>
    </row>
    <row r="565" spans="17:30">
      <c r="Q565" t="s">
        <v>45</v>
      </c>
      <c r="R565" t="s">
        <v>1348</v>
      </c>
      <c r="S565" t="s">
        <v>623</v>
      </c>
      <c r="AA565" t="s">
        <v>555</v>
      </c>
      <c r="AB565" t="s">
        <v>32</v>
      </c>
      <c r="AC565" t="s">
        <v>794</v>
      </c>
      <c r="AD565">
        <v>2024</v>
      </c>
    </row>
    <row r="566" spans="17:30">
      <c r="Q566" t="s">
        <v>45</v>
      </c>
      <c r="R566" t="s">
        <v>1090</v>
      </c>
      <c r="S566" t="s">
        <v>340</v>
      </c>
      <c r="AA566" t="s">
        <v>555</v>
      </c>
      <c r="AB566" t="s">
        <v>49</v>
      </c>
      <c r="AC566" t="s">
        <v>1472</v>
      </c>
      <c r="AD566">
        <v>2024</v>
      </c>
    </row>
    <row r="567" spans="17:30">
      <c r="Q567" t="s">
        <v>45</v>
      </c>
      <c r="R567" t="s">
        <v>1075</v>
      </c>
      <c r="S567" t="s">
        <v>428</v>
      </c>
      <c r="AA567" t="s">
        <v>555</v>
      </c>
      <c r="AB567" t="s">
        <v>68</v>
      </c>
      <c r="AC567" t="s">
        <v>1628</v>
      </c>
      <c r="AD567">
        <v>2024</v>
      </c>
    </row>
    <row r="568" spans="17:30">
      <c r="Q568" t="s">
        <v>45</v>
      </c>
      <c r="R568" t="s">
        <v>381</v>
      </c>
      <c r="S568" t="s">
        <v>116</v>
      </c>
      <c r="AA568" t="s">
        <v>555</v>
      </c>
      <c r="AB568" t="s">
        <v>88</v>
      </c>
      <c r="AC568" t="s">
        <v>190</v>
      </c>
      <c r="AD568">
        <v>2024</v>
      </c>
    </row>
    <row r="569" spans="17:30">
      <c r="Q569" t="s">
        <v>45</v>
      </c>
      <c r="R569" t="s">
        <v>1187</v>
      </c>
      <c r="S569" t="s">
        <v>505</v>
      </c>
      <c r="AA569" t="s">
        <v>1196</v>
      </c>
      <c r="AB569" t="s">
        <v>49</v>
      </c>
      <c r="AC569" t="s">
        <v>841</v>
      </c>
      <c r="AD569">
        <v>2024</v>
      </c>
    </row>
    <row r="570" spans="17:30">
      <c r="Q570" t="s">
        <v>45</v>
      </c>
      <c r="R570" t="s">
        <v>1283</v>
      </c>
      <c r="S570" t="s">
        <v>581</v>
      </c>
      <c r="AA570" t="s">
        <v>1196</v>
      </c>
      <c r="AB570" t="s">
        <v>68</v>
      </c>
      <c r="AC570" t="s">
        <v>1583</v>
      </c>
      <c r="AD570">
        <v>2024</v>
      </c>
    </row>
    <row r="571" spans="17:30">
      <c r="Q571" t="s">
        <v>45</v>
      </c>
      <c r="R571" t="s">
        <v>1238</v>
      </c>
      <c r="S571" t="s">
        <v>543</v>
      </c>
      <c r="AA571" t="s">
        <v>1196</v>
      </c>
      <c r="AB571" t="s">
        <v>88</v>
      </c>
      <c r="AC571" t="s">
        <v>1629</v>
      </c>
      <c r="AD571">
        <v>2024</v>
      </c>
    </row>
    <row r="572" spans="17:30">
      <c r="Q572" t="s">
        <v>45</v>
      </c>
      <c r="R572" t="s">
        <v>869</v>
      </c>
      <c r="S572" t="s">
        <v>265</v>
      </c>
      <c r="AA572" t="s">
        <v>1021</v>
      </c>
      <c r="AB572" t="s">
        <v>32</v>
      </c>
      <c r="AC572" t="s">
        <v>996</v>
      </c>
      <c r="AD572">
        <v>2024</v>
      </c>
    </row>
    <row r="573" spans="17:30">
      <c r="Q573" t="s">
        <v>45</v>
      </c>
      <c r="R573" t="s">
        <v>1192</v>
      </c>
      <c r="S573" t="s">
        <v>518</v>
      </c>
      <c r="AA573" t="s">
        <v>1021</v>
      </c>
      <c r="AB573" t="s">
        <v>49</v>
      </c>
      <c r="AC573" t="s">
        <v>1630</v>
      </c>
      <c r="AD573">
        <v>2024</v>
      </c>
    </row>
    <row r="574" spans="17:30">
      <c r="Q574" t="s">
        <v>45</v>
      </c>
      <c r="R574" t="s">
        <v>391</v>
      </c>
      <c r="S574" t="s">
        <v>128</v>
      </c>
      <c r="AA574" t="s">
        <v>1021</v>
      </c>
      <c r="AB574" t="s">
        <v>68</v>
      </c>
      <c r="AC574" t="s">
        <v>687</v>
      </c>
      <c r="AD574">
        <v>2024</v>
      </c>
    </row>
    <row r="575" spans="17:30">
      <c r="Q575" t="s">
        <v>45</v>
      </c>
      <c r="R575" t="s">
        <v>286</v>
      </c>
      <c r="S575" t="s">
        <v>66</v>
      </c>
      <c r="AA575" t="s">
        <v>1021</v>
      </c>
      <c r="AB575" t="s">
        <v>88</v>
      </c>
      <c r="AC575" t="s">
        <v>69</v>
      </c>
      <c r="AD575">
        <v>2024</v>
      </c>
    </row>
    <row r="576" spans="17:30">
      <c r="Q576" t="s">
        <v>45</v>
      </c>
      <c r="R576" t="s">
        <v>994</v>
      </c>
      <c r="S576" t="s">
        <v>328</v>
      </c>
      <c r="AA576" t="s">
        <v>567</v>
      </c>
      <c r="AB576" t="s">
        <v>32</v>
      </c>
      <c r="AC576" t="s">
        <v>253</v>
      </c>
      <c r="AD576">
        <v>2024</v>
      </c>
    </row>
    <row r="577" spans="17:30">
      <c r="Q577" t="s">
        <v>64</v>
      </c>
      <c r="R577" s="63" t="s">
        <v>79</v>
      </c>
      <c r="S577" t="s">
        <v>76</v>
      </c>
      <c r="AA577" t="s">
        <v>567</v>
      </c>
      <c r="AB577" t="s">
        <v>49</v>
      </c>
      <c r="AC577" t="s">
        <v>361</v>
      </c>
      <c r="AD577">
        <v>2024</v>
      </c>
    </row>
    <row r="578" spans="17:30">
      <c r="Q578" t="s">
        <v>64</v>
      </c>
      <c r="R578" s="63" t="s">
        <v>125</v>
      </c>
      <c r="S578" t="s">
        <v>122</v>
      </c>
      <c r="AA578" t="s">
        <v>567</v>
      </c>
      <c r="AB578" t="s">
        <v>68</v>
      </c>
      <c r="AC578" t="s">
        <v>1631</v>
      </c>
      <c r="AD578">
        <v>2024</v>
      </c>
    </row>
    <row r="579" spans="17:30">
      <c r="Q579" t="s">
        <v>64</v>
      </c>
      <c r="R579" s="63" t="s">
        <v>135</v>
      </c>
      <c r="S579" t="s">
        <v>132</v>
      </c>
      <c r="AA579" t="s">
        <v>567</v>
      </c>
      <c r="AB579" t="s">
        <v>88</v>
      </c>
      <c r="AC579" t="s">
        <v>1632</v>
      </c>
      <c r="AD579">
        <v>2024</v>
      </c>
    </row>
    <row r="580" spans="17:30">
      <c r="Q580" t="s">
        <v>64</v>
      </c>
      <c r="R580" s="63" t="s">
        <v>249</v>
      </c>
      <c r="S580" t="s">
        <v>246</v>
      </c>
      <c r="AA580" t="s">
        <v>822</v>
      </c>
      <c r="AB580" t="s">
        <v>49</v>
      </c>
      <c r="AC580" t="s">
        <v>915</v>
      </c>
      <c r="AD580">
        <v>2024</v>
      </c>
    </row>
    <row r="581" spans="17:30">
      <c r="Q581" t="s">
        <v>64</v>
      </c>
      <c r="R581" s="63" t="s">
        <v>276</v>
      </c>
      <c r="S581" t="s">
        <v>273</v>
      </c>
      <c r="AA581" t="s">
        <v>822</v>
      </c>
      <c r="AB581" t="s">
        <v>68</v>
      </c>
      <c r="AC581" t="s">
        <v>1275</v>
      </c>
      <c r="AD581">
        <v>2024</v>
      </c>
    </row>
    <row r="582" spans="17:30">
      <c r="Q582" t="s">
        <v>64</v>
      </c>
      <c r="R582" s="63" t="s">
        <v>300</v>
      </c>
      <c r="S582" t="s">
        <v>297</v>
      </c>
      <c r="AA582" t="s">
        <v>822</v>
      </c>
      <c r="AB582" t="s">
        <v>88</v>
      </c>
      <c r="AC582" t="s">
        <v>1633</v>
      </c>
      <c r="AD582">
        <v>2024</v>
      </c>
    </row>
    <row r="583" spans="17:30">
      <c r="Q583" t="s">
        <v>64</v>
      </c>
      <c r="R583" s="63" t="s">
        <v>402</v>
      </c>
      <c r="S583" t="s">
        <v>399</v>
      </c>
      <c r="AA583" t="s">
        <v>1210</v>
      </c>
      <c r="AB583" t="s">
        <v>32</v>
      </c>
      <c r="AC583" t="s">
        <v>1634</v>
      </c>
      <c r="AD583">
        <v>2024</v>
      </c>
    </row>
    <row r="584" spans="17:30">
      <c r="Q584" t="s">
        <v>64</v>
      </c>
      <c r="R584" s="63" t="s">
        <v>414</v>
      </c>
      <c r="S584" t="s">
        <v>411</v>
      </c>
      <c r="AA584" t="s">
        <v>1210</v>
      </c>
      <c r="AB584" t="s">
        <v>49</v>
      </c>
      <c r="AC584" t="s">
        <v>1634</v>
      </c>
      <c r="AD584">
        <v>2024</v>
      </c>
    </row>
    <row r="585" spans="17:30">
      <c r="Q585" t="s">
        <v>64</v>
      </c>
      <c r="R585" s="63" t="s">
        <v>453</v>
      </c>
      <c r="S585" t="s">
        <v>450</v>
      </c>
      <c r="AA585" t="s">
        <v>1210</v>
      </c>
      <c r="AB585" t="s">
        <v>68</v>
      </c>
      <c r="AC585" t="s">
        <v>1635</v>
      </c>
      <c r="AD585">
        <v>2024</v>
      </c>
    </row>
    <row r="586" spans="17:30">
      <c r="Q586" t="s">
        <v>64</v>
      </c>
      <c r="R586" s="63" t="s">
        <v>479</v>
      </c>
      <c r="S586" t="s">
        <v>476</v>
      </c>
      <c r="AA586" t="s">
        <v>1210</v>
      </c>
      <c r="AB586" t="s">
        <v>88</v>
      </c>
      <c r="AC586" t="s">
        <v>1473</v>
      </c>
      <c r="AD586">
        <v>2024</v>
      </c>
    </row>
    <row r="587" spans="17:30">
      <c r="Q587" t="s">
        <v>64</v>
      </c>
      <c r="R587" s="63" t="s">
        <v>528</v>
      </c>
      <c r="S587" t="s">
        <v>525</v>
      </c>
      <c r="AA587" t="s">
        <v>1216</v>
      </c>
      <c r="AB587" t="s">
        <v>32</v>
      </c>
      <c r="AC587" t="s">
        <v>768</v>
      </c>
      <c r="AD587">
        <v>2024</v>
      </c>
    </row>
    <row r="588" spans="17:30">
      <c r="Q588" t="s">
        <v>64</v>
      </c>
      <c r="R588" s="63" t="s">
        <v>541</v>
      </c>
      <c r="S588" t="s">
        <v>538</v>
      </c>
      <c r="AA588" t="s">
        <v>1216</v>
      </c>
      <c r="AB588" t="s">
        <v>49</v>
      </c>
      <c r="AC588" t="s">
        <v>1474</v>
      </c>
      <c r="AD588">
        <v>2024</v>
      </c>
    </row>
    <row r="589" spans="17:30">
      <c r="Q589" t="s">
        <v>64</v>
      </c>
      <c r="R589" s="63" t="s">
        <v>554</v>
      </c>
      <c r="S589" t="s">
        <v>551</v>
      </c>
      <c r="AA589" t="s">
        <v>1216</v>
      </c>
      <c r="AB589" t="s">
        <v>68</v>
      </c>
      <c r="AC589" t="s">
        <v>456</v>
      </c>
      <c r="AD589">
        <v>2024</v>
      </c>
    </row>
    <row r="590" spans="17:30">
      <c r="Q590" t="s">
        <v>64</v>
      </c>
      <c r="R590" s="63" t="s">
        <v>644</v>
      </c>
      <c r="S590" t="s">
        <v>641</v>
      </c>
      <c r="AA590" t="s">
        <v>1216</v>
      </c>
      <c r="AB590" t="s">
        <v>88</v>
      </c>
      <c r="AC590" t="s">
        <v>1551</v>
      </c>
      <c r="AD590">
        <v>2024</v>
      </c>
    </row>
    <row r="591" spans="17:30">
      <c r="Q591" t="s">
        <v>64</v>
      </c>
      <c r="R591" s="63" t="s">
        <v>650</v>
      </c>
      <c r="S591" t="s">
        <v>647</v>
      </c>
      <c r="AA591" t="s">
        <v>1221</v>
      </c>
      <c r="AB591" t="s">
        <v>32</v>
      </c>
      <c r="AC591" t="s">
        <v>1360</v>
      </c>
      <c r="AD591">
        <v>2024</v>
      </c>
    </row>
    <row r="592" spans="17:30">
      <c r="Q592" t="s">
        <v>64</v>
      </c>
      <c r="R592" s="63" t="s">
        <v>657</v>
      </c>
      <c r="S592" t="s">
        <v>654</v>
      </c>
      <c r="AA592" t="s">
        <v>1221</v>
      </c>
      <c r="AB592" t="s">
        <v>49</v>
      </c>
      <c r="AC592" t="s">
        <v>1474</v>
      </c>
      <c r="AD592">
        <v>2024</v>
      </c>
    </row>
    <row r="593" spans="17:30">
      <c r="Q593" t="s">
        <v>64</v>
      </c>
      <c r="R593" s="63" t="s">
        <v>669</v>
      </c>
      <c r="S593" t="s">
        <v>666</v>
      </c>
      <c r="AA593" t="s">
        <v>1221</v>
      </c>
      <c r="AB593" t="s">
        <v>68</v>
      </c>
      <c r="AC593" t="s">
        <v>456</v>
      </c>
      <c r="AD593">
        <v>2024</v>
      </c>
    </row>
    <row r="594" spans="17:30">
      <c r="Q594" t="s">
        <v>64</v>
      </c>
      <c r="R594" s="63" t="s">
        <v>727</v>
      </c>
      <c r="S594" t="s">
        <v>724</v>
      </c>
      <c r="AA594" t="s">
        <v>1221</v>
      </c>
      <c r="AB594" t="s">
        <v>88</v>
      </c>
      <c r="AC594" t="s">
        <v>1294</v>
      </c>
      <c r="AD594">
        <v>2024</v>
      </c>
    </row>
    <row r="595" spans="17:30">
      <c r="Q595" t="s">
        <v>64</v>
      </c>
      <c r="R595" s="63" t="s">
        <v>881</v>
      </c>
      <c r="S595" t="s">
        <v>878</v>
      </c>
      <c r="AA595" t="s">
        <v>1003</v>
      </c>
      <c r="AB595" t="s">
        <v>32</v>
      </c>
      <c r="AC595" t="s">
        <v>915</v>
      </c>
      <c r="AD595">
        <v>2024</v>
      </c>
    </row>
    <row r="596" spans="17:30">
      <c r="Q596" t="s">
        <v>64</v>
      </c>
      <c r="R596" s="63" t="s">
        <v>960</v>
      </c>
      <c r="S596" t="s">
        <v>957</v>
      </c>
      <c r="AA596" t="s">
        <v>1003</v>
      </c>
      <c r="AB596" t="s">
        <v>49</v>
      </c>
      <c r="AC596" t="s">
        <v>352</v>
      </c>
      <c r="AD596">
        <v>2024</v>
      </c>
    </row>
    <row r="597" spans="17:30">
      <c r="Q597" t="s">
        <v>64</v>
      </c>
      <c r="R597" s="63" t="s">
        <v>965</v>
      </c>
      <c r="S597" t="s">
        <v>962</v>
      </c>
      <c r="AA597" t="s">
        <v>1003</v>
      </c>
      <c r="AB597" t="s">
        <v>68</v>
      </c>
      <c r="AC597" t="s">
        <v>1636</v>
      </c>
      <c r="AD597">
        <v>2024</v>
      </c>
    </row>
    <row r="598" spans="17:30">
      <c r="Q598" t="s">
        <v>64</v>
      </c>
      <c r="R598" s="63" t="s">
        <v>1114</v>
      </c>
      <c r="S598" t="s">
        <v>1045</v>
      </c>
      <c r="AA598" t="s">
        <v>1003</v>
      </c>
      <c r="AB598" t="s">
        <v>88</v>
      </c>
      <c r="AC598" t="s">
        <v>506</v>
      </c>
      <c r="AD598">
        <v>2024</v>
      </c>
    </row>
    <row r="599" spans="17:30">
      <c r="Q599" t="s">
        <v>64</v>
      </c>
      <c r="R599" s="63" t="s">
        <v>1135</v>
      </c>
      <c r="S599" t="s">
        <v>1049</v>
      </c>
      <c r="AA599" t="s">
        <v>580</v>
      </c>
      <c r="AB599" t="s">
        <v>32</v>
      </c>
      <c r="AC599" t="s">
        <v>1136</v>
      </c>
      <c r="AD599">
        <v>2024</v>
      </c>
    </row>
    <row r="600" spans="17:30">
      <c r="Q600" t="s">
        <v>64</v>
      </c>
      <c r="R600" s="63" t="s">
        <v>1139</v>
      </c>
      <c r="S600" t="s">
        <v>1054</v>
      </c>
      <c r="AA600" t="s">
        <v>580</v>
      </c>
      <c r="AB600" t="s">
        <v>49</v>
      </c>
      <c r="AC600" t="s">
        <v>841</v>
      </c>
      <c r="AD600">
        <v>2024</v>
      </c>
    </row>
    <row r="601" spans="17:30">
      <c r="Q601" t="s">
        <v>64</v>
      </c>
      <c r="R601" s="63" t="s">
        <v>1143</v>
      </c>
      <c r="S601" t="s">
        <v>1060</v>
      </c>
      <c r="AA601" t="s">
        <v>580</v>
      </c>
      <c r="AB601" t="s">
        <v>68</v>
      </c>
      <c r="AC601" t="s">
        <v>1637</v>
      </c>
      <c r="AD601">
        <v>2024</v>
      </c>
    </row>
    <row r="602" spans="17:30">
      <c r="Q602" t="s">
        <v>64</v>
      </c>
      <c r="R602" s="63" t="s">
        <v>1146</v>
      </c>
      <c r="S602" t="s">
        <v>1066</v>
      </c>
      <c r="AA602" t="s">
        <v>580</v>
      </c>
      <c r="AB602" t="s">
        <v>88</v>
      </c>
      <c r="AC602" t="s">
        <v>1638</v>
      </c>
      <c r="AD602">
        <v>2024</v>
      </c>
    </row>
    <row r="603" spans="17:30">
      <c r="Q603" t="s">
        <v>64</v>
      </c>
      <c r="R603" s="63" t="s">
        <v>1209</v>
      </c>
      <c r="S603" t="s">
        <v>1072</v>
      </c>
      <c r="AA603" t="s">
        <v>1027</v>
      </c>
      <c r="AB603" t="s">
        <v>32</v>
      </c>
      <c r="AC603" t="s">
        <v>898</v>
      </c>
      <c r="AD603">
        <v>2024</v>
      </c>
    </row>
    <row r="604" spans="17:30">
      <c r="Q604" t="s">
        <v>64</v>
      </c>
      <c r="R604" s="63" t="s">
        <v>1232</v>
      </c>
      <c r="S604" t="s">
        <v>1077</v>
      </c>
      <c r="AA604" t="s">
        <v>1027</v>
      </c>
      <c r="AB604" t="s">
        <v>49</v>
      </c>
      <c r="AC604" t="s">
        <v>1475</v>
      </c>
      <c r="AD604">
        <v>2024</v>
      </c>
    </row>
    <row r="605" spans="17:30">
      <c r="Q605" t="s">
        <v>64</v>
      </c>
      <c r="R605" s="63" t="s">
        <v>1234</v>
      </c>
      <c r="S605" t="s">
        <v>1083</v>
      </c>
      <c r="AA605" t="s">
        <v>1027</v>
      </c>
      <c r="AB605" t="s">
        <v>68</v>
      </c>
      <c r="AC605" t="s">
        <v>1402</v>
      </c>
      <c r="AD605">
        <v>2024</v>
      </c>
    </row>
    <row r="606" spans="17:30">
      <c r="Q606" t="s">
        <v>64</v>
      </c>
      <c r="R606" s="63" t="s">
        <v>1237</v>
      </c>
      <c r="S606" t="s">
        <v>1089</v>
      </c>
      <c r="AA606" t="s">
        <v>1027</v>
      </c>
      <c r="AB606" t="s">
        <v>88</v>
      </c>
      <c r="AC606" t="s">
        <v>1639</v>
      </c>
      <c r="AD606">
        <v>2024</v>
      </c>
    </row>
    <row r="607" spans="17:30">
      <c r="Q607" t="s">
        <v>64</v>
      </c>
      <c r="R607" s="63" t="s">
        <v>1244</v>
      </c>
      <c r="S607" t="s">
        <v>1092</v>
      </c>
      <c r="AA607" t="s">
        <v>1036</v>
      </c>
      <c r="AB607" t="s">
        <v>32</v>
      </c>
      <c r="AC607" t="s">
        <v>1409</v>
      </c>
      <c r="AD607">
        <v>2024</v>
      </c>
    </row>
    <row r="608" spans="17:30">
      <c r="Q608" t="s">
        <v>64</v>
      </c>
      <c r="R608" s="63" t="s">
        <v>1291</v>
      </c>
      <c r="S608" t="s">
        <v>1099</v>
      </c>
      <c r="AA608" t="s">
        <v>1036</v>
      </c>
      <c r="AB608" t="s">
        <v>49</v>
      </c>
      <c r="AC608" t="s">
        <v>1360</v>
      </c>
      <c r="AD608">
        <v>2024</v>
      </c>
    </row>
    <row r="609" spans="17:30">
      <c r="Q609" t="s">
        <v>64</v>
      </c>
      <c r="R609" s="63" t="s">
        <v>1326</v>
      </c>
      <c r="S609" t="s">
        <v>1104</v>
      </c>
      <c r="AA609" t="s">
        <v>1036</v>
      </c>
      <c r="AB609" t="s">
        <v>68</v>
      </c>
      <c r="AC609" t="s">
        <v>1441</v>
      </c>
      <c r="AD609">
        <v>2024</v>
      </c>
    </row>
    <row r="610" spans="17:30">
      <c r="Q610" t="s">
        <v>64</v>
      </c>
      <c r="R610" s="63" t="s">
        <v>1334</v>
      </c>
      <c r="S610" t="s">
        <v>1109</v>
      </c>
      <c r="AA610" t="s">
        <v>1036</v>
      </c>
      <c r="AB610" t="s">
        <v>88</v>
      </c>
      <c r="AC610" t="s">
        <v>1640</v>
      </c>
      <c r="AD610">
        <v>2024</v>
      </c>
    </row>
    <row r="611" spans="17:30">
      <c r="Q611" t="s">
        <v>101</v>
      </c>
      <c r="R611" s="63" t="s">
        <v>60</v>
      </c>
      <c r="S611" t="s">
        <v>57</v>
      </c>
      <c r="AA611" t="s">
        <v>587</v>
      </c>
      <c r="AB611" t="s">
        <v>32</v>
      </c>
      <c r="AC611" t="s">
        <v>1477</v>
      </c>
      <c r="AD611">
        <v>2024</v>
      </c>
    </row>
    <row r="612" spans="17:30">
      <c r="Q612" t="s">
        <v>101</v>
      </c>
      <c r="R612" s="63" t="s">
        <v>186</v>
      </c>
      <c r="S612" t="s">
        <v>183</v>
      </c>
      <c r="AA612" t="s">
        <v>587</v>
      </c>
      <c r="AB612" t="s">
        <v>49</v>
      </c>
      <c r="AC612" t="s">
        <v>1477</v>
      </c>
      <c r="AD612">
        <v>2024</v>
      </c>
    </row>
    <row r="613" spans="17:30">
      <c r="Q613" t="s">
        <v>101</v>
      </c>
      <c r="R613" s="63" t="s">
        <v>566</v>
      </c>
      <c r="S613" t="s">
        <v>563</v>
      </c>
      <c r="AA613" t="s">
        <v>587</v>
      </c>
      <c r="AB613" t="s">
        <v>68</v>
      </c>
      <c r="AC613" t="s">
        <v>1472</v>
      </c>
      <c r="AD613">
        <v>2024</v>
      </c>
    </row>
    <row r="614" spans="17:30">
      <c r="Q614" t="s">
        <v>101</v>
      </c>
      <c r="R614" s="63" t="s">
        <v>699</v>
      </c>
      <c r="S614" t="s">
        <v>696</v>
      </c>
      <c r="AA614" t="s">
        <v>587</v>
      </c>
      <c r="AB614" t="s">
        <v>88</v>
      </c>
      <c r="AC614" t="s">
        <v>1457</v>
      </c>
      <c r="AD614">
        <v>2024</v>
      </c>
    </row>
    <row r="615" spans="17:30">
      <c r="Q615" t="s">
        <v>101</v>
      </c>
      <c r="R615" s="63" t="s">
        <v>740</v>
      </c>
      <c r="S615" t="s">
        <v>737</v>
      </c>
      <c r="AA615" t="s">
        <v>1040</v>
      </c>
      <c r="AB615" t="s">
        <v>32</v>
      </c>
      <c r="AC615" t="s">
        <v>582</v>
      </c>
      <c r="AD615">
        <v>2024</v>
      </c>
    </row>
    <row r="616" spans="17:30">
      <c r="Q616" t="s">
        <v>101</v>
      </c>
      <c r="R616" s="63" t="s">
        <v>766</v>
      </c>
      <c r="S616" t="s">
        <v>763</v>
      </c>
      <c r="AA616" t="s">
        <v>1040</v>
      </c>
      <c r="AB616" t="s">
        <v>49</v>
      </c>
      <c r="AC616" t="s">
        <v>582</v>
      </c>
      <c r="AD616">
        <v>2024</v>
      </c>
    </row>
    <row r="617" spans="17:30">
      <c r="Q617" t="s">
        <v>101</v>
      </c>
      <c r="R617" s="63" t="s">
        <v>788</v>
      </c>
      <c r="S617" t="s">
        <v>785</v>
      </c>
      <c r="AA617" t="s">
        <v>1040</v>
      </c>
      <c r="AB617" t="s">
        <v>68</v>
      </c>
      <c r="AC617" t="s">
        <v>1360</v>
      </c>
      <c r="AD617">
        <v>2024</v>
      </c>
    </row>
    <row r="618" spans="17:30">
      <c r="Q618" t="s">
        <v>101</v>
      </c>
      <c r="R618" s="63" t="s">
        <v>803</v>
      </c>
      <c r="S618" t="s">
        <v>800</v>
      </c>
      <c r="AA618" t="s">
        <v>1040</v>
      </c>
      <c r="AB618" t="s">
        <v>88</v>
      </c>
      <c r="AC618" t="s">
        <v>754</v>
      </c>
      <c r="AD618">
        <v>2024</v>
      </c>
    </row>
    <row r="619" spans="17:30">
      <c r="Q619" t="s">
        <v>101</v>
      </c>
      <c r="R619" s="63" t="s">
        <v>903</v>
      </c>
      <c r="S619" t="s">
        <v>900</v>
      </c>
      <c r="AA619" t="s">
        <v>830</v>
      </c>
      <c r="AB619" t="s">
        <v>32</v>
      </c>
      <c r="AC619" t="s">
        <v>582</v>
      </c>
      <c r="AD619">
        <v>2024</v>
      </c>
    </row>
    <row r="620" spans="17:30">
      <c r="Q620" t="s">
        <v>101</v>
      </c>
      <c r="R620" s="63" t="s">
        <v>987</v>
      </c>
      <c r="S620" t="s">
        <v>984</v>
      </c>
      <c r="AA620" t="s">
        <v>830</v>
      </c>
      <c r="AB620" t="s">
        <v>49</v>
      </c>
      <c r="AC620" t="s">
        <v>1268</v>
      </c>
      <c r="AD620">
        <v>2024</v>
      </c>
    </row>
    <row r="621" spans="17:30">
      <c r="Q621" t="s">
        <v>101</v>
      </c>
      <c r="R621" s="63" t="s">
        <v>1012</v>
      </c>
      <c r="S621" t="s">
        <v>1009</v>
      </c>
      <c r="AA621" t="s">
        <v>830</v>
      </c>
      <c r="AB621" t="s">
        <v>68</v>
      </c>
      <c r="AC621" t="s">
        <v>1448</v>
      </c>
      <c r="AD621">
        <v>2024</v>
      </c>
    </row>
    <row r="622" spans="17:30">
      <c r="Q622" t="s">
        <v>101</v>
      </c>
      <c r="R622" s="63" t="s">
        <v>1019</v>
      </c>
      <c r="S622" t="s">
        <v>1016</v>
      </c>
      <c r="AA622" t="s">
        <v>830</v>
      </c>
      <c r="AB622" t="s">
        <v>88</v>
      </c>
      <c r="AC622" t="s">
        <v>1427</v>
      </c>
      <c r="AD622">
        <v>2024</v>
      </c>
    </row>
    <row r="623" spans="17:30">
      <c r="Q623" t="s">
        <v>101</v>
      </c>
      <c r="R623" s="63" t="s">
        <v>1160</v>
      </c>
      <c r="S623" t="s">
        <v>1157</v>
      </c>
      <c r="AA623" t="s">
        <v>1022</v>
      </c>
      <c r="AB623" t="s">
        <v>32</v>
      </c>
      <c r="AC623" t="s">
        <v>754</v>
      </c>
      <c r="AD623">
        <v>2024</v>
      </c>
    </row>
    <row r="624" spans="17:30">
      <c r="Q624" t="s">
        <v>101</v>
      </c>
      <c r="R624" s="63" t="s">
        <v>1225</v>
      </c>
      <c r="S624" t="s">
        <v>1222</v>
      </c>
      <c r="AA624" t="s">
        <v>1022</v>
      </c>
      <c r="AB624" t="s">
        <v>49</v>
      </c>
      <c r="AC624" t="s">
        <v>105</v>
      </c>
      <c r="AD624">
        <v>2024</v>
      </c>
    </row>
    <row r="625" spans="17:30">
      <c r="Q625" t="s">
        <v>101</v>
      </c>
      <c r="R625" s="63" t="s">
        <v>1253</v>
      </c>
      <c r="S625" t="s">
        <v>1250</v>
      </c>
      <c r="AA625" t="s">
        <v>1022</v>
      </c>
      <c r="AB625" t="s">
        <v>68</v>
      </c>
      <c r="AC625" t="s">
        <v>1612</v>
      </c>
      <c r="AD625">
        <v>2024</v>
      </c>
    </row>
    <row r="626" spans="17:30">
      <c r="Q626" t="s">
        <v>101</v>
      </c>
      <c r="R626" s="63" t="s">
        <v>1310</v>
      </c>
      <c r="S626" t="s">
        <v>1307</v>
      </c>
      <c r="AA626" t="s">
        <v>1022</v>
      </c>
      <c r="AB626" t="s">
        <v>88</v>
      </c>
      <c r="AC626" t="s">
        <v>139</v>
      </c>
      <c r="AD626">
        <v>2024</v>
      </c>
    </row>
    <row r="627" spans="17:30">
      <c r="Q627" t="s">
        <v>101</v>
      </c>
      <c r="R627" s="63" t="s">
        <v>1344</v>
      </c>
      <c r="S627" t="s">
        <v>1341</v>
      </c>
      <c r="AA627" t="s">
        <v>1044</v>
      </c>
      <c r="AB627" t="s">
        <v>32</v>
      </c>
      <c r="AC627" t="s">
        <v>317</v>
      </c>
      <c r="AD627">
        <v>2024</v>
      </c>
    </row>
    <row r="628" spans="17:30">
      <c r="Q628" t="s">
        <v>46</v>
      </c>
      <c r="R628" s="63" t="s">
        <v>113</v>
      </c>
      <c r="S628" t="s">
        <v>30</v>
      </c>
      <c r="AA628" t="s">
        <v>1044</v>
      </c>
      <c r="AB628" t="s">
        <v>49</v>
      </c>
      <c r="AC628" t="s">
        <v>1268</v>
      </c>
      <c r="AD628">
        <v>2024</v>
      </c>
    </row>
    <row r="629" spans="17:30">
      <c r="Q629" t="s">
        <v>46</v>
      </c>
      <c r="R629" s="63" t="s">
        <v>213</v>
      </c>
      <c r="S629" t="s">
        <v>48</v>
      </c>
      <c r="AA629" t="s">
        <v>1044</v>
      </c>
      <c r="AB629" t="s">
        <v>68</v>
      </c>
      <c r="AC629" t="s">
        <v>1275</v>
      </c>
      <c r="AD629">
        <v>2024</v>
      </c>
    </row>
    <row r="630" spans="17:30">
      <c r="Q630" t="s">
        <v>46</v>
      </c>
      <c r="R630" s="63" t="s">
        <v>287</v>
      </c>
      <c r="S630" t="s">
        <v>66</v>
      </c>
      <c r="AA630" t="s">
        <v>1044</v>
      </c>
      <c r="AB630" t="s">
        <v>88</v>
      </c>
      <c r="AC630" t="s">
        <v>1641</v>
      </c>
      <c r="AD630">
        <v>2024</v>
      </c>
    </row>
    <row r="631" spans="17:30">
      <c r="Q631" t="s">
        <v>46</v>
      </c>
      <c r="R631" s="63" t="s">
        <v>348</v>
      </c>
      <c r="S631" t="s">
        <v>86</v>
      </c>
      <c r="AA631" t="s">
        <v>1273</v>
      </c>
      <c r="AB631" t="s">
        <v>32</v>
      </c>
      <c r="AC631" t="s">
        <v>1642</v>
      </c>
      <c r="AD631">
        <v>2024</v>
      </c>
    </row>
    <row r="632" spans="17:30">
      <c r="Q632" t="s">
        <v>46</v>
      </c>
      <c r="R632" s="63" t="s">
        <v>358</v>
      </c>
      <c r="S632" t="s">
        <v>103</v>
      </c>
      <c r="AA632" t="s">
        <v>1273</v>
      </c>
      <c r="AB632" t="s">
        <v>49</v>
      </c>
      <c r="AC632" t="s">
        <v>361</v>
      </c>
      <c r="AD632">
        <v>2024</v>
      </c>
    </row>
    <row r="633" spans="17:30">
      <c r="Q633" t="s">
        <v>46</v>
      </c>
      <c r="R633" s="63" t="s">
        <v>382</v>
      </c>
      <c r="S633" t="s">
        <v>116</v>
      </c>
      <c r="AA633" t="s">
        <v>1273</v>
      </c>
      <c r="AB633" t="s">
        <v>68</v>
      </c>
      <c r="AC633" t="s">
        <v>456</v>
      </c>
      <c r="AD633">
        <v>2024</v>
      </c>
    </row>
    <row r="634" spans="17:30">
      <c r="Q634" t="s">
        <v>46</v>
      </c>
      <c r="R634" s="63" t="s">
        <v>392</v>
      </c>
      <c r="S634" t="s">
        <v>128</v>
      </c>
      <c r="AA634" t="s">
        <v>1273</v>
      </c>
      <c r="AB634" t="s">
        <v>88</v>
      </c>
      <c r="AC634" t="s">
        <v>1643</v>
      </c>
      <c r="AD634">
        <v>2024</v>
      </c>
    </row>
    <row r="635" spans="17:30">
      <c r="Q635" t="s">
        <v>46</v>
      </c>
      <c r="R635" s="63" t="s">
        <v>426</v>
      </c>
      <c r="S635" t="s">
        <v>138</v>
      </c>
      <c r="AA635" t="s">
        <v>597</v>
      </c>
      <c r="AB635" t="s">
        <v>32</v>
      </c>
      <c r="AC635" t="s">
        <v>1471</v>
      </c>
      <c r="AD635">
        <v>2024</v>
      </c>
    </row>
    <row r="636" spans="17:30">
      <c r="Q636" t="s">
        <v>46</v>
      </c>
      <c r="R636" s="63" t="s">
        <v>586</v>
      </c>
      <c r="S636" t="s">
        <v>151</v>
      </c>
      <c r="AA636" t="s">
        <v>597</v>
      </c>
      <c r="AB636" t="s">
        <v>49</v>
      </c>
      <c r="AC636" t="s">
        <v>1471</v>
      </c>
      <c r="AD636">
        <v>2024</v>
      </c>
    </row>
    <row r="637" spans="17:30">
      <c r="Q637" t="s">
        <v>46</v>
      </c>
      <c r="R637" s="63" t="s">
        <v>626</v>
      </c>
      <c r="S637" t="s">
        <v>163</v>
      </c>
      <c r="AA637" t="s">
        <v>597</v>
      </c>
      <c r="AB637" t="s">
        <v>68</v>
      </c>
      <c r="AC637" t="s">
        <v>1353</v>
      </c>
      <c r="AD637">
        <v>2024</v>
      </c>
    </row>
    <row r="638" spans="17:30">
      <c r="Q638" t="s">
        <v>46</v>
      </c>
      <c r="R638" s="63" t="s">
        <v>638</v>
      </c>
      <c r="S638" t="s">
        <v>176</v>
      </c>
      <c r="AA638" t="s">
        <v>597</v>
      </c>
      <c r="AB638" t="s">
        <v>88</v>
      </c>
      <c r="AC638" t="s">
        <v>950</v>
      </c>
      <c r="AD638">
        <v>2024</v>
      </c>
    </row>
    <row r="639" spans="17:30">
      <c r="Q639" t="s">
        <v>46</v>
      </c>
      <c r="R639" s="63" t="s">
        <v>751</v>
      </c>
      <c r="S639" t="s">
        <v>189</v>
      </c>
      <c r="AA639" t="s">
        <v>1282</v>
      </c>
      <c r="AB639" t="s">
        <v>32</v>
      </c>
      <c r="AC639" t="s">
        <v>1405</v>
      </c>
      <c r="AD639">
        <v>2024</v>
      </c>
    </row>
    <row r="640" spans="17:30">
      <c r="Q640" t="s">
        <v>46</v>
      </c>
      <c r="R640" s="63" t="s">
        <v>792</v>
      </c>
      <c r="S640" t="s">
        <v>202</v>
      </c>
      <c r="AA640" t="s">
        <v>1282</v>
      </c>
      <c r="AB640" t="s">
        <v>68</v>
      </c>
      <c r="AC640" t="s">
        <v>290</v>
      </c>
      <c r="AD640">
        <v>2024</v>
      </c>
    </row>
    <row r="641" spans="17:30">
      <c r="Q641" t="s">
        <v>46</v>
      </c>
      <c r="R641" s="63" t="s">
        <v>797</v>
      </c>
      <c r="S641" t="s">
        <v>215</v>
      </c>
      <c r="AA641" t="s">
        <v>1282</v>
      </c>
      <c r="AB641" t="s">
        <v>88</v>
      </c>
      <c r="AC641" t="s">
        <v>374</v>
      </c>
      <c r="AD641">
        <v>2024</v>
      </c>
    </row>
    <row r="642" spans="17:30">
      <c r="Q642" t="s">
        <v>46</v>
      </c>
      <c r="R642" s="63" t="s">
        <v>834</v>
      </c>
      <c r="S642" t="s">
        <v>227</v>
      </c>
      <c r="AA642" t="s">
        <v>309</v>
      </c>
      <c r="AB642" t="s">
        <v>32</v>
      </c>
      <c r="AC642" t="s">
        <v>1332</v>
      </c>
      <c r="AD642">
        <v>2024</v>
      </c>
    </row>
    <row r="643" spans="17:30">
      <c r="Q643" t="s">
        <v>46</v>
      </c>
      <c r="R643" s="63" t="s">
        <v>838</v>
      </c>
      <c r="S643" t="s">
        <v>238</v>
      </c>
      <c r="AA643" t="s">
        <v>309</v>
      </c>
      <c r="AB643" t="s">
        <v>49</v>
      </c>
      <c r="AC643" t="s">
        <v>1644</v>
      </c>
      <c r="AD643">
        <v>2024</v>
      </c>
    </row>
    <row r="644" spans="17:30">
      <c r="Q644" t="s">
        <v>46</v>
      </c>
      <c r="R644" s="63" t="s">
        <v>856</v>
      </c>
      <c r="S644" t="s">
        <v>251</v>
      </c>
      <c r="AA644" t="s">
        <v>309</v>
      </c>
      <c r="AB644" t="s">
        <v>68</v>
      </c>
      <c r="AC644" t="s">
        <v>69</v>
      </c>
      <c r="AD644">
        <v>2024</v>
      </c>
    </row>
    <row r="645" spans="17:30">
      <c r="Q645" t="s">
        <v>46</v>
      </c>
      <c r="R645" s="63" t="s">
        <v>870</v>
      </c>
      <c r="S645" t="s">
        <v>265</v>
      </c>
      <c r="AA645" t="s">
        <v>309</v>
      </c>
      <c r="AB645" t="s">
        <v>88</v>
      </c>
      <c r="AC645" t="s">
        <v>506</v>
      </c>
      <c r="AD645">
        <v>2024</v>
      </c>
    </row>
    <row r="646" spans="17:30">
      <c r="Q646" t="s">
        <v>46</v>
      </c>
      <c r="R646" s="63" t="s">
        <v>874</v>
      </c>
      <c r="S646" t="s">
        <v>278</v>
      </c>
      <c r="AA646" t="s">
        <v>75</v>
      </c>
      <c r="AB646" t="s">
        <v>32</v>
      </c>
      <c r="AC646" t="s">
        <v>1645</v>
      </c>
      <c r="AD646">
        <v>2024</v>
      </c>
    </row>
    <row r="647" spans="17:30">
      <c r="Q647" t="s">
        <v>46</v>
      </c>
      <c r="R647" s="63" t="s">
        <v>907</v>
      </c>
      <c r="S647" t="s">
        <v>289</v>
      </c>
      <c r="AA647" t="s">
        <v>75</v>
      </c>
      <c r="AB647" t="s">
        <v>49</v>
      </c>
      <c r="AC647" t="s">
        <v>1645</v>
      </c>
      <c r="AD647">
        <v>2024</v>
      </c>
    </row>
    <row r="648" spans="17:30">
      <c r="Q648" t="s">
        <v>46</v>
      </c>
      <c r="R648" s="63" t="s">
        <v>917</v>
      </c>
      <c r="S648" t="s">
        <v>302</v>
      </c>
      <c r="AA648" t="s">
        <v>75</v>
      </c>
      <c r="AB648" t="s">
        <v>68</v>
      </c>
      <c r="AC648" t="s">
        <v>1101</v>
      </c>
      <c r="AD648">
        <v>2024</v>
      </c>
    </row>
    <row r="649" spans="17:30">
      <c r="Q649" t="s">
        <v>46</v>
      </c>
      <c r="R649" s="63" t="s">
        <v>931</v>
      </c>
      <c r="S649" t="s">
        <v>316</v>
      </c>
      <c r="AA649" t="s">
        <v>75</v>
      </c>
      <c r="AB649" t="s">
        <v>88</v>
      </c>
      <c r="AC649" t="s">
        <v>1646</v>
      </c>
      <c r="AD649">
        <v>2024</v>
      </c>
    </row>
    <row r="650" spans="17:30">
      <c r="Q650" t="s">
        <v>46</v>
      </c>
      <c r="R650" s="63" t="s">
        <v>995</v>
      </c>
      <c r="S650" t="s">
        <v>328</v>
      </c>
      <c r="AA650" t="s">
        <v>839</v>
      </c>
      <c r="AB650" t="s">
        <v>32</v>
      </c>
      <c r="AC650" t="s">
        <v>590</v>
      </c>
      <c r="AD650">
        <v>2024</v>
      </c>
    </row>
    <row r="651" spans="17:30">
      <c r="Q651" t="s">
        <v>46</v>
      </c>
      <c r="R651" s="63" t="s">
        <v>1039</v>
      </c>
      <c r="S651" t="s">
        <v>384</v>
      </c>
      <c r="AA651" t="s">
        <v>839</v>
      </c>
      <c r="AB651" t="s">
        <v>49</v>
      </c>
      <c r="AC651" t="s">
        <v>590</v>
      </c>
      <c r="AD651">
        <v>2024</v>
      </c>
    </row>
    <row r="652" spans="17:30">
      <c r="Q652" t="s">
        <v>46</v>
      </c>
      <c r="R652" s="63" t="s">
        <v>1043</v>
      </c>
      <c r="S652" t="s">
        <v>394</v>
      </c>
      <c r="AA652" t="s">
        <v>839</v>
      </c>
      <c r="AB652" t="s">
        <v>68</v>
      </c>
      <c r="AC652" t="s">
        <v>1374</v>
      </c>
      <c r="AD652">
        <v>2024</v>
      </c>
    </row>
    <row r="653" spans="17:30">
      <c r="Q653" t="s">
        <v>46</v>
      </c>
      <c r="R653" s="63" t="s">
        <v>1047</v>
      </c>
      <c r="S653" t="s">
        <v>404</v>
      </c>
      <c r="AA653" t="s">
        <v>839</v>
      </c>
      <c r="AB653" t="s">
        <v>88</v>
      </c>
      <c r="AC653" t="s">
        <v>1478</v>
      </c>
      <c r="AD653">
        <v>2024</v>
      </c>
    </row>
    <row r="654" spans="17:30">
      <c r="Q654" t="s">
        <v>46</v>
      </c>
      <c r="R654" s="63" t="s">
        <v>1052</v>
      </c>
      <c r="S654" t="s">
        <v>417</v>
      </c>
      <c r="AA654" t="s">
        <v>1030</v>
      </c>
      <c r="AB654" t="s">
        <v>32</v>
      </c>
      <c r="AC654" t="s">
        <v>1424</v>
      </c>
      <c r="AD654">
        <v>2024</v>
      </c>
    </row>
    <row r="655" spans="17:30">
      <c r="Q655" t="s">
        <v>46</v>
      </c>
      <c r="R655" s="63" t="s">
        <v>1076</v>
      </c>
      <c r="S655" t="s">
        <v>428</v>
      </c>
      <c r="AA655" t="s">
        <v>1030</v>
      </c>
      <c r="AB655" t="s">
        <v>49</v>
      </c>
      <c r="AC655" t="s">
        <v>1479</v>
      </c>
      <c r="AD655">
        <v>2024</v>
      </c>
    </row>
    <row r="656" spans="17:30">
      <c r="Q656" t="s">
        <v>46</v>
      </c>
      <c r="R656" s="63" t="s">
        <v>1091</v>
      </c>
      <c r="S656" t="s">
        <v>340</v>
      </c>
      <c r="AA656" t="s">
        <v>1030</v>
      </c>
      <c r="AB656" t="s">
        <v>68</v>
      </c>
      <c r="AC656" t="s">
        <v>1647</v>
      </c>
      <c r="AD656">
        <v>2024</v>
      </c>
    </row>
    <row r="657" spans="17:30">
      <c r="Q657" t="s">
        <v>46</v>
      </c>
      <c r="R657" s="63" t="s">
        <v>1103</v>
      </c>
      <c r="S657" t="s">
        <v>350</v>
      </c>
      <c r="AA657" t="s">
        <v>1030</v>
      </c>
      <c r="AB657" t="s">
        <v>88</v>
      </c>
      <c r="AC657" t="s">
        <v>1480</v>
      </c>
      <c r="AD657">
        <v>2024</v>
      </c>
    </row>
    <row r="658" spans="17:30">
      <c r="Q658" t="s">
        <v>46</v>
      </c>
      <c r="R658" s="63" t="s">
        <v>1107</v>
      </c>
      <c r="S658" t="s">
        <v>360</v>
      </c>
      <c r="AA658" t="s">
        <v>1048</v>
      </c>
      <c r="AB658" t="s">
        <v>32</v>
      </c>
      <c r="AC658" t="s">
        <v>754</v>
      </c>
      <c r="AD658">
        <v>2024</v>
      </c>
    </row>
    <row r="659" spans="17:30">
      <c r="Q659" t="s">
        <v>46</v>
      </c>
      <c r="R659" s="63" t="s">
        <v>1111</v>
      </c>
      <c r="S659" t="s">
        <v>373</v>
      </c>
      <c r="AA659" t="s">
        <v>1048</v>
      </c>
      <c r="AB659" t="s">
        <v>49</v>
      </c>
      <c r="AC659" t="s">
        <v>483</v>
      </c>
      <c r="AD659">
        <v>2024</v>
      </c>
    </row>
    <row r="660" spans="17:30">
      <c r="Q660" t="s">
        <v>46</v>
      </c>
      <c r="R660" s="63" t="s">
        <v>1131</v>
      </c>
      <c r="S660" t="s">
        <v>441</v>
      </c>
      <c r="AA660" t="s">
        <v>1048</v>
      </c>
      <c r="AB660" t="s">
        <v>68</v>
      </c>
      <c r="AC660" t="s">
        <v>1356</v>
      </c>
      <c r="AD660">
        <v>2024</v>
      </c>
    </row>
    <row r="661" spans="17:30">
      <c r="Q661" t="s">
        <v>46</v>
      </c>
      <c r="R661" s="63" t="s">
        <v>1154</v>
      </c>
      <c r="S661" t="s">
        <v>455</v>
      </c>
      <c r="AA661" t="s">
        <v>1048</v>
      </c>
      <c r="AB661" t="s">
        <v>88</v>
      </c>
      <c r="AC661" t="s">
        <v>1362</v>
      </c>
      <c r="AD661">
        <v>2024</v>
      </c>
    </row>
    <row r="662" spans="17:30">
      <c r="Q662" t="s">
        <v>46</v>
      </c>
      <c r="R662" s="63" t="s">
        <v>1163</v>
      </c>
      <c r="S662" t="s">
        <v>468</v>
      </c>
      <c r="AA662" t="s">
        <v>847</v>
      </c>
      <c r="AB662" t="s">
        <v>32</v>
      </c>
      <c r="AC662" t="s">
        <v>1339</v>
      </c>
      <c r="AD662">
        <v>2024</v>
      </c>
    </row>
    <row r="663" spans="17:30">
      <c r="Q663" t="s">
        <v>46</v>
      </c>
      <c r="R663" s="63" t="s">
        <v>1165</v>
      </c>
      <c r="S663" t="s">
        <v>482</v>
      </c>
      <c r="AA663" t="s">
        <v>847</v>
      </c>
      <c r="AB663" t="s">
        <v>49</v>
      </c>
      <c r="AC663" t="s">
        <v>1339</v>
      </c>
      <c r="AD663">
        <v>2024</v>
      </c>
    </row>
    <row r="664" spans="17:30">
      <c r="Q664" t="s">
        <v>46</v>
      </c>
      <c r="R664" s="63" t="s">
        <v>1167</v>
      </c>
      <c r="S664" t="s">
        <v>491</v>
      </c>
      <c r="AA664" t="s">
        <v>847</v>
      </c>
      <c r="AB664" t="s">
        <v>68</v>
      </c>
      <c r="AC664" t="s">
        <v>1648</v>
      </c>
      <c r="AD664">
        <v>2024</v>
      </c>
    </row>
    <row r="665" spans="17:30">
      <c r="Q665" t="s">
        <v>46</v>
      </c>
      <c r="R665" s="63" t="s">
        <v>1188</v>
      </c>
      <c r="S665" t="s">
        <v>505</v>
      </c>
      <c r="AA665" t="s">
        <v>847</v>
      </c>
      <c r="AB665" t="s">
        <v>88</v>
      </c>
      <c r="AC665" t="s">
        <v>139</v>
      </c>
      <c r="AD665">
        <v>2024</v>
      </c>
    </row>
    <row r="666" spans="17:30">
      <c r="Q666" t="s">
        <v>46</v>
      </c>
      <c r="R666" s="63" t="s">
        <v>1193</v>
      </c>
      <c r="S666" t="s">
        <v>518</v>
      </c>
      <c r="AA666" t="s">
        <v>1053</v>
      </c>
      <c r="AB666" t="s">
        <v>32</v>
      </c>
      <c r="AC666" t="s">
        <v>341</v>
      </c>
      <c r="AD666">
        <v>2024</v>
      </c>
    </row>
    <row r="667" spans="17:30">
      <c r="Q667" t="s">
        <v>46</v>
      </c>
      <c r="R667" s="63" t="s">
        <v>1227</v>
      </c>
      <c r="S667" t="s">
        <v>530</v>
      </c>
      <c r="AA667" t="s">
        <v>1053</v>
      </c>
      <c r="AB667" t="s">
        <v>49</v>
      </c>
      <c r="AC667" t="s">
        <v>709</v>
      </c>
      <c r="AD667">
        <v>2024</v>
      </c>
    </row>
    <row r="668" spans="17:30">
      <c r="Q668" t="s">
        <v>46</v>
      </c>
      <c r="R668" s="63" t="s">
        <v>1239</v>
      </c>
      <c r="S668" t="s">
        <v>543</v>
      </c>
      <c r="AA668" t="s">
        <v>1053</v>
      </c>
      <c r="AB668" t="s">
        <v>68</v>
      </c>
      <c r="AC668" t="s">
        <v>1055</v>
      </c>
      <c r="AD668">
        <v>2024</v>
      </c>
    </row>
    <row r="669" spans="17:30">
      <c r="Q669" t="s">
        <v>46</v>
      </c>
      <c r="R669" s="63" t="s">
        <v>1242</v>
      </c>
      <c r="S669" t="s">
        <v>556</v>
      </c>
      <c r="AA669" t="s">
        <v>1053</v>
      </c>
      <c r="AB669" t="s">
        <v>88</v>
      </c>
      <c r="AC669" t="s">
        <v>1649</v>
      </c>
      <c r="AD669">
        <v>2024</v>
      </c>
    </row>
    <row r="670" spans="17:30">
      <c r="Q670" t="s">
        <v>46</v>
      </c>
      <c r="R670" s="63" t="s">
        <v>1281</v>
      </c>
      <c r="S670" t="s">
        <v>568</v>
      </c>
      <c r="AA670" t="s">
        <v>1340</v>
      </c>
      <c r="AB670" t="s">
        <v>32</v>
      </c>
      <c r="AC670" t="s">
        <v>635</v>
      </c>
      <c r="AD670">
        <v>2024</v>
      </c>
    </row>
    <row r="671" spans="17:30">
      <c r="Q671" t="s">
        <v>46</v>
      </c>
      <c r="R671" s="63" t="s">
        <v>1284</v>
      </c>
      <c r="S671" t="s">
        <v>581</v>
      </c>
      <c r="AA671" t="s">
        <v>1340</v>
      </c>
      <c r="AB671" t="s">
        <v>49</v>
      </c>
      <c r="AC671" t="s">
        <v>1431</v>
      </c>
      <c r="AD671">
        <v>2024</v>
      </c>
    </row>
    <row r="672" spans="17:30">
      <c r="Q672" t="s">
        <v>46</v>
      </c>
      <c r="R672" s="63" t="s">
        <v>1293</v>
      </c>
      <c r="S672" t="s">
        <v>588</v>
      </c>
      <c r="AA672" t="s">
        <v>1340</v>
      </c>
      <c r="AB672" t="s">
        <v>68</v>
      </c>
      <c r="AC672" t="s">
        <v>1650</v>
      </c>
      <c r="AD672">
        <v>2024</v>
      </c>
    </row>
    <row r="673" spans="17:30">
      <c r="Q673" t="s">
        <v>46</v>
      </c>
      <c r="R673" s="63" t="s">
        <v>1301</v>
      </c>
      <c r="S673" t="s">
        <v>598</v>
      </c>
      <c r="AA673" t="s">
        <v>1340</v>
      </c>
      <c r="AB673" t="s">
        <v>88</v>
      </c>
      <c r="AC673" t="s">
        <v>815</v>
      </c>
      <c r="AD673">
        <v>2024</v>
      </c>
    </row>
    <row r="674" spans="17:30">
      <c r="Q674" t="s">
        <v>46</v>
      </c>
      <c r="R674" s="63" t="s">
        <v>1346</v>
      </c>
      <c r="S674" t="s">
        <v>611</v>
      </c>
      <c r="AA674" t="s">
        <v>610</v>
      </c>
      <c r="AB674" t="s">
        <v>32</v>
      </c>
      <c r="AC674" t="s">
        <v>1459</v>
      </c>
      <c r="AD674">
        <v>2024</v>
      </c>
    </row>
    <row r="675" spans="17:30">
      <c r="Q675" t="s">
        <v>46</v>
      </c>
      <c r="R675" s="63" t="s">
        <v>1349</v>
      </c>
      <c r="S675" t="s">
        <v>623</v>
      </c>
      <c r="AA675" t="s">
        <v>610</v>
      </c>
      <c r="AB675" t="s">
        <v>49</v>
      </c>
      <c r="AC675" t="s">
        <v>599</v>
      </c>
      <c r="AD675">
        <v>2024</v>
      </c>
    </row>
    <row r="676" spans="17:30">
      <c r="Q676" t="s">
        <v>84</v>
      </c>
      <c r="R676" s="63" t="s">
        <v>43</v>
      </c>
      <c r="S676" t="s">
        <v>40</v>
      </c>
      <c r="AA676" t="s">
        <v>610</v>
      </c>
      <c r="AB676" t="s">
        <v>68</v>
      </c>
      <c r="AC676" t="s">
        <v>1094</v>
      </c>
      <c r="AD676">
        <v>2024</v>
      </c>
    </row>
    <row r="677" spans="17:30">
      <c r="Q677" t="s">
        <v>84</v>
      </c>
      <c r="R677" s="63" t="s">
        <v>97</v>
      </c>
      <c r="S677" t="s">
        <v>94</v>
      </c>
      <c r="AA677" t="s">
        <v>610</v>
      </c>
      <c r="AB677" t="s">
        <v>88</v>
      </c>
      <c r="AC677" t="s">
        <v>374</v>
      </c>
      <c r="AD677">
        <v>2024</v>
      </c>
    </row>
    <row r="678" spans="17:30">
      <c r="Q678" t="s">
        <v>84</v>
      </c>
      <c r="R678" s="63" t="s">
        <v>148</v>
      </c>
      <c r="S678" t="s">
        <v>145</v>
      </c>
      <c r="AA678" t="s">
        <v>622</v>
      </c>
      <c r="AB678" t="s">
        <v>32</v>
      </c>
      <c r="AC678" t="s">
        <v>1268</v>
      </c>
      <c r="AD678">
        <v>2024</v>
      </c>
    </row>
    <row r="679" spans="17:30">
      <c r="Q679" t="s">
        <v>84</v>
      </c>
      <c r="R679" s="63" t="s">
        <v>173</v>
      </c>
      <c r="S679" t="s">
        <v>170</v>
      </c>
      <c r="AA679" t="s">
        <v>622</v>
      </c>
      <c r="AB679" t="s">
        <v>49</v>
      </c>
      <c r="AC679" t="s">
        <v>1651</v>
      </c>
      <c r="AD679">
        <v>2024</v>
      </c>
    </row>
    <row r="680" spans="17:30">
      <c r="Q680" t="s">
        <v>84</v>
      </c>
      <c r="R680" s="63" t="s">
        <v>224</v>
      </c>
      <c r="S680" t="s">
        <v>221</v>
      </c>
      <c r="AA680" t="s">
        <v>622</v>
      </c>
      <c r="AB680" t="s">
        <v>68</v>
      </c>
      <c r="AC680" t="s">
        <v>1652</v>
      </c>
      <c r="AD680">
        <v>2024</v>
      </c>
    </row>
    <row r="681" spans="17:30">
      <c r="Q681" t="s">
        <v>84</v>
      </c>
      <c r="R681" s="63" t="s">
        <v>237</v>
      </c>
      <c r="S681" t="s">
        <v>234</v>
      </c>
      <c r="AA681" t="s">
        <v>622</v>
      </c>
      <c r="AB681" t="s">
        <v>88</v>
      </c>
      <c r="AC681" t="s">
        <v>139</v>
      </c>
      <c r="AD681">
        <v>2024</v>
      </c>
    </row>
    <row r="682" spans="17:30">
      <c r="Q682" t="s">
        <v>84</v>
      </c>
      <c r="R682" s="63" t="s">
        <v>313</v>
      </c>
      <c r="S682" t="s">
        <v>310</v>
      </c>
      <c r="AC682" s="75"/>
      <c r="AD682" s="74"/>
    </row>
    <row r="683" spans="17:30">
      <c r="Q683" t="s">
        <v>84</v>
      </c>
      <c r="R683" s="63" t="s">
        <v>338</v>
      </c>
      <c r="S683" t="s">
        <v>335</v>
      </c>
      <c r="AC683" s="75"/>
      <c r="AD683" s="74"/>
    </row>
    <row r="684" spans="17:30">
      <c r="Q684" t="s">
        <v>84</v>
      </c>
      <c r="R684" s="63" t="s">
        <v>466</v>
      </c>
      <c r="S684" t="s">
        <v>463</v>
      </c>
      <c r="AC684" s="75"/>
      <c r="AD684" s="74"/>
    </row>
    <row r="685" spans="17:30">
      <c r="Q685" t="s">
        <v>84</v>
      </c>
      <c r="R685" s="63" t="s">
        <v>489</v>
      </c>
      <c r="S685" t="s">
        <v>486</v>
      </c>
      <c r="AC685" s="75"/>
      <c r="AD685" s="74"/>
    </row>
    <row r="686" spans="17:30">
      <c r="Q686" t="s">
        <v>84</v>
      </c>
      <c r="R686" s="63" t="s">
        <v>503</v>
      </c>
      <c r="S686" t="s">
        <v>500</v>
      </c>
      <c r="AC686" s="75"/>
      <c r="AD686" s="74"/>
    </row>
    <row r="687" spans="17:30">
      <c r="Q687" t="s">
        <v>84</v>
      </c>
      <c r="R687" s="63" t="s">
        <v>516</v>
      </c>
      <c r="S687" t="s">
        <v>513</v>
      </c>
      <c r="AC687" s="75"/>
      <c r="AD687" s="74"/>
    </row>
    <row r="688" spans="17:30">
      <c r="Q688" t="s">
        <v>84</v>
      </c>
      <c r="R688" s="63" t="s">
        <v>579</v>
      </c>
      <c r="S688" t="s">
        <v>576</v>
      </c>
      <c r="AC688" s="75"/>
      <c r="AD688" s="74"/>
    </row>
    <row r="689" spans="17:30">
      <c r="Q689" t="s">
        <v>84</v>
      </c>
      <c r="R689" s="63" t="s">
        <v>609</v>
      </c>
      <c r="S689" t="s">
        <v>606</v>
      </c>
      <c r="AC689" s="75"/>
      <c r="AD689" s="74"/>
    </row>
    <row r="690" spans="17:30">
      <c r="Q690" t="s">
        <v>84</v>
      </c>
      <c r="R690" s="63" t="s">
        <v>621</v>
      </c>
      <c r="S690" t="s">
        <v>618</v>
      </c>
      <c r="AC690" s="75"/>
      <c r="AD690" s="74"/>
    </row>
    <row r="691" spans="17:30">
      <c r="Q691" t="s">
        <v>84</v>
      </c>
      <c r="R691" s="63" t="s">
        <v>633</v>
      </c>
      <c r="S691" t="s">
        <v>630</v>
      </c>
      <c r="AC691" s="75"/>
      <c r="AD691" s="74"/>
    </row>
    <row r="692" spans="17:30">
      <c r="Q692" t="s">
        <v>84</v>
      </c>
      <c r="R692" s="63" t="s">
        <v>663</v>
      </c>
      <c r="S692" t="s">
        <v>660</v>
      </c>
      <c r="AC692" s="75"/>
      <c r="AD692" s="74"/>
    </row>
    <row r="693" spans="17:30">
      <c r="Q693" t="s">
        <v>84</v>
      </c>
      <c r="R693" s="63" t="s">
        <v>674</v>
      </c>
      <c r="S693" t="s">
        <v>671</v>
      </c>
      <c r="AC693" s="75"/>
      <c r="AD693" s="74"/>
    </row>
    <row r="694" spans="17:30">
      <c r="Q694" t="s">
        <v>84</v>
      </c>
      <c r="R694" s="63" t="s">
        <v>680</v>
      </c>
      <c r="S694" t="s">
        <v>677</v>
      </c>
      <c r="AC694" s="75"/>
      <c r="AD694" s="74"/>
    </row>
    <row r="695" spans="17:30">
      <c r="Q695" t="s">
        <v>84</v>
      </c>
      <c r="R695" s="63" t="s">
        <v>707</v>
      </c>
      <c r="S695" t="s">
        <v>704</v>
      </c>
      <c r="AC695" s="75"/>
      <c r="AD695" s="74"/>
    </row>
    <row r="696" spans="17:30">
      <c r="Q696" t="s">
        <v>84</v>
      </c>
      <c r="R696" s="63" t="s">
        <v>714</v>
      </c>
      <c r="S696" t="s">
        <v>711</v>
      </c>
      <c r="AC696" s="75"/>
      <c r="AD696" s="74"/>
    </row>
    <row r="697" spans="17:30">
      <c r="Q697" t="s">
        <v>84</v>
      </c>
      <c r="R697" s="63" t="s">
        <v>720</v>
      </c>
      <c r="S697" t="s">
        <v>717</v>
      </c>
      <c r="AC697" s="75"/>
      <c r="AD697" s="74"/>
    </row>
    <row r="698" spans="17:30">
      <c r="Q698" t="s">
        <v>84</v>
      </c>
      <c r="R698" s="63" t="s">
        <v>747</v>
      </c>
      <c r="S698" t="s">
        <v>744</v>
      </c>
      <c r="AC698" s="75"/>
    </row>
    <row r="699" spans="17:30">
      <c r="Q699" t="s">
        <v>84</v>
      </c>
      <c r="R699" s="63" t="s">
        <v>781</v>
      </c>
      <c r="S699" t="s">
        <v>778</v>
      </c>
      <c r="AC699" s="75"/>
    </row>
    <row r="700" spans="17:30">
      <c r="Q700" t="s">
        <v>84</v>
      </c>
      <c r="R700" s="63" t="s">
        <v>812</v>
      </c>
      <c r="S700" t="s">
        <v>809</v>
      </c>
      <c r="AC700" s="75"/>
    </row>
    <row r="701" spans="17:30">
      <c r="Q701" t="s">
        <v>84</v>
      </c>
      <c r="R701" s="63" t="s">
        <v>820</v>
      </c>
      <c r="S701" t="s">
        <v>817</v>
      </c>
      <c r="AC701" s="75"/>
    </row>
    <row r="702" spans="17:30">
      <c r="Q702" t="s">
        <v>84</v>
      </c>
      <c r="R702" s="63" t="s">
        <v>829</v>
      </c>
      <c r="S702" t="s">
        <v>826</v>
      </c>
      <c r="AC702" s="75"/>
    </row>
    <row r="703" spans="17:30">
      <c r="Q703" t="s">
        <v>84</v>
      </c>
      <c r="R703" s="63" t="s">
        <v>862</v>
      </c>
      <c r="S703" t="s">
        <v>859</v>
      </c>
      <c r="AC703" s="75"/>
    </row>
    <row r="704" spans="17:30">
      <c r="Q704" t="s">
        <v>84</v>
      </c>
      <c r="R704" s="63" t="s">
        <v>937</v>
      </c>
      <c r="S704" t="s">
        <v>934</v>
      </c>
      <c r="AC704" s="75"/>
    </row>
    <row r="705" spans="17:29">
      <c r="Q705" t="s">
        <v>84</v>
      </c>
      <c r="R705" s="63" t="s">
        <v>976</v>
      </c>
      <c r="S705" t="s">
        <v>973</v>
      </c>
      <c r="AC705" s="75"/>
    </row>
    <row r="706" spans="17:29">
      <c r="Q706" t="s">
        <v>84</v>
      </c>
      <c r="R706" s="63" t="s">
        <v>981</v>
      </c>
      <c r="S706" t="s">
        <v>978</v>
      </c>
      <c r="AC706" s="75"/>
    </row>
    <row r="707" spans="17:29">
      <c r="Q707" t="s">
        <v>84</v>
      </c>
      <c r="R707" s="63" t="s">
        <v>992</v>
      </c>
      <c r="S707" t="s">
        <v>989</v>
      </c>
      <c r="AC707" s="75"/>
    </row>
    <row r="708" spans="17:29">
      <c r="Q708" t="s">
        <v>84</v>
      </c>
      <c r="R708" s="63" t="s">
        <v>1000</v>
      </c>
      <c r="S708" t="s">
        <v>997</v>
      </c>
      <c r="AC708" s="75"/>
    </row>
    <row r="709" spans="17:29">
      <c r="Q709" t="s">
        <v>84</v>
      </c>
      <c r="R709" s="63" t="s">
        <v>1007</v>
      </c>
      <c r="S709" t="s">
        <v>1004</v>
      </c>
      <c r="AC709" s="75"/>
    </row>
    <row r="710" spans="17:29">
      <c r="Q710" t="s">
        <v>84</v>
      </c>
      <c r="R710" s="63" t="s">
        <v>1026</v>
      </c>
      <c r="S710" t="s">
        <v>1023</v>
      </c>
      <c r="AC710" s="75"/>
    </row>
    <row r="711" spans="17:29">
      <c r="Q711" t="s">
        <v>84</v>
      </c>
      <c r="R711" s="63" t="s">
        <v>1034</v>
      </c>
      <c r="S711" t="s">
        <v>1031</v>
      </c>
      <c r="AC711" s="75"/>
    </row>
    <row r="712" spans="17:29">
      <c r="Q712" t="s">
        <v>84</v>
      </c>
      <c r="R712" s="63" t="s">
        <v>1059</v>
      </c>
      <c r="S712" t="s">
        <v>1056</v>
      </c>
      <c r="AC712" s="75"/>
    </row>
    <row r="713" spans="17:29">
      <c r="Q713" t="s">
        <v>84</v>
      </c>
      <c r="R713" s="63" t="s">
        <v>1064</v>
      </c>
      <c r="S713" t="s">
        <v>1061</v>
      </c>
      <c r="AC713" s="75"/>
    </row>
    <row r="714" spans="17:29">
      <c r="Q714" t="s">
        <v>84</v>
      </c>
      <c r="R714" s="63" t="s">
        <v>1071</v>
      </c>
      <c r="S714" t="s">
        <v>1068</v>
      </c>
      <c r="AC714" s="75"/>
    </row>
    <row r="715" spans="17:29">
      <c r="Q715" t="s">
        <v>84</v>
      </c>
      <c r="R715" s="63" t="s">
        <v>1082</v>
      </c>
      <c r="S715" t="s">
        <v>1079</v>
      </c>
      <c r="AC715" s="75"/>
    </row>
    <row r="716" spans="17:29">
      <c r="Q716" t="s">
        <v>84</v>
      </c>
      <c r="R716" s="63" t="s">
        <v>1098</v>
      </c>
      <c r="S716" t="s">
        <v>1095</v>
      </c>
      <c r="AC716" s="75"/>
    </row>
    <row r="717" spans="17:29">
      <c r="Q717" t="s">
        <v>84</v>
      </c>
      <c r="R717" s="63" t="s">
        <v>1123</v>
      </c>
      <c r="S717" t="s">
        <v>1120</v>
      </c>
      <c r="AC717" s="75"/>
    </row>
    <row r="718" spans="17:29">
      <c r="Q718" t="s">
        <v>84</v>
      </c>
      <c r="R718" s="63" t="s">
        <v>1128</v>
      </c>
      <c r="S718" t="s">
        <v>1125</v>
      </c>
      <c r="AC718" s="75"/>
    </row>
    <row r="719" spans="17:29">
      <c r="Q719" t="s">
        <v>84</v>
      </c>
      <c r="R719" s="63" t="s">
        <v>1178</v>
      </c>
      <c r="S719" t="s">
        <v>1175</v>
      </c>
      <c r="AC719" s="75"/>
    </row>
    <row r="720" spans="17:29">
      <c r="Q720" t="s">
        <v>84</v>
      </c>
      <c r="R720" s="63" t="s">
        <v>1185</v>
      </c>
      <c r="S720" t="s">
        <v>1182</v>
      </c>
      <c r="AC720" s="75"/>
    </row>
    <row r="721" spans="17:29">
      <c r="Q721" t="s">
        <v>84</v>
      </c>
      <c r="R721" s="63" t="s">
        <v>1200</v>
      </c>
      <c r="S721" t="s">
        <v>1197</v>
      </c>
      <c r="AC721" s="75"/>
    </row>
    <row r="722" spans="17:29">
      <c r="Q722" t="s">
        <v>84</v>
      </c>
      <c r="R722" s="63" t="s">
        <v>1214</v>
      </c>
      <c r="S722" t="s">
        <v>1211</v>
      </c>
      <c r="AC722" s="75"/>
    </row>
    <row r="723" spans="17:29">
      <c r="Q723" t="s">
        <v>84</v>
      </c>
      <c r="R723" s="63" t="s">
        <v>1220</v>
      </c>
      <c r="S723" t="s">
        <v>1217</v>
      </c>
      <c r="AC723" s="75"/>
    </row>
    <row r="724" spans="17:29">
      <c r="Q724" t="s">
        <v>84</v>
      </c>
      <c r="R724" s="63" t="s">
        <v>1248</v>
      </c>
      <c r="S724" t="s">
        <v>1245</v>
      </c>
      <c r="AC724" s="75"/>
    </row>
    <row r="725" spans="17:29">
      <c r="Q725" t="s">
        <v>84</v>
      </c>
      <c r="R725" s="63" t="s">
        <v>1258</v>
      </c>
      <c r="S725" t="s">
        <v>1255</v>
      </c>
      <c r="AC725" s="75"/>
    </row>
    <row r="726" spans="17:29">
      <c r="Q726" t="s">
        <v>84</v>
      </c>
      <c r="R726" s="63" t="s">
        <v>1262</v>
      </c>
      <c r="S726" t="s">
        <v>1259</v>
      </c>
      <c r="AC726" s="75"/>
    </row>
    <row r="727" spans="17:29">
      <c r="Q727" t="s">
        <v>84</v>
      </c>
      <c r="R727" s="63" t="s">
        <v>1272</v>
      </c>
      <c r="S727" t="s">
        <v>1269</v>
      </c>
      <c r="AC727" s="75"/>
    </row>
    <row r="728" spans="17:29">
      <c r="Q728" t="s">
        <v>84</v>
      </c>
      <c r="R728" s="63" t="s">
        <v>1314</v>
      </c>
      <c r="S728" t="s">
        <v>1311</v>
      </c>
      <c r="AC728" s="75"/>
    </row>
    <row r="729" spans="17:29">
      <c r="Q729" t="s">
        <v>84</v>
      </c>
      <c r="R729" s="63" t="s">
        <v>1324</v>
      </c>
      <c r="S729" t="s">
        <v>1321</v>
      </c>
      <c r="AC729" s="75"/>
    </row>
    <row r="730" spans="17:29">
      <c r="Q730" t="s">
        <v>27</v>
      </c>
      <c r="R730" s="63" t="s">
        <v>23</v>
      </c>
      <c r="S730" t="s">
        <v>20</v>
      </c>
      <c r="AC730" s="75"/>
    </row>
    <row r="731" spans="17:29">
      <c r="Q731" t="s">
        <v>27</v>
      </c>
      <c r="R731" s="63" t="s">
        <v>160</v>
      </c>
      <c r="S731" t="s">
        <v>157</v>
      </c>
      <c r="AC731" s="75"/>
    </row>
    <row r="732" spans="17:29">
      <c r="Q732" t="s">
        <v>27</v>
      </c>
      <c r="R732" s="63" t="s">
        <v>200</v>
      </c>
      <c r="S732" t="s">
        <v>197</v>
      </c>
      <c r="AC732" s="75"/>
    </row>
    <row r="733" spans="17:29">
      <c r="Q733" t="s">
        <v>27</v>
      </c>
      <c r="R733" s="63" t="s">
        <v>263</v>
      </c>
      <c r="S733" t="s">
        <v>260</v>
      </c>
      <c r="AC733" s="75"/>
    </row>
    <row r="734" spans="17:29">
      <c r="Q734" t="s">
        <v>27</v>
      </c>
      <c r="R734" s="63" t="s">
        <v>326</v>
      </c>
      <c r="S734" t="s">
        <v>323</v>
      </c>
    </row>
    <row r="735" spans="17:29">
      <c r="Q735" t="s">
        <v>27</v>
      </c>
      <c r="R735" s="63" t="s">
        <v>371</v>
      </c>
      <c r="S735" t="s">
        <v>368</v>
      </c>
    </row>
    <row r="736" spans="17:29">
      <c r="Q736" t="s">
        <v>27</v>
      </c>
      <c r="R736" s="63" t="s">
        <v>439</v>
      </c>
      <c r="S736" t="s">
        <v>436</v>
      </c>
    </row>
    <row r="737" spans="17:19">
      <c r="Q737" t="s">
        <v>27</v>
      </c>
      <c r="R737" s="63" t="s">
        <v>596</v>
      </c>
      <c r="S737" t="s">
        <v>593</v>
      </c>
    </row>
    <row r="738" spans="17:19">
      <c r="Q738" t="s">
        <v>27</v>
      </c>
      <c r="R738" s="63" t="s">
        <v>685</v>
      </c>
      <c r="S738" t="s">
        <v>682</v>
      </c>
    </row>
    <row r="739" spans="17:19">
      <c r="Q739" t="s">
        <v>27</v>
      </c>
      <c r="R739" s="63" t="s">
        <v>692</v>
      </c>
      <c r="S739" t="s">
        <v>689</v>
      </c>
    </row>
    <row r="740" spans="17:19">
      <c r="Q740" t="s">
        <v>27</v>
      </c>
      <c r="R740" s="63" t="s">
        <v>734</v>
      </c>
      <c r="S740" t="s">
        <v>731</v>
      </c>
    </row>
    <row r="741" spans="17:19">
      <c r="Q741" t="s">
        <v>27</v>
      </c>
      <c r="R741" s="63" t="s">
        <v>759</v>
      </c>
      <c r="S741" t="s">
        <v>756</v>
      </c>
    </row>
    <row r="742" spans="17:19">
      <c r="Q742" t="s">
        <v>27</v>
      </c>
      <c r="R742" s="63" t="s">
        <v>773</v>
      </c>
      <c r="S742" t="s">
        <v>770</v>
      </c>
    </row>
    <row r="743" spans="17:19">
      <c r="Q743" t="s">
        <v>27</v>
      </c>
      <c r="R743" s="63" t="s">
        <v>846</v>
      </c>
      <c r="S743" t="s">
        <v>843</v>
      </c>
    </row>
    <row r="744" spans="17:19">
      <c r="Q744" t="s">
        <v>27</v>
      </c>
      <c r="R744" s="63" t="s">
        <v>852</v>
      </c>
      <c r="S744" t="s">
        <v>849</v>
      </c>
    </row>
    <row r="745" spans="17:19">
      <c r="Q745" t="s">
        <v>27</v>
      </c>
      <c r="R745" s="63" t="s">
        <v>867</v>
      </c>
      <c r="S745" t="s">
        <v>864</v>
      </c>
    </row>
    <row r="746" spans="17:19">
      <c r="Q746" t="s">
        <v>27</v>
      </c>
      <c r="R746" s="63" t="s">
        <v>888</v>
      </c>
      <c r="S746" t="s">
        <v>885</v>
      </c>
    </row>
    <row r="747" spans="17:19">
      <c r="Q747" t="s">
        <v>27</v>
      </c>
      <c r="R747" s="63" t="s">
        <v>896</v>
      </c>
      <c r="S747" t="s">
        <v>893</v>
      </c>
    </row>
    <row r="748" spans="17:19">
      <c r="Q748" t="s">
        <v>27</v>
      </c>
      <c r="R748" s="63" t="s">
        <v>912</v>
      </c>
      <c r="S748" t="s">
        <v>909</v>
      </c>
    </row>
    <row r="749" spans="17:19">
      <c r="Q749" t="s">
        <v>27</v>
      </c>
      <c r="R749" s="63" t="s">
        <v>922</v>
      </c>
      <c r="S749" t="s">
        <v>919</v>
      </c>
    </row>
    <row r="750" spans="17:19">
      <c r="Q750" t="s">
        <v>27</v>
      </c>
      <c r="R750" s="63" t="s">
        <v>929</v>
      </c>
      <c r="S750" t="s">
        <v>926</v>
      </c>
    </row>
    <row r="751" spans="17:19">
      <c r="Q751" t="s">
        <v>27</v>
      </c>
      <c r="R751" s="63" t="s">
        <v>944</v>
      </c>
      <c r="S751" t="s">
        <v>941</v>
      </c>
    </row>
    <row r="752" spans="17:19">
      <c r="Q752" t="s">
        <v>27</v>
      </c>
      <c r="R752" s="63" t="s">
        <v>949</v>
      </c>
      <c r="S752" t="s">
        <v>946</v>
      </c>
    </row>
    <row r="753" spans="17:19">
      <c r="Q753" t="s">
        <v>27</v>
      </c>
      <c r="R753" s="63" t="s">
        <v>955</v>
      </c>
      <c r="S753" t="s">
        <v>952</v>
      </c>
    </row>
    <row r="754" spans="17:19">
      <c r="Q754" t="s">
        <v>27</v>
      </c>
      <c r="R754" s="63" t="s">
        <v>970</v>
      </c>
      <c r="S754" t="s">
        <v>967</v>
      </c>
    </row>
    <row r="755" spans="17:19">
      <c r="Q755" t="s">
        <v>27</v>
      </c>
      <c r="R755" s="63" t="s">
        <v>1088</v>
      </c>
      <c r="S755" t="s">
        <v>1085</v>
      </c>
    </row>
    <row r="756" spans="17:19">
      <c r="Q756" t="s">
        <v>27</v>
      </c>
      <c r="R756" s="63" t="s">
        <v>1119</v>
      </c>
      <c r="S756" t="s">
        <v>1116</v>
      </c>
    </row>
    <row r="757" spans="17:19">
      <c r="Q757" t="s">
        <v>27</v>
      </c>
      <c r="R757" s="63" t="s">
        <v>1152</v>
      </c>
      <c r="S757" t="s">
        <v>1149</v>
      </c>
    </row>
    <row r="758" spans="17:19">
      <c r="Q758" t="s">
        <v>27</v>
      </c>
      <c r="R758" s="63" t="s">
        <v>1171</v>
      </c>
      <c r="S758" t="s">
        <v>1168</v>
      </c>
    </row>
    <row r="759" spans="17:19">
      <c r="Q759" t="s">
        <v>27</v>
      </c>
      <c r="R759" s="63" t="s">
        <v>1206</v>
      </c>
      <c r="S759" t="s">
        <v>1203</v>
      </c>
    </row>
    <row r="760" spans="17:19">
      <c r="Q760" t="s">
        <v>27</v>
      </c>
      <c r="R760" s="63" t="s">
        <v>1267</v>
      </c>
      <c r="S760" t="s">
        <v>1264</v>
      </c>
    </row>
    <row r="761" spans="17:19">
      <c r="Q761" t="s">
        <v>27</v>
      </c>
      <c r="R761" s="63" t="s">
        <v>1279</v>
      </c>
      <c r="S761" t="s">
        <v>1276</v>
      </c>
    </row>
    <row r="762" spans="17:19">
      <c r="Q762" t="s">
        <v>27</v>
      </c>
      <c r="R762" s="63" t="s">
        <v>1288</v>
      </c>
      <c r="S762" t="s">
        <v>1285</v>
      </c>
    </row>
    <row r="763" spans="17:19">
      <c r="Q763" t="s">
        <v>27</v>
      </c>
      <c r="R763" s="63" t="s">
        <v>1298</v>
      </c>
      <c r="S763" t="s">
        <v>1295</v>
      </c>
    </row>
    <row r="764" spans="17:19">
      <c r="Q764" t="s">
        <v>27</v>
      </c>
      <c r="R764" s="63" t="s">
        <v>1306</v>
      </c>
      <c r="S764" t="s">
        <v>1303</v>
      </c>
    </row>
    <row r="765" spans="17:19">
      <c r="Q765" t="s">
        <v>27</v>
      </c>
      <c r="R765" s="63" t="s">
        <v>1319</v>
      </c>
      <c r="S765" t="s">
        <v>1316</v>
      </c>
    </row>
    <row r="766" spans="17:19">
      <c r="Q766" t="s">
        <v>27</v>
      </c>
      <c r="R766" s="63" t="s">
        <v>1330</v>
      </c>
      <c r="S766" t="s">
        <v>1327</v>
      </c>
    </row>
    <row r="767" spans="17:19">
      <c r="Q767" t="s">
        <v>27</v>
      </c>
      <c r="R767" s="63" t="s">
        <v>1338</v>
      </c>
      <c r="S767" t="s">
        <v>1335</v>
      </c>
    </row>
  </sheetData>
  <pageMargins left="0.7" right="0.7" top="0.75" bottom="0.75" header="0.3" footer="0.3"/>
  <pageSetup orientation="portrait" horizontalDpi="1200" verticalDpi="1200"/>
  <headerFooter>
    <oddFooter>&amp;L&amp;"Calibri"&amp;10 &amp;K000000#Internal</oddFooter>
  </headerFooter>
  <tableParts count="8">
    <tablePart r:id="rId1"/>
    <tablePart r:id="rId2"/>
    <tablePart r:id="rId3"/>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B1:P40"/>
  <sheetViews>
    <sheetView tabSelected="1" topLeftCell="B1" zoomScaleNormal="100" workbookViewId="0">
      <selection activeCell="L23" sqref="L23"/>
    </sheetView>
  </sheetViews>
  <sheetFormatPr defaultColWidth="0" defaultRowHeight="14.4" customHeight="1" zeroHeight="1"/>
  <cols>
    <col min="1" max="1" width="8.6640625" style="99" hidden="1" customWidth="1"/>
    <col min="2" max="2" width="14.44140625" style="99" customWidth="1"/>
    <col min="3" max="3" width="4.6640625" style="99" customWidth="1"/>
    <col min="4" max="4" width="11.33203125" style="99" customWidth="1"/>
    <col min="5" max="5" width="19" style="99" customWidth="1"/>
    <col min="6" max="6" width="12.5546875" style="99" customWidth="1"/>
    <col min="7" max="7" width="2.6640625" style="99" customWidth="1"/>
    <col min="8" max="8" width="3.33203125" style="99" customWidth="1"/>
    <col min="9" max="9" width="6.44140625" style="99" customWidth="1"/>
    <col min="10" max="10" width="3.33203125" style="99" customWidth="1"/>
    <col min="11" max="11" width="17.33203125" style="99" customWidth="1"/>
    <col min="12" max="12" width="12.6640625" style="99" customWidth="1"/>
    <col min="13" max="13" width="5.5546875" style="99" customWidth="1"/>
    <col min="14" max="14" width="11.5546875" style="99" customWidth="1"/>
    <col min="15" max="15" width="10.33203125" style="99" customWidth="1"/>
    <col min="16" max="16" width="8.6640625" style="99" customWidth="1"/>
    <col min="17" max="17" width="8.6640625" style="99" hidden="1" customWidth="1"/>
    <col min="18" max="16384" width="8.6640625" style="99" hidden="1"/>
  </cols>
  <sheetData>
    <row r="1" spans="2:16" ht="14.55" customHeight="1">
      <c r="B1" s="24"/>
      <c r="C1" s="24"/>
      <c r="D1" s="24"/>
      <c r="E1" s="24"/>
      <c r="F1" s="24"/>
      <c r="G1" s="24"/>
      <c r="H1" s="24"/>
      <c r="I1" s="24"/>
      <c r="J1" s="24"/>
      <c r="K1" s="24"/>
      <c r="L1" s="24"/>
      <c r="M1" s="24"/>
      <c r="N1" s="24"/>
      <c r="O1" s="24"/>
      <c r="P1" s="24"/>
    </row>
    <row r="2" spans="2:16" ht="28.5" customHeight="1">
      <c r="B2" s="24"/>
      <c r="C2" s="67" t="str">
        <f>TR("T01")</f>
        <v>2027 Planning - Start here</v>
      </c>
      <c r="D2" s="24"/>
      <c r="E2" s="24"/>
      <c r="F2" s="24"/>
      <c r="G2" s="24"/>
      <c r="H2" s="24"/>
      <c r="I2" s="24"/>
      <c r="J2" s="24"/>
      <c r="K2" s="24"/>
      <c r="L2" s="29" t="str">
        <f>TR("T02")</f>
        <v>Language</v>
      </c>
      <c r="M2" s="53" t="s">
        <v>18</v>
      </c>
      <c r="N2" s="24"/>
      <c r="O2" s="24"/>
      <c r="P2" s="24"/>
    </row>
    <row r="3" spans="2:16" ht="14.55" customHeight="1">
      <c r="B3" s="24"/>
      <c r="C3" s="24"/>
      <c r="D3" s="24"/>
      <c r="E3" s="24"/>
      <c r="F3" s="24"/>
      <c r="G3" s="24"/>
      <c r="H3" s="24"/>
      <c r="I3" s="24"/>
      <c r="J3" s="24"/>
      <c r="K3" s="24"/>
      <c r="L3" s="24"/>
      <c r="M3" s="24"/>
      <c r="N3" s="24"/>
      <c r="O3" s="24"/>
      <c r="P3" s="24"/>
    </row>
    <row r="4" spans="2:16" ht="19.05" customHeight="1" thickBot="1">
      <c r="B4" s="130" t="str">
        <f>TR("T03")</f>
        <v>Instructions</v>
      </c>
      <c r="C4" s="131"/>
      <c r="D4" s="131"/>
      <c r="E4" s="131"/>
      <c r="F4" s="131"/>
      <c r="G4" s="131"/>
      <c r="H4" s="131"/>
      <c r="I4" s="131"/>
      <c r="J4" s="131"/>
      <c r="K4" s="131"/>
      <c r="L4" s="131"/>
      <c r="M4" s="131"/>
      <c r="N4" s="131"/>
      <c r="O4" s="131"/>
      <c r="P4" s="131"/>
    </row>
    <row r="5" spans="2:16" ht="15" customHeight="1" thickTop="1">
      <c r="B5" s="24"/>
      <c r="C5" s="24"/>
      <c r="D5" s="24"/>
      <c r="E5" s="24"/>
      <c r="F5" s="24"/>
      <c r="G5" s="24"/>
      <c r="H5" s="24"/>
      <c r="I5" s="24"/>
      <c r="J5" s="24"/>
      <c r="K5" s="24"/>
      <c r="L5" s="24"/>
      <c r="M5" s="24"/>
      <c r="N5" s="24"/>
      <c r="O5" s="24"/>
      <c r="P5" s="24"/>
    </row>
    <row r="6" spans="2:16" ht="19.2" customHeight="1">
      <c r="B6" s="24"/>
      <c r="C6" s="24"/>
      <c r="D6" s="162" t="str" cm="1">
        <f t="array" ref="D6">TR("T04")</f>
        <v>Cell open for input</v>
      </c>
      <c r="E6" s="139"/>
      <c r="F6" s="24"/>
      <c r="G6" s="159" t="str" cm="1">
        <f t="array" ref="G6">TR("T05")</f>
        <v>Cell Locked (or Automatically prefilled)</v>
      </c>
      <c r="H6" s="139"/>
      <c r="I6" s="139"/>
      <c r="J6" s="139"/>
      <c r="K6" s="139"/>
      <c r="L6" s="139"/>
      <c r="N6" s="155" t="str" cm="1">
        <f t="array" ref="N6">TR("T06")</f>
        <v>Guidance</v>
      </c>
      <c r="O6" s="139"/>
      <c r="P6" s="24"/>
    </row>
    <row r="7" spans="2:16" ht="14.55" customHeight="1">
      <c r="B7" s="24"/>
      <c r="C7" s="24"/>
      <c r="D7" s="24"/>
      <c r="E7" s="24"/>
      <c r="F7" s="24"/>
      <c r="G7" s="24"/>
      <c r="H7" s="24"/>
      <c r="I7" s="24"/>
      <c r="J7" s="24"/>
      <c r="K7" s="24"/>
      <c r="L7" s="24"/>
      <c r="M7" s="24"/>
      <c r="N7" s="24"/>
      <c r="O7" s="24"/>
      <c r="P7" s="24"/>
    </row>
    <row r="8" spans="2:16" ht="27.6" customHeight="1">
      <c r="B8" s="24"/>
      <c r="C8" s="161" t="str" cm="1">
        <f t="array" ref="C8">TR("T55")</f>
        <v xml:space="preserve">USE THIS TEMPLATE ONLY IF YOU HAVE CONNECTIVITY ISSUES AND CAN'T ACCESS THE </v>
      </c>
      <c r="D8" s="161"/>
      <c r="E8" s="161"/>
      <c r="F8" s="161"/>
      <c r="G8" s="161"/>
      <c r="H8" s="161"/>
      <c r="I8" s="161"/>
      <c r="J8" s="161"/>
      <c r="K8" s="161"/>
      <c r="L8" s="161"/>
      <c r="M8" s="163" t="s">
        <v>1704</v>
      </c>
      <c r="N8" s="163"/>
      <c r="O8" s="163"/>
      <c r="P8" s="24"/>
    </row>
    <row r="9" spans="2:16" ht="14.55" customHeight="1">
      <c r="B9" s="24"/>
      <c r="C9" s="24"/>
      <c r="D9" s="24"/>
      <c r="E9" s="24"/>
      <c r="F9" s="24"/>
      <c r="G9" s="24"/>
      <c r="H9" s="24"/>
      <c r="I9" s="24"/>
      <c r="J9" s="24"/>
      <c r="K9" s="24"/>
      <c r="L9" s="24"/>
      <c r="M9" s="24"/>
      <c r="N9" s="24"/>
      <c r="O9" s="24"/>
      <c r="P9" s="24"/>
    </row>
    <row r="10" spans="2:16" ht="21.6" customHeight="1" thickBot="1">
      <c r="B10" s="130" t="str">
        <f>TR("T07")</f>
        <v>Select your country</v>
      </c>
      <c r="C10" s="131"/>
      <c r="D10" s="131"/>
      <c r="E10" s="131"/>
      <c r="F10" s="131"/>
      <c r="G10" s="131"/>
      <c r="H10" s="131"/>
      <c r="I10" s="131"/>
      <c r="J10" s="131"/>
      <c r="K10" s="131"/>
      <c r="L10" s="131"/>
      <c r="M10" s="131"/>
      <c r="N10" s="131"/>
      <c r="O10" s="131"/>
      <c r="P10" s="131"/>
    </row>
    <row r="11" spans="2:16" ht="27.6" customHeight="1" thickTop="1">
      <c r="B11" s="25"/>
      <c r="C11" s="25"/>
      <c r="D11" s="25"/>
      <c r="E11" s="25"/>
      <c r="F11" s="25"/>
      <c r="G11" s="25"/>
      <c r="H11" s="25"/>
      <c r="I11" s="25"/>
      <c r="J11" s="25"/>
      <c r="K11" s="25"/>
      <c r="L11" s="26"/>
      <c r="M11" s="27" t="str" cm="1">
        <f t="array" ref="M11">IF(Data_Country="",TR("T44"),"")</f>
        <v>⮟ Select here first!</v>
      </c>
      <c r="N11" s="28"/>
      <c r="O11" s="28"/>
      <c r="P11" s="28"/>
    </row>
    <row r="12" spans="2:16" ht="14.55" customHeight="1">
      <c r="B12" s="160" t="str">
        <f>TR("T08")</f>
        <v>Region</v>
      </c>
      <c r="C12" s="132"/>
      <c r="D12" s="133"/>
      <c r="E12" s="133"/>
      <c r="F12" s="134"/>
      <c r="G12" s="156" t="str">
        <f>TR("T09")</f>
        <v>Country</v>
      </c>
      <c r="H12" s="139"/>
      <c r="I12" s="139"/>
      <c r="J12" s="157"/>
      <c r="K12" s="147"/>
      <c r="L12" s="133"/>
      <c r="M12" s="133"/>
      <c r="N12" s="133"/>
      <c r="O12" s="134"/>
      <c r="P12" s="30"/>
    </row>
    <row r="13" spans="2:16" ht="12.6" customHeight="1">
      <c r="B13" s="139"/>
      <c r="C13" s="135"/>
      <c r="D13" s="136"/>
      <c r="E13" s="136"/>
      <c r="F13" s="137"/>
      <c r="G13" s="158"/>
      <c r="H13" s="139"/>
      <c r="I13" s="139"/>
      <c r="J13" s="157"/>
      <c r="K13" s="135"/>
      <c r="L13" s="136"/>
      <c r="M13" s="136"/>
      <c r="N13" s="136"/>
      <c r="O13" s="137"/>
      <c r="P13" s="30"/>
    </row>
    <row r="14" spans="2:16" ht="9.6" customHeight="1">
      <c r="B14" s="30"/>
      <c r="C14" s="30"/>
      <c r="D14" s="30"/>
      <c r="E14" s="30"/>
      <c r="F14" s="30"/>
      <c r="G14" s="31"/>
      <c r="H14" s="31"/>
      <c r="I14" s="31"/>
      <c r="J14" s="30"/>
      <c r="K14" s="30"/>
      <c r="L14" s="30"/>
      <c r="M14" s="30"/>
      <c r="N14" s="30"/>
      <c r="O14" s="30"/>
      <c r="P14" s="30"/>
    </row>
    <row r="15" spans="2:16" ht="24.6" customHeight="1">
      <c r="B15" s="30"/>
      <c r="C15" s="144" t="str" cm="1">
        <f t="array" ref="C15">TR("T10")</f>
        <v>Emergency Appeal 1</v>
      </c>
      <c r="D15" s="145"/>
      <c r="E15" s="145"/>
      <c r="F15" s="145"/>
      <c r="G15" s="145"/>
      <c r="H15" s="146"/>
      <c r="I15" s="31"/>
      <c r="J15" s="144" t="str" cm="1">
        <f t="array" ref="J15">TR("T11")</f>
        <v>Emergency Appeal 2</v>
      </c>
      <c r="K15" s="145"/>
      <c r="L15" s="145"/>
      <c r="M15" s="145"/>
      <c r="N15" s="145"/>
      <c r="O15" s="146"/>
      <c r="P15" s="30"/>
    </row>
    <row r="16" spans="2:16" ht="21" customHeight="1">
      <c r="B16" s="30"/>
      <c r="C16" s="32"/>
      <c r="D16" s="29" t="str">
        <f>TR("T12")</f>
        <v>MDR code</v>
      </c>
      <c r="E16" s="140"/>
      <c r="F16" s="141"/>
      <c r="G16" s="142"/>
      <c r="H16" s="33"/>
      <c r="I16" s="31"/>
      <c r="J16" s="34"/>
      <c r="K16" s="29" t="str">
        <f>TR("T12")</f>
        <v>MDR code</v>
      </c>
      <c r="L16" s="140"/>
      <c r="M16" s="141"/>
      <c r="N16" s="142"/>
      <c r="O16" s="33"/>
      <c r="P16" s="35"/>
    </row>
    <row r="17" spans="2:16" ht="9" customHeight="1">
      <c r="B17" s="30"/>
      <c r="C17" s="32"/>
      <c r="D17" s="30"/>
      <c r="E17" s="31"/>
      <c r="F17" s="31"/>
      <c r="G17" s="31"/>
      <c r="H17" s="33"/>
      <c r="I17" s="31"/>
      <c r="J17" s="34"/>
      <c r="K17" s="30"/>
      <c r="L17" s="31"/>
      <c r="M17" s="31"/>
      <c r="N17" s="31"/>
      <c r="O17" s="33"/>
      <c r="P17" s="35"/>
    </row>
    <row r="18" spans="2:16" ht="33.6" customHeight="1">
      <c r="B18" s="30"/>
      <c r="C18" s="32"/>
      <c r="D18" s="29" t="str">
        <f>TR("T13")</f>
        <v>Name</v>
      </c>
      <c r="E18" s="140"/>
      <c r="F18" s="141"/>
      <c r="G18" s="142"/>
      <c r="H18" s="33"/>
      <c r="I18" s="31"/>
      <c r="J18" s="32"/>
      <c r="K18" s="29" t="str">
        <f>TR("T13")</f>
        <v>Name</v>
      </c>
      <c r="L18" s="140"/>
      <c r="M18" s="141"/>
      <c r="N18" s="142"/>
      <c r="O18" s="36"/>
      <c r="P18" s="30"/>
    </row>
    <row r="19" spans="2:16" ht="14.55" customHeight="1">
      <c r="B19" s="30"/>
      <c r="C19" s="37"/>
      <c r="D19" s="38"/>
      <c r="E19" s="38"/>
      <c r="F19" s="38"/>
      <c r="G19" s="38"/>
      <c r="H19" s="39"/>
      <c r="I19" s="30"/>
      <c r="J19" s="37"/>
      <c r="K19" s="38"/>
      <c r="L19" s="38"/>
      <c r="M19" s="38"/>
      <c r="N19" s="38"/>
      <c r="O19" s="39"/>
      <c r="P19" s="30"/>
    </row>
    <row r="20" spans="2:16" ht="14.55" customHeight="1">
      <c r="B20" s="30"/>
      <c r="C20" s="30"/>
      <c r="D20" s="30"/>
      <c r="E20" s="30"/>
      <c r="F20" s="30"/>
      <c r="G20" s="30"/>
      <c r="H20" s="30"/>
      <c r="I20" s="30"/>
      <c r="J20" s="30"/>
      <c r="K20" s="30"/>
      <c r="L20" s="30"/>
      <c r="M20" s="30"/>
      <c r="N20" s="30"/>
      <c r="O20" s="30"/>
      <c r="P20" s="30"/>
    </row>
    <row r="21" spans="2:16" ht="23.4" customHeight="1">
      <c r="B21" s="30"/>
      <c r="C21" s="144" t="str" cm="1">
        <f t="array" ref="C21">TR("T14")</f>
        <v>Emergency Appeal 3</v>
      </c>
      <c r="D21" s="145"/>
      <c r="E21" s="145"/>
      <c r="F21" s="145"/>
      <c r="G21" s="145"/>
      <c r="H21" s="146"/>
      <c r="I21" s="30"/>
      <c r="J21" s="30"/>
      <c r="K21" s="30"/>
      <c r="L21" s="30"/>
      <c r="M21" s="30"/>
      <c r="N21" s="30"/>
      <c r="O21" s="30"/>
      <c r="P21" s="30"/>
    </row>
    <row r="22" spans="2:16" ht="19.2" customHeight="1">
      <c r="B22" s="30"/>
      <c r="C22" s="32"/>
      <c r="D22" s="29" t="str">
        <f>TR("T12")</f>
        <v>MDR code</v>
      </c>
      <c r="E22" s="140"/>
      <c r="F22" s="141"/>
      <c r="G22" s="142"/>
      <c r="H22" s="33"/>
      <c r="I22" s="30"/>
      <c r="J22" s="30"/>
      <c r="K22" s="30"/>
      <c r="L22" s="30"/>
      <c r="M22" s="30"/>
      <c r="N22" s="30"/>
      <c r="O22" s="30"/>
      <c r="P22" s="30"/>
    </row>
    <row r="23" spans="2:16" ht="12.6" customHeight="1">
      <c r="B23" s="30"/>
      <c r="C23" s="32"/>
      <c r="D23" s="30"/>
      <c r="E23" s="31"/>
      <c r="F23" s="31"/>
      <c r="G23" s="31"/>
      <c r="H23" s="33"/>
      <c r="I23" s="30"/>
      <c r="J23" s="30"/>
      <c r="K23" s="30"/>
      <c r="L23" s="30"/>
      <c r="M23" s="30"/>
      <c r="N23" s="30"/>
      <c r="O23" s="30"/>
      <c r="P23" s="30"/>
    </row>
    <row r="24" spans="2:16" ht="32.4" customHeight="1">
      <c r="B24" s="30"/>
      <c r="C24" s="32"/>
      <c r="D24" s="29" t="str">
        <f>TR("T13")</f>
        <v>Name</v>
      </c>
      <c r="E24" s="140"/>
      <c r="F24" s="141"/>
      <c r="G24" s="142"/>
      <c r="H24" s="33"/>
      <c r="I24" s="30"/>
      <c r="J24" s="30"/>
      <c r="K24" s="30"/>
      <c r="L24" s="30"/>
      <c r="M24" s="30"/>
      <c r="N24" s="30"/>
      <c r="O24" s="30"/>
      <c r="P24" s="30"/>
    </row>
    <row r="25" spans="2:16" ht="14.55" customHeight="1">
      <c r="B25" s="30"/>
      <c r="C25" s="37"/>
      <c r="D25" s="38"/>
      <c r="E25" s="38"/>
      <c r="F25" s="38"/>
      <c r="G25" s="38"/>
      <c r="H25" s="39"/>
      <c r="I25" s="30"/>
      <c r="J25" s="30"/>
      <c r="K25" s="30"/>
      <c r="L25" s="30"/>
      <c r="M25" s="30"/>
      <c r="N25" s="30"/>
      <c r="O25" s="30"/>
      <c r="P25" s="30"/>
    </row>
    <row r="26" spans="2:16" ht="14.55" customHeight="1">
      <c r="B26" s="30"/>
      <c r="C26" s="30"/>
      <c r="D26" s="30"/>
      <c r="E26" s="30"/>
      <c r="F26" s="30"/>
      <c r="G26" s="30"/>
      <c r="H26" s="30"/>
      <c r="I26" s="30"/>
      <c r="J26" s="30"/>
      <c r="K26" s="30"/>
      <c r="L26" s="30"/>
      <c r="M26" s="30"/>
      <c r="N26" s="30"/>
      <c r="O26" s="30"/>
      <c r="P26" s="30"/>
    </row>
    <row r="27" spans="2:16" ht="22.95" customHeight="1" thickBot="1">
      <c r="B27" s="130" t="str">
        <f>TR("T15")</f>
        <v>National Society key figures</v>
      </c>
      <c r="C27" s="131"/>
      <c r="D27" s="131"/>
      <c r="E27" s="131"/>
      <c r="F27" s="131"/>
      <c r="G27" s="131"/>
      <c r="H27" s="131"/>
      <c r="I27" s="131"/>
      <c r="J27" s="131"/>
      <c r="K27" s="131"/>
      <c r="L27" s="131"/>
      <c r="M27" s="131"/>
      <c r="N27" s="131"/>
      <c r="O27" s="131"/>
      <c r="P27" s="131"/>
    </row>
    <row r="28" spans="2:16" ht="15" customHeight="1" thickTop="1">
      <c r="B28" s="24"/>
      <c r="C28" s="24"/>
      <c r="D28" s="24"/>
      <c r="E28" s="24"/>
      <c r="F28" s="24"/>
      <c r="G28" s="24"/>
      <c r="H28" s="24"/>
      <c r="I28" s="24"/>
      <c r="J28" s="24"/>
      <c r="K28" s="24"/>
      <c r="L28" s="40"/>
      <c r="M28" s="24"/>
      <c r="N28" s="24"/>
      <c r="O28" s="24"/>
      <c r="P28" s="24"/>
    </row>
    <row r="29" spans="2:16" ht="21.6" customHeight="1">
      <c r="B29" s="29" t="str" cm="1">
        <f t="array" ref="B29">TR("T16")</f>
        <v>Volunteers</v>
      </c>
      <c r="C29" s="152" t="str">
        <f t="array" ref="C29">IFERROR(_xlfn._xlws.FILTER(UPR[ValueNum],(UPR[Country]=Data_Country)*(UPR[Indicator]="Number of people volunteering")),"")</f>
        <v/>
      </c>
      <c r="D29" s="142"/>
      <c r="E29" s="29" t="str" cm="1">
        <f t="array" ref="E29">TR("T17")</f>
        <v>Staff</v>
      </c>
      <c r="F29" s="152" t="str">
        <f t="array" ref="F29">IFERROR(_xlfn._xlws.FILTER(UPR[ValueNum],(UPR[Country]=Data_Country)*(UPR[Indicator]="Number of paid staff")),"")</f>
        <v/>
      </c>
      <c r="G29" s="142"/>
      <c r="H29" s="24"/>
      <c r="I29" s="24"/>
      <c r="K29" s="106" t="str" cm="1">
        <f t="array" ref="K29">TR("T18")</f>
        <v>Local Units</v>
      </c>
      <c r="L29" s="105" t="str" cm="1">
        <f t="array" ref="L29">IFERROR(_xlfn._xlws.FILTER(UPR[ValueNum],(UPR[Country]=Data_Country)*(UPR[Indicator]="Number of National Society Local Units")),"")</f>
        <v/>
      </c>
      <c r="M29" s="24"/>
      <c r="N29" s="29" t="str" cm="1">
        <f t="array" ref="N29">TR("T19")</f>
        <v>Branches</v>
      </c>
      <c r="O29" s="105" t="str" cm="1">
        <f t="array" ref="O29">IFERROR(_xlfn._xlws.FILTER(UPR[ValueNum],(UPR[Country]=Data_Country)*(UPR[Indicator]="Number of National Society branches")),"")</f>
        <v/>
      </c>
      <c r="P29" s="24"/>
    </row>
    <row r="30" spans="2:16" ht="9" customHeight="1">
      <c r="B30" s="24"/>
      <c r="D30" s="24"/>
      <c r="E30" s="24"/>
      <c r="G30" s="24"/>
      <c r="H30" s="24"/>
      <c r="I30" s="24"/>
      <c r="J30" s="24"/>
      <c r="K30" s="24"/>
      <c r="L30" s="24"/>
      <c r="M30" s="24"/>
      <c r="N30" s="24"/>
      <c r="O30" s="24"/>
      <c r="P30" s="24"/>
    </row>
    <row r="31" spans="2:16" ht="14.55" customHeight="1">
      <c r="B31" s="100" t="str">
        <f>IF(COUNTIFS(FDRS[Country],Data_Country,FDRS[Year],2024)=0,"","FDRS 2024 -&gt;")</f>
        <v/>
      </c>
      <c r="C31" s="138" t="str">
        <f t="array" ref="C31">IFERROR(_xlfn._xlws.FILTER(FDRS[Value],(FDRS[Country]=Data_Country)*(FDRS[Attribute]="Volunteers"))&amp;"","")</f>
        <v/>
      </c>
      <c r="D31" s="139"/>
      <c r="E31" s="41"/>
      <c r="F31" s="143" t="str">
        <f t="array" ref="F31">IFERROR(_xlfn._xlws.FILTER(FDRS[Value],(FDRS[Country]=Data_Country)*(FDRS[Attribute]="Staff"))&amp;" ","")</f>
        <v/>
      </c>
      <c r="G31" s="139"/>
      <c r="H31" s="42"/>
      <c r="I31" s="42"/>
      <c r="J31" s="41"/>
      <c r="K31" s="41"/>
      <c r="L31" s="42" t="str">
        <f t="array" ref="L31">IFERROR(_xlfn._xlws.FILTER(FDRS[Value],(FDRS[Country]=Data_Country)*(FDRS[Attribute]="Local Units"))&amp;" ","")</f>
        <v/>
      </c>
      <c r="M31" s="41"/>
      <c r="N31" s="41"/>
      <c r="O31" s="42" t="str">
        <f t="array" ref="O31">IFERROR(_xlfn._xlws.FILTER(FDRS[Value],(FDRS[Country]=Data_Country)*(FDRS[Attribute]="Branches"))&amp;" ","")</f>
        <v/>
      </c>
      <c r="P31" s="41"/>
    </row>
    <row r="32" spans="2:16" ht="18.600000000000001" customHeight="1">
      <c r="B32" s="101"/>
      <c r="C32" s="154"/>
      <c r="D32" s="139"/>
      <c r="E32" s="24"/>
      <c r="F32" s="102"/>
      <c r="G32" s="102"/>
      <c r="H32" s="102"/>
      <c r="I32" s="102"/>
      <c r="J32" s="24"/>
      <c r="K32" s="24"/>
      <c r="L32" s="102"/>
      <c r="M32" s="24"/>
      <c r="N32" s="24"/>
      <c r="O32" s="102"/>
      <c r="P32" s="24"/>
    </row>
    <row r="33" spans="2:16" ht="43.2" customHeight="1">
      <c r="B33" s="24"/>
      <c r="C33" s="151" t="str" cm="1">
        <f t="array" ref="C33">TR("T39")</f>
        <v>Figures for volunteers, staff, local units, and branches have been prefilled if the National Society has provided its data for 2025 unified annual reporting.
Please review and update these numbers if needed. FDRS 2024 figures have been listed only for reference.</v>
      </c>
      <c r="D33" s="139"/>
      <c r="E33" s="139"/>
      <c r="F33" s="139"/>
      <c r="G33" s="139"/>
      <c r="H33" s="139"/>
      <c r="I33" s="139"/>
      <c r="J33" s="139"/>
      <c r="K33" s="139"/>
      <c r="L33" s="139"/>
      <c r="M33" s="139"/>
      <c r="N33" s="139"/>
      <c r="O33" s="139"/>
      <c r="P33" s="24"/>
    </row>
    <row r="34" spans="2:16" ht="14.55" customHeight="1">
      <c r="B34" s="24"/>
      <c r="C34" s="24"/>
      <c r="D34" s="24"/>
      <c r="E34" s="24"/>
      <c r="F34" s="24"/>
      <c r="G34" s="24"/>
      <c r="H34" s="24"/>
      <c r="I34" s="24"/>
      <c r="J34" s="24"/>
      <c r="K34" s="24"/>
      <c r="L34" s="24"/>
      <c r="M34" s="24"/>
      <c r="N34" s="24"/>
      <c r="O34" s="24"/>
      <c r="P34" s="24"/>
    </row>
    <row r="35" spans="2:16" ht="17.399999999999999" customHeight="1">
      <c r="B35" s="24"/>
      <c r="C35" s="150" t="str" cm="1">
        <f t="array" ref="C35">TR("T18")</f>
        <v>Local Units</v>
      </c>
      <c r="D35" s="139"/>
      <c r="E35" s="24"/>
      <c r="F35" s="24"/>
      <c r="G35" s="24"/>
      <c r="H35" s="24"/>
      <c r="I35" s="153" t="str" cm="1">
        <f t="array" ref="I35">TR("T19")</f>
        <v>Branches</v>
      </c>
      <c r="J35" s="139"/>
      <c r="K35" s="24"/>
      <c r="L35" s="24"/>
      <c r="M35" s="24"/>
      <c r="N35" s="24"/>
      <c r="O35" s="24"/>
      <c r="P35" s="24"/>
    </row>
    <row r="36" spans="2:16" ht="48" customHeight="1">
      <c r="B36" s="24"/>
      <c r="C36" s="148" t="str" cm="1">
        <f t="array" ref="C36">TR("T40")</f>
        <v>ALL subdivisions of a National Society that coordinate and deliver services to people.
These include ALL levels (provincial, state, city, district branches, sections or chapters,
headquarters, regional and intermediate offices, as well as community-based units).</v>
      </c>
      <c r="D36" s="139"/>
      <c r="E36" s="139"/>
      <c r="F36" s="139"/>
      <c r="G36" s="139"/>
      <c r="H36" s="103"/>
      <c r="I36" s="148" t="str" cm="1">
        <f t="array" ref="I36">TR("T41")</f>
        <v>A Branch has its roles and responsibilities and relationship with the National Headquarters defined through National Societies’ Statutes,
including the level of autonomy given, especially in its legal status, mobilizing local resources,
building local partnerships, and decisions it makes.
It has a local-level decision-making mechanism through its Branch members, board, and volunteers,
equally defined through National Societies’ Statutes.</v>
      </c>
      <c r="J36" s="139"/>
      <c r="K36" s="139"/>
      <c r="L36" s="139"/>
      <c r="M36" s="139"/>
      <c r="N36" s="139"/>
      <c r="O36" s="139"/>
    </row>
    <row r="37" spans="2:16" ht="71.400000000000006" customHeight="1">
      <c r="B37" s="24"/>
      <c r="C37" s="149"/>
      <c r="D37" s="139"/>
      <c r="E37" s="139"/>
      <c r="F37" s="139"/>
      <c r="G37" s="139"/>
      <c r="H37" s="103"/>
      <c r="I37" s="149"/>
      <c r="J37" s="139"/>
      <c r="K37" s="139"/>
      <c r="L37" s="139"/>
      <c r="M37" s="139"/>
      <c r="N37" s="139"/>
      <c r="O37" s="139"/>
      <c r="P37" s="24"/>
    </row>
    <row r="38" spans="2:16" ht="14.55" customHeight="1">
      <c r="B38" s="25"/>
      <c r="C38" s="25"/>
      <c r="D38" s="25"/>
      <c r="E38" s="25"/>
      <c r="F38" s="25"/>
      <c r="G38" s="25"/>
      <c r="H38" s="25"/>
      <c r="I38" s="25"/>
      <c r="J38" s="25"/>
      <c r="K38" s="25"/>
      <c r="L38" s="25"/>
      <c r="M38" s="25"/>
      <c r="N38" s="25"/>
      <c r="O38" s="25"/>
      <c r="P38" s="25"/>
    </row>
    <row r="39" spans="2:16" ht="6.6" customHeight="1">
      <c r="B39" s="104"/>
      <c r="C39" s="104"/>
      <c r="D39" s="104"/>
      <c r="E39" s="104"/>
      <c r="F39" s="104"/>
      <c r="G39" s="104"/>
      <c r="H39" s="104"/>
      <c r="I39" s="104"/>
      <c r="J39" s="104"/>
      <c r="K39" s="104"/>
      <c r="L39" s="104"/>
      <c r="M39" s="104"/>
      <c r="N39" s="104"/>
      <c r="O39" s="104"/>
      <c r="P39" s="104"/>
    </row>
    <row r="40" spans="2:16" ht="14.4" customHeight="1"/>
  </sheetData>
  <sheetProtection algorithmName="SHA-512" hashValue="MYnWBUuXuFRj8S/col0Z2iS1mHB9AQ29NgDyazkd5wJU3rdfURcu9xIkZibNC4zQPLkuRpNO/Y6FfJ2YNnHWiw==" saltValue="yk1jF30Ss8tKmO5ycvQ34A==" spinCount="100000" sheet="1" objects="1" scenarios="1"/>
  <mergeCells count="31">
    <mergeCell ref="B4:P4"/>
    <mergeCell ref="C15:H15"/>
    <mergeCell ref="E24:G24"/>
    <mergeCell ref="I35:J35"/>
    <mergeCell ref="L16:N16"/>
    <mergeCell ref="C32:D32"/>
    <mergeCell ref="N6:O6"/>
    <mergeCell ref="G12:J13"/>
    <mergeCell ref="B27:P27"/>
    <mergeCell ref="G6:L6"/>
    <mergeCell ref="F29:G29"/>
    <mergeCell ref="B12:B13"/>
    <mergeCell ref="L18:N18"/>
    <mergeCell ref="C8:L8"/>
    <mergeCell ref="D6:E6"/>
    <mergeCell ref="M8:O8"/>
    <mergeCell ref="C36:G37"/>
    <mergeCell ref="I36:O37"/>
    <mergeCell ref="C21:H21"/>
    <mergeCell ref="C35:D35"/>
    <mergeCell ref="C33:O33"/>
    <mergeCell ref="C29:D29"/>
    <mergeCell ref="B10:P10"/>
    <mergeCell ref="C12:F13"/>
    <mergeCell ref="C31:D31"/>
    <mergeCell ref="E16:G16"/>
    <mergeCell ref="E22:G22"/>
    <mergeCell ref="F31:G31"/>
    <mergeCell ref="E18:G18"/>
    <mergeCell ref="J15:O15"/>
    <mergeCell ref="K12:O13"/>
  </mergeCells>
  <conditionalFormatting sqref="K12">
    <cfRule type="cellIs" dxfId="19" priority="1" operator="equal">
      <formula>"Please select a region first"</formula>
    </cfRule>
    <cfRule type="cellIs" dxfId="18" priority="2" operator="equal">
      <formula>#REF!</formula>
    </cfRule>
  </conditionalFormatting>
  <dataValidations count="5">
    <dataValidation type="whole" operator="greaterThan" allowBlank="1" showInputMessage="1" showErrorMessage="1" sqref="C29:D29 F29:G29 L29" xr:uid="{00000000-0002-0000-0100-000000000000}">
      <formula1>0</formula1>
    </dataValidation>
    <dataValidation type="list" allowBlank="1" showInputMessage="1" showErrorMessage="1" sqref="K12:O13" xr:uid="{00000000-0002-0000-0100-000001000000}">
      <formula1>IF(C12="",Please_select_a_region_first,OFFSET(_Start,MATCH($C$12,_Column,0)-1,0,COUNTIF(_Column,$C$12),1))</formula1>
    </dataValidation>
    <dataValidation type="list" allowBlank="1" showInputMessage="1" showErrorMessage="1" sqref="C12:F13" xr:uid="{00000000-0002-0000-0100-000002000000}">
      <formula1>Region</formula1>
    </dataValidation>
    <dataValidation type="list" allowBlank="1" showInputMessage="1" showErrorMessage="1" sqref="M2" xr:uid="{00000000-0002-0000-0100-000003000000}">
      <formula1>"EN, FR, SP, AR"</formula1>
    </dataValidation>
    <dataValidation type="whole" allowBlank="1" showInputMessage="1" showErrorMessage="1" sqref="O29" xr:uid="{00000000-0002-0000-0100-000004000000}">
      <formula1>0</formula1>
      <formula2>L29</formula2>
    </dataValidation>
  </dataValidations>
  <hyperlinks>
    <hyperlink ref="M8:O8" r:id="rId1" display="DATA PORTAL" xr:uid="{45DDB8AC-E72F-4E08-BCD8-344FF07CC025}"/>
  </hyperlinks>
  <pageMargins left="0.7" right="0.7" top="0.75" bottom="0.75" header="0.3" footer="0.3"/>
  <headerFooter>
    <oddFooter>&amp;L&amp;"Calibri"&amp;10 &amp;K000000_x000D_# Public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15"/>
  <sheetViews>
    <sheetView zoomScale="85" zoomScaleNormal="85" workbookViewId="0">
      <selection activeCell="F7" sqref="F7"/>
    </sheetView>
  </sheetViews>
  <sheetFormatPr defaultColWidth="0" defaultRowHeight="14.4" zeroHeight="1"/>
  <cols>
    <col min="1" max="1" width="3.109375" customWidth="1"/>
    <col min="2" max="2" width="18.33203125" style="17" customWidth="1"/>
    <col min="3" max="3" width="26" style="17" customWidth="1"/>
    <col min="4" max="4" width="16.109375" style="2" customWidth="1"/>
    <col min="5" max="5" width="15.44140625" style="7" customWidth="1"/>
    <col min="6" max="6" width="16.6640625" customWidth="1"/>
    <col min="7" max="7" width="17.6640625" customWidth="1"/>
    <col min="8" max="8" width="18.6640625" customWidth="1"/>
    <col min="9" max="9" width="15.6640625" customWidth="1"/>
    <col min="10" max="10" width="5" customWidth="1"/>
    <col min="11" max="11" width="8.6640625" hidden="1" customWidth="1"/>
    <col min="12" max="16384" width="8.6640625" hidden="1"/>
  </cols>
  <sheetData>
    <row r="1" spans="1:14" ht="22.95" customHeight="1">
      <c r="A1" s="164" t="str" cm="1">
        <f t="array" ref="A1">IF(Data_Country="",TR("T42"),TR("T43")&amp;
IF(Language="EN", _xlfn.XLOOKUP(Data_Country, TemplateData!A2:A192, TemplateData!B2:B192),
   IF(Language="FR", _xlfn.XLOOKUP(Data_Country, TemplateData!A2:A192, TemplateData!C2:C192),
   IF(Language="SP", _xlfn.XLOOKUP(Data_Country, TemplateData!A2:A192, TemplateData!D2:D192),
   IF(Language="AR", _xlfn.XLOOKUP(Data_Country, TemplateData!A2:A192, TemplateData!E2:E192), "")))))</f>
        <v>Please select your country at the Start page</v>
      </c>
      <c r="B1" s="164"/>
      <c r="C1" s="164"/>
      <c r="D1" s="164"/>
      <c r="E1" s="164"/>
      <c r="F1" s="164"/>
      <c r="G1" s="164"/>
      <c r="H1" s="164"/>
      <c r="I1" s="164"/>
      <c r="J1" s="164"/>
    </row>
    <row r="2" spans="1:14" ht="37.200000000000003" customHeight="1">
      <c r="A2" s="25"/>
      <c r="B2" s="168" t="str" cm="1">
        <f t="array" ref="B2">IFERROR(
   TR("T20")
   &amp; " " &amp;
   IF(Language="EN", _xlfn.XLOOKUP(Data_Country, TemplateData!A2:A192, TemplateData!B2:B192),
   IF(Language="FR", _xlfn.XLOOKUP(Data_Country, TemplateData!A2:A192, TemplateData!C2:C192),
   IF(Language="SP", _xlfn.XLOOKUP(Data_Country, TemplateData!A2:A192, TemplateData!D2:D192),
   IF(Language="AR", _xlfn.XLOOKUP(Data_Country, TemplateData!A2:A192, TemplateData!E2:E192), "")))),
   TR("T42")
)</f>
        <v>Please select your country at the Start page</v>
      </c>
      <c r="C2" s="139"/>
      <c r="D2" s="139"/>
      <c r="E2" s="139"/>
      <c r="F2" s="139"/>
      <c r="G2" s="139"/>
      <c r="H2" s="139"/>
      <c r="I2" s="139"/>
      <c r="J2" s="25"/>
    </row>
    <row r="3" spans="1:14" s="17" customFormat="1" ht="35.4" customHeight="1">
      <c r="A3" s="25"/>
      <c r="B3" s="25"/>
      <c r="C3" s="169" t="str">
        <f>TR("T21")</f>
        <v>Longer term programmes</v>
      </c>
      <c r="D3" s="170"/>
      <c r="E3" s="170"/>
      <c r="F3" s="170"/>
      <c r="G3" s="170"/>
      <c r="H3" s="170"/>
      <c r="I3" s="52"/>
      <c r="J3" s="25"/>
    </row>
    <row r="4" spans="1:14" ht="57.6" customHeight="1">
      <c r="A4" s="25"/>
      <c r="B4" s="57"/>
      <c r="C4" s="59" t="str">
        <f>TR("T22")</f>
        <v>Year</v>
      </c>
      <c r="D4" s="62" t="str">
        <f t="array" ref="D4">TR(Data_People[[#Headers],[SP2]])</f>
        <v>Response - Disasters and Crises</v>
      </c>
      <c r="E4" s="62" t="str">
        <f t="array" ref="E4">TR(Data_People[[#Headers],[SP1]])</f>
        <v>Resilience - Climate and Environment</v>
      </c>
      <c r="F4" s="62" t="str">
        <f t="array" ref="F4">TR(Data_People[[#Headers],[SP3]])</f>
        <v>Resilience - Health and Well-being</v>
      </c>
      <c r="G4" s="62" t="str">
        <f t="array" ref="G4">TR(Data_People[[#Headers],[SP4]])</f>
        <v>Resilience - Migration and Displacement</v>
      </c>
      <c r="H4" s="62" t="str">
        <f t="array" ref="H4">TR(Data_People[[#Headers],[SP5]])</f>
        <v>Respect - Values, Power and Inclusion</v>
      </c>
      <c r="I4" s="25"/>
      <c r="J4" s="25"/>
    </row>
    <row r="5" spans="1:14" ht="42.6" hidden="1" customHeight="1">
      <c r="A5" s="25"/>
      <c r="B5" s="93"/>
      <c r="C5" s="94" t="s">
        <v>16</v>
      </c>
      <c r="D5" s="95" t="s">
        <v>34</v>
      </c>
      <c r="E5" s="95" t="s">
        <v>51</v>
      </c>
      <c r="F5" s="95" t="s">
        <v>70</v>
      </c>
      <c r="G5" s="95" t="s">
        <v>89</v>
      </c>
      <c r="H5" s="95" t="s">
        <v>106</v>
      </c>
      <c r="I5" s="25"/>
      <c r="J5" s="25"/>
    </row>
    <row r="6" spans="1:14" ht="31.95" customHeight="1">
      <c r="A6" s="25"/>
      <c r="B6" s="54"/>
      <c r="C6" s="60">
        <v>2027</v>
      </c>
      <c r="D6" s="16"/>
      <c r="E6" s="16"/>
      <c r="F6" s="16"/>
      <c r="G6" s="16"/>
      <c r="H6" s="16"/>
      <c r="I6" s="25"/>
      <c r="J6" s="85" t="str">
        <f>IFERROR(VLOOKUP($B$6,'Planned Bilateral Support'!$C$5:$J$34,3,FALSE),"")</f>
        <v/>
      </c>
      <c r="K6" s="1" t="str">
        <f>IFERROR(VLOOKUP($B$6,'Planned Bilateral Support'!$C$5:$J$34,4,FALSE),"")</f>
        <v/>
      </c>
      <c r="L6" s="1" t="str">
        <f>IFERROR(VLOOKUP($B$6,'Planned Bilateral Support'!$C$5:$J$34,5,FALSE),"")</f>
        <v/>
      </c>
      <c r="M6" s="1" t="str">
        <f>IFERROR(VLOOKUP($B$6,'Planned Bilateral Support'!$C$5:$J$34,6,FALSE),"")</f>
        <v/>
      </c>
      <c r="N6" s="1" t="str">
        <f>IFERROR(VLOOKUP($B$6,'Planned Bilateral Support'!$C$5:$J$34,7,FALSE),"")</f>
        <v/>
      </c>
    </row>
    <row r="7" spans="1:14" ht="31.95" customHeight="1">
      <c r="A7" s="25"/>
      <c r="B7" s="54"/>
      <c r="C7" s="60">
        <v>2028</v>
      </c>
      <c r="D7" s="16"/>
      <c r="E7" s="16"/>
      <c r="F7" s="16"/>
      <c r="G7" s="16"/>
      <c r="H7" s="16"/>
      <c r="I7" s="25"/>
      <c r="J7" s="85" t="str">
        <f>IFERROR(VLOOKUP($B$6,'Planned Bilateral Support'!$C$5:$J$34,3,FALSE),"")</f>
        <v/>
      </c>
      <c r="K7" s="1" t="str">
        <f>IFERROR(VLOOKUP($B$6,'Planned Bilateral Support'!$C$5:$J$34,4,FALSE),"")</f>
        <v/>
      </c>
      <c r="L7" s="1" t="str">
        <f>IFERROR(VLOOKUP($B$6,'Planned Bilateral Support'!$C$5:$J$34,5,FALSE),"")</f>
        <v/>
      </c>
      <c r="M7" s="1" t="str">
        <f>IFERROR(VLOOKUP($B$6,'Planned Bilateral Support'!$C$5:$J$34,6,FALSE),"")</f>
        <v/>
      </c>
      <c r="N7" s="1" t="str">
        <f>IFERROR(VLOOKUP($B$6,'Planned Bilateral Support'!$C$5:$J$34,7,FALSE),"")</f>
        <v/>
      </c>
    </row>
    <row r="8" spans="1:14" ht="31.95" customHeight="1">
      <c r="A8" s="25"/>
      <c r="B8" s="54"/>
      <c r="C8" s="60">
        <v>2029</v>
      </c>
      <c r="D8" s="16"/>
      <c r="E8" s="16"/>
      <c r="F8" s="16"/>
      <c r="G8" s="16"/>
      <c r="H8" s="16"/>
      <c r="I8" s="25"/>
      <c r="J8" s="85" t="str">
        <f>IFERROR(VLOOKUP($B$6,'Planned Bilateral Support'!$C$5:$J$34,3,FALSE),"")</f>
        <v/>
      </c>
      <c r="K8" s="1" t="str">
        <f>IFERROR(VLOOKUP($B$6,'Planned Bilateral Support'!$C$5:$J$34,4,FALSE),"")</f>
        <v/>
      </c>
      <c r="L8" s="1" t="str">
        <f>IFERROR(VLOOKUP($B$6,'Planned Bilateral Support'!$C$5:$J$34,5,FALSE),"")</f>
        <v/>
      </c>
      <c r="M8" s="1" t="str">
        <f>IFERROR(VLOOKUP($B$6,'Planned Bilateral Support'!$C$5:$J$34,6,FALSE),"")</f>
        <v/>
      </c>
      <c r="N8" s="1" t="str">
        <f>IFERROR(VLOOKUP($B$6,'Planned Bilateral Support'!$C$5:$J$34,7,FALSE),"")</f>
        <v/>
      </c>
    </row>
    <row r="9" spans="1:14" ht="31.95" customHeight="1">
      <c r="A9" s="25"/>
      <c r="B9" s="54"/>
      <c r="C9" s="55"/>
      <c r="D9" s="55"/>
      <c r="E9" s="56"/>
      <c r="F9" s="96"/>
      <c r="G9" s="96"/>
      <c r="H9" s="96"/>
      <c r="I9" s="96"/>
      <c r="J9" s="85"/>
      <c r="K9" s="1"/>
      <c r="L9" s="1"/>
      <c r="M9" s="1"/>
      <c r="N9" s="1"/>
    </row>
    <row r="10" spans="1:14" ht="31.95" customHeight="1">
      <c r="A10" s="25"/>
      <c r="B10" s="25"/>
      <c r="C10" s="25"/>
      <c r="D10" s="169" t="str">
        <f>TR("T23")</f>
        <v>Emergency Appeals 2027</v>
      </c>
      <c r="E10" s="170"/>
      <c r="F10" s="170"/>
      <c r="G10" s="170"/>
      <c r="H10" s="52"/>
      <c r="I10" s="52"/>
      <c r="J10" s="85"/>
      <c r="K10" s="1"/>
      <c r="L10" s="1"/>
      <c r="M10" s="1"/>
      <c r="N10" s="1"/>
    </row>
    <row r="11" spans="1:14" ht="36.75" customHeight="1">
      <c r="A11" s="25"/>
      <c r="B11" s="54"/>
      <c r="C11" s="25"/>
      <c r="D11" s="165" t="str">
        <f>IF(OR(Data_MDR1 = "", Data_EA1 = ""),
TR("T24"),
Data_MDR1&amp;" "&amp;Data_EA1)</f>
        <v>Enter in the start page the name and MDR code for the Emergency Appeal</v>
      </c>
      <c r="E11" s="166"/>
      <c r="F11" s="167"/>
      <c r="G11" s="58"/>
      <c r="H11" s="25"/>
      <c r="I11" s="25"/>
      <c r="J11" s="25"/>
    </row>
    <row r="12" spans="1:14" ht="36.75" customHeight="1">
      <c r="A12" s="25"/>
      <c r="B12" s="54"/>
      <c r="C12" s="25"/>
      <c r="D12" s="165" t="str">
        <f>IF(OR(Data_MDR2 = "", Data_EA2 = ""),
TR("T24"),
Data_MDR2&amp;" "&amp;Data_EA2)</f>
        <v>Enter in the start page the name and MDR code for the Emergency Appeal</v>
      </c>
      <c r="E12" s="166"/>
      <c r="F12" s="167"/>
      <c r="G12" s="58"/>
      <c r="H12" s="25"/>
      <c r="I12" s="25"/>
      <c r="J12" s="25"/>
    </row>
    <row r="13" spans="1:14" ht="36.75" customHeight="1">
      <c r="A13" s="25"/>
      <c r="B13" s="54"/>
      <c r="C13" s="25"/>
      <c r="D13" s="165" t="str">
        <f>IF(OR(Data_MDR3 = "", Data_EA3 = ""),
TR("T24"),
Data_MDR3&amp;" "&amp;Data_EA3)</f>
        <v>Enter in the start page the name and MDR code for the Emergency Appeal</v>
      </c>
      <c r="E13" s="166"/>
      <c r="F13" s="167"/>
      <c r="G13" s="58"/>
      <c r="H13" s="25"/>
      <c r="I13" s="25"/>
      <c r="J13" s="25"/>
    </row>
    <row r="14" spans="1:14">
      <c r="A14" s="25"/>
      <c r="B14" s="25"/>
      <c r="C14" s="25"/>
      <c r="D14" s="97"/>
      <c r="E14" s="98"/>
      <c r="F14" s="25"/>
      <c r="G14" s="25"/>
      <c r="H14" s="25"/>
      <c r="I14" s="25"/>
      <c r="J14" s="25"/>
    </row>
    <row r="15" spans="1:14">
      <c r="A15" s="99"/>
      <c r="B15" s="25"/>
      <c r="C15" s="25"/>
      <c r="D15" s="97"/>
      <c r="E15" s="98"/>
      <c r="F15" s="25"/>
      <c r="G15" s="25"/>
      <c r="H15" s="25"/>
      <c r="I15" s="25"/>
      <c r="J15" s="99"/>
    </row>
  </sheetData>
  <sheetProtection algorithmName="SHA-512" hashValue="PTVX+SRcJtfTUPRJWPRLPuVkF5gJZ1T3QModjMzJNGfZhBy5E4INZiqb8JjSWeb9oINuW8UCNb+V31fdEvLp5A==" saltValue="bVKahfZ9qKi9o0tg8Fk+QA==" spinCount="100000" sheet="1" objects="1" scenarios="1"/>
  <mergeCells count="7">
    <mergeCell ref="A1:J1"/>
    <mergeCell ref="D13:F13"/>
    <mergeCell ref="D11:F11"/>
    <mergeCell ref="B2:I2"/>
    <mergeCell ref="D12:F12"/>
    <mergeCell ref="C3:H3"/>
    <mergeCell ref="D10:G10"/>
  </mergeCells>
  <conditionalFormatting sqref="A1 B2">
    <cfRule type="expression" dxfId="17" priority="7">
      <formula>Data_Country=""</formula>
    </cfRule>
  </conditionalFormatting>
  <conditionalFormatting sqref="D10">
    <cfRule type="cellIs" dxfId="16" priority="6" operator="equal">
      <formula>"Select a country in the Start page"</formula>
    </cfRule>
  </conditionalFormatting>
  <conditionalFormatting sqref="G11">
    <cfRule type="expression" dxfId="15" priority="3">
      <formula>OR(Data_MDR1 = "", Data_EA1 = "")</formula>
    </cfRule>
  </conditionalFormatting>
  <conditionalFormatting sqref="G12">
    <cfRule type="expression" dxfId="14" priority="2">
      <formula>OR(Data_MDR2 = "", Data_EA2 = "")</formula>
    </cfRule>
  </conditionalFormatting>
  <conditionalFormatting sqref="G13">
    <cfRule type="expression" dxfId="13" priority="1">
      <formula>OR(Data_MDR3 = "", Data_EA3 = "")</formula>
    </cfRule>
  </conditionalFormatting>
  <dataValidations count="1">
    <dataValidation type="whole" allowBlank="1" showInputMessage="1" showErrorMessage="1" sqref="D6:H8 F9:I9 G11:G13" xr:uid="{00000000-0002-0000-0200-000000000000}">
      <formula1>0</formula1>
      <formula2>999999999</formula2>
    </dataValidation>
  </dataValidations>
  <pageMargins left="0.7" right="0.7" top="0.75" bottom="0.75" header="0.3" footer="0.3"/>
  <pageSetup orientation="portrait" horizontalDpi="1200" verticalDpi="1200"/>
  <headerFooter>
    <oddFooter>&amp;L&amp;"Calibri"&amp;10 &amp;K000000#Internal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35"/>
  <sheetViews>
    <sheetView zoomScale="85" zoomScaleNormal="85" workbookViewId="0">
      <selection activeCell="B5" sqref="B5"/>
    </sheetView>
  </sheetViews>
  <sheetFormatPr defaultColWidth="0" defaultRowHeight="14.4" zeroHeight="1"/>
  <cols>
    <col min="1" max="1" width="3.33203125" style="8" customWidth="1"/>
    <col min="2" max="2" width="26.33203125" style="23" bestFit="1" customWidth="1"/>
    <col min="3" max="3" width="21.6640625" style="23" customWidth="1"/>
    <col min="4" max="4" width="14.6640625" style="23" customWidth="1"/>
    <col min="5" max="5" width="16.44140625" style="23" customWidth="1"/>
    <col min="6" max="6" width="17.44140625" style="23" customWidth="1"/>
    <col min="7" max="8" width="16.44140625" style="23" customWidth="1"/>
    <col min="9" max="9" width="17.5546875" style="23" customWidth="1"/>
    <col min="10" max="10" width="14.33203125" style="23" customWidth="1"/>
    <col min="11" max="11" width="4.88671875" style="73" customWidth="1"/>
    <col min="12" max="16384" width="8.6640625" style="8" hidden="1"/>
  </cols>
  <sheetData>
    <row r="1" spans="1:11" ht="26.4" customHeight="1">
      <c r="A1" s="164" t="str" cm="1">
        <f t="array" ref="A1">IF(Data_Country="",TR("T42"),TR("T43")&amp;
IF(Language="EN", _xlfn.XLOOKUP(Data_Country, TemplateData!A2:A192, TemplateData!B2:B192),
   IF(Language="FR", _xlfn.XLOOKUP(Data_Country, TemplateData!A2:A192, TemplateData!C2:C192),
   IF(Language="SP", _xlfn.XLOOKUP(Data_Country, TemplateData!A2:A192, TemplateData!D2:D192),
   IF(Language="AR", _xlfn.XLOOKUP(Data_Country, TemplateData!A2:A192, TemplateData!E2:E192), "")))))</f>
        <v>Please select your country at the Start page</v>
      </c>
      <c r="B1" s="164"/>
      <c r="C1" s="164"/>
      <c r="D1" s="164"/>
      <c r="E1" s="164"/>
      <c r="F1" s="164"/>
      <c r="G1" s="164"/>
      <c r="H1" s="164"/>
      <c r="I1" s="164"/>
      <c r="J1" s="164"/>
      <c r="K1" s="164"/>
    </row>
    <row r="2" spans="1:11" ht="33.6" customHeight="1">
      <c r="A2" s="92"/>
      <c r="B2" s="178" t="str">
        <f>TR("T25")</f>
        <v>Planned Bilateral Support</v>
      </c>
      <c r="C2" s="170"/>
      <c r="D2" s="170"/>
      <c r="E2" s="170"/>
      <c r="F2" s="170"/>
      <c r="G2" s="170"/>
      <c r="H2" s="170"/>
      <c r="I2" s="170"/>
      <c r="J2" s="179"/>
      <c r="K2" s="65"/>
    </row>
    <row r="3" spans="1:11" ht="43.2" customHeight="1">
      <c r="A3" s="92"/>
      <c r="B3" s="50" t="str">
        <f>TR("T08")</f>
        <v>Region</v>
      </c>
      <c r="C3" s="177" t="str">
        <f>TR("T26")</f>
        <v>Participating National Society name</v>
      </c>
      <c r="D3" s="167"/>
      <c r="E3" s="50" t="str">
        <f t="array" ref="E3">TR(Data_Support[[#Headers],[SP2]])</f>
        <v>Response - Disasters and Crises</v>
      </c>
      <c r="F3" s="50" t="str">
        <f t="array" ref="F3">TR(Data_Support[[#Headers],[SP1]])</f>
        <v>Resilience - Climate and Environment</v>
      </c>
      <c r="G3" s="50" t="str">
        <f t="array" ref="G3">TR(Data_Support[[#Headers],[SP3]])</f>
        <v>Resilience - Health and Well-being</v>
      </c>
      <c r="H3" s="50" t="str">
        <f t="array" ref="H3">TR(Data_Support[[#Headers],[SP4]])</f>
        <v>Resilience - Migration and Displacement</v>
      </c>
      <c r="I3" s="50" t="str">
        <f t="array" ref="I3">TR(Data_Support[[#Headers],[SP5]])</f>
        <v>Respect - Values, Power and Inclusion</v>
      </c>
      <c r="J3" s="50" t="str">
        <f t="array" ref="J3">TR(Data_Support[[#Headers],[EFs]])</f>
        <v>Enabling Functions</v>
      </c>
      <c r="K3" s="65"/>
    </row>
    <row r="4" spans="1:11" s="9" customFormat="1" ht="35.700000000000003" hidden="1" customHeight="1">
      <c r="A4" s="93"/>
      <c r="B4" s="18" t="s">
        <v>5</v>
      </c>
      <c r="C4" s="181" t="s">
        <v>1481</v>
      </c>
      <c r="D4" s="170"/>
      <c r="E4" s="18" t="s">
        <v>34</v>
      </c>
      <c r="F4" s="18" t="s">
        <v>51</v>
      </c>
      <c r="G4" s="18" t="s">
        <v>70</v>
      </c>
      <c r="H4" s="18" t="s">
        <v>89</v>
      </c>
      <c r="I4" s="18" t="s">
        <v>106</v>
      </c>
      <c r="J4" s="18" t="s">
        <v>1482</v>
      </c>
      <c r="K4" s="71" t="s">
        <v>1</v>
      </c>
    </row>
    <row r="5" spans="1:11" ht="20.399999999999999" customHeight="1">
      <c r="A5" s="92"/>
      <c r="B5" s="10"/>
      <c r="C5" s="180"/>
      <c r="D5" s="174"/>
      <c r="E5" s="12"/>
      <c r="F5" s="12"/>
      <c r="G5" s="12"/>
      <c r="H5" s="12"/>
      <c r="I5" s="12"/>
      <c r="J5" s="12"/>
      <c r="K5" s="72" t="str">
        <f>IF(C5="","",_xlfn.XLOOKUP(C5,Table9[NS name],Table9[Value]))</f>
        <v/>
      </c>
    </row>
    <row r="6" spans="1:11" ht="20.399999999999999" customHeight="1">
      <c r="A6" s="92"/>
      <c r="B6" s="11"/>
      <c r="C6" s="173"/>
      <c r="D6" s="174"/>
      <c r="E6" s="12"/>
      <c r="F6" s="12"/>
      <c r="G6" s="12"/>
      <c r="H6" s="12"/>
      <c r="I6" s="12"/>
      <c r="J6" s="12"/>
      <c r="K6" s="72" t="str">
        <f>IF(C6="","",_xlfn.XLOOKUP(C6,Table9[NS name],Table9[Value]))</f>
        <v/>
      </c>
    </row>
    <row r="7" spans="1:11" ht="20.399999999999999" customHeight="1">
      <c r="A7" s="92"/>
      <c r="B7" s="10"/>
      <c r="C7" s="176"/>
      <c r="D7" s="174"/>
      <c r="E7" s="12"/>
      <c r="F7" s="12"/>
      <c r="G7" s="12"/>
      <c r="H7" s="12"/>
      <c r="I7" s="12"/>
      <c r="J7" s="12"/>
      <c r="K7" s="72" t="str">
        <f>IF(C7="","",_xlfn.XLOOKUP(C7,Table9[NS name],Table9[Value]))</f>
        <v/>
      </c>
    </row>
    <row r="8" spans="1:11" ht="20.399999999999999" customHeight="1">
      <c r="A8" s="92"/>
      <c r="B8" s="11"/>
      <c r="C8" s="175"/>
      <c r="D8" s="174"/>
      <c r="E8" s="12"/>
      <c r="F8" s="12"/>
      <c r="G8" s="12"/>
      <c r="H8" s="12"/>
      <c r="I8" s="12"/>
      <c r="J8" s="12"/>
      <c r="K8" s="72" t="str">
        <f>IF(C8="","",_xlfn.XLOOKUP(C8,Table9[NS name],Table9[Value]))</f>
        <v/>
      </c>
    </row>
    <row r="9" spans="1:11" ht="20.399999999999999" customHeight="1">
      <c r="A9" s="92"/>
      <c r="B9" s="10"/>
      <c r="C9" s="176"/>
      <c r="D9" s="174"/>
      <c r="E9" s="12"/>
      <c r="F9" s="12"/>
      <c r="G9" s="12"/>
      <c r="H9" s="12"/>
      <c r="I9" s="12"/>
      <c r="J9" s="12"/>
      <c r="K9" s="72" t="str">
        <f>IF(C9="","",_xlfn.XLOOKUP(C9,Table9[NS name],Table9[Value]))</f>
        <v/>
      </c>
    </row>
    <row r="10" spans="1:11" ht="20.399999999999999" customHeight="1">
      <c r="A10" s="92"/>
      <c r="B10" s="11"/>
      <c r="C10" s="175"/>
      <c r="D10" s="174"/>
      <c r="E10" s="12"/>
      <c r="F10" s="12"/>
      <c r="G10" s="12"/>
      <c r="H10" s="12"/>
      <c r="I10" s="12"/>
      <c r="J10" s="12"/>
      <c r="K10" s="72" t="str">
        <f>IF(C10="","",_xlfn.XLOOKUP(C10,Table9[NS name],Table9[Value]))</f>
        <v/>
      </c>
    </row>
    <row r="11" spans="1:11" ht="20.399999999999999" customHeight="1">
      <c r="A11" s="92"/>
      <c r="B11" s="10"/>
      <c r="C11" s="176"/>
      <c r="D11" s="174"/>
      <c r="E11" s="12"/>
      <c r="F11" s="12"/>
      <c r="G11" s="12"/>
      <c r="H11" s="12"/>
      <c r="I11" s="12"/>
      <c r="J11" s="12"/>
      <c r="K11" s="72" t="str">
        <f>IF(C11="","",_xlfn.XLOOKUP(C11,Table9[NS name],Table9[Value]))</f>
        <v/>
      </c>
    </row>
    <row r="12" spans="1:11" ht="20.399999999999999" customHeight="1">
      <c r="A12" s="92"/>
      <c r="B12" s="11"/>
      <c r="C12" s="175"/>
      <c r="D12" s="174"/>
      <c r="E12" s="12"/>
      <c r="F12" s="12"/>
      <c r="G12" s="12"/>
      <c r="H12" s="12"/>
      <c r="I12" s="12"/>
      <c r="J12" s="12"/>
      <c r="K12" s="72" t="str">
        <f>IF(C12="","",_xlfn.XLOOKUP(C12,Table9[NS name],Table9[Value]))</f>
        <v/>
      </c>
    </row>
    <row r="13" spans="1:11" ht="20.399999999999999" customHeight="1">
      <c r="A13" s="92"/>
      <c r="B13" s="10"/>
      <c r="C13" s="176"/>
      <c r="D13" s="174"/>
      <c r="E13" s="12"/>
      <c r="F13" s="12"/>
      <c r="G13" s="12"/>
      <c r="H13" s="12"/>
      <c r="I13" s="12"/>
      <c r="J13" s="12"/>
      <c r="K13" s="72" t="str">
        <f>IF(C13="","",_xlfn.XLOOKUP(C13,Table9[NS name],Table9[Value]))</f>
        <v/>
      </c>
    </row>
    <row r="14" spans="1:11" ht="20.399999999999999" customHeight="1">
      <c r="A14" s="92"/>
      <c r="B14" s="11"/>
      <c r="C14" s="175"/>
      <c r="D14" s="174"/>
      <c r="E14" s="12"/>
      <c r="F14" s="12"/>
      <c r="G14" s="12"/>
      <c r="H14" s="12"/>
      <c r="I14" s="12"/>
      <c r="J14" s="12"/>
      <c r="K14" s="72" t="str">
        <f>IF(C14="","",_xlfn.XLOOKUP(C14,Table9[NS name],Table9[Value]))</f>
        <v/>
      </c>
    </row>
    <row r="15" spans="1:11" ht="20.399999999999999" customHeight="1">
      <c r="A15" s="92"/>
      <c r="B15" s="10"/>
      <c r="C15" s="176"/>
      <c r="D15" s="174"/>
      <c r="E15" s="12"/>
      <c r="F15" s="12"/>
      <c r="G15" s="12"/>
      <c r="H15" s="12"/>
      <c r="I15" s="12"/>
      <c r="J15" s="12"/>
      <c r="K15" s="72" t="str">
        <f>IF(C15="","",_xlfn.XLOOKUP(C15,Table9[NS name],Table9[Value]))</f>
        <v/>
      </c>
    </row>
    <row r="16" spans="1:11" ht="20.399999999999999" customHeight="1">
      <c r="A16" s="92"/>
      <c r="B16" s="11"/>
      <c r="C16" s="175"/>
      <c r="D16" s="174"/>
      <c r="E16" s="12"/>
      <c r="F16" s="12"/>
      <c r="G16" s="12"/>
      <c r="H16" s="12"/>
      <c r="I16" s="12"/>
      <c r="J16" s="12"/>
      <c r="K16" s="72" t="str">
        <f>IF(C16="","",_xlfn.XLOOKUP(C16,Table9[NS name],Table9[Value]))</f>
        <v/>
      </c>
    </row>
    <row r="17" spans="1:11" ht="20.399999999999999" customHeight="1">
      <c r="A17" s="92"/>
      <c r="B17" s="10"/>
      <c r="C17" s="176"/>
      <c r="D17" s="174"/>
      <c r="E17" s="12"/>
      <c r="F17" s="12"/>
      <c r="G17" s="12"/>
      <c r="H17" s="12"/>
      <c r="I17" s="12"/>
      <c r="J17" s="12"/>
      <c r="K17" s="72" t="str">
        <f>IF(C17="","",_xlfn.XLOOKUP(C17,Table9[NS name],Table9[Value]))</f>
        <v/>
      </c>
    </row>
    <row r="18" spans="1:11" ht="20.399999999999999" customHeight="1">
      <c r="A18" s="92"/>
      <c r="B18" s="11"/>
      <c r="C18" s="175"/>
      <c r="D18" s="174"/>
      <c r="E18" s="12"/>
      <c r="F18" s="12"/>
      <c r="G18" s="12"/>
      <c r="H18" s="12"/>
      <c r="I18" s="12"/>
      <c r="J18" s="12"/>
      <c r="K18" s="72" t="str">
        <f>IF(C18="","",_xlfn.XLOOKUP(C18,Table9[NS name],Table9[Value]))</f>
        <v/>
      </c>
    </row>
    <row r="19" spans="1:11" ht="20.399999999999999" customHeight="1">
      <c r="A19" s="92"/>
      <c r="B19" s="10"/>
      <c r="C19" s="176"/>
      <c r="D19" s="174"/>
      <c r="E19" s="12"/>
      <c r="F19" s="12"/>
      <c r="G19" s="12"/>
      <c r="H19" s="12"/>
      <c r="I19" s="12"/>
      <c r="J19" s="12"/>
      <c r="K19" s="72" t="str">
        <f>IF(C19="","",_xlfn.XLOOKUP(C19,Table9[NS name],Table9[Value]))</f>
        <v/>
      </c>
    </row>
    <row r="20" spans="1:11" ht="20.399999999999999" customHeight="1">
      <c r="A20" s="92"/>
      <c r="B20" s="11"/>
      <c r="C20" s="175"/>
      <c r="D20" s="174"/>
      <c r="E20" s="12"/>
      <c r="F20" s="12"/>
      <c r="G20" s="12"/>
      <c r="H20" s="12"/>
      <c r="I20" s="12"/>
      <c r="J20" s="12"/>
      <c r="K20" s="72" t="str">
        <f>IF(C20="","",_xlfn.XLOOKUP(C20,Table9[NS name],Table9[Value]))</f>
        <v/>
      </c>
    </row>
    <row r="21" spans="1:11" ht="20.399999999999999" customHeight="1">
      <c r="A21" s="92"/>
      <c r="B21" s="10"/>
      <c r="C21" s="176"/>
      <c r="D21" s="174"/>
      <c r="E21" s="12"/>
      <c r="F21" s="12"/>
      <c r="G21" s="12"/>
      <c r="H21" s="12"/>
      <c r="I21" s="12"/>
      <c r="J21" s="12"/>
      <c r="K21" s="72" t="str">
        <f>IF(C21="","",_xlfn.XLOOKUP(C21,Table9[NS name],Table9[Value]))</f>
        <v/>
      </c>
    </row>
    <row r="22" spans="1:11" ht="20.399999999999999" customHeight="1">
      <c r="A22" s="92"/>
      <c r="B22" s="11"/>
      <c r="C22" s="175"/>
      <c r="D22" s="174"/>
      <c r="E22" s="12"/>
      <c r="F22" s="12"/>
      <c r="G22" s="12"/>
      <c r="H22" s="12"/>
      <c r="I22" s="12"/>
      <c r="J22" s="12"/>
      <c r="K22" s="72" t="str">
        <f>IF(C22="","",_xlfn.XLOOKUP(C22,Table9[NS name],Table9[Value]))</f>
        <v/>
      </c>
    </row>
    <row r="23" spans="1:11" ht="20.399999999999999" customHeight="1">
      <c r="A23" s="92"/>
      <c r="B23" s="10"/>
      <c r="C23" s="176"/>
      <c r="D23" s="174"/>
      <c r="E23" s="12"/>
      <c r="F23" s="12"/>
      <c r="G23" s="12"/>
      <c r="H23" s="12"/>
      <c r="I23" s="12"/>
      <c r="J23" s="12"/>
      <c r="K23" s="72" t="str">
        <f>IF(C23="","",_xlfn.XLOOKUP(C23,Table9[NS name],Table9[Value]))</f>
        <v/>
      </c>
    </row>
    <row r="24" spans="1:11" ht="20.399999999999999" customHeight="1">
      <c r="A24" s="92"/>
      <c r="B24" s="11"/>
      <c r="C24" s="175"/>
      <c r="D24" s="174"/>
      <c r="E24" s="12"/>
      <c r="F24" s="12"/>
      <c r="G24" s="12"/>
      <c r="H24" s="12"/>
      <c r="I24" s="12"/>
      <c r="J24" s="12"/>
      <c r="K24" s="72" t="str">
        <f>IF(C24="","",_xlfn.XLOOKUP(C24,Table9[NS name],Table9[Value]))</f>
        <v/>
      </c>
    </row>
    <row r="25" spans="1:11" ht="20.399999999999999" customHeight="1">
      <c r="A25" s="92"/>
      <c r="B25" s="10"/>
      <c r="C25" s="176"/>
      <c r="D25" s="174"/>
      <c r="E25" s="12"/>
      <c r="F25" s="12"/>
      <c r="G25" s="12"/>
      <c r="H25" s="12"/>
      <c r="I25" s="12"/>
      <c r="J25" s="12"/>
      <c r="K25" s="72" t="str">
        <f>IF(C25="","",_xlfn.XLOOKUP(C25,Table9[NS name],Table9[Value]))</f>
        <v/>
      </c>
    </row>
    <row r="26" spans="1:11" ht="20.399999999999999" customHeight="1">
      <c r="A26" s="92"/>
      <c r="B26" s="11"/>
      <c r="C26" s="175"/>
      <c r="D26" s="174"/>
      <c r="E26" s="12"/>
      <c r="F26" s="12"/>
      <c r="G26" s="12"/>
      <c r="H26" s="12"/>
      <c r="I26" s="12"/>
      <c r="J26" s="12"/>
      <c r="K26" s="72" t="str">
        <f>IF(C26="","",_xlfn.XLOOKUP(C26,Table9[NS name],Table9[Value]))</f>
        <v/>
      </c>
    </row>
    <row r="27" spans="1:11" ht="20.399999999999999" customHeight="1">
      <c r="A27" s="92"/>
      <c r="B27" s="10"/>
      <c r="C27" s="176"/>
      <c r="D27" s="174"/>
      <c r="E27" s="12"/>
      <c r="F27" s="12"/>
      <c r="G27" s="12"/>
      <c r="H27" s="12"/>
      <c r="I27" s="12"/>
      <c r="J27" s="12"/>
      <c r="K27" s="72" t="str">
        <f>IF(C27="","",_xlfn.XLOOKUP(C27,Table9[NS name],Table9[Value]))</f>
        <v/>
      </c>
    </row>
    <row r="28" spans="1:11" ht="20.399999999999999" customHeight="1">
      <c r="A28" s="92"/>
      <c r="B28" s="11"/>
      <c r="C28" s="175"/>
      <c r="D28" s="174"/>
      <c r="E28" s="12"/>
      <c r="F28" s="12"/>
      <c r="G28" s="12"/>
      <c r="H28" s="12"/>
      <c r="I28" s="12"/>
      <c r="J28" s="12"/>
      <c r="K28" s="72" t="str">
        <f>IF(C28="","",_xlfn.XLOOKUP(C28,Table9[NS name],Table9[Value]))</f>
        <v/>
      </c>
    </row>
    <row r="29" spans="1:11" ht="20.399999999999999" customHeight="1">
      <c r="A29" s="92"/>
      <c r="B29" s="10"/>
      <c r="C29" s="176"/>
      <c r="D29" s="174"/>
      <c r="E29" s="12"/>
      <c r="F29" s="12"/>
      <c r="G29" s="12"/>
      <c r="H29" s="12"/>
      <c r="I29" s="12"/>
      <c r="J29" s="12"/>
      <c r="K29" s="72" t="str">
        <f>IF(C29="","",_xlfn.XLOOKUP(C29,Table9[NS name],Table9[Value]))</f>
        <v/>
      </c>
    </row>
    <row r="30" spans="1:11" ht="20.399999999999999" customHeight="1">
      <c r="A30" s="92"/>
      <c r="B30" s="11"/>
      <c r="C30" s="175"/>
      <c r="D30" s="174"/>
      <c r="E30" s="12"/>
      <c r="F30" s="12"/>
      <c r="G30" s="12"/>
      <c r="H30" s="12"/>
      <c r="I30" s="12"/>
      <c r="J30" s="12"/>
      <c r="K30" s="72" t="str">
        <f>IF(C30="","",_xlfn.XLOOKUP(C30,Table9[NS name],Table9[Value]))</f>
        <v/>
      </c>
    </row>
    <row r="31" spans="1:11" ht="20.399999999999999" customHeight="1">
      <c r="A31" s="92"/>
      <c r="B31" s="10"/>
      <c r="C31" s="176"/>
      <c r="D31" s="174"/>
      <c r="E31" s="12"/>
      <c r="F31" s="12"/>
      <c r="G31" s="12"/>
      <c r="H31" s="12"/>
      <c r="I31" s="12"/>
      <c r="J31" s="12"/>
      <c r="K31" s="72" t="str">
        <f>IF(C31="","",_xlfn.XLOOKUP(C31,Table9[NS name],Table9[Value]))</f>
        <v/>
      </c>
    </row>
    <row r="32" spans="1:11" ht="20.399999999999999" customHeight="1">
      <c r="A32" s="92"/>
      <c r="B32" s="11"/>
      <c r="C32" s="175"/>
      <c r="D32" s="174"/>
      <c r="E32" s="12"/>
      <c r="F32" s="12"/>
      <c r="G32" s="12"/>
      <c r="H32" s="12"/>
      <c r="I32" s="12"/>
      <c r="J32" s="12"/>
      <c r="K32" s="72" t="str">
        <f>IF(C32="","",_xlfn.XLOOKUP(C32,Table9[NS name],Table9[Value]))</f>
        <v/>
      </c>
    </row>
    <row r="33" spans="1:11" ht="20.399999999999999" customHeight="1">
      <c r="A33" s="92"/>
      <c r="B33" s="10"/>
      <c r="C33" s="176"/>
      <c r="D33" s="174"/>
      <c r="E33" s="12"/>
      <c r="F33" s="12"/>
      <c r="G33" s="12"/>
      <c r="H33" s="12"/>
      <c r="I33" s="12"/>
      <c r="J33" s="12"/>
      <c r="K33" s="72" t="str">
        <f>IF(C33="","",_xlfn.XLOOKUP(C33,Table9[NS name],Table9[Value]))</f>
        <v/>
      </c>
    </row>
    <row r="34" spans="1:11" ht="20.399999999999999" customHeight="1">
      <c r="A34" s="92"/>
      <c r="B34" s="22"/>
      <c r="C34" s="171"/>
      <c r="D34" s="172"/>
      <c r="E34" s="12"/>
      <c r="F34" s="12"/>
      <c r="G34" s="12"/>
      <c r="H34" s="12"/>
      <c r="I34" s="12"/>
      <c r="J34" s="12"/>
      <c r="K34" s="72" t="str">
        <f>IF(C34="","",_xlfn.XLOOKUP(C34,Table9[NS name],Table9[Value]))</f>
        <v/>
      </c>
    </row>
    <row r="35" spans="1:11" s="51" customFormat="1">
      <c r="A35" s="92"/>
      <c r="B35" s="92"/>
      <c r="C35" s="92"/>
      <c r="D35" s="92"/>
      <c r="E35" s="92"/>
      <c r="F35" s="92"/>
      <c r="G35" s="92"/>
      <c r="H35" s="92"/>
      <c r="I35" s="92"/>
      <c r="J35" s="92"/>
      <c r="K35" s="65"/>
    </row>
  </sheetData>
  <sheetProtection algorithmName="SHA-512" hashValue="49XiNOYKy5tipRC1XvN/CtRq4GaDLZO+OwAhNJU9S9YsyyLtYca3l8+T9OwuQ/KCjwKQDmkNPHAuhqjXvE+QLA==" saltValue="L96SNDdMC/MMsiBk0GrUhA==" spinCount="100000" sheet="1" objects="1" scenarios="1"/>
  <mergeCells count="34">
    <mergeCell ref="C3:D3"/>
    <mergeCell ref="B2:J2"/>
    <mergeCell ref="A1:K1"/>
    <mergeCell ref="C5:D5"/>
    <mergeCell ref="C14:D14"/>
    <mergeCell ref="C4:D4"/>
    <mergeCell ref="C9:D9"/>
    <mergeCell ref="C8:D8"/>
    <mergeCell ref="C20:D20"/>
    <mergeCell ref="C10:D10"/>
    <mergeCell ref="C16:D16"/>
    <mergeCell ref="C25:D25"/>
    <mergeCell ref="C22:D22"/>
    <mergeCell ref="C12:D12"/>
    <mergeCell ref="C21:D21"/>
    <mergeCell ref="C11:D11"/>
    <mergeCell ref="C17:D17"/>
    <mergeCell ref="C23:D23"/>
    <mergeCell ref="C34:D34"/>
    <mergeCell ref="C6:D6"/>
    <mergeCell ref="C30:D30"/>
    <mergeCell ref="C24:D24"/>
    <mergeCell ref="C15:D15"/>
    <mergeCell ref="C33:D33"/>
    <mergeCell ref="C29:D29"/>
    <mergeCell ref="C31:D31"/>
    <mergeCell ref="C27:D27"/>
    <mergeCell ref="C32:D32"/>
    <mergeCell ref="C7:D7"/>
    <mergeCell ref="C19:D19"/>
    <mergeCell ref="C28:D28"/>
    <mergeCell ref="C13:D13"/>
    <mergeCell ref="C18:D18"/>
    <mergeCell ref="C26:D26"/>
  </mergeCells>
  <conditionalFormatting sqref="A1">
    <cfRule type="expression" dxfId="12" priority="1">
      <formula>Data_Country=""</formula>
    </cfRule>
  </conditionalFormatting>
  <conditionalFormatting sqref="B5">
    <cfRule type="cellIs" dxfId="11" priority="3" operator="equal">
      <formula>"Please select a region first"</formula>
    </cfRule>
  </conditionalFormatting>
  <conditionalFormatting sqref="C5:D34">
    <cfRule type="duplicateValues" dxfId="10" priority="8"/>
  </conditionalFormatting>
  <conditionalFormatting sqref="E5:J34">
    <cfRule type="expression" dxfId="9" priority="7">
      <formula>$C5=""</formula>
    </cfRule>
  </conditionalFormatting>
  <dataValidations count="3">
    <dataValidation type="list" allowBlank="1" showInputMessage="1" showErrorMessage="1" sqref="B5:B34" xr:uid="{00000000-0002-0000-0300-000000000000}">
      <formula1>IF(Language="EN", Region,  IF(Language="SP", RegionSP,  IF(Language="FR", RegionFR,  IF(Language="AR", RegionAR, ""))))</formula1>
    </dataValidation>
    <dataValidation type="list" allowBlank="1" showInputMessage="1" showErrorMessage="1" sqref="C5:D34" xr:uid="{00000000-0002-0000-0300-000001000000}">
      <formula1>OFFSET(_StartB,MATCH(B5,_ColumnB,0)-1,0,COUNTIF(_ColumnB,B5),1)</formula1>
    </dataValidation>
    <dataValidation type="list" allowBlank="1" showInputMessage="1" showErrorMessage="1" sqref="E5:J34" xr:uid="{00000000-0002-0000-0300-000002000000}">
      <formula1>"X"</formula1>
    </dataValidation>
  </dataValidations>
  <pageMargins left="0.7" right="0.7" top="0.75" bottom="0.75" header="0.3" footer="0.3"/>
  <pageSetup orientation="portrait" horizontalDpi="1200" verticalDpi="1200"/>
  <headerFooter>
    <oddFooter>&amp;L&amp;"Calibri"&amp;10 &amp;K000000#Internal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Q34"/>
  <sheetViews>
    <sheetView zoomScale="85" zoomScaleNormal="85" workbookViewId="0">
      <selection activeCell="C11" sqref="C11"/>
    </sheetView>
  </sheetViews>
  <sheetFormatPr defaultColWidth="0" defaultRowHeight="14.4" zeroHeight="1"/>
  <cols>
    <col min="1" max="1" width="2.44140625" customWidth="1"/>
    <col min="2" max="2" width="48.88671875" style="2" customWidth="1"/>
    <col min="3" max="5" width="24.44140625" customWidth="1"/>
    <col min="6" max="8" width="14.33203125" customWidth="1"/>
    <col min="9" max="10" width="16.6640625" customWidth="1"/>
    <col min="11" max="14" width="14.33203125" customWidth="1"/>
    <col min="15" max="15" width="16.6640625" customWidth="1"/>
    <col min="16" max="16" width="16.33203125" customWidth="1"/>
    <col min="17" max="20" width="14.33203125" customWidth="1"/>
    <col min="21" max="22" width="16.33203125" customWidth="1"/>
    <col min="23" max="23" width="14.33203125" customWidth="1"/>
    <col min="24" max="24" width="42.33203125" hidden="1" customWidth="1"/>
    <col min="25" max="25" width="5.109375" customWidth="1"/>
    <col min="26" max="43" width="8.6640625" style="45" hidden="1" customWidth="1"/>
    <col min="44" max="16384" width="8.6640625" hidden="1"/>
  </cols>
  <sheetData>
    <row r="1" spans="1:43" ht="23.4" customHeight="1">
      <c r="A1" s="164" t="str" cm="1">
        <f t="array" ref="A1">IF(Data_Country="",TR("T42"),TR("T43")&amp;
IF(Language="EN", _xlfn.XLOOKUP(Data_Country, TemplateData!A2:A192, TemplateData!B2:B192),
   IF(Language="FR", _xlfn.XLOOKUP(Data_Country, TemplateData!A2:A192, TemplateData!C2:C192),
   IF(Language="SP", _xlfn.XLOOKUP(Data_Country, TemplateData!A2:A192, TemplateData!D2:D192),
   IF(Language="AR", _xlfn.XLOOKUP(Data_Country, TemplateData!A2:A192, TemplateData!E2:E192), "")))))</f>
        <v>Please select your country at the Start page</v>
      </c>
      <c r="B1" s="164"/>
      <c r="C1" s="164"/>
      <c r="D1" s="164"/>
      <c r="E1" s="164"/>
      <c r="F1" s="164"/>
      <c r="G1" s="164"/>
      <c r="H1" s="164"/>
      <c r="I1" s="164"/>
      <c r="J1" s="164"/>
      <c r="K1" s="164"/>
      <c r="L1" s="164"/>
      <c r="M1" s="164"/>
      <c r="N1" s="164"/>
      <c r="O1" s="164"/>
      <c r="P1" s="164"/>
      <c r="Q1" s="164"/>
      <c r="R1" s="164"/>
      <c r="S1" s="164"/>
      <c r="T1" s="164"/>
      <c r="U1" s="164"/>
      <c r="V1" s="164"/>
      <c r="W1" s="164"/>
      <c r="X1" s="81"/>
      <c r="Y1" s="120"/>
      <c r="Z1" s="48"/>
      <c r="AA1" s="48"/>
      <c r="AB1" s="48"/>
      <c r="AC1" s="48"/>
      <c r="AD1" s="48"/>
      <c r="AE1" s="48"/>
    </row>
    <row r="2" spans="1:43" ht="39" customHeight="1">
      <c r="A2" s="82"/>
      <c r="B2" s="190" t="str">
        <f>TR("T27")</f>
        <v>Funding requirements</v>
      </c>
      <c r="C2" s="170"/>
      <c r="D2" s="170"/>
      <c r="E2" s="170"/>
      <c r="F2" s="170"/>
      <c r="G2" s="170"/>
      <c r="H2" s="170"/>
      <c r="I2" s="170"/>
      <c r="J2" s="190" t="str">
        <f>TR("T27")</f>
        <v>Funding requirements</v>
      </c>
      <c r="K2" s="170"/>
      <c r="L2" s="170"/>
      <c r="M2" s="170"/>
      <c r="N2" s="170"/>
      <c r="O2" s="170"/>
      <c r="P2" s="170"/>
      <c r="Q2" s="170"/>
      <c r="R2" s="190" t="str">
        <f>TR("T27")</f>
        <v>Funding requirements</v>
      </c>
      <c r="S2" s="170"/>
      <c r="T2" s="170"/>
      <c r="U2" s="170"/>
      <c r="V2" s="170"/>
      <c r="W2" s="170"/>
      <c r="X2" s="170"/>
      <c r="Y2" s="25"/>
      <c r="Z2" s="48"/>
      <c r="AA2" s="48"/>
      <c r="AB2" s="48"/>
      <c r="AC2" s="48"/>
      <c r="AD2" s="48"/>
      <c r="AE2" s="48"/>
    </row>
    <row r="3" spans="1:43" ht="24.6" customHeight="1">
      <c r="A3" s="83"/>
      <c r="B3" s="184" t="str">
        <f>TR("T28")</f>
        <v>If cell is grey, it means it's closed and you need to tick the relevant SP in the Activities page in order to open it.</v>
      </c>
      <c r="C3" s="185"/>
      <c r="D3" s="185"/>
      <c r="E3" s="185"/>
      <c r="F3" s="185"/>
      <c r="G3" s="185"/>
      <c r="H3" s="185"/>
      <c r="I3" s="185"/>
      <c r="J3" s="186"/>
      <c r="K3" s="191" t="str">
        <f>TR("T28")</f>
        <v>If cell is grey, it means it's closed and you need to tick the relevant SP in the Activities page in order to open it.</v>
      </c>
      <c r="L3" s="185"/>
      <c r="M3" s="185"/>
      <c r="N3" s="185"/>
      <c r="O3" s="185"/>
      <c r="P3" s="185"/>
      <c r="Q3" s="185"/>
      <c r="R3" s="185"/>
      <c r="S3" s="185"/>
      <c r="T3" s="185"/>
      <c r="U3" s="185"/>
      <c r="V3" s="185"/>
      <c r="W3" s="192"/>
      <c r="X3" s="84"/>
      <c r="Y3" s="121"/>
    </row>
    <row r="4" spans="1:43" ht="15.6" customHeight="1">
      <c r="A4" s="83"/>
      <c r="B4" s="69"/>
      <c r="C4" s="70"/>
      <c r="D4" s="70"/>
      <c r="E4" s="70"/>
      <c r="F4" s="194" t="str">
        <f>TR("T29")</f>
        <v>All amounts in CHF</v>
      </c>
      <c r="G4" s="170"/>
      <c r="H4" s="170"/>
      <c r="I4" s="170"/>
      <c r="J4" s="170"/>
      <c r="K4" s="170"/>
      <c r="L4" s="194" t="str">
        <f>TR("T29")</f>
        <v>All amounts in CHF</v>
      </c>
      <c r="M4" s="170"/>
      <c r="N4" s="170"/>
      <c r="O4" s="170"/>
      <c r="P4" s="170"/>
      <c r="Q4" s="170"/>
      <c r="R4" s="193" t="str">
        <f>TR("T29")</f>
        <v>All amounts in CHF</v>
      </c>
      <c r="S4" s="170"/>
      <c r="T4" s="170"/>
      <c r="U4" s="170"/>
      <c r="V4" s="170"/>
      <c r="W4" s="179"/>
      <c r="X4" s="86"/>
      <c r="Y4" s="122"/>
    </row>
    <row r="5" spans="1:43" ht="20.7" customHeight="1">
      <c r="A5" s="83"/>
      <c r="B5" s="68"/>
      <c r="C5" s="187" t="str">
        <f>TR("T23")</f>
        <v>Emergency Appeals 2027</v>
      </c>
      <c r="D5" s="188"/>
      <c r="E5" s="189"/>
      <c r="F5" s="182" t="str">
        <f>TR("T30")</f>
        <v>2027 Longer term programmes</v>
      </c>
      <c r="G5" s="139"/>
      <c r="H5" s="139"/>
      <c r="I5" s="139"/>
      <c r="J5" s="139"/>
      <c r="K5" s="183"/>
      <c r="L5" s="182" t="str">
        <f>TR("T31")</f>
        <v>2028 Longer term programmes</v>
      </c>
      <c r="M5" s="139"/>
      <c r="N5" s="139"/>
      <c r="O5" s="139"/>
      <c r="P5" s="139"/>
      <c r="Q5" s="183"/>
      <c r="R5" s="182" t="str">
        <f>TR("T32")</f>
        <v>2029 Longer term programmes</v>
      </c>
      <c r="S5" s="139"/>
      <c r="T5" s="139"/>
      <c r="U5" s="139"/>
      <c r="V5" s="139"/>
      <c r="W5" s="183"/>
      <c r="X5" s="87"/>
      <c r="Y5" s="123"/>
      <c r="Z5" s="46"/>
      <c r="AA5" s="46"/>
      <c r="AB5" s="46"/>
      <c r="AC5" s="46"/>
      <c r="AD5" s="46"/>
      <c r="AE5" s="46"/>
    </row>
    <row r="6" spans="1:43" ht="61.5" customHeight="1">
      <c r="A6" s="83"/>
      <c r="B6" s="20" t="str">
        <f>TR("T33")</f>
        <v>IFRC network member</v>
      </c>
      <c r="C6" s="79" t="str">
        <f>IF(OR(Data_MDR1 = "", Data_EA1 = ""),
TR("T24"),
Data_MDR1&amp;" "&amp;Data_EA1)</f>
        <v>Enter in the start page the name and MDR code for the Emergency Appeal</v>
      </c>
      <c r="D6" s="80" t="str">
        <f>IF(OR(Data_MDR2 = "", Data_EA2 = ""),
TR("T24"),
Data_MDR2&amp;" "&amp;Data_EA2)</f>
        <v>Enter in the start page the name and MDR code for the Emergency Appeal</v>
      </c>
      <c r="E6" s="111" t="str">
        <f>IF(OR(Data_MDR3 = "", Data_EA3 = ""),
TR("T24"),
Data_MDR3&amp;" "&amp;Data_EA3)</f>
        <v>Enter in the start page the name and MDR code for the Emergency Appeal</v>
      </c>
      <c r="F6" s="108" t="str">
        <f t="array" ref="F6">TR(LEFT(Data_FR[[#Headers],[SP2_2027]],3))</f>
        <v>Response - Disasters and Crises</v>
      </c>
      <c r="G6" s="109" t="str">
        <f t="array" ref="G6">TR(LEFT(Data_FR[[#Headers],[SP1_2027]],3))</f>
        <v>Resilience - Climate and Environment</v>
      </c>
      <c r="H6" s="109" t="str">
        <f t="array" ref="H6">TR(LEFT(Data_FR[[#Headers],[SP3_2027]],3))</f>
        <v>Resilience - Health and Well-being</v>
      </c>
      <c r="I6" s="109" t="str">
        <f t="array" ref="I6">TR(LEFT(Data_FR[[#Headers],[SP4_2027]],3))</f>
        <v>Resilience - Migration and Displacement</v>
      </c>
      <c r="J6" s="109" t="str">
        <f t="array" ref="J6">TR(LEFT(Data_FR[[#Headers],[SP5_2027]],3))</f>
        <v>Respect - Values, Power and Inclusion</v>
      </c>
      <c r="K6" s="110" t="str">
        <f t="array" ref="K6">TR(LEFT(Data_FR[[#Headers],[EFs_2027]],3))</f>
        <v>Enabling Functions</v>
      </c>
      <c r="L6" s="108" t="str">
        <f t="array" ref="L6">TR(LEFT(Data_FR[[#Headers],[SP2_2028]],3))</f>
        <v>Response - Disasters and Crises</v>
      </c>
      <c r="M6" s="109" t="str">
        <f t="array" ref="M6">TR(LEFT(Data_FR[[#Headers],[SP1_2028]],3))</f>
        <v>Resilience - Climate and Environment</v>
      </c>
      <c r="N6" s="109" t="str">
        <f t="array" ref="N6">TR(LEFT(Data_FR[[#Headers],[SP3_2028]],3))</f>
        <v>Resilience - Health and Well-being</v>
      </c>
      <c r="O6" s="109" t="str">
        <f t="array" ref="O6">TR(LEFT(Data_FR[[#Headers],[SP4_2028]],3))</f>
        <v>Resilience - Migration and Displacement</v>
      </c>
      <c r="P6" s="109" t="str">
        <f t="array" ref="P6">TR(LEFT(Data_FR[[#Headers],[SP5_2028]],3))</f>
        <v>Respect - Values, Power and Inclusion</v>
      </c>
      <c r="Q6" s="110" t="str">
        <f t="array" ref="Q6">TR(LEFT(Data_FR[[#Headers],[EFs_2028]],3))</f>
        <v>Enabling Functions</v>
      </c>
      <c r="R6" s="108" t="str">
        <f t="array" ref="R6">TR(LEFT(Data_FR[[#Headers],[SP2_2029]],3))</f>
        <v>Response - Disasters and Crises</v>
      </c>
      <c r="S6" s="109" t="str">
        <f t="array" ref="S6">TR(LEFT(Data_FR[[#Headers],[SP1_2029]],3))</f>
        <v>Resilience - Climate and Environment</v>
      </c>
      <c r="T6" s="109" t="str">
        <f t="array" ref="T6">TR(LEFT(Data_FR[[#Headers],[SP3_2029]],3))</f>
        <v>Resilience - Health and Well-being</v>
      </c>
      <c r="U6" s="109" t="str">
        <f t="array" ref="U6">TR(LEFT(Data_FR[[#Headers],[SP4_2029]],3))</f>
        <v>Resilience - Migration and Displacement</v>
      </c>
      <c r="V6" s="109" t="str">
        <f t="array" ref="V6">TR(LEFT(Data_FR[[#Headers],[SP5_2029]],3))</f>
        <v>Respect - Values, Power and Inclusion</v>
      </c>
      <c r="W6" s="110" t="str">
        <f t="array" ref="W6">TR(LEFT(Data_FR[[#Headers],[EFs_2029]],3))</f>
        <v>Enabling Functions</v>
      </c>
      <c r="X6" s="87"/>
      <c r="Y6" s="123"/>
      <c r="Z6" s="46"/>
      <c r="AA6" s="46"/>
      <c r="AB6" s="46"/>
      <c r="AC6" s="46"/>
      <c r="AD6" s="46"/>
      <c r="AE6" s="46"/>
    </row>
    <row r="7" spans="1:43" ht="28.5" hidden="1" customHeight="1">
      <c r="A7" s="83"/>
      <c r="B7" s="21" t="s">
        <v>1481</v>
      </c>
      <c r="C7" s="19" t="s">
        <v>1705</v>
      </c>
      <c r="D7" s="88" t="s">
        <v>1706</v>
      </c>
      <c r="E7" s="88" t="s">
        <v>1707</v>
      </c>
      <c r="F7" s="108" t="s">
        <v>1483</v>
      </c>
      <c r="G7" s="109" t="s">
        <v>1484</v>
      </c>
      <c r="H7" s="109" t="s">
        <v>1485</v>
      </c>
      <c r="I7" s="109" t="s">
        <v>1486</v>
      </c>
      <c r="J7" s="109" t="s">
        <v>1487</v>
      </c>
      <c r="K7" s="110" t="s">
        <v>1488</v>
      </c>
      <c r="L7" s="108" t="s">
        <v>1489</v>
      </c>
      <c r="M7" s="109" t="s">
        <v>1490</v>
      </c>
      <c r="N7" s="109" t="s">
        <v>1491</v>
      </c>
      <c r="O7" s="109" t="s">
        <v>1492</v>
      </c>
      <c r="P7" s="109" t="s">
        <v>1493</v>
      </c>
      <c r="Q7" s="110" t="s">
        <v>1494</v>
      </c>
      <c r="R7" s="108" t="s">
        <v>1708</v>
      </c>
      <c r="S7" s="109" t="s">
        <v>1709</v>
      </c>
      <c r="T7" s="109" t="s">
        <v>1710</v>
      </c>
      <c r="U7" s="109" t="s">
        <v>1711</v>
      </c>
      <c r="V7" s="109" t="s">
        <v>1712</v>
      </c>
      <c r="W7" s="110" t="s">
        <v>1713</v>
      </c>
      <c r="X7" s="89" t="s">
        <v>1</v>
      </c>
      <c r="Y7" s="124"/>
      <c r="Z7" s="47" t="s">
        <v>51</v>
      </c>
      <c r="AA7" s="47" t="s">
        <v>34</v>
      </c>
      <c r="AB7" s="47" t="s">
        <v>1495</v>
      </c>
      <c r="AC7" s="47" t="s">
        <v>89</v>
      </c>
      <c r="AD7" s="47" t="s">
        <v>106</v>
      </c>
      <c r="AE7" s="47" t="s">
        <v>1496</v>
      </c>
    </row>
    <row r="8" spans="1:43" ht="33.6" customHeight="1">
      <c r="A8" s="83"/>
      <c r="B8" s="49" t="str">
        <f>IFERROR(
   TR("T34")
   &amp; _xlfn.UNICHAR(10) &amp;
   IF(Language="EN", _xlfn.XLOOKUP(Data_Country, TemplateData!A2:A192, TemplateData!B2:B192),
   IF(Language="SP", _xlfn.XLOOKUP(Data_Country, TemplateData!A2:A192, TemplateData!C2:C192),
   IF(Language="FR", _xlfn.XLOOKUP(Data_Country, TemplateData!A2:A192, TemplateData!D2:D192),
   IF(Language="AR", _xlfn.XLOOKUP(Data_Country, TemplateData!A2:A192, TemplateData!E2:E192), "")))),
   "Select a country in the Start page"
)</f>
        <v>Select a country in the Start page</v>
      </c>
      <c r="C8" s="13"/>
      <c r="D8" s="43"/>
      <c r="E8" s="112"/>
      <c r="F8" s="114"/>
      <c r="G8" s="115"/>
      <c r="H8" s="115"/>
      <c r="I8" s="115"/>
      <c r="J8" s="115"/>
      <c r="K8" s="116"/>
      <c r="L8" s="114"/>
      <c r="M8" s="115"/>
      <c r="N8" s="115"/>
      <c r="O8" s="115"/>
      <c r="P8" s="115"/>
      <c r="Q8" s="116"/>
      <c r="R8" s="114"/>
      <c r="S8" s="115"/>
      <c r="T8" s="115"/>
      <c r="U8" s="115"/>
      <c r="V8" s="115"/>
      <c r="W8" s="116"/>
      <c r="X8" s="107" t="e">
        <f>"Host National Society"&amp;_xlfn.UNICHAR(10)&amp;_xlfn.XLOOKUP(Data_Country,TemplateData!A2:A192,TemplateData!B2:B192)</f>
        <v>#N/A</v>
      </c>
      <c r="Y8" s="125"/>
      <c r="Z8" s="47"/>
      <c r="AA8" s="47"/>
      <c r="AB8" s="47"/>
      <c r="AC8" s="47"/>
      <c r="AD8" s="47"/>
      <c r="AE8" s="47"/>
    </row>
    <row r="9" spans="1:43" s="8" customFormat="1" ht="22.2" customHeight="1">
      <c r="A9" s="83"/>
      <c r="B9" s="49" t="str">
        <f>TR("T35")</f>
        <v>IFRC Secretariat</v>
      </c>
      <c r="C9" s="13"/>
      <c r="D9" s="43"/>
      <c r="E9" s="112"/>
      <c r="F9" s="114"/>
      <c r="G9" s="115"/>
      <c r="H9" s="115"/>
      <c r="I9" s="115"/>
      <c r="J9" s="115"/>
      <c r="K9" s="116"/>
      <c r="L9" s="114"/>
      <c r="M9" s="115"/>
      <c r="N9" s="115"/>
      <c r="O9" s="115"/>
      <c r="P9" s="115"/>
      <c r="Q9" s="116"/>
      <c r="R9" s="114"/>
      <c r="S9" s="115"/>
      <c r="T9" s="115"/>
      <c r="U9" s="115"/>
      <c r="V9" s="115"/>
      <c r="W9" s="116"/>
      <c r="X9" s="90" t="s">
        <v>546</v>
      </c>
      <c r="Y9" s="126"/>
      <c r="Z9" s="47"/>
      <c r="AA9" s="47"/>
      <c r="AB9" s="47"/>
      <c r="AC9" s="47"/>
      <c r="AD9" s="47"/>
      <c r="AE9" s="47"/>
      <c r="AF9" s="64"/>
      <c r="AG9" s="64"/>
      <c r="AH9" s="64"/>
      <c r="AI9" s="64"/>
      <c r="AJ9" s="64"/>
      <c r="AK9" s="64"/>
      <c r="AL9" s="64"/>
      <c r="AM9" s="64"/>
      <c r="AN9" s="64"/>
      <c r="AO9" s="64"/>
      <c r="AP9" s="64"/>
      <c r="AQ9" s="64"/>
    </row>
    <row r="10" spans="1:43" s="8" customFormat="1" ht="22.2" customHeight="1">
      <c r="A10" s="83"/>
      <c r="B10" s="15" t="str" cm="1">
        <f t="array" ref="B10">IFERROR(_xlfn.UNIQUE(_xlfn._xlws.FILTER('Planned Bilateral Support'!$C$5:$C$34,'Planned Bilateral Support'!$C$5:$C$34&lt;&gt;"")),"")</f>
        <v/>
      </c>
      <c r="C10" s="13"/>
      <c r="D10" s="43"/>
      <c r="E10" s="112"/>
      <c r="F10" s="117"/>
      <c r="G10" s="118"/>
      <c r="H10" s="118"/>
      <c r="I10" s="118"/>
      <c r="J10" s="118"/>
      <c r="K10" s="119"/>
      <c r="L10" s="117"/>
      <c r="M10" s="118"/>
      <c r="N10" s="118"/>
      <c r="O10" s="118"/>
      <c r="P10" s="118"/>
      <c r="Q10" s="119"/>
      <c r="R10" s="117"/>
      <c r="S10" s="118"/>
      <c r="T10" s="118"/>
      <c r="U10" s="118"/>
      <c r="V10" s="118"/>
      <c r="W10" s="119"/>
      <c r="X10" s="91" t="str">
        <f>IF(B10="","",_xlfn.XLOOKUP(B10,Table9[NS name],Table9[Value]))</f>
        <v/>
      </c>
      <c r="Y10" s="127"/>
      <c r="Z10" s="66">
        <f>IFERROR(_xlfn.XLOOKUP($X10,Data_Support[NS],Data_Support[SP2]),"")</f>
        <v>0</v>
      </c>
      <c r="AA10" s="66">
        <f>IFERROR(_xlfn.XLOOKUP($X10,Data_Support[NS],Data_Support[SP1]),"")</f>
        <v>0</v>
      </c>
      <c r="AB10" s="66">
        <f>IFERROR(_xlfn.XLOOKUP($X10,Data_Support[NS],Data_Support[SP3]),"")</f>
        <v>0</v>
      </c>
      <c r="AC10" s="66">
        <f>IFERROR(_xlfn.XLOOKUP($X10,Data_Support[NS],Data_Support[SP4]),"")</f>
        <v>0</v>
      </c>
      <c r="AD10" s="66">
        <f>IFERROR(_xlfn.XLOOKUP($X10,Data_Support[NS],Data_Support[SP5]),"")</f>
        <v>0</v>
      </c>
      <c r="AE10" s="66">
        <f>IFERROR(_xlfn.XLOOKUP($X10,Data_Support[NS],Data_Support[EFs]),"")</f>
        <v>0</v>
      </c>
      <c r="AF10" s="64"/>
      <c r="AG10" s="64"/>
      <c r="AH10" s="64"/>
      <c r="AI10" s="64"/>
      <c r="AJ10" s="64"/>
      <c r="AK10" s="64"/>
      <c r="AL10" s="64"/>
      <c r="AM10" s="64"/>
      <c r="AN10" s="64"/>
      <c r="AO10" s="64"/>
      <c r="AP10" s="64"/>
      <c r="AQ10" s="64"/>
    </row>
    <row r="11" spans="1:43" s="8" customFormat="1" ht="22.2" customHeight="1">
      <c r="A11" s="83"/>
      <c r="B11" s="15"/>
      <c r="C11" s="13"/>
      <c r="D11" s="43"/>
      <c r="E11" s="112"/>
      <c r="F11" s="117"/>
      <c r="G11" s="118"/>
      <c r="H11" s="118"/>
      <c r="I11" s="118"/>
      <c r="J11" s="118"/>
      <c r="K11" s="119"/>
      <c r="L11" s="117"/>
      <c r="M11" s="118"/>
      <c r="N11" s="118"/>
      <c r="O11" s="118"/>
      <c r="P11" s="118"/>
      <c r="Q11" s="119"/>
      <c r="R11" s="117"/>
      <c r="S11" s="118"/>
      <c r="T11" s="118"/>
      <c r="U11" s="118"/>
      <c r="V11" s="118"/>
      <c r="W11" s="119"/>
      <c r="X11" s="91" t="str">
        <f>IF(B11="","",_xlfn.XLOOKUP(B11,Table9[NS name],Table9[Value]))</f>
        <v/>
      </c>
      <c r="Y11" s="127"/>
      <c r="Z11" s="66">
        <f>IFERROR(_xlfn.XLOOKUP($X11,Data_Support[NS],Data_Support[SP2]),"")</f>
        <v>0</v>
      </c>
      <c r="AA11" s="66">
        <f>IFERROR(_xlfn.XLOOKUP($X11,Data_Support[NS],Data_Support[SP1]),"")</f>
        <v>0</v>
      </c>
      <c r="AB11" s="66">
        <f>IFERROR(_xlfn.XLOOKUP($X11,Data_Support[NS],Data_Support[SP3]),"")</f>
        <v>0</v>
      </c>
      <c r="AC11" s="66">
        <f>IFERROR(_xlfn.XLOOKUP($X11,Data_Support[NS],Data_Support[SP4]),"")</f>
        <v>0</v>
      </c>
      <c r="AD11" s="66">
        <f>IFERROR(_xlfn.XLOOKUP($X11,Data_Support[NS],Data_Support[SP5]),"")</f>
        <v>0</v>
      </c>
      <c r="AE11" s="66">
        <f>IFERROR(_xlfn.XLOOKUP($X11,Data_Support[NS],Data_Support[EFs]),"")</f>
        <v>0</v>
      </c>
      <c r="AF11" s="64"/>
      <c r="AG11" s="64"/>
      <c r="AH11" s="64"/>
      <c r="AI11" s="64"/>
      <c r="AJ11" s="64"/>
      <c r="AK11" s="64"/>
      <c r="AL11" s="64"/>
      <c r="AM11" s="64"/>
      <c r="AN11" s="64"/>
      <c r="AO11" s="64"/>
      <c r="AP11" s="64"/>
      <c r="AQ11" s="64"/>
    </row>
    <row r="12" spans="1:43" s="8" customFormat="1" ht="22.2" customHeight="1">
      <c r="A12" s="83"/>
      <c r="B12" s="15"/>
      <c r="C12" s="13"/>
      <c r="D12" s="43"/>
      <c r="E12" s="112"/>
      <c r="F12" s="117"/>
      <c r="G12" s="118"/>
      <c r="H12" s="118"/>
      <c r="I12" s="118"/>
      <c r="J12" s="118"/>
      <c r="K12" s="119"/>
      <c r="L12" s="117"/>
      <c r="M12" s="118"/>
      <c r="N12" s="118"/>
      <c r="O12" s="118"/>
      <c r="P12" s="118"/>
      <c r="Q12" s="119"/>
      <c r="R12" s="117"/>
      <c r="S12" s="118"/>
      <c r="T12" s="118"/>
      <c r="U12" s="118"/>
      <c r="V12" s="118"/>
      <c r="W12" s="119"/>
      <c r="X12" s="91" t="str">
        <f>IF(B12="","",_xlfn.XLOOKUP(B12,Table9[NS name],Table9[Value]))</f>
        <v/>
      </c>
      <c r="Y12" s="127"/>
      <c r="Z12" s="66">
        <f>IFERROR(_xlfn.XLOOKUP($X12,Data_Support[NS],Data_Support[SP2]),"")</f>
        <v>0</v>
      </c>
      <c r="AA12" s="66">
        <f>IFERROR(_xlfn.XLOOKUP($X12,Data_Support[NS],Data_Support[SP1]),"")</f>
        <v>0</v>
      </c>
      <c r="AB12" s="66">
        <f>IFERROR(_xlfn.XLOOKUP($X12,Data_Support[NS],Data_Support[SP3]),"")</f>
        <v>0</v>
      </c>
      <c r="AC12" s="66">
        <f>IFERROR(_xlfn.XLOOKUP($X12,Data_Support[NS],Data_Support[SP4]),"")</f>
        <v>0</v>
      </c>
      <c r="AD12" s="66">
        <f>IFERROR(_xlfn.XLOOKUP($X12,Data_Support[NS],Data_Support[SP5]),"")</f>
        <v>0</v>
      </c>
      <c r="AE12" s="66">
        <f>IFERROR(_xlfn.XLOOKUP($X12,Data_Support[NS],Data_Support[EFs]),"")</f>
        <v>0</v>
      </c>
      <c r="AF12" s="64"/>
      <c r="AG12" s="64"/>
      <c r="AH12" s="64"/>
      <c r="AI12" s="64"/>
      <c r="AJ12" s="64"/>
      <c r="AK12" s="64"/>
      <c r="AL12" s="64"/>
      <c r="AM12" s="64"/>
      <c r="AN12" s="64"/>
      <c r="AO12" s="64"/>
      <c r="AP12" s="64"/>
      <c r="AQ12" s="64"/>
    </row>
    <row r="13" spans="1:43" s="8" customFormat="1" ht="22.2" customHeight="1">
      <c r="A13" s="83"/>
      <c r="B13" s="15"/>
      <c r="C13" s="13"/>
      <c r="D13" s="43"/>
      <c r="E13" s="112"/>
      <c r="F13" s="117"/>
      <c r="G13" s="118"/>
      <c r="H13" s="118"/>
      <c r="I13" s="118"/>
      <c r="J13" s="118"/>
      <c r="K13" s="119"/>
      <c r="L13" s="117"/>
      <c r="M13" s="118"/>
      <c r="N13" s="118"/>
      <c r="O13" s="118"/>
      <c r="P13" s="118"/>
      <c r="Q13" s="119"/>
      <c r="R13" s="117"/>
      <c r="S13" s="118"/>
      <c r="T13" s="118"/>
      <c r="U13" s="118"/>
      <c r="V13" s="118"/>
      <c r="W13" s="119"/>
      <c r="X13" s="91" t="str">
        <f>IF(B13="","",_xlfn.XLOOKUP(B13,Table9[NS name],Table9[Value]))</f>
        <v/>
      </c>
      <c r="Y13" s="127"/>
      <c r="Z13" s="66">
        <f>IFERROR(_xlfn.XLOOKUP($X13,Data_Support[NS],Data_Support[SP2]),"")</f>
        <v>0</v>
      </c>
      <c r="AA13" s="66">
        <f>IFERROR(_xlfn.XLOOKUP($X13,Data_Support[NS],Data_Support[SP1]),"")</f>
        <v>0</v>
      </c>
      <c r="AB13" s="66">
        <f>IFERROR(_xlfn.XLOOKUP($X13,Data_Support[NS],Data_Support[SP3]),"")</f>
        <v>0</v>
      </c>
      <c r="AC13" s="66">
        <f>IFERROR(_xlfn.XLOOKUP($X13,Data_Support[NS],Data_Support[SP4]),"")</f>
        <v>0</v>
      </c>
      <c r="AD13" s="66">
        <f>IFERROR(_xlfn.XLOOKUP($X13,Data_Support[NS],Data_Support[SP5]),"")</f>
        <v>0</v>
      </c>
      <c r="AE13" s="66">
        <f>IFERROR(_xlfn.XLOOKUP($X13,Data_Support[NS],Data_Support[EFs]),"")</f>
        <v>0</v>
      </c>
      <c r="AF13" s="64"/>
      <c r="AG13" s="64"/>
      <c r="AH13" s="64"/>
      <c r="AI13" s="64"/>
      <c r="AJ13" s="64"/>
      <c r="AK13" s="64"/>
      <c r="AL13" s="64"/>
      <c r="AM13" s="64"/>
      <c r="AN13" s="64"/>
      <c r="AO13" s="64"/>
      <c r="AP13" s="64"/>
      <c r="AQ13" s="64"/>
    </row>
    <row r="14" spans="1:43" s="8" customFormat="1" ht="22.2" customHeight="1">
      <c r="A14" s="83"/>
      <c r="B14" s="15"/>
      <c r="C14" s="13"/>
      <c r="D14" s="43"/>
      <c r="E14" s="112"/>
      <c r="F14" s="117"/>
      <c r="G14" s="118"/>
      <c r="H14" s="118"/>
      <c r="I14" s="118"/>
      <c r="J14" s="118"/>
      <c r="K14" s="119"/>
      <c r="L14" s="117"/>
      <c r="M14" s="118"/>
      <c r="N14" s="118"/>
      <c r="O14" s="118"/>
      <c r="P14" s="118"/>
      <c r="Q14" s="119"/>
      <c r="R14" s="117"/>
      <c r="S14" s="118"/>
      <c r="T14" s="118"/>
      <c r="U14" s="118"/>
      <c r="V14" s="118"/>
      <c r="W14" s="119"/>
      <c r="X14" s="91" t="str">
        <f>IF(B14="","",_xlfn.XLOOKUP(B14,Table9[NS name],Table9[Value]))</f>
        <v/>
      </c>
      <c r="Y14" s="127"/>
      <c r="Z14" s="66">
        <f>IFERROR(_xlfn.XLOOKUP($X14,Data_Support[NS],Data_Support[SP2]),"")</f>
        <v>0</v>
      </c>
      <c r="AA14" s="66">
        <f>IFERROR(_xlfn.XLOOKUP($X14,Data_Support[NS],Data_Support[SP1]),"")</f>
        <v>0</v>
      </c>
      <c r="AB14" s="66">
        <f>IFERROR(_xlfn.XLOOKUP($X14,Data_Support[NS],Data_Support[SP3]),"")</f>
        <v>0</v>
      </c>
      <c r="AC14" s="66">
        <f>IFERROR(_xlfn.XLOOKUP($X14,Data_Support[NS],Data_Support[SP4]),"")</f>
        <v>0</v>
      </c>
      <c r="AD14" s="66">
        <f>IFERROR(_xlfn.XLOOKUP($X14,Data_Support[NS],Data_Support[SP5]),"")</f>
        <v>0</v>
      </c>
      <c r="AE14" s="66">
        <f>IFERROR(_xlfn.XLOOKUP($X14,Data_Support[NS],Data_Support[EFs]),"")</f>
        <v>0</v>
      </c>
      <c r="AF14" s="64"/>
      <c r="AG14" s="64"/>
      <c r="AH14" s="64"/>
      <c r="AI14" s="64"/>
      <c r="AJ14" s="64"/>
      <c r="AK14" s="64"/>
      <c r="AL14" s="64"/>
      <c r="AM14" s="64"/>
      <c r="AN14" s="64"/>
      <c r="AO14" s="64"/>
      <c r="AP14" s="64"/>
      <c r="AQ14" s="64"/>
    </row>
    <row r="15" spans="1:43" s="8" customFormat="1" ht="22.2" customHeight="1">
      <c r="A15" s="83"/>
      <c r="B15" s="15"/>
      <c r="C15" s="13"/>
      <c r="D15" s="43"/>
      <c r="E15" s="112"/>
      <c r="F15" s="117"/>
      <c r="G15" s="118"/>
      <c r="H15" s="118"/>
      <c r="I15" s="118"/>
      <c r="J15" s="118"/>
      <c r="K15" s="119"/>
      <c r="L15" s="117"/>
      <c r="M15" s="118"/>
      <c r="N15" s="118"/>
      <c r="O15" s="118"/>
      <c r="P15" s="118"/>
      <c r="Q15" s="119"/>
      <c r="R15" s="117"/>
      <c r="S15" s="118"/>
      <c r="T15" s="118"/>
      <c r="U15" s="118"/>
      <c r="V15" s="118"/>
      <c r="W15" s="119"/>
      <c r="X15" s="91" t="str">
        <f>IF(B15="","",_xlfn.XLOOKUP(B15,Table9[NS name],Table9[Value]))</f>
        <v/>
      </c>
      <c r="Y15" s="127"/>
      <c r="Z15" s="66">
        <f>IFERROR(_xlfn.XLOOKUP($X15,Data_Support[NS],Data_Support[SP2]),"")</f>
        <v>0</v>
      </c>
      <c r="AA15" s="66">
        <f>IFERROR(_xlfn.XLOOKUP($X15,Data_Support[NS],Data_Support[SP1]),"")</f>
        <v>0</v>
      </c>
      <c r="AB15" s="66">
        <f>IFERROR(_xlfn.XLOOKUP($X15,Data_Support[NS],Data_Support[SP3]),"")</f>
        <v>0</v>
      </c>
      <c r="AC15" s="66">
        <f>IFERROR(_xlfn.XLOOKUP($X15,Data_Support[NS],Data_Support[SP4]),"")</f>
        <v>0</v>
      </c>
      <c r="AD15" s="66">
        <f>IFERROR(_xlfn.XLOOKUP($X15,Data_Support[NS],Data_Support[SP5]),"")</f>
        <v>0</v>
      </c>
      <c r="AE15" s="66">
        <f>IFERROR(_xlfn.XLOOKUP($X15,Data_Support[NS],Data_Support[EFs]),"")</f>
        <v>0</v>
      </c>
      <c r="AF15" s="64"/>
      <c r="AG15" s="64"/>
      <c r="AH15" s="64"/>
      <c r="AI15" s="64"/>
      <c r="AJ15" s="64"/>
      <c r="AK15" s="64"/>
      <c r="AL15" s="64"/>
      <c r="AM15" s="64"/>
      <c r="AN15" s="64"/>
      <c r="AO15" s="64"/>
      <c r="AP15" s="64"/>
      <c r="AQ15" s="64"/>
    </row>
    <row r="16" spans="1:43" s="8" customFormat="1" ht="22.2" customHeight="1">
      <c r="A16" s="83"/>
      <c r="B16" s="15"/>
      <c r="C16" s="13"/>
      <c r="D16" s="43"/>
      <c r="E16" s="112"/>
      <c r="F16" s="117"/>
      <c r="G16" s="118"/>
      <c r="H16" s="118"/>
      <c r="I16" s="118"/>
      <c r="J16" s="118"/>
      <c r="K16" s="119"/>
      <c r="L16" s="117"/>
      <c r="M16" s="118"/>
      <c r="N16" s="118"/>
      <c r="O16" s="118"/>
      <c r="P16" s="118"/>
      <c r="Q16" s="119"/>
      <c r="R16" s="117"/>
      <c r="S16" s="118"/>
      <c r="T16" s="118"/>
      <c r="U16" s="118"/>
      <c r="V16" s="118"/>
      <c r="W16" s="119"/>
      <c r="X16" s="91" t="str">
        <f>IF(B16="","",_xlfn.XLOOKUP(B16,Table9[NS name],Table9[Value]))</f>
        <v/>
      </c>
      <c r="Y16" s="127"/>
      <c r="Z16" s="66">
        <f>IFERROR(_xlfn.XLOOKUP($X16,Data_Support[NS],Data_Support[SP2]),"")</f>
        <v>0</v>
      </c>
      <c r="AA16" s="66">
        <f>IFERROR(_xlfn.XLOOKUP($X16,Data_Support[NS],Data_Support[SP1]),"")</f>
        <v>0</v>
      </c>
      <c r="AB16" s="66">
        <f>IFERROR(_xlfn.XLOOKUP($X16,Data_Support[NS],Data_Support[SP3]),"")</f>
        <v>0</v>
      </c>
      <c r="AC16" s="66">
        <f>IFERROR(_xlfn.XLOOKUP($X16,Data_Support[NS],Data_Support[SP4]),"")</f>
        <v>0</v>
      </c>
      <c r="AD16" s="66">
        <f>IFERROR(_xlfn.XLOOKUP($X16,Data_Support[NS],Data_Support[SP5]),"")</f>
        <v>0</v>
      </c>
      <c r="AE16" s="66">
        <f>IFERROR(_xlfn.XLOOKUP($X16,Data_Support[NS],Data_Support[EFs]),"")</f>
        <v>0</v>
      </c>
      <c r="AF16" s="64"/>
      <c r="AG16" s="64"/>
      <c r="AH16" s="64"/>
      <c r="AI16" s="64"/>
      <c r="AJ16" s="64"/>
      <c r="AK16" s="64"/>
      <c r="AL16" s="64"/>
      <c r="AM16" s="64"/>
      <c r="AN16" s="64"/>
      <c r="AO16" s="64"/>
      <c r="AP16" s="64"/>
      <c r="AQ16" s="64"/>
    </row>
    <row r="17" spans="1:43" s="8" customFormat="1" ht="22.2" customHeight="1">
      <c r="A17" s="83"/>
      <c r="B17" s="15"/>
      <c r="C17" s="13"/>
      <c r="D17" s="43"/>
      <c r="E17" s="112"/>
      <c r="F17" s="117"/>
      <c r="G17" s="118"/>
      <c r="H17" s="118"/>
      <c r="I17" s="118"/>
      <c r="J17" s="118"/>
      <c r="K17" s="119"/>
      <c r="L17" s="117"/>
      <c r="M17" s="118"/>
      <c r="N17" s="118"/>
      <c r="O17" s="118"/>
      <c r="P17" s="118"/>
      <c r="Q17" s="119"/>
      <c r="R17" s="117"/>
      <c r="S17" s="118"/>
      <c r="T17" s="118"/>
      <c r="U17" s="118"/>
      <c r="V17" s="118"/>
      <c r="W17" s="119"/>
      <c r="X17" s="91" t="str">
        <f>IF(B17="","",_xlfn.XLOOKUP(B17,Table9[NS name],Table9[Value]))</f>
        <v/>
      </c>
      <c r="Y17" s="127"/>
      <c r="Z17" s="66">
        <f>IFERROR(_xlfn.XLOOKUP($X17,Data_Support[NS],Data_Support[SP2]),"")</f>
        <v>0</v>
      </c>
      <c r="AA17" s="66">
        <f>IFERROR(_xlfn.XLOOKUP($X17,Data_Support[NS],Data_Support[SP1]),"")</f>
        <v>0</v>
      </c>
      <c r="AB17" s="66">
        <f>IFERROR(_xlfn.XLOOKUP($X17,Data_Support[NS],Data_Support[SP3]),"")</f>
        <v>0</v>
      </c>
      <c r="AC17" s="66">
        <f>IFERROR(_xlfn.XLOOKUP($X17,Data_Support[NS],Data_Support[SP4]),"")</f>
        <v>0</v>
      </c>
      <c r="AD17" s="66">
        <f>IFERROR(_xlfn.XLOOKUP($X17,Data_Support[NS],Data_Support[SP5]),"")</f>
        <v>0</v>
      </c>
      <c r="AE17" s="66">
        <f>IFERROR(_xlfn.XLOOKUP($X17,Data_Support[NS],Data_Support[EFs]),"")</f>
        <v>0</v>
      </c>
      <c r="AF17" s="64"/>
      <c r="AG17" s="64"/>
      <c r="AH17" s="64"/>
      <c r="AI17" s="64"/>
      <c r="AJ17" s="64"/>
      <c r="AK17" s="64"/>
      <c r="AL17" s="64"/>
      <c r="AM17" s="64"/>
      <c r="AN17" s="64"/>
      <c r="AO17" s="64"/>
      <c r="AP17" s="64"/>
      <c r="AQ17" s="64"/>
    </row>
    <row r="18" spans="1:43" s="8" customFormat="1" ht="22.2" customHeight="1">
      <c r="A18" s="83"/>
      <c r="B18" s="15"/>
      <c r="C18" s="13"/>
      <c r="D18" s="43"/>
      <c r="E18" s="112"/>
      <c r="F18" s="117"/>
      <c r="G18" s="118"/>
      <c r="H18" s="118"/>
      <c r="I18" s="118"/>
      <c r="J18" s="118"/>
      <c r="K18" s="119"/>
      <c r="L18" s="117"/>
      <c r="M18" s="118"/>
      <c r="N18" s="118"/>
      <c r="O18" s="118"/>
      <c r="P18" s="118"/>
      <c r="Q18" s="119"/>
      <c r="R18" s="117"/>
      <c r="S18" s="118"/>
      <c r="T18" s="118"/>
      <c r="U18" s="118"/>
      <c r="V18" s="118"/>
      <c r="W18" s="119"/>
      <c r="X18" s="91" t="str">
        <f>IF(B18="","",_xlfn.XLOOKUP(B18,Table9[NS name],Table9[Value]))</f>
        <v/>
      </c>
      <c r="Y18" s="127"/>
      <c r="Z18" s="66">
        <f>IFERROR(_xlfn.XLOOKUP($X18,Data_Support[NS],Data_Support[SP2]),"")</f>
        <v>0</v>
      </c>
      <c r="AA18" s="66">
        <f>IFERROR(_xlfn.XLOOKUP($X18,Data_Support[NS],Data_Support[SP1]),"")</f>
        <v>0</v>
      </c>
      <c r="AB18" s="66">
        <f>IFERROR(_xlfn.XLOOKUP($X18,Data_Support[NS],Data_Support[SP3]),"")</f>
        <v>0</v>
      </c>
      <c r="AC18" s="66">
        <f>IFERROR(_xlfn.XLOOKUP($X18,Data_Support[NS],Data_Support[SP4]),"")</f>
        <v>0</v>
      </c>
      <c r="AD18" s="66">
        <f>IFERROR(_xlfn.XLOOKUP($X18,Data_Support[NS],Data_Support[SP5]),"")</f>
        <v>0</v>
      </c>
      <c r="AE18" s="66">
        <f>IFERROR(_xlfn.XLOOKUP($X18,Data_Support[NS],Data_Support[EFs]),"")</f>
        <v>0</v>
      </c>
      <c r="AF18" s="64"/>
      <c r="AG18" s="64"/>
      <c r="AH18" s="64"/>
      <c r="AI18" s="64"/>
      <c r="AJ18" s="64"/>
      <c r="AK18" s="64"/>
      <c r="AL18" s="64"/>
      <c r="AM18" s="64"/>
      <c r="AN18" s="64"/>
      <c r="AO18" s="64"/>
      <c r="AP18" s="64"/>
      <c r="AQ18" s="64"/>
    </row>
    <row r="19" spans="1:43" s="8" customFormat="1" ht="22.2" customHeight="1">
      <c r="A19" s="83"/>
      <c r="B19" s="15"/>
      <c r="C19" s="13"/>
      <c r="D19" s="43"/>
      <c r="E19" s="112"/>
      <c r="F19" s="117"/>
      <c r="G19" s="118"/>
      <c r="H19" s="118"/>
      <c r="I19" s="118"/>
      <c r="J19" s="118"/>
      <c r="K19" s="119"/>
      <c r="L19" s="117"/>
      <c r="M19" s="118"/>
      <c r="N19" s="118"/>
      <c r="O19" s="118"/>
      <c r="P19" s="118"/>
      <c r="Q19" s="119"/>
      <c r="R19" s="117"/>
      <c r="S19" s="118"/>
      <c r="T19" s="118"/>
      <c r="U19" s="118"/>
      <c r="V19" s="118"/>
      <c r="W19" s="119"/>
      <c r="X19" s="91" t="str">
        <f>IF(B19="","",_xlfn.XLOOKUP(B19,Table9[NS name],Table9[Value]))</f>
        <v/>
      </c>
      <c r="Y19" s="127"/>
      <c r="Z19" s="66">
        <f>IFERROR(_xlfn.XLOOKUP($X19,Data_Support[NS],Data_Support[SP2]),"")</f>
        <v>0</v>
      </c>
      <c r="AA19" s="66">
        <f>IFERROR(_xlfn.XLOOKUP($X19,Data_Support[NS],Data_Support[SP1]),"")</f>
        <v>0</v>
      </c>
      <c r="AB19" s="66">
        <f>IFERROR(_xlfn.XLOOKUP($X19,Data_Support[NS],Data_Support[SP3]),"")</f>
        <v>0</v>
      </c>
      <c r="AC19" s="66">
        <f>IFERROR(_xlfn.XLOOKUP($X19,Data_Support[NS],Data_Support[SP4]),"")</f>
        <v>0</v>
      </c>
      <c r="AD19" s="66">
        <f>IFERROR(_xlfn.XLOOKUP($X19,Data_Support[NS],Data_Support[SP5]),"")</f>
        <v>0</v>
      </c>
      <c r="AE19" s="66">
        <f>IFERROR(_xlfn.XLOOKUP($X19,Data_Support[NS],Data_Support[EFs]),"")</f>
        <v>0</v>
      </c>
      <c r="AF19" s="64"/>
      <c r="AG19" s="64"/>
      <c r="AH19" s="64"/>
      <c r="AI19" s="64"/>
      <c r="AJ19" s="64"/>
      <c r="AK19" s="64"/>
      <c r="AL19" s="64"/>
      <c r="AM19" s="64"/>
      <c r="AN19" s="64"/>
      <c r="AO19" s="64"/>
      <c r="AP19" s="64"/>
      <c r="AQ19" s="64"/>
    </row>
    <row r="20" spans="1:43" s="8" customFormat="1" ht="22.2" customHeight="1">
      <c r="A20" s="83"/>
      <c r="B20" s="15"/>
      <c r="C20" s="13"/>
      <c r="D20" s="43"/>
      <c r="E20" s="112"/>
      <c r="F20" s="117"/>
      <c r="G20" s="118"/>
      <c r="H20" s="118"/>
      <c r="I20" s="118"/>
      <c r="J20" s="118"/>
      <c r="K20" s="119"/>
      <c r="L20" s="117"/>
      <c r="M20" s="118"/>
      <c r="N20" s="118"/>
      <c r="O20" s="118"/>
      <c r="P20" s="118"/>
      <c r="Q20" s="119"/>
      <c r="R20" s="117"/>
      <c r="S20" s="118"/>
      <c r="T20" s="118"/>
      <c r="U20" s="118"/>
      <c r="V20" s="118"/>
      <c r="W20" s="119"/>
      <c r="X20" s="91" t="str">
        <f>IF(B20="","",_xlfn.XLOOKUP(B20,Table9[NS name],Table9[Value]))</f>
        <v/>
      </c>
      <c r="Y20" s="127"/>
      <c r="Z20" s="66">
        <f>IFERROR(_xlfn.XLOOKUP($X20,Data_Support[NS],Data_Support[SP2]),"")</f>
        <v>0</v>
      </c>
      <c r="AA20" s="66">
        <f>IFERROR(_xlfn.XLOOKUP($X20,Data_Support[NS],Data_Support[SP1]),"")</f>
        <v>0</v>
      </c>
      <c r="AB20" s="66">
        <f>IFERROR(_xlfn.XLOOKUP($X20,Data_Support[NS],Data_Support[SP3]),"")</f>
        <v>0</v>
      </c>
      <c r="AC20" s="66">
        <f>IFERROR(_xlfn.XLOOKUP($X20,Data_Support[NS],Data_Support[SP4]),"")</f>
        <v>0</v>
      </c>
      <c r="AD20" s="66">
        <f>IFERROR(_xlfn.XLOOKUP($X20,Data_Support[NS],Data_Support[SP5]),"")</f>
        <v>0</v>
      </c>
      <c r="AE20" s="66">
        <f>IFERROR(_xlfn.XLOOKUP($X20,Data_Support[NS],Data_Support[EFs]),"")</f>
        <v>0</v>
      </c>
      <c r="AF20" s="64"/>
      <c r="AG20" s="64"/>
      <c r="AH20" s="64"/>
      <c r="AI20" s="64"/>
      <c r="AJ20" s="64"/>
      <c r="AK20" s="64"/>
      <c r="AL20" s="64"/>
      <c r="AM20" s="64"/>
      <c r="AN20" s="64"/>
      <c r="AO20" s="64"/>
      <c r="AP20" s="64"/>
      <c r="AQ20" s="64"/>
    </row>
    <row r="21" spans="1:43" s="8" customFormat="1" ht="22.2" customHeight="1">
      <c r="A21" s="83"/>
      <c r="B21" s="15"/>
      <c r="C21" s="13"/>
      <c r="D21" s="43"/>
      <c r="E21" s="112"/>
      <c r="F21" s="117"/>
      <c r="G21" s="118"/>
      <c r="H21" s="118"/>
      <c r="I21" s="118"/>
      <c r="J21" s="118"/>
      <c r="K21" s="119"/>
      <c r="L21" s="117"/>
      <c r="M21" s="118"/>
      <c r="N21" s="118"/>
      <c r="O21" s="118"/>
      <c r="P21" s="118"/>
      <c r="Q21" s="119"/>
      <c r="R21" s="117"/>
      <c r="S21" s="118"/>
      <c r="T21" s="118"/>
      <c r="U21" s="118"/>
      <c r="V21" s="118"/>
      <c r="W21" s="119"/>
      <c r="X21" s="91" t="str">
        <f>IF(B21="","",_xlfn.XLOOKUP(B21,Table9[NS name],Table9[Value]))</f>
        <v/>
      </c>
      <c r="Y21" s="127"/>
      <c r="Z21" s="66">
        <f>IFERROR(_xlfn.XLOOKUP($X21,Data_Support[NS],Data_Support[SP2]),"")</f>
        <v>0</v>
      </c>
      <c r="AA21" s="66">
        <f>IFERROR(_xlfn.XLOOKUP($X21,Data_Support[NS],Data_Support[SP1]),"")</f>
        <v>0</v>
      </c>
      <c r="AB21" s="66">
        <f>IFERROR(_xlfn.XLOOKUP($X21,Data_Support[NS],Data_Support[SP3]),"")</f>
        <v>0</v>
      </c>
      <c r="AC21" s="66">
        <f>IFERROR(_xlfn.XLOOKUP($X21,Data_Support[NS],Data_Support[SP4]),"")</f>
        <v>0</v>
      </c>
      <c r="AD21" s="66">
        <f>IFERROR(_xlfn.XLOOKUP($X21,Data_Support[NS],Data_Support[SP5]),"")</f>
        <v>0</v>
      </c>
      <c r="AE21" s="66">
        <f>IFERROR(_xlfn.XLOOKUP($X21,Data_Support[NS],Data_Support[EFs]),"")</f>
        <v>0</v>
      </c>
      <c r="AF21" s="64"/>
      <c r="AG21" s="64"/>
      <c r="AH21" s="64"/>
      <c r="AI21" s="64"/>
      <c r="AJ21" s="64"/>
      <c r="AK21" s="64"/>
      <c r="AL21" s="64"/>
      <c r="AM21" s="64"/>
      <c r="AN21" s="64"/>
      <c r="AO21" s="64"/>
      <c r="AP21" s="64"/>
      <c r="AQ21" s="64"/>
    </row>
    <row r="22" spans="1:43" s="8" customFormat="1" ht="22.2" customHeight="1">
      <c r="A22" s="83"/>
      <c r="B22" s="15"/>
      <c r="C22" s="13"/>
      <c r="D22" s="43"/>
      <c r="E22" s="112"/>
      <c r="F22" s="117"/>
      <c r="G22" s="118"/>
      <c r="H22" s="118"/>
      <c r="I22" s="118"/>
      <c r="J22" s="118"/>
      <c r="K22" s="119"/>
      <c r="L22" s="117"/>
      <c r="M22" s="118"/>
      <c r="N22" s="118"/>
      <c r="O22" s="118"/>
      <c r="P22" s="118"/>
      <c r="Q22" s="119"/>
      <c r="R22" s="117"/>
      <c r="S22" s="118"/>
      <c r="T22" s="118"/>
      <c r="U22" s="118"/>
      <c r="V22" s="118"/>
      <c r="W22" s="119"/>
      <c r="X22" s="91" t="str">
        <f>IF(B22="","",_xlfn.XLOOKUP(B22,Table9[NS name],Table9[Value]))</f>
        <v/>
      </c>
      <c r="Y22" s="127"/>
      <c r="Z22" s="66">
        <f>IFERROR(_xlfn.XLOOKUP($X22,Data_Support[NS],Data_Support[SP2]),"")</f>
        <v>0</v>
      </c>
      <c r="AA22" s="66">
        <f>IFERROR(_xlfn.XLOOKUP($X22,Data_Support[NS],Data_Support[SP1]),"")</f>
        <v>0</v>
      </c>
      <c r="AB22" s="66">
        <f>IFERROR(_xlfn.XLOOKUP($X22,Data_Support[NS],Data_Support[SP3]),"")</f>
        <v>0</v>
      </c>
      <c r="AC22" s="66">
        <f>IFERROR(_xlfn.XLOOKUP($X22,Data_Support[NS],Data_Support[SP4]),"")</f>
        <v>0</v>
      </c>
      <c r="AD22" s="66">
        <f>IFERROR(_xlfn.XLOOKUP($X22,Data_Support[NS],Data_Support[SP5]),"")</f>
        <v>0</v>
      </c>
      <c r="AE22" s="66">
        <f>IFERROR(_xlfn.XLOOKUP($X22,Data_Support[NS],Data_Support[EFs]),"")</f>
        <v>0</v>
      </c>
      <c r="AF22" s="64"/>
      <c r="AG22" s="64"/>
      <c r="AH22" s="64"/>
      <c r="AI22" s="64"/>
      <c r="AJ22" s="64"/>
      <c r="AK22" s="64"/>
      <c r="AL22" s="64"/>
      <c r="AM22" s="64"/>
      <c r="AN22" s="64"/>
      <c r="AO22" s="64"/>
      <c r="AP22" s="64"/>
      <c r="AQ22" s="64"/>
    </row>
    <row r="23" spans="1:43" s="8" customFormat="1" ht="22.2" customHeight="1">
      <c r="A23" s="83"/>
      <c r="B23" s="15"/>
      <c r="C23" s="13"/>
      <c r="D23" s="43"/>
      <c r="E23" s="112"/>
      <c r="F23" s="117"/>
      <c r="G23" s="118"/>
      <c r="H23" s="118"/>
      <c r="I23" s="118"/>
      <c r="J23" s="118"/>
      <c r="K23" s="119"/>
      <c r="L23" s="117"/>
      <c r="M23" s="118"/>
      <c r="N23" s="118"/>
      <c r="O23" s="118"/>
      <c r="P23" s="118"/>
      <c r="Q23" s="119"/>
      <c r="R23" s="117"/>
      <c r="S23" s="118"/>
      <c r="T23" s="118"/>
      <c r="U23" s="118"/>
      <c r="V23" s="118"/>
      <c r="W23" s="119"/>
      <c r="X23" s="91" t="str">
        <f>IF(B23="","",_xlfn.XLOOKUP(B23,Table9[NS name],Table9[Value]))</f>
        <v/>
      </c>
      <c r="Y23" s="127"/>
      <c r="Z23" s="66">
        <f>IFERROR(_xlfn.XLOOKUP($X23,Data_Support[NS],Data_Support[SP2]),"")</f>
        <v>0</v>
      </c>
      <c r="AA23" s="66">
        <f>IFERROR(_xlfn.XLOOKUP($X23,Data_Support[NS],Data_Support[SP1]),"")</f>
        <v>0</v>
      </c>
      <c r="AB23" s="66">
        <f>IFERROR(_xlfn.XLOOKUP($X23,Data_Support[NS],Data_Support[SP3]),"")</f>
        <v>0</v>
      </c>
      <c r="AC23" s="66">
        <f>IFERROR(_xlfn.XLOOKUP($X23,Data_Support[NS],Data_Support[SP4]),"")</f>
        <v>0</v>
      </c>
      <c r="AD23" s="66">
        <f>IFERROR(_xlfn.XLOOKUP($X23,Data_Support[NS],Data_Support[SP5]),"")</f>
        <v>0</v>
      </c>
      <c r="AE23" s="66">
        <f>IFERROR(_xlfn.XLOOKUP($X23,Data_Support[NS],Data_Support[EFs]),"")</f>
        <v>0</v>
      </c>
      <c r="AF23" s="64"/>
      <c r="AG23" s="64"/>
      <c r="AH23" s="64"/>
      <c r="AI23" s="64"/>
      <c r="AJ23" s="64"/>
      <c r="AK23" s="64"/>
      <c r="AL23" s="64"/>
      <c r="AM23" s="64"/>
      <c r="AN23" s="64"/>
      <c r="AO23" s="64"/>
      <c r="AP23" s="64"/>
      <c r="AQ23" s="64"/>
    </row>
    <row r="24" spans="1:43" s="8" customFormat="1" ht="22.2" customHeight="1">
      <c r="A24" s="83"/>
      <c r="B24" s="15"/>
      <c r="C24" s="13"/>
      <c r="D24" s="43"/>
      <c r="E24" s="112"/>
      <c r="F24" s="117"/>
      <c r="G24" s="118"/>
      <c r="H24" s="118"/>
      <c r="I24" s="118"/>
      <c r="J24" s="118"/>
      <c r="K24" s="119"/>
      <c r="L24" s="117"/>
      <c r="M24" s="118"/>
      <c r="N24" s="118"/>
      <c r="O24" s="118"/>
      <c r="P24" s="118"/>
      <c r="Q24" s="119"/>
      <c r="R24" s="117"/>
      <c r="S24" s="118"/>
      <c r="T24" s="118"/>
      <c r="U24" s="118"/>
      <c r="V24" s="118"/>
      <c r="W24" s="119"/>
      <c r="X24" s="91" t="str">
        <f>IF(B24="","",_xlfn.XLOOKUP(B24,Table9[NS name],Table9[Value]))</f>
        <v/>
      </c>
      <c r="Y24" s="127"/>
      <c r="Z24" s="66">
        <f>IFERROR(_xlfn.XLOOKUP($X24,Data_Support[NS],Data_Support[SP2]),"")</f>
        <v>0</v>
      </c>
      <c r="AA24" s="66">
        <f>IFERROR(_xlfn.XLOOKUP($X24,Data_Support[NS],Data_Support[SP1]),"")</f>
        <v>0</v>
      </c>
      <c r="AB24" s="66">
        <f>IFERROR(_xlfn.XLOOKUP($X24,Data_Support[NS],Data_Support[SP3]),"")</f>
        <v>0</v>
      </c>
      <c r="AC24" s="66">
        <f>IFERROR(_xlfn.XLOOKUP($X24,Data_Support[NS],Data_Support[SP4]),"")</f>
        <v>0</v>
      </c>
      <c r="AD24" s="66">
        <f>IFERROR(_xlfn.XLOOKUP($X24,Data_Support[NS],Data_Support[SP5]),"")</f>
        <v>0</v>
      </c>
      <c r="AE24" s="66">
        <f>IFERROR(_xlfn.XLOOKUP($X24,Data_Support[NS],Data_Support[EFs]),"")</f>
        <v>0</v>
      </c>
      <c r="AF24" s="64"/>
      <c r="AG24" s="64"/>
      <c r="AH24" s="64"/>
      <c r="AI24" s="64"/>
      <c r="AJ24" s="64"/>
      <c r="AK24" s="64"/>
      <c r="AL24" s="64"/>
      <c r="AM24" s="64"/>
      <c r="AN24" s="64"/>
      <c r="AO24" s="64"/>
      <c r="AP24" s="64"/>
      <c r="AQ24" s="64"/>
    </row>
    <row r="25" spans="1:43" s="8" customFormat="1" ht="22.2" customHeight="1">
      <c r="A25" s="83"/>
      <c r="B25" s="15"/>
      <c r="C25" s="13"/>
      <c r="D25" s="43"/>
      <c r="E25" s="112"/>
      <c r="F25" s="117"/>
      <c r="G25" s="118"/>
      <c r="H25" s="118"/>
      <c r="I25" s="118"/>
      <c r="J25" s="118"/>
      <c r="K25" s="119"/>
      <c r="L25" s="117"/>
      <c r="M25" s="118"/>
      <c r="N25" s="118"/>
      <c r="O25" s="118"/>
      <c r="P25" s="118"/>
      <c r="Q25" s="119"/>
      <c r="R25" s="117"/>
      <c r="S25" s="118"/>
      <c r="T25" s="118"/>
      <c r="U25" s="118"/>
      <c r="V25" s="118"/>
      <c r="W25" s="119"/>
      <c r="X25" s="91" t="str">
        <f>IF(B25="","",_xlfn.XLOOKUP(B25,Table9[NS name],Table9[Value]))</f>
        <v/>
      </c>
      <c r="Y25" s="127"/>
      <c r="Z25" s="66">
        <f>IFERROR(_xlfn.XLOOKUP($X25,Data_Support[NS],Data_Support[SP2]),"")</f>
        <v>0</v>
      </c>
      <c r="AA25" s="66">
        <f>IFERROR(_xlfn.XLOOKUP($X25,Data_Support[NS],Data_Support[SP1]),"")</f>
        <v>0</v>
      </c>
      <c r="AB25" s="66">
        <f>IFERROR(_xlfn.XLOOKUP($X25,Data_Support[NS],Data_Support[SP3]),"")</f>
        <v>0</v>
      </c>
      <c r="AC25" s="66">
        <f>IFERROR(_xlfn.XLOOKUP($X25,Data_Support[NS],Data_Support[SP4]),"")</f>
        <v>0</v>
      </c>
      <c r="AD25" s="66">
        <f>IFERROR(_xlfn.XLOOKUP($X25,Data_Support[NS],Data_Support[SP5]),"")</f>
        <v>0</v>
      </c>
      <c r="AE25" s="66">
        <f>IFERROR(_xlfn.XLOOKUP($X25,Data_Support[NS],Data_Support[EFs]),"")</f>
        <v>0</v>
      </c>
      <c r="AF25" s="64"/>
      <c r="AG25" s="64"/>
      <c r="AH25" s="64"/>
      <c r="AI25" s="64"/>
      <c r="AJ25" s="64"/>
      <c r="AK25" s="64"/>
      <c r="AL25" s="64"/>
      <c r="AM25" s="64"/>
      <c r="AN25" s="64"/>
      <c r="AO25" s="64"/>
      <c r="AP25" s="64"/>
      <c r="AQ25" s="64"/>
    </row>
    <row r="26" spans="1:43" s="8" customFormat="1" ht="22.2" customHeight="1">
      <c r="A26" s="83"/>
      <c r="B26" s="15"/>
      <c r="C26" s="13"/>
      <c r="D26" s="43"/>
      <c r="E26" s="112"/>
      <c r="F26" s="117"/>
      <c r="G26" s="118"/>
      <c r="H26" s="118"/>
      <c r="I26" s="118"/>
      <c r="J26" s="118"/>
      <c r="K26" s="119"/>
      <c r="L26" s="117"/>
      <c r="M26" s="118"/>
      <c r="N26" s="118"/>
      <c r="O26" s="118"/>
      <c r="P26" s="118"/>
      <c r="Q26" s="119"/>
      <c r="R26" s="117"/>
      <c r="S26" s="118"/>
      <c r="T26" s="118"/>
      <c r="U26" s="118"/>
      <c r="V26" s="118"/>
      <c r="W26" s="119"/>
      <c r="X26" s="91" t="str">
        <f>IF(B26="","",_xlfn.XLOOKUP(B26,Table9[NS name],Table9[Value]))</f>
        <v/>
      </c>
      <c r="Y26" s="127"/>
      <c r="Z26" s="66">
        <f>IFERROR(_xlfn.XLOOKUP($X26,Data_Support[NS],Data_Support[SP2]),"")</f>
        <v>0</v>
      </c>
      <c r="AA26" s="66">
        <f>IFERROR(_xlfn.XLOOKUP($X26,Data_Support[NS],Data_Support[SP1]),"")</f>
        <v>0</v>
      </c>
      <c r="AB26" s="66">
        <f>IFERROR(_xlfn.XLOOKUP($X26,Data_Support[NS],Data_Support[SP3]),"")</f>
        <v>0</v>
      </c>
      <c r="AC26" s="66">
        <f>IFERROR(_xlfn.XLOOKUP($X26,Data_Support[NS],Data_Support[SP4]),"")</f>
        <v>0</v>
      </c>
      <c r="AD26" s="66">
        <f>IFERROR(_xlfn.XLOOKUP($X26,Data_Support[NS],Data_Support[SP5]),"")</f>
        <v>0</v>
      </c>
      <c r="AE26" s="66">
        <f>IFERROR(_xlfn.XLOOKUP($X26,Data_Support[NS],Data_Support[EFs]),"")</f>
        <v>0</v>
      </c>
      <c r="AF26" s="64"/>
      <c r="AG26" s="64"/>
      <c r="AH26" s="64"/>
      <c r="AI26" s="64"/>
      <c r="AJ26" s="64"/>
      <c r="AK26" s="64"/>
      <c r="AL26" s="64"/>
      <c r="AM26" s="64"/>
      <c r="AN26" s="64"/>
      <c r="AO26" s="64"/>
      <c r="AP26" s="64"/>
      <c r="AQ26" s="64"/>
    </row>
    <row r="27" spans="1:43" s="8" customFormat="1" ht="22.2" customHeight="1">
      <c r="A27" s="83"/>
      <c r="B27" s="15"/>
      <c r="C27" s="13"/>
      <c r="D27" s="43"/>
      <c r="E27" s="112"/>
      <c r="F27" s="117"/>
      <c r="G27" s="118"/>
      <c r="H27" s="118"/>
      <c r="I27" s="118"/>
      <c r="J27" s="118"/>
      <c r="K27" s="119"/>
      <c r="L27" s="117"/>
      <c r="M27" s="118"/>
      <c r="N27" s="118"/>
      <c r="O27" s="118"/>
      <c r="P27" s="118"/>
      <c r="Q27" s="119"/>
      <c r="R27" s="117"/>
      <c r="S27" s="118"/>
      <c r="T27" s="118"/>
      <c r="U27" s="118"/>
      <c r="V27" s="118"/>
      <c r="W27" s="119"/>
      <c r="X27" s="91" t="str">
        <f>IF(B27="","",_xlfn.XLOOKUP(B27,Table9[NS name],Table9[Value]))</f>
        <v/>
      </c>
      <c r="Y27" s="127"/>
      <c r="Z27" s="66">
        <f>IFERROR(_xlfn.XLOOKUP($X27,Data_Support[NS],Data_Support[SP2]),"")</f>
        <v>0</v>
      </c>
      <c r="AA27" s="66">
        <f>IFERROR(_xlfn.XLOOKUP($X27,Data_Support[NS],Data_Support[SP1]),"")</f>
        <v>0</v>
      </c>
      <c r="AB27" s="66">
        <f>IFERROR(_xlfn.XLOOKUP($X27,Data_Support[NS],Data_Support[SP3]),"")</f>
        <v>0</v>
      </c>
      <c r="AC27" s="66">
        <f>IFERROR(_xlfn.XLOOKUP($X27,Data_Support[NS],Data_Support[SP4]),"")</f>
        <v>0</v>
      </c>
      <c r="AD27" s="66">
        <f>IFERROR(_xlfn.XLOOKUP($X27,Data_Support[NS],Data_Support[SP5]),"")</f>
        <v>0</v>
      </c>
      <c r="AE27" s="66">
        <f>IFERROR(_xlfn.XLOOKUP($X27,Data_Support[NS],Data_Support[EFs]),"")</f>
        <v>0</v>
      </c>
      <c r="AF27" s="64"/>
      <c r="AG27" s="64"/>
      <c r="AH27" s="64"/>
      <c r="AI27" s="64"/>
      <c r="AJ27" s="64"/>
      <c r="AK27" s="64"/>
      <c r="AL27" s="64"/>
      <c r="AM27" s="64"/>
      <c r="AN27" s="64"/>
      <c r="AO27" s="64"/>
      <c r="AP27" s="64"/>
      <c r="AQ27" s="64"/>
    </row>
    <row r="28" spans="1:43" s="8" customFormat="1" ht="22.2" customHeight="1">
      <c r="A28" s="83"/>
      <c r="B28" s="15"/>
      <c r="C28" s="13"/>
      <c r="D28" s="43"/>
      <c r="E28" s="112"/>
      <c r="F28" s="117"/>
      <c r="G28" s="118"/>
      <c r="H28" s="118"/>
      <c r="I28" s="118"/>
      <c r="J28" s="118"/>
      <c r="K28" s="119"/>
      <c r="L28" s="117"/>
      <c r="M28" s="118"/>
      <c r="N28" s="118"/>
      <c r="O28" s="118"/>
      <c r="P28" s="118"/>
      <c r="Q28" s="119"/>
      <c r="R28" s="117"/>
      <c r="S28" s="118"/>
      <c r="T28" s="118"/>
      <c r="U28" s="118"/>
      <c r="V28" s="118"/>
      <c r="W28" s="119"/>
      <c r="X28" s="91" t="str">
        <f>IF(B28="","",_xlfn.XLOOKUP(B28,Table9[NS name],Table9[Value]))</f>
        <v/>
      </c>
      <c r="Y28" s="127"/>
      <c r="Z28" s="66">
        <f>IFERROR(_xlfn.XLOOKUP($X28,Data_Support[NS],Data_Support[SP2]),"")</f>
        <v>0</v>
      </c>
      <c r="AA28" s="66">
        <f>IFERROR(_xlfn.XLOOKUP($X28,Data_Support[NS],Data_Support[SP1]),"")</f>
        <v>0</v>
      </c>
      <c r="AB28" s="66">
        <f>IFERROR(_xlfn.XLOOKUP($X28,Data_Support[NS],Data_Support[SP3]),"")</f>
        <v>0</v>
      </c>
      <c r="AC28" s="66">
        <f>IFERROR(_xlfn.XLOOKUP($X28,Data_Support[NS],Data_Support[SP4]),"")</f>
        <v>0</v>
      </c>
      <c r="AD28" s="66">
        <f>IFERROR(_xlfn.XLOOKUP($X28,Data_Support[NS],Data_Support[SP5]),"")</f>
        <v>0</v>
      </c>
      <c r="AE28" s="66">
        <f>IFERROR(_xlfn.XLOOKUP($X28,Data_Support[NS],Data_Support[EFs]),"")</f>
        <v>0</v>
      </c>
      <c r="AF28" s="64"/>
      <c r="AG28" s="64"/>
      <c r="AH28" s="64"/>
      <c r="AI28" s="64"/>
      <c r="AJ28" s="64"/>
      <c r="AK28" s="64"/>
      <c r="AL28" s="64"/>
      <c r="AM28" s="64"/>
      <c r="AN28" s="64"/>
      <c r="AO28" s="64"/>
      <c r="AP28" s="64"/>
      <c r="AQ28" s="64"/>
    </row>
    <row r="29" spans="1:43" s="8" customFormat="1" ht="22.2" customHeight="1">
      <c r="A29" s="83"/>
      <c r="B29" s="15"/>
      <c r="C29" s="13"/>
      <c r="D29" s="43"/>
      <c r="E29" s="112"/>
      <c r="F29" s="117"/>
      <c r="G29" s="118"/>
      <c r="H29" s="118"/>
      <c r="I29" s="118"/>
      <c r="J29" s="118"/>
      <c r="K29" s="119"/>
      <c r="L29" s="117"/>
      <c r="M29" s="118"/>
      <c r="N29" s="118"/>
      <c r="O29" s="118"/>
      <c r="P29" s="118"/>
      <c r="Q29" s="119"/>
      <c r="R29" s="117"/>
      <c r="S29" s="118"/>
      <c r="T29" s="118"/>
      <c r="U29" s="118"/>
      <c r="V29" s="118"/>
      <c r="W29" s="119"/>
      <c r="X29" s="91" t="str">
        <f>IF(B29="","",_xlfn.XLOOKUP(B29,Table9[NS name],Table9[Value]))</f>
        <v/>
      </c>
      <c r="Y29" s="127"/>
      <c r="Z29" s="66">
        <f>IFERROR(_xlfn.XLOOKUP($X29,Data_Support[NS],Data_Support[SP2]),"")</f>
        <v>0</v>
      </c>
      <c r="AA29" s="66">
        <f>IFERROR(_xlfn.XLOOKUP($X29,Data_Support[NS],Data_Support[SP1]),"")</f>
        <v>0</v>
      </c>
      <c r="AB29" s="66">
        <f>IFERROR(_xlfn.XLOOKUP($X29,Data_Support[NS],Data_Support[SP3]),"")</f>
        <v>0</v>
      </c>
      <c r="AC29" s="66">
        <f>IFERROR(_xlfn.XLOOKUP($X29,Data_Support[NS],Data_Support[SP4]),"")</f>
        <v>0</v>
      </c>
      <c r="AD29" s="66">
        <f>IFERROR(_xlfn.XLOOKUP($X29,Data_Support[NS],Data_Support[SP5]),"")</f>
        <v>0</v>
      </c>
      <c r="AE29" s="66">
        <f>IFERROR(_xlfn.XLOOKUP($X29,Data_Support[NS],Data_Support[EFs]),"")</f>
        <v>0</v>
      </c>
      <c r="AF29" s="64"/>
      <c r="AG29" s="64"/>
      <c r="AH29" s="64"/>
      <c r="AI29" s="64"/>
      <c r="AJ29" s="64"/>
      <c r="AK29" s="64"/>
      <c r="AL29" s="64"/>
      <c r="AM29" s="64"/>
      <c r="AN29" s="64"/>
      <c r="AO29" s="64"/>
      <c r="AP29" s="64"/>
      <c r="AQ29" s="64"/>
    </row>
    <row r="30" spans="1:43" s="8" customFormat="1" ht="22.2" customHeight="1">
      <c r="A30" s="83"/>
      <c r="B30" s="15"/>
      <c r="C30" s="13"/>
      <c r="D30" s="43"/>
      <c r="E30" s="112"/>
      <c r="F30" s="117"/>
      <c r="G30" s="118"/>
      <c r="H30" s="118"/>
      <c r="I30" s="118"/>
      <c r="J30" s="118"/>
      <c r="K30" s="119"/>
      <c r="L30" s="117"/>
      <c r="M30" s="118"/>
      <c r="N30" s="118"/>
      <c r="O30" s="118"/>
      <c r="P30" s="118"/>
      <c r="Q30" s="119"/>
      <c r="R30" s="117"/>
      <c r="S30" s="118"/>
      <c r="T30" s="118"/>
      <c r="U30" s="118"/>
      <c r="V30" s="118"/>
      <c r="W30" s="119"/>
      <c r="X30" s="91" t="str">
        <f>IF(B30="","",_xlfn.XLOOKUP(B30,Table9[NS name],Table9[Value]))</f>
        <v/>
      </c>
      <c r="Y30" s="127"/>
      <c r="Z30" s="66">
        <f>IFERROR(_xlfn.XLOOKUP($X30,Data_Support[NS],Data_Support[SP2]),"")</f>
        <v>0</v>
      </c>
      <c r="AA30" s="66">
        <f>IFERROR(_xlfn.XLOOKUP($X30,Data_Support[NS],Data_Support[SP1]),"")</f>
        <v>0</v>
      </c>
      <c r="AB30" s="66">
        <f>IFERROR(_xlfn.XLOOKUP($X30,Data_Support[NS],Data_Support[SP3]),"")</f>
        <v>0</v>
      </c>
      <c r="AC30" s="66">
        <f>IFERROR(_xlfn.XLOOKUP($X30,Data_Support[NS],Data_Support[SP4]),"")</f>
        <v>0</v>
      </c>
      <c r="AD30" s="66">
        <f>IFERROR(_xlfn.XLOOKUP($X30,Data_Support[NS],Data_Support[SP5]),"")</f>
        <v>0</v>
      </c>
      <c r="AE30" s="66">
        <f>IFERROR(_xlfn.XLOOKUP($X30,Data_Support[NS],Data_Support[EFs]),"")</f>
        <v>0</v>
      </c>
      <c r="AF30" s="64"/>
      <c r="AG30" s="64"/>
      <c r="AH30" s="64"/>
      <c r="AI30" s="64"/>
      <c r="AJ30" s="64"/>
      <c r="AK30" s="64"/>
      <c r="AL30" s="64"/>
      <c r="AM30" s="64"/>
      <c r="AN30" s="64"/>
      <c r="AO30" s="64"/>
      <c r="AP30" s="64"/>
      <c r="AQ30" s="64"/>
    </row>
    <row r="31" spans="1:43" s="8" customFormat="1" ht="22.2" customHeight="1">
      <c r="A31" s="83"/>
      <c r="B31" s="15"/>
      <c r="C31" s="13"/>
      <c r="D31" s="43"/>
      <c r="E31" s="112"/>
      <c r="F31" s="117"/>
      <c r="G31" s="118"/>
      <c r="H31" s="118"/>
      <c r="I31" s="118"/>
      <c r="J31" s="118"/>
      <c r="K31" s="119"/>
      <c r="L31" s="117"/>
      <c r="M31" s="118"/>
      <c r="N31" s="118"/>
      <c r="O31" s="118"/>
      <c r="P31" s="118"/>
      <c r="Q31" s="119"/>
      <c r="R31" s="117"/>
      <c r="S31" s="118"/>
      <c r="T31" s="118"/>
      <c r="U31" s="118"/>
      <c r="V31" s="118"/>
      <c r="W31" s="119"/>
      <c r="X31" s="91" t="str">
        <f>IF(B31="","",_xlfn.XLOOKUP(B31,Table9[NS name],Table9[Value]))</f>
        <v/>
      </c>
      <c r="Y31" s="127"/>
      <c r="Z31" s="66">
        <f>IFERROR(_xlfn.XLOOKUP($X31,Data_Support[NS],Data_Support[SP2]),"")</f>
        <v>0</v>
      </c>
      <c r="AA31" s="66">
        <f>IFERROR(_xlfn.XLOOKUP($X31,Data_Support[NS],Data_Support[SP1]),"")</f>
        <v>0</v>
      </c>
      <c r="AB31" s="66">
        <f>IFERROR(_xlfn.XLOOKUP($X31,Data_Support[NS],Data_Support[SP3]),"")</f>
        <v>0</v>
      </c>
      <c r="AC31" s="66">
        <f>IFERROR(_xlfn.XLOOKUP($X31,Data_Support[NS],Data_Support[SP4]),"")</f>
        <v>0</v>
      </c>
      <c r="AD31" s="66">
        <f>IFERROR(_xlfn.XLOOKUP($X31,Data_Support[NS],Data_Support[SP5]),"")</f>
        <v>0</v>
      </c>
      <c r="AE31" s="66">
        <f>IFERROR(_xlfn.XLOOKUP($X31,Data_Support[NS],Data_Support[EFs]),"")</f>
        <v>0</v>
      </c>
      <c r="AF31" s="64"/>
      <c r="AG31" s="64"/>
      <c r="AH31" s="64"/>
      <c r="AI31" s="64"/>
      <c r="AJ31" s="64"/>
      <c r="AK31" s="64"/>
      <c r="AL31" s="64"/>
      <c r="AM31" s="64"/>
      <c r="AN31" s="64"/>
      <c r="AO31" s="64"/>
      <c r="AP31" s="64"/>
      <c r="AQ31" s="64"/>
    </row>
    <row r="32" spans="1:43" s="8" customFormat="1" ht="22.2" customHeight="1">
      <c r="A32" s="83"/>
      <c r="B32" s="15"/>
      <c r="C32" s="13"/>
      <c r="D32" s="43"/>
      <c r="E32" s="112"/>
      <c r="F32" s="117"/>
      <c r="G32" s="118"/>
      <c r="H32" s="118"/>
      <c r="I32" s="118"/>
      <c r="J32" s="118"/>
      <c r="K32" s="119"/>
      <c r="L32" s="117"/>
      <c r="M32" s="118"/>
      <c r="N32" s="118"/>
      <c r="O32" s="118"/>
      <c r="P32" s="118"/>
      <c r="Q32" s="119"/>
      <c r="R32" s="117"/>
      <c r="S32" s="118"/>
      <c r="T32" s="118"/>
      <c r="U32" s="118"/>
      <c r="V32" s="118"/>
      <c r="W32" s="119"/>
      <c r="X32" s="91" t="str">
        <f>IF(B32="","",_xlfn.XLOOKUP(B32,Table9[NS name],Table9[Value]))</f>
        <v/>
      </c>
      <c r="Y32" s="127"/>
      <c r="Z32" s="66">
        <f>IFERROR(_xlfn.XLOOKUP($X32,Data_Support[NS],Data_Support[SP2]),"")</f>
        <v>0</v>
      </c>
      <c r="AA32" s="66">
        <f>IFERROR(_xlfn.XLOOKUP($X32,Data_Support[NS],Data_Support[SP1]),"")</f>
        <v>0</v>
      </c>
      <c r="AB32" s="66">
        <f>IFERROR(_xlfn.XLOOKUP($X32,Data_Support[NS],Data_Support[SP3]),"")</f>
        <v>0</v>
      </c>
      <c r="AC32" s="66">
        <f>IFERROR(_xlfn.XLOOKUP($X32,Data_Support[NS],Data_Support[SP4]),"")</f>
        <v>0</v>
      </c>
      <c r="AD32" s="66">
        <f>IFERROR(_xlfn.XLOOKUP($X32,Data_Support[NS],Data_Support[SP5]),"")</f>
        <v>0</v>
      </c>
      <c r="AE32" s="66">
        <f>IFERROR(_xlfn.XLOOKUP($X32,Data_Support[NS],Data_Support[EFs]),"")</f>
        <v>0</v>
      </c>
      <c r="AF32" s="64"/>
      <c r="AG32" s="64"/>
      <c r="AH32" s="64"/>
      <c r="AI32" s="64"/>
      <c r="AJ32" s="64"/>
      <c r="AK32" s="64"/>
      <c r="AL32" s="64"/>
      <c r="AM32" s="64"/>
      <c r="AN32" s="64"/>
      <c r="AO32" s="64"/>
      <c r="AP32" s="64"/>
      <c r="AQ32" s="64"/>
    </row>
    <row r="33" spans="1:43" s="8" customFormat="1" ht="22.2" customHeight="1" thickBot="1">
      <c r="A33" s="83"/>
      <c r="B33" s="15"/>
      <c r="C33" s="14"/>
      <c r="D33" s="44"/>
      <c r="E33" s="113"/>
      <c r="F33" s="117"/>
      <c r="G33" s="118"/>
      <c r="H33" s="118"/>
      <c r="I33" s="118"/>
      <c r="J33" s="118"/>
      <c r="K33" s="119"/>
      <c r="L33" s="117"/>
      <c r="M33" s="118"/>
      <c r="N33" s="118"/>
      <c r="O33" s="118"/>
      <c r="P33" s="118"/>
      <c r="Q33" s="119"/>
      <c r="R33" s="117"/>
      <c r="S33" s="118"/>
      <c r="T33" s="118"/>
      <c r="U33" s="118"/>
      <c r="V33" s="118"/>
      <c r="W33" s="119"/>
      <c r="X33" s="91" t="str">
        <f>IF(B33="","",_xlfn.XLOOKUP(B33,Table9[NS name],Table9[Value]))</f>
        <v/>
      </c>
      <c r="Y33" s="127"/>
      <c r="Z33" s="66">
        <f>IFERROR(_xlfn.XLOOKUP($X33,Data_Support[NS],Data_Support[SP2]),"")</f>
        <v>0</v>
      </c>
      <c r="AA33" s="66">
        <f>IFERROR(_xlfn.XLOOKUP($X33,Data_Support[NS],Data_Support[SP1]),"")</f>
        <v>0</v>
      </c>
      <c r="AB33" s="66">
        <f>IFERROR(_xlfn.XLOOKUP($X33,Data_Support[NS],Data_Support[SP3]),"")</f>
        <v>0</v>
      </c>
      <c r="AC33" s="66">
        <f>IFERROR(_xlfn.XLOOKUP($X33,Data_Support[NS],Data_Support[SP4]),"")</f>
        <v>0</v>
      </c>
      <c r="AD33" s="66">
        <f>IFERROR(_xlfn.XLOOKUP($X33,Data_Support[NS],Data_Support[SP5]),"")</f>
        <v>0</v>
      </c>
      <c r="AE33" s="66">
        <f>IFERROR(_xlfn.XLOOKUP($X33,Data_Support[NS],Data_Support[EFs]),"")</f>
        <v>0</v>
      </c>
      <c r="AF33" s="64"/>
      <c r="AG33" s="64"/>
      <c r="AH33" s="64"/>
      <c r="AI33" s="64"/>
      <c r="AJ33" s="64"/>
      <c r="AK33" s="64"/>
      <c r="AL33" s="64"/>
      <c r="AM33" s="64"/>
      <c r="AN33" s="64"/>
      <c r="AO33" s="64"/>
      <c r="AP33" s="64"/>
      <c r="AQ33" s="64"/>
    </row>
    <row r="34" spans="1:43" ht="16.9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c r="Y34" s="83"/>
    </row>
  </sheetData>
  <sheetProtection algorithmName="SHA-512" hashValue="i+qbFflZlBtt2gGK1vpcZ3gs//cvzEB/x76Dvmv83rQZVE6WpEfbwXyRLjFp+TlPQB4mJT1Gk0LycEqf1vQmVw==" saltValue="VWaDA1q9kZNyWnFeinq64Q==" spinCount="100000" sheet="1" objects="1" scenarios="1"/>
  <mergeCells count="13">
    <mergeCell ref="A1:W1"/>
    <mergeCell ref="F5:K5"/>
    <mergeCell ref="B3:J3"/>
    <mergeCell ref="C5:E5"/>
    <mergeCell ref="L5:Q5"/>
    <mergeCell ref="B2:I2"/>
    <mergeCell ref="K3:W3"/>
    <mergeCell ref="R5:W5"/>
    <mergeCell ref="R4:W4"/>
    <mergeCell ref="J2:Q2"/>
    <mergeCell ref="F4:K4"/>
    <mergeCell ref="L4:Q4"/>
    <mergeCell ref="R2:X2"/>
  </mergeCells>
  <conditionalFormatting sqref="A1">
    <cfRule type="expression" dxfId="8" priority="1">
      <formula>Data_Country=""</formula>
    </cfRule>
  </conditionalFormatting>
  <conditionalFormatting sqref="B10:B33">
    <cfRule type="expression" dxfId="7" priority="39">
      <formula>B10=""</formula>
    </cfRule>
  </conditionalFormatting>
  <conditionalFormatting sqref="C8:C33">
    <cfRule type="expression" dxfId="6" priority="21">
      <formula>OR(B8="", Data_MDR1 = "", Data_EA1 = "")</formula>
    </cfRule>
  </conditionalFormatting>
  <conditionalFormatting sqref="D8:D33">
    <cfRule type="expression" dxfId="5" priority="5">
      <formula>OR(B8="", Data_MDR2 = "", Data_EA2 = "")</formula>
    </cfRule>
  </conditionalFormatting>
  <conditionalFormatting sqref="E8:E33">
    <cfRule type="expression" dxfId="4" priority="20">
      <formula>OR(B8="", Data_MDR3 = "", Data_EA3 = "")</formula>
    </cfRule>
  </conditionalFormatting>
  <conditionalFormatting sqref="F10:K33">
    <cfRule type="expression" dxfId="3" priority="24">
      <formula>Z10&lt;&gt;"X"</formula>
    </cfRule>
  </conditionalFormatting>
  <conditionalFormatting sqref="L10:Q33">
    <cfRule type="expression" dxfId="2" priority="23">
      <formula>Z10&lt;&gt;"X"</formula>
    </cfRule>
  </conditionalFormatting>
  <conditionalFormatting sqref="R2">
    <cfRule type="cellIs" dxfId="1" priority="3" operator="equal">
      <formula>"Select a country in the Start page"</formula>
    </cfRule>
  </conditionalFormatting>
  <conditionalFormatting sqref="R10:W33">
    <cfRule type="expression" dxfId="0" priority="41">
      <formula>Z10&lt;&gt;"X"</formula>
    </cfRule>
  </conditionalFormatting>
  <dataValidations count="1">
    <dataValidation type="decimal" operator="greaterThan" allowBlank="1" showErrorMessage="1" error="Only numeric values allowed, you can use the comments collumn to add any comments" sqref="C8:W33" xr:uid="{00000000-0002-0000-0400-000000000000}">
      <formula1>0</formula1>
    </dataValidation>
  </dataValidations>
  <pageMargins left="0.7" right="0.7" top="0.75" bottom="0.75" header="0.3" footer="0.3"/>
  <pageSetup orientation="portrait" horizontalDpi="1200" verticalDpi="1200"/>
  <headerFooter>
    <oddFooter>&amp;L&amp;"Calibri"&amp;10 &amp;K000000#Internal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N12"/>
  <sheetViews>
    <sheetView workbookViewId="0">
      <selection activeCell="B4" sqref="B4:M11"/>
    </sheetView>
  </sheetViews>
  <sheetFormatPr defaultColWidth="0" defaultRowHeight="14.4" zeroHeight="1"/>
  <cols>
    <col min="1" max="14" width="8.88671875" customWidth="1"/>
    <col min="15" max="15" width="8.88671875" hidden="1" customWidth="1"/>
    <col min="16" max="16384" width="8.88671875" hidden="1"/>
  </cols>
  <sheetData>
    <row r="1" spans="1:14">
      <c r="A1" s="77"/>
      <c r="B1" s="77"/>
      <c r="C1" s="77"/>
      <c r="D1" s="77"/>
      <c r="E1" s="77"/>
      <c r="F1" s="77"/>
      <c r="G1" s="77"/>
      <c r="H1" s="77"/>
      <c r="I1" s="77"/>
      <c r="J1" s="77"/>
      <c r="K1" s="77"/>
      <c r="L1" s="77"/>
      <c r="M1" s="77"/>
      <c r="N1" s="77"/>
    </row>
    <row r="2" spans="1:14" ht="23.55" customHeight="1">
      <c r="A2" s="77"/>
      <c r="B2" s="77"/>
      <c r="C2" s="77"/>
      <c r="D2" s="77"/>
      <c r="E2" s="77"/>
      <c r="F2" s="77"/>
      <c r="G2" s="78" t="str">
        <f>TR("T36")</f>
        <v>Comments</v>
      </c>
      <c r="H2" s="77"/>
      <c r="I2" s="77"/>
      <c r="J2" s="77"/>
      <c r="K2" s="77"/>
      <c r="L2" s="77"/>
      <c r="M2" s="77"/>
      <c r="N2" s="77"/>
    </row>
    <row r="3" spans="1:14">
      <c r="A3" s="77"/>
      <c r="B3" s="77"/>
      <c r="C3" s="77"/>
      <c r="D3" s="77"/>
      <c r="E3" s="77"/>
      <c r="F3" s="77"/>
      <c r="G3" s="77"/>
      <c r="H3" s="77"/>
      <c r="I3" s="77"/>
      <c r="J3" s="77"/>
      <c r="K3" s="77"/>
      <c r="L3" s="77"/>
      <c r="M3" s="77"/>
      <c r="N3" s="77"/>
    </row>
    <row r="4" spans="1:14" ht="32.4" customHeight="1">
      <c r="A4" s="77"/>
      <c r="B4" s="195"/>
      <c r="C4" s="196"/>
      <c r="D4" s="196"/>
      <c r="E4" s="196"/>
      <c r="F4" s="196"/>
      <c r="G4" s="196"/>
      <c r="H4" s="196"/>
      <c r="I4" s="196"/>
      <c r="J4" s="196"/>
      <c r="K4" s="196"/>
      <c r="L4" s="196"/>
      <c r="M4" s="196"/>
      <c r="N4" s="77"/>
    </row>
    <row r="5" spans="1:14" ht="32.4" customHeight="1">
      <c r="A5" s="77"/>
      <c r="B5" s="196"/>
      <c r="C5" s="196"/>
      <c r="D5" s="196"/>
      <c r="E5" s="196"/>
      <c r="F5" s="196"/>
      <c r="G5" s="196"/>
      <c r="H5" s="196"/>
      <c r="I5" s="196"/>
      <c r="J5" s="196"/>
      <c r="K5" s="196"/>
      <c r="L5" s="196"/>
      <c r="M5" s="196"/>
      <c r="N5" s="77"/>
    </row>
    <row r="6" spans="1:14" ht="32.4" customHeight="1">
      <c r="A6" s="77"/>
      <c r="B6" s="196"/>
      <c r="C6" s="196"/>
      <c r="D6" s="196"/>
      <c r="E6" s="196"/>
      <c r="F6" s="196"/>
      <c r="G6" s="196"/>
      <c r="H6" s="196"/>
      <c r="I6" s="196"/>
      <c r="J6" s="196"/>
      <c r="K6" s="196"/>
      <c r="L6" s="196"/>
      <c r="M6" s="196"/>
      <c r="N6" s="77"/>
    </row>
    <row r="7" spans="1:14" ht="32.4" customHeight="1">
      <c r="A7" s="77"/>
      <c r="B7" s="196"/>
      <c r="C7" s="196"/>
      <c r="D7" s="196"/>
      <c r="E7" s="196"/>
      <c r="F7" s="196"/>
      <c r="G7" s="196"/>
      <c r="H7" s="196"/>
      <c r="I7" s="196"/>
      <c r="J7" s="196"/>
      <c r="K7" s="196"/>
      <c r="L7" s="196"/>
      <c r="M7" s="196"/>
      <c r="N7" s="77"/>
    </row>
    <row r="8" spans="1:14" ht="32.4" customHeight="1">
      <c r="A8" s="77"/>
      <c r="B8" s="196"/>
      <c r="C8" s="196"/>
      <c r="D8" s="196"/>
      <c r="E8" s="196"/>
      <c r="F8" s="196"/>
      <c r="G8" s="196"/>
      <c r="H8" s="196"/>
      <c r="I8" s="196"/>
      <c r="J8" s="196"/>
      <c r="K8" s="196"/>
      <c r="L8" s="196"/>
      <c r="M8" s="196"/>
      <c r="N8" s="77"/>
    </row>
    <row r="9" spans="1:14" ht="32.4" customHeight="1">
      <c r="A9" s="77"/>
      <c r="B9" s="196"/>
      <c r="C9" s="196"/>
      <c r="D9" s="196"/>
      <c r="E9" s="196"/>
      <c r="F9" s="196"/>
      <c r="G9" s="196"/>
      <c r="H9" s="196"/>
      <c r="I9" s="196"/>
      <c r="J9" s="196"/>
      <c r="K9" s="196"/>
      <c r="L9" s="196"/>
      <c r="M9" s="196"/>
      <c r="N9" s="77"/>
    </row>
    <row r="10" spans="1:14" ht="32.4" customHeight="1">
      <c r="A10" s="77"/>
      <c r="B10" s="196"/>
      <c r="C10" s="196"/>
      <c r="D10" s="196"/>
      <c r="E10" s="196"/>
      <c r="F10" s="196"/>
      <c r="G10" s="196"/>
      <c r="H10" s="196"/>
      <c r="I10" s="196"/>
      <c r="J10" s="196"/>
      <c r="K10" s="196"/>
      <c r="L10" s="196"/>
      <c r="M10" s="196"/>
      <c r="N10" s="77"/>
    </row>
    <row r="11" spans="1:14" ht="32.4" customHeight="1">
      <c r="A11" s="77"/>
      <c r="B11" s="196"/>
      <c r="C11" s="196"/>
      <c r="D11" s="196"/>
      <c r="E11" s="196"/>
      <c r="F11" s="196"/>
      <c r="G11" s="196"/>
      <c r="H11" s="196"/>
      <c r="I11" s="196"/>
      <c r="J11" s="196"/>
      <c r="K11" s="196"/>
      <c r="L11" s="196"/>
      <c r="M11" s="196"/>
      <c r="N11" s="77"/>
    </row>
    <row r="12" spans="1:14">
      <c r="A12" s="77"/>
      <c r="B12" s="77"/>
      <c r="C12" s="77"/>
      <c r="D12" s="77"/>
      <c r="E12" s="77"/>
      <c r="F12" s="77"/>
      <c r="G12" s="77"/>
      <c r="H12" s="77"/>
      <c r="I12" s="77"/>
      <c r="J12" s="77"/>
      <c r="K12" s="77"/>
      <c r="L12" s="77"/>
      <c r="M12" s="77"/>
      <c r="N12" s="77"/>
    </row>
  </sheetData>
  <sheetProtection algorithmName="SHA-512" hashValue="0jp2yZlub+66m4CvmuRBd3A8WJ6udwV1AYhDlBQWbhOTvKQ3gfLAIgwKwp9J3csFwsH3ueiZiNRgt7xDCiVn4Q==" saltValue="LjU2mVmMPScX5HuMkwCUAg==" spinCount="100000" sheet="1" selectLockedCells="1"/>
  <mergeCells count="1">
    <mergeCell ref="B4:M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ummary xmlns="67bd97f6-f5f5-4f29-8f0d-e757ed3ec3ad" xsi:nil="true"/>
    <lcf76f155ced4ddcb4097134ff3c332f xmlns="67bd97f6-f5f5-4f29-8f0d-e757ed3ec3ad">
      <Terms xmlns="http://schemas.microsoft.com/office/infopath/2007/PartnerControls"/>
    </lcf76f155ced4ddcb4097134ff3c332f>
    <TaxCatchAll xmlns="ffb314bc-7b2d-45ce-a517-7d370eafd82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90A46C601EF784FB4DBF90453A8B30A" ma:contentTypeVersion="20" ma:contentTypeDescription="Create a new document." ma:contentTypeScope="" ma:versionID="04ae43cd61c236257f41580e830362ba">
  <xsd:schema xmlns:xsd="http://www.w3.org/2001/XMLSchema" xmlns:xs="http://www.w3.org/2001/XMLSchema" xmlns:p="http://schemas.microsoft.com/office/2006/metadata/properties" xmlns:ns2="67bd97f6-f5f5-4f29-8f0d-e757ed3ec3ad" xmlns:ns3="ffb314bc-7b2d-45ce-a517-7d370eafd82d" targetNamespace="http://schemas.microsoft.com/office/2006/metadata/properties" ma:root="true" ma:fieldsID="203b84fffd410675164ba71041c58b17" ns2:_="" ns3:_="">
    <xsd:import namespace="67bd97f6-f5f5-4f29-8f0d-e757ed3ec3ad"/>
    <xsd:import namespace="ffb314bc-7b2d-45ce-a517-7d370eafd82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Summar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bd97f6-f5f5-4f29-8f0d-e757ed3ec3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14f832c-f6f1-485d-8901-6765a4832c5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Summary" ma:index="25" nillable="true" ma:displayName="Summary" ma:description="Summary of document content" ma:format="Dropdown" ma:internalName="Summary">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b314bc-7b2d-45ce-a517-7d370eafd82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bd8c229-fb44-4a46-a07d-edf5d86c7a44}" ma:internalName="TaxCatchAll" ma:showField="CatchAllData" ma:web="ffb314bc-7b2d-45ce-a517-7d370eafd8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974020-0709-451F-86D8-75178B10225A}">
  <ds:schemaRefs>
    <ds:schemaRef ds:uri="http://schemas.microsoft.com/office/2006/metadata/properties"/>
    <ds:schemaRef ds:uri="http://schemas.microsoft.com/office/infopath/2007/PartnerControls"/>
    <ds:schemaRef ds:uri="67bd97f6-f5f5-4f29-8f0d-e757ed3ec3ad"/>
    <ds:schemaRef ds:uri="ffb314bc-7b2d-45ce-a517-7d370eafd82d"/>
  </ds:schemaRefs>
</ds:datastoreItem>
</file>

<file path=customXml/itemProps2.xml><?xml version="1.0" encoding="utf-8"?>
<ds:datastoreItem xmlns:ds="http://schemas.openxmlformats.org/officeDocument/2006/customXml" ds:itemID="{93546986-0F44-4D26-A7D5-F825D59541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bd97f6-f5f5-4f29-8f0d-e757ed3ec3ad"/>
    <ds:schemaRef ds:uri="ffb314bc-7b2d-45ce-a517-7d370eafd8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46BC1E-73EA-4AAC-A11E-6C08D88137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27</vt:i4>
      </vt:variant>
    </vt:vector>
  </HeadingPairs>
  <TitlesOfParts>
    <vt:vector size="33" baseType="lpstr">
      <vt:lpstr>TemplateData</vt:lpstr>
      <vt:lpstr>Start</vt:lpstr>
      <vt:lpstr>People to be reached</vt:lpstr>
      <vt:lpstr>Planned Bilateral Support</vt:lpstr>
      <vt:lpstr>Funding requirements</vt:lpstr>
      <vt:lpstr>Comments</vt:lpstr>
      <vt:lpstr>_Column</vt:lpstr>
      <vt:lpstr>_ColumnB</vt:lpstr>
      <vt:lpstr>_Start</vt:lpstr>
      <vt:lpstr>_StartB</vt:lpstr>
      <vt:lpstr>Comment</vt:lpstr>
      <vt:lpstr>Country</vt:lpstr>
      <vt:lpstr>Data_branches</vt:lpstr>
      <vt:lpstr>Data_Country</vt:lpstr>
      <vt:lpstr>Data_EA1</vt:lpstr>
      <vt:lpstr>Data_EA2</vt:lpstr>
      <vt:lpstr>Data_EA3</vt:lpstr>
      <vt:lpstr>Data_MDR1</vt:lpstr>
      <vt:lpstr>Data_MDR2</vt:lpstr>
      <vt:lpstr>Data_MDR3</vt:lpstr>
      <vt:lpstr>Data_staff</vt:lpstr>
      <vt:lpstr>Data_units</vt:lpstr>
      <vt:lpstr>Data_vol</vt:lpstr>
      <vt:lpstr>Language</vt:lpstr>
      <vt:lpstr>NS</vt:lpstr>
      <vt:lpstr>Reach_EA1</vt:lpstr>
      <vt:lpstr>Reach_EA2</vt:lpstr>
      <vt:lpstr>Reach_EA3</vt:lpstr>
      <vt:lpstr>Region</vt:lpstr>
      <vt:lpstr>RegionAR</vt:lpstr>
      <vt:lpstr>RegionFR</vt:lpstr>
      <vt:lpstr>RegionSP</vt:lpstr>
      <vt:lpstr>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Haytham ALSOUFI</dc:creator>
  <cp:lastModifiedBy>Haytham ALSOUFI</cp:lastModifiedBy>
  <dcterms:created xsi:type="dcterms:W3CDTF">2023-03-23T13:51:34Z</dcterms:created>
  <dcterms:modified xsi:type="dcterms:W3CDTF">2026-08-17T13:33:41Z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0x010100690A46C601EF784FB4DBF90453A8B30A</vt:lpwstr>
  </property>
  <property fmtid="{D5CDD505-2E9C-101B-9397-08002B2CF9AE}" pid="3" name="MSIP_Label_6627b15a-80ec-4ef7-8353-f32e3c89bf3e_Enabled">
    <vt:lpwstr>true</vt:lpwstr>
  </property>
  <property fmtid="{D5CDD505-2E9C-101B-9397-08002B2CF9AE}" pid="4" name="MSIP_Label_6627b15a-80ec-4ef7-8353-f32e3c89bf3e_SetDate">
    <vt:lpwstr>2023-04-24T12:32:18Z</vt:lpwstr>
  </property>
  <property fmtid="{D5CDD505-2E9C-101B-9397-08002B2CF9AE}" pid="5" name="MSIP_Label_6627b15a-80ec-4ef7-8353-f32e3c89bf3e_Method">
    <vt:lpwstr>Privileged</vt:lpwstr>
  </property>
  <property fmtid="{D5CDD505-2E9C-101B-9397-08002B2CF9AE}" pid="6" name="MSIP_Label_6627b15a-80ec-4ef7-8353-f32e3c89bf3e_Name">
    <vt:lpwstr>IFRC Internal</vt:lpwstr>
  </property>
  <property fmtid="{D5CDD505-2E9C-101B-9397-08002B2CF9AE}" pid="7" name="MSIP_Label_6627b15a-80ec-4ef7-8353-f32e3c89bf3e_SiteId">
    <vt:lpwstr>a2b53be5-734e-4e6c-ab0d-d184f60fd917</vt:lpwstr>
  </property>
  <property fmtid="{D5CDD505-2E9C-101B-9397-08002B2CF9AE}" pid="8" name="MSIP_Label_6627b15a-80ec-4ef7-8353-f32e3c89bf3e_ActionId">
    <vt:lpwstr>000d27a3-f251-40cf-b8e8-405267c4cf49</vt:lpwstr>
  </property>
  <property fmtid="{D5CDD505-2E9C-101B-9397-08002B2CF9AE}" pid="9" name="MSIP_Label_6627b15a-80ec-4ef7-8353-f32e3c89bf3e_ContentBits">
    <vt:lpwstr>2</vt:lpwstr>
  </property>
  <property fmtid="{D5CDD505-2E9C-101B-9397-08002B2CF9AE}" pid="10" name="MediaServiceImageTags">
    <vt:lpwstr/>
  </property>
</Properties>
</file>