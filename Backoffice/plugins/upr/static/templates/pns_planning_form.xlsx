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https://ifrcorg.sharepoint.com/sites/THEFDRSTEAM/Shared Documents/Unified Planning and Reporting/2027 Planning/Templates/"/>
    </mc:Choice>
  </mc:AlternateContent>
  <xr:revisionPtr revIDLastSave="557" documentId="13_ncr:1_{EC23DDD1-361E-4FEE-9408-7473EC0A95AF}" xr6:coauthVersionLast="47" xr6:coauthVersionMax="47" xr10:uidLastSave="{60824221-DA01-4153-896C-0BD03FA2225E}"/>
  <bookViews>
    <workbookView xWindow="-108" yWindow="-108" windowWidth="23256" windowHeight="13896" firstSheet="2" activeTab="2" xr2:uid="{00000000-000D-0000-FFFF-FFFF00000000}"/>
  </bookViews>
  <sheets>
    <sheet name="FR data" sheetId="3" state="hidden" r:id="rId1"/>
    <sheet name="Activities data" sheetId="9" state="veryHidden" r:id="rId2"/>
    <sheet name="Funding Requirement" sheetId="7" r:id="rId3"/>
    <sheet name="PNS Staff Presence" sheetId="10" r:id="rId4"/>
  </sheets>
  <definedNames>
    <definedName name="ExternalData_1" localSheetId="1" hidden="1">'Activities data'!$A$1:$I$366</definedName>
    <definedName name="ExternalData_2" localSheetId="0" hidden="1">'FR data'!$A$1:$E$398</definedName>
    <definedName name="PNS">'FR data'!$G$4:$G$35</definedName>
    <definedName name="selected" localSheetId="2">'Funding Requirement'!$C$3</definedName>
    <definedName name="selected">#REF!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0" i="7" l="1"/>
  <c r="K10" i="7"/>
  <c r="Y12" i="7"/>
  <c r="Y13" i="7"/>
  <c r="Y14" i="7"/>
  <c r="Y15" i="7"/>
  <c r="Y16" i="7"/>
  <c r="Y17" i="7"/>
  <c r="Y18" i="7"/>
  <c r="Y19" i="7"/>
  <c r="Y20" i="7"/>
  <c r="Y21" i="7"/>
  <c r="Y22" i="7"/>
  <c r="Y23" i="7"/>
  <c r="Y24" i="7"/>
  <c r="Y25" i="7"/>
  <c r="Y26" i="7"/>
  <c r="Y27" i="7"/>
  <c r="Y28" i="7"/>
  <c r="Y29" i="7"/>
  <c r="Y30" i="7"/>
  <c r="Y31" i="7"/>
  <c r="Y32" i="7"/>
  <c r="Y33" i="7"/>
  <c r="Y34" i="7"/>
  <c r="Y35" i="7"/>
  <c r="Y36" i="7"/>
  <c r="Y37" i="7"/>
  <c r="Y38" i="7"/>
  <c r="Y39" i="7"/>
  <c r="Y40" i="7"/>
  <c r="Y41" i="7"/>
  <c r="Y42" i="7"/>
  <c r="Y43" i="7"/>
  <c r="Y44" i="7"/>
  <c r="Y45" i="7"/>
  <c r="Y46" i="7"/>
  <c r="Y47" i="7"/>
  <c r="Y48" i="7"/>
  <c r="Y49" i="7"/>
  <c r="Y50" i="7"/>
  <c r="Y51" i="7"/>
  <c r="Y52" i="7"/>
  <c r="Y53" i="7"/>
  <c r="Y54" i="7"/>
  <c r="Y55" i="7"/>
  <c r="Y56" i="7"/>
  <c r="Y57" i="7"/>
  <c r="Y58" i="7"/>
  <c r="Y59" i="7"/>
  <c r="Y60" i="7"/>
  <c r="Y61" i="7"/>
  <c r="Y62" i="7"/>
  <c r="Y63" i="7"/>
  <c r="Y64" i="7"/>
  <c r="Y65" i="7"/>
  <c r="Y66" i="7"/>
  <c r="Y67" i="7"/>
  <c r="Y68" i="7"/>
  <c r="Y69" i="7"/>
  <c r="Y70" i="7"/>
  <c r="Y71" i="7"/>
  <c r="Y72" i="7"/>
  <c r="Y73" i="7"/>
  <c r="Y74" i="7"/>
  <c r="Y75" i="7"/>
  <c r="Y76" i="7"/>
  <c r="Y77" i="7"/>
  <c r="Y78" i="7"/>
  <c r="Y79" i="7"/>
  <c r="Y80" i="7"/>
  <c r="Y81" i="7"/>
  <c r="Y82" i="7"/>
  <c r="Y83" i="7"/>
  <c r="Y84" i="7"/>
  <c r="Y85" i="7"/>
  <c r="Y86" i="7"/>
  <c r="Y87" i="7"/>
  <c r="Y88" i="7"/>
  <c r="Y89" i="7"/>
  <c r="Y90" i="7"/>
  <c r="Y91" i="7"/>
  <c r="Y92" i="7"/>
  <c r="Y93" i="7"/>
  <c r="Y94" i="7"/>
  <c r="Y95" i="7"/>
  <c r="Y96" i="7"/>
  <c r="Y97" i="7"/>
  <c r="Y98" i="7"/>
  <c r="Y99" i="7"/>
  <c r="Y100" i="7"/>
  <c r="Y101" i="7"/>
  <c r="Y102" i="7"/>
  <c r="Y103" i="7"/>
  <c r="Y104" i="7"/>
  <c r="Y105" i="7"/>
  <c r="Y106" i="7"/>
  <c r="Y107" i="7"/>
  <c r="Y108" i="7"/>
  <c r="Y109" i="7"/>
  <c r="Y110" i="7"/>
  <c r="Y111" i="7"/>
  <c r="Y112" i="7"/>
  <c r="Y113" i="7"/>
  <c r="Y114" i="7"/>
  <c r="Y115" i="7"/>
  <c r="Y116" i="7"/>
  <c r="Y117" i="7"/>
  <c r="Y118" i="7"/>
  <c r="Y119" i="7"/>
  <c r="Y120" i="7"/>
  <c r="Y121" i="7"/>
  <c r="Y122" i="7"/>
  <c r="Y123" i="7"/>
  <c r="Y124" i="7"/>
  <c r="Y125" i="7"/>
  <c r="Y126" i="7"/>
  <c r="Y127" i="7"/>
  <c r="Y128" i="7"/>
  <c r="Y129" i="7"/>
  <c r="Y130" i="7"/>
  <c r="Y131" i="7"/>
  <c r="Y132" i="7"/>
  <c r="Y133" i="7"/>
  <c r="Y134" i="7"/>
  <c r="Y135" i="7"/>
  <c r="Y136" i="7"/>
  <c r="Y137" i="7"/>
  <c r="Y138" i="7"/>
  <c r="Y139" i="7"/>
  <c r="Y140" i="7"/>
  <c r="Y141" i="7"/>
  <c r="Y142" i="7"/>
  <c r="Y143" i="7"/>
  <c r="Y144" i="7"/>
  <c r="Y145" i="7"/>
  <c r="Y146" i="7"/>
  <c r="Y147" i="7"/>
  <c r="Y148" i="7"/>
  <c r="Y149" i="7"/>
  <c r="Y150" i="7"/>
  <c r="Y151" i="7"/>
  <c r="Y152" i="7"/>
  <c r="Y153" i="7"/>
  <c r="Y154" i="7"/>
  <c r="Y155" i="7"/>
  <c r="Y156" i="7"/>
  <c r="Y157" i="7"/>
  <c r="Y158" i="7"/>
  <c r="Y159" i="7"/>
  <c r="Y160" i="7"/>
  <c r="Y161" i="7"/>
  <c r="Y162" i="7"/>
  <c r="Y163" i="7"/>
  <c r="Y164" i="7"/>
  <c r="Y165" i="7"/>
  <c r="Y166" i="7"/>
  <c r="Y167" i="7"/>
  <c r="Y168" i="7"/>
  <c r="Y169" i="7"/>
  <c r="Y170" i="7"/>
  <c r="Y171" i="7"/>
  <c r="Y172" i="7"/>
  <c r="Y173" i="7"/>
  <c r="Y174" i="7"/>
  <c r="Y175" i="7"/>
  <c r="Y176" i="7"/>
  <c r="Y177" i="7"/>
  <c r="Y178" i="7"/>
  <c r="Y179" i="7"/>
  <c r="Y180" i="7"/>
  <c r="Y181" i="7"/>
  <c r="Y182" i="7"/>
  <c r="Y183" i="7"/>
  <c r="Y184" i="7"/>
  <c r="Y185" i="7"/>
  <c r="Y186" i="7"/>
  <c r="Y187" i="7"/>
  <c r="Y188" i="7"/>
  <c r="Y189" i="7"/>
  <c r="Y190" i="7"/>
  <c r="Y191" i="7"/>
  <c r="Y192" i="7"/>
  <c r="Y193" i="7"/>
  <c r="Y194" i="7"/>
  <c r="Y195" i="7"/>
  <c r="Y196" i="7"/>
  <c r="Y197" i="7"/>
  <c r="Y198" i="7"/>
  <c r="Y199" i="7"/>
  <c r="Y200" i="7"/>
  <c r="Y201" i="7"/>
  <c r="Y202" i="7"/>
  <c r="Y203" i="7"/>
  <c r="X12" i="7"/>
  <c r="X13" i="7"/>
  <c r="X14" i="7"/>
  <c r="X15" i="7"/>
  <c r="X16" i="7"/>
  <c r="X17" i="7"/>
  <c r="X18" i="7"/>
  <c r="X19" i="7"/>
  <c r="X20" i="7"/>
  <c r="X21" i="7"/>
  <c r="X22" i="7"/>
  <c r="X23" i="7"/>
  <c r="X24" i="7"/>
  <c r="X25" i="7"/>
  <c r="X26" i="7"/>
  <c r="X27" i="7"/>
  <c r="X28" i="7"/>
  <c r="X29" i="7"/>
  <c r="X30" i="7"/>
  <c r="X31" i="7"/>
  <c r="X32" i="7"/>
  <c r="X33" i="7"/>
  <c r="X34" i="7"/>
  <c r="X35" i="7"/>
  <c r="X36" i="7"/>
  <c r="X37" i="7"/>
  <c r="X38" i="7"/>
  <c r="X39" i="7"/>
  <c r="X40" i="7"/>
  <c r="X41" i="7"/>
  <c r="X42" i="7"/>
  <c r="X43" i="7"/>
  <c r="X44" i="7"/>
  <c r="X45" i="7"/>
  <c r="X46" i="7"/>
  <c r="X47" i="7"/>
  <c r="X48" i="7"/>
  <c r="X49" i="7"/>
  <c r="X50" i="7"/>
  <c r="X51" i="7"/>
  <c r="X52" i="7"/>
  <c r="X53" i="7"/>
  <c r="X54" i="7"/>
  <c r="X55" i="7"/>
  <c r="X56" i="7"/>
  <c r="X57" i="7"/>
  <c r="X58" i="7"/>
  <c r="X59" i="7"/>
  <c r="X60" i="7"/>
  <c r="X61" i="7"/>
  <c r="X62" i="7"/>
  <c r="X63" i="7"/>
  <c r="X64" i="7"/>
  <c r="X65" i="7"/>
  <c r="X66" i="7"/>
  <c r="X67" i="7"/>
  <c r="X68" i="7"/>
  <c r="X69" i="7"/>
  <c r="X70" i="7"/>
  <c r="X71" i="7"/>
  <c r="X72" i="7"/>
  <c r="X73" i="7"/>
  <c r="X74" i="7"/>
  <c r="X75" i="7"/>
  <c r="X76" i="7"/>
  <c r="X77" i="7"/>
  <c r="X78" i="7"/>
  <c r="X79" i="7"/>
  <c r="X80" i="7"/>
  <c r="X81" i="7"/>
  <c r="X82" i="7"/>
  <c r="X83" i="7"/>
  <c r="X84" i="7"/>
  <c r="X85" i="7"/>
  <c r="X86" i="7"/>
  <c r="X87" i="7"/>
  <c r="X88" i="7"/>
  <c r="X89" i="7"/>
  <c r="X90" i="7"/>
  <c r="X91" i="7"/>
  <c r="X92" i="7"/>
  <c r="X93" i="7"/>
  <c r="X94" i="7"/>
  <c r="X95" i="7"/>
  <c r="X96" i="7"/>
  <c r="X97" i="7"/>
  <c r="X98" i="7"/>
  <c r="X99" i="7"/>
  <c r="X100" i="7"/>
  <c r="X101" i="7"/>
  <c r="X102" i="7"/>
  <c r="X103" i="7"/>
  <c r="X104" i="7"/>
  <c r="X105" i="7"/>
  <c r="X106" i="7"/>
  <c r="X107" i="7"/>
  <c r="X108" i="7"/>
  <c r="X109" i="7"/>
  <c r="X110" i="7"/>
  <c r="X111" i="7"/>
  <c r="X112" i="7"/>
  <c r="X113" i="7"/>
  <c r="X114" i="7"/>
  <c r="X115" i="7"/>
  <c r="X116" i="7"/>
  <c r="X117" i="7"/>
  <c r="X118" i="7"/>
  <c r="X119" i="7"/>
  <c r="X120" i="7"/>
  <c r="X121" i="7"/>
  <c r="X122" i="7"/>
  <c r="X123" i="7"/>
  <c r="X124" i="7"/>
  <c r="X125" i="7"/>
  <c r="X126" i="7"/>
  <c r="X127" i="7"/>
  <c r="X128" i="7"/>
  <c r="X129" i="7"/>
  <c r="X130" i="7"/>
  <c r="X131" i="7"/>
  <c r="X132" i="7"/>
  <c r="X133" i="7"/>
  <c r="X134" i="7"/>
  <c r="X135" i="7"/>
  <c r="X136" i="7"/>
  <c r="X137" i="7"/>
  <c r="X138" i="7"/>
  <c r="X139" i="7"/>
  <c r="X140" i="7"/>
  <c r="X141" i="7"/>
  <c r="X142" i="7"/>
  <c r="X143" i="7"/>
  <c r="X144" i="7"/>
  <c r="X145" i="7"/>
  <c r="X146" i="7"/>
  <c r="X147" i="7"/>
  <c r="X148" i="7"/>
  <c r="X149" i="7"/>
  <c r="X150" i="7"/>
  <c r="X151" i="7"/>
  <c r="X152" i="7"/>
  <c r="X153" i="7"/>
  <c r="X154" i="7"/>
  <c r="X155" i="7"/>
  <c r="X156" i="7"/>
  <c r="X157" i="7"/>
  <c r="X158" i="7"/>
  <c r="X159" i="7"/>
  <c r="X160" i="7"/>
  <c r="X161" i="7"/>
  <c r="X162" i="7"/>
  <c r="X163" i="7"/>
  <c r="X164" i="7"/>
  <c r="X165" i="7"/>
  <c r="X166" i="7"/>
  <c r="X167" i="7"/>
  <c r="X168" i="7"/>
  <c r="X169" i="7"/>
  <c r="X170" i="7"/>
  <c r="X171" i="7"/>
  <c r="X172" i="7"/>
  <c r="X173" i="7"/>
  <c r="X174" i="7"/>
  <c r="X175" i="7"/>
  <c r="X176" i="7"/>
  <c r="X177" i="7"/>
  <c r="X178" i="7"/>
  <c r="X179" i="7"/>
  <c r="X180" i="7"/>
  <c r="X181" i="7"/>
  <c r="X182" i="7"/>
  <c r="X183" i="7"/>
  <c r="X184" i="7"/>
  <c r="X185" i="7"/>
  <c r="X186" i="7"/>
  <c r="X187" i="7"/>
  <c r="X188" i="7"/>
  <c r="X189" i="7"/>
  <c r="X190" i="7"/>
  <c r="X191" i="7"/>
  <c r="X192" i="7"/>
  <c r="X193" i="7"/>
  <c r="X194" i="7"/>
  <c r="X195" i="7"/>
  <c r="X196" i="7"/>
  <c r="X197" i="7"/>
  <c r="X198" i="7"/>
  <c r="X199" i="7"/>
  <c r="X200" i="7"/>
  <c r="X201" i="7"/>
  <c r="X202" i="7"/>
  <c r="X203" i="7"/>
  <c r="W12" i="7"/>
  <c r="W13" i="7"/>
  <c r="W14" i="7"/>
  <c r="W15" i="7"/>
  <c r="W16" i="7"/>
  <c r="W17" i="7"/>
  <c r="W18" i="7"/>
  <c r="W19" i="7"/>
  <c r="W20" i="7"/>
  <c r="W21" i="7"/>
  <c r="W22" i="7"/>
  <c r="W23" i="7"/>
  <c r="W24" i="7"/>
  <c r="W25" i="7"/>
  <c r="W26" i="7"/>
  <c r="W27" i="7"/>
  <c r="W28" i="7"/>
  <c r="W29" i="7"/>
  <c r="W30" i="7"/>
  <c r="W31" i="7"/>
  <c r="W32" i="7"/>
  <c r="W33" i="7"/>
  <c r="W34" i="7"/>
  <c r="W35" i="7"/>
  <c r="W36" i="7"/>
  <c r="W37" i="7"/>
  <c r="W38" i="7"/>
  <c r="W39" i="7"/>
  <c r="W40" i="7"/>
  <c r="W41" i="7"/>
  <c r="W42" i="7"/>
  <c r="W43" i="7"/>
  <c r="W44" i="7"/>
  <c r="W45" i="7"/>
  <c r="W46" i="7"/>
  <c r="W47" i="7"/>
  <c r="W48" i="7"/>
  <c r="W49" i="7"/>
  <c r="W50" i="7"/>
  <c r="W51" i="7"/>
  <c r="W52" i="7"/>
  <c r="W53" i="7"/>
  <c r="W54" i="7"/>
  <c r="W55" i="7"/>
  <c r="W56" i="7"/>
  <c r="W57" i="7"/>
  <c r="W58" i="7"/>
  <c r="W59" i="7"/>
  <c r="W60" i="7"/>
  <c r="W61" i="7"/>
  <c r="W62" i="7"/>
  <c r="W63" i="7"/>
  <c r="W64" i="7"/>
  <c r="W65" i="7"/>
  <c r="W66" i="7"/>
  <c r="W67" i="7"/>
  <c r="W68" i="7"/>
  <c r="W69" i="7"/>
  <c r="W70" i="7"/>
  <c r="W71" i="7"/>
  <c r="W72" i="7"/>
  <c r="W73" i="7"/>
  <c r="W74" i="7"/>
  <c r="W75" i="7"/>
  <c r="W76" i="7"/>
  <c r="W77" i="7"/>
  <c r="W78" i="7"/>
  <c r="W79" i="7"/>
  <c r="W80" i="7"/>
  <c r="W81" i="7"/>
  <c r="W82" i="7"/>
  <c r="W83" i="7"/>
  <c r="W84" i="7"/>
  <c r="W85" i="7"/>
  <c r="W86" i="7"/>
  <c r="W87" i="7"/>
  <c r="W88" i="7"/>
  <c r="W89" i="7"/>
  <c r="W90" i="7"/>
  <c r="W91" i="7"/>
  <c r="W92" i="7"/>
  <c r="W93" i="7"/>
  <c r="W94" i="7"/>
  <c r="W95" i="7"/>
  <c r="W96" i="7"/>
  <c r="W97" i="7"/>
  <c r="W98" i="7"/>
  <c r="W99" i="7"/>
  <c r="W100" i="7"/>
  <c r="W101" i="7"/>
  <c r="W102" i="7"/>
  <c r="W103" i="7"/>
  <c r="W104" i="7"/>
  <c r="W105" i="7"/>
  <c r="W106" i="7"/>
  <c r="W107" i="7"/>
  <c r="W108" i="7"/>
  <c r="W109" i="7"/>
  <c r="W110" i="7"/>
  <c r="W111" i="7"/>
  <c r="W112" i="7"/>
  <c r="W113" i="7"/>
  <c r="W114" i="7"/>
  <c r="W115" i="7"/>
  <c r="W116" i="7"/>
  <c r="W117" i="7"/>
  <c r="W118" i="7"/>
  <c r="W119" i="7"/>
  <c r="W120" i="7"/>
  <c r="W121" i="7"/>
  <c r="W122" i="7"/>
  <c r="W123" i="7"/>
  <c r="W124" i="7"/>
  <c r="W125" i="7"/>
  <c r="W126" i="7"/>
  <c r="W127" i="7"/>
  <c r="W128" i="7"/>
  <c r="W129" i="7"/>
  <c r="W130" i="7"/>
  <c r="W131" i="7"/>
  <c r="W132" i="7"/>
  <c r="W133" i="7"/>
  <c r="W134" i="7"/>
  <c r="W135" i="7"/>
  <c r="W136" i="7"/>
  <c r="W137" i="7"/>
  <c r="W138" i="7"/>
  <c r="W139" i="7"/>
  <c r="W140" i="7"/>
  <c r="W141" i="7"/>
  <c r="W142" i="7"/>
  <c r="W143" i="7"/>
  <c r="W144" i="7"/>
  <c r="W145" i="7"/>
  <c r="W146" i="7"/>
  <c r="W147" i="7"/>
  <c r="W148" i="7"/>
  <c r="W149" i="7"/>
  <c r="W150" i="7"/>
  <c r="W151" i="7"/>
  <c r="W152" i="7"/>
  <c r="W153" i="7"/>
  <c r="W154" i="7"/>
  <c r="W155" i="7"/>
  <c r="W156" i="7"/>
  <c r="W157" i="7"/>
  <c r="W158" i="7"/>
  <c r="W159" i="7"/>
  <c r="W160" i="7"/>
  <c r="W161" i="7"/>
  <c r="W162" i="7"/>
  <c r="W163" i="7"/>
  <c r="W164" i="7"/>
  <c r="W165" i="7"/>
  <c r="W166" i="7"/>
  <c r="W167" i="7"/>
  <c r="W168" i="7"/>
  <c r="W169" i="7"/>
  <c r="W170" i="7"/>
  <c r="W171" i="7"/>
  <c r="W172" i="7"/>
  <c r="W173" i="7"/>
  <c r="W174" i="7"/>
  <c r="W175" i="7"/>
  <c r="W176" i="7"/>
  <c r="W177" i="7"/>
  <c r="W178" i="7"/>
  <c r="W179" i="7"/>
  <c r="W180" i="7"/>
  <c r="W181" i="7"/>
  <c r="W182" i="7"/>
  <c r="W183" i="7"/>
  <c r="W184" i="7"/>
  <c r="W185" i="7"/>
  <c r="W186" i="7"/>
  <c r="W187" i="7"/>
  <c r="W188" i="7"/>
  <c r="W189" i="7"/>
  <c r="W190" i="7"/>
  <c r="W191" i="7"/>
  <c r="W192" i="7"/>
  <c r="W193" i="7"/>
  <c r="W194" i="7"/>
  <c r="W195" i="7"/>
  <c r="W196" i="7"/>
  <c r="W197" i="7"/>
  <c r="W198" i="7"/>
  <c r="W199" i="7"/>
  <c r="W200" i="7"/>
  <c r="W201" i="7"/>
  <c r="W202" i="7"/>
  <c r="W203" i="7"/>
  <c r="V12" i="7"/>
  <c r="V13" i="7"/>
  <c r="V14" i="7"/>
  <c r="V15" i="7"/>
  <c r="V16" i="7"/>
  <c r="V17" i="7"/>
  <c r="V18" i="7"/>
  <c r="V19" i="7"/>
  <c r="V20" i="7"/>
  <c r="V21" i="7"/>
  <c r="V22" i="7"/>
  <c r="V23" i="7"/>
  <c r="V24" i="7"/>
  <c r="V25" i="7"/>
  <c r="V26" i="7"/>
  <c r="V27" i="7"/>
  <c r="V28" i="7"/>
  <c r="V29" i="7"/>
  <c r="V30" i="7"/>
  <c r="V31" i="7"/>
  <c r="V32" i="7"/>
  <c r="V33" i="7"/>
  <c r="V34" i="7"/>
  <c r="V35" i="7"/>
  <c r="V36" i="7"/>
  <c r="V37" i="7"/>
  <c r="V38" i="7"/>
  <c r="V39" i="7"/>
  <c r="V40" i="7"/>
  <c r="V41" i="7"/>
  <c r="V42" i="7"/>
  <c r="V43" i="7"/>
  <c r="V44" i="7"/>
  <c r="V45" i="7"/>
  <c r="V46" i="7"/>
  <c r="V47" i="7"/>
  <c r="V48" i="7"/>
  <c r="V49" i="7"/>
  <c r="V50" i="7"/>
  <c r="V51" i="7"/>
  <c r="V52" i="7"/>
  <c r="V53" i="7"/>
  <c r="V54" i="7"/>
  <c r="V55" i="7"/>
  <c r="V56" i="7"/>
  <c r="V57" i="7"/>
  <c r="V58" i="7"/>
  <c r="V59" i="7"/>
  <c r="V60" i="7"/>
  <c r="V61" i="7"/>
  <c r="V62" i="7"/>
  <c r="V63" i="7"/>
  <c r="V64" i="7"/>
  <c r="V65" i="7"/>
  <c r="V66" i="7"/>
  <c r="V67" i="7"/>
  <c r="V68" i="7"/>
  <c r="V69" i="7"/>
  <c r="V70" i="7"/>
  <c r="V71" i="7"/>
  <c r="V72" i="7"/>
  <c r="V73" i="7"/>
  <c r="V74" i="7"/>
  <c r="V75" i="7"/>
  <c r="V76" i="7"/>
  <c r="V77" i="7"/>
  <c r="V78" i="7"/>
  <c r="V79" i="7"/>
  <c r="V80" i="7"/>
  <c r="V81" i="7"/>
  <c r="V82" i="7"/>
  <c r="V83" i="7"/>
  <c r="V84" i="7"/>
  <c r="V85" i="7"/>
  <c r="V86" i="7"/>
  <c r="V87" i="7"/>
  <c r="V88" i="7"/>
  <c r="V89" i="7"/>
  <c r="V90" i="7"/>
  <c r="V91" i="7"/>
  <c r="V92" i="7"/>
  <c r="V93" i="7"/>
  <c r="V94" i="7"/>
  <c r="V95" i="7"/>
  <c r="V96" i="7"/>
  <c r="V97" i="7"/>
  <c r="V98" i="7"/>
  <c r="V99" i="7"/>
  <c r="V100" i="7"/>
  <c r="V101" i="7"/>
  <c r="V102" i="7"/>
  <c r="V103" i="7"/>
  <c r="V104" i="7"/>
  <c r="V105" i="7"/>
  <c r="V106" i="7"/>
  <c r="V107" i="7"/>
  <c r="V108" i="7"/>
  <c r="V109" i="7"/>
  <c r="V110" i="7"/>
  <c r="V111" i="7"/>
  <c r="V112" i="7"/>
  <c r="V113" i="7"/>
  <c r="V114" i="7"/>
  <c r="V115" i="7"/>
  <c r="V116" i="7"/>
  <c r="V117" i="7"/>
  <c r="V118" i="7"/>
  <c r="V119" i="7"/>
  <c r="V120" i="7"/>
  <c r="V121" i="7"/>
  <c r="V122" i="7"/>
  <c r="V123" i="7"/>
  <c r="V124" i="7"/>
  <c r="V125" i="7"/>
  <c r="V126" i="7"/>
  <c r="V127" i="7"/>
  <c r="V128" i="7"/>
  <c r="V129" i="7"/>
  <c r="V130" i="7"/>
  <c r="V131" i="7"/>
  <c r="V132" i="7"/>
  <c r="V133" i="7"/>
  <c r="V134" i="7"/>
  <c r="V135" i="7"/>
  <c r="V136" i="7"/>
  <c r="V137" i="7"/>
  <c r="V138" i="7"/>
  <c r="V139" i="7"/>
  <c r="V140" i="7"/>
  <c r="V141" i="7"/>
  <c r="V142" i="7"/>
  <c r="V143" i="7"/>
  <c r="V144" i="7"/>
  <c r="V145" i="7"/>
  <c r="V146" i="7"/>
  <c r="V147" i="7"/>
  <c r="V148" i="7"/>
  <c r="V149" i="7"/>
  <c r="V150" i="7"/>
  <c r="V151" i="7"/>
  <c r="V152" i="7"/>
  <c r="V153" i="7"/>
  <c r="V154" i="7"/>
  <c r="V155" i="7"/>
  <c r="V156" i="7"/>
  <c r="V157" i="7"/>
  <c r="V158" i="7"/>
  <c r="V159" i="7"/>
  <c r="V160" i="7"/>
  <c r="V161" i="7"/>
  <c r="V162" i="7"/>
  <c r="V163" i="7"/>
  <c r="V164" i="7"/>
  <c r="V165" i="7"/>
  <c r="V166" i="7"/>
  <c r="V167" i="7"/>
  <c r="V168" i="7"/>
  <c r="V169" i="7"/>
  <c r="V170" i="7"/>
  <c r="V171" i="7"/>
  <c r="V172" i="7"/>
  <c r="V173" i="7"/>
  <c r="V174" i="7"/>
  <c r="V175" i="7"/>
  <c r="V176" i="7"/>
  <c r="V177" i="7"/>
  <c r="V178" i="7"/>
  <c r="V179" i="7"/>
  <c r="V180" i="7"/>
  <c r="V181" i="7"/>
  <c r="V182" i="7"/>
  <c r="V183" i="7"/>
  <c r="V184" i="7"/>
  <c r="V185" i="7"/>
  <c r="V186" i="7"/>
  <c r="V187" i="7"/>
  <c r="V188" i="7"/>
  <c r="V189" i="7"/>
  <c r="V190" i="7"/>
  <c r="V191" i="7"/>
  <c r="V192" i="7"/>
  <c r="V193" i="7"/>
  <c r="V194" i="7"/>
  <c r="V195" i="7"/>
  <c r="V196" i="7"/>
  <c r="V197" i="7"/>
  <c r="V198" i="7"/>
  <c r="V199" i="7"/>
  <c r="V200" i="7"/>
  <c r="V201" i="7"/>
  <c r="V202" i="7"/>
  <c r="V203" i="7"/>
  <c r="U12" i="7"/>
  <c r="U13" i="7"/>
  <c r="U14" i="7"/>
  <c r="U15" i="7"/>
  <c r="U16" i="7"/>
  <c r="U17" i="7"/>
  <c r="U18" i="7"/>
  <c r="U19" i="7"/>
  <c r="U20" i="7"/>
  <c r="U21" i="7"/>
  <c r="U22" i="7"/>
  <c r="U23" i="7"/>
  <c r="U24" i="7"/>
  <c r="U25" i="7"/>
  <c r="U26" i="7"/>
  <c r="U27" i="7"/>
  <c r="U28" i="7"/>
  <c r="U29" i="7"/>
  <c r="U30" i="7"/>
  <c r="U31" i="7"/>
  <c r="U32" i="7"/>
  <c r="U33" i="7"/>
  <c r="U34" i="7"/>
  <c r="U35" i="7"/>
  <c r="U36" i="7"/>
  <c r="U37" i="7"/>
  <c r="U38" i="7"/>
  <c r="U39" i="7"/>
  <c r="U40" i="7"/>
  <c r="U41" i="7"/>
  <c r="U42" i="7"/>
  <c r="U43" i="7"/>
  <c r="U44" i="7"/>
  <c r="U45" i="7"/>
  <c r="U46" i="7"/>
  <c r="U47" i="7"/>
  <c r="U48" i="7"/>
  <c r="U49" i="7"/>
  <c r="U50" i="7"/>
  <c r="U51" i="7"/>
  <c r="U52" i="7"/>
  <c r="U53" i="7"/>
  <c r="U54" i="7"/>
  <c r="U55" i="7"/>
  <c r="U56" i="7"/>
  <c r="U57" i="7"/>
  <c r="U58" i="7"/>
  <c r="U59" i="7"/>
  <c r="U60" i="7"/>
  <c r="U61" i="7"/>
  <c r="U62" i="7"/>
  <c r="U63" i="7"/>
  <c r="U64" i="7"/>
  <c r="U65" i="7"/>
  <c r="U66" i="7"/>
  <c r="U67" i="7"/>
  <c r="U68" i="7"/>
  <c r="U69" i="7"/>
  <c r="U70" i="7"/>
  <c r="U71" i="7"/>
  <c r="U72" i="7"/>
  <c r="U73" i="7"/>
  <c r="U74" i="7"/>
  <c r="U75" i="7"/>
  <c r="U76" i="7"/>
  <c r="U77" i="7"/>
  <c r="U78" i="7"/>
  <c r="U79" i="7"/>
  <c r="U80" i="7"/>
  <c r="U81" i="7"/>
  <c r="U82" i="7"/>
  <c r="U83" i="7"/>
  <c r="U84" i="7"/>
  <c r="U85" i="7"/>
  <c r="U86" i="7"/>
  <c r="U87" i="7"/>
  <c r="U88" i="7"/>
  <c r="U89" i="7"/>
  <c r="U90" i="7"/>
  <c r="U91" i="7"/>
  <c r="U92" i="7"/>
  <c r="U93" i="7"/>
  <c r="U94" i="7"/>
  <c r="U95" i="7"/>
  <c r="U96" i="7"/>
  <c r="U97" i="7"/>
  <c r="U98" i="7"/>
  <c r="U99" i="7"/>
  <c r="U100" i="7"/>
  <c r="U101" i="7"/>
  <c r="U102" i="7"/>
  <c r="U103" i="7"/>
  <c r="U104" i="7"/>
  <c r="U105" i="7"/>
  <c r="U106" i="7"/>
  <c r="U107" i="7"/>
  <c r="U108" i="7"/>
  <c r="U109" i="7"/>
  <c r="U110" i="7"/>
  <c r="U111" i="7"/>
  <c r="U112" i="7"/>
  <c r="U113" i="7"/>
  <c r="U114" i="7"/>
  <c r="U115" i="7"/>
  <c r="U116" i="7"/>
  <c r="U117" i="7"/>
  <c r="U118" i="7"/>
  <c r="U119" i="7"/>
  <c r="U120" i="7"/>
  <c r="U121" i="7"/>
  <c r="U122" i="7"/>
  <c r="U123" i="7"/>
  <c r="U124" i="7"/>
  <c r="U125" i="7"/>
  <c r="U126" i="7"/>
  <c r="U127" i="7"/>
  <c r="U128" i="7"/>
  <c r="U129" i="7"/>
  <c r="U130" i="7"/>
  <c r="U131" i="7"/>
  <c r="U132" i="7"/>
  <c r="U133" i="7"/>
  <c r="U134" i="7"/>
  <c r="U135" i="7"/>
  <c r="U136" i="7"/>
  <c r="U137" i="7"/>
  <c r="U138" i="7"/>
  <c r="U139" i="7"/>
  <c r="U140" i="7"/>
  <c r="U141" i="7"/>
  <c r="U142" i="7"/>
  <c r="U143" i="7"/>
  <c r="U144" i="7"/>
  <c r="U145" i="7"/>
  <c r="U146" i="7"/>
  <c r="U147" i="7"/>
  <c r="U148" i="7"/>
  <c r="U149" i="7"/>
  <c r="U150" i="7"/>
  <c r="U151" i="7"/>
  <c r="U152" i="7"/>
  <c r="U153" i="7"/>
  <c r="U154" i="7"/>
  <c r="U155" i="7"/>
  <c r="U156" i="7"/>
  <c r="U157" i="7"/>
  <c r="U158" i="7"/>
  <c r="U159" i="7"/>
  <c r="U160" i="7"/>
  <c r="U161" i="7"/>
  <c r="U162" i="7"/>
  <c r="U163" i="7"/>
  <c r="U164" i="7"/>
  <c r="U165" i="7"/>
  <c r="U166" i="7"/>
  <c r="U167" i="7"/>
  <c r="U168" i="7"/>
  <c r="U169" i="7"/>
  <c r="U170" i="7"/>
  <c r="U171" i="7"/>
  <c r="U172" i="7"/>
  <c r="U173" i="7"/>
  <c r="U174" i="7"/>
  <c r="U175" i="7"/>
  <c r="U176" i="7"/>
  <c r="U177" i="7"/>
  <c r="U178" i="7"/>
  <c r="U179" i="7"/>
  <c r="U180" i="7"/>
  <c r="U181" i="7"/>
  <c r="U182" i="7"/>
  <c r="U183" i="7"/>
  <c r="U184" i="7"/>
  <c r="U185" i="7"/>
  <c r="U186" i="7"/>
  <c r="U187" i="7"/>
  <c r="U188" i="7"/>
  <c r="U189" i="7"/>
  <c r="U190" i="7"/>
  <c r="U191" i="7"/>
  <c r="U192" i="7"/>
  <c r="U193" i="7"/>
  <c r="U194" i="7"/>
  <c r="U195" i="7"/>
  <c r="U196" i="7"/>
  <c r="U197" i="7"/>
  <c r="U198" i="7"/>
  <c r="U199" i="7"/>
  <c r="U200" i="7"/>
  <c r="U201" i="7"/>
  <c r="U202" i="7"/>
  <c r="U203" i="7"/>
  <c r="T12" i="7"/>
  <c r="T13" i="7"/>
  <c r="T14" i="7"/>
  <c r="T15" i="7"/>
  <c r="T16" i="7"/>
  <c r="T17" i="7"/>
  <c r="T18" i="7"/>
  <c r="T19" i="7"/>
  <c r="T20" i="7"/>
  <c r="T21" i="7"/>
  <c r="T22" i="7"/>
  <c r="T23" i="7"/>
  <c r="T24" i="7"/>
  <c r="T25" i="7"/>
  <c r="T26" i="7"/>
  <c r="T27" i="7"/>
  <c r="T28" i="7"/>
  <c r="T29" i="7"/>
  <c r="T30" i="7"/>
  <c r="T31" i="7"/>
  <c r="T32" i="7"/>
  <c r="T33" i="7"/>
  <c r="T34" i="7"/>
  <c r="T35" i="7"/>
  <c r="T36" i="7"/>
  <c r="T37" i="7"/>
  <c r="T38" i="7"/>
  <c r="T39" i="7"/>
  <c r="T40" i="7"/>
  <c r="T41" i="7"/>
  <c r="T42" i="7"/>
  <c r="T43" i="7"/>
  <c r="T44" i="7"/>
  <c r="T45" i="7"/>
  <c r="T46" i="7"/>
  <c r="T47" i="7"/>
  <c r="T48" i="7"/>
  <c r="T49" i="7"/>
  <c r="T50" i="7"/>
  <c r="T51" i="7"/>
  <c r="T52" i="7"/>
  <c r="T53" i="7"/>
  <c r="T54" i="7"/>
  <c r="T55" i="7"/>
  <c r="T56" i="7"/>
  <c r="T57" i="7"/>
  <c r="T58" i="7"/>
  <c r="T59" i="7"/>
  <c r="T60" i="7"/>
  <c r="T61" i="7"/>
  <c r="T62" i="7"/>
  <c r="T63" i="7"/>
  <c r="T64" i="7"/>
  <c r="T65" i="7"/>
  <c r="T66" i="7"/>
  <c r="T67" i="7"/>
  <c r="T68" i="7"/>
  <c r="T69" i="7"/>
  <c r="T70" i="7"/>
  <c r="T71" i="7"/>
  <c r="T72" i="7"/>
  <c r="T73" i="7"/>
  <c r="T74" i="7"/>
  <c r="T75" i="7"/>
  <c r="T76" i="7"/>
  <c r="T77" i="7"/>
  <c r="T78" i="7"/>
  <c r="T79" i="7"/>
  <c r="T80" i="7"/>
  <c r="T81" i="7"/>
  <c r="T82" i="7"/>
  <c r="T83" i="7"/>
  <c r="T84" i="7"/>
  <c r="T85" i="7"/>
  <c r="T86" i="7"/>
  <c r="T87" i="7"/>
  <c r="T88" i="7"/>
  <c r="T89" i="7"/>
  <c r="T90" i="7"/>
  <c r="T91" i="7"/>
  <c r="T92" i="7"/>
  <c r="T93" i="7"/>
  <c r="T94" i="7"/>
  <c r="T95" i="7"/>
  <c r="T96" i="7"/>
  <c r="T97" i="7"/>
  <c r="T98" i="7"/>
  <c r="T99" i="7"/>
  <c r="T100" i="7"/>
  <c r="T101" i="7"/>
  <c r="T102" i="7"/>
  <c r="T103" i="7"/>
  <c r="T104" i="7"/>
  <c r="T105" i="7"/>
  <c r="T106" i="7"/>
  <c r="T107" i="7"/>
  <c r="T108" i="7"/>
  <c r="T109" i="7"/>
  <c r="T110" i="7"/>
  <c r="T111" i="7"/>
  <c r="T112" i="7"/>
  <c r="T113" i="7"/>
  <c r="T114" i="7"/>
  <c r="T115" i="7"/>
  <c r="T116" i="7"/>
  <c r="T117" i="7"/>
  <c r="T118" i="7"/>
  <c r="T119" i="7"/>
  <c r="T120" i="7"/>
  <c r="T121" i="7"/>
  <c r="T122" i="7"/>
  <c r="T123" i="7"/>
  <c r="T124" i="7"/>
  <c r="T125" i="7"/>
  <c r="T126" i="7"/>
  <c r="T127" i="7"/>
  <c r="T128" i="7"/>
  <c r="T129" i="7"/>
  <c r="T130" i="7"/>
  <c r="T131" i="7"/>
  <c r="T132" i="7"/>
  <c r="T133" i="7"/>
  <c r="T134" i="7"/>
  <c r="T135" i="7"/>
  <c r="T136" i="7"/>
  <c r="T137" i="7"/>
  <c r="T138" i="7"/>
  <c r="T139" i="7"/>
  <c r="T140" i="7"/>
  <c r="T141" i="7"/>
  <c r="T142" i="7"/>
  <c r="T143" i="7"/>
  <c r="T144" i="7"/>
  <c r="T145" i="7"/>
  <c r="T146" i="7"/>
  <c r="T147" i="7"/>
  <c r="T148" i="7"/>
  <c r="T149" i="7"/>
  <c r="T150" i="7"/>
  <c r="T151" i="7"/>
  <c r="T152" i="7"/>
  <c r="T153" i="7"/>
  <c r="T154" i="7"/>
  <c r="T155" i="7"/>
  <c r="T156" i="7"/>
  <c r="T157" i="7"/>
  <c r="T158" i="7"/>
  <c r="T159" i="7"/>
  <c r="T160" i="7"/>
  <c r="T161" i="7"/>
  <c r="T162" i="7"/>
  <c r="T163" i="7"/>
  <c r="T164" i="7"/>
  <c r="T165" i="7"/>
  <c r="T166" i="7"/>
  <c r="T167" i="7"/>
  <c r="T168" i="7"/>
  <c r="T169" i="7"/>
  <c r="T170" i="7"/>
  <c r="T171" i="7"/>
  <c r="T172" i="7"/>
  <c r="T173" i="7"/>
  <c r="T174" i="7"/>
  <c r="T175" i="7"/>
  <c r="T176" i="7"/>
  <c r="T177" i="7"/>
  <c r="T178" i="7"/>
  <c r="T179" i="7"/>
  <c r="T180" i="7"/>
  <c r="T181" i="7"/>
  <c r="T182" i="7"/>
  <c r="T183" i="7"/>
  <c r="T184" i="7"/>
  <c r="T185" i="7"/>
  <c r="T186" i="7"/>
  <c r="T187" i="7"/>
  <c r="T188" i="7"/>
  <c r="T189" i="7"/>
  <c r="T190" i="7"/>
  <c r="T191" i="7"/>
  <c r="T192" i="7"/>
  <c r="T193" i="7"/>
  <c r="T194" i="7"/>
  <c r="T195" i="7"/>
  <c r="T196" i="7"/>
  <c r="T197" i="7"/>
  <c r="T198" i="7"/>
  <c r="T199" i="7"/>
  <c r="T200" i="7"/>
  <c r="T201" i="7"/>
  <c r="T202" i="7"/>
  <c r="T203"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12" i="7"/>
  <c r="B5" i="7"/>
  <c r="I10" i="7" l="1"/>
  <c r="L10" i="7"/>
  <c r="M10" i="7"/>
  <c r="N10" i="7"/>
  <c r="O10" i="7"/>
  <c r="P10" i="7"/>
  <c r="Q10" i="7"/>
  <c r="T10" i="7"/>
  <c r="U10" i="7"/>
  <c r="V10" i="7"/>
  <c r="W10" i="7"/>
  <c r="X10" i="7"/>
  <c r="Y10" i="7"/>
  <c r="E10" i="7"/>
  <c r="G10" i="7"/>
  <c r="H10" i="7"/>
  <c r="F10" i="7"/>
  <c r="D10" i="7"/>
  <c r="Z198" i="7"/>
  <c r="J198" i="7"/>
  <c r="Z199" i="7"/>
  <c r="J199" i="7"/>
  <c r="R198" i="7"/>
  <c r="Z202" i="7"/>
  <c r="R199" i="7"/>
  <c r="Z193" i="7"/>
  <c r="J193" i="7"/>
  <c r="R202" i="7"/>
  <c r="J202" i="7"/>
  <c r="Z188" i="7"/>
  <c r="J188" i="7"/>
  <c r="R193" i="7"/>
  <c r="R188" i="7"/>
  <c r="R17" i="7" l="1"/>
  <c r="R21" i="7"/>
  <c r="R25" i="7"/>
  <c r="R28" i="7"/>
  <c r="R32" i="7"/>
  <c r="R36" i="7"/>
  <c r="R40" i="7"/>
  <c r="R44" i="7"/>
  <c r="R48" i="7"/>
  <c r="R52" i="7"/>
  <c r="R56" i="7"/>
  <c r="R60" i="7"/>
  <c r="R64" i="7"/>
  <c r="R68" i="7"/>
  <c r="R72" i="7"/>
  <c r="R76" i="7"/>
  <c r="R80" i="7"/>
  <c r="R84" i="7"/>
  <c r="R88" i="7"/>
  <c r="R92" i="7"/>
  <c r="R96" i="7"/>
  <c r="R100" i="7"/>
  <c r="R104" i="7"/>
  <c r="R108" i="7"/>
  <c r="R112" i="7"/>
  <c r="R116" i="7"/>
  <c r="R120" i="7"/>
  <c r="R124" i="7"/>
  <c r="R128" i="7"/>
  <c r="R132" i="7"/>
  <c r="R136" i="7"/>
  <c r="R140" i="7"/>
  <c r="R144" i="7"/>
  <c r="R148" i="7"/>
  <c r="R152" i="7"/>
  <c r="R156" i="7"/>
  <c r="R160" i="7"/>
  <c r="R164" i="7"/>
  <c r="R168" i="7"/>
  <c r="R172" i="7"/>
  <c r="R176" i="7"/>
  <c r="R180" i="7"/>
  <c r="R184" i="7"/>
  <c r="R192" i="7"/>
  <c r="R196" i="7"/>
  <c r="R200" i="7"/>
  <c r="R16" i="7"/>
  <c r="R20" i="7"/>
  <c r="R24" i="7"/>
  <c r="R29" i="7"/>
  <c r="R33" i="7"/>
  <c r="R37" i="7"/>
  <c r="R41" i="7"/>
  <c r="R45" i="7"/>
  <c r="R49" i="7"/>
  <c r="R53" i="7"/>
  <c r="R57" i="7"/>
  <c r="R61" i="7"/>
  <c r="R65" i="7"/>
  <c r="R69" i="7"/>
  <c r="R73" i="7"/>
  <c r="R77" i="7"/>
  <c r="R81" i="7"/>
  <c r="R85" i="7"/>
  <c r="R89" i="7"/>
  <c r="R93" i="7"/>
  <c r="R97" i="7"/>
  <c r="R101" i="7"/>
  <c r="R105" i="7"/>
  <c r="R109" i="7"/>
  <c r="R113" i="7"/>
  <c r="R117" i="7"/>
  <c r="R121" i="7"/>
  <c r="R125" i="7"/>
  <c r="R129" i="7"/>
  <c r="R133" i="7"/>
  <c r="R137" i="7"/>
  <c r="R141" i="7"/>
  <c r="R145" i="7"/>
  <c r="R149" i="7"/>
  <c r="R153" i="7"/>
  <c r="R157" i="7"/>
  <c r="R161" i="7"/>
  <c r="R165" i="7"/>
  <c r="R169" i="7"/>
  <c r="R173" i="7"/>
  <c r="R177" i="7"/>
  <c r="R181" i="7"/>
  <c r="R185" i="7"/>
  <c r="R189" i="7"/>
  <c r="R197" i="7"/>
  <c r="R201" i="7"/>
  <c r="R13" i="7"/>
  <c r="R30" i="7"/>
  <c r="R34" i="7"/>
  <c r="R38" i="7"/>
  <c r="R42" i="7"/>
  <c r="R46" i="7"/>
  <c r="R50" i="7"/>
  <c r="R54" i="7"/>
  <c r="R58" i="7"/>
  <c r="R62" i="7"/>
  <c r="R66" i="7"/>
  <c r="R70" i="7"/>
  <c r="R74" i="7"/>
  <c r="R78" i="7"/>
  <c r="R82" i="7"/>
  <c r="R86" i="7"/>
  <c r="R90" i="7"/>
  <c r="R94" i="7"/>
  <c r="R98" i="7"/>
  <c r="R102" i="7"/>
  <c r="R106" i="7"/>
  <c r="R110" i="7"/>
  <c r="R114" i="7"/>
  <c r="R118" i="7"/>
  <c r="R122" i="7"/>
  <c r="R126" i="7"/>
  <c r="R130" i="7"/>
  <c r="R134" i="7"/>
  <c r="R138" i="7"/>
  <c r="R142" i="7"/>
  <c r="R146" i="7"/>
  <c r="R150" i="7"/>
  <c r="R154" i="7"/>
  <c r="R158" i="7"/>
  <c r="R162" i="7"/>
  <c r="R166" i="7"/>
  <c r="R170" i="7"/>
  <c r="R174" i="7"/>
  <c r="R178" i="7"/>
  <c r="R182" i="7"/>
  <c r="R186" i="7"/>
  <c r="R190" i="7"/>
  <c r="R194" i="7"/>
  <c r="R14" i="7"/>
  <c r="R22" i="7"/>
  <c r="R18" i="7"/>
  <c r="R26" i="7"/>
  <c r="R31" i="7"/>
  <c r="R35" i="7"/>
  <c r="R39" i="7"/>
  <c r="R43" i="7"/>
  <c r="R47" i="7"/>
  <c r="R51" i="7"/>
  <c r="R55" i="7"/>
  <c r="R59" i="7"/>
  <c r="R63" i="7"/>
  <c r="R67" i="7"/>
  <c r="R71" i="7"/>
  <c r="R75" i="7"/>
  <c r="R79" i="7"/>
  <c r="R83" i="7"/>
  <c r="R87" i="7"/>
  <c r="R91" i="7"/>
  <c r="R95" i="7"/>
  <c r="R99" i="7"/>
  <c r="R103" i="7"/>
  <c r="R107" i="7"/>
  <c r="R111" i="7"/>
  <c r="R115" i="7"/>
  <c r="R119" i="7"/>
  <c r="R123" i="7"/>
  <c r="R127" i="7"/>
  <c r="R131" i="7"/>
  <c r="R135" i="7"/>
  <c r="R139" i="7"/>
  <c r="R143" i="7"/>
  <c r="R147" i="7"/>
  <c r="R151" i="7"/>
  <c r="R155" i="7"/>
  <c r="R159" i="7"/>
  <c r="R163" i="7"/>
  <c r="R167" i="7"/>
  <c r="R171" i="7"/>
  <c r="R175" i="7"/>
  <c r="R179" i="7"/>
  <c r="R183" i="7"/>
  <c r="R187" i="7"/>
  <c r="R191" i="7"/>
  <c r="R195" i="7"/>
  <c r="R203" i="7"/>
  <c r="R15" i="7"/>
  <c r="R19" i="7"/>
  <c r="R23" i="7"/>
  <c r="R27" i="7"/>
  <c r="Z30" i="7"/>
  <c r="J32" i="7"/>
  <c r="Z34" i="7"/>
  <c r="J36" i="7"/>
  <c r="Z38" i="7"/>
  <c r="J40" i="7"/>
  <c r="Z41" i="7"/>
  <c r="Z42" i="7"/>
  <c r="J43" i="7"/>
  <c r="J44" i="7"/>
  <c r="Z46" i="7"/>
  <c r="J48" i="7"/>
  <c r="Z49" i="7"/>
  <c r="Z50" i="7"/>
  <c r="J51" i="7"/>
  <c r="J52" i="7"/>
  <c r="Z57" i="7"/>
  <c r="Z65" i="7"/>
  <c r="Z73" i="7"/>
  <c r="Z81" i="7"/>
  <c r="Z89" i="7"/>
  <c r="Z97" i="7"/>
  <c r="Z105" i="7"/>
  <c r="J194" i="7"/>
  <c r="Z14" i="7"/>
  <c r="J16" i="7"/>
  <c r="Z18" i="7"/>
  <c r="J20" i="7"/>
  <c r="Z22" i="7"/>
  <c r="J24" i="7"/>
  <c r="Z26" i="7"/>
  <c r="J12" i="7"/>
  <c r="J27" i="7"/>
  <c r="Z203" i="7"/>
  <c r="J35" i="7"/>
  <c r="J28" i="7"/>
  <c r="Z15" i="7"/>
  <c r="Z19" i="7"/>
  <c r="Z23" i="7"/>
  <c r="Z27" i="7"/>
  <c r="Z31" i="7"/>
  <c r="Z35" i="7"/>
  <c r="Z39" i="7"/>
  <c r="Z43" i="7"/>
  <c r="Z47" i="7"/>
  <c r="Z51" i="7"/>
  <c r="Z55" i="7"/>
  <c r="Z59" i="7"/>
  <c r="Z63" i="7"/>
  <c r="Z67" i="7"/>
  <c r="Z71" i="7"/>
  <c r="Z75" i="7"/>
  <c r="Z79" i="7"/>
  <c r="Z17" i="7"/>
  <c r="Z25" i="7"/>
  <c r="Z33" i="7"/>
  <c r="Z83" i="7"/>
  <c r="Z87" i="7"/>
  <c r="Z91" i="7"/>
  <c r="Z95" i="7"/>
  <c r="Z99" i="7"/>
  <c r="Z103" i="7"/>
  <c r="Z107" i="7"/>
  <c r="Z111" i="7"/>
  <c r="Z113" i="7"/>
  <c r="Z115" i="7"/>
  <c r="Z119" i="7"/>
  <c r="Z121" i="7"/>
  <c r="Z123" i="7"/>
  <c r="Z127" i="7"/>
  <c r="Z129" i="7"/>
  <c r="Z131" i="7"/>
  <c r="Z135" i="7"/>
  <c r="Z137" i="7"/>
  <c r="Z139" i="7"/>
  <c r="Z143" i="7"/>
  <c r="Z145" i="7"/>
  <c r="Z147" i="7"/>
  <c r="Z151" i="7"/>
  <c r="Z153" i="7"/>
  <c r="Z155" i="7"/>
  <c r="Z159" i="7"/>
  <c r="Z161" i="7"/>
  <c r="Z163" i="7"/>
  <c r="Z167" i="7"/>
  <c r="Z169" i="7"/>
  <c r="Z171" i="7"/>
  <c r="Z175" i="7"/>
  <c r="Z177" i="7"/>
  <c r="Z179" i="7"/>
  <c r="Z183" i="7"/>
  <c r="Z185" i="7"/>
  <c r="Z187" i="7"/>
  <c r="Z191" i="7"/>
  <c r="Z195" i="7"/>
  <c r="Z201" i="7"/>
  <c r="Z108" i="7"/>
  <c r="Z112" i="7"/>
  <c r="Z116" i="7"/>
  <c r="Z120" i="7"/>
  <c r="Z124" i="7"/>
  <c r="Z128" i="7"/>
  <c r="Z132" i="7"/>
  <c r="Z136" i="7"/>
  <c r="Z140" i="7"/>
  <c r="Z144" i="7"/>
  <c r="Z148" i="7"/>
  <c r="Z152" i="7"/>
  <c r="Z156" i="7"/>
  <c r="Z160" i="7"/>
  <c r="Z164" i="7"/>
  <c r="Z168" i="7"/>
  <c r="Z172" i="7"/>
  <c r="Z176" i="7"/>
  <c r="Z180" i="7"/>
  <c r="Z184" i="7"/>
  <c r="Z192" i="7"/>
  <c r="Z196" i="7"/>
  <c r="Z200" i="7"/>
  <c r="Z54" i="7"/>
  <c r="J56" i="7"/>
  <c r="Z58" i="7"/>
  <c r="J59" i="7"/>
  <c r="J60" i="7"/>
  <c r="Z62" i="7"/>
  <c r="J64" i="7"/>
  <c r="Z66" i="7"/>
  <c r="J67" i="7"/>
  <c r="J68" i="7"/>
  <c r="Z70" i="7"/>
  <c r="J72" i="7"/>
  <c r="Z74" i="7"/>
  <c r="J75" i="7"/>
  <c r="J76" i="7"/>
  <c r="Z78" i="7"/>
  <c r="J80" i="7"/>
  <c r="Z82" i="7"/>
  <c r="J83" i="7"/>
  <c r="J84" i="7"/>
  <c r="Z86" i="7"/>
  <c r="J88" i="7"/>
  <c r="Z90" i="7"/>
  <c r="J91" i="7"/>
  <c r="J92" i="7"/>
  <c r="Z94" i="7"/>
  <c r="J96" i="7"/>
  <c r="Z98" i="7"/>
  <c r="J99" i="7"/>
  <c r="J100" i="7"/>
  <c r="Z102" i="7"/>
  <c r="J104" i="7"/>
  <c r="Z106" i="7"/>
  <c r="J107" i="7"/>
  <c r="Z110" i="7"/>
  <c r="Z114" i="7"/>
  <c r="Z118" i="7"/>
  <c r="Z122" i="7"/>
  <c r="Z126" i="7"/>
  <c r="Z130" i="7"/>
  <c r="Z134" i="7"/>
  <c r="Z138" i="7"/>
  <c r="Z142" i="7"/>
  <c r="Z146" i="7"/>
  <c r="Z150" i="7"/>
  <c r="Z154" i="7"/>
  <c r="Z158" i="7"/>
  <c r="Z162" i="7"/>
  <c r="Z166" i="7"/>
  <c r="Z170" i="7"/>
  <c r="Z174" i="7"/>
  <c r="Z178" i="7"/>
  <c r="Z182" i="7"/>
  <c r="Z186" i="7"/>
  <c r="Z190" i="7"/>
  <c r="Z194" i="7"/>
  <c r="Z12" i="7"/>
  <c r="Z16" i="7"/>
  <c r="Z20" i="7"/>
  <c r="Z24" i="7"/>
  <c r="Z28" i="7"/>
  <c r="Z32" i="7"/>
  <c r="Z36" i="7"/>
  <c r="Z40" i="7"/>
  <c r="Z44" i="7"/>
  <c r="Z48" i="7"/>
  <c r="Z52" i="7"/>
  <c r="Z56" i="7"/>
  <c r="Z60" i="7"/>
  <c r="Z64" i="7"/>
  <c r="Z68" i="7"/>
  <c r="Z72" i="7"/>
  <c r="Z76" i="7"/>
  <c r="Z80" i="7"/>
  <c r="Z84" i="7"/>
  <c r="Z88" i="7"/>
  <c r="Z92" i="7"/>
  <c r="Z96" i="7"/>
  <c r="Z100" i="7"/>
  <c r="Z104" i="7"/>
  <c r="R12" i="7"/>
  <c r="Z13" i="7"/>
  <c r="Z21" i="7"/>
  <c r="Z29" i="7"/>
  <c r="Z37" i="7"/>
  <c r="Z45" i="7"/>
  <c r="Z53" i="7"/>
  <c r="Z61" i="7"/>
  <c r="Z69" i="7"/>
  <c r="Z77" i="7"/>
  <c r="Z85" i="7"/>
  <c r="Z93" i="7"/>
  <c r="Z101" i="7"/>
  <c r="Z109" i="7"/>
  <c r="Z117" i="7"/>
  <c r="Z125" i="7"/>
  <c r="Z133" i="7"/>
  <c r="Z141" i="7"/>
  <c r="Z149" i="7"/>
  <c r="Z157" i="7"/>
  <c r="Z165" i="7"/>
  <c r="Z173" i="7"/>
  <c r="Z181" i="7"/>
  <c r="Z189" i="7"/>
  <c r="Z197" i="7"/>
  <c r="J108" i="7"/>
  <c r="J112" i="7"/>
  <c r="J115" i="7"/>
  <c r="J116" i="7"/>
  <c r="J120" i="7"/>
  <c r="J123" i="7"/>
  <c r="J124" i="7"/>
  <c r="J128" i="7"/>
  <c r="J131" i="7"/>
  <c r="J132" i="7"/>
  <c r="J136" i="7"/>
  <c r="J139" i="7"/>
  <c r="J140" i="7"/>
  <c r="J144" i="7"/>
  <c r="J147" i="7"/>
  <c r="J148" i="7"/>
  <c r="J152" i="7"/>
  <c r="J155" i="7"/>
  <c r="J156" i="7"/>
  <c r="J160" i="7"/>
  <c r="J163" i="7"/>
  <c r="J164" i="7"/>
  <c r="J168" i="7"/>
  <c r="J171" i="7"/>
  <c r="J172" i="7"/>
  <c r="J176" i="7"/>
  <c r="J179" i="7"/>
  <c r="J180" i="7"/>
  <c r="J184" i="7"/>
  <c r="J187" i="7"/>
  <c r="J192" i="7"/>
  <c r="J195" i="7"/>
  <c r="J196" i="7"/>
  <c r="J200" i="7"/>
  <c r="J203" i="7"/>
  <c r="J13" i="7"/>
  <c r="J17" i="7"/>
  <c r="J21" i="7"/>
  <c r="J25" i="7"/>
  <c r="J29" i="7"/>
  <c r="J33" i="7"/>
  <c r="J37" i="7"/>
  <c r="J41" i="7"/>
  <c r="J45" i="7"/>
  <c r="J49" i="7"/>
  <c r="J53" i="7"/>
  <c r="J57" i="7"/>
  <c r="J61" i="7"/>
  <c r="J65" i="7"/>
  <c r="J69" i="7"/>
  <c r="J73" i="7"/>
  <c r="J77" i="7"/>
  <c r="J81" i="7"/>
  <c r="J85" i="7"/>
  <c r="J89" i="7"/>
  <c r="J93" i="7"/>
  <c r="J97" i="7"/>
  <c r="J101" i="7"/>
  <c r="J105" i="7"/>
  <c r="J109" i="7"/>
  <c r="J113" i="7"/>
  <c r="J117" i="7"/>
  <c r="J121" i="7"/>
  <c r="J125" i="7"/>
  <c r="J129" i="7"/>
  <c r="J133" i="7"/>
  <c r="J137" i="7"/>
  <c r="J141" i="7"/>
  <c r="J145" i="7"/>
  <c r="J149" i="7"/>
  <c r="J153" i="7"/>
  <c r="J157" i="7"/>
  <c r="J161" i="7"/>
  <c r="J165" i="7"/>
  <c r="J169" i="7"/>
  <c r="J173" i="7"/>
  <c r="J177" i="7"/>
  <c r="J181" i="7"/>
  <c r="J185" i="7"/>
  <c r="J189" i="7"/>
  <c r="J197" i="7"/>
  <c r="J201" i="7"/>
  <c r="J14" i="7"/>
  <c r="J18" i="7"/>
  <c r="J22" i="7"/>
  <c r="J26" i="7"/>
  <c r="J30" i="7"/>
  <c r="J34" i="7"/>
  <c r="J38" i="7"/>
  <c r="J42" i="7"/>
  <c r="J46" i="7"/>
  <c r="J50" i="7"/>
  <c r="J54" i="7"/>
  <c r="J58" i="7"/>
  <c r="J62" i="7"/>
  <c r="J66" i="7"/>
  <c r="J70" i="7"/>
  <c r="J74" i="7"/>
  <c r="J78" i="7"/>
  <c r="J82" i="7"/>
  <c r="J86" i="7"/>
  <c r="J90" i="7"/>
  <c r="J94" i="7"/>
  <c r="J98" i="7"/>
  <c r="J102" i="7"/>
  <c r="J106" i="7"/>
  <c r="J110" i="7"/>
  <c r="J114" i="7"/>
  <c r="J118" i="7"/>
  <c r="J122" i="7"/>
  <c r="J126" i="7"/>
  <c r="J130" i="7"/>
  <c r="J134" i="7"/>
  <c r="J138" i="7"/>
  <c r="J142" i="7"/>
  <c r="J146" i="7"/>
  <c r="J150" i="7"/>
  <c r="J154" i="7"/>
  <c r="J158" i="7"/>
  <c r="J162" i="7"/>
  <c r="J166" i="7"/>
  <c r="J170" i="7"/>
  <c r="J174" i="7"/>
  <c r="J178" i="7"/>
  <c r="J182" i="7"/>
  <c r="J186" i="7"/>
  <c r="J190" i="7"/>
  <c r="J15" i="7"/>
  <c r="J19" i="7"/>
  <c r="J47" i="7"/>
  <c r="J55" i="7"/>
  <c r="J63" i="7"/>
  <c r="J71" i="7"/>
  <c r="J79" i="7"/>
  <c r="J87" i="7"/>
  <c r="J95" i="7"/>
  <c r="J103" i="7"/>
  <c r="J111" i="7"/>
  <c r="J119" i="7"/>
  <c r="J127" i="7"/>
  <c r="J135" i="7"/>
  <c r="J143" i="7"/>
  <c r="J151" i="7"/>
  <c r="J159" i="7"/>
  <c r="J167" i="7"/>
  <c r="J175" i="7"/>
  <c r="J183" i="7"/>
  <c r="J191" i="7"/>
  <c r="J23" i="7"/>
  <c r="J31" i="7"/>
  <c r="J39" i="7"/>
  <c r="R10" i="7" l="1"/>
  <c r="Z10" i="7"/>
  <c r="J10" i="7"/>
</calcChain>
</file>

<file path=xl/sharedStrings.xml><?xml version="1.0" encoding="utf-8"?>
<sst xmlns="http://schemas.openxmlformats.org/spreadsheetml/2006/main" count="3527" uniqueCount="492">
  <si>
    <t>Country</t>
  </si>
  <si>
    <t>Year</t>
  </si>
  <si>
    <t>SP1</t>
  </si>
  <si>
    <t>SP2</t>
  </si>
  <si>
    <t>SP3</t>
  </si>
  <si>
    <t>SP4</t>
  </si>
  <si>
    <t>SP5</t>
  </si>
  <si>
    <t>Papua New Guinea</t>
  </si>
  <si>
    <t>Thailand</t>
  </si>
  <si>
    <t>Lao People's Democratic Republic</t>
  </si>
  <si>
    <t>Swiss Red Cross</t>
  </si>
  <si>
    <t>Cambodia</t>
  </si>
  <si>
    <t>Viet Nam</t>
  </si>
  <si>
    <t>Albania</t>
  </si>
  <si>
    <t>Austrian Red Cross</t>
  </si>
  <si>
    <t>Italian Red Cross</t>
  </si>
  <si>
    <t>Armenia</t>
  </si>
  <si>
    <t>Bangladesh</t>
  </si>
  <si>
    <t>American Red Cross</t>
  </si>
  <si>
    <t>British Red Cross</t>
  </si>
  <si>
    <t>Danish Red Cross</t>
  </si>
  <si>
    <t>German Red Cross</t>
  </si>
  <si>
    <t>Japanese Red Cross Society</t>
  </si>
  <si>
    <t>Swedish Red Cross</t>
  </si>
  <si>
    <t>Bulgaria</t>
  </si>
  <si>
    <t>Honduras</t>
  </si>
  <si>
    <t>Norwegian Red Cross</t>
  </si>
  <si>
    <t>Spanish Red Cross</t>
  </si>
  <si>
    <t>The Canadian Red Cross Society</t>
  </si>
  <si>
    <t>Comoros</t>
  </si>
  <si>
    <t>Belarus</t>
  </si>
  <si>
    <t>Russian Federation</t>
  </si>
  <si>
    <t>Libya</t>
  </si>
  <si>
    <t>Pakistan</t>
  </si>
  <si>
    <t>Turkish Red Crescent Society</t>
  </si>
  <si>
    <t>Yemen</t>
  </si>
  <si>
    <t>South Sudan</t>
  </si>
  <si>
    <t>Finnish Red Cross</t>
  </si>
  <si>
    <t>The Netherlands Red Cross</t>
  </si>
  <si>
    <t>Argentina</t>
  </si>
  <si>
    <t>Brazil</t>
  </si>
  <si>
    <t>Chile</t>
  </si>
  <si>
    <t>Paraguay</t>
  </si>
  <si>
    <t>Uruguay</t>
  </si>
  <si>
    <t>Philippines</t>
  </si>
  <si>
    <t>India</t>
  </si>
  <si>
    <t>Madagascar</t>
  </si>
  <si>
    <t>Malaysia</t>
  </si>
  <si>
    <t>Montenegro</t>
  </si>
  <si>
    <t>Romania</t>
  </si>
  <si>
    <t>French Red Cross</t>
  </si>
  <si>
    <t>Serbia</t>
  </si>
  <si>
    <t>Somalia</t>
  </si>
  <si>
    <t>Seychelles</t>
  </si>
  <si>
    <t>Syrian Arab Republic</t>
  </si>
  <si>
    <t>Tanzania, United Republic of</t>
  </si>
  <si>
    <t>Kenya Red Cross Society</t>
  </si>
  <si>
    <t>Türkiye</t>
  </si>
  <si>
    <t>Bosnia and Herzegovina</t>
  </si>
  <si>
    <t>North Macedonia</t>
  </si>
  <si>
    <t>Croatia</t>
  </si>
  <si>
    <t>Lebanon</t>
  </si>
  <si>
    <t>Qatar Red Crescent Society</t>
  </si>
  <si>
    <t>National Society name</t>
  </si>
  <si>
    <t>Attribute</t>
  </si>
  <si>
    <t>Value</t>
  </si>
  <si>
    <t>EF</t>
  </si>
  <si>
    <t>Nepal</t>
  </si>
  <si>
    <t>Australian Red Cross</t>
  </si>
  <si>
    <t>Myanmar</t>
  </si>
  <si>
    <t>Ethiopia</t>
  </si>
  <si>
    <t>Rwanda</t>
  </si>
  <si>
    <t>Uganda</t>
  </si>
  <si>
    <t>Belgian Red Cross</t>
  </si>
  <si>
    <t>Benin</t>
  </si>
  <si>
    <t>Burkina Faso</t>
  </si>
  <si>
    <t>Burundi</t>
  </si>
  <si>
    <t>Congo, the Democratic Republic of the</t>
  </si>
  <si>
    <t>Mali</t>
  </si>
  <si>
    <t>Eswatini, the Kingdom of</t>
  </si>
  <si>
    <t>Nigeria</t>
  </si>
  <si>
    <t>Sierra Leone</t>
  </si>
  <si>
    <t>Iraq</t>
  </si>
  <si>
    <t>Afghanistan</t>
  </si>
  <si>
    <t>Congo</t>
  </si>
  <si>
    <t>Togo</t>
  </si>
  <si>
    <t>Icelandic Red Cross</t>
  </si>
  <si>
    <t>Irish Red Cross Society</t>
  </si>
  <si>
    <t>Angola</t>
  </si>
  <si>
    <t>Guinea-Bissau</t>
  </si>
  <si>
    <t>Panama</t>
  </si>
  <si>
    <t>Côte d'Ivoire</t>
  </si>
  <si>
    <t>Iran, Islamic Republic of</t>
  </si>
  <si>
    <t>Kuwait Red Crescent Society</t>
  </si>
  <si>
    <t>Luxembourg Red Cross</t>
  </si>
  <si>
    <t>Red Cross of Monaco</t>
  </si>
  <si>
    <t>Liberia</t>
  </si>
  <si>
    <t>The Republic of Korea National Red Cross</t>
  </si>
  <si>
    <t>Asia Pacific</t>
  </si>
  <si>
    <t>AFG</t>
  </si>
  <si>
    <t>Europe and Central Asia</t>
  </si>
  <si>
    <t>ALB</t>
  </si>
  <si>
    <t>AND</t>
  </si>
  <si>
    <t>Andorra</t>
  </si>
  <si>
    <t>ARE</t>
  </si>
  <si>
    <t>United Arab Emirates</t>
  </si>
  <si>
    <t>Americas</t>
  </si>
  <si>
    <t>ATG</t>
  </si>
  <si>
    <t>Antigua and Barbuda</t>
  </si>
  <si>
    <t>Africa</t>
  </si>
  <si>
    <t>AGO</t>
  </si>
  <si>
    <t>ARG</t>
  </si>
  <si>
    <t>ARM</t>
  </si>
  <si>
    <t>AUS</t>
  </si>
  <si>
    <t>Australia</t>
  </si>
  <si>
    <t>AUT</t>
  </si>
  <si>
    <t>Austria</t>
  </si>
  <si>
    <t>AZE</t>
  </si>
  <si>
    <t>Azerbaijan</t>
  </si>
  <si>
    <t>BHR</t>
  </si>
  <si>
    <t>Bahrain</t>
  </si>
  <si>
    <t>BHS</t>
  </si>
  <si>
    <t>Bahamas</t>
  </si>
  <si>
    <t>BGD</t>
  </si>
  <si>
    <t>BLR</t>
  </si>
  <si>
    <t>BIH</t>
  </si>
  <si>
    <t>BRB</t>
  </si>
  <si>
    <t>Barbados</t>
  </si>
  <si>
    <t>BEL</t>
  </si>
  <si>
    <t>Belgium</t>
  </si>
  <si>
    <t>BLZ</t>
  </si>
  <si>
    <t>Belize</t>
  </si>
  <si>
    <t>BTN</t>
  </si>
  <si>
    <t>Bhutan</t>
  </si>
  <si>
    <t>BFA</t>
  </si>
  <si>
    <t>BOL</t>
  </si>
  <si>
    <t>Bolivia, Plurinational State of</t>
  </si>
  <si>
    <t>BGR</t>
  </si>
  <si>
    <t>BEN</t>
  </si>
  <si>
    <t>BWA</t>
  </si>
  <si>
    <t>Botswana</t>
  </si>
  <si>
    <t>BDI</t>
  </si>
  <si>
    <t>BRA</t>
  </si>
  <si>
    <t>GBR</t>
  </si>
  <si>
    <t>United Kingdom</t>
  </si>
  <si>
    <t>BRN</t>
  </si>
  <si>
    <t>Brunei Darussalam</t>
  </si>
  <si>
    <t>KHM</t>
  </si>
  <si>
    <t>CMR</t>
  </si>
  <si>
    <t>Cameroon</t>
  </si>
  <si>
    <t>CAF</t>
  </si>
  <si>
    <t>Central African Republic</t>
  </si>
  <si>
    <t>GNQ</t>
  </si>
  <si>
    <t>Equatorial Guinea</t>
  </si>
  <si>
    <t>CHL</t>
  </si>
  <si>
    <t>GRC</t>
  </si>
  <si>
    <t>Greece</t>
  </si>
  <si>
    <t>COL</t>
  </si>
  <si>
    <t>Colombia</t>
  </si>
  <si>
    <t>CAN</t>
  </si>
  <si>
    <t>Canada</t>
  </si>
  <si>
    <t>GTM</t>
  </si>
  <si>
    <t>Guatemala</t>
  </si>
  <si>
    <t>COG</t>
  </si>
  <si>
    <t>CPV</t>
  </si>
  <si>
    <t>Cape Verde</t>
  </si>
  <si>
    <t>COK</t>
  </si>
  <si>
    <t>Cook Islands</t>
  </si>
  <si>
    <t>CRI</t>
  </si>
  <si>
    <t>Costa Rica</t>
  </si>
  <si>
    <t>CUB</t>
  </si>
  <si>
    <t>Cuba</t>
  </si>
  <si>
    <t>COD</t>
  </si>
  <si>
    <t>CHN</t>
  </si>
  <si>
    <t>China</t>
  </si>
  <si>
    <t>CYP</t>
  </si>
  <si>
    <t>Cyprus</t>
  </si>
  <si>
    <t>CZE</t>
  </si>
  <si>
    <t>Czech Republic</t>
  </si>
  <si>
    <t>CHE</t>
  </si>
  <si>
    <t>Switzerland</t>
  </si>
  <si>
    <t>COM</t>
  </si>
  <si>
    <t>CIV</t>
  </si>
  <si>
    <t>DNK</t>
  </si>
  <si>
    <t>Denmark</t>
  </si>
  <si>
    <t>DMA</t>
  </si>
  <si>
    <t>Dominica</t>
  </si>
  <si>
    <t>DOM</t>
  </si>
  <si>
    <t>Dominican Republic</t>
  </si>
  <si>
    <t>ECU</t>
  </si>
  <si>
    <t>Ecuador</t>
  </si>
  <si>
    <t>EGY</t>
  </si>
  <si>
    <t>Egypt</t>
  </si>
  <si>
    <t>EST</t>
  </si>
  <si>
    <t>Estonia</t>
  </si>
  <si>
    <t>ETH</t>
  </si>
  <si>
    <t>FJI</t>
  </si>
  <si>
    <t>Fiji</t>
  </si>
  <si>
    <t>FIN</t>
  </si>
  <si>
    <t>Finland</t>
  </si>
  <si>
    <t>PRK</t>
  </si>
  <si>
    <t>Korea, Democratic People's Republic of</t>
  </si>
  <si>
    <t>GAB</t>
  </si>
  <si>
    <t>Gabon</t>
  </si>
  <si>
    <t>DEU</t>
  </si>
  <si>
    <t>Germany</t>
  </si>
  <si>
    <t>DJI</t>
  </si>
  <si>
    <t>Djibouti</t>
  </si>
  <si>
    <t>GHA</t>
  </si>
  <si>
    <t>Ghana</t>
  </si>
  <si>
    <t>JAM</t>
  </si>
  <si>
    <t>Jamaica</t>
  </si>
  <si>
    <t>GRD</t>
  </si>
  <si>
    <t>Grenada</t>
  </si>
  <si>
    <t>JOR</t>
  </si>
  <si>
    <t>Jordan</t>
  </si>
  <si>
    <t>JPN</t>
  </si>
  <si>
    <t>Japan</t>
  </si>
  <si>
    <t>HTI</t>
  </si>
  <si>
    <t>Haiti</t>
  </si>
  <si>
    <t>KEN</t>
  </si>
  <si>
    <t>Kenya</t>
  </si>
  <si>
    <t>HND</t>
  </si>
  <si>
    <t>KIR</t>
  </si>
  <si>
    <t>Kiribati</t>
  </si>
  <si>
    <t>HUN</t>
  </si>
  <si>
    <t>Hungary</t>
  </si>
  <si>
    <t>IND</t>
  </si>
  <si>
    <t>IDN</t>
  </si>
  <si>
    <t>Indonesia</t>
  </si>
  <si>
    <t>IRQ</t>
  </si>
  <si>
    <t>IRL</t>
  </si>
  <si>
    <t>Ireland</t>
  </si>
  <si>
    <t>ISR</t>
  </si>
  <si>
    <t>Israel</t>
  </si>
  <si>
    <t>ITA</t>
  </si>
  <si>
    <t>Italy</t>
  </si>
  <si>
    <t>GMB</t>
  </si>
  <si>
    <t>Gambia</t>
  </si>
  <si>
    <t>ESP</t>
  </si>
  <si>
    <t>Spain</t>
  </si>
  <si>
    <t>GEO</t>
  </si>
  <si>
    <t>Georgia</t>
  </si>
  <si>
    <t>FSM</t>
  </si>
  <si>
    <t>Micronesia, Federated States of</t>
  </si>
  <si>
    <t>KWT</t>
  </si>
  <si>
    <t>Kuwait</t>
  </si>
  <si>
    <t>GIN</t>
  </si>
  <si>
    <t>Guinea</t>
  </si>
  <si>
    <t>LAO</t>
  </si>
  <si>
    <t>GNB</t>
  </si>
  <si>
    <t>LVA</t>
  </si>
  <si>
    <t>Latvia</t>
  </si>
  <si>
    <t>GUY</t>
  </si>
  <si>
    <t>Guyana</t>
  </si>
  <si>
    <t>LBN</t>
  </si>
  <si>
    <t>LSO</t>
  </si>
  <si>
    <t>Lesotho</t>
  </si>
  <si>
    <t>LBR</t>
  </si>
  <si>
    <t>LBY</t>
  </si>
  <si>
    <t>LIE</t>
  </si>
  <si>
    <t>Liechtenstein</t>
  </si>
  <si>
    <t>LTU</t>
  </si>
  <si>
    <t>Lithuania</t>
  </si>
  <si>
    <t>LUX</t>
  </si>
  <si>
    <t>Luxembourg</t>
  </si>
  <si>
    <t>IRN</t>
  </si>
  <si>
    <t>MDG</t>
  </si>
  <si>
    <t>MWI</t>
  </si>
  <si>
    <t>Malawi</t>
  </si>
  <si>
    <t>MYS</t>
  </si>
  <si>
    <t>NGA</t>
  </si>
  <si>
    <t>NIC</t>
  </si>
  <si>
    <t>Nicaragua</t>
  </si>
  <si>
    <t>MLI</t>
  </si>
  <si>
    <t>NLD</t>
  </si>
  <si>
    <t>Netherlands</t>
  </si>
  <si>
    <t>MLT</t>
  </si>
  <si>
    <t>Malta</t>
  </si>
  <si>
    <t>NOR</t>
  </si>
  <si>
    <t>Norway</t>
  </si>
  <si>
    <t>MHL</t>
  </si>
  <si>
    <t>Marshall Islands</t>
  </si>
  <si>
    <t>MRT</t>
  </si>
  <si>
    <t>Mauritania</t>
  </si>
  <si>
    <t>MUS</t>
  </si>
  <si>
    <t>Mauritius</t>
  </si>
  <si>
    <t>MEX</t>
  </si>
  <si>
    <t>Mexico</t>
  </si>
  <si>
    <t>MNG</t>
  </si>
  <si>
    <t>Mongolia</t>
  </si>
  <si>
    <t>MAR</t>
  </si>
  <si>
    <t>Morocco</t>
  </si>
  <si>
    <t>MOZ</t>
  </si>
  <si>
    <t>Mozambique</t>
  </si>
  <si>
    <t>NPL</t>
  </si>
  <si>
    <t>MMR</t>
  </si>
  <si>
    <t>NAM</t>
  </si>
  <si>
    <t>Namibia</t>
  </si>
  <si>
    <t>NZL</t>
  </si>
  <si>
    <t>New Zealand</t>
  </si>
  <si>
    <t>PAK</t>
  </si>
  <si>
    <t>KNA</t>
  </si>
  <si>
    <t>Saint Kitts and Nevis</t>
  </si>
  <si>
    <t>PNG</t>
  </si>
  <si>
    <t>KOR</t>
  </si>
  <si>
    <t>Korea, Republic of</t>
  </si>
  <si>
    <t>PRY</t>
  </si>
  <si>
    <t>PER</t>
  </si>
  <si>
    <t>Peru</t>
  </si>
  <si>
    <t>PHL</t>
  </si>
  <si>
    <t>LKA</t>
  </si>
  <si>
    <t>Sri Lanka</t>
  </si>
  <si>
    <t>POL</t>
  </si>
  <si>
    <t>Poland</t>
  </si>
  <si>
    <t>PRT</t>
  </si>
  <si>
    <t>Portugal</t>
  </si>
  <si>
    <t>QAT</t>
  </si>
  <si>
    <t>Qatar</t>
  </si>
  <si>
    <t>MDA</t>
  </si>
  <si>
    <t>Moldova, Republic of</t>
  </si>
  <si>
    <t>MCO</t>
  </si>
  <si>
    <t>Monaco</t>
  </si>
  <si>
    <t>NER</t>
  </si>
  <si>
    <t>Niger</t>
  </si>
  <si>
    <t>MKD</t>
  </si>
  <si>
    <t>PSE</t>
  </si>
  <si>
    <t>Palestine, State of</t>
  </si>
  <si>
    <t>PAN</t>
  </si>
  <si>
    <t>LCA</t>
  </si>
  <si>
    <t>Saint Lucia</t>
  </si>
  <si>
    <t>ROU</t>
  </si>
  <si>
    <t>RWA</t>
  </si>
  <si>
    <t>RUS</t>
  </si>
  <si>
    <t>SAU</t>
  </si>
  <si>
    <t>Saudi Arabia</t>
  </si>
  <si>
    <t>SLE</t>
  </si>
  <si>
    <t>SRB</t>
  </si>
  <si>
    <t>SLB</t>
  </si>
  <si>
    <t>Solomon Islands</t>
  </si>
  <si>
    <t>SYC</t>
  </si>
  <si>
    <t>SDN</t>
  </si>
  <si>
    <t>Sudan</t>
  </si>
  <si>
    <t>SWE</t>
  </si>
  <si>
    <t>Sweden</t>
  </si>
  <si>
    <t>SGP</t>
  </si>
  <si>
    <t>Singapore</t>
  </si>
  <si>
    <t>SVN</t>
  </si>
  <si>
    <t>Slovenia</t>
  </si>
  <si>
    <t>SVK</t>
  </si>
  <si>
    <t>Slovakia</t>
  </si>
  <si>
    <t>SMR</t>
  </si>
  <si>
    <t>San Marino</t>
  </si>
  <si>
    <t>SEN</t>
  </si>
  <si>
    <t>Senegal</t>
  </si>
  <si>
    <t>SOM</t>
  </si>
  <si>
    <t>SUR</t>
  </si>
  <si>
    <t>Suriname</t>
  </si>
  <si>
    <t>SSD</t>
  </si>
  <si>
    <t>STP</t>
  </si>
  <si>
    <t>Sao Tome and Principe</t>
  </si>
  <si>
    <t>SLV</t>
  </si>
  <si>
    <t>El Salvador</t>
  </si>
  <si>
    <t>SYR</t>
  </si>
  <si>
    <t>SWZ</t>
  </si>
  <si>
    <t>TCD</t>
  </si>
  <si>
    <t>Chad</t>
  </si>
  <si>
    <t>TGO</t>
  </si>
  <si>
    <t>THA</t>
  </si>
  <si>
    <t>TJK</t>
  </si>
  <si>
    <t>Tajikistan</t>
  </si>
  <si>
    <t>TLS</t>
  </si>
  <si>
    <t>Timor-Leste</t>
  </si>
  <si>
    <t>TKM</t>
  </si>
  <si>
    <t>Turkmenistan</t>
  </si>
  <si>
    <t>TUN</t>
  </si>
  <si>
    <t>Tunisia</t>
  </si>
  <si>
    <t>TON</t>
  </si>
  <si>
    <t>Tonga</t>
  </si>
  <si>
    <t>TUR</t>
  </si>
  <si>
    <t>TTO</t>
  </si>
  <si>
    <t>Trinidad and Tobago</t>
  </si>
  <si>
    <t>TUV</t>
  </si>
  <si>
    <t>Tuvalu</t>
  </si>
  <si>
    <t>TZA</t>
  </si>
  <si>
    <t>UKR</t>
  </si>
  <si>
    <t>Ukraine</t>
  </si>
  <si>
    <t>UGA</t>
  </si>
  <si>
    <t>USA</t>
  </si>
  <si>
    <t>United States</t>
  </si>
  <si>
    <t>UZB</t>
  </si>
  <si>
    <t>Uzbekistan</t>
  </si>
  <si>
    <t>VCT</t>
  </si>
  <si>
    <t>Saint Vincent and the Grenadines</t>
  </si>
  <si>
    <t>VEN</t>
  </si>
  <si>
    <t>Venezuela, Bolivarian Republic of</t>
  </si>
  <si>
    <t>VNM</t>
  </si>
  <si>
    <t>VUT</t>
  </si>
  <si>
    <t>Vanuatu</t>
  </si>
  <si>
    <t>WSM</t>
  </si>
  <si>
    <t>Samoa</t>
  </si>
  <si>
    <t>YEM</t>
  </si>
  <si>
    <t>ZAF</t>
  </si>
  <si>
    <t>South Africa</t>
  </si>
  <si>
    <t>ZMB</t>
  </si>
  <si>
    <t>Zambia</t>
  </si>
  <si>
    <t>ZWE</t>
  </si>
  <si>
    <t>Zimbabwe</t>
  </si>
  <si>
    <t>DZA</t>
  </si>
  <si>
    <t>Algeria</t>
  </si>
  <si>
    <t>HRV</t>
  </si>
  <si>
    <t>FRA</t>
  </si>
  <si>
    <t>France</t>
  </si>
  <si>
    <t>KGZ</t>
  </si>
  <si>
    <t>Kyrgyzstan</t>
  </si>
  <si>
    <t>ISL</t>
  </si>
  <si>
    <t>Iceland</t>
  </si>
  <si>
    <t>KAZ</t>
  </si>
  <si>
    <t>Kazakhstan</t>
  </si>
  <si>
    <t>MDV</t>
  </si>
  <si>
    <t>Maldives</t>
  </si>
  <si>
    <t>PLW</t>
  </si>
  <si>
    <t>Palau</t>
  </si>
  <si>
    <t>MNE</t>
  </si>
  <si>
    <t>URY</t>
  </si>
  <si>
    <t>Region</t>
  </si>
  <si>
    <t>ISO3</t>
  </si>
  <si>
    <t>Please select your National Society here --&gt;</t>
  </si>
  <si>
    <t>Other</t>
  </si>
  <si>
    <t>Iranian Red Crescent</t>
  </si>
  <si>
    <t>Magen David Adom</t>
  </si>
  <si>
    <t>New Zealand Red Cross</t>
  </si>
  <si>
    <t>United Arab Emirates Red Crescent</t>
  </si>
  <si>
    <t>MENA</t>
  </si>
  <si>
    <t>IFRC Secretariat</t>
  </si>
  <si>
    <t>All other sources</t>
  </si>
  <si>
    <t>Europe</t>
  </si>
  <si>
    <t>ICRC</t>
  </si>
  <si>
    <t>Asia</t>
  </si>
  <si>
    <t>The Thai Red Cross Society</t>
  </si>
  <si>
    <t>Indonesian Red Cross Society</t>
  </si>
  <si>
    <t>Singapore Red Cross</t>
  </si>
  <si>
    <t>UUI</t>
  </si>
  <si>
    <t>MDRNG032</t>
  </si>
  <si>
    <t>MDRNG037</t>
  </si>
  <si>
    <t>Red Crescent Society of the Islamic Republic of Iran</t>
  </si>
  <si>
    <t>Red Crescent Society of the United Arab Emirates</t>
  </si>
  <si>
    <t>Iraqi Red Crescent Society</t>
  </si>
  <si>
    <t>Albanian Red Cross</t>
  </si>
  <si>
    <t>Bahrain Red Crescent Society</t>
  </si>
  <si>
    <t>Red Cross Society of China</t>
  </si>
  <si>
    <t>Philippine Red Cross</t>
  </si>
  <si>
    <t>Slovenian Red Cross</t>
  </si>
  <si>
    <t>Hong Kong Branch, Red Cross Society of China</t>
  </si>
  <si>
    <t>Taiwan Red Cross Orgnisation</t>
  </si>
  <si>
    <t>Hong Kong Red Cross, Branch of the Red Cross Society of China</t>
  </si>
  <si>
    <t># of international delegates integrated with the HNS</t>
  </si>
  <si>
    <t># of international delegates integrated with the IFRC</t>
  </si>
  <si>
    <t>Gabonese Red Cross Society</t>
  </si>
  <si>
    <t>Red Cross of Montenegro</t>
  </si>
  <si>
    <t>EFs</t>
  </si>
  <si>
    <t>Confirmed Funding</t>
  </si>
  <si>
    <t>Funding Requirement</t>
  </si>
  <si>
    <t>Totals</t>
  </si>
  <si>
    <t xml:space="preserve">Confirmed Funding </t>
  </si>
  <si>
    <t xml:space="preserve">Confirmed Funding  </t>
  </si>
  <si>
    <t>Total Funding Requirement</t>
  </si>
  <si>
    <t xml:space="preserve">Total Funding Requirement </t>
  </si>
  <si>
    <t xml:space="preserve">Total Funding Requirement  </t>
  </si>
  <si>
    <t># of national staff hired through the HNS (PNS operating under HNS legal umbrella)</t>
  </si>
  <si>
    <t xml:space="preserve"># of national staff hired through the IFRC (PNS operating under IFRC legal umbrella)
</t>
  </si>
  <si>
    <t># of national staff hired through the HNS (PNS operating under IFRC legal umbrella)</t>
  </si>
  <si>
    <r>
      <rPr>
        <b/>
        <sz val="11"/>
        <color rgb="FFFF0000"/>
        <rFont val="Calibri"/>
        <family val="2"/>
        <scheme val="minor"/>
      </rPr>
      <t>Instructions:</t>
    </r>
    <r>
      <rPr>
        <sz val="11"/>
        <color theme="1"/>
        <rFont val="Calibri"/>
        <family val="2"/>
        <scheme val="minor"/>
      </rPr>
      <t xml:space="preserve">
</t>
    </r>
    <r>
      <rPr>
        <b/>
        <sz val="11"/>
        <color theme="4" tint="-0.249977111117893"/>
        <rFont val="Calibri"/>
        <family val="2"/>
        <scheme val="minor"/>
      </rPr>
      <t>1.</t>
    </r>
    <r>
      <rPr>
        <sz val="11"/>
        <color theme="1"/>
        <rFont val="Calibri"/>
        <family val="2"/>
        <scheme val="minor"/>
      </rPr>
      <t xml:space="preserve"> Select your National Society from the dropdown menu on the left .
</t>
    </r>
    <r>
      <rPr>
        <b/>
        <sz val="11"/>
        <color theme="4" tint="-0.249977111117893"/>
        <rFont val="Calibri"/>
        <family val="2"/>
        <scheme val="minor"/>
      </rPr>
      <t>2.</t>
    </r>
    <r>
      <rPr>
        <sz val="11"/>
        <color theme="1"/>
        <rFont val="Calibri"/>
        <family val="2"/>
        <scheme val="minor"/>
      </rPr>
      <t xml:space="preserve"> Upon selection, the table beneath will update to display data indicating the planned funding from your National Society as reported by our delegations at country level. Please note that not all countries have reported data yet, so the information shown may be partial. You may modify an existing value or input a new one if it is absent.
</t>
    </r>
    <r>
      <rPr>
        <b/>
        <sz val="11"/>
        <color theme="4" tint="-0.249977111117893"/>
        <rFont val="Calibri"/>
        <family val="2"/>
        <scheme val="minor"/>
      </rPr>
      <t>3.</t>
    </r>
    <r>
      <rPr>
        <sz val="11"/>
        <color theme="1"/>
        <rFont val="Calibri"/>
        <family val="2"/>
        <scheme val="minor"/>
      </rPr>
      <t xml:space="preserve"> The data is organized according to the IFRC Strategic Priorities and Enabling Functions.</t>
    </r>
    <r>
      <rPr>
        <b/>
        <i/>
        <sz val="11"/>
        <color theme="1"/>
        <rFont val="Calibri"/>
        <family val="2"/>
        <scheme val="minor"/>
      </rPr>
      <t xml:space="preserve"> 
If your data isn't categorized</t>
    </r>
    <r>
      <rPr>
        <sz val="11"/>
        <color theme="1"/>
        <rFont val="Calibri"/>
        <family val="2"/>
        <scheme val="minor"/>
      </rPr>
      <t xml:space="preserve"> in this manner, please input it directly into the '</t>
    </r>
    <r>
      <rPr>
        <b/>
        <sz val="11"/>
        <color theme="1"/>
        <rFont val="Calibri"/>
        <family val="2"/>
        <scheme val="minor"/>
      </rPr>
      <t>Total</t>
    </r>
    <r>
      <rPr>
        <sz val="11"/>
        <color theme="1"/>
        <rFont val="Calibri"/>
        <family val="2"/>
        <scheme val="minor"/>
      </rPr>
      <t xml:space="preserve">' column.
</t>
    </r>
    <r>
      <rPr>
        <b/>
        <sz val="11"/>
        <color theme="4" tint="-0.249977111117893"/>
        <rFont val="Calibri"/>
        <family val="2"/>
        <scheme val="minor"/>
      </rPr>
      <t>4.</t>
    </r>
    <r>
      <rPr>
        <sz val="11"/>
        <color theme="1"/>
        <rFont val="Calibri"/>
        <family val="2"/>
        <scheme val="minor"/>
      </rPr>
      <t xml:space="preserve"> Once completed, please send back to</t>
    </r>
    <r>
      <rPr>
        <i/>
        <sz val="11"/>
        <color theme="4"/>
        <rFont val="Calibri"/>
        <family val="2"/>
        <scheme val="minor"/>
      </rPr>
      <t xml:space="preserve"> haytham.alsoufi@ifrc.org.</t>
    </r>
  </si>
  <si>
    <t>Response - Disasters and Crises</t>
  </si>
  <si>
    <t>Resilience - Climate and environment</t>
  </si>
  <si>
    <t>Resilience - Health and wellbeing</t>
  </si>
  <si>
    <t>Resilience - Migration and displacement</t>
  </si>
  <si>
    <t>Respect - Values, power and inclusion</t>
  </si>
  <si>
    <t xml:space="preserve">Response - Disasters and Crises </t>
  </si>
  <si>
    <t xml:space="preserve">Resilience - Climate and environment </t>
  </si>
  <si>
    <t xml:space="preserve">Resilience - Health and wellbeing </t>
  </si>
  <si>
    <t xml:space="preserve">Resilience - Migration and displacement </t>
  </si>
  <si>
    <t xml:space="preserve">Respect - Values, power and inclusion </t>
  </si>
  <si>
    <t xml:space="preserve">Response - Disasters and Crises  </t>
  </si>
  <si>
    <t xml:space="preserve">Resilience - Climate and environment  </t>
  </si>
  <si>
    <t xml:space="preserve">Resilience - Health and wellbeing  </t>
  </si>
  <si>
    <t xml:space="preserve">Resilience - Migration and displacement  </t>
  </si>
  <si>
    <t xml:space="preserve">Respect - Values, power and inclusion  </t>
  </si>
  <si>
    <t>Enabling Functions</t>
  </si>
  <si>
    <t xml:space="preserve">Enabling Functions </t>
  </si>
  <si>
    <t xml:space="preserve">Enabling Functions  </t>
  </si>
  <si>
    <t>Planned funding requirements for your 2027-2029 bilateral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</si>
</sst>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 ;_ * \-#,##0.00_ ;_ * &quot;-&quot;??_ ;_ @_ "/>
    <numFmt numFmtId="165" formatCode="_ * #,##0_ ;_ * \-#,##0_ ;_ * &quot;-&quot;??_ ;_ @_ "/>
  </numFmts>
  <fonts count="17"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sz val="11"/>
      <name val="Calibri"/>
      <family val="2"/>
      <scheme val="minor"/>
    </font>
    <font>
      <b/>
      <sz val="11"/>
      <name val="Calibri"/>
      <family val="2"/>
      <scheme val="minor"/>
    </font>
    <font>
      <i/>
      <sz val="11"/>
      <color theme="1"/>
      <name val="Calibri"/>
      <family val="2"/>
      <scheme val="minor"/>
    </font>
    <font>
      <b/>
      <sz val="11"/>
      <name val="Calibri"/>
      <family val="2"/>
    </font>
    <font>
      <sz val="11"/>
      <color rgb="FF9C0006"/>
      <name val="Calibri"/>
      <family val="2"/>
      <scheme val="minor"/>
    </font>
    <font>
      <b/>
      <sz val="11"/>
      <color rgb="FF9C0006"/>
      <name val="Calibri"/>
      <family val="2"/>
      <scheme val="minor"/>
    </font>
    <font>
      <b/>
      <sz val="11"/>
      <color rgb="FFFF0000"/>
      <name val="Calibri"/>
      <family val="2"/>
      <scheme val="minor"/>
    </font>
    <font>
      <b/>
      <i/>
      <sz val="11"/>
      <color theme="1"/>
      <name val="Calibri"/>
      <family val="2"/>
      <scheme val="minor"/>
    </font>
    <font>
      <b/>
      <sz val="11"/>
      <color theme="4" tint="-0.249977111117893"/>
      <name val="Calibri"/>
      <family val="2"/>
      <scheme val="minor"/>
    </font>
    <font>
      <b/>
      <sz val="18"/>
      <color theme="1"/>
      <name val="Calibri"/>
      <family val="2"/>
      <scheme val="minor"/>
    </font>
    <font>
      <b/>
      <i/>
      <sz val="12"/>
      <color rgb="FFFF0000"/>
      <name val="Calibri"/>
      <family val="2"/>
      <scheme val="minor"/>
    </font>
    <font>
      <i/>
      <sz val="11"/>
      <color theme="4"/>
      <name val="Calibri"/>
      <family val="2"/>
      <scheme val="minor"/>
    </font>
    <font>
      <sz val="11"/>
      <color rgb="FF3F3F76"/>
      <name val="Calibri"/>
      <family val="2"/>
      <scheme val="minor"/>
    </font>
  </fonts>
  <fills count="14">
    <fill>
      <patternFill patternType="none"/>
    </fill>
    <fill>
      <patternFill patternType="gray125"/>
    </fill>
    <fill>
      <patternFill patternType="solid">
        <fgColor rgb="FFFFFFCC"/>
      </patternFill>
    </fill>
    <fill>
      <patternFill patternType="solid">
        <fgColor theme="0"/>
        <bgColor indexed="64"/>
      </patternFill>
    </fill>
    <fill>
      <patternFill patternType="solid">
        <fgColor rgb="FFFFC7CE"/>
      </patternFill>
    </fill>
    <fill>
      <patternFill patternType="solid">
        <fgColor theme="3"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6" tint="0.79998168889431442"/>
        <bgColor theme="6" tint="0.79998168889431442"/>
      </patternFill>
    </fill>
    <fill>
      <patternFill patternType="solid">
        <fgColor rgb="FFFFCC99"/>
      </patternFill>
    </fill>
    <fill>
      <patternFill patternType="solid">
        <fgColor theme="7" tint="0.59999389629810485"/>
        <bgColor indexed="65"/>
      </patternFill>
    </fill>
    <fill>
      <patternFill patternType="solid">
        <fgColor theme="7" tint="0.39997558519241921"/>
        <bgColor indexed="65"/>
      </patternFill>
    </fill>
    <fill>
      <patternFill patternType="solid">
        <fgColor theme="9" tint="0.79998168889431442"/>
        <bgColor indexed="65"/>
      </patternFill>
    </fill>
    <fill>
      <patternFill patternType="solid">
        <fgColor theme="9" tint="0.39997558519241921"/>
        <bgColor indexed="65"/>
      </patternFill>
    </fill>
  </fills>
  <borders count="30">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medium">
        <color theme="1" tint="0.34998626667073579"/>
      </left>
      <right style="thin">
        <color theme="0" tint="-0.499984740745262"/>
      </right>
      <top style="medium">
        <color theme="1" tint="0.34998626667073579"/>
      </top>
      <bottom style="thin">
        <color theme="0" tint="-0.499984740745262"/>
      </bottom>
      <diagonal/>
    </border>
    <border>
      <left style="thin">
        <color theme="0" tint="-0.499984740745262"/>
      </left>
      <right style="thin">
        <color theme="0" tint="-0.499984740745262"/>
      </right>
      <top style="medium">
        <color theme="1" tint="0.34998626667073579"/>
      </top>
      <bottom style="thin">
        <color theme="0" tint="-0.499984740745262"/>
      </bottom>
      <diagonal/>
    </border>
    <border>
      <left style="thin">
        <color theme="0" tint="-0.499984740745262"/>
      </left>
      <right style="medium">
        <color theme="1" tint="0.34998626667073579"/>
      </right>
      <top style="medium">
        <color theme="1" tint="0.34998626667073579"/>
      </top>
      <bottom style="thin">
        <color theme="0" tint="-0.499984740745262"/>
      </bottom>
      <diagonal/>
    </border>
    <border>
      <left style="medium">
        <color theme="1" tint="0.34998626667073579"/>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1" tint="0.34998626667073579"/>
      </right>
      <top style="thin">
        <color theme="0" tint="-0.499984740745262"/>
      </top>
      <bottom style="thin">
        <color theme="0" tint="-0.499984740745262"/>
      </bottom>
      <diagonal/>
    </border>
    <border>
      <left style="medium">
        <color theme="1" tint="0.34998626667073579"/>
      </left>
      <right style="thin">
        <color theme="0" tint="-0.499984740745262"/>
      </right>
      <top style="thin">
        <color theme="0" tint="-0.499984740745262"/>
      </top>
      <bottom style="medium">
        <color theme="1" tint="0.34998626667073579"/>
      </bottom>
      <diagonal/>
    </border>
    <border>
      <left style="thin">
        <color theme="0" tint="-0.499984740745262"/>
      </left>
      <right style="thin">
        <color theme="0" tint="-0.499984740745262"/>
      </right>
      <top style="thin">
        <color theme="0" tint="-0.499984740745262"/>
      </top>
      <bottom style="medium">
        <color theme="1" tint="0.34998626667073579"/>
      </bottom>
      <diagonal/>
    </border>
    <border>
      <left style="thin">
        <color theme="0" tint="-0.499984740745262"/>
      </left>
      <right style="medium">
        <color theme="1" tint="0.34998626667073579"/>
      </right>
      <top style="thin">
        <color theme="0" tint="-0.499984740745262"/>
      </top>
      <bottom style="medium">
        <color theme="1" tint="0.34998626667073579"/>
      </bottom>
      <diagonal/>
    </border>
    <border>
      <left/>
      <right style="medium">
        <color theme="1" tint="0.34998626667073579"/>
      </right>
      <top style="thin">
        <color indexed="64"/>
      </top>
      <bottom style="thin">
        <color indexed="64"/>
      </bottom>
      <diagonal/>
    </border>
    <border>
      <left style="medium">
        <color theme="1" tint="0.34998626667073579"/>
      </left>
      <right/>
      <top style="medium">
        <color theme="1" tint="0.34998626667073579"/>
      </top>
      <bottom style="thin">
        <color theme="0" tint="-0.499984740745262"/>
      </bottom>
      <diagonal/>
    </border>
    <border>
      <left/>
      <right/>
      <top style="medium">
        <color theme="1" tint="0.34998626667073579"/>
      </top>
      <bottom style="thin">
        <color theme="0" tint="-0.499984740745262"/>
      </bottom>
      <diagonal/>
    </border>
    <border>
      <left/>
      <right style="medium">
        <color theme="1" tint="0.34998626667073579"/>
      </right>
      <top style="medium">
        <color theme="1" tint="0.34998626667073579"/>
      </top>
      <bottom style="thin">
        <color theme="0" tint="-0.499984740745262"/>
      </bottom>
      <diagonal/>
    </border>
  </borders>
  <cellStyleXfs count="9">
    <xf numFmtId="0" fontId="0" fillId="0" borderId="0"/>
    <xf numFmtId="164" fontId="1" fillId="0" borderId="0" applyFont="0" applyFill="0" applyBorder="0" applyAlignment="0" applyProtection="0"/>
    <xf numFmtId="0" fontId="1" fillId="2" borderId="1" applyNumberFormat="0" applyFont="0" applyAlignment="0" applyProtection="0"/>
    <xf numFmtId="0" fontId="8" fillId="4" borderId="0" applyNumberFormat="0" applyBorder="0" applyAlignment="0" applyProtection="0"/>
    <xf numFmtId="0" fontId="16" fillId="9" borderId="12" applyNumberForma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cellStyleXfs>
  <cellXfs count="75">
    <xf numFmtId="0" fontId="0" fillId="0" borderId="0" xfId="0"/>
    <xf numFmtId="0" fontId="0" fillId="3" borderId="0" xfId="0" applyFill="1"/>
    <xf numFmtId="0" fontId="6" fillId="3" borderId="0" xfId="0" applyFont="1" applyFill="1" applyAlignment="1">
      <alignment horizontal="center" vertical="center"/>
    </xf>
    <xf numFmtId="0" fontId="4" fillId="3" borderId="0" xfId="0" applyFont="1" applyFill="1"/>
    <xf numFmtId="165" fontId="4" fillId="3" borderId="0" xfId="1" applyNumberFormat="1" applyFont="1" applyFill="1" applyBorder="1" applyProtection="1">
      <protection locked="0" hidden="1"/>
    </xf>
    <xf numFmtId="165" fontId="5" fillId="3" borderId="0" xfId="1" applyNumberFormat="1" applyFont="1" applyFill="1" applyBorder="1" applyProtection="1">
      <protection locked="0" hidden="1"/>
    </xf>
    <xf numFmtId="165" fontId="7" fillId="3" borderId="0" xfId="1" applyNumberFormat="1" applyFont="1" applyFill="1" applyBorder="1" applyProtection="1">
      <protection locked="0" hidden="1"/>
    </xf>
    <xf numFmtId="0" fontId="13" fillId="3" borderId="0" xfId="0" applyFont="1" applyFill="1" applyAlignment="1">
      <alignment vertical="center"/>
    </xf>
    <xf numFmtId="0" fontId="0" fillId="0" borderId="0" xfId="0" applyAlignment="1">
      <alignment horizontal="center" vertical="center" wrapText="1"/>
    </xf>
    <xf numFmtId="0" fontId="0" fillId="3" borderId="0" xfId="0" applyFill="1" applyProtection="1">
      <protection hidden="1"/>
    </xf>
    <xf numFmtId="0" fontId="0" fillId="0" borderId="0" xfId="0" applyProtection="1">
      <protection hidden="1"/>
    </xf>
    <xf numFmtId="0" fontId="4" fillId="0" borderId="0" xfId="0" applyFont="1" applyProtection="1">
      <protection hidden="1"/>
    </xf>
    <xf numFmtId="0" fontId="0" fillId="3" borderId="0" xfId="2" applyFont="1" applyFill="1" applyBorder="1" applyAlignment="1" applyProtection="1">
      <alignment horizontal="left" vertical="center" wrapText="1" indent="1"/>
      <protection hidden="1"/>
    </xf>
    <xf numFmtId="0" fontId="9" fillId="3" borderId="0" xfId="3" applyFont="1" applyFill="1" applyAlignment="1" applyProtection="1">
      <alignment horizontal="center" vertical="center" wrapText="1"/>
      <protection hidden="1"/>
    </xf>
    <xf numFmtId="0" fontId="4" fillId="0" borderId="0" xfId="0" applyFont="1" applyAlignment="1" applyProtection="1">
      <alignment horizontal="center" vertical="center"/>
      <protection hidden="1"/>
    </xf>
    <xf numFmtId="0" fontId="0" fillId="0" borderId="2" xfId="0" applyBorder="1"/>
    <xf numFmtId="0" fontId="0" fillId="0" borderId="13" xfId="0" applyBorder="1"/>
    <xf numFmtId="0" fontId="4" fillId="8" borderId="14" xfId="0" applyFont="1" applyFill="1" applyBorder="1"/>
    <xf numFmtId="0" fontId="4" fillId="0" borderId="14" xfId="0" applyFont="1" applyBorder="1"/>
    <xf numFmtId="0" fontId="5" fillId="0" borderId="10" xfId="0" applyFont="1" applyBorder="1" applyAlignment="1">
      <alignment horizontal="center" vertical="center"/>
    </xf>
    <xf numFmtId="0" fontId="5" fillId="0" borderId="13" xfId="0" applyFont="1" applyBorder="1" applyAlignment="1">
      <alignment horizontal="center" vertical="center"/>
    </xf>
    <xf numFmtId="0" fontId="5" fillId="0" borderId="13" xfId="0" applyFont="1" applyBorder="1" applyAlignment="1">
      <alignment horizontal="center" vertical="center" wrapText="1"/>
    </xf>
    <xf numFmtId="0" fontId="4" fillId="0" borderId="5" xfId="0" applyFont="1" applyBorder="1"/>
    <xf numFmtId="0" fontId="4" fillId="8" borderId="2" xfId="0" applyFont="1" applyFill="1" applyBorder="1" applyAlignment="1">
      <alignment horizontal="left" indent="1"/>
    </xf>
    <xf numFmtId="0" fontId="4" fillId="0" borderId="2" xfId="0" applyFont="1" applyBorder="1" applyAlignment="1">
      <alignment horizontal="left" indent="1"/>
    </xf>
    <xf numFmtId="0" fontId="4" fillId="0" borderId="15" xfId="0" applyFont="1" applyBorder="1" applyAlignment="1">
      <alignment horizontal="left" indent="1"/>
    </xf>
    <xf numFmtId="0" fontId="0" fillId="0" borderId="0" xfId="0" applyAlignment="1">
      <alignment horizontal="left" indent="1"/>
    </xf>
    <xf numFmtId="165" fontId="0" fillId="0" borderId="0" xfId="1" applyNumberFormat="1" applyFont="1"/>
    <xf numFmtId="0" fontId="16" fillId="9" borderId="12" xfId="4"/>
    <xf numFmtId="0" fontId="1" fillId="13" borderId="22" xfId="8" applyBorder="1" applyAlignment="1" applyProtection="1">
      <alignment horizontal="center" vertical="center"/>
      <protection hidden="1"/>
    </xf>
    <xf numFmtId="165" fontId="4" fillId="6" borderId="20" xfId="1" applyNumberFormat="1" applyFont="1" applyFill="1" applyBorder="1" applyProtection="1">
      <protection locked="0" hidden="1"/>
    </xf>
    <xf numFmtId="165" fontId="4" fillId="6" borderId="21" xfId="1" applyNumberFormat="1" applyFont="1" applyFill="1" applyBorder="1" applyProtection="1">
      <protection locked="0" hidden="1"/>
    </xf>
    <xf numFmtId="165" fontId="1" fillId="10" borderId="21" xfId="5" applyNumberFormat="1" applyBorder="1" applyProtection="1">
      <protection locked="0" hidden="1"/>
    </xf>
    <xf numFmtId="165" fontId="4" fillId="6" borderId="23" xfId="1" applyNumberFormat="1" applyFont="1" applyFill="1" applyBorder="1" applyProtection="1">
      <protection locked="0" hidden="1"/>
    </xf>
    <xf numFmtId="165" fontId="4" fillId="6" borderId="24" xfId="1" applyNumberFormat="1" applyFont="1" applyFill="1" applyBorder="1" applyProtection="1">
      <protection locked="0" hidden="1"/>
    </xf>
    <xf numFmtId="165" fontId="1" fillId="10" borderId="24" xfId="5" applyNumberFormat="1" applyBorder="1" applyProtection="1">
      <protection locked="0" hidden="1"/>
    </xf>
    <xf numFmtId="165" fontId="1" fillId="11" borderId="20" xfId="6" applyNumberFormat="1" applyBorder="1" applyAlignment="1" applyProtection="1">
      <alignment horizontal="center" vertical="center"/>
      <protection hidden="1"/>
    </xf>
    <xf numFmtId="165" fontId="1" fillId="11" borderId="21" xfId="6" applyNumberFormat="1" applyBorder="1" applyAlignment="1" applyProtection="1">
      <alignment horizontal="center" vertical="center"/>
      <protection hidden="1"/>
    </xf>
    <xf numFmtId="165" fontId="1" fillId="13" borderId="22" xfId="8" applyNumberFormat="1" applyBorder="1" applyAlignment="1" applyProtection="1">
      <alignment horizontal="center" vertical="center"/>
      <protection hidden="1"/>
    </xf>
    <xf numFmtId="165" fontId="4" fillId="7" borderId="22" xfId="1" applyNumberFormat="1" applyFont="1" applyFill="1" applyBorder="1" applyProtection="1">
      <protection locked="0" hidden="1"/>
    </xf>
    <xf numFmtId="165" fontId="4" fillId="7" borderId="25" xfId="1" applyNumberFormat="1" applyFont="1" applyFill="1" applyBorder="1" applyProtection="1">
      <protection locked="0" hidden="1"/>
    </xf>
    <xf numFmtId="165" fontId="2" fillId="12" borderId="22" xfId="7" applyNumberFormat="1" applyFont="1" applyBorder="1" applyProtection="1">
      <protection locked="0" hidden="1"/>
    </xf>
    <xf numFmtId="165" fontId="2" fillId="12" borderId="25" xfId="7" applyNumberFormat="1" applyFont="1" applyBorder="1" applyProtection="1">
      <protection locked="0" hidden="1"/>
    </xf>
    <xf numFmtId="0" fontId="4" fillId="8" borderId="2" xfId="0" applyFont="1" applyFill="1" applyBorder="1" applyProtection="1">
      <protection locked="0"/>
    </xf>
    <xf numFmtId="0" fontId="4" fillId="0" borderId="2" xfId="0" applyFont="1" applyBorder="1" applyProtection="1">
      <protection locked="0"/>
    </xf>
    <xf numFmtId="0" fontId="4" fillId="0" borderId="15" xfId="0" applyFont="1" applyBorder="1" applyProtection="1">
      <protection locked="0"/>
    </xf>
    <xf numFmtId="49" fontId="0" fillId="0" borderId="0" xfId="0" applyNumberFormat="1"/>
    <xf numFmtId="0" fontId="11" fillId="5" borderId="11" xfId="0" applyFont="1" applyFill="1" applyBorder="1" applyAlignment="1" applyProtection="1">
      <alignment horizontal="center" vertical="center"/>
      <protection hidden="1"/>
    </xf>
    <xf numFmtId="0" fontId="11" fillId="5" borderId="16" xfId="0" applyFont="1" applyFill="1" applyBorder="1" applyAlignment="1" applyProtection="1">
      <alignment horizontal="center" vertical="center"/>
      <protection hidden="1"/>
    </xf>
    <xf numFmtId="0" fontId="11" fillId="5" borderId="26" xfId="0" applyFont="1" applyFill="1" applyBorder="1" applyAlignment="1" applyProtection="1">
      <alignment horizontal="center" vertical="center"/>
      <protection hidden="1"/>
    </xf>
    <xf numFmtId="0" fontId="14" fillId="3" borderId="0" xfId="0" applyFont="1" applyFill="1" applyAlignment="1">
      <alignment horizontal="left" vertical="top" wrapText="1" indent="1"/>
    </xf>
    <xf numFmtId="0" fontId="14" fillId="3" borderId="7" xfId="0" applyFont="1" applyFill="1" applyBorder="1" applyAlignment="1">
      <alignment horizontal="left" vertical="top" wrapText="1" indent="1"/>
    </xf>
    <xf numFmtId="0" fontId="10" fillId="0" borderId="0" xfId="3" applyFont="1" applyFill="1" applyAlignment="1" applyProtection="1">
      <alignment horizontal="center" vertical="center" wrapText="1"/>
      <protection hidden="1"/>
    </xf>
    <xf numFmtId="0" fontId="1" fillId="11" borderId="20" xfId="6" applyBorder="1" applyAlignment="1" applyProtection="1">
      <alignment horizontal="center" vertical="center"/>
      <protection hidden="1"/>
    </xf>
    <xf numFmtId="0" fontId="1" fillId="11" borderId="21" xfId="6" applyBorder="1" applyAlignment="1" applyProtection="1">
      <alignment horizontal="center" vertical="center"/>
      <protection hidden="1"/>
    </xf>
    <xf numFmtId="0" fontId="0" fillId="0" borderId="17" xfId="0"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8" xfId="0" applyBorder="1" applyAlignment="1" applyProtection="1">
      <alignment horizontal="center" vertical="center"/>
      <protection hidden="1"/>
    </xf>
    <xf numFmtId="0" fontId="0" fillId="0" borderId="29" xfId="0" applyBorder="1" applyAlignment="1" applyProtection="1">
      <alignment horizontal="center" vertical="center"/>
      <protection hidden="1"/>
    </xf>
    <xf numFmtId="0" fontId="2" fillId="6" borderId="2" xfId="0" applyFont="1" applyFill="1" applyBorder="1" applyAlignment="1" applyProtection="1">
      <alignment horizontal="center" vertical="center" wrapText="1"/>
      <protection locked="0"/>
    </xf>
    <xf numFmtId="0" fontId="0" fillId="2" borderId="3" xfId="2" applyFont="1" applyBorder="1" applyAlignment="1" applyProtection="1">
      <alignment horizontal="left" vertical="center" wrapText="1" indent="1"/>
      <protection locked="0"/>
    </xf>
    <xf numFmtId="0" fontId="0" fillId="2" borderId="4" xfId="2" applyFont="1" applyBorder="1" applyAlignment="1" applyProtection="1">
      <alignment horizontal="left" vertical="center" wrapText="1" indent="1"/>
      <protection locked="0"/>
    </xf>
    <xf numFmtId="0" fontId="0" fillId="2" borderId="5" xfId="2" applyFont="1" applyBorder="1" applyAlignment="1" applyProtection="1">
      <alignment horizontal="left" vertical="center" wrapText="1" indent="1"/>
      <protection locked="0"/>
    </xf>
    <xf numFmtId="0" fontId="0" fillId="2" borderId="6" xfId="2" applyFont="1" applyBorder="1" applyAlignment="1" applyProtection="1">
      <alignment horizontal="left" vertical="center" wrapText="1" indent="1"/>
      <protection locked="0"/>
    </xf>
    <xf numFmtId="0" fontId="0" fillId="2" borderId="0" xfId="2" applyFont="1" applyBorder="1" applyAlignment="1" applyProtection="1">
      <alignment horizontal="left" vertical="center" wrapText="1" indent="1"/>
      <protection locked="0"/>
    </xf>
    <xf numFmtId="0" fontId="0" fillId="2" borderId="7" xfId="2" applyFont="1" applyBorder="1" applyAlignment="1" applyProtection="1">
      <alignment horizontal="left" vertical="center" wrapText="1" indent="1"/>
      <protection locked="0"/>
    </xf>
    <xf numFmtId="0" fontId="0" fillId="2" borderId="8" xfId="2" applyFont="1" applyBorder="1" applyAlignment="1" applyProtection="1">
      <alignment horizontal="left" vertical="center" wrapText="1" indent="1"/>
      <protection locked="0"/>
    </xf>
    <xf numFmtId="0" fontId="0" fillId="2" borderId="9" xfId="2" applyFont="1" applyBorder="1" applyAlignment="1" applyProtection="1">
      <alignment horizontal="left" vertical="center" wrapText="1" indent="1"/>
      <protection locked="0"/>
    </xf>
    <xf numFmtId="0" fontId="0" fillId="2" borderId="10" xfId="2" applyFont="1" applyBorder="1" applyAlignment="1" applyProtection="1">
      <alignment horizontal="left" vertical="center" wrapText="1" indent="1"/>
      <protection locked="0"/>
    </xf>
    <xf numFmtId="0" fontId="9" fillId="3" borderId="0" xfId="3" applyFont="1" applyFill="1" applyAlignment="1" applyProtection="1">
      <alignment horizontal="left" vertical="center" wrapText="1" indent="1"/>
      <protection hidden="1"/>
    </xf>
    <xf numFmtId="0" fontId="1" fillId="11" borderId="20" xfId="6" applyBorder="1" applyAlignment="1" applyProtection="1">
      <alignment horizontal="center" vertical="center" wrapText="1"/>
      <protection hidden="1"/>
    </xf>
    <xf numFmtId="0" fontId="1" fillId="11" borderId="21" xfId="6" applyBorder="1" applyAlignment="1" applyProtection="1">
      <alignment horizontal="center" vertical="center" wrapText="1"/>
      <protection hidden="1"/>
    </xf>
    <xf numFmtId="0" fontId="1" fillId="13" borderId="22" xfId="8" applyBorder="1" applyAlignment="1" applyProtection="1">
      <alignment horizontal="center" vertical="center" wrapText="1"/>
      <protection hidden="1"/>
    </xf>
  </cellXfs>
  <cellStyles count="9">
    <cellStyle name="20% - Accent6" xfId="7" builtinId="50"/>
    <cellStyle name="40% - Accent4" xfId="5" builtinId="43"/>
    <cellStyle name="60% - Accent4" xfId="6" builtinId="44"/>
    <cellStyle name="60% - Accent6" xfId="8" builtinId="52"/>
    <cellStyle name="Bad" xfId="3" builtinId="27"/>
    <cellStyle name="Comma" xfId="1" builtinId="3"/>
    <cellStyle name="Input" xfId="4" builtinId="20"/>
    <cellStyle name="Normal" xfId="0" builtinId="0"/>
    <cellStyle name="Note" xfId="2" builtinId="10"/>
  </cellStyles>
  <dxfs count="77">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auto="1"/>
        <name val="Calibri"/>
        <family val="2"/>
        <scheme val="minor"/>
      </font>
      <border diagonalUp="0" diagonalDown="0">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alignment horizontal="left" textRotation="0" wrapText="0" relativeIndent="1"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left" textRotation="0" wrapText="0" relativeIndent="1"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dxf>
    <dxf>
      <border outline="0">
        <bottom style="thin">
          <color indexed="64"/>
        </bottom>
      </border>
    </dxf>
    <dxf>
      <font>
        <b/>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border diagonalUp="0" diagonalDown="0">
        <left style="medium">
          <color indexed="64"/>
        </left>
        <right/>
        <top/>
        <bottom/>
      </border>
      <protection locked="0" hidden="1"/>
    </dxf>
    <dxf>
      <font>
        <b/>
      </font>
      <numFmt numFmtId="165" formatCode="_ * #,##0_ ;_ * \-#,##0_ ;_ * &quot;-&quot;??_ ;_ @_ "/>
      <border diagonalUp="0" diagonalDown="0" outline="0">
        <left style="thin">
          <color theme="0" tint="-0.499984740745262"/>
        </left>
        <right style="medium">
          <color theme="1" tint="0.34998626667073579"/>
        </right>
        <top style="thin">
          <color theme="0" tint="-0.499984740745262"/>
        </top>
        <bottom style="thin">
          <color theme="0" tint="-0.499984740745262"/>
        </bottom>
      </border>
      <protection locked="0" hidden="1"/>
    </dxf>
    <dxf>
      <font>
        <b val="0"/>
        <i val="0"/>
        <strike val="0"/>
        <condense val="0"/>
        <extend val="0"/>
        <outline val="0"/>
        <shadow val="0"/>
        <u val="none"/>
        <vertAlign val="baseline"/>
        <sz val="11"/>
        <color auto="1"/>
        <name val="Calibri"/>
        <family val="2"/>
        <scheme val="minor"/>
      </font>
      <numFmt numFmtId="165" formatCode="_ * #,##0_ ;_ * \-#,##0_ ;_ * &quot;-&quot;??_ ;_ @_ "/>
      <border diagonalUp="0" diagonalDown="0" outline="0">
        <left style="medium">
          <color indexed="64"/>
        </left>
        <right/>
        <top/>
        <bottom/>
      </border>
      <protection locked="0" hidden="1"/>
    </dxf>
    <dxf>
      <numFmt numFmtId="165" formatCode="_ * #,##0_ ;_ * \-#,##0_ ;_ * &quot;-&quot;??_ ;_ @_ "/>
      <border diagonalUp="0" diagonalDown="0" outline="0">
        <left style="thin">
          <color theme="0" tint="-0.499984740745262"/>
        </left>
        <right/>
        <top style="thin">
          <color theme="0" tint="-0.499984740745262"/>
        </top>
        <bottom style="thin">
          <color theme="0" tint="-0.499984740745262"/>
        </bottom>
      </border>
      <protection locked="0" hidden="1"/>
    </dxf>
    <dxf>
      <font>
        <b val="0"/>
        <i val="0"/>
        <strike val="0"/>
        <condense val="0"/>
        <extend val="0"/>
        <outline val="0"/>
        <shadow val="0"/>
        <u val="none"/>
        <vertAlign val="baseline"/>
        <sz val="11"/>
        <color auto="1"/>
        <name val="Calibri"/>
        <family val="2"/>
        <scheme val="minor"/>
      </font>
      <numFmt numFmtId="165" formatCode="_ * #,##0_ ;_ * \-#,##0_ ;_ * &quot;-&quot;??_ ;_ @_ "/>
      <border diagonalUp="0" diagonalDown="0" outline="0">
        <left style="medium">
          <color indexed="64"/>
        </left>
        <right/>
        <top/>
        <bottom/>
      </border>
      <protection locked="0" hidden="1"/>
    </dxf>
    <dxf>
      <font>
        <strike val="0"/>
        <outline val="0"/>
        <shadow val="0"/>
        <u val="none"/>
        <vertAlign val="baseline"/>
        <sz val="11"/>
        <color auto="1"/>
        <name val="Calibri"/>
        <family val="2"/>
        <scheme val="minor"/>
      </font>
      <numFmt numFmtId="165" formatCode="_ * #,##0_ ;_ * \-#,##0_ ;_ * &quot;-&quot;??_ ;_ @_ "/>
      <fill>
        <patternFill patternType="solid">
          <fgColor indexed="64"/>
          <bgColor theme="7" tint="0.79998168889431442"/>
        </patternFill>
      </fill>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1"/>
    </dxf>
    <dxf>
      <font>
        <b val="0"/>
        <i val="0"/>
        <strike val="0"/>
        <condense val="0"/>
        <extend val="0"/>
        <outline val="0"/>
        <shadow val="0"/>
        <u val="none"/>
        <vertAlign val="baseline"/>
        <sz val="11"/>
        <color auto="1"/>
        <name val="Calibri"/>
        <family val="2"/>
        <scheme val="minor"/>
      </font>
      <numFmt numFmtId="165" formatCode="_ * #,##0_ ;_ * \-#,##0_ ;_ * &quot;-&quot;??_ ;_ @_ "/>
      <border diagonalUp="0" diagonalDown="0" outline="0">
        <left style="medium">
          <color indexed="64"/>
        </left>
        <right/>
        <top/>
        <bottom/>
      </border>
      <protection locked="0" hidden="1"/>
    </dxf>
    <dxf>
      <font>
        <strike val="0"/>
        <outline val="0"/>
        <shadow val="0"/>
        <u val="none"/>
        <vertAlign val="baseline"/>
        <sz val="11"/>
        <color auto="1"/>
        <name val="Calibri"/>
        <family val="2"/>
        <scheme val="minor"/>
      </font>
      <numFmt numFmtId="165" formatCode="_ * #,##0_ ;_ * \-#,##0_ ;_ * &quot;-&quot;??_ ;_ @_ "/>
      <fill>
        <patternFill patternType="solid">
          <fgColor indexed="64"/>
          <bgColor theme="7" tint="0.79998168889431442"/>
        </patternFill>
      </fill>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1"/>
    </dxf>
    <dxf>
      <font>
        <b val="0"/>
        <i val="0"/>
        <strike val="0"/>
        <condense val="0"/>
        <extend val="0"/>
        <outline val="0"/>
        <shadow val="0"/>
        <u val="none"/>
        <vertAlign val="baseline"/>
        <sz val="11"/>
        <color auto="1"/>
        <name val="Calibri"/>
        <family val="2"/>
        <scheme val="minor"/>
      </font>
      <numFmt numFmtId="165" formatCode="_ * #,##0_ ;_ * \-#,##0_ ;_ * &quot;-&quot;??_ ;_ @_ "/>
      <border diagonalUp="0" diagonalDown="0" outline="0">
        <left style="medium">
          <color indexed="64"/>
        </left>
        <right/>
        <top/>
        <bottom/>
      </border>
      <protection locked="0" hidden="1"/>
    </dxf>
    <dxf>
      <font>
        <strike val="0"/>
        <outline val="0"/>
        <shadow val="0"/>
        <u val="none"/>
        <vertAlign val="baseline"/>
        <sz val="11"/>
        <color auto="1"/>
        <name val="Calibri"/>
        <family val="2"/>
        <scheme val="minor"/>
      </font>
      <numFmt numFmtId="165" formatCode="_ * #,##0_ ;_ * \-#,##0_ ;_ * &quot;-&quot;??_ ;_ @_ "/>
      <fill>
        <patternFill patternType="solid">
          <fgColor indexed="64"/>
          <bgColor theme="7" tint="0.79998168889431442"/>
        </patternFill>
      </fill>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1"/>
    </dxf>
    <dxf>
      <font>
        <b val="0"/>
        <i val="0"/>
        <strike val="0"/>
        <condense val="0"/>
        <extend val="0"/>
        <outline val="0"/>
        <shadow val="0"/>
        <u val="none"/>
        <vertAlign val="baseline"/>
        <sz val="11"/>
        <color auto="1"/>
        <name val="Calibri"/>
        <family val="2"/>
        <scheme val="minor"/>
      </font>
      <numFmt numFmtId="165" formatCode="_ * #,##0_ ;_ * \-#,##0_ ;_ * &quot;-&quot;??_ ;_ @_ "/>
      <border diagonalUp="0" diagonalDown="0" outline="0">
        <left style="medium">
          <color indexed="64"/>
        </left>
        <right/>
        <top/>
        <bottom/>
      </border>
      <protection locked="0" hidden="1"/>
    </dxf>
    <dxf>
      <font>
        <strike val="0"/>
        <outline val="0"/>
        <shadow val="0"/>
        <u val="none"/>
        <vertAlign val="baseline"/>
        <sz val="11"/>
        <color auto="1"/>
        <name val="Calibri"/>
        <family val="2"/>
        <scheme val="minor"/>
      </font>
      <numFmt numFmtId="165" formatCode="_ * #,##0_ ;_ * \-#,##0_ ;_ * &quot;-&quot;??_ ;_ @_ "/>
      <fill>
        <patternFill patternType="solid">
          <fgColor indexed="64"/>
          <bgColor theme="7" tint="0.79998168889431442"/>
        </patternFill>
      </fill>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1"/>
    </dxf>
    <dxf>
      <font>
        <b val="0"/>
        <i val="0"/>
        <strike val="0"/>
        <condense val="0"/>
        <extend val="0"/>
        <outline val="0"/>
        <shadow val="0"/>
        <u val="none"/>
        <vertAlign val="baseline"/>
        <sz val="11"/>
        <color auto="1"/>
        <name val="Calibri"/>
        <family val="2"/>
        <scheme val="minor"/>
      </font>
      <numFmt numFmtId="165" formatCode="_ * #,##0_ ;_ * \-#,##0_ ;_ * &quot;-&quot;??_ ;_ @_ "/>
      <border diagonalUp="0" diagonalDown="0" outline="0">
        <left style="medium">
          <color indexed="64"/>
        </left>
        <right/>
        <top/>
        <bottom/>
      </border>
      <protection locked="0" hidden="1"/>
    </dxf>
    <dxf>
      <font>
        <strike val="0"/>
        <outline val="0"/>
        <shadow val="0"/>
        <u val="none"/>
        <vertAlign val="baseline"/>
        <sz val="11"/>
        <color auto="1"/>
        <name val="Calibri"/>
        <family val="2"/>
        <scheme val="minor"/>
      </font>
      <numFmt numFmtId="165" formatCode="_ * #,##0_ ;_ * \-#,##0_ ;_ * &quot;-&quot;??_ ;_ @_ "/>
      <fill>
        <patternFill patternType="solid">
          <fgColor indexed="64"/>
          <bgColor theme="7" tint="0.79998168889431442"/>
        </patternFill>
      </fill>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1"/>
    </dxf>
    <dxf>
      <font>
        <b val="0"/>
        <i val="0"/>
        <strike val="0"/>
        <condense val="0"/>
        <extend val="0"/>
        <outline val="0"/>
        <shadow val="0"/>
        <u val="none"/>
        <vertAlign val="baseline"/>
        <sz val="11"/>
        <color auto="1"/>
        <name val="Calibri"/>
        <family val="2"/>
        <scheme val="minor"/>
      </font>
      <numFmt numFmtId="165" formatCode="_ * #,##0_ ;_ * \-#,##0_ ;_ * &quot;-&quot;??_ ;_ @_ "/>
      <border diagonalUp="0" diagonalDown="0" outline="0">
        <left style="medium">
          <color indexed="64"/>
        </left>
        <right/>
        <top/>
        <bottom/>
      </border>
      <protection locked="0" hidden="1"/>
    </dxf>
    <dxf>
      <font>
        <strike val="0"/>
        <outline val="0"/>
        <shadow val="0"/>
        <u val="none"/>
        <vertAlign val="baseline"/>
        <sz val="11"/>
        <color auto="1"/>
        <name val="Calibri"/>
        <family val="2"/>
        <scheme val="minor"/>
      </font>
      <numFmt numFmtId="165" formatCode="_ * #,##0_ ;_ * \-#,##0_ ;_ * &quot;-&quot;??_ ;_ @_ "/>
      <fill>
        <patternFill patternType="solid">
          <fgColor indexed="64"/>
          <bgColor theme="7" tint="0.79998168889431442"/>
        </patternFill>
      </fill>
      <border diagonalUp="0" diagonalDown="0" outline="0">
        <left/>
        <right style="thin">
          <color theme="0" tint="-0.499984740745262"/>
        </right>
        <top style="thin">
          <color theme="0" tint="-0.499984740745262"/>
        </top>
        <bottom style="thin">
          <color theme="0" tint="-0.499984740745262"/>
        </bottom>
      </border>
      <protection locked="0" hidden="1"/>
    </dxf>
    <dxf>
      <font>
        <b val="0"/>
        <i val="0"/>
        <strike val="0"/>
        <condense val="0"/>
        <extend val="0"/>
        <outline val="0"/>
        <shadow val="0"/>
        <u val="none"/>
        <vertAlign val="baseline"/>
        <sz val="11"/>
        <color auto="1"/>
        <name val="Calibri"/>
        <family val="2"/>
        <scheme val="minor"/>
      </font>
      <numFmt numFmtId="165" formatCode="_ * #,##0_ ;_ * \-#,##0_ ;_ * &quot;-&quot;??_ ;_ @_ "/>
      <border diagonalUp="0" diagonalDown="0" outline="0">
        <left style="medium">
          <color indexed="64"/>
        </left>
        <right/>
        <top/>
        <bottom/>
      </border>
      <protection locked="0" hidden="1"/>
    </dxf>
    <dxf>
      <font>
        <b val="0"/>
        <i val="0"/>
        <strike val="0"/>
        <condense val="0"/>
        <extend val="0"/>
        <outline val="0"/>
        <shadow val="0"/>
        <u val="none"/>
        <vertAlign val="baseline"/>
        <sz val="11"/>
        <color auto="1"/>
        <name val="Calibri"/>
        <family val="2"/>
        <scheme val="minor"/>
      </font>
      <numFmt numFmtId="165" formatCode="_ * #,##0_ ;_ * \-#,##0_ ;_ * &quot;-&quot;??_ ;_ @_ "/>
      <fill>
        <patternFill patternType="solid">
          <fgColor indexed="64"/>
          <bgColor theme="9" tint="0.79998168889431442"/>
        </patternFill>
      </fill>
      <border diagonalUp="0" diagonalDown="0" outline="0">
        <left style="thin">
          <color theme="0" tint="-0.499984740745262"/>
        </left>
        <right style="medium">
          <color theme="1" tint="0.34998626667073579"/>
        </right>
        <top style="thin">
          <color theme="0" tint="-0.499984740745262"/>
        </top>
        <bottom style="thin">
          <color theme="0" tint="-0.499984740745262"/>
        </bottom>
      </border>
      <protection locked="0" hidden="1"/>
    </dxf>
    <dxf>
      <font>
        <b val="0"/>
        <i val="0"/>
        <strike val="0"/>
        <condense val="0"/>
        <extend val="0"/>
        <outline val="0"/>
        <shadow val="0"/>
        <u val="none"/>
        <vertAlign val="baseline"/>
        <sz val="11"/>
        <color auto="1"/>
        <name val="Calibri"/>
        <family val="2"/>
        <scheme val="minor"/>
      </font>
      <numFmt numFmtId="165" formatCode="_ * #,##0_ ;_ * \-#,##0_ ;_ * &quot;-&quot;??_ ;_ @_ "/>
      <border diagonalUp="0" diagonalDown="0" outline="0">
        <left style="medium">
          <color indexed="64"/>
        </left>
        <right/>
        <top/>
        <bottom/>
      </border>
      <protection locked="0" hidden="1"/>
    </dxf>
    <dxf>
      <numFmt numFmtId="165" formatCode="_ * #,##0_ ;_ * \-#,##0_ ;_ * &quot;-&quot;??_ ;_ @_ "/>
      <border diagonalUp="0" diagonalDown="0" outline="0">
        <left style="thin">
          <color theme="0" tint="-0.499984740745262"/>
        </left>
        <right/>
        <top style="thin">
          <color theme="0" tint="-0.499984740745262"/>
        </top>
        <bottom style="thin">
          <color theme="0" tint="-0.499984740745262"/>
        </bottom>
      </border>
      <protection locked="0" hidden="1"/>
    </dxf>
    <dxf>
      <font>
        <b val="0"/>
        <i val="0"/>
        <strike val="0"/>
        <condense val="0"/>
        <extend val="0"/>
        <outline val="0"/>
        <shadow val="0"/>
        <u val="none"/>
        <vertAlign val="baseline"/>
        <sz val="11"/>
        <color auto="1"/>
        <name val="Calibri"/>
        <family val="2"/>
        <scheme val="minor"/>
      </font>
      <numFmt numFmtId="165" formatCode="_ * #,##0_ ;_ * \-#,##0_ ;_ * &quot;-&quot;??_ ;_ @_ "/>
      <border diagonalUp="0" diagonalDown="0" outline="0">
        <left style="medium">
          <color indexed="64"/>
        </left>
        <right/>
        <top/>
        <bottom/>
      </border>
      <protection locked="0" hidden="1"/>
    </dxf>
    <dxf>
      <font>
        <strike val="0"/>
        <outline val="0"/>
        <shadow val="0"/>
        <u val="none"/>
        <vertAlign val="baseline"/>
        <sz val="11"/>
        <color auto="1"/>
        <name val="Calibri"/>
        <family val="2"/>
        <scheme val="minor"/>
      </font>
      <numFmt numFmtId="165" formatCode="_ * #,##0_ ;_ * \-#,##0_ ;_ * &quot;-&quot;??_ ;_ @_ "/>
      <fill>
        <patternFill patternType="solid">
          <fgColor indexed="64"/>
          <bgColor theme="7" tint="0.79998168889431442"/>
        </patternFill>
      </fill>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1"/>
    </dxf>
    <dxf>
      <font>
        <b val="0"/>
        <i val="0"/>
        <strike val="0"/>
        <condense val="0"/>
        <extend val="0"/>
        <outline val="0"/>
        <shadow val="0"/>
        <u val="none"/>
        <vertAlign val="baseline"/>
        <sz val="11"/>
        <color auto="1"/>
        <name val="Calibri"/>
        <family val="2"/>
        <scheme val="minor"/>
      </font>
      <numFmt numFmtId="165" formatCode="_ * #,##0_ ;_ * \-#,##0_ ;_ * &quot;-&quot;??_ ;_ @_ "/>
      <border diagonalUp="0" diagonalDown="0" outline="0">
        <left style="medium">
          <color indexed="64"/>
        </left>
        <right/>
        <top/>
        <bottom/>
      </border>
      <protection locked="0" hidden="1"/>
    </dxf>
    <dxf>
      <font>
        <strike val="0"/>
        <outline val="0"/>
        <shadow val="0"/>
        <u val="none"/>
        <vertAlign val="baseline"/>
        <sz val="11"/>
        <color auto="1"/>
        <name val="Calibri"/>
        <family val="2"/>
        <scheme val="minor"/>
      </font>
      <numFmt numFmtId="165" formatCode="_ * #,##0_ ;_ * \-#,##0_ ;_ * &quot;-&quot;??_ ;_ @_ "/>
      <fill>
        <patternFill patternType="solid">
          <fgColor indexed="64"/>
          <bgColor theme="7" tint="0.79998168889431442"/>
        </patternFill>
      </fill>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1"/>
    </dxf>
    <dxf>
      <font>
        <b val="0"/>
        <i val="0"/>
        <strike val="0"/>
        <condense val="0"/>
        <extend val="0"/>
        <outline val="0"/>
        <shadow val="0"/>
        <u val="none"/>
        <vertAlign val="baseline"/>
        <sz val="11"/>
        <color auto="1"/>
        <name val="Calibri"/>
        <family val="2"/>
        <scheme val="minor"/>
      </font>
      <numFmt numFmtId="165" formatCode="_ * #,##0_ ;_ * \-#,##0_ ;_ * &quot;-&quot;??_ ;_ @_ "/>
      <border diagonalUp="0" diagonalDown="0" outline="0">
        <left style="medium">
          <color indexed="64"/>
        </left>
        <right/>
        <top/>
        <bottom/>
      </border>
      <protection locked="0" hidden="1"/>
    </dxf>
    <dxf>
      <font>
        <strike val="0"/>
        <outline val="0"/>
        <shadow val="0"/>
        <u val="none"/>
        <vertAlign val="baseline"/>
        <sz val="11"/>
        <color auto="1"/>
        <name val="Calibri"/>
        <family val="2"/>
        <scheme val="minor"/>
      </font>
      <numFmt numFmtId="165" formatCode="_ * #,##0_ ;_ * \-#,##0_ ;_ * &quot;-&quot;??_ ;_ @_ "/>
      <fill>
        <patternFill patternType="solid">
          <fgColor indexed="64"/>
          <bgColor theme="7" tint="0.79998168889431442"/>
        </patternFill>
      </fill>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1"/>
    </dxf>
    <dxf>
      <font>
        <b val="0"/>
        <i val="0"/>
        <strike val="0"/>
        <condense val="0"/>
        <extend val="0"/>
        <outline val="0"/>
        <shadow val="0"/>
        <u val="none"/>
        <vertAlign val="baseline"/>
        <sz val="11"/>
        <color auto="1"/>
        <name val="Calibri"/>
        <family val="2"/>
        <scheme val="minor"/>
      </font>
      <numFmt numFmtId="165" formatCode="_ * #,##0_ ;_ * \-#,##0_ ;_ * &quot;-&quot;??_ ;_ @_ "/>
      <border diagonalUp="0" diagonalDown="0" outline="0">
        <left style="medium">
          <color indexed="64"/>
        </left>
        <right/>
        <top/>
        <bottom/>
      </border>
      <protection locked="0" hidden="1"/>
    </dxf>
    <dxf>
      <font>
        <strike val="0"/>
        <outline val="0"/>
        <shadow val="0"/>
        <u val="none"/>
        <vertAlign val="baseline"/>
        <sz val="11"/>
        <color auto="1"/>
        <name val="Calibri"/>
        <family val="2"/>
        <scheme val="minor"/>
      </font>
      <numFmt numFmtId="165" formatCode="_ * #,##0_ ;_ * \-#,##0_ ;_ * &quot;-&quot;??_ ;_ @_ "/>
      <fill>
        <patternFill patternType="solid">
          <fgColor indexed="64"/>
          <bgColor theme="7" tint="0.79998168889431442"/>
        </patternFill>
      </fill>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1"/>
    </dxf>
    <dxf>
      <font>
        <b val="0"/>
        <i val="0"/>
        <strike val="0"/>
        <condense val="0"/>
        <extend val="0"/>
        <outline val="0"/>
        <shadow val="0"/>
        <u val="none"/>
        <vertAlign val="baseline"/>
        <sz val="11"/>
        <color auto="1"/>
        <name val="Calibri"/>
        <family val="2"/>
        <scheme val="minor"/>
      </font>
      <numFmt numFmtId="165" formatCode="_ * #,##0_ ;_ * \-#,##0_ ;_ * &quot;-&quot;??_ ;_ @_ "/>
      <border diagonalUp="0" diagonalDown="0" outline="0">
        <left style="medium">
          <color indexed="64"/>
        </left>
        <right/>
        <top/>
        <bottom/>
      </border>
      <protection locked="0" hidden="1"/>
    </dxf>
    <dxf>
      <font>
        <strike val="0"/>
        <outline val="0"/>
        <shadow val="0"/>
        <u val="none"/>
        <vertAlign val="baseline"/>
        <sz val="11"/>
        <color auto="1"/>
        <name val="Calibri"/>
        <family val="2"/>
        <scheme val="minor"/>
      </font>
      <numFmt numFmtId="165" formatCode="_ * #,##0_ ;_ * \-#,##0_ ;_ * &quot;-&quot;??_ ;_ @_ "/>
      <fill>
        <patternFill patternType="solid">
          <fgColor indexed="64"/>
          <bgColor theme="7" tint="0.79998168889431442"/>
        </patternFill>
      </fill>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1"/>
    </dxf>
    <dxf>
      <font>
        <b val="0"/>
        <i val="0"/>
        <strike val="0"/>
        <condense val="0"/>
        <extend val="0"/>
        <outline val="0"/>
        <shadow val="0"/>
        <u val="none"/>
        <vertAlign val="baseline"/>
        <sz val="11"/>
        <color auto="1"/>
        <name val="Calibri"/>
        <family val="2"/>
        <scheme val="minor"/>
      </font>
      <numFmt numFmtId="165" formatCode="_ * #,##0_ ;_ * \-#,##0_ ;_ * &quot;-&quot;??_ ;_ @_ "/>
      <border diagonalUp="0" diagonalDown="0" outline="0">
        <left style="medium">
          <color indexed="64"/>
        </left>
        <right/>
        <top/>
        <bottom/>
      </border>
      <protection locked="0" hidden="1"/>
    </dxf>
    <dxf>
      <font>
        <strike val="0"/>
        <outline val="0"/>
        <shadow val="0"/>
        <u val="none"/>
        <vertAlign val="baseline"/>
        <sz val="11"/>
        <color auto="1"/>
        <name val="Calibri"/>
        <family val="2"/>
        <scheme val="minor"/>
      </font>
      <numFmt numFmtId="165" formatCode="_ * #,##0_ ;_ * \-#,##0_ ;_ * &quot;-&quot;??_ ;_ @_ "/>
      <fill>
        <patternFill patternType="solid">
          <fgColor indexed="64"/>
          <bgColor theme="7" tint="0.79998168889431442"/>
        </patternFill>
      </fill>
      <border diagonalUp="0" diagonalDown="0" outline="0">
        <left/>
        <right style="thin">
          <color theme="0" tint="-0.499984740745262"/>
        </right>
        <top style="thin">
          <color theme="0" tint="-0.499984740745262"/>
        </top>
        <bottom style="thin">
          <color theme="0" tint="-0.499984740745262"/>
        </bottom>
      </border>
      <protection locked="0" hidden="1"/>
    </dxf>
    <dxf>
      <font>
        <b val="0"/>
        <i val="0"/>
        <strike val="0"/>
        <condense val="0"/>
        <extend val="0"/>
        <outline val="0"/>
        <shadow val="0"/>
        <u val="none"/>
        <vertAlign val="baseline"/>
        <sz val="11"/>
        <color auto="1"/>
        <name val="Calibri"/>
        <family val="2"/>
        <scheme val="minor"/>
      </font>
      <numFmt numFmtId="165" formatCode="_ * #,##0_ ;_ * \-#,##0_ ;_ * &quot;-&quot;??_ ;_ @_ "/>
      <border diagonalUp="0" diagonalDown="0" outline="0">
        <left style="medium">
          <color indexed="64"/>
        </left>
        <right/>
        <top/>
        <bottom/>
      </border>
      <protection locked="0" hidden="1"/>
    </dxf>
    <dxf>
      <font>
        <b val="0"/>
        <i val="0"/>
        <strike val="0"/>
        <condense val="0"/>
        <extend val="0"/>
        <outline val="0"/>
        <shadow val="0"/>
        <u val="none"/>
        <vertAlign val="baseline"/>
        <sz val="11"/>
        <color auto="1"/>
        <name val="Calibri"/>
        <family val="2"/>
        <scheme val="minor"/>
      </font>
      <numFmt numFmtId="165" formatCode="_ * #,##0_ ;_ * \-#,##0_ ;_ * &quot;-&quot;??_ ;_ @_ "/>
      <fill>
        <patternFill patternType="solid">
          <fgColor indexed="64"/>
          <bgColor theme="9" tint="0.79998168889431442"/>
        </patternFill>
      </fill>
      <border diagonalUp="0" diagonalDown="0" outline="0">
        <left style="thin">
          <color theme="0" tint="-0.499984740745262"/>
        </left>
        <right style="medium">
          <color theme="1" tint="0.34998626667073579"/>
        </right>
        <top style="thin">
          <color theme="0" tint="-0.499984740745262"/>
        </top>
        <bottom style="thin">
          <color theme="0" tint="-0.499984740745262"/>
        </bottom>
      </border>
      <protection locked="0" hidden="1"/>
    </dxf>
    <dxf>
      <font>
        <b val="0"/>
        <i val="0"/>
        <strike val="0"/>
        <condense val="0"/>
        <extend val="0"/>
        <outline val="0"/>
        <shadow val="0"/>
        <u val="none"/>
        <vertAlign val="baseline"/>
        <sz val="11"/>
        <color auto="1"/>
        <name val="Calibri"/>
        <family val="2"/>
        <scheme val="minor"/>
      </font>
      <numFmt numFmtId="165" formatCode="_ * #,##0_ ;_ * \-#,##0_ ;_ * &quot;-&quot;??_ ;_ @_ "/>
      <border diagonalUp="0" diagonalDown="0" outline="0">
        <left style="medium">
          <color indexed="64"/>
        </left>
        <right/>
        <top/>
        <bottom/>
      </border>
      <protection locked="0" hidden="1"/>
    </dxf>
    <dxf>
      <numFmt numFmtId="165" formatCode="_ * #,##0_ ;_ * \-#,##0_ ;_ * &quot;-&quot;??_ ;_ @_ "/>
      <border diagonalUp="0" diagonalDown="0" outline="0">
        <left style="thin">
          <color theme="0" tint="-0.499984740745262"/>
        </left>
        <right/>
        <top style="thin">
          <color theme="0" tint="-0.499984740745262"/>
        </top>
        <bottom style="thin">
          <color theme="0" tint="-0.499984740745262"/>
        </bottom>
      </border>
      <protection locked="0" hidden="1"/>
    </dxf>
    <dxf>
      <font>
        <b val="0"/>
        <i val="0"/>
        <strike val="0"/>
        <condense val="0"/>
        <extend val="0"/>
        <outline val="0"/>
        <shadow val="0"/>
        <u val="none"/>
        <vertAlign val="baseline"/>
        <sz val="11"/>
        <color auto="1"/>
        <name val="Calibri"/>
        <family val="2"/>
        <scheme val="minor"/>
      </font>
      <numFmt numFmtId="165" formatCode="_ * #,##0_ ;_ * \-#,##0_ ;_ * &quot;-&quot;??_ ;_ @_ "/>
      <border diagonalUp="0" diagonalDown="0" outline="0">
        <left style="medium">
          <color indexed="64"/>
        </left>
        <right/>
        <top/>
        <bottom/>
      </border>
      <protection locked="0" hidden="1"/>
    </dxf>
    <dxf>
      <font>
        <strike val="0"/>
        <outline val="0"/>
        <shadow val="0"/>
        <u val="none"/>
        <vertAlign val="baseline"/>
        <sz val="11"/>
        <color auto="1"/>
        <name val="Calibri"/>
        <family val="2"/>
        <scheme val="minor"/>
      </font>
      <numFmt numFmtId="165" formatCode="_ * #,##0_ ;_ * \-#,##0_ ;_ * &quot;-&quot;??_ ;_ @_ "/>
      <fill>
        <patternFill patternType="solid">
          <fgColor indexed="64"/>
          <bgColor theme="7" tint="0.79998168889431442"/>
        </patternFill>
      </fill>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1"/>
    </dxf>
    <dxf>
      <font>
        <b val="0"/>
        <i val="0"/>
        <strike val="0"/>
        <condense val="0"/>
        <extend val="0"/>
        <outline val="0"/>
        <shadow val="0"/>
        <u val="none"/>
        <vertAlign val="baseline"/>
        <sz val="11"/>
        <color auto="1"/>
        <name val="Calibri"/>
        <family val="2"/>
        <scheme val="minor"/>
      </font>
      <numFmt numFmtId="165" formatCode="_ * #,##0_ ;_ * \-#,##0_ ;_ * &quot;-&quot;??_ ;_ @_ "/>
      <border diagonalUp="0" diagonalDown="0" outline="0">
        <left style="medium">
          <color indexed="64"/>
        </left>
        <right/>
        <top/>
        <bottom/>
      </border>
      <protection locked="0" hidden="1"/>
    </dxf>
    <dxf>
      <font>
        <strike val="0"/>
        <outline val="0"/>
        <shadow val="0"/>
        <u val="none"/>
        <vertAlign val="baseline"/>
        <sz val="11"/>
        <color auto="1"/>
        <name val="Calibri"/>
        <family val="2"/>
        <scheme val="minor"/>
      </font>
      <numFmt numFmtId="165" formatCode="_ * #,##0_ ;_ * \-#,##0_ ;_ * &quot;-&quot;??_ ;_ @_ "/>
      <fill>
        <patternFill patternType="solid">
          <fgColor indexed="64"/>
          <bgColor theme="7" tint="0.79998168889431442"/>
        </patternFill>
      </fill>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1"/>
    </dxf>
    <dxf>
      <font>
        <b val="0"/>
        <i val="0"/>
        <strike val="0"/>
        <condense val="0"/>
        <extend val="0"/>
        <outline val="0"/>
        <shadow val="0"/>
        <u val="none"/>
        <vertAlign val="baseline"/>
        <sz val="11"/>
        <color auto="1"/>
        <name val="Calibri"/>
        <family val="2"/>
        <scheme val="minor"/>
      </font>
      <numFmt numFmtId="165" formatCode="_ * #,##0_ ;_ * \-#,##0_ ;_ * &quot;-&quot;??_ ;_ @_ "/>
      <border diagonalUp="0" diagonalDown="0" outline="0">
        <left style="medium">
          <color indexed="64"/>
        </left>
        <right/>
        <top/>
        <bottom/>
      </border>
      <protection locked="0" hidden="1"/>
    </dxf>
    <dxf>
      <font>
        <strike val="0"/>
        <outline val="0"/>
        <shadow val="0"/>
        <u val="none"/>
        <vertAlign val="baseline"/>
        <sz val="11"/>
        <color auto="1"/>
        <name val="Calibri"/>
        <family val="2"/>
        <scheme val="minor"/>
      </font>
      <numFmt numFmtId="165" formatCode="_ * #,##0_ ;_ * \-#,##0_ ;_ * &quot;-&quot;??_ ;_ @_ "/>
      <fill>
        <patternFill patternType="solid">
          <fgColor indexed="64"/>
          <bgColor theme="7" tint="0.79998168889431442"/>
        </patternFill>
      </fill>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1"/>
    </dxf>
    <dxf>
      <font>
        <b val="0"/>
        <i val="0"/>
        <strike val="0"/>
        <condense val="0"/>
        <extend val="0"/>
        <outline val="0"/>
        <shadow val="0"/>
        <u val="none"/>
        <vertAlign val="baseline"/>
        <sz val="11"/>
        <color auto="1"/>
        <name val="Calibri"/>
        <family val="2"/>
        <scheme val="minor"/>
      </font>
      <numFmt numFmtId="165" formatCode="_ * #,##0_ ;_ * \-#,##0_ ;_ * &quot;-&quot;??_ ;_ @_ "/>
      <border diagonalUp="0" diagonalDown="0" outline="0">
        <left style="medium">
          <color indexed="64"/>
        </left>
        <right/>
        <top/>
        <bottom/>
      </border>
      <protection locked="0" hidden="1"/>
    </dxf>
    <dxf>
      <font>
        <strike val="0"/>
        <outline val="0"/>
        <shadow val="0"/>
        <u val="none"/>
        <vertAlign val="baseline"/>
        <sz val="11"/>
        <color auto="1"/>
        <name val="Calibri"/>
        <family val="2"/>
        <scheme val="minor"/>
      </font>
      <numFmt numFmtId="165" formatCode="_ * #,##0_ ;_ * \-#,##0_ ;_ * &quot;-&quot;??_ ;_ @_ "/>
      <fill>
        <patternFill patternType="solid">
          <fgColor indexed="64"/>
          <bgColor theme="7" tint="0.79998168889431442"/>
        </patternFill>
      </fill>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1"/>
    </dxf>
    <dxf>
      <font>
        <b val="0"/>
        <i val="0"/>
        <strike val="0"/>
        <condense val="0"/>
        <extend val="0"/>
        <outline val="0"/>
        <shadow val="0"/>
        <u val="none"/>
        <vertAlign val="baseline"/>
        <sz val="11"/>
        <color auto="1"/>
        <name val="Calibri"/>
        <family val="2"/>
        <scheme val="minor"/>
      </font>
      <numFmt numFmtId="165" formatCode="_ * #,##0_ ;_ * \-#,##0_ ;_ * &quot;-&quot;??_ ;_ @_ "/>
      <border diagonalUp="0" diagonalDown="0" outline="0">
        <left style="medium">
          <color indexed="64"/>
        </left>
        <right/>
        <top/>
        <bottom/>
      </border>
      <protection locked="0" hidden="1"/>
    </dxf>
    <dxf>
      <font>
        <strike val="0"/>
        <outline val="0"/>
        <shadow val="0"/>
        <u val="none"/>
        <vertAlign val="baseline"/>
        <sz val="11"/>
        <color auto="1"/>
        <name val="Calibri"/>
        <family val="2"/>
        <scheme val="minor"/>
      </font>
      <numFmt numFmtId="165" formatCode="_ * #,##0_ ;_ * \-#,##0_ ;_ * &quot;-&quot;??_ ;_ @_ "/>
      <fill>
        <patternFill patternType="solid">
          <fgColor indexed="64"/>
          <bgColor theme="7" tint="0.79998168889431442"/>
        </patternFill>
      </fill>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1"/>
    </dxf>
    <dxf>
      <font>
        <strike val="0"/>
        <outline val="0"/>
        <shadow val="0"/>
        <u val="none"/>
        <vertAlign val="baseline"/>
        <sz val="11"/>
        <color auto="1"/>
        <name val="Calibri"/>
        <family val="2"/>
        <scheme val="minor"/>
      </font>
      <numFmt numFmtId="165" formatCode="_ * #,##0_ ;_ * \-#,##0_ ;_ * &quot;-&quot;??_ ;_ @_ "/>
      <fill>
        <patternFill patternType="solid">
          <fgColor indexed="64"/>
          <bgColor theme="7" tint="0.79998168889431442"/>
        </patternFill>
      </fill>
      <border diagonalUp="0" diagonalDown="0">
        <left style="medium">
          <color theme="1" tint="0.34998626667073579"/>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0" hidden="1"/>
    </dxf>
    <dxf>
      <font>
        <b val="0"/>
        <i val="0"/>
        <strike val="0"/>
        <condense val="0"/>
        <extend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protection locked="1" hidden="1"/>
    </dxf>
    <dxf>
      <font>
        <b val="0"/>
        <i val="0"/>
        <strike val="0"/>
        <condense val="0"/>
        <extend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protection locked="1" hidden="1"/>
    </dxf>
    <dxf>
      <font>
        <b val="0"/>
        <i val="0"/>
        <strike val="0"/>
        <condense val="0"/>
        <extend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protection locked="1" hidden="1"/>
    </dxf>
    <dxf>
      <protection locked="0" hidden="1"/>
    </dxf>
    <dxf>
      <font>
        <strike val="0"/>
        <outline val="0"/>
        <shadow val="0"/>
        <u val="none"/>
        <vertAlign val="baseline"/>
        <sz val="11"/>
        <color auto="1"/>
        <name val="Calibri"/>
        <family val="2"/>
        <scheme val="none"/>
      </font>
      <protection locked="0" hidden="1"/>
    </dxf>
    <dxf>
      <font>
        <strike val="0"/>
        <outline val="0"/>
        <shadow val="0"/>
        <u val="none"/>
        <vertAlign val="baseline"/>
        <sz val="11"/>
        <color auto="1"/>
        <name val="Calibri"/>
        <family val="2"/>
        <scheme val="minor"/>
      </font>
      <alignment horizontal="center" vertical="center" textRotation="0" indent="0" justifyLastLine="0" shrinkToFit="0" readingOrder="0"/>
      <protection locked="1" hidden="1"/>
    </dxf>
    <dxf>
      <numFmt numFmtId="0" formatCode="General"/>
    </dxf>
    <dxf>
      <numFmt numFmtId="0" formatCode="General"/>
    </dxf>
    <dxf>
      <numFmt numFmtId="0" formatCode="General"/>
    </dxf>
    <dxf>
      <alignment horizontal="center" vertical="center" textRotation="0" wrapText="1" indent="0" justifyLastLine="0" shrinkToFit="0" readingOrder="0"/>
    </dxf>
    <dxf>
      <numFmt numFmtId="0" formatCode="General"/>
    </dxf>
    <dxf>
      <numFmt numFmtId="30" formatCode="@"/>
    </dxf>
    <dxf>
      <numFmt numFmtId="0" formatCode="General"/>
    </dxf>
    <dxf>
      <numFmt numFmtId="0" formatCode="General"/>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A757B0-8198-4F60-9892-922E987AF35D}" name="PNS_data" displayName="PNS_data" ref="A1:E398" totalsRowShown="0">
  <autoFilter ref="A1:E398" xr:uid="{5EA757B0-8198-4F60-9892-922E987AF35D}"/>
  <tableColumns count="5">
    <tableColumn id="1" xr3:uid="{819BD1AC-00D7-4BC7-B003-18D51E5A4146}" name="National Society name" dataDxfId="76"/>
    <tableColumn id="2" xr3:uid="{C47F0C12-7566-4410-82D9-3C68CFA82BD1}" name="Country" dataDxfId="75"/>
    <tableColumn id="4" xr3:uid="{E1340DEE-CC2D-4AC2-8E97-CCFDD978ACFA}" name="Year" dataDxfId="74"/>
    <tableColumn id="8" xr3:uid="{ECA312A7-6724-4543-9CCB-560DF07979D9}" name="Attribute" dataDxfId="73"/>
    <tableColumn id="9" xr3:uid="{7A933904-0EDF-41B2-99EE-C037497EDE13}" name="Value"/>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FCA01B-5F85-4C23-A078-919D764C1197}" name="Data" displayName="Data" ref="A1:I366" totalsRowShown="0" headerRowDxfId="72">
  <autoFilter ref="A1:I366" xr:uid="{61FCA01B-5F85-4C23-A078-919D764C1197}"/>
  <tableColumns count="9">
    <tableColumn id="12" xr3:uid="{F1940F1B-9B79-4AAF-A6B6-43FE0D9F3F0D}" name="Region" dataDxfId="71"/>
    <tableColumn id="2" xr3:uid="{8C213A6E-875C-4CFB-8F77-F1D14AAC847B}" name="Country" dataDxfId="70"/>
    <tableColumn id="4" xr3:uid="{2011CE15-E8F7-42E9-BE43-66C7E4C7E6AA}" name="National Society name" dataDxfId="69"/>
    <tableColumn id="13" xr3:uid="{1EE00100-EE3D-48CD-BF81-7DD0941E7CD5}" name="SP1"/>
    <tableColumn id="14" xr3:uid="{3A7FDC07-8505-4E21-B5F6-E1A1B669D210}" name="SP2"/>
    <tableColumn id="15" xr3:uid="{45991D9D-C43D-4E8F-B802-0BD9D2FE24B6}" name="SP3"/>
    <tableColumn id="16" xr3:uid="{21A7F93F-3E2E-4E5F-AB53-48F24CC36A96}" name="SP4"/>
    <tableColumn id="17" xr3:uid="{9D9BAD8A-D437-4B45-A21B-46DF58D3CC09}" name="SP5"/>
    <tableColumn id="18" xr3:uid="{3760BBC9-95D4-4FBF-AB28-B0AEB3FFB420}" name="EF"/>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023A519-A232-4601-BDA5-9675DBD5630B}" name="FR_data" displayName="FR_data" ref="A11:AA203" headerRowDxfId="68" dataDxfId="67" totalsRowDxfId="66">
  <autoFilter ref="A11:AA203" xr:uid="{5CD199EB-10D1-4402-AB50-E00970DD39C2}"/>
  <tableColumns count="27">
    <tableColumn id="4" xr3:uid="{5DF13DC5-3F8D-4C63-8F16-2F85F444AED5}" name="ISO3" totalsRowLabel="Total" dataDxfId="65" totalsRowDxfId="64"/>
    <tableColumn id="3" xr3:uid="{B506AA17-1F0B-4EC4-B6FA-7457F647EAC0}" name="Region" dataDxfId="63" totalsRowDxfId="62"/>
    <tableColumn id="9" xr3:uid="{3036BEE7-CFB4-4665-9E38-D99D22A6660F}" name="Country" dataDxfId="61" totalsRowDxfId="60"/>
    <tableColumn id="78" xr3:uid="{F42AA4B4-E183-43C7-AAF2-8DFB9D78E713}" name="Response - Disasters and Crises" totalsRowFunction="sum" dataDxfId="59" dataCellStyle="Comma">
      <calculatedColumnFormula>_xlfn.LET(
    _xlpm.sumValue, SUMIFS(
        PNS_data[Value],
        PNS_data[Country], FR_data[[#This Row],[Country]],
        PNS_data[National Society name], selected,
        PNS_data[Attribute], "SP1",
        PNS_data[Year], "2026"
    ),
    IF(_xlpm.sumValue = 0, "", _xlpm.sumValue)
)</calculatedColumnFormula>
    </tableColumn>
    <tableColumn id="79" xr3:uid="{FACD22E7-00FE-4A01-A624-411BC6B67C2C}" name="Resilience - Climate and environment" totalsRowFunction="sum" dataDxfId="58" totalsRowDxfId="57" dataCellStyle="Comma">
      <calculatedColumnFormula>_xlfn.LET(
    _xlpm.sumValue, SUMIFS(
        PNS_data[Value],
        PNS_data[Country], FR_data[[#This Row],[Country]],
        PNS_data[National Society name], selected,
        PNS_data[Attribute], "SP2",
        PNS_data[Year], "2026"
    ),
    IF(_xlpm.sumValue = 0, "", _xlpm.sumValue)
)</calculatedColumnFormula>
    </tableColumn>
    <tableColumn id="80" xr3:uid="{A033BE07-FF60-4723-89FD-9226EFB5EAF6}" name="Resilience - Health and wellbeing" totalsRowFunction="sum" dataDxfId="56" totalsRowDxfId="55" dataCellStyle="Comma">
      <calculatedColumnFormula>_xlfn.LET(
    _xlpm.sumValue, SUMIFS(
        PNS_data[Value],
        PNS_data[Country], FR_data[[#This Row],[Country]],
        PNS_data[National Society name], selected,
        PNS_data[Attribute], "SP3",
        PNS_data[Year], "2026"
    ),
    IF(_xlpm.sumValue = 0, "", _xlpm.sumValue)
)</calculatedColumnFormula>
    </tableColumn>
    <tableColumn id="81" xr3:uid="{60B228A0-3AA4-48EA-ACBF-05163E9E1531}" name="Resilience - Migration and displacement" totalsRowFunction="sum" dataDxfId="54" totalsRowDxfId="53" dataCellStyle="Comma">
      <calculatedColumnFormula>_xlfn.LET(
    _xlpm.sumValue, SUMIFS(
        PNS_data[Value],
        PNS_data[Country], FR_data[[#This Row],[Country]],
        PNS_data[National Society name], selected,
        PNS_data[Attribute], "SP4",
        PNS_data[Year], "2026"
    ),
    IF(_xlpm.sumValue = 0, "", _xlpm.sumValue)
)</calculatedColumnFormula>
    </tableColumn>
    <tableColumn id="82" xr3:uid="{596B5A2A-29AC-4177-B539-38F8196A6065}" name="Respect - Values, power and inclusion" totalsRowFunction="sum" dataDxfId="52" totalsRowDxfId="51" dataCellStyle="Comma">
      <calculatedColumnFormula>_xlfn.LET(
    _xlpm.sumValue, SUMIFS(
        PNS_data[Value],
        PNS_data[Country], FR_data[[#This Row],[Country]],
        PNS_data[National Society name], selected,
        PNS_data[Attribute], "SP5",
        PNS_data[Year], "2026"
    ),
    IF(_xlpm.sumValue = 0, "", _xlpm.sumValue)
)</calculatedColumnFormula>
    </tableColumn>
    <tableColumn id="83" xr3:uid="{0664299D-5744-4789-8151-0673879CB2AA}" name="Enabling Functions" totalsRowFunction="sum" dataDxfId="50" totalsRowDxfId="49" dataCellStyle="Comma">
      <calculatedColumnFormula>_xlfn.LET(
    _xlpm.sumValue, SUMIFS(
        PNS_data[Value],
        PNS_data[Country], FR_data[[#This Row],[Country]],
        PNS_data[National Society name], selected,
        PNS_data[Attribute], "EFs",
        PNS_data[Year], "2026"
    ),
    IF(_xlpm.sumValue = 0, "", _xlpm.sumValue)
)</calculatedColumnFormula>
    </tableColumn>
    <tableColumn id="98" xr3:uid="{00B62ACA-D49C-43DA-ADCC-BA05133C898D}" name="Total Funding Requirement" totalsRowFunction="sum" dataDxfId="48" totalsRowDxfId="47" dataCellStyle="40% - Accent4">
      <calculatedColumnFormula>IF(SUM(FR_data[[#This Row],[Response - Disasters and Crises]:[Enabling Functions]])=0,"",SUM(FR_data[[#This Row],[Response - Disasters and Crises]:[Enabling Functions]]))</calculatedColumnFormula>
    </tableColumn>
    <tableColumn id="1" xr3:uid="{4462B2E5-BBFB-46E0-BBD4-8F297175CEBF}" name="Confirmed Funding" dataDxfId="46" totalsRowDxfId="45" dataCellStyle="Comma"/>
    <tableColumn id="84" xr3:uid="{7882CD23-5F3E-4A7E-A52B-B275A30925EA}" name="Response - Disasters and Crises " totalsRowFunction="custom" dataDxfId="44" totalsRowDxfId="43" dataCellStyle="Comma">
      <calculatedColumnFormula>_xlfn.LET(
    _xlpm.sumValue, SUMIFS(
        PNS_data[Value],
        PNS_data[Country], FR_data[[#This Row],[Country]],
        PNS_data[National Society name], selected,
        PNS_data[Attribute], "SP1",
        PNS_data[Year], "2027"
    ),
    IF(_xlpm.sumValue = 0, "", _xlpm.sumValue)
)</calculatedColumnFormula>
      <totalsRowFormula>SUBTOTAL(109,FR_data[Resilience - Climate and environment])</totalsRowFormula>
    </tableColumn>
    <tableColumn id="85" xr3:uid="{A8E93A0C-BCA5-4875-9CAA-615185B115B3}" name="Resilience - Climate and environment " totalsRowFunction="custom" dataDxfId="42" totalsRowDxfId="41" dataCellStyle="Comma">
      <calculatedColumnFormula>_xlfn.LET(
    _xlpm.sumValue, SUMIFS(
        PNS_data[Value],
        PNS_data[Country], FR_data[[#This Row],[Country]],
        PNS_data[National Society name], selected,
        PNS_data[Attribute], "SP2",
        PNS_data[Year], "2027"
    ),
    IF(_xlpm.sumValue = 0, "", _xlpm.sumValue)
)</calculatedColumnFormula>
      <totalsRowFormula>SUBTOTAL(109,FR_data[Resilience - Health and wellbeing])</totalsRowFormula>
    </tableColumn>
    <tableColumn id="86" xr3:uid="{C00B7213-900F-4F84-BD06-856E348C7F26}" name="Resilience - Health and wellbeing " totalsRowFunction="custom" dataDxfId="40" totalsRowDxfId="39" dataCellStyle="Comma">
      <calculatedColumnFormula>_xlfn.LET(
    _xlpm.sumValue, SUMIFS(
        PNS_data[Value],
        PNS_data[Country], FR_data[[#This Row],[Country]],
        PNS_data[National Society name], selected,
        PNS_data[Attribute], "SP3",
        PNS_data[Year], "2027"
    ),
    IF(_xlpm.sumValue = 0, "", _xlpm.sumValue)
)</calculatedColumnFormula>
      <totalsRowFormula>SUBTOTAL(109,FR_data[Resilience - Migration and displacement])</totalsRowFormula>
    </tableColumn>
    <tableColumn id="87" xr3:uid="{C7C0CE48-1ED6-4CCF-AFF2-A1F9F6E08726}" name="Resilience - Migration and displacement " totalsRowFunction="custom" dataDxfId="38" totalsRowDxfId="37" dataCellStyle="Comma">
      <calculatedColumnFormula>_xlfn.LET(
    _xlpm.sumValue, SUMIFS(
        PNS_data[Value],
        PNS_data[Country], FR_data[[#This Row],[Country]],
        PNS_data[National Society name], selected,
        PNS_data[Attribute], "SP4",
        PNS_data[Year], "2027"
    ),
    IF(_xlpm.sumValue = 0, "", _xlpm.sumValue)
)</calculatedColumnFormula>
      <totalsRowFormula>SUBTOTAL(109,FR_data[Respect - Values, power and inclusion])</totalsRowFormula>
    </tableColumn>
    <tableColumn id="88" xr3:uid="{1609A7C6-595D-42DA-B9B2-38CD79C6A0BD}" name="Respect - Values, power and inclusion " totalsRowFunction="custom" dataDxfId="36" totalsRowDxfId="35" dataCellStyle="Comma">
      <calculatedColumnFormula>_xlfn.LET(
    _xlpm.sumValue, SUMIFS(
        PNS_data[Value],
        PNS_data[Country], FR_data[[#This Row],[Country]],
        PNS_data[National Society name], selected,
        PNS_data[Attribute], "SP5",
        PNS_data[Year], "2027"
    ),
    IF(_xlpm.sumValue = 0, "", _xlpm.sumValue)
)</calculatedColumnFormula>
      <totalsRowFormula>SUBTOTAL(109,FR_data[Enabling Functions])</totalsRowFormula>
    </tableColumn>
    <tableColumn id="89" xr3:uid="{B8E9657B-02B0-4CAD-A5CB-6A5601243251}" name="Enabling Functions " totalsRowFunction="custom" dataDxfId="34" totalsRowDxfId="33" dataCellStyle="Comma">
      <calculatedColumnFormula>_xlfn.LET(
    _xlpm.sumValue, SUMIFS(
        PNS_data[Value],
        PNS_data[Country], FR_data[[#This Row],[Country]],
        PNS_data[National Society name], selected,
        PNS_data[Attribute], "EFs",
        PNS_data[Year], "2027"
    ),
    IF(_xlpm.sumValue = 0, "", _xlpm.sumValue)
)</calculatedColumnFormula>
      <totalsRowFormula>SUBTOTAL(109,FR_data[Total Funding Requirement])</totalsRowFormula>
    </tableColumn>
    <tableColumn id="99" xr3:uid="{D1486200-1069-46E8-9F2E-F38D730E416D}" name="Total Funding Requirement " totalsRowFunction="custom" dataDxfId="32" totalsRowDxfId="31" dataCellStyle="40% - Accent4">
      <calculatedColumnFormula>IF(SUM(FR_data[[#This Row],[Response - Disasters and Crises ]:[Enabling Functions ]])=0,"",SUM(FR_data[[#This Row],[Response - Disasters and Crises ]:[Enabling Functions ]]))</calculatedColumnFormula>
      <totalsRowFormula>SUBTOTAL(109,FR_data[Response - Disasters and Crises ])</totalsRowFormula>
    </tableColumn>
    <tableColumn id="2" xr3:uid="{194B8171-D315-43C4-82A7-77758BABAC73}" name="Confirmed Funding " dataDxfId="30" totalsRowDxfId="29" dataCellStyle="Comma"/>
    <tableColumn id="90" xr3:uid="{AAA42DAE-FA32-4DBF-8B44-FC59A01C53D9}" name="Response - Disasters and Crises  " totalsRowFunction="custom" dataDxfId="28" totalsRowDxfId="27" dataCellStyle="Comma">
      <calculatedColumnFormula>_xlfn.LET(
    _xlpm.sumValue, SUMIFS(
        PNS_data[Value],
        PNS_data[Country], FR_data[[#This Row],[Country]],
        PNS_data[National Society name], selected,
        PNS_data[Attribute], "SP1",
        PNS_data[Year], "2028"
    ),
    IF(_xlpm.sumValue = 0, "", _xlpm.sumValue)
)</calculatedColumnFormula>
      <totalsRowFormula>SUBTOTAL(109,FR_data[Resilience - Health and wellbeing])</totalsRowFormula>
    </tableColumn>
    <tableColumn id="91" xr3:uid="{2A90BF79-D80C-4FF9-BE61-0D172636B990}" name="Resilience - Climate and environment  " totalsRowFunction="custom" dataDxfId="26" totalsRowDxfId="25" dataCellStyle="Comma">
      <calculatedColumnFormula>_xlfn.LET(
    _xlpm.sumValue, SUMIFS(
        PNS_data[Value],
        PNS_data[Country], FR_data[[#This Row],[Country]],
        PNS_data[National Society name], selected,
        PNS_data[Attribute], "SP2",
        PNS_data[Year], "2028"
    ),
    IF(_xlpm.sumValue = 0, "", _xlpm.sumValue)
)</calculatedColumnFormula>
      <totalsRowFormula>SUBTOTAL(109,FR_data[Resilience - Migration and displacement])</totalsRowFormula>
    </tableColumn>
    <tableColumn id="92" xr3:uid="{E637D915-A09E-43B8-A7DA-F2BBB8B8232A}" name="Resilience - Health and wellbeing  " totalsRowFunction="custom" dataDxfId="24" totalsRowDxfId="23" dataCellStyle="Comma">
      <calculatedColumnFormula>_xlfn.LET(
    _xlpm.sumValue, SUMIFS(
        PNS_data[Value],
        PNS_data[Country], FR_data[[#This Row],[Country]],
        PNS_data[National Society name], selected,
        PNS_data[Attribute], "SP3",
        PNS_data[Year], "2028"
    ),
    IF(_xlpm.sumValue = 0, "", _xlpm.sumValue)
)</calculatedColumnFormula>
      <totalsRowFormula>SUBTOTAL(109,FR_data[Respect - Values, power and inclusion])</totalsRowFormula>
    </tableColumn>
    <tableColumn id="93" xr3:uid="{83AB8631-FCE2-4774-8E9B-3A4B1E32AB77}" name="Resilience - Migration and displacement  " totalsRowFunction="custom" dataDxfId="22" totalsRowDxfId="21" dataCellStyle="Comma">
      <calculatedColumnFormula>_xlfn.LET(
    _xlpm.sumValue, SUMIFS(
        PNS_data[Value],
        PNS_data[Country], FR_data[[#This Row],[Country]],
        PNS_data[National Society name], selected,
        PNS_data[Attribute], "SP4",
        PNS_data[Year], "2028"
    ),
    IF(_xlpm.sumValue = 0, "", _xlpm.sumValue)
)</calculatedColumnFormula>
      <totalsRowFormula>SUBTOTAL(109,FR_data[Enabling Functions])</totalsRowFormula>
    </tableColumn>
    <tableColumn id="94" xr3:uid="{64D96E51-855E-4E2B-9746-908D9C44D44D}" name="Respect - Values, power and inclusion  " totalsRowFunction="custom" dataDxfId="20" totalsRowDxfId="19" dataCellStyle="Comma">
      <calculatedColumnFormula>_xlfn.LET(
    _xlpm.sumValue, SUMIFS(
        PNS_data[Value],
        PNS_data[Country], FR_data[[#This Row],[Country]],
        PNS_data[National Society name], selected,
        PNS_data[Attribute], "SP5",
        PNS_data[Year], "2028"
    ),
    IF(_xlpm.sumValue = 0, "", _xlpm.sumValue)
)</calculatedColumnFormula>
      <totalsRowFormula>SUBTOTAL(109,FR_data[Total Funding Requirement])</totalsRowFormula>
    </tableColumn>
    <tableColumn id="95" xr3:uid="{C2A2D22A-AACA-49CD-BAFE-3E510B45A6B4}" name="Enabling Functions  " totalsRowFunction="custom" dataDxfId="18" totalsRowDxfId="17" dataCellStyle="Comma">
      <calculatedColumnFormula>_xlfn.LET(
    _xlpm.sumValue, SUMIFS(
        PNS_data[Value],
        PNS_data[Country], FR_data[[#This Row],[Country]],
        PNS_data[National Society name], selected,
        PNS_data[Attribute], "EFs",
        PNS_data[Year], "2028"
    ),
    IF(_xlpm.sumValue = 0, "", _xlpm.sumValue)
)</calculatedColumnFormula>
      <totalsRowFormula>SUBTOTAL(109,FR_data[Response - Disasters and Crises ])</totalsRowFormula>
    </tableColumn>
    <tableColumn id="100" xr3:uid="{B1886835-71CC-468B-AE32-2421BCC5944D}" name="Total Funding Requirement  " totalsRowFunction="custom" dataDxfId="16" totalsRowDxfId="15" dataCellStyle="40% - Accent4">
      <calculatedColumnFormula>IF(SUM(FR_data[[#This Row],[Response - Disasters and Crises  ]:[Enabling Functions  ]])=0,"",SUM(FR_data[[#This Row],[Response - Disasters and Crises  ]:[Enabling Functions  ]]))</calculatedColumnFormula>
      <totalsRowFormula>SUBTOTAL(109,FR_data[Resilience - Climate and environment ])</totalsRowFormula>
    </tableColumn>
    <tableColumn id="5" xr3:uid="{6A42DE4E-40AA-4D54-98BC-CF777E7B0C67}" name="Confirmed Funding  " dataDxfId="14" totalsRowDxfId="13" dataCellStyle="20% - Accent6"/>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6C1BB73-F017-4FC9-9B52-AA37F2F0F124}" name="PNS_staff" displayName="PNS_staff" ref="A1:H193" totalsRowShown="0" headerRowDxfId="12" dataDxfId="10" headerRowBorderDxfId="11" tableBorderDxfId="9" totalsRowBorderDxfId="8">
  <autoFilter ref="A1:H193" xr:uid="{66C1BB73-F017-4FC9-9B52-AA37F2F0F124}"/>
  <tableColumns count="8">
    <tableColumn id="1" xr3:uid="{FD9D6416-C86F-4A21-8D75-4EB13635A1C5}" name="ISO3" dataDxfId="7"/>
    <tableColumn id="2" xr3:uid="{3173CE4A-62B5-40CB-92C2-B4343A8EE8ED}" name="Region" dataDxfId="6"/>
    <tableColumn id="3" xr3:uid="{E23BE676-5ED8-43F2-8C93-49E927A21825}" name="Country" dataDxfId="5"/>
    <tableColumn id="4" xr3:uid="{6A96F167-913C-4A14-A6BA-9149FC51773D}" name="# of international delegates integrated with the HNS" dataDxfId="4"/>
    <tableColumn id="5" xr3:uid="{0C86DB71-6E6F-451E-815D-1DE29A98C9DF}" name="# of national staff hired through the HNS (PNS operating under HNS legal umbrella)" dataDxfId="3"/>
    <tableColumn id="6" xr3:uid="{60392485-6D73-46B7-88C5-BFD413CE9178}" name="# of international delegates integrated with the IFRC" dataDxfId="2"/>
    <tableColumn id="7" xr3:uid="{6E8E53FD-3B9C-4320-A908-81D4AD86F4BE}" name="# of national staff hired through the IFRC (PNS operating under IFRC legal umbrella)_x000a_" dataDxfId="1"/>
    <tableColumn id="8" xr3:uid="{8D09A6D4-4463-4DC8-83DC-AECE50C10B0B}" name="# of national staff hired through the HNS (PNS operating under IFRC legal umbrella)" dataDxfId="0"/>
  </tableColumns>
  <tableStyleInfo name="TableStyleLight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2C6B9-36B8-4E7A-8633-58A070CA6227}">
  <sheetPr codeName="Sheet1"/>
  <dimension ref="A1:G398"/>
  <sheetViews>
    <sheetView workbookViewId="0">
      <selection activeCell="A7" sqref="A7"/>
    </sheetView>
  </sheetViews>
  <sheetFormatPr defaultRowHeight="14.4" x14ac:dyDescent="0.3"/>
  <cols>
    <col min="1" max="1" width="35.33203125" bestFit="1" customWidth="1"/>
    <col min="2" max="2" width="32.88671875" bestFit="1" customWidth="1"/>
    <col min="3" max="3" width="7.109375" bestFit="1" customWidth="1"/>
    <col min="4" max="4" width="11.109375" bestFit="1" customWidth="1"/>
    <col min="5" max="5" width="12.33203125" bestFit="1" customWidth="1"/>
    <col min="6" max="6" width="10" bestFit="1" customWidth="1"/>
    <col min="7" max="7" width="41" bestFit="1" customWidth="1"/>
    <col min="8" max="8" width="10" bestFit="1" customWidth="1"/>
    <col min="9" max="9" width="17.88671875" bestFit="1" customWidth="1"/>
    <col min="10" max="10" width="37.21875" bestFit="1" customWidth="1"/>
  </cols>
  <sheetData>
    <row r="1" spans="1:7" x14ac:dyDescent="0.3">
      <c r="A1" t="s">
        <v>63</v>
      </c>
      <c r="B1" t="s">
        <v>0</v>
      </c>
      <c r="C1" t="s">
        <v>1</v>
      </c>
      <c r="D1" t="s">
        <v>64</v>
      </c>
      <c r="E1" t="s">
        <v>65</v>
      </c>
    </row>
    <row r="2" spans="1:7" x14ac:dyDescent="0.3">
      <c r="A2" t="s">
        <v>18</v>
      </c>
      <c r="B2" t="s">
        <v>17</v>
      </c>
      <c r="C2">
        <v>2026</v>
      </c>
      <c r="D2" t="s">
        <v>460</v>
      </c>
      <c r="E2" s="27">
        <v>30000</v>
      </c>
    </row>
    <row r="3" spans="1:7" x14ac:dyDescent="0.3">
      <c r="A3" t="s">
        <v>18</v>
      </c>
      <c r="B3" t="s">
        <v>17</v>
      </c>
      <c r="C3">
        <v>2026</v>
      </c>
      <c r="D3" t="s">
        <v>2</v>
      </c>
      <c r="E3" s="27">
        <v>400000</v>
      </c>
    </row>
    <row r="4" spans="1:7" x14ac:dyDescent="0.3">
      <c r="A4" t="s">
        <v>18</v>
      </c>
      <c r="B4" t="s">
        <v>17</v>
      </c>
      <c r="C4">
        <v>2026</v>
      </c>
      <c r="D4" t="s">
        <v>3</v>
      </c>
      <c r="E4" s="27">
        <v>625000</v>
      </c>
      <c r="G4" s="28" t="s">
        <v>428</v>
      </c>
    </row>
    <row r="5" spans="1:7" x14ac:dyDescent="0.3">
      <c r="A5" t="s">
        <v>18</v>
      </c>
      <c r="B5" t="s">
        <v>17</v>
      </c>
      <c r="C5">
        <v>2026</v>
      </c>
      <c r="D5" t="s">
        <v>4</v>
      </c>
      <c r="E5" s="27">
        <v>100000</v>
      </c>
      <c r="G5" s="28" t="s">
        <v>18</v>
      </c>
    </row>
    <row r="6" spans="1:7" x14ac:dyDescent="0.3">
      <c r="A6" t="s">
        <v>18</v>
      </c>
      <c r="B6" t="s">
        <v>17</v>
      </c>
      <c r="C6">
        <v>2026</v>
      </c>
      <c r="D6" t="s">
        <v>5</v>
      </c>
      <c r="E6" s="27">
        <v>15000</v>
      </c>
      <c r="G6" s="28" t="s">
        <v>68</v>
      </c>
    </row>
    <row r="7" spans="1:7" x14ac:dyDescent="0.3">
      <c r="A7" t="s">
        <v>18</v>
      </c>
      <c r="B7" t="s">
        <v>17</v>
      </c>
      <c r="C7">
        <v>2026</v>
      </c>
      <c r="D7" t="s">
        <v>6</v>
      </c>
      <c r="E7" s="27">
        <v>30000</v>
      </c>
      <c r="G7" s="28" t="s">
        <v>14</v>
      </c>
    </row>
    <row r="8" spans="1:7" x14ac:dyDescent="0.3">
      <c r="A8" t="s">
        <v>18</v>
      </c>
      <c r="B8" t="s">
        <v>229</v>
      </c>
      <c r="C8">
        <v>2026</v>
      </c>
      <c r="D8" t="s">
        <v>460</v>
      </c>
      <c r="E8" s="27">
        <v>130495</v>
      </c>
      <c r="G8" s="28" t="s">
        <v>73</v>
      </c>
    </row>
    <row r="9" spans="1:7" x14ac:dyDescent="0.3">
      <c r="A9" t="s">
        <v>18</v>
      </c>
      <c r="B9" t="s">
        <v>229</v>
      </c>
      <c r="C9">
        <v>2026</v>
      </c>
      <c r="D9" t="s">
        <v>2</v>
      </c>
      <c r="E9" s="27">
        <v>159676</v>
      </c>
      <c r="G9" s="28" t="s">
        <v>19</v>
      </c>
    </row>
    <row r="10" spans="1:7" x14ac:dyDescent="0.3">
      <c r="A10" t="s">
        <v>18</v>
      </c>
      <c r="B10" t="s">
        <v>229</v>
      </c>
      <c r="C10">
        <v>2026</v>
      </c>
      <c r="D10" t="s">
        <v>3</v>
      </c>
      <c r="E10" s="27">
        <v>362302</v>
      </c>
      <c r="G10" s="28" t="s">
        <v>20</v>
      </c>
    </row>
    <row r="11" spans="1:7" x14ac:dyDescent="0.3">
      <c r="A11" t="s">
        <v>18</v>
      </c>
      <c r="B11" t="s">
        <v>67</v>
      </c>
      <c r="C11">
        <v>2026</v>
      </c>
      <c r="D11" t="s">
        <v>2</v>
      </c>
      <c r="E11" s="27">
        <v>33403</v>
      </c>
      <c r="G11" s="28" t="s">
        <v>37</v>
      </c>
    </row>
    <row r="12" spans="1:7" x14ac:dyDescent="0.3">
      <c r="A12" t="s">
        <v>18</v>
      </c>
      <c r="B12" t="s">
        <v>67</v>
      </c>
      <c r="C12">
        <v>2026</v>
      </c>
      <c r="D12" t="s">
        <v>3</v>
      </c>
      <c r="E12" s="27">
        <v>683000</v>
      </c>
      <c r="G12" s="28" t="s">
        <v>50</v>
      </c>
    </row>
    <row r="13" spans="1:7" x14ac:dyDescent="0.3">
      <c r="A13" t="s">
        <v>18</v>
      </c>
      <c r="B13" t="s">
        <v>80</v>
      </c>
      <c r="C13">
        <v>2026</v>
      </c>
      <c r="D13" t="s">
        <v>4</v>
      </c>
      <c r="E13" s="27">
        <v>395000</v>
      </c>
      <c r="G13" s="28" t="s">
        <v>21</v>
      </c>
    </row>
    <row r="14" spans="1:7" x14ac:dyDescent="0.3">
      <c r="A14" t="s">
        <v>18</v>
      </c>
      <c r="B14" t="s">
        <v>17</v>
      </c>
      <c r="C14">
        <v>2027</v>
      </c>
      <c r="D14" t="s">
        <v>460</v>
      </c>
      <c r="E14" s="27">
        <v>33000</v>
      </c>
      <c r="G14" s="28" t="s">
        <v>455</v>
      </c>
    </row>
    <row r="15" spans="1:7" x14ac:dyDescent="0.3">
      <c r="A15" t="s">
        <v>18</v>
      </c>
      <c r="B15" t="s">
        <v>17</v>
      </c>
      <c r="C15">
        <v>2027</v>
      </c>
      <c r="D15" t="s">
        <v>2</v>
      </c>
      <c r="E15" s="27">
        <v>440000</v>
      </c>
      <c r="G15" s="28" t="s">
        <v>86</v>
      </c>
    </row>
    <row r="16" spans="1:7" x14ac:dyDescent="0.3">
      <c r="A16" t="s">
        <v>18</v>
      </c>
      <c r="B16" t="s">
        <v>17</v>
      </c>
      <c r="C16">
        <v>2027</v>
      </c>
      <c r="D16" t="s">
        <v>3</v>
      </c>
      <c r="E16" s="27">
        <v>687500</v>
      </c>
      <c r="G16" s="28" t="s">
        <v>429</v>
      </c>
    </row>
    <row r="17" spans="1:7" x14ac:dyDescent="0.3">
      <c r="A17" t="s">
        <v>18</v>
      </c>
      <c r="B17" t="s">
        <v>17</v>
      </c>
      <c r="C17">
        <v>2027</v>
      </c>
      <c r="D17" t="s">
        <v>4</v>
      </c>
      <c r="E17" s="27">
        <v>110000</v>
      </c>
      <c r="G17" s="28" t="s">
        <v>87</v>
      </c>
    </row>
    <row r="18" spans="1:7" x14ac:dyDescent="0.3">
      <c r="A18" t="s">
        <v>18</v>
      </c>
      <c r="B18" t="s">
        <v>17</v>
      </c>
      <c r="C18">
        <v>2027</v>
      </c>
      <c r="D18" t="s">
        <v>5</v>
      </c>
      <c r="E18" s="27">
        <v>16500</v>
      </c>
      <c r="G18" s="28" t="s">
        <v>15</v>
      </c>
    </row>
    <row r="19" spans="1:7" x14ac:dyDescent="0.3">
      <c r="A19" t="s">
        <v>18</v>
      </c>
      <c r="B19" t="s">
        <v>17</v>
      </c>
      <c r="C19">
        <v>2027</v>
      </c>
      <c r="D19" t="s">
        <v>6</v>
      </c>
      <c r="E19" s="27">
        <v>33000</v>
      </c>
      <c r="G19" s="28" t="s">
        <v>22</v>
      </c>
    </row>
    <row r="20" spans="1:7" x14ac:dyDescent="0.3">
      <c r="A20" t="s">
        <v>18</v>
      </c>
      <c r="B20" t="s">
        <v>229</v>
      </c>
      <c r="C20">
        <v>2027</v>
      </c>
      <c r="D20" t="s">
        <v>460</v>
      </c>
      <c r="E20" s="27">
        <v>62074</v>
      </c>
      <c r="G20" s="28" t="s">
        <v>56</v>
      </c>
    </row>
    <row r="21" spans="1:7" x14ac:dyDescent="0.3">
      <c r="A21" t="s">
        <v>18</v>
      </c>
      <c r="B21" t="s">
        <v>229</v>
      </c>
      <c r="C21">
        <v>2027</v>
      </c>
      <c r="D21" t="s">
        <v>2</v>
      </c>
      <c r="E21" s="27">
        <v>23773</v>
      </c>
      <c r="G21" s="28" t="s">
        <v>93</v>
      </c>
    </row>
    <row r="22" spans="1:7" x14ac:dyDescent="0.3">
      <c r="A22" t="s">
        <v>18</v>
      </c>
      <c r="B22" t="s">
        <v>229</v>
      </c>
      <c r="C22">
        <v>2027</v>
      </c>
      <c r="D22" t="s">
        <v>3</v>
      </c>
      <c r="E22" s="27">
        <v>224524</v>
      </c>
      <c r="G22" s="28" t="s">
        <v>94</v>
      </c>
    </row>
    <row r="23" spans="1:7" x14ac:dyDescent="0.3">
      <c r="A23" t="s">
        <v>18</v>
      </c>
      <c r="B23" t="s">
        <v>17</v>
      </c>
      <c r="C23">
        <v>2028</v>
      </c>
      <c r="D23" t="s">
        <v>460</v>
      </c>
      <c r="E23" s="27">
        <v>36300</v>
      </c>
      <c r="G23" s="28" t="s">
        <v>430</v>
      </c>
    </row>
    <row r="24" spans="1:7" x14ac:dyDescent="0.3">
      <c r="A24" t="s">
        <v>18</v>
      </c>
      <c r="B24" t="s">
        <v>17</v>
      </c>
      <c r="C24">
        <v>2028</v>
      </c>
      <c r="D24" t="s">
        <v>2</v>
      </c>
      <c r="E24" s="27">
        <v>484000</v>
      </c>
      <c r="G24" s="28" t="s">
        <v>431</v>
      </c>
    </row>
    <row r="25" spans="1:7" x14ac:dyDescent="0.3">
      <c r="A25" t="s">
        <v>18</v>
      </c>
      <c r="B25" t="s">
        <v>17</v>
      </c>
      <c r="C25">
        <v>2028</v>
      </c>
      <c r="D25" t="s">
        <v>3</v>
      </c>
      <c r="E25" s="27">
        <v>756250</v>
      </c>
      <c r="G25" s="28" t="s">
        <v>26</v>
      </c>
    </row>
    <row r="26" spans="1:7" x14ac:dyDescent="0.3">
      <c r="A26" t="s">
        <v>18</v>
      </c>
      <c r="B26" t="s">
        <v>17</v>
      </c>
      <c r="C26">
        <v>2028</v>
      </c>
      <c r="D26" t="s">
        <v>4</v>
      </c>
      <c r="E26" s="27">
        <v>121000</v>
      </c>
      <c r="G26" s="28" t="s">
        <v>62</v>
      </c>
    </row>
    <row r="27" spans="1:7" x14ac:dyDescent="0.3">
      <c r="A27" t="s">
        <v>18</v>
      </c>
      <c r="B27" t="s">
        <v>17</v>
      </c>
      <c r="C27">
        <v>2028</v>
      </c>
      <c r="D27" t="s">
        <v>5</v>
      </c>
      <c r="E27" s="27">
        <v>18150</v>
      </c>
      <c r="G27" s="28" t="s">
        <v>95</v>
      </c>
    </row>
    <row r="28" spans="1:7" x14ac:dyDescent="0.3">
      <c r="A28" t="s">
        <v>18</v>
      </c>
      <c r="B28" t="s">
        <v>17</v>
      </c>
      <c r="C28">
        <v>2028</v>
      </c>
      <c r="D28" t="s">
        <v>6</v>
      </c>
      <c r="E28" s="27">
        <v>36300</v>
      </c>
      <c r="G28" s="28" t="s">
        <v>27</v>
      </c>
    </row>
    <row r="29" spans="1:7" x14ac:dyDescent="0.3">
      <c r="A29" t="s">
        <v>14</v>
      </c>
      <c r="B29" t="s">
        <v>13</v>
      </c>
      <c r="C29">
        <v>2026</v>
      </c>
      <c r="D29" t="s">
        <v>3</v>
      </c>
      <c r="E29" s="27">
        <v>108000</v>
      </c>
      <c r="G29" s="28" t="s">
        <v>23</v>
      </c>
    </row>
    <row r="30" spans="1:7" x14ac:dyDescent="0.3">
      <c r="A30" t="s">
        <v>14</v>
      </c>
      <c r="B30" t="s">
        <v>13</v>
      </c>
      <c r="C30">
        <v>2026</v>
      </c>
      <c r="D30" t="s">
        <v>4</v>
      </c>
      <c r="E30" s="27">
        <v>86000</v>
      </c>
      <c r="G30" s="28" t="s">
        <v>10</v>
      </c>
    </row>
    <row r="31" spans="1:7" x14ac:dyDescent="0.3">
      <c r="A31" t="s">
        <v>14</v>
      </c>
      <c r="B31" t="s">
        <v>13</v>
      </c>
      <c r="C31">
        <v>2026</v>
      </c>
      <c r="D31" t="s">
        <v>6</v>
      </c>
      <c r="E31" s="27">
        <v>38000</v>
      </c>
      <c r="G31" s="28" t="s">
        <v>28</v>
      </c>
    </row>
    <row r="32" spans="1:7" x14ac:dyDescent="0.3">
      <c r="A32" t="s">
        <v>14</v>
      </c>
      <c r="B32" t="s">
        <v>16</v>
      </c>
      <c r="C32">
        <v>2026</v>
      </c>
      <c r="D32" t="s">
        <v>4</v>
      </c>
      <c r="E32" s="27">
        <v>155700</v>
      </c>
      <c r="G32" s="28" t="s">
        <v>38</v>
      </c>
    </row>
    <row r="33" spans="1:7" x14ac:dyDescent="0.3">
      <c r="A33" t="s">
        <v>14</v>
      </c>
      <c r="B33" t="s">
        <v>16</v>
      </c>
      <c r="C33">
        <v>2026</v>
      </c>
      <c r="D33" t="s">
        <v>5</v>
      </c>
      <c r="E33" s="27">
        <v>32000</v>
      </c>
      <c r="G33" s="28" t="s">
        <v>97</v>
      </c>
    </row>
    <row r="34" spans="1:7" x14ac:dyDescent="0.3">
      <c r="A34" t="s">
        <v>14</v>
      </c>
      <c r="B34" t="s">
        <v>48</v>
      </c>
      <c r="C34">
        <v>2026</v>
      </c>
      <c r="D34" t="s">
        <v>3</v>
      </c>
      <c r="E34" s="27">
        <v>97000</v>
      </c>
      <c r="G34" s="28" t="s">
        <v>34</v>
      </c>
    </row>
    <row r="35" spans="1:7" x14ac:dyDescent="0.3">
      <c r="A35" t="s">
        <v>14</v>
      </c>
      <c r="B35" t="s">
        <v>48</v>
      </c>
      <c r="C35">
        <v>2026</v>
      </c>
      <c r="D35" t="s">
        <v>4</v>
      </c>
      <c r="E35" s="27">
        <v>97000</v>
      </c>
      <c r="G35" s="28" t="s">
        <v>432</v>
      </c>
    </row>
    <row r="36" spans="1:7" x14ac:dyDescent="0.3">
      <c r="A36" t="s">
        <v>14</v>
      </c>
      <c r="B36" t="s">
        <v>59</v>
      </c>
      <c r="C36">
        <v>2026</v>
      </c>
      <c r="D36" t="s">
        <v>2</v>
      </c>
      <c r="E36" s="27">
        <v>108000</v>
      </c>
    </row>
    <row r="37" spans="1:7" x14ac:dyDescent="0.3">
      <c r="A37" t="s">
        <v>14</v>
      </c>
      <c r="B37" t="s">
        <v>59</v>
      </c>
      <c r="C37">
        <v>2026</v>
      </c>
      <c r="D37" t="s">
        <v>3</v>
      </c>
      <c r="E37" s="27">
        <v>86000</v>
      </c>
    </row>
    <row r="38" spans="1:7" x14ac:dyDescent="0.3">
      <c r="A38" t="s">
        <v>14</v>
      </c>
      <c r="B38" t="s">
        <v>59</v>
      </c>
      <c r="C38">
        <v>2026</v>
      </c>
      <c r="D38" t="s">
        <v>4</v>
      </c>
      <c r="E38" s="27">
        <v>119000</v>
      </c>
    </row>
    <row r="39" spans="1:7" x14ac:dyDescent="0.3">
      <c r="A39" t="s">
        <v>14</v>
      </c>
      <c r="B39" t="s">
        <v>51</v>
      </c>
      <c r="C39">
        <v>2026</v>
      </c>
      <c r="D39" t="s">
        <v>3</v>
      </c>
      <c r="E39" s="27">
        <v>108000</v>
      </c>
    </row>
    <row r="40" spans="1:7" x14ac:dyDescent="0.3">
      <c r="A40" t="s">
        <v>14</v>
      </c>
      <c r="B40" t="s">
        <v>51</v>
      </c>
      <c r="C40">
        <v>2026</v>
      </c>
      <c r="D40" t="s">
        <v>6</v>
      </c>
      <c r="E40" s="27">
        <v>54000</v>
      </c>
    </row>
    <row r="41" spans="1:7" x14ac:dyDescent="0.3">
      <c r="A41" t="s">
        <v>14</v>
      </c>
      <c r="B41" t="s">
        <v>54</v>
      </c>
      <c r="C41">
        <v>2026</v>
      </c>
      <c r="D41" t="s">
        <v>460</v>
      </c>
      <c r="E41" s="27">
        <v>14100</v>
      </c>
    </row>
    <row r="42" spans="1:7" x14ac:dyDescent="0.3">
      <c r="A42" t="s">
        <v>14</v>
      </c>
      <c r="B42" t="s">
        <v>54</v>
      </c>
      <c r="C42">
        <v>2026</v>
      </c>
      <c r="D42" t="s">
        <v>4</v>
      </c>
      <c r="E42" s="27">
        <v>310200</v>
      </c>
    </row>
    <row r="43" spans="1:7" x14ac:dyDescent="0.3">
      <c r="A43" t="s">
        <v>14</v>
      </c>
      <c r="B43" t="s">
        <v>54</v>
      </c>
      <c r="C43">
        <v>2027</v>
      </c>
      <c r="D43" t="s">
        <v>460</v>
      </c>
      <c r="E43" s="27">
        <v>14100</v>
      </c>
    </row>
    <row r="44" spans="1:7" x14ac:dyDescent="0.3">
      <c r="A44" t="s">
        <v>14</v>
      </c>
      <c r="B44" t="s">
        <v>54</v>
      </c>
      <c r="C44">
        <v>2027</v>
      </c>
      <c r="D44" t="s">
        <v>4</v>
      </c>
      <c r="E44" s="27">
        <v>141000</v>
      </c>
    </row>
    <row r="45" spans="1:7" x14ac:dyDescent="0.3">
      <c r="A45" t="s">
        <v>14</v>
      </c>
      <c r="B45" t="s">
        <v>54</v>
      </c>
      <c r="C45">
        <v>2028</v>
      </c>
      <c r="D45" t="s">
        <v>4</v>
      </c>
      <c r="E45" s="27">
        <v>94000</v>
      </c>
    </row>
    <row r="46" spans="1:7" x14ac:dyDescent="0.3">
      <c r="A46" t="s">
        <v>73</v>
      </c>
      <c r="B46" t="s">
        <v>75</v>
      </c>
      <c r="C46">
        <v>2026</v>
      </c>
      <c r="D46" t="s">
        <v>460</v>
      </c>
      <c r="E46" s="27">
        <v>116154</v>
      </c>
    </row>
    <row r="47" spans="1:7" x14ac:dyDescent="0.3">
      <c r="A47" t="s">
        <v>73</v>
      </c>
      <c r="B47" t="s">
        <v>75</v>
      </c>
      <c r="C47">
        <v>2026</v>
      </c>
      <c r="D47" t="s">
        <v>2</v>
      </c>
      <c r="E47" s="27">
        <v>12287</v>
      </c>
    </row>
    <row r="48" spans="1:7" x14ac:dyDescent="0.3">
      <c r="A48" t="s">
        <v>73</v>
      </c>
      <c r="B48" t="s">
        <v>75</v>
      </c>
      <c r="C48">
        <v>2026</v>
      </c>
      <c r="D48" t="s">
        <v>3</v>
      </c>
      <c r="E48" s="27">
        <v>3055000</v>
      </c>
    </row>
    <row r="49" spans="1:5" x14ac:dyDescent="0.3">
      <c r="A49" t="s">
        <v>73</v>
      </c>
      <c r="B49" t="s">
        <v>75</v>
      </c>
      <c r="C49">
        <v>2026</v>
      </c>
      <c r="D49" t="s">
        <v>4</v>
      </c>
      <c r="E49" s="27">
        <v>462480</v>
      </c>
    </row>
    <row r="50" spans="1:5" x14ac:dyDescent="0.3">
      <c r="A50" t="s">
        <v>73</v>
      </c>
      <c r="B50" t="s">
        <v>75</v>
      </c>
      <c r="C50">
        <v>2026</v>
      </c>
      <c r="D50" t="s">
        <v>6</v>
      </c>
      <c r="E50" s="27">
        <v>305500</v>
      </c>
    </row>
    <row r="51" spans="1:5" x14ac:dyDescent="0.3">
      <c r="A51" t="s">
        <v>73</v>
      </c>
      <c r="B51" t="s">
        <v>76</v>
      </c>
      <c r="C51">
        <v>2026</v>
      </c>
      <c r="D51" t="s">
        <v>460</v>
      </c>
      <c r="E51" s="27">
        <v>224014</v>
      </c>
    </row>
    <row r="52" spans="1:5" x14ac:dyDescent="0.3">
      <c r="A52" t="s">
        <v>73</v>
      </c>
      <c r="B52" t="s">
        <v>76</v>
      </c>
      <c r="C52">
        <v>2026</v>
      </c>
      <c r="D52" t="s">
        <v>2</v>
      </c>
      <c r="E52" s="27">
        <v>183997</v>
      </c>
    </row>
    <row r="53" spans="1:5" x14ac:dyDescent="0.3">
      <c r="A53" t="s">
        <v>73</v>
      </c>
      <c r="B53" t="s">
        <v>76</v>
      </c>
      <c r="C53">
        <v>2026</v>
      </c>
      <c r="D53" t="s">
        <v>3</v>
      </c>
      <c r="E53" s="27">
        <v>591142</v>
      </c>
    </row>
    <row r="54" spans="1:5" x14ac:dyDescent="0.3">
      <c r="A54" t="s">
        <v>73</v>
      </c>
      <c r="B54" t="s">
        <v>76</v>
      </c>
      <c r="C54">
        <v>2026</v>
      </c>
      <c r="D54" t="s">
        <v>4</v>
      </c>
      <c r="E54" s="27">
        <v>322176</v>
      </c>
    </row>
    <row r="55" spans="1:5" x14ac:dyDescent="0.3">
      <c r="A55" t="s">
        <v>73</v>
      </c>
      <c r="B55" t="s">
        <v>76</v>
      </c>
      <c r="C55">
        <v>2026</v>
      </c>
      <c r="D55" t="s">
        <v>5</v>
      </c>
      <c r="E55" s="27">
        <v>387247</v>
      </c>
    </row>
    <row r="56" spans="1:5" x14ac:dyDescent="0.3">
      <c r="A56" t="s">
        <v>73</v>
      </c>
      <c r="B56" t="s">
        <v>76</v>
      </c>
      <c r="C56">
        <v>2026</v>
      </c>
      <c r="D56" t="s">
        <v>6</v>
      </c>
      <c r="E56" s="27">
        <v>94870</v>
      </c>
    </row>
    <row r="57" spans="1:5" x14ac:dyDescent="0.3">
      <c r="A57" t="s">
        <v>73</v>
      </c>
      <c r="B57" t="s">
        <v>77</v>
      </c>
      <c r="C57">
        <v>2026</v>
      </c>
      <c r="D57" t="s">
        <v>460</v>
      </c>
      <c r="E57" s="27">
        <v>55481</v>
      </c>
    </row>
    <row r="58" spans="1:5" x14ac:dyDescent="0.3">
      <c r="A58" t="s">
        <v>73</v>
      </c>
      <c r="B58" t="s">
        <v>77</v>
      </c>
      <c r="C58">
        <v>2026</v>
      </c>
      <c r="D58" t="s">
        <v>2</v>
      </c>
      <c r="E58" s="27">
        <v>100000</v>
      </c>
    </row>
    <row r="59" spans="1:5" x14ac:dyDescent="0.3">
      <c r="A59" t="s">
        <v>73</v>
      </c>
      <c r="B59" t="s">
        <v>77</v>
      </c>
      <c r="C59">
        <v>2026</v>
      </c>
      <c r="D59" t="s">
        <v>3</v>
      </c>
      <c r="E59" s="27">
        <v>250000</v>
      </c>
    </row>
    <row r="60" spans="1:5" x14ac:dyDescent="0.3">
      <c r="A60" t="s">
        <v>73</v>
      </c>
      <c r="B60" t="s">
        <v>77</v>
      </c>
      <c r="C60">
        <v>2026</v>
      </c>
      <c r="D60" t="s">
        <v>4</v>
      </c>
      <c r="E60" s="27">
        <v>200000</v>
      </c>
    </row>
    <row r="61" spans="1:5" x14ac:dyDescent="0.3">
      <c r="A61" t="s">
        <v>73</v>
      </c>
      <c r="B61" t="s">
        <v>77</v>
      </c>
      <c r="C61">
        <v>2026</v>
      </c>
      <c r="D61" t="s">
        <v>5</v>
      </c>
      <c r="E61" s="27">
        <v>150000</v>
      </c>
    </row>
    <row r="62" spans="1:5" x14ac:dyDescent="0.3">
      <c r="A62" t="s">
        <v>73</v>
      </c>
      <c r="B62" t="s">
        <v>77</v>
      </c>
      <c r="C62">
        <v>2026</v>
      </c>
      <c r="D62" t="s">
        <v>6</v>
      </c>
      <c r="E62" s="27">
        <v>100000</v>
      </c>
    </row>
    <row r="63" spans="1:5" x14ac:dyDescent="0.3">
      <c r="A63" t="s">
        <v>73</v>
      </c>
      <c r="B63" t="s">
        <v>324</v>
      </c>
      <c r="C63">
        <v>2026</v>
      </c>
      <c r="D63" t="s">
        <v>2</v>
      </c>
      <c r="E63" s="27">
        <v>60000</v>
      </c>
    </row>
    <row r="64" spans="1:5" x14ac:dyDescent="0.3">
      <c r="A64" t="s">
        <v>73</v>
      </c>
      <c r="B64" t="s">
        <v>324</v>
      </c>
      <c r="C64">
        <v>2026</v>
      </c>
      <c r="D64" t="s">
        <v>3</v>
      </c>
      <c r="E64" s="27">
        <v>210000</v>
      </c>
    </row>
    <row r="65" spans="1:5" x14ac:dyDescent="0.3">
      <c r="A65" t="s">
        <v>73</v>
      </c>
      <c r="B65" t="s">
        <v>324</v>
      </c>
      <c r="C65">
        <v>2026</v>
      </c>
      <c r="D65" t="s">
        <v>4</v>
      </c>
      <c r="E65" s="27">
        <v>190000</v>
      </c>
    </row>
    <row r="66" spans="1:5" x14ac:dyDescent="0.3">
      <c r="A66" t="s">
        <v>73</v>
      </c>
      <c r="B66" t="s">
        <v>324</v>
      </c>
      <c r="C66">
        <v>2026</v>
      </c>
      <c r="D66" t="s">
        <v>5</v>
      </c>
      <c r="E66" s="27">
        <v>170000</v>
      </c>
    </row>
    <row r="67" spans="1:5" x14ac:dyDescent="0.3">
      <c r="A67" t="s">
        <v>73</v>
      </c>
      <c r="B67" t="s">
        <v>324</v>
      </c>
      <c r="C67">
        <v>2026</v>
      </c>
      <c r="D67" t="s">
        <v>6</v>
      </c>
      <c r="E67" s="27">
        <v>60000</v>
      </c>
    </row>
    <row r="68" spans="1:5" x14ac:dyDescent="0.3">
      <c r="A68" t="s">
        <v>73</v>
      </c>
      <c r="B68" t="s">
        <v>77</v>
      </c>
      <c r="C68">
        <v>2027</v>
      </c>
      <c r="D68" t="s">
        <v>460</v>
      </c>
      <c r="E68" s="27">
        <v>270000</v>
      </c>
    </row>
    <row r="69" spans="1:5" x14ac:dyDescent="0.3">
      <c r="A69" t="s">
        <v>73</v>
      </c>
      <c r="B69" t="s">
        <v>77</v>
      </c>
      <c r="C69">
        <v>2027</v>
      </c>
      <c r="D69" t="s">
        <v>2</v>
      </c>
      <c r="E69" s="27">
        <v>80000</v>
      </c>
    </row>
    <row r="70" spans="1:5" x14ac:dyDescent="0.3">
      <c r="A70" t="s">
        <v>73</v>
      </c>
      <c r="B70" t="s">
        <v>77</v>
      </c>
      <c r="C70">
        <v>2027</v>
      </c>
      <c r="D70" t="s">
        <v>3</v>
      </c>
      <c r="E70" s="27">
        <v>140000</v>
      </c>
    </row>
    <row r="71" spans="1:5" x14ac:dyDescent="0.3">
      <c r="A71" t="s">
        <v>73</v>
      </c>
      <c r="B71" t="s">
        <v>77</v>
      </c>
      <c r="C71">
        <v>2027</v>
      </c>
      <c r="D71" t="s">
        <v>4</v>
      </c>
      <c r="E71" s="27">
        <v>100000</v>
      </c>
    </row>
    <row r="72" spans="1:5" x14ac:dyDescent="0.3">
      <c r="A72" t="s">
        <v>73</v>
      </c>
      <c r="B72" t="s">
        <v>77</v>
      </c>
      <c r="C72">
        <v>2027</v>
      </c>
      <c r="D72" t="s">
        <v>5</v>
      </c>
      <c r="E72" s="27">
        <v>250000</v>
      </c>
    </row>
    <row r="73" spans="1:5" x14ac:dyDescent="0.3">
      <c r="A73" t="s">
        <v>73</v>
      </c>
      <c r="B73" t="s">
        <v>77</v>
      </c>
      <c r="C73">
        <v>2027</v>
      </c>
      <c r="D73" t="s">
        <v>6</v>
      </c>
      <c r="E73" s="27">
        <v>50000</v>
      </c>
    </row>
    <row r="74" spans="1:5" x14ac:dyDescent="0.3">
      <c r="A74" t="s">
        <v>73</v>
      </c>
      <c r="B74" t="s">
        <v>324</v>
      </c>
      <c r="C74">
        <v>2027</v>
      </c>
      <c r="D74" t="s">
        <v>2</v>
      </c>
      <c r="E74" s="27">
        <v>150000</v>
      </c>
    </row>
    <row r="75" spans="1:5" x14ac:dyDescent="0.3">
      <c r="A75" t="s">
        <v>73</v>
      </c>
      <c r="B75" t="s">
        <v>324</v>
      </c>
      <c r="C75">
        <v>2027</v>
      </c>
      <c r="D75" t="s">
        <v>3</v>
      </c>
      <c r="E75" s="27">
        <v>200000</v>
      </c>
    </row>
    <row r="76" spans="1:5" x14ac:dyDescent="0.3">
      <c r="A76" t="s">
        <v>73</v>
      </c>
      <c r="B76" t="s">
        <v>324</v>
      </c>
      <c r="C76">
        <v>2027</v>
      </c>
      <c r="D76" t="s">
        <v>4</v>
      </c>
      <c r="E76" s="27">
        <v>430000</v>
      </c>
    </row>
    <row r="77" spans="1:5" x14ac:dyDescent="0.3">
      <c r="A77" t="s">
        <v>73</v>
      </c>
      <c r="B77" t="s">
        <v>324</v>
      </c>
      <c r="C77">
        <v>2027</v>
      </c>
      <c r="D77" t="s">
        <v>5</v>
      </c>
      <c r="E77" s="27">
        <v>60000</v>
      </c>
    </row>
    <row r="78" spans="1:5" x14ac:dyDescent="0.3">
      <c r="A78" t="s">
        <v>73</v>
      </c>
      <c r="B78" t="s">
        <v>77</v>
      </c>
      <c r="C78">
        <v>2028</v>
      </c>
      <c r="D78" t="s">
        <v>460</v>
      </c>
      <c r="E78" s="27">
        <v>450000</v>
      </c>
    </row>
    <row r="79" spans="1:5" x14ac:dyDescent="0.3">
      <c r="A79" t="s">
        <v>73</v>
      </c>
      <c r="B79" t="s">
        <v>77</v>
      </c>
      <c r="C79">
        <v>2028</v>
      </c>
      <c r="D79" t="s">
        <v>2</v>
      </c>
      <c r="E79" s="27">
        <v>150000</v>
      </c>
    </row>
    <row r="80" spans="1:5" x14ac:dyDescent="0.3">
      <c r="A80" t="s">
        <v>73</v>
      </c>
      <c r="B80" t="s">
        <v>77</v>
      </c>
      <c r="C80">
        <v>2028</v>
      </c>
      <c r="D80" t="s">
        <v>3</v>
      </c>
      <c r="E80" s="27">
        <v>200000</v>
      </c>
    </row>
    <row r="81" spans="1:5" x14ac:dyDescent="0.3">
      <c r="A81" t="s">
        <v>73</v>
      </c>
      <c r="B81" t="s">
        <v>77</v>
      </c>
      <c r="C81">
        <v>2028</v>
      </c>
      <c r="D81" t="s">
        <v>4</v>
      </c>
      <c r="E81" s="27">
        <v>100000</v>
      </c>
    </row>
    <row r="82" spans="1:5" x14ac:dyDescent="0.3">
      <c r="A82" t="s">
        <v>73</v>
      </c>
      <c r="B82" t="s">
        <v>77</v>
      </c>
      <c r="C82">
        <v>2028</v>
      </c>
      <c r="D82" t="s">
        <v>5</v>
      </c>
      <c r="E82" s="27">
        <v>350000</v>
      </c>
    </row>
    <row r="83" spans="1:5" x14ac:dyDescent="0.3">
      <c r="A83" t="s">
        <v>73</v>
      </c>
      <c r="B83" t="s">
        <v>77</v>
      </c>
      <c r="C83">
        <v>2028</v>
      </c>
      <c r="D83" t="s">
        <v>6</v>
      </c>
      <c r="E83" s="27">
        <v>80000</v>
      </c>
    </row>
    <row r="84" spans="1:5" x14ac:dyDescent="0.3">
      <c r="A84" t="s">
        <v>19</v>
      </c>
      <c r="B84" t="s">
        <v>17</v>
      </c>
      <c r="C84">
        <v>2026</v>
      </c>
      <c r="D84" t="s">
        <v>460</v>
      </c>
      <c r="E84" s="27">
        <v>307936</v>
      </c>
    </row>
    <row r="85" spans="1:5" x14ac:dyDescent="0.3">
      <c r="A85" t="s">
        <v>19</v>
      </c>
      <c r="B85" t="s">
        <v>17</v>
      </c>
      <c r="C85">
        <v>2026</v>
      </c>
      <c r="D85" t="s">
        <v>2</v>
      </c>
      <c r="E85" s="27">
        <v>1022291</v>
      </c>
    </row>
    <row r="86" spans="1:5" x14ac:dyDescent="0.3">
      <c r="A86" t="s">
        <v>19</v>
      </c>
      <c r="B86" t="s">
        <v>17</v>
      </c>
      <c r="C86">
        <v>2026</v>
      </c>
      <c r="D86" t="s">
        <v>3</v>
      </c>
      <c r="E86" s="27">
        <v>108020</v>
      </c>
    </row>
    <row r="87" spans="1:5" x14ac:dyDescent="0.3">
      <c r="A87" t="s">
        <v>19</v>
      </c>
      <c r="B87" t="s">
        <v>67</v>
      </c>
      <c r="C87">
        <v>2026</v>
      </c>
      <c r="D87" t="s">
        <v>3</v>
      </c>
      <c r="E87" s="27">
        <v>444015</v>
      </c>
    </row>
    <row r="88" spans="1:5" x14ac:dyDescent="0.3">
      <c r="A88" t="s">
        <v>19</v>
      </c>
      <c r="B88" t="s">
        <v>80</v>
      </c>
      <c r="C88">
        <v>2026</v>
      </c>
      <c r="D88" t="s">
        <v>460</v>
      </c>
      <c r="E88" s="27">
        <v>110000</v>
      </c>
    </row>
    <row r="89" spans="1:5" x14ac:dyDescent="0.3">
      <c r="A89" t="s">
        <v>19</v>
      </c>
      <c r="B89" t="s">
        <v>80</v>
      </c>
      <c r="C89">
        <v>2026</v>
      </c>
      <c r="D89" t="s">
        <v>2</v>
      </c>
      <c r="E89" s="27">
        <v>290000</v>
      </c>
    </row>
    <row r="90" spans="1:5" x14ac:dyDescent="0.3">
      <c r="A90" t="s">
        <v>19</v>
      </c>
      <c r="B90" t="s">
        <v>80</v>
      </c>
      <c r="C90">
        <v>2026</v>
      </c>
      <c r="D90" t="s">
        <v>3</v>
      </c>
      <c r="E90" s="27">
        <v>300000</v>
      </c>
    </row>
    <row r="91" spans="1:5" x14ac:dyDescent="0.3">
      <c r="A91" t="s">
        <v>19</v>
      </c>
      <c r="B91" t="s">
        <v>80</v>
      </c>
      <c r="C91">
        <v>2026</v>
      </c>
      <c r="D91" t="s">
        <v>4</v>
      </c>
      <c r="E91" s="27">
        <v>50000</v>
      </c>
    </row>
    <row r="92" spans="1:5" x14ac:dyDescent="0.3">
      <c r="A92" t="s">
        <v>19</v>
      </c>
      <c r="B92" t="s">
        <v>80</v>
      </c>
      <c r="C92">
        <v>2026</v>
      </c>
      <c r="D92" t="s">
        <v>6</v>
      </c>
      <c r="E92" s="27">
        <v>40000</v>
      </c>
    </row>
    <row r="93" spans="1:5" x14ac:dyDescent="0.3">
      <c r="A93" t="s">
        <v>19</v>
      </c>
      <c r="B93" t="s">
        <v>49</v>
      </c>
      <c r="C93">
        <v>2026</v>
      </c>
      <c r="D93" t="s">
        <v>460</v>
      </c>
      <c r="E93" s="27">
        <v>375417</v>
      </c>
    </row>
    <row r="94" spans="1:5" x14ac:dyDescent="0.3">
      <c r="A94" t="s">
        <v>19</v>
      </c>
      <c r="B94" t="s">
        <v>49</v>
      </c>
      <c r="C94">
        <v>2026</v>
      </c>
      <c r="D94" t="s">
        <v>3</v>
      </c>
      <c r="E94" s="27">
        <v>204552</v>
      </c>
    </row>
    <row r="95" spans="1:5" x14ac:dyDescent="0.3">
      <c r="A95" t="s">
        <v>19</v>
      </c>
      <c r="B95" t="s">
        <v>49</v>
      </c>
      <c r="C95">
        <v>2026</v>
      </c>
      <c r="D95" t="s">
        <v>5</v>
      </c>
      <c r="E95" s="27">
        <v>622878</v>
      </c>
    </row>
    <row r="96" spans="1:5" x14ac:dyDescent="0.3">
      <c r="A96" t="s">
        <v>19</v>
      </c>
      <c r="B96" t="s">
        <v>54</v>
      </c>
      <c r="C96">
        <v>2026</v>
      </c>
      <c r="D96" t="s">
        <v>460</v>
      </c>
      <c r="E96" s="27">
        <v>300000</v>
      </c>
    </row>
    <row r="97" spans="1:5" x14ac:dyDescent="0.3">
      <c r="A97" t="s">
        <v>19</v>
      </c>
      <c r="B97" t="s">
        <v>54</v>
      </c>
      <c r="C97">
        <v>2026</v>
      </c>
      <c r="D97" t="s">
        <v>2</v>
      </c>
      <c r="E97" s="27">
        <v>150000</v>
      </c>
    </row>
    <row r="98" spans="1:5" x14ac:dyDescent="0.3">
      <c r="A98" t="s">
        <v>19</v>
      </c>
      <c r="B98" t="s">
        <v>54</v>
      </c>
      <c r="C98">
        <v>2026</v>
      </c>
      <c r="D98" t="s">
        <v>3</v>
      </c>
      <c r="E98" s="27">
        <v>1000000</v>
      </c>
    </row>
    <row r="99" spans="1:5" x14ac:dyDescent="0.3">
      <c r="A99" t="s">
        <v>19</v>
      </c>
      <c r="B99" t="s">
        <v>54</v>
      </c>
      <c r="C99">
        <v>2026</v>
      </c>
      <c r="D99" t="s">
        <v>4</v>
      </c>
      <c r="E99" s="27">
        <v>100000</v>
      </c>
    </row>
    <row r="100" spans="1:5" x14ac:dyDescent="0.3">
      <c r="A100" t="s">
        <v>19</v>
      </c>
      <c r="B100" t="s">
        <v>54</v>
      </c>
      <c r="C100">
        <v>2026</v>
      </c>
      <c r="D100" t="s">
        <v>5</v>
      </c>
      <c r="E100" s="27">
        <v>50000</v>
      </c>
    </row>
    <row r="101" spans="1:5" x14ac:dyDescent="0.3">
      <c r="A101" t="s">
        <v>19</v>
      </c>
      <c r="B101" t="s">
        <v>54</v>
      </c>
      <c r="C101">
        <v>2026</v>
      </c>
      <c r="D101" t="s">
        <v>6</v>
      </c>
      <c r="E101" s="27">
        <v>150000</v>
      </c>
    </row>
    <row r="102" spans="1:5" x14ac:dyDescent="0.3">
      <c r="A102" t="s">
        <v>19</v>
      </c>
      <c r="B102" t="s">
        <v>17</v>
      </c>
      <c r="C102">
        <v>2027</v>
      </c>
      <c r="D102" t="s">
        <v>460</v>
      </c>
      <c r="E102" s="27">
        <v>214216</v>
      </c>
    </row>
    <row r="103" spans="1:5" x14ac:dyDescent="0.3">
      <c r="A103" t="s">
        <v>19</v>
      </c>
      <c r="B103" t="s">
        <v>17</v>
      </c>
      <c r="C103">
        <v>2027</v>
      </c>
      <c r="D103" t="s">
        <v>2</v>
      </c>
      <c r="E103" s="27">
        <v>552737</v>
      </c>
    </row>
    <row r="104" spans="1:5" x14ac:dyDescent="0.3">
      <c r="A104" t="s">
        <v>19</v>
      </c>
      <c r="B104" t="s">
        <v>17</v>
      </c>
      <c r="C104">
        <v>2027</v>
      </c>
      <c r="D104" t="s">
        <v>3</v>
      </c>
      <c r="E104" s="27">
        <v>81015</v>
      </c>
    </row>
    <row r="105" spans="1:5" x14ac:dyDescent="0.3">
      <c r="A105" t="s">
        <v>19</v>
      </c>
      <c r="B105" t="s">
        <v>49</v>
      </c>
      <c r="C105">
        <v>2027</v>
      </c>
      <c r="D105" t="s">
        <v>460</v>
      </c>
      <c r="E105" s="27">
        <v>62596</v>
      </c>
    </row>
    <row r="106" spans="1:5" x14ac:dyDescent="0.3">
      <c r="A106" t="s">
        <v>19</v>
      </c>
      <c r="B106" t="s">
        <v>49</v>
      </c>
      <c r="C106">
        <v>2027</v>
      </c>
      <c r="D106" t="s">
        <v>3</v>
      </c>
      <c r="E106" s="27">
        <v>37332</v>
      </c>
    </row>
    <row r="107" spans="1:5" x14ac:dyDescent="0.3">
      <c r="A107" t="s">
        <v>19</v>
      </c>
      <c r="B107" t="s">
        <v>49</v>
      </c>
      <c r="C107">
        <v>2027</v>
      </c>
      <c r="D107" t="s">
        <v>5</v>
      </c>
      <c r="E107" s="27">
        <v>110479</v>
      </c>
    </row>
    <row r="108" spans="1:5" x14ac:dyDescent="0.3">
      <c r="A108" t="s">
        <v>19</v>
      </c>
      <c r="B108" t="s">
        <v>54</v>
      </c>
      <c r="C108">
        <v>2027</v>
      </c>
      <c r="D108" t="s">
        <v>460</v>
      </c>
      <c r="E108" s="27">
        <v>300000</v>
      </c>
    </row>
    <row r="109" spans="1:5" x14ac:dyDescent="0.3">
      <c r="A109" t="s">
        <v>19</v>
      </c>
      <c r="B109" t="s">
        <v>54</v>
      </c>
      <c r="C109">
        <v>2027</v>
      </c>
      <c r="D109" t="s">
        <v>2</v>
      </c>
      <c r="E109" s="27">
        <v>150000</v>
      </c>
    </row>
    <row r="110" spans="1:5" x14ac:dyDescent="0.3">
      <c r="A110" t="s">
        <v>19</v>
      </c>
      <c r="B110" t="s">
        <v>54</v>
      </c>
      <c r="C110">
        <v>2027</v>
      </c>
      <c r="D110" t="s">
        <v>3</v>
      </c>
      <c r="E110" s="27">
        <v>700000</v>
      </c>
    </row>
    <row r="111" spans="1:5" x14ac:dyDescent="0.3">
      <c r="A111" t="s">
        <v>19</v>
      </c>
      <c r="B111" t="s">
        <v>54</v>
      </c>
      <c r="C111">
        <v>2027</v>
      </c>
      <c r="D111" t="s">
        <v>4</v>
      </c>
      <c r="E111" s="27">
        <v>100000</v>
      </c>
    </row>
    <row r="112" spans="1:5" x14ac:dyDescent="0.3">
      <c r="A112" t="s">
        <v>19</v>
      </c>
      <c r="B112" t="s">
        <v>54</v>
      </c>
      <c r="C112">
        <v>2027</v>
      </c>
      <c r="D112" t="s">
        <v>5</v>
      </c>
      <c r="E112" s="27">
        <v>50000</v>
      </c>
    </row>
    <row r="113" spans="1:5" x14ac:dyDescent="0.3">
      <c r="A113" t="s">
        <v>19</v>
      </c>
      <c r="B113" t="s">
        <v>54</v>
      </c>
      <c r="C113">
        <v>2027</v>
      </c>
      <c r="D113" t="s">
        <v>6</v>
      </c>
      <c r="E113" s="27">
        <v>100000</v>
      </c>
    </row>
    <row r="114" spans="1:5" x14ac:dyDescent="0.3">
      <c r="A114" t="s">
        <v>19</v>
      </c>
      <c r="B114" t="s">
        <v>17</v>
      </c>
      <c r="C114">
        <v>2028</v>
      </c>
      <c r="D114" t="s">
        <v>460</v>
      </c>
      <c r="E114" s="27">
        <v>214216</v>
      </c>
    </row>
    <row r="115" spans="1:5" x14ac:dyDescent="0.3">
      <c r="A115" t="s">
        <v>19</v>
      </c>
      <c r="B115" t="s">
        <v>17</v>
      </c>
      <c r="C115">
        <v>2028</v>
      </c>
      <c r="D115" t="s">
        <v>2</v>
      </c>
      <c r="E115" s="27">
        <v>524401</v>
      </c>
    </row>
    <row r="116" spans="1:5" x14ac:dyDescent="0.3">
      <c r="A116" t="s">
        <v>19</v>
      </c>
      <c r="B116" t="s">
        <v>17</v>
      </c>
      <c r="C116">
        <v>2028</v>
      </c>
      <c r="D116" t="s">
        <v>3</v>
      </c>
      <c r="E116" s="27">
        <v>216040</v>
      </c>
    </row>
    <row r="117" spans="1:5" x14ac:dyDescent="0.3">
      <c r="A117" t="s">
        <v>19</v>
      </c>
      <c r="B117" t="s">
        <v>54</v>
      </c>
      <c r="C117">
        <v>2028</v>
      </c>
      <c r="D117" t="s">
        <v>460</v>
      </c>
      <c r="E117" s="27">
        <v>300000</v>
      </c>
    </row>
    <row r="118" spans="1:5" x14ac:dyDescent="0.3">
      <c r="A118" t="s">
        <v>19</v>
      </c>
      <c r="B118" t="s">
        <v>54</v>
      </c>
      <c r="C118">
        <v>2028</v>
      </c>
      <c r="D118" t="s">
        <v>2</v>
      </c>
      <c r="E118" s="27">
        <v>100000</v>
      </c>
    </row>
    <row r="119" spans="1:5" x14ac:dyDescent="0.3">
      <c r="A119" t="s">
        <v>19</v>
      </c>
      <c r="B119" t="s">
        <v>54</v>
      </c>
      <c r="C119">
        <v>2028</v>
      </c>
      <c r="D119" t="s">
        <v>3</v>
      </c>
      <c r="E119" s="27">
        <v>600000</v>
      </c>
    </row>
    <row r="120" spans="1:5" x14ac:dyDescent="0.3">
      <c r="A120" t="s">
        <v>19</v>
      </c>
      <c r="B120" t="s">
        <v>54</v>
      </c>
      <c r="C120">
        <v>2028</v>
      </c>
      <c r="D120" t="s">
        <v>4</v>
      </c>
      <c r="E120" s="27">
        <v>100000</v>
      </c>
    </row>
    <row r="121" spans="1:5" x14ac:dyDescent="0.3">
      <c r="A121" t="s">
        <v>19</v>
      </c>
      <c r="B121" t="s">
        <v>54</v>
      </c>
      <c r="C121">
        <v>2028</v>
      </c>
      <c r="D121" t="s">
        <v>5</v>
      </c>
      <c r="E121" s="27">
        <v>50000</v>
      </c>
    </row>
    <row r="122" spans="1:5" x14ac:dyDescent="0.3">
      <c r="A122" t="s">
        <v>19</v>
      </c>
      <c r="B122" t="s">
        <v>54</v>
      </c>
      <c r="C122">
        <v>2028</v>
      </c>
      <c r="D122" t="s">
        <v>6</v>
      </c>
      <c r="E122" s="27">
        <v>100000</v>
      </c>
    </row>
    <row r="123" spans="1:5" x14ac:dyDescent="0.3">
      <c r="A123" t="s">
        <v>20</v>
      </c>
      <c r="B123" t="s">
        <v>17</v>
      </c>
      <c r="C123">
        <v>2026</v>
      </c>
      <c r="D123" t="s">
        <v>2</v>
      </c>
      <c r="E123" s="27">
        <v>50040</v>
      </c>
    </row>
    <row r="124" spans="1:5" x14ac:dyDescent="0.3">
      <c r="A124" t="s">
        <v>20</v>
      </c>
      <c r="B124" t="s">
        <v>17</v>
      </c>
      <c r="C124">
        <v>2026</v>
      </c>
      <c r="D124" t="s">
        <v>3</v>
      </c>
      <c r="E124" s="27">
        <v>161783</v>
      </c>
    </row>
    <row r="125" spans="1:5" x14ac:dyDescent="0.3">
      <c r="A125" t="s">
        <v>20</v>
      </c>
      <c r="B125" t="s">
        <v>17</v>
      </c>
      <c r="C125">
        <v>2026</v>
      </c>
      <c r="D125" t="s">
        <v>4</v>
      </c>
      <c r="E125" s="27">
        <v>720595</v>
      </c>
    </row>
    <row r="126" spans="1:5" x14ac:dyDescent="0.3">
      <c r="A126" t="s">
        <v>20</v>
      </c>
      <c r="B126" t="s">
        <v>17</v>
      </c>
      <c r="C126">
        <v>2026</v>
      </c>
      <c r="D126" t="s">
        <v>5</v>
      </c>
      <c r="E126" s="27">
        <v>276027</v>
      </c>
    </row>
    <row r="127" spans="1:5" x14ac:dyDescent="0.3">
      <c r="A127" t="s">
        <v>20</v>
      </c>
      <c r="B127" t="s">
        <v>17</v>
      </c>
      <c r="C127">
        <v>2026</v>
      </c>
      <c r="D127" t="s">
        <v>6</v>
      </c>
      <c r="E127" s="27">
        <v>50040</v>
      </c>
    </row>
    <row r="128" spans="1:5" x14ac:dyDescent="0.3">
      <c r="A128" t="s">
        <v>20</v>
      </c>
      <c r="B128" t="s">
        <v>67</v>
      </c>
      <c r="C128">
        <v>2026</v>
      </c>
      <c r="D128" t="s">
        <v>2</v>
      </c>
      <c r="E128" s="27">
        <v>40000</v>
      </c>
    </row>
    <row r="129" spans="1:5" x14ac:dyDescent="0.3">
      <c r="A129" t="s">
        <v>20</v>
      </c>
      <c r="B129" t="s">
        <v>67</v>
      </c>
      <c r="C129">
        <v>2026</v>
      </c>
      <c r="D129" t="s">
        <v>3</v>
      </c>
      <c r="E129" s="27">
        <v>35659</v>
      </c>
    </row>
    <row r="130" spans="1:5" x14ac:dyDescent="0.3">
      <c r="A130" t="s">
        <v>20</v>
      </c>
      <c r="B130" t="s">
        <v>67</v>
      </c>
      <c r="C130">
        <v>2026</v>
      </c>
      <c r="D130" t="s">
        <v>4</v>
      </c>
      <c r="E130" s="27">
        <v>36659</v>
      </c>
    </row>
    <row r="131" spans="1:5" x14ac:dyDescent="0.3">
      <c r="A131" t="s">
        <v>20</v>
      </c>
      <c r="B131" t="s">
        <v>324</v>
      </c>
      <c r="C131">
        <v>2026</v>
      </c>
      <c r="D131" t="s">
        <v>460</v>
      </c>
      <c r="E131" s="27">
        <v>100000</v>
      </c>
    </row>
    <row r="132" spans="1:5" x14ac:dyDescent="0.3">
      <c r="A132" t="s">
        <v>20</v>
      </c>
      <c r="B132" t="s">
        <v>324</v>
      </c>
      <c r="C132">
        <v>2026</v>
      </c>
      <c r="D132" t="s">
        <v>2</v>
      </c>
      <c r="E132" s="27">
        <v>120000</v>
      </c>
    </row>
    <row r="133" spans="1:5" x14ac:dyDescent="0.3">
      <c r="A133" t="s">
        <v>20</v>
      </c>
      <c r="B133" t="s">
        <v>324</v>
      </c>
      <c r="C133">
        <v>2026</v>
      </c>
      <c r="D133" t="s">
        <v>3</v>
      </c>
      <c r="E133" s="27">
        <v>220000</v>
      </c>
    </row>
    <row r="134" spans="1:5" x14ac:dyDescent="0.3">
      <c r="A134" t="s">
        <v>20</v>
      </c>
      <c r="B134" t="s">
        <v>324</v>
      </c>
      <c r="C134">
        <v>2026</v>
      </c>
      <c r="D134" t="s">
        <v>4</v>
      </c>
      <c r="E134" s="27">
        <v>150000</v>
      </c>
    </row>
    <row r="135" spans="1:5" x14ac:dyDescent="0.3">
      <c r="A135" t="s">
        <v>20</v>
      </c>
      <c r="B135" t="s">
        <v>324</v>
      </c>
      <c r="C135">
        <v>2026</v>
      </c>
      <c r="D135" t="s">
        <v>5</v>
      </c>
      <c r="E135" s="27">
        <v>340000</v>
      </c>
    </row>
    <row r="136" spans="1:5" x14ac:dyDescent="0.3">
      <c r="A136" t="s">
        <v>20</v>
      </c>
      <c r="B136" t="s">
        <v>324</v>
      </c>
      <c r="C136">
        <v>2026</v>
      </c>
      <c r="D136" t="s">
        <v>6</v>
      </c>
      <c r="E136" s="27">
        <v>150000</v>
      </c>
    </row>
    <row r="137" spans="1:5" x14ac:dyDescent="0.3">
      <c r="A137" t="s">
        <v>20</v>
      </c>
      <c r="B137" t="s">
        <v>54</v>
      </c>
      <c r="C137">
        <v>2026</v>
      </c>
      <c r="D137" t="s">
        <v>460</v>
      </c>
      <c r="E137" s="27">
        <v>250000</v>
      </c>
    </row>
    <row r="138" spans="1:5" x14ac:dyDescent="0.3">
      <c r="A138" t="s">
        <v>20</v>
      </c>
      <c r="B138" t="s">
        <v>54</v>
      </c>
      <c r="C138">
        <v>2026</v>
      </c>
      <c r="D138" t="s">
        <v>3</v>
      </c>
      <c r="E138" s="27">
        <v>180000</v>
      </c>
    </row>
    <row r="139" spans="1:5" x14ac:dyDescent="0.3">
      <c r="A139" t="s">
        <v>20</v>
      </c>
      <c r="B139" t="s">
        <v>54</v>
      </c>
      <c r="C139">
        <v>2026</v>
      </c>
      <c r="D139" t="s">
        <v>4</v>
      </c>
      <c r="E139" s="27">
        <v>1620000</v>
      </c>
    </row>
    <row r="140" spans="1:5" x14ac:dyDescent="0.3">
      <c r="A140" t="s">
        <v>20</v>
      </c>
      <c r="B140" t="s">
        <v>54</v>
      </c>
      <c r="C140">
        <v>2026</v>
      </c>
      <c r="D140" t="s">
        <v>5</v>
      </c>
      <c r="E140" s="27">
        <v>500000</v>
      </c>
    </row>
    <row r="141" spans="1:5" x14ac:dyDescent="0.3">
      <c r="A141" t="s">
        <v>37</v>
      </c>
      <c r="B141" t="s">
        <v>75</v>
      </c>
      <c r="C141">
        <v>2026</v>
      </c>
      <c r="D141" t="s">
        <v>460</v>
      </c>
      <c r="E141" s="27">
        <v>75200</v>
      </c>
    </row>
    <row r="142" spans="1:5" x14ac:dyDescent="0.3">
      <c r="A142" t="s">
        <v>37</v>
      </c>
      <c r="B142" t="s">
        <v>75</v>
      </c>
      <c r="C142" s="46">
        <v>2026</v>
      </c>
      <c r="D142" t="s">
        <v>4</v>
      </c>
      <c r="E142">
        <v>676800</v>
      </c>
    </row>
    <row r="143" spans="1:5" x14ac:dyDescent="0.3">
      <c r="A143" t="s">
        <v>37</v>
      </c>
      <c r="B143" t="s">
        <v>76</v>
      </c>
      <c r="C143" s="46">
        <v>2026</v>
      </c>
      <c r="D143" t="s">
        <v>460</v>
      </c>
      <c r="E143">
        <v>14948</v>
      </c>
    </row>
    <row r="144" spans="1:5" x14ac:dyDescent="0.3">
      <c r="A144" t="s">
        <v>37</v>
      </c>
      <c r="B144" t="s">
        <v>76</v>
      </c>
      <c r="C144" s="46">
        <v>2026</v>
      </c>
      <c r="D144" t="s">
        <v>2</v>
      </c>
      <c r="E144">
        <v>12519</v>
      </c>
    </row>
    <row r="145" spans="1:5" x14ac:dyDescent="0.3">
      <c r="A145" t="s">
        <v>37</v>
      </c>
      <c r="B145" t="s">
        <v>76</v>
      </c>
      <c r="C145" s="46">
        <v>2026</v>
      </c>
      <c r="D145" t="s">
        <v>3</v>
      </c>
      <c r="E145">
        <v>11696</v>
      </c>
    </row>
    <row r="146" spans="1:5" x14ac:dyDescent="0.3">
      <c r="A146" t="s">
        <v>37</v>
      </c>
      <c r="B146" t="s">
        <v>76</v>
      </c>
      <c r="C146" s="46">
        <v>2026</v>
      </c>
      <c r="D146" t="s">
        <v>4</v>
      </c>
      <c r="E146">
        <v>90061</v>
      </c>
    </row>
    <row r="147" spans="1:5" x14ac:dyDescent="0.3">
      <c r="A147" t="s">
        <v>37</v>
      </c>
      <c r="B147" t="s">
        <v>76</v>
      </c>
      <c r="C147" s="46">
        <v>2026</v>
      </c>
      <c r="D147" t="s">
        <v>5</v>
      </c>
      <c r="E147">
        <v>62034</v>
      </c>
    </row>
    <row r="148" spans="1:5" x14ac:dyDescent="0.3">
      <c r="A148" t="s">
        <v>37</v>
      </c>
      <c r="B148" t="s">
        <v>76</v>
      </c>
      <c r="C148" s="46">
        <v>2026</v>
      </c>
      <c r="D148" t="s">
        <v>6</v>
      </c>
      <c r="E148">
        <v>38678</v>
      </c>
    </row>
    <row r="149" spans="1:5" x14ac:dyDescent="0.3">
      <c r="A149" t="s">
        <v>37</v>
      </c>
      <c r="B149" t="s">
        <v>67</v>
      </c>
      <c r="C149" s="46">
        <v>2026</v>
      </c>
      <c r="D149" t="s">
        <v>2</v>
      </c>
      <c r="E149">
        <v>282000</v>
      </c>
    </row>
    <row r="150" spans="1:5" x14ac:dyDescent="0.3">
      <c r="A150" t="s">
        <v>37</v>
      </c>
      <c r="B150" t="s">
        <v>75</v>
      </c>
      <c r="C150" s="46">
        <v>2027</v>
      </c>
      <c r="D150" t="s">
        <v>460</v>
      </c>
      <c r="E150">
        <v>75200</v>
      </c>
    </row>
    <row r="151" spans="1:5" x14ac:dyDescent="0.3">
      <c r="A151" t="s">
        <v>37</v>
      </c>
      <c r="B151" t="s">
        <v>75</v>
      </c>
      <c r="C151" s="46">
        <v>2027</v>
      </c>
      <c r="D151" t="s">
        <v>4</v>
      </c>
      <c r="E151">
        <v>676800</v>
      </c>
    </row>
    <row r="152" spans="1:5" x14ac:dyDescent="0.3">
      <c r="A152" t="s">
        <v>37</v>
      </c>
      <c r="B152" t="s">
        <v>75</v>
      </c>
      <c r="C152" s="46">
        <v>2028</v>
      </c>
      <c r="D152" t="s">
        <v>460</v>
      </c>
      <c r="E152">
        <v>75200</v>
      </c>
    </row>
    <row r="153" spans="1:5" x14ac:dyDescent="0.3">
      <c r="A153" t="s">
        <v>37</v>
      </c>
      <c r="B153" t="s">
        <v>75</v>
      </c>
      <c r="C153" s="46">
        <v>2028</v>
      </c>
      <c r="D153" t="s">
        <v>4</v>
      </c>
      <c r="E153">
        <v>676800</v>
      </c>
    </row>
    <row r="154" spans="1:5" x14ac:dyDescent="0.3">
      <c r="A154" t="s">
        <v>50</v>
      </c>
      <c r="B154" t="s">
        <v>76</v>
      </c>
      <c r="C154" s="46">
        <v>2026</v>
      </c>
      <c r="D154" t="s">
        <v>460</v>
      </c>
      <c r="E154">
        <v>4340</v>
      </c>
    </row>
    <row r="155" spans="1:5" x14ac:dyDescent="0.3">
      <c r="A155" t="s">
        <v>50</v>
      </c>
      <c r="B155" t="s">
        <v>76</v>
      </c>
      <c r="C155" s="46">
        <v>2026</v>
      </c>
      <c r="D155" t="s">
        <v>2</v>
      </c>
      <c r="E155">
        <v>84705</v>
      </c>
    </row>
    <row r="156" spans="1:5" x14ac:dyDescent="0.3">
      <c r="A156" t="s">
        <v>50</v>
      </c>
      <c r="B156" t="s">
        <v>76</v>
      </c>
      <c r="C156" s="46">
        <v>2026</v>
      </c>
      <c r="D156" t="s">
        <v>3</v>
      </c>
      <c r="E156">
        <v>118104</v>
      </c>
    </row>
    <row r="157" spans="1:5" x14ac:dyDescent="0.3">
      <c r="A157" t="s">
        <v>50</v>
      </c>
      <c r="B157" t="s">
        <v>76</v>
      </c>
      <c r="C157" s="46">
        <v>2026</v>
      </c>
      <c r="D157" t="s">
        <v>4</v>
      </c>
      <c r="E157">
        <v>470000</v>
      </c>
    </row>
    <row r="158" spans="1:5" x14ac:dyDescent="0.3">
      <c r="A158" t="s">
        <v>50</v>
      </c>
      <c r="B158" t="s">
        <v>76</v>
      </c>
      <c r="C158" s="46">
        <v>2026</v>
      </c>
      <c r="D158" t="s">
        <v>5</v>
      </c>
      <c r="E158">
        <v>18778</v>
      </c>
    </row>
    <row r="159" spans="1:5" x14ac:dyDescent="0.3">
      <c r="A159" t="s">
        <v>50</v>
      </c>
      <c r="B159" t="s">
        <v>149</v>
      </c>
      <c r="C159" s="46">
        <v>2026</v>
      </c>
      <c r="D159" t="s">
        <v>3</v>
      </c>
      <c r="E159">
        <v>529275</v>
      </c>
    </row>
    <row r="160" spans="1:5" x14ac:dyDescent="0.3">
      <c r="A160" t="s">
        <v>50</v>
      </c>
      <c r="B160" t="s">
        <v>149</v>
      </c>
      <c r="C160" s="46">
        <v>2026</v>
      </c>
      <c r="D160" t="s">
        <v>4</v>
      </c>
      <c r="E160">
        <v>696959</v>
      </c>
    </row>
    <row r="161" spans="1:5" x14ac:dyDescent="0.3">
      <c r="A161" t="s">
        <v>50</v>
      </c>
      <c r="B161" t="s">
        <v>149</v>
      </c>
      <c r="C161" s="46">
        <v>2026</v>
      </c>
      <c r="D161" t="s">
        <v>6</v>
      </c>
      <c r="E161">
        <v>128000</v>
      </c>
    </row>
    <row r="162" spans="1:5" x14ac:dyDescent="0.3">
      <c r="A162" t="s">
        <v>50</v>
      </c>
      <c r="B162" t="s">
        <v>77</v>
      </c>
      <c r="C162" s="46">
        <v>2026</v>
      </c>
      <c r="D162" t="s">
        <v>460</v>
      </c>
      <c r="E162">
        <v>850000</v>
      </c>
    </row>
    <row r="163" spans="1:5" x14ac:dyDescent="0.3">
      <c r="A163" t="s">
        <v>50</v>
      </c>
      <c r="B163" t="s">
        <v>77</v>
      </c>
      <c r="C163" s="46">
        <v>2026</v>
      </c>
      <c r="D163" t="s">
        <v>2</v>
      </c>
      <c r="E163">
        <v>75000</v>
      </c>
    </row>
    <row r="164" spans="1:5" x14ac:dyDescent="0.3">
      <c r="A164" t="s">
        <v>50</v>
      </c>
      <c r="B164" t="s">
        <v>77</v>
      </c>
      <c r="C164" s="46">
        <v>2026</v>
      </c>
      <c r="D164" t="s">
        <v>3</v>
      </c>
      <c r="E164">
        <v>460000</v>
      </c>
    </row>
    <row r="165" spans="1:5" x14ac:dyDescent="0.3">
      <c r="A165" t="s">
        <v>50</v>
      </c>
      <c r="B165" t="s">
        <v>77</v>
      </c>
      <c r="C165" s="46">
        <v>2026</v>
      </c>
      <c r="D165" t="s">
        <v>4</v>
      </c>
      <c r="E165">
        <v>1000000</v>
      </c>
    </row>
    <row r="166" spans="1:5" x14ac:dyDescent="0.3">
      <c r="A166" t="s">
        <v>50</v>
      </c>
      <c r="B166" t="s">
        <v>77</v>
      </c>
      <c r="C166" s="46">
        <v>2026</v>
      </c>
      <c r="D166" t="s">
        <v>5</v>
      </c>
      <c r="E166">
        <v>700000</v>
      </c>
    </row>
    <row r="167" spans="1:5" x14ac:dyDescent="0.3">
      <c r="A167" t="s">
        <v>50</v>
      </c>
      <c r="B167" t="s">
        <v>77</v>
      </c>
      <c r="C167" s="46">
        <v>2026</v>
      </c>
      <c r="D167" t="s">
        <v>6</v>
      </c>
      <c r="E167">
        <v>320000</v>
      </c>
    </row>
    <row r="168" spans="1:5" x14ac:dyDescent="0.3">
      <c r="A168" t="s">
        <v>50</v>
      </c>
      <c r="B168" t="s">
        <v>292</v>
      </c>
      <c r="C168" s="46">
        <v>2026</v>
      </c>
      <c r="D168" t="s">
        <v>460</v>
      </c>
      <c r="E168">
        <v>529000</v>
      </c>
    </row>
    <row r="169" spans="1:5" x14ac:dyDescent="0.3">
      <c r="A169" t="s">
        <v>50</v>
      </c>
      <c r="B169" t="s">
        <v>292</v>
      </c>
      <c r="C169" s="46">
        <v>2026</v>
      </c>
      <c r="D169" t="s">
        <v>3</v>
      </c>
      <c r="E169">
        <v>375000</v>
      </c>
    </row>
    <row r="170" spans="1:5" x14ac:dyDescent="0.3">
      <c r="A170" t="s">
        <v>50</v>
      </c>
      <c r="B170" t="s">
        <v>292</v>
      </c>
      <c r="C170" s="46">
        <v>2026</v>
      </c>
      <c r="D170" t="s">
        <v>4</v>
      </c>
      <c r="E170">
        <v>1106000</v>
      </c>
    </row>
    <row r="171" spans="1:5" x14ac:dyDescent="0.3">
      <c r="A171" t="s">
        <v>50</v>
      </c>
      <c r="B171" t="s">
        <v>324</v>
      </c>
      <c r="C171" s="46">
        <v>2026</v>
      </c>
      <c r="D171" t="s">
        <v>3</v>
      </c>
      <c r="E171">
        <v>64515</v>
      </c>
    </row>
    <row r="172" spans="1:5" x14ac:dyDescent="0.3">
      <c r="A172" t="s">
        <v>50</v>
      </c>
      <c r="B172" t="s">
        <v>324</v>
      </c>
      <c r="C172" s="46">
        <v>2026</v>
      </c>
      <c r="D172" t="s">
        <v>4</v>
      </c>
      <c r="E172">
        <v>806452</v>
      </c>
    </row>
    <row r="173" spans="1:5" x14ac:dyDescent="0.3">
      <c r="A173" t="s">
        <v>50</v>
      </c>
      <c r="B173" t="s">
        <v>324</v>
      </c>
      <c r="C173" s="46">
        <v>2026</v>
      </c>
      <c r="D173" t="s">
        <v>5</v>
      </c>
      <c r="E173">
        <v>107526</v>
      </c>
    </row>
    <row r="174" spans="1:5" x14ac:dyDescent="0.3">
      <c r="A174" t="s">
        <v>50</v>
      </c>
      <c r="B174" t="s">
        <v>324</v>
      </c>
      <c r="C174" s="46">
        <v>2026</v>
      </c>
      <c r="D174" t="s">
        <v>6</v>
      </c>
      <c r="E174">
        <v>42900</v>
      </c>
    </row>
    <row r="175" spans="1:5" x14ac:dyDescent="0.3">
      <c r="A175" t="s">
        <v>50</v>
      </c>
      <c r="B175" t="s">
        <v>77</v>
      </c>
      <c r="C175" s="46">
        <v>2027</v>
      </c>
      <c r="D175" t="s">
        <v>460</v>
      </c>
      <c r="E175">
        <v>450000</v>
      </c>
    </row>
    <row r="176" spans="1:5" x14ac:dyDescent="0.3">
      <c r="A176" t="s">
        <v>50</v>
      </c>
      <c r="B176" t="s">
        <v>77</v>
      </c>
      <c r="C176" s="46">
        <v>2027</v>
      </c>
      <c r="D176" t="s">
        <v>2</v>
      </c>
      <c r="E176">
        <v>400000</v>
      </c>
    </row>
    <row r="177" spans="1:5" x14ac:dyDescent="0.3">
      <c r="A177" t="s">
        <v>50</v>
      </c>
      <c r="B177" t="s">
        <v>77</v>
      </c>
      <c r="C177" s="46">
        <v>2027</v>
      </c>
      <c r="D177" t="s">
        <v>3</v>
      </c>
      <c r="E177">
        <v>700000</v>
      </c>
    </row>
    <row r="178" spans="1:5" x14ac:dyDescent="0.3">
      <c r="A178" t="s">
        <v>50</v>
      </c>
      <c r="B178" t="s">
        <v>77</v>
      </c>
      <c r="C178" s="46">
        <v>2027</v>
      </c>
      <c r="D178" t="s">
        <v>4</v>
      </c>
      <c r="E178">
        <v>1200000</v>
      </c>
    </row>
    <row r="179" spans="1:5" x14ac:dyDescent="0.3">
      <c r="A179" t="s">
        <v>50</v>
      </c>
      <c r="B179" t="s">
        <v>77</v>
      </c>
      <c r="C179" s="46">
        <v>2027</v>
      </c>
      <c r="D179" t="s">
        <v>5</v>
      </c>
      <c r="E179">
        <v>540000</v>
      </c>
    </row>
    <row r="180" spans="1:5" x14ac:dyDescent="0.3">
      <c r="A180" t="s">
        <v>50</v>
      </c>
      <c r="B180" t="s">
        <v>77</v>
      </c>
      <c r="C180" s="46">
        <v>2027</v>
      </c>
      <c r="D180" t="s">
        <v>6</v>
      </c>
      <c r="E180">
        <v>175000</v>
      </c>
    </row>
    <row r="181" spans="1:5" x14ac:dyDescent="0.3">
      <c r="A181" t="s">
        <v>50</v>
      </c>
      <c r="B181" t="s">
        <v>77</v>
      </c>
      <c r="C181" s="46">
        <v>2028</v>
      </c>
      <c r="D181" t="s">
        <v>460</v>
      </c>
      <c r="E181">
        <v>380000</v>
      </c>
    </row>
    <row r="182" spans="1:5" x14ac:dyDescent="0.3">
      <c r="A182" t="s">
        <v>50</v>
      </c>
      <c r="B182" t="s">
        <v>77</v>
      </c>
      <c r="C182" s="46">
        <v>2028</v>
      </c>
      <c r="D182" t="s">
        <v>2</v>
      </c>
      <c r="E182">
        <v>200000</v>
      </c>
    </row>
    <row r="183" spans="1:5" x14ac:dyDescent="0.3">
      <c r="A183" t="s">
        <v>50</v>
      </c>
      <c r="B183" t="s">
        <v>77</v>
      </c>
      <c r="C183" s="46">
        <v>2028</v>
      </c>
      <c r="D183" t="s">
        <v>3</v>
      </c>
      <c r="E183">
        <v>100000</v>
      </c>
    </row>
    <row r="184" spans="1:5" x14ac:dyDescent="0.3">
      <c r="A184" t="s">
        <v>50</v>
      </c>
      <c r="B184" t="s">
        <v>77</v>
      </c>
      <c r="C184" s="46">
        <v>2028</v>
      </c>
      <c r="D184" t="s">
        <v>4</v>
      </c>
      <c r="E184">
        <v>1000000</v>
      </c>
    </row>
    <row r="185" spans="1:5" x14ac:dyDescent="0.3">
      <c r="A185" t="s">
        <v>50</v>
      </c>
      <c r="B185" t="s">
        <v>77</v>
      </c>
      <c r="C185" s="46">
        <v>2028</v>
      </c>
      <c r="D185" t="s">
        <v>5</v>
      </c>
      <c r="E185">
        <v>250000</v>
      </c>
    </row>
    <row r="186" spans="1:5" x14ac:dyDescent="0.3">
      <c r="A186" t="s">
        <v>50</v>
      </c>
      <c r="B186" t="s">
        <v>77</v>
      </c>
      <c r="C186" s="46">
        <v>2028</v>
      </c>
      <c r="D186" t="s">
        <v>6</v>
      </c>
      <c r="E186">
        <v>170000</v>
      </c>
    </row>
    <row r="187" spans="1:5" x14ac:dyDescent="0.3">
      <c r="A187" t="s">
        <v>458</v>
      </c>
      <c r="B187" t="s">
        <v>203</v>
      </c>
      <c r="C187" s="46">
        <v>2026</v>
      </c>
      <c r="D187" t="s">
        <v>460</v>
      </c>
      <c r="E187">
        <v>100000</v>
      </c>
    </row>
    <row r="188" spans="1:5" x14ac:dyDescent="0.3">
      <c r="A188" t="s">
        <v>458</v>
      </c>
      <c r="B188" t="s">
        <v>203</v>
      </c>
      <c r="C188" s="46">
        <v>2026</v>
      </c>
      <c r="D188" t="s">
        <v>2</v>
      </c>
      <c r="E188">
        <v>320000</v>
      </c>
    </row>
    <row r="189" spans="1:5" x14ac:dyDescent="0.3">
      <c r="A189" t="s">
        <v>458</v>
      </c>
      <c r="B189" t="s">
        <v>203</v>
      </c>
      <c r="C189" s="46">
        <v>2026</v>
      </c>
      <c r="D189" t="s">
        <v>3</v>
      </c>
      <c r="E189">
        <v>500000</v>
      </c>
    </row>
    <row r="190" spans="1:5" x14ac:dyDescent="0.3">
      <c r="A190" t="s">
        <v>458</v>
      </c>
      <c r="B190" t="s">
        <v>203</v>
      </c>
      <c r="C190" s="46">
        <v>2026</v>
      </c>
      <c r="D190" t="s">
        <v>4</v>
      </c>
      <c r="E190">
        <v>580000</v>
      </c>
    </row>
    <row r="191" spans="1:5" x14ac:dyDescent="0.3">
      <c r="A191" t="s">
        <v>458</v>
      </c>
      <c r="B191" t="s">
        <v>203</v>
      </c>
      <c r="C191" s="46">
        <v>2026</v>
      </c>
      <c r="D191" t="s">
        <v>5</v>
      </c>
      <c r="E191">
        <v>70000</v>
      </c>
    </row>
    <row r="192" spans="1:5" x14ac:dyDescent="0.3">
      <c r="A192" t="s">
        <v>458</v>
      </c>
      <c r="B192" t="s">
        <v>203</v>
      </c>
      <c r="C192" s="46">
        <v>2026</v>
      </c>
      <c r="D192" t="s">
        <v>6</v>
      </c>
      <c r="E192">
        <v>320000</v>
      </c>
    </row>
    <row r="193" spans="1:5" x14ac:dyDescent="0.3">
      <c r="A193" t="s">
        <v>458</v>
      </c>
      <c r="B193" t="s">
        <v>203</v>
      </c>
      <c r="C193" s="46">
        <v>2027</v>
      </c>
      <c r="D193" t="s">
        <v>460</v>
      </c>
      <c r="E193">
        <v>100000</v>
      </c>
    </row>
    <row r="194" spans="1:5" x14ac:dyDescent="0.3">
      <c r="A194" t="s">
        <v>458</v>
      </c>
      <c r="B194" t="s">
        <v>203</v>
      </c>
      <c r="C194" s="46">
        <v>2027</v>
      </c>
      <c r="D194" t="s">
        <v>2</v>
      </c>
      <c r="E194">
        <v>320000</v>
      </c>
    </row>
    <row r="195" spans="1:5" x14ac:dyDescent="0.3">
      <c r="A195" t="s">
        <v>458</v>
      </c>
      <c r="B195" t="s">
        <v>203</v>
      </c>
      <c r="C195" s="46">
        <v>2027</v>
      </c>
      <c r="D195" t="s">
        <v>3</v>
      </c>
      <c r="E195">
        <v>500000</v>
      </c>
    </row>
    <row r="196" spans="1:5" x14ac:dyDescent="0.3">
      <c r="A196" t="s">
        <v>458</v>
      </c>
      <c r="B196" t="s">
        <v>203</v>
      </c>
      <c r="C196" s="46">
        <v>2027</v>
      </c>
      <c r="D196" t="s">
        <v>4</v>
      </c>
      <c r="E196">
        <v>580000</v>
      </c>
    </row>
    <row r="197" spans="1:5" x14ac:dyDescent="0.3">
      <c r="A197" t="s">
        <v>458</v>
      </c>
      <c r="B197" t="s">
        <v>203</v>
      </c>
      <c r="C197" s="46">
        <v>2027</v>
      </c>
      <c r="D197" t="s">
        <v>5</v>
      </c>
      <c r="E197">
        <v>70000</v>
      </c>
    </row>
    <row r="198" spans="1:5" x14ac:dyDescent="0.3">
      <c r="A198" t="s">
        <v>458</v>
      </c>
      <c r="B198" t="s">
        <v>203</v>
      </c>
      <c r="C198" s="46">
        <v>2027</v>
      </c>
      <c r="D198" t="s">
        <v>6</v>
      </c>
      <c r="E198">
        <v>320000</v>
      </c>
    </row>
    <row r="199" spans="1:5" x14ac:dyDescent="0.3">
      <c r="A199" t="s">
        <v>21</v>
      </c>
      <c r="B199" t="s">
        <v>17</v>
      </c>
      <c r="C199" s="46">
        <v>2026</v>
      </c>
      <c r="D199" t="s">
        <v>460</v>
      </c>
      <c r="E199">
        <v>205200</v>
      </c>
    </row>
    <row r="200" spans="1:5" x14ac:dyDescent="0.3">
      <c r="A200" t="s">
        <v>21</v>
      </c>
      <c r="B200" t="s">
        <v>17</v>
      </c>
      <c r="C200" s="46">
        <v>2026</v>
      </c>
      <c r="D200" t="s">
        <v>2</v>
      </c>
      <c r="E200">
        <v>276450</v>
      </c>
    </row>
    <row r="201" spans="1:5" x14ac:dyDescent="0.3">
      <c r="A201" t="s">
        <v>21</v>
      </c>
      <c r="B201" t="s">
        <v>17</v>
      </c>
      <c r="C201" s="46">
        <v>2026</v>
      </c>
      <c r="D201" t="s">
        <v>3</v>
      </c>
      <c r="E201">
        <v>301150</v>
      </c>
    </row>
    <row r="202" spans="1:5" x14ac:dyDescent="0.3">
      <c r="A202" t="s">
        <v>21</v>
      </c>
      <c r="B202" t="s">
        <v>17</v>
      </c>
      <c r="C202" s="46">
        <v>2026</v>
      </c>
      <c r="D202" t="s">
        <v>5</v>
      </c>
      <c r="E202">
        <v>950000</v>
      </c>
    </row>
    <row r="203" spans="1:5" x14ac:dyDescent="0.3">
      <c r="A203" t="s">
        <v>21</v>
      </c>
      <c r="B203" t="s">
        <v>17</v>
      </c>
      <c r="C203" s="46">
        <v>2026</v>
      </c>
      <c r="D203" t="s">
        <v>6</v>
      </c>
      <c r="E203">
        <v>62700</v>
      </c>
    </row>
    <row r="204" spans="1:5" x14ac:dyDescent="0.3">
      <c r="A204" t="s">
        <v>21</v>
      </c>
      <c r="B204" t="s">
        <v>190</v>
      </c>
      <c r="C204" s="46">
        <v>2026</v>
      </c>
      <c r="D204" t="s">
        <v>460</v>
      </c>
      <c r="E204">
        <v>60000</v>
      </c>
    </row>
    <row r="205" spans="1:5" x14ac:dyDescent="0.3">
      <c r="A205" t="s">
        <v>21</v>
      </c>
      <c r="B205" t="s">
        <v>292</v>
      </c>
      <c r="C205" s="46">
        <v>2026</v>
      </c>
      <c r="D205" t="s">
        <v>460</v>
      </c>
      <c r="E205">
        <v>3300000</v>
      </c>
    </row>
    <row r="206" spans="1:5" x14ac:dyDescent="0.3">
      <c r="A206" t="s">
        <v>21</v>
      </c>
      <c r="B206" t="s">
        <v>292</v>
      </c>
      <c r="C206" s="46">
        <v>2026</v>
      </c>
      <c r="D206" t="s">
        <v>3</v>
      </c>
      <c r="E206">
        <v>400000</v>
      </c>
    </row>
    <row r="207" spans="1:5" x14ac:dyDescent="0.3">
      <c r="A207" t="s">
        <v>21</v>
      </c>
      <c r="B207" t="s">
        <v>292</v>
      </c>
      <c r="C207" s="46">
        <v>2026</v>
      </c>
      <c r="D207" t="s">
        <v>4</v>
      </c>
      <c r="E207">
        <v>500000</v>
      </c>
    </row>
    <row r="208" spans="1:5" x14ac:dyDescent="0.3">
      <c r="A208" t="s">
        <v>21</v>
      </c>
      <c r="B208" t="s">
        <v>54</v>
      </c>
      <c r="C208" s="46">
        <v>2026</v>
      </c>
      <c r="D208" t="s">
        <v>460</v>
      </c>
      <c r="E208">
        <v>100000</v>
      </c>
    </row>
    <row r="209" spans="1:5" x14ac:dyDescent="0.3">
      <c r="A209" t="s">
        <v>21</v>
      </c>
      <c r="B209" t="s">
        <v>54</v>
      </c>
      <c r="C209" s="46">
        <v>2026</v>
      </c>
      <c r="D209" t="s">
        <v>2</v>
      </c>
      <c r="E209">
        <v>150000</v>
      </c>
    </row>
    <row r="210" spans="1:5" x14ac:dyDescent="0.3">
      <c r="A210" t="s">
        <v>21</v>
      </c>
      <c r="B210" t="s">
        <v>54</v>
      </c>
      <c r="C210" s="46">
        <v>2026</v>
      </c>
      <c r="D210" t="s">
        <v>3</v>
      </c>
      <c r="E210">
        <v>1000000</v>
      </c>
    </row>
    <row r="211" spans="1:5" x14ac:dyDescent="0.3">
      <c r="A211" t="s">
        <v>21</v>
      </c>
      <c r="B211" t="s">
        <v>54</v>
      </c>
      <c r="C211" s="46">
        <v>2026</v>
      </c>
      <c r="D211" t="s">
        <v>4</v>
      </c>
      <c r="E211">
        <v>2500000</v>
      </c>
    </row>
    <row r="212" spans="1:5" x14ac:dyDescent="0.3">
      <c r="A212" t="s">
        <v>21</v>
      </c>
      <c r="B212" t="s">
        <v>54</v>
      </c>
      <c r="C212" s="46">
        <v>2026</v>
      </c>
      <c r="D212" t="s">
        <v>5</v>
      </c>
      <c r="E212">
        <v>50000</v>
      </c>
    </row>
    <row r="213" spans="1:5" x14ac:dyDescent="0.3">
      <c r="A213" t="s">
        <v>21</v>
      </c>
      <c r="B213" t="s">
        <v>54</v>
      </c>
      <c r="C213" s="46">
        <v>2026</v>
      </c>
      <c r="D213" t="s">
        <v>6</v>
      </c>
      <c r="E213">
        <v>200000</v>
      </c>
    </row>
    <row r="214" spans="1:5" x14ac:dyDescent="0.3">
      <c r="A214" t="s">
        <v>21</v>
      </c>
      <c r="B214" t="s">
        <v>54</v>
      </c>
      <c r="C214" s="46">
        <v>2027</v>
      </c>
      <c r="D214" t="s">
        <v>460</v>
      </c>
      <c r="E214">
        <v>90000</v>
      </c>
    </row>
    <row r="215" spans="1:5" x14ac:dyDescent="0.3">
      <c r="A215" t="s">
        <v>21</v>
      </c>
      <c r="B215" t="s">
        <v>54</v>
      </c>
      <c r="C215" s="46">
        <v>2027</v>
      </c>
      <c r="D215" t="s">
        <v>2</v>
      </c>
      <c r="E215">
        <v>120000</v>
      </c>
    </row>
    <row r="216" spans="1:5" x14ac:dyDescent="0.3">
      <c r="A216" t="s">
        <v>21</v>
      </c>
      <c r="B216" t="s">
        <v>54</v>
      </c>
      <c r="C216" s="46">
        <v>2027</v>
      </c>
      <c r="D216" t="s">
        <v>3</v>
      </c>
      <c r="E216">
        <v>500000</v>
      </c>
    </row>
    <row r="217" spans="1:5" x14ac:dyDescent="0.3">
      <c r="A217" t="s">
        <v>21</v>
      </c>
      <c r="B217" t="s">
        <v>54</v>
      </c>
      <c r="C217" s="46">
        <v>2027</v>
      </c>
      <c r="D217" t="s">
        <v>4</v>
      </c>
      <c r="E217">
        <v>2000000</v>
      </c>
    </row>
    <row r="218" spans="1:5" x14ac:dyDescent="0.3">
      <c r="A218" t="s">
        <v>21</v>
      </c>
      <c r="B218" t="s">
        <v>54</v>
      </c>
      <c r="C218" s="46">
        <v>2027</v>
      </c>
      <c r="D218" t="s">
        <v>5</v>
      </c>
      <c r="E218">
        <v>40000</v>
      </c>
    </row>
    <row r="219" spans="1:5" x14ac:dyDescent="0.3">
      <c r="A219" t="s">
        <v>21</v>
      </c>
      <c r="B219" t="s">
        <v>54</v>
      </c>
      <c r="C219" s="46">
        <v>2027</v>
      </c>
      <c r="D219" t="s">
        <v>6</v>
      </c>
      <c r="E219">
        <v>150000</v>
      </c>
    </row>
    <row r="220" spans="1:5" x14ac:dyDescent="0.3">
      <c r="A220" t="s">
        <v>21</v>
      </c>
      <c r="B220" t="s">
        <v>54</v>
      </c>
      <c r="C220" s="46">
        <v>2028</v>
      </c>
      <c r="D220" t="s">
        <v>460</v>
      </c>
      <c r="E220">
        <v>60000</v>
      </c>
    </row>
    <row r="221" spans="1:5" x14ac:dyDescent="0.3">
      <c r="A221" t="s">
        <v>21</v>
      </c>
      <c r="B221" t="s">
        <v>54</v>
      </c>
      <c r="C221" s="46">
        <v>2028</v>
      </c>
      <c r="D221" t="s">
        <v>2</v>
      </c>
      <c r="E221">
        <v>80000</v>
      </c>
    </row>
    <row r="222" spans="1:5" x14ac:dyDescent="0.3">
      <c r="A222" t="s">
        <v>21</v>
      </c>
      <c r="B222" t="s">
        <v>54</v>
      </c>
      <c r="C222" s="46">
        <v>2028</v>
      </c>
      <c r="D222" t="s">
        <v>3</v>
      </c>
      <c r="E222">
        <v>350000</v>
      </c>
    </row>
    <row r="223" spans="1:5" x14ac:dyDescent="0.3">
      <c r="A223" t="s">
        <v>21</v>
      </c>
      <c r="B223" t="s">
        <v>54</v>
      </c>
      <c r="C223" s="46">
        <v>2028</v>
      </c>
      <c r="D223" t="s">
        <v>4</v>
      </c>
      <c r="E223">
        <v>1600000</v>
      </c>
    </row>
    <row r="224" spans="1:5" x14ac:dyDescent="0.3">
      <c r="A224" t="s">
        <v>21</v>
      </c>
      <c r="B224" t="s">
        <v>54</v>
      </c>
      <c r="C224" s="46">
        <v>2028</v>
      </c>
      <c r="D224" t="s">
        <v>5</v>
      </c>
      <c r="E224">
        <v>30000</v>
      </c>
    </row>
    <row r="225" spans="1:5" x14ac:dyDescent="0.3">
      <c r="A225" t="s">
        <v>21</v>
      </c>
      <c r="B225" t="s">
        <v>54</v>
      </c>
      <c r="C225" s="46">
        <v>2028</v>
      </c>
      <c r="D225" t="s">
        <v>6</v>
      </c>
      <c r="E225">
        <v>110000</v>
      </c>
    </row>
    <row r="226" spans="1:5" x14ac:dyDescent="0.3">
      <c r="A226" t="s">
        <v>87</v>
      </c>
      <c r="B226" t="s">
        <v>67</v>
      </c>
      <c r="C226" s="46">
        <v>2026</v>
      </c>
      <c r="D226" t="s">
        <v>2</v>
      </c>
      <c r="E226">
        <v>349544</v>
      </c>
    </row>
    <row r="227" spans="1:5" x14ac:dyDescent="0.3">
      <c r="A227" t="s">
        <v>15</v>
      </c>
      <c r="B227" t="s">
        <v>13</v>
      </c>
      <c r="C227" s="46">
        <v>2026</v>
      </c>
      <c r="D227" t="s">
        <v>4</v>
      </c>
      <c r="E227">
        <v>30000</v>
      </c>
    </row>
    <row r="228" spans="1:5" x14ac:dyDescent="0.3">
      <c r="A228" t="s">
        <v>15</v>
      </c>
      <c r="B228" t="s">
        <v>58</v>
      </c>
      <c r="C228" s="46">
        <v>2026</v>
      </c>
      <c r="D228" t="s">
        <v>460</v>
      </c>
      <c r="E228">
        <v>40000</v>
      </c>
    </row>
    <row r="229" spans="1:5" x14ac:dyDescent="0.3">
      <c r="A229" t="s">
        <v>15</v>
      </c>
      <c r="B229" t="s">
        <v>58</v>
      </c>
      <c r="C229" s="46">
        <v>2026</v>
      </c>
      <c r="D229" t="s">
        <v>4</v>
      </c>
      <c r="E229">
        <v>30000</v>
      </c>
    </row>
    <row r="230" spans="1:5" x14ac:dyDescent="0.3">
      <c r="A230" t="s">
        <v>15</v>
      </c>
      <c r="B230" t="s">
        <v>190</v>
      </c>
      <c r="C230" s="46">
        <v>2026</v>
      </c>
      <c r="D230" t="s">
        <v>3</v>
      </c>
      <c r="E230">
        <v>50000</v>
      </c>
    </row>
    <row r="231" spans="1:5" x14ac:dyDescent="0.3">
      <c r="A231" t="s">
        <v>15</v>
      </c>
      <c r="B231" t="s">
        <v>242</v>
      </c>
      <c r="C231" s="46">
        <v>2026</v>
      </c>
      <c r="D231" t="s">
        <v>4</v>
      </c>
      <c r="E231">
        <v>60000</v>
      </c>
    </row>
    <row r="232" spans="1:5" x14ac:dyDescent="0.3">
      <c r="A232" t="s">
        <v>15</v>
      </c>
      <c r="B232" t="s">
        <v>48</v>
      </c>
      <c r="C232" s="46">
        <v>2026</v>
      </c>
      <c r="D232" t="s">
        <v>460</v>
      </c>
      <c r="E232">
        <v>10000</v>
      </c>
    </row>
    <row r="233" spans="1:5" x14ac:dyDescent="0.3">
      <c r="A233" t="s">
        <v>15</v>
      </c>
      <c r="B233" t="s">
        <v>48</v>
      </c>
      <c r="C233" s="46">
        <v>2026</v>
      </c>
      <c r="D233" t="s">
        <v>4</v>
      </c>
      <c r="E233">
        <v>30000</v>
      </c>
    </row>
    <row r="234" spans="1:5" x14ac:dyDescent="0.3">
      <c r="A234" t="s">
        <v>15</v>
      </c>
      <c r="B234" t="s">
        <v>48</v>
      </c>
      <c r="C234" s="46">
        <v>2026</v>
      </c>
      <c r="D234" t="s">
        <v>6</v>
      </c>
      <c r="E234">
        <v>45000</v>
      </c>
    </row>
    <row r="235" spans="1:5" x14ac:dyDescent="0.3">
      <c r="A235" t="s">
        <v>15</v>
      </c>
      <c r="B235" t="s">
        <v>54</v>
      </c>
      <c r="C235" s="46">
        <v>2026</v>
      </c>
      <c r="D235" t="s">
        <v>4</v>
      </c>
      <c r="E235">
        <v>200000</v>
      </c>
    </row>
    <row r="236" spans="1:5" x14ac:dyDescent="0.3">
      <c r="A236" t="s">
        <v>15</v>
      </c>
      <c r="B236" t="s">
        <v>54</v>
      </c>
      <c r="C236" s="46">
        <v>2026</v>
      </c>
      <c r="D236" t="s">
        <v>5</v>
      </c>
      <c r="E236">
        <v>750000</v>
      </c>
    </row>
    <row r="237" spans="1:5" x14ac:dyDescent="0.3">
      <c r="A237" t="s">
        <v>15</v>
      </c>
      <c r="B237" t="s">
        <v>54</v>
      </c>
      <c r="C237" s="46">
        <v>2027</v>
      </c>
      <c r="D237" t="s">
        <v>4</v>
      </c>
      <c r="E237">
        <v>150000</v>
      </c>
    </row>
    <row r="238" spans="1:5" x14ac:dyDescent="0.3">
      <c r="A238" t="s">
        <v>15</v>
      </c>
      <c r="B238" t="s">
        <v>54</v>
      </c>
      <c r="C238" s="46">
        <v>2027</v>
      </c>
      <c r="D238" t="s">
        <v>5</v>
      </c>
      <c r="E238">
        <v>150000</v>
      </c>
    </row>
    <row r="239" spans="1:5" x14ac:dyDescent="0.3">
      <c r="A239" t="s">
        <v>15</v>
      </c>
      <c r="B239" t="s">
        <v>54</v>
      </c>
      <c r="C239" s="46">
        <v>2028</v>
      </c>
      <c r="D239" t="s">
        <v>4</v>
      </c>
      <c r="E239">
        <v>150000</v>
      </c>
    </row>
    <row r="240" spans="1:5" x14ac:dyDescent="0.3">
      <c r="A240" t="s">
        <v>15</v>
      </c>
      <c r="B240" t="s">
        <v>54</v>
      </c>
      <c r="C240" s="46">
        <v>2028</v>
      </c>
      <c r="D240" t="s">
        <v>5</v>
      </c>
      <c r="E240">
        <v>150000</v>
      </c>
    </row>
    <row r="241" spans="1:5" x14ac:dyDescent="0.3">
      <c r="A241" t="s">
        <v>22</v>
      </c>
      <c r="B241" t="s">
        <v>229</v>
      </c>
      <c r="C241" s="46">
        <v>2026</v>
      </c>
      <c r="D241" t="s">
        <v>3</v>
      </c>
      <c r="E241">
        <v>201848</v>
      </c>
    </row>
    <row r="242" spans="1:5" x14ac:dyDescent="0.3">
      <c r="A242" t="s">
        <v>22</v>
      </c>
      <c r="B242" t="s">
        <v>229</v>
      </c>
      <c r="C242" s="46">
        <v>2027</v>
      </c>
      <c r="D242" t="s">
        <v>3</v>
      </c>
      <c r="E242">
        <v>118415</v>
      </c>
    </row>
    <row r="243" spans="1:5" x14ac:dyDescent="0.3">
      <c r="A243" t="s">
        <v>94</v>
      </c>
      <c r="B243" t="s">
        <v>75</v>
      </c>
      <c r="C243" s="46">
        <v>2026</v>
      </c>
      <c r="D243" t="s">
        <v>460</v>
      </c>
      <c r="E243">
        <v>115902</v>
      </c>
    </row>
    <row r="244" spans="1:5" x14ac:dyDescent="0.3">
      <c r="A244" t="s">
        <v>94</v>
      </c>
      <c r="B244" t="s">
        <v>75</v>
      </c>
      <c r="C244" s="46">
        <v>2026</v>
      </c>
      <c r="D244" t="s">
        <v>2</v>
      </c>
      <c r="E244">
        <v>94000</v>
      </c>
    </row>
    <row r="245" spans="1:5" x14ac:dyDescent="0.3">
      <c r="A245" t="s">
        <v>94</v>
      </c>
      <c r="B245" t="s">
        <v>75</v>
      </c>
      <c r="C245" s="46">
        <v>2026</v>
      </c>
      <c r="D245" t="s">
        <v>3</v>
      </c>
      <c r="E245">
        <v>704444</v>
      </c>
    </row>
    <row r="246" spans="1:5" x14ac:dyDescent="0.3">
      <c r="A246" t="s">
        <v>94</v>
      </c>
      <c r="B246" t="s">
        <v>75</v>
      </c>
      <c r="C246" s="46">
        <v>2026</v>
      </c>
      <c r="D246" t="s">
        <v>4</v>
      </c>
      <c r="E246">
        <v>4210297</v>
      </c>
    </row>
    <row r="247" spans="1:5" x14ac:dyDescent="0.3">
      <c r="A247" t="s">
        <v>94</v>
      </c>
      <c r="B247" t="s">
        <v>76</v>
      </c>
      <c r="C247" s="46">
        <v>2026</v>
      </c>
      <c r="D247" t="s">
        <v>460</v>
      </c>
      <c r="E247">
        <v>12492</v>
      </c>
    </row>
    <row r="248" spans="1:5" x14ac:dyDescent="0.3">
      <c r="A248" t="s">
        <v>94</v>
      </c>
      <c r="B248" t="s">
        <v>76</v>
      </c>
      <c r="C248" s="46">
        <v>2026</v>
      </c>
      <c r="D248" t="s">
        <v>2</v>
      </c>
      <c r="E248">
        <v>82474</v>
      </c>
    </row>
    <row r="249" spans="1:5" x14ac:dyDescent="0.3">
      <c r="A249" t="s">
        <v>94</v>
      </c>
      <c r="B249" t="s">
        <v>76</v>
      </c>
      <c r="C249" s="46">
        <v>2026</v>
      </c>
      <c r="D249" t="s">
        <v>3</v>
      </c>
      <c r="E249">
        <v>280274</v>
      </c>
    </row>
    <row r="250" spans="1:5" x14ac:dyDescent="0.3">
      <c r="A250" t="s">
        <v>94</v>
      </c>
      <c r="B250" t="s">
        <v>76</v>
      </c>
      <c r="C250" s="46">
        <v>2026</v>
      </c>
      <c r="D250" t="s">
        <v>5</v>
      </c>
      <c r="E250">
        <v>200000</v>
      </c>
    </row>
    <row r="251" spans="1:5" x14ac:dyDescent="0.3">
      <c r="A251" t="s">
        <v>94</v>
      </c>
      <c r="B251" t="s">
        <v>77</v>
      </c>
      <c r="C251" s="46">
        <v>2026</v>
      </c>
      <c r="D251" t="s">
        <v>460</v>
      </c>
      <c r="E251">
        <v>200000</v>
      </c>
    </row>
    <row r="252" spans="1:5" x14ac:dyDescent="0.3">
      <c r="A252" t="s">
        <v>94</v>
      </c>
      <c r="B252" t="s">
        <v>77</v>
      </c>
      <c r="C252" s="46">
        <v>2026</v>
      </c>
      <c r="D252" t="s">
        <v>3</v>
      </c>
      <c r="E252">
        <v>450000</v>
      </c>
    </row>
    <row r="253" spans="1:5" x14ac:dyDescent="0.3">
      <c r="A253" t="s">
        <v>94</v>
      </c>
      <c r="B253" t="s">
        <v>75</v>
      </c>
      <c r="C253" s="46">
        <v>2027</v>
      </c>
      <c r="D253" t="s">
        <v>460</v>
      </c>
      <c r="E253">
        <v>104312</v>
      </c>
    </row>
    <row r="254" spans="1:5" x14ac:dyDescent="0.3">
      <c r="A254" t="s">
        <v>94</v>
      </c>
      <c r="B254" t="s">
        <v>75</v>
      </c>
      <c r="C254" s="46">
        <v>2027</v>
      </c>
      <c r="D254" t="s">
        <v>3</v>
      </c>
      <c r="E254">
        <v>683311</v>
      </c>
    </row>
    <row r="255" spans="1:5" x14ac:dyDescent="0.3">
      <c r="A255" t="s">
        <v>94</v>
      </c>
      <c r="B255" t="s">
        <v>75</v>
      </c>
      <c r="C255" s="46">
        <v>2027</v>
      </c>
      <c r="D255" t="s">
        <v>4</v>
      </c>
      <c r="E255">
        <v>4112092</v>
      </c>
    </row>
    <row r="256" spans="1:5" x14ac:dyDescent="0.3">
      <c r="A256" t="s">
        <v>94</v>
      </c>
      <c r="B256" t="s">
        <v>77</v>
      </c>
      <c r="C256" s="46">
        <v>2027</v>
      </c>
      <c r="D256" t="s">
        <v>460</v>
      </c>
      <c r="E256">
        <v>150000</v>
      </c>
    </row>
    <row r="257" spans="1:5" x14ac:dyDescent="0.3">
      <c r="A257" t="s">
        <v>94</v>
      </c>
      <c r="B257" t="s">
        <v>77</v>
      </c>
      <c r="C257" s="46">
        <v>2027</v>
      </c>
      <c r="D257" t="s">
        <v>3</v>
      </c>
      <c r="E257">
        <v>500000</v>
      </c>
    </row>
    <row r="258" spans="1:5" x14ac:dyDescent="0.3">
      <c r="A258" t="s">
        <v>94</v>
      </c>
      <c r="B258" t="s">
        <v>75</v>
      </c>
      <c r="C258" s="46">
        <v>2028</v>
      </c>
      <c r="D258" t="s">
        <v>460</v>
      </c>
      <c r="E258">
        <v>93880</v>
      </c>
    </row>
    <row r="259" spans="1:5" x14ac:dyDescent="0.3">
      <c r="A259" t="s">
        <v>94</v>
      </c>
      <c r="B259" t="s">
        <v>75</v>
      </c>
      <c r="C259" s="46">
        <v>2028</v>
      </c>
      <c r="D259" t="s">
        <v>4</v>
      </c>
      <c r="E259">
        <v>4083988</v>
      </c>
    </row>
    <row r="260" spans="1:5" x14ac:dyDescent="0.3">
      <c r="A260" t="s">
        <v>94</v>
      </c>
      <c r="B260" t="s">
        <v>77</v>
      </c>
      <c r="C260" s="46">
        <v>2028</v>
      </c>
      <c r="D260" t="s">
        <v>460</v>
      </c>
      <c r="E260">
        <v>150000</v>
      </c>
    </row>
    <row r="261" spans="1:5" x14ac:dyDescent="0.3">
      <c r="A261" t="s">
        <v>94</v>
      </c>
      <c r="B261" t="s">
        <v>77</v>
      </c>
      <c r="C261" s="46">
        <v>2028</v>
      </c>
      <c r="D261" t="s">
        <v>3</v>
      </c>
      <c r="E261">
        <v>900000</v>
      </c>
    </row>
    <row r="262" spans="1:5" x14ac:dyDescent="0.3">
      <c r="A262" t="s">
        <v>26</v>
      </c>
      <c r="B262" t="s">
        <v>75</v>
      </c>
      <c r="C262" s="46">
        <v>2026</v>
      </c>
      <c r="D262" t="s">
        <v>4</v>
      </c>
      <c r="E262">
        <v>1167883</v>
      </c>
    </row>
    <row r="263" spans="1:5" x14ac:dyDescent="0.3">
      <c r="A263" t="s">
        <v>26</v>
      </c>
      <c r="B263" t="s">
        <v>80</v>
      </c>
      <c r="C263" s="46">
        <v>2026</v>
      </c>
      <c r="D263" t="s">
        <v>460</v>
      </c>
      <c r="E263">
        <v>68165</v>
      </c>
    </row>
    <row r="264" spans="1:5" x14ac:dyDescent="0.3">
      <c r="A264" t="s">
        <v>26</v>
      </c>
      <c r="B264" t="s">
        <v>80</v>
      </c>
      <c r="C264" s="46">
        <v>2026</v>
      </c>
      <c r="D264" t="s">
        <v>4</v>
      </c>
      <c r="E264">
        <v>787000</v>
      </c>
    </row>
    <row r="265" spans="1:5" x14ac:dyDescent="0.3">
      <c r="A265" t="s">
        <v>62</v>
      </c>
      <c r="B265" t="s">
        <v>17</v>
      </c>
      <c r="C265" s="46">
        <v>2026</v>
      </c>
      <c r="D265" t="s">
        <v>3</v>
      </c>
      <c r="E265">
        <v>430722</v>
      </c>
    </row>
    <row r="266" spans="1:5" x14ac:dyDescent="0.3">
      <c r="A266" t="s">
        <v>62</v>
      </c>
      <c r="B266" t="s">
        <v>17</v>
      </c>
      <c r="C266" s="46">
        <v>2026</v>
      </c>
      <c r="D266" t="s">
        <v>4</v>
      </c>
      <c r="E266">
        <v>800800</v>
      </c>
    </row>
    <row r="267" spans="1:5" x14ac:dyDescent="0.3">
      <c r="A267" t="s">
        <v>62</v>
      </c>
      <c r="B267" t="s">
        <v>292</v>
      </c>
      <c r="C267" s="46">
        <v>2026</v>
      </c>
      <c r="D267" t="s">
        <v>3</v>
      </c>
      <c r="E267">
        <v>957840</v>
      </c>
    </row>
    <row r="268" spans="1:5" x14ac:dyDescent="0.3">
      <c r="A268" t="s">
        <v>62</v>
      </c>
      <c r="B268" t="s">
        <v>17</v>
      </c>
      <c r="C268" s="46">
        <v>2027</v>
      </c>
      <c r="D268" t="s">
        <v>3</v>
      </c>
      <c r="E268">
        <v>1052710</v>
      </c>
    </row>
    <row r="269" spans="1:5" x14ac:dyDescent="0.3">
      <c r="A269" t="s">
        <v>62</v>
      </c>
      <c r="B269" t="s">
        <v>17</v>
      </c>
      <c r="C269" s="46">
        <v>2027</v>
      </c>
      <c r="D269" t="s">
        <v>4</v>
      </c>
      <c r="E269">
        <v>2487812</v>
      </c>
    </row>
    <row r="270" spans="1:5" x14ac:dyDescent="0.3">
      <c r="A270" t="s">
        <v>62</v>
      </c>
      <c r="B270" t="s">
        <v>17</v>
      </c>
      <c r="C270" s="46">
        <v>2028</v>
      </c>
      <c r="D270" t="s">
        <v>3</v>
      </c>
      <c r="E270">
        <v>1052710</v>
      </c>
    </row>
    <row r="271" spans="1:5" x14ac:dyDescent="0.3">
      <c r="A271" t="s">
        <v>62</v>
      </c>
      <c r="B271" t="s">
        <v>17</v>
      </c>
      <c r="C271" s="46">
        <v>2028</v>
      </c>
      <c r="D271" t="s">
        <v>4</v>
      </c>
      <c r="E271">
        <v>2487812</v>
      </c>
    </row>
    <row r="272" spans="1:5" x14ac:dyDescent="0.3">
      <c r="A272" t="s">
        <v>459</v>
      </c>
      <c r="B272" t="s">
        <v>75</v>
      </c>
      <c r="C272" s="46">
        <v>2026</v>
      </c>
      <c r="D272" t="s">
        <v>2</v>
      </c>
      <c r="E272">
        <v>34588</v>
      </c>
    </row>
    <row r="273" spans="1:5" x14ac:dyDescent="0.3">
      <c r="A273" t="s">
        <v>459</v>
      </c>
      <c r="B273" t="s">
        <v>75</v>
      </c>
      <c r="C273" s="46">
        <v>2026</v>
      </c>
      <c r="D273" t="s">
        <v>3</v>
      </c>
      <c r="E273">
        <v>60339</v>
      </c>
    </row>
    <row r="274" spans="1:5" x14ac:dyDescent="0.3">
      <c r="A274" t="s">
        <v>459</v>
      </c>
      <c r="B274" t="s">
        <v>75</v>
      </c>
      <c r="C274" s="46">
        <v>2026</v>
      </c>
      <c r="D274" t="s">
        <v>4</v>
      </c>
      <c r="E274">
        <v>21969</v>
      </c>
    </row>
    <row r="275" spans="1:5" x14ac:dyDescent="0.3">
      <c r="A275" t="s">
        <v>459</v>
      </c>
      <c r="B275" t="s">
        <v>75</v>
      </c>
      <c r="C275" s="46">
        <v>2026</v>
      </c>
      <c r="D275" t="s">
        <v>6</v>
      </c>
      <c r="E275">
        <v>129270</v>
      </c>
    </row>
    <row r="276" spans="1:5" x14ac:dyDescent="0.3">
      <c r="A276" t="s">
        <v>459</v>
      </c>
      <c r="B276" t="s">
        <v>75</v>
      </c>
      <c r="C276" s="46">
        <v>2027</v>
      </c>
      <c r="D276" t="s">
        <v>3</v>
      </c>
      <c r="E276">
        <v>9489</v>
      </c>
    </row>
    <row r="277" spans="1:5" x14ac:dyDescent="0.3">
      <c r="A277" t="s">
        <v>459</v>
      </c>
      <c r="B277" t="s">
        <v>75</v>
      </c>
      <c r="C277" s="46">
        <v>2027</v>
      </c>
      <c r="D277" t="s">
        <v>6</v>
      </c>
      <c r="E277">
        <v>151247</v>
      </c>
    </row>
    <row r="278" spans="1:5" x14ac:dyDescent="0.3">
      <c r="A278" t="s">
        <v>459</v>
      </c>
      <c r="B278" t="s">
        <v>75</v>
      </c>
      <c r="C278" s="46">
        <v>2028</v>
      </c>
      <c r="D278" t="s">
        <v>3</v>
      </c>
      <c r="E278">
        <v>9489</v>
      </c>
    </row>
    <row r="279" spans="1:5" x14ac:dyDescent="0.3">
      <c r="A279" t="s">
        <v>459</v>
      </c>
      <c r="B279" t="s">
        <v>75</v>
      </c>
      <c r="C279" s="46">
        <v>2028</v>
      </c>
      <c r="D279" t="s">
        <v>6</v>
      </c>
      <c r="E279">
        <v>117637</v>
      </c>
    </row>
    <row r="280" spans="1:5" x14ac:dyDescent="0.3">
      <c r="A280" t="s">
        <v>27</v>
      </c>
      <c r="B280" t="s">
        <v>75</v>
      </c>
      <c r="C280" s="46">
        <v>2026</v>
      </c>
      <c r="D280" t="s">
        <v>460</v>
      </c>
      <c r="E280">
        <v>37600</v>
      </c>
    </row>
    <row r="281" spans="1:5" x14ac:dyDescent="0.3">
      <c r="A281" t="s">
        <v>27</v>
      </c>
      <c r="B281" t="s">
        <v>75</v>
      </c>
      <c r="C281" s="46">
        <v>2026</v>
      </c>
      <c r="D281" t="s">
        <v>2</v>
      </c>
      <c r="E281">
        <v>959659</v>
      </c>
    </row>
    <row r="282" spans="1:5" x14ac:dyDescent="0.3">
      <c r="A282" t="s">
        <v>27</v>
      </c>
      <c r="B282" t="s">
        <v>75</v>
      </c>
      <c r="C282" s="46">
        <v>2026</v>
      </c>
      <c r="D282" t="s">
        <v>5</v>
      </c>
      <c r="E282">
        <v>469785</v>
      </c>
    </row>
    <row r="283" spans="1:5" x14ac:dyDescent="0.3">
      <c r="A283" t="s">
        <v>27</v>
      </c>
      <c r="B283" t="s">
        <v>75</v>
      </c>
      <c r="C283" s="46">
        <v>2026</v>
      </c>
      <c r="D283" t="s">
        <v>6</v>
      </c>
      <c r="E283">
        <v>207760</v>
      </c>
    </row>
    <row r="284" spans="1:5" x14ac:dyDescent="0.3">
      <c r="A284" t="s">
        <v>27</v>
      </c>
      <c r="B284" t="s">
        <v>76</v>
      </c>
      <c r="C284" s="46">
        <v>2026</v>
      </c>
      <c r="D284" t="s">
        <v>460</v>
      </c>
      <c r="E284">
        <v>28027</v>
      </c>
    </row>
    <row r="285" spans="1:5" x14ac:dyDescent="0.3">
      <c r="A285" t="s">
        <v>27</v>
      </c>
      <c r="B285" t="s">
        <v>77</v>
      </c>
      <c r="C285" s="46">
        <v>2026</v>
      </c>
      <c r="D285" t="s">
        <v>460</v>
      </c>
      <c r="E285">
        <v>600000</v>
      </c>
    </row>
    <row r="286" spans="1:5" x14ac:dyDescent="0.3">
      <c r="A286" t="s">
        <v>27</v>
      </c>
      <c r="B286" t="s">
        <v>77</v>
      </c>
      <c r="C286" s="46">
        <v>2026</v>
      </c>
      <c r="D286" t="s">
        <v>2</v>
      </c>
      <c r="E286">
        <v>350000</v>
      </c>
    </row>
    <row r="287" spans="1:5" x14ac:dyDescent="0.3">
      <c r="A287" t="s">
        <v>27</v>
      </c>
      <c r="B287" t="s">
        <v>77</v>
      </c>
      <c r="C287" s="46">
        <v>2026</v>
      </c>
      <c r="D287" t="s">
        <v>3</v>
      </c>
      <c r="E287">
        <v>700000</v>
      </c>
    </row>
    <row r="288" spans="1:5" x14ac:dyDescent="0.3">
      <c r="A288" t="s">
        <v>27</v>
      </c>
      <c r="B288" t="s">
        <v>77</v>
      </c>
      <c r="C288" s="46">
        <v>2026</v>
      </c>
      <c r="D288" t="s">
        <v>4</v>
      </c>
      <c r="E288">
        <v>100000</v>
      </c>
    </row>
    <row r="289" spans="1:5" x14ac:dyDescent="0.3">
      <c r="A289" t="s">
        <v>27</v>
      </c>
      <c r="B289" t="s">
        <v>77</v>
      </c>
      <c r="C289" s="46">
        <v>2026</v>
      </c>
      <c r="D289" t="s">
        <v>6</v>
      </c>
      <c r="E289">
        <v>200000</v>
      </c>
    </row>
    <row r="290" spans="1:5" x14ac:dyDescent="0.3">
      <c r="A290" t="s">
        <v>27</v>
      </c>
      <c r="B290" t="s">
        <v>190</v>
      </c>
      <c r="C290" s="46">
        <v>2026</v>
      </c>
      <c r="D290" t="s">
        <v>4</v>
      </c>
      <c r="E290">
        <v>1284000</v>
      </c>
    </row>
    <row r="291" spans="1:5" x14ac:dyDescent="0.3">
      <c r="A291" t="s">
        <v>27</v>
      </c>
      <c r="B291" t="s">
        <v>292</v>
      </c>
      <c r="C291" s="46">
        <v>2026</v>
      </c>
      <c r="D291" t="s">
        <v>3</v>
      </c>
      <c r="E291">
        <v>1600000</v>
      </c>
    </row>
    <row r="292" spans="1:5" x14ac:dyDescent="0.3">
      <c r="A292" t="s">
        <v>27</v>
      </c>
      <c r="B292" t="s">
        <v>324</v>
      </c>
      <c r="C292" s="46">
        <v>2026</v>
      </c>
      <c r="D292" t="s">
        <v>460</v>
      </c>
      <c r="E292">
        <v>100000</v>
      </c>
    </row>
    <row r="293" spans="1:5" x14ac:dyDescent="0.3">
      <c r="A293" t="s">
        <v>27</v>
      </c>
      <c r="B293" t="s">
        <v>324</v>
      </c>
      <c r="C293" s="46">
        <v>2026</v>
      </c>
      <c r="D293" t="s">
        <v>2</v>
      </c>
      <c r="E293">
        <v>250000</v>
      </c>
    </row>
    <row r="294" spans="1:5" x14ac:dyDescent="0.3">
      <c r="A294" t="s">
        <v>27</v>
      </c>
      <c r="B294" t="s">
        <v>324</v>
      </c>
      <c r="C294" s="46">
        <v>2026</v>
      </c>
      <c r="D294" t="s">
        <v>3</v>
      </c>
      <c r="E294">
        <v>280000</v>
      </c>
    </row>
    <row r="295" spans="1:5" x14ac:dyDescent="0.3">
      <c r="A295" t="s">
        <v>27</v>
      </c>
      <c r="B295" t="s">
        <v>324</v>
      </c>
      <c r="C295" s="46">
        <v>2026</v>
      </c>
      <c r="D295" t="s">
        <v>4</v>
      </c>
      <c r="E295">
        <v>300000</v>
      </c>
    </row>
    <row r="296" spans="1:5" x14ac:dyDescent="0.3">
      <c r="A296" t="s">
        <v>27</v>
      </c>
      <c r="B296" t="s">
        <v>324</v>
      </c>
      <c r="C296" s="46">
        <v>2026</v>
      </c>
      <c r="D296" t="s">
        <v>5</v>
      </c>
      <c r="E296">
        <v>680000</v>
      </c>
    </row>
    <row r="297" spans="1:5" x14ac:dyDescent="0.3">
      <c r="A297" t="s">
        <v>27</v>
      </c>
      <c r="B297" t="s">
        <v>324</v>
      </c>
      <c r="C297" s="46">
        <v>2026</v>
      </c>
      <c r="D297" t="s">
        <v>6</v>
      </c>
      <c r="E297">
        <v>200000</v>
      </c>
    </row>
    <row r="298" spans="1:5" x14ac:dyDescent="0.3">
      <c r="A298" t="s">
        <v>27</v>
      </c>
      <c r="B298" t="s">
        <v>75</v>
      </c>
      <c r="C298" s="46">
        <v>2027</v>
      </c>
      <c r="D298" t="s">
        <v>460</v>
      </c>
      <c r="E298">
        <v>37600</v>
      </c>
    </row>
    <row r="299" spans="1:5" x14ac:dyDescent="0.3">
      <c r="A299" t="s">
        <v>27</v>
      </c>
      <c r="B299" t="s">
        <v>75</v>
      </c>
      <c r="C299" s="46">
        <v>2027</v>
      </c>
      <c r="D299" t="s">
        <v>2</v>
      </c>
      <c r="E299">
        <v>631834</v>
      </c>
    </row>
    <row r="300" spans="1:5" x14ac:dyDescent="0.3">
      <c r="A300" t="s">
        <v>27</v>
      </c>
      <c r="B300" t="s">
        <v>77</v>
      </c>
      <c r="C300" s="46">
        <v>2027</v>
      </c>
      <c r="D300" t="s">
        <v>460</v>
      </c>
      <c r="E300">
        <v>1500000</v>
      </c>
    </row>
    <row r="301" spans="1:5" x14ac:dyDescent="0.3">
      <c r="A301" t="s">
        <v>27</v>
      </c>
      <c r="B301" t="s">
        <v>77</v>
      </c>
      <c r="C301" s="46">
        <v>2027</v>
      </c>
      <c r="D301" t="s">
        <v>2</v>
      </c>
      <c r="E301">
        <v>70000</v>
      </c>
    </row>
    <row r="302" spans="1:5" x14ac:dyDescent="0.3">
      <c r="A302" t="s">
        <v>27</v>
      </c>
      <c r="B302" t="s">
        <v>77</v>
      </c>
      <c r="C302" s="46">
        <v>2027</v>
      </c>
      <c r="D302" t="s">
        <v>3</v>
      </c>
      <c r="E302">
        <v>1000000</v>
      </c>
    </row>
    <row r="303" spans="1:5" x14ac:dyDescent="0.3">
      <c r="A303" t="s">
        <v>27</v>
      </c>
      <c r="B303" t="s">
        <v>77</v>
      </c>
      <c r="C303" s="46">
        <v>2027</v>
      </c>
      <c r="D303" t="s">
        <v>4</v>
      </c>
      <c r="E303">
        <v>450000</v>
      </c>
    </row>
    <row r="304" spans="1:5" x14ac:dyDescent="0.3">
      <c r="A304" t="s">
        <v>27</v>
      </c>
      <c r="B304" t="s">
        <v>77</v>
      </c>
      <c r="C304" s="46">
        <v>2027</v>
      </c>
      <c r="D304" t="s">
        <v>6</v>
      </c>
      <c r="E304">
        <v>300000</v>
      </c>
    </row>
    <row r="305" spans="1:5" x14ac:dyDescent="0.3">
      <c r="A305" t="s">
        <v>27</v>
      </c>
      <c r="B305" t="s">
        <v>190</v>
      </c>
      <c r="C305" s="46">
        <v>2027</v>
      </c>
      <c r="D305" t="s">
        <v>4</v>
      </c>
      <c r="E305">
        <v>1284000</v>
      </c>
    </row>
    <row r="306" spans="1:5" x14ac:dyDescent="0.3">
      <c r="A306" t="s">
        <v>27</v>
      </c>
      <c r="B306" t="s">
        <v>75</v>
      </c>
      <c r="C306" s="46">
        <v>2028</v>
      </c>
      <c r="D306" t="s">
        <v>460</v>
      </c>
      <c r="E306">
        <v>37600</v>
      </c>
    </row>
    <row r="307" spans="1:5" x14ac:dyDescent="0.3">
      <c r="A307" t="s">
        <v>27</v>
      </c>
      <c r="B307" t="s">
        <v>75</v>
      </c>
      <c r="C307" s="46">
        <v>2028</v>
      </c>
      <c r="D307" t="s">
        <v>2</v>
      </c>
      <c r="E307">
        <v>304717</v>
      </c>
    </row>
    <row r="308" spans="1:5" x14ac:dyDescent="0.3">
      <c r="A308" t="s">
        <v>27</v>
      </c>
      <c r="B308" t="s">
        <v>77</v>
      </c>
      <c r="C308" s="46">
        <v>2028</v>
      </c>
      <c r="D308" t="s">
        <v>460</v>
      </c>
      <c r="E308">
        <v>750000</v>
      </c>
    </row>
    <row r="309" spans="1:5" x14ac:dyDescent="0.3">
      <c r="A309" t="s">
        <v>27</v>
      </c>
      <c r="B309" t="s">
        <v>77</v>
      </c>
      <c r="C309" s="46">
        <v>2028</v>
      </c>
      <c r="D309" t="s">
        <v>2</v>
      </c>
      <c r="E309">
        <v>155000</v>
      </c>
    </row>
    <row r="310" spans="1:5" x14ac:dyDescent="0.3">
      <c r="A310" t="s">
        <v>27</v>
      </c>
      <c r="B310" t="s">
        <v>77</v>
      </c>
      <c r="C310" s="46">
        <v>2028</v>
      </c>
      <c r="D310" t="s">
        <v>3</v>
      </c>
      <c r="E310">
        <v>1260000</v>
      </c>
    </row>
    <row r="311" spans="1:5" x14ac:dyDescent="0.3">
      <c r="A311" t="s">
        <v>27</v>
      </c>
      <c r="B311" t="s">
        <v>77</v>
      </c>
      <c r="C311" s="46">
        <v>2028</v>
      </c>
      <c r="D311" t="s">
        <v>4</v>
      </c>
      <c r="E311">
        <v>250000</v>
      </c>
    </row>
    <row r="312" spans="1:5" x14ac:dyDescent="0.3">
      <c r="A312" t="s">
        <v>27</v>
      </c>
      <c r="B312" t="s">
        <v>77</v>
      </c>
      <c r="C312" s="46">
        <v>2028</v>
      </c>
      <c r="D312" t="s">
        <v>6</v>
      </c>
      <c r="E312">
        <v>100000</v>
      </c>
    </row>
    <row r="313" spans="1:5" x14ac:dyDescent="0.3">
      <c r="A313" t="s">
        <v>23</v>
      </c>
      <c r="B313" t="s">
        <v>17</v>
      </c>
      <c r="C313" s="46">
        <v>2026</v>
      </c>
      <c r="D313" t="s">
        <v>460</v>
      </c>
      <c r="E313">
        <v>50000</v>
      </c>
    </row>
    <row r="314" spans="1:5" x14ac:dyDescent="0.3">
      <c r="A314" t="s">
        <v>23</v>
      </c>
      <c r="B314" t="s">
        <v>17</v>
      </c>
      <c r="C314" s="46">
        <v>2026</v>
      </c>
      <c r="D314" t="s">
        <v>2</v>
      </c>
      <c r="E314">
        <v>575000</v>
      </c>
    </row>
    <row r="315" spans="1:5" x14ac:dyDescent="0.3">
      <c r="A315" t="s">
        <v>23</v>
      </c>
      <c r="B315" t="s">
        <v>17</v>
      </c>
      <c r="C315" s="46">
        <v>2026</v>
      </c>
      <c r="D315" t="s">
        <v>3</v>
      </c>
      <c r="E315">
        <v>1550000</v>
      </c>
    </row>
    <row r="316" spans="1:5" x14ac:dyDescent="0.3">
      <c r="A316" t="s">
        <v>23</v>
      </c>
      <c r="B316" t="s">
        <v>17</v>
      </c>
      <c r="C316" s="46">
        <v>2026</v>
      </c>
      <c r="D316" t="s">
        <v>4</v>
      </c>
      <c r="E316">
        <v>100000</v>
      </c>
    </row>
    <row r="317" spans="1:5" x14ac:dyDescent="0.3">
      <c r="A317" t="s">
        <v>23</v>
      </c>
      <c r="B317" t="s">
        <v>17</v>
      </c>
      <c r="C317" s="46">
        <v>2026</v>
      </c>
      <c r="D317" t="s">
        <v>6</v>
      </c>
      <c r="E317">
        <v>50000</v>
      </c>
    </row>
    <row r="318" spans="1:5" x14ac:dyDescent="0.3">
      <c r="A318" t="s">
        <v>23</v>
      </c>
      <c r="B318" t="s">
        <v>77</v>
      </c>
      <c r="C318" s="46">
        <v>2026</v>
      </c>
      <c r="D318" t="s">
        <v>460</v>
      </c>
      <c r="E318">
        <v>200000</v>
      </c>
    </row>
    <row r="319" spans="1:5" x14ac:dyDescent="0.3">
      <c r="A319" t="s">
        <v>23</v>
      </c>
      <c r="B319" t="s">
        <v>77</v>
      </c>
      <c r="C319" s="46">
        <v>2026</v>
      </c>
      <c r="D319" t="s">
        <v>2</v>
      </c>
      <c r="E319">
        <v>250000</v>
      </c>
    </row>
    <row r="320" spans="1:5" x14ac:dyDescent="0.3">
      <c r="A320" t="s">
        <v>23</v>
      </c>
      <c r="B320" t="s">
        <v>77</v>
      </c>
      <c r="C320" s="46">
        <v>2026</v>
      </c>
      <c r="D320" t="s">
        <v>3</v>
      </c>
      <c r="E320">
        <v>70000</v>
      </c>
    </row>
    <row r="321" spans="1:5" x14ac:dyDescent="0.3">
      <c r="A321" t="s">
        <v>23</v>
      </c>
      <c r="B321" t="s">
        <v>77</v>
      </c>
      <c r="C321" s="46">
        <v>2026</v>
      </c>
      <c r="D321" t="s">
        <v>4</v>
      </c>
      <c r="E321">
        <v>100000</v>
      </c>
    </row>
    <row r="322" spans="1:5" x14ac:dyDescent="0.3">
      <c r="A322" t="s">
        <v>23</v>
      </c>
      <c r="B322" t="s">
        <v>77</v>
      </c>
      <c r="C322" s="46">
        <v>2026</v>
      </c>
      <c r="D322" t="s">
        <v>5</v>
      </c>
      <c r="E322">
        <v>30000</v>
      </c>
    </row>
    <row r="323" spans="1:5" x14ac:dyDescent="0.3">
      <c r="A323" t="s">
        <v>23</v>
      </c>
      <c r="B323" t="s">
        <v>77</v>
      </c>
      <c r="C323" s="46">
        <v>2026</v>
      </c>
      <c r="D323" t="s">
        <v>6</v>
      </c>
      <c r="E323">
        <v>100000</v>
      </c>
    </row>
    <row r="324" spans="1:5" x14ac:dyDescent="0.3">
      <c r="A324" t="s">
        <v>23</v>
      </c>
      <c r="B324" t="s">
        <v>67</v>
      </c>
      <c r="C324" s="46">
        <v>2026</v>
      </c>
      <c r="D324" t="s">
        <v>2</v>
      </c>
      <c r="E324">
        <v>72537</v>
      </c>
    </row>
    <row r="325" spans="1:5" x14ac:dyDescent="0.3">
      <c r="A325" t="s">
        <v>23</v>
      </c>
      <c r="B325" t="s">
        <v>67</v>
      </c>
      <c r="C325" s="46">
        <v>2026</v>
      </c>
      <c r="D325" t="s">
        <v>3</v>
      </c>
      <c r="E325">
        <v>65404</v>
      </c>
    </row>
    <row r="326" spans="1:5" x14ac:dyDescent="0.3">
      <c r="A326" t="s">
        <v>23</v>
      </c>
      <c r="B326" t="s">
        <v>67</v>
      </c>
      <c r="C326" s="46">
        <v>2026</v>
      </c>
      <c r="D326" t="s">
        <v>4</v>
      </c>
      <c r="E326">
        <v>317730</v>
      </c>
    </row>
    <row r="327" spans="1:5" x14ac:dyDescent="0.3">
      <c r="A327" t="s">
        <v>23</v>
      </c>
      <c r="B327" t="s">
        <v>49</v>
      </c>
      <c r="C327" s="46">
        <v>2026</v>
      </c>
      <c r="D327" t="s">
        <v>460</v>
      </c>
      <c r="E327">
        <v>40000</v>
      </c>
    </row>
    <row r="328" spans="1:5" x14ac:dyDescent="0.3">
      <c r="A328" t="s">
        <v>23</v>
      </c>
      <c r="B328" t="s">
        <v>49</v>
      </c>
      <c r="C328" s="46">
        <v>2026</v>
      </c>
      <c r="D328" t="s">
        <v>2</v>
      </c>
      <c r="E328">
        <v>15000</v>
      </c>
    </row>
    <row r="329" spans="1:5" x14ac:dyDescent="0.3">
      <c r="A329" t="s">
        <v>23</v>
      </c>
      <c r="B329" t="s">
        <v>49</v>
      </c>
      <c r="C329" s="46">
        <v>2026</v>
      </c>
      <c r="D329" t="s">
        <v>3</v>
      </c>
      <c r="E329">
        <v>20000</v>
      </c>
    </row>
    <row r="330" spans="1:5" x14ac:dyDescent="0.3">
      <c r="A330" t="s">
        <v>23</v>
      </c>
      <c r="B330" t="s">
        <v>49</v>
      </c>
      <c r="C330" s="46">
        <v>2026</v>
      </c>
      <c r="D330" t="s">
        <v>4</v>
      </c>
      <c r="E330">
        <v>210000</v>
      </c>
    </row>
    <row r="331" spans="1:5" x14ac:dyDescent="0.3">
      <c r="A331" t="s">
        <v>23</v>
      </c>
      <c r="B331" t="s">
        <v>49</v>
      </c>
      <c r="C331" s="46">
        <v>2026</v>
      </c>
      <c r="D331" t="s">
        <v>5</v>
      </c>
      <c r="E331">
        <v>50000</v>
      </c>
    </row>
    <row r="332" spans="1:5" x14ac:dyDescent="0.3">
      <c r="A332" t="s">
        <v>23</v>
      </c>
      <c r="B332" t="s">
        <v>49</v>
      </c>
      <c r="C332" s="46">
        <v>2026</v>
      </c>
      <c r="D332" t="s">
        <v>6</v>
      </c>
      <c r="E332">
        <v>40000</v>
      </c>
    </row>
    <row r="333" spans="1:5" x14ac:dyDescent="0.3">
      <c r="A333" t="s">
        <v>23</v>
      </c>
      <c r="B333" t="s">
        <v>17</v>
      </c>
      <c r="C333" s="46">
        <v>2027</v>
      </c>
      <c r="D333" t="s">
        <v>460</v>
      </c>
      <c r="E333">
        <v>50000</v>
      </c>
    </row>
    <row r="334" spans="1:5" x14ac:dyDescent="0.3">
      <c r="A334" t="s">
        <v>23</v>
      </c>
      <c r="B334" t="s">
        <v>17</v>
      </c>
      <c r="C334" s="46">
        <v>2027</v>
      </c>
      <c r="D334" t="s">
        <v>2</v>
      </c>
      <c r="E334">
        <v>575000</v>
      </c>
    </row>
    <row r="335" spans="1:5" x14ac:dyDescent="0.3">
      <c r="A335" t="s">
        <v>23</v>
      </c>
      <c r="B335" t="s">
        <v>17</v>
      </c>
      <c r="C335" s="46">
        <v>2027</v>
      </c>
      <c r="D335" t="s">
        <v>3</v>
      </c>
      <c r="E335">
        <v>1550000</v>
      </c>
    </row>
    <row r="336" spans="1:5" x14ac:dyDescent="0.3">
      <c r="A336" t="s">
        <v>23</v>
      </c>
      <c r="B336" t="s">
        <v>17</v>
      </c>
      <c r="C336" s="46">
        <v>2027</v>
      </c>
      <c r="D336" t="s">
        <v>4</v>
      </c>
      <c r="E336">
        <v>100000</v>
      </c>
    </row>
    <row r="337" spans="1:5" x14ac:dyDescent="0.3">
      <c r="A337" t="s">
        <v>23</v>
      </c>
      <c r="B337" t="s">
        <v>17</v>
      </c>
      <c r="C337" s="46">
        <v>2027</v>
      </c>
      <c r="D337" t="s">
        <v>6</v>
      </c>
      <c r="E337">
        <v>50000</v>
      </c>
    </row>
    <row r="338" spans="1:5" x14ac:dyDescent="0.3">
      <c r="A338" t="s">
        <v>23</v>
      </c>
      <c r="B338" t="s">
        <v>77</v>
      </c>
      <c r="C338" s="46">
        <v>2027</v>
      </c>
      <c r="D338" t="s">
        <v>460</v>
      </c>
      <c r="E338">
        <v>200000</v>
      </c>
    </row>
    <row r="339" spans="1:5" x14ac:dyDescent="0.3">
      <c r="A339" t="s">
        <v>23</v>
      </c>
      <c r="B339" t="s">
        <v>77</v>
      </c>
      <c r="C339" s="46">
        <v>2027</v>
      </c>
      <c r="D339" t="s">
        <v>2</v>
      </c>
      <c r="E339">
        <v>100000</v>
      </c>
    </row>
    <row r="340" spans="1:5" x14ac:dyDescent="0.3">
      <c r="A340" t="s">
        <v>23</v>
      </c>
      <c r="B340" t="s">
        <v>77</v>
      </c>
      <c r="C340" s="46">
        <v>2027</v>
      </c>
      <c r="D340" t="s">
        <v>3</v>
      </c>
      <c r="E340">
        <v>50000</v>
      </c>
    </row>
    <row r="341" spans="1:5" x14ac:dyDescent="0.3">
      <c r="A341" t="s">
        <v>23</v>
      </c>
      <c r="B341" t="s">
        <v>77</v>
      </c>
      <c r="C341" s="46">
        <v>2027</v>
      </c>
      <c r="D341" t="s">
        <v>4</v>
      </c>
      <c r="E341">
        <v>100000</v>
      </c>
    </row>
    <row r="342" spans="1:5" x14ac:dyDescent="0.3">
      <c r="A342" t="s">
        <v>23</v>
      </c>
      <c r="B342" t="s">
        <v>77</v>
      </c>
      <c r="C342" s="46">
        <v>2027</v>
      </c>
      <c r="D342" t="s">
        <v>5</v>
      </c>
      <c r="E342">
        <v>30000</v>
      </c>
    </row>
    <row r="343" spans="1:5" x14ac:dyDescent="0.3">
      <c r="A343" t="s">
        <v>23</v>
      </c>
      <c r="B343" t="s">
        <v>77</v>
      </c>
      <c r="C343" s="46">
        <v>2027</v>
      </c>
      <c r="D343" t="s">
        <v>6</v>
      </c>
      <c r="E343">
        <v>100000</v>
      </c>
    </row>
    <row r="344" spans="1:5" x14ac:dyDescent="0.3">
      <c r="A344" t="s">
        <v>23</v>
      </c>
      <c r="B344" t="s">
        <v>17</v>
      </c>
      <c r="C344" s="46">
        <v>2028</v>
      </c>
      <c r="D344" t="s">
        <v>460</v>
      </c>
      <c r="E344">
        <v>50000</v>
      </c>
    </row>
    <row r="345" spans="1:5" x14ac:dyDescent="0.3">
      <c r="A345" t="s">
        <v>23</v>
      </c>
      <c r="B345" t="s">
        <v>17</v>
      </c>
      <c r="C345" s="46">
        <v>2028</v>
      </c>
      <c r="D345" t="s">
        <v>2</v>
      </c>
      <c r="E345">
        <v>575000</v>
      </c>
    </row>
    <row r="346" spans="1:5" x14ac:dyDescent="0.3">
      <c r="A346" t="s">
        <v>23</v>
      </c>
      <c r="B346" t="s">
        <v>17</v>
      </c>
      <c r="C346" s="46">
        <v>2028</v>
      </c>
      <c r="D346" t="s">
        <v>3</v>
      </c>
      <c r="E346">
        <v>1550000</v>
      </c>
    </row>
    <row r="347" spans="1:5" x14ac:dyDescent="0.3">
      <c r="A347" t="s">
        <v>23</v>
      </c>
      <c r="B347" t="s">
        <v>17</v>
      </c>
      <c r="C347" s="46">
        <v>2028</v>
      </c>
      <c r="D347" t="s">
        <v>4</v>
      </c>
      <c r="E347">
        <v>100000</v>
      </c>
    </row>
    <row r="348" spans="1:5" x14ac:dyDescent="0.3">
      <c r="A348" t="s">
        <v>23</v>
      </c>
      <c r="B348" t="s">
        <v>17</v>
      </c>
      <c r="C348" s="46">
        <v>2028</v>
      </c>
      <c r="D348" t="s">
        <v>6</v>
      </c>
      <c r="E348">
        <v>50000</v>
      </c>
    </row>
    <row r="349" spans="1:5" x14ac:dyDescent="0.3">
      <c r="A349" t="s">
        <v>23</v>
      </c>
      <c r="B349" t="s">
        <v>77</v>
      </c>
      <c r="C349" s="46">
        <v>2028</v>
      </c>
      <c r="D349" t="s">
        <v>460</v>
      </c>
      <c r="E349">
        <v>100000</v>
      </c>
    </row>
    <row r="350" spans="1:5" x14ac:dyDescent="0.3">
      <c r="A350" t="s">
        <v>23</v>
      </c>
      <c r="B350" t="s">
        <v>77</v>
      </c>
      <c r="C350" s="46">
        <v>2028</v>
      </c>
      <c r="D350" t="s">
        <v>2</v>
      </c>
      <c r="E350">
        <v>100000</v>
      </c>
    </row>
    <row r="351" spans="1:5" x14ac:dyDescent="0.3">
      <c r="A351" t="s">
        <v>23</v>
      </c>
      <c r="B351" t="s">
        <v>77</v>
      </c>
      <c r="C351" s="46">
        <v>2028</v>
      </c>
      <c r="D351" t="s">
        <v>3</v>
      </c>
      <c r="E351">
        <v>50000</v>
      </c>
    </row>
    <row r="352" spans="1:5" x14ac:dyDescent="0.3">
      <c r="A352" t="s">
        <v>23</v>
      </c>
      <c r="B352" t="s">
        <v>77</v>
      </c>
      <c r="C352" s="46">
        <v>2028</v>
      </c>
      <c r="D352" t="s">
        <v>4</v>
      </c>
      <c r="E352">
        <v>100000</v>
      </c>
    </row>
    <row r="353" spans="1:5" x14ac:dyDescent="0.3">
      <c r="A353" t="s">
        <v>23</v>
      </c>
      <c r="B353" t="s">
        <v>77</v>
      </c>
      <c r="C353" s="46">
        <v>2028</v>
      </c>
      <c r="D353" t="s">
        <v>5</v>
      </c>
      <c r="E353">
        <v>30000</v>
      </c>
    </row>
    <row r="354" spans="1:5" x14ac:dyDescent="0.3">
      <c r="A354" t="s">
        <v>23</v>
      </c>
      <c r="B354" t="s">
        <v>77</v>
      </c>
      <c r="C354" s="46">
        <v>2028</v>
      </c>
      <c r="D354" t="s">
        <v>6</v>
      </c>
      <c r="E354">
        <v>100000</v>
      </c>
    </row>
    <row r="355" spans="1:5" x14ac:dyDescent="0.3">
      <c r="A355" t="s">
        <v>10</v>
      </c>
      <c r="B355" t="s">
        <v>16</v>
      </c>
      <c r="C355" s="46">
        <v>2026</v>
      </c>
      <c r="D355" t="s">
        <v>4</v>
      </c>
      <c r="E355">
        <v>450000</v>
      </c>
    </row>
    <row r="356" spans="1:5" x14ac:dyDescent="0.3">
      <c r="A356" t="s">
        <v>10</v>
      </c>
      <c r="B356" t="s">
        <v>17</v>
      </c>
      <c r="C356" s="46">
        <v>2026</v>
      </c>
      <c r="D356" t="s">
        <v>460</v>
      </c>
      <c r="E356">
        <v>47500</v>
      </c>
    </row>
    <row r="357" spans="1:5" x14ac:dyDescent="0.3">
      <c r="A357" t="s">
        <v>10</v>
      </c>
      <c r="B357" t="s">
        <v>17</v>
      </c>
      <c r="C357" s="46">
        <v>2026</v>
      </c>
      <c r="D357" t="s">
        <v>2</v>
      </c>
      <c r="E357">
        <v>635291</v>
      </c>
    </row>
    <row r="358" spans="1:5" x14ac:dyDescent="0.3">
      <c r="A358" t="s">
        <v>10</v>
      </c>
      <c r="B358" t="s">
        <v>17</v>
      </c>
      <c r="C358" s="46">
        <v>2026</v>
      </c>
      <c r="D358" t="s">
        <v>4</v>
      </c>
      <c r="E358">
        <v>150000</v>
      </c>
    </row>
    <row r="359" spans="1:5" x14ac:dyDescent="0.3">
      <c r="A359" t="s">
        <v>10</v>
      </c>
      <c r="B359" t="s">
        <v>24</v>
      </c>
      <c r="C359" s="46">
        <v>2026</v>
      </c>
      <c r="D359" t="s">
        <v>5</v>
      </c>
      <c r="E359">
        <v>30000</v>
      </c>
    </row>
    <row r="360" spans="1:5" x14ac:dyDescent="0.3">
      <c r="A360" t="s">
        <v>10</v>
      </c>
      <c r="B360" t="s">
        <v>75</v>
      </c>
      <c r="C360" s="46">
        <v>2026</v>
      </c>
      <c r="D360" t="s">
        <v>460</v>
      </c>
      <c r="E360">
        <v>250000</v>
      </c>
    </row>
    <row r="361" spans="1:5" x14ac:dyDescent="0.3">
      <c r="A361" t="s">
        <v>10</v>
      </c>
      <c r="B361" t="s">
        <v>75</v>
      </c>
      <c r="C361" s="46">
        <v>2026</v>
      </c>
      <c r="D361" t="s">
        <v>4</v>
      </c>
      <c r="E361">
        <v>300000</v>
      </c>
    </row>
    <row r="362" spans="1:5" x14ac:dyDescent="0.3">
      <c r="A362" t="s">
        <v>10</v>
      </c>
      <c r="B362" t="s">
        <v>60</v>
      </c>
      <c r="C362" s="46">
        <v>2026</v>
      </c>
      <c r="D362" t="s">
        <v>5</v>
      </c>
      <c r="E362">
        <v>43314</v>
      </c>
    </row>
    <row r="363" spans="1:5" x14ac:dyDescent="0.3">
      <c r="A363" t="s">
        <v>10</v>
      </c>
      <c r="B363" t="s">
        <v>48</v>
      </c>
      <c r="C363" s="46">
        <v>2026</v>
      </c>
      <c r="D363" t="s">
        <v>5</v>
      </c>
      <c r="E363">
        <v>93000</v>
      </c>
    </row>
    <row r="364" spans="1:5" x14ac:dyDescent="0.3">
      <c r="A364" t="s">
        <v>10</v>
      </c>
      <c r="B364" t="s">
        <v>59</v>
      </c>
      <c r="C364" s="46">
        <v>2026</v>
      </c>
      <c r="D364" t="s">
        <v>4</v>
      </c>
      <c r="E364">
        <v>35000</v>
      </c>
    </row>
    <row r="365" spans="1:5" x14ac:dyDescent="0.3">
      <c r="A365" t="s">
        <v>10</v>
      </c>
      <c r="B365" t="s">
        <v>54</v>
      </c>
      <c r="C365" s="46">
        <v>2026</v>
      </c>
      <c r="D365" t="s">
        <v>460</v>
      </c>
      <c r="E365">
        <v>219627</v>
      </c>
    </row>
    <row r="366" spans="1:5" x14ac:dyDescent="0.3">
      <c r="A366" t="s">
        <v>10</v>
      </c>
      <c r="B366" t="s">
        <v>54</v>
      </c>
      <c r="C366" s="46">
        <v>2026</v>
      </c>
      <c r="D366" t="s">
        <v>3</v>
      </c>
      <c r="E366">
        <v>1010338</v>
      </c>
    </row>
    <row r="367" spans="1:5" x14ac:dyDescent="0.3">
      <c r="A367" t="s">
        <v>10</v>
      </c>
      <c r="B367" t="s">
        <v>54</v>
      </c>
      <c r="C367" s="46">
        <v>2026</v>
      </c>
      <c r="D367" t="s">
        <v>4</v>
      </c>
      <c r="E367">
        <v>732100</v>
      </c>
    </row>
    <row r="368" spans="1:5" x14ac:dyDescent="0.3">
      <c r="A368" t="s">
        <v>10</v>
      </c>
      <c r="B368" t="s">
        <v>54</v>
      </c>
      <c r="C368" s="46">
        <v>2026</v>
      </c>
      <c r="D368" t="s">
        <v>5</v>
      </c>
      <c r="E368">
        <v>736843</v>
      </c>
    </row>
    <row r="369" spans="1:5" x14ac:dyDescent="0.3">
      <c r="A369" t="s">
        <v>10</v>
      </c>
      <c r="B369" t="s">
        <v>54</v>
      </c>
      <c r="C369" s="46">
        <v>2026</v>
      </c>
      <c r="D369" t="s">
        <v>6</v>
      </c>
      <c r="E369">
        <v>468558</v>
      </c>
    </row>
    <row r="370" spans="1:5" x14ac:dyDescent="0.3">
      <c r="A370" t="s">
        <v>10</v>
      </c>
      <c r="B370" t="s">
        <v>374</v>
      </c>
      <c r="C370" s="46">
        <v>2026</v>
      </c>
      <c r="D370" t="s">
        <v>460</v>
      </c>
      <c r="E370">
        <v>30310</v>
      </c>
    </row>
    <row r="371" spans="1:5" x14ac:dyDescent="0.3">
      <c r="A371" t="s">
        <v>10</v>
      </c>
      <c r="B371" t="s">
        <v>16</v>
      </c>
      <c r="C371" s="46">
        <v>2027</v>
      </c>
      <c r="D371" t="s">
        <v>4</v>
      </c>
      <c r="E371">
        <v>150000</v>
      </c>
    </row>
    <row r="372" spans="1:5" x14ac:dyDescent="0.3">
      <c r="A372" t="s">
        <v>10</v>
      </c>
      <c r="B372" t="s">
        <v>17</v>
      </c>
      <c r="C372" s="46">
        <v>2027</v>
      </c>
      <c r="D372" t="s">
        <v>2</v>
      </c>
      <c r="E372">
        <v>635291</v>
      </c>
    </row>
    <row r="373" spans="1:5" x14ac:dyDescent="0.3">
      <c r="A373" t="s">
        <v>10</v>
      </c>
      <c r="B373" t="s">
        <v>17</v>
      </c>
      <c r="C373" s="46">
        <v>2027</v>
      </c>
      <c r="D373" t="s">
        <v>3</v>
      </c>
      <c r="E373">
        <v>150000</v>
      </c>
    </row>
    <row r="374" spans="1:5" x14ac:dyDescent="0.3">
      <c r="A374" t="s">
        <v>10</v>
      </c>
      <c r="B374" t="s">
        <v>75</v>
      </c>
      <c r="C374" s="46">
        <v>2027</v>
      </c>
      <c r="D374" t="s">
        <v>460</v>
      </c>
      <c r="E374">
        <v>250000</v>
      </c>
    </row>
    <row r="375" spans="1:5" x14ac:dyDescent="0.3">
      <c r="A375" t="s">
        <v>10</v>
      </c>
      <c r="B375" t="s">
        <v>75</v>
      </c>
      <c r="C375" s="46">
        <v>2027</v>
      </c>
      <c r="D375" t="s">
        <v>4</v>
      </c>
      <c r="E375">
        <v>300000</v>
      </c>
    </row>
    <row r="376" spans="1:5" x14ac:dyDescent="0.3">
      <c r="A376" t="s">
        <v>10</v>
      </c>
      <c r="B376" t="s">
        <v>374</v>
      </c>
      <c r="C376" s="46">
        <v>2027</v>
      </c>
      <c r="D376" t="s">
        <v>460</v>
      </c>
      <c r="E376">
        <v>30310</v>
      </c>
    </row>
    <row r="377" spans="1:5" x14ac:dyDescent="0.3">
      <c r="A377" t="s">
        <v>10</v>
      </c>
      <c r="B377" t="s">
        <v>17</v>
      </c>
      <c r="C377" s="46">
        <v>2028</v>
      </c>
      <c r="D377" t="s">
        <v>2</v>
      </c>
      <c r="E377">
        <v>635291</v>
      </c>
    </row>
    <row r="378" spans="1:5" x14ac:dyDescent="0.3">
      <c r="A378" t="s">
        <v>10</v>
      </c>
      <c r="B378" t="s">
        <v>75</v>
      </c>
      <c r="C378" s="46">
        <v>2028</v>
      </c>
      <c r="D378" t="s">
        <v>4</v>
      </c>
      <c r="E378">
        <v>300000</v>
      </c>
    </row>
    <row r="379" spans="1:5" x14ac:dyDescent="0.3">
      <c r="A379" t="s">
        <v>10</v>
      </c>
      <c r="B379" t="s">
        <v>374</v>
      </c>
      <c r="C379" s="46">
        <v>2028</v>
      </c>
      <c r="D379" t="s">
        <v>460</v>
      </c>
      <c r="E379">
        <v>30310</v>
      </c>
    </row>
    <row r="380" spans="1:5" x14ac:dyDescent="0.3">
      <c r="A380" t="s">
        <v>28</v>
      </c>
      <c r="B380" t="s">
        <v>24</v>
      </c>
      <c r="C380" s="46">
        <v>2026</v>
      </c>
      <c r="D380" t="s">
        <v>4</v>
      </c>
      <c r="E380">
        <v>325000</v>
      </c>
    </row>
    <row r="381" spans="1:5" x14ac:dyDescent="0.3">
      <c r="A381" t="s">
        <v>28</v>
      </c>
      <c r="B381" t="s">
        <v>24</v>
      </c>
      <c r="C381" s="46">
        <v>2026</v>
      </c>
      <c r="D381" t="s">
        <v>6</v>
      </c>
      <c r="E381">
        <v>75000</v>
      </c>
    </row>
    <row r="382" spans="1:5" x14ac:dyDescent="0.3">
      <c r="A382" t="s">
        <v>28</v>
      </c>
      <c r="B382" t="s">
        <v>54</v>
      </c>
      <c r="C382" s="46">
        <v>2026</v>
      </c>
      <c r="D382" t="s">
        <v>460</v>
      </c>
      <c r="E382">
        <v>330000</v>
      </c>
    </row>
    <row r="383" spans="1:5" x14ac:dyDescent="0.3">
      <c r="A383" t="s">
        <v>28</v>
      </c>
      <c r="B383" t="s">
        <v>54</v>
      </c>
      <c r="C383" s="46">
        <v>2026</v>
      </c>
      <c r="D383" t="s">
        <v>3</v>
      </c>
      <c r="E383">
        <v>100000</v>
      </c>
    </row>
    <row r="384" spans="1:5" x14ac:dyDescent="0.3">
      <c r="A384" t="s">
        <v>28</v>
      </c>
      <c r="B384" t="s">
        <v>54</v>
      </c>
      <c r="C384" s="46">
        <v>2026</v>
      </c>
      <c r="D384" t="s">
        <v>4</v>
      </c>
      <c r="E384">
        <v>571000</v>
      </c>
    </row>
    <row r="385" spans="1:5" x14ac:dyDescent="0.3">
      <c r="A385" t="s">
        <v>28</v>
      </c>
      <c r="B385" t="s">
        <v>54</v>
      </c>
      <c r="C385" s="46">
        <v>2026</v>
      </c>
      <c r="D385" t="s">
        <v>6</v>
      </c>
      <c r="E385">
        <v>50000</v>
      </c>
    </row>
    <row r="386" spans="1:5" x14ac:dyDescent="0.3">
      <c r="A386" t="s">
        <v>28</v>
      </c>
      <c r="B386" t="s">
        <v>54</v>
      </c>
      <c r="C386" s="46">
        <v>2027</v>
      </c>
      <c r="D386" t="s">
        <v>460</v>
      </c>
      <c r="E386">
        <v>204000</v>
      </c>
    </row>
    <row r="387" spans="1:5" x14ac:dyDescent="0.3">
      <c r="A387" t="s">
        <v>28</v>
      </c>
      <c r="B387" t="s">
        <v>54</v>
      </c>
      <c r="C387" s="46">
        <v>2027</v>
      </c>
      <c r="D387" t="s">
        <v>3</v>
      </c>
      <c r="E387">
        <v>63000</v>
      </c>
    </row>
    <row r="388" spans="1:5" x14ac:dyDescent="0.3">
      <c r="A388" t="s">
        <v>28</v>
      </c>
      <c r="B388" t="s">
        <v>54</v>
      </c>
      <c r="C388" s="46">
        <v>2027</v>
      </c>
      <c r="D388" t="s">
        <v>4</v>
      </c>
      <c r="E388">
        <v>300000</v>
      </c>
    </row>
    <row r="389" spans="1:5" x14ac:dyDescent="0.3">
      <c r="A389" t="s">
        <v>28</v>
      </c>
      <c r="B389" t="s">
        <v>54</v>
      </c>
      <c r="C389" s="46">
        <v>2027</v>
      </c>
      <c r="D389" t="s">
        <v>6</v>
      </c>
      <c r="E389">
        <v>30000</v>
      </c>
    </row>
    <row r="390" spans="1:5" x14ac:dyDescent="0.3">
      <c r="A390" t="s">
        <v>97</v>
      </c>
      <c r="B390" t="s">
        <v>24</v>
      </c>
      <c r="C390" s="46">
        <v>2026</v>
      </c>
      <c r="D390" t="s">
        <v>5</v>
      </c>
      <c r="E390">
        <v>50000</v>
      </c>
    </row>
    <row r="391" spans="1:5" x14ac:dyDescent="0.3">
      <c r="A391" t="s">
        <v>97</v>
      </c>
      <c r="B391" t="s">
        <v>67</v>
      </c>
      <c r="C391" s="46">
        <v>2026</v>
      </c>
      <c r="D391" t="s">
        <v>4</v>
      </c>
      <c r="E391">
        <v>88580</v>
      </c>
    </row>
    <row r="392" spans="1:5" x14ac:dyDescent="0.3">
      <c r="A392" t="s">
        <v>97</v>
      </c>
      <c r="B392" t="s">
        <v>24</v>
      </c>
      <c r="C392" s="46">
        <v>2027</v>
      </c>
      <c r="D392" t="s">
        <v>5</v>
      </c>
      <c r="E392">
        <v>50000</v>
      </c>
    </row>
    <row r="393" spans="1:5" x14ac:dyDescent="0.3">
      <c r="A393" t="s">
        <v>34</v>
      </c>
      <c r="B393" t="s">
        <v>17</v>
      </c>
      <c r="C393" s="46">
        <v>2026</v>
      </c>
      <c r="D393" t="s">
        <v>3</v>
      </c>
      <c r="E393">
        <v>75650</v>
      </c>
    </row>
    <row r="394" spans="1:5" x14ac:dyDescent="0.3">
      <c r="A394" t="s">
        <v>34</v>
      </c>
      <c r="B394" t="s">
        <v>17</v>
      </c>
      <c r="C394" s="46">
        <v>2026</v>
      </c>
      <c r="D394" t="s">
        <v>4</v>
      </c>
      <c r="E394">
        <v>286580</v>
      </c>
    </row>
    <row r="395" spans="1:5" x14ac:dyDescent="0.3">
      <c r="A395" t="s">
        <v>34</v>
      </c>
      <c r="B395" t="s">
        <v>17</v>
      </c>
      <c r="C395" s="46">
        <v>2026</v>
      </c>
      <c r="D395" t="s">
        <v>5</v>
      </c>
      <c r="E395">
        <v>57850</v>
      </c>
    </row>
    <row r="396" spans="1:5" x14ac:dyDescent="0.3">
      <c r="A396" t="s">
        <v>34</v>
      </c>
      <c r="B396" t="s">
        <v>17</v>
      </c>
      <c r="C396" s="46">
        <v>2026</v>
      </c>
      <c r="D396" t="s">
        <v>6</v>
      </c>
      <c r="E396">
        <v>115700</v>
      </c>
    </row>
    <row r="397" spans="1:5" x14ac:dyDescent="0.3">
      <c r="A397" t="s">
        <v>34</v>
      </c>
      <c r="B397" t="s">
        <v>24</v>
      </c>
      <c r="C397" s="46">
        <v>2026</v>
      </c>
      <c r="D397" t="s">
        <v>3</v>
      </c>
      <c r="E397">
        <v>25000</v>
      </c>
    </row>
    <row r="398" spans="1:5" x14ac:dyDescent="0.3">
      <c r="A398" t="s">
        <v>34</v>
      </c>
      <c r="B398" t="s">
        <v>24</v>
      </c>
      <c r="C398" s="46">
        <v>2026</v>
      </c>
      <c r="D398" t="s">
        <v>5</v>
      </c>
      <c r="E398">
        <v>25000</v>
      </c>
    </row>
  </sheetData>
  <phoneticPr fontId="3" type="noConversion"/>
  <pageMargins left="0.7" right="0.7" top="0.75" bottom="0.75" header="0.3" footer="0.3"/>
  <pageSetup paperSize="9"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40FEA-A399-417D-952F-CEDE07CEE7F6}">
  <sheetPr codeName="Sheet3"/>
  <dimension ref="A1:I366"/>
  <sheetViews>
    <sheetView workbookViewId="0">
      <selection activeCell="B24" sqref="B24"/>
    </sheetView>
  </sheetViews>
  <sheetFormatPr defaultRowHeight="14.4" x14ac:dyDescent="0.3"/>
  <cols>
    <col min="1" max="1" width="11.21875" bestFit="1" customWidth="1"/>
    <col min="2" max="2" width="32.88671875" bestFit="1" customWidth="1"/>
    <col min="3" max="3" width="27.109375" customWidth="1"/>
    <col min="4" max="8" width="8.5546875" bestFit="1" customWidth="1"/>
    <col min="9" max="9" width="7.33203125" bestFit="1" customWidth="1"/>
    <col min="10" max="10" width="16.88671875" bestFit="1" customWidth="1"/>
    <col min="11" max="11" width="25.6640625" bestFit="1" customWidth="1"/>
    <col min="12" max="12" width="7.109375" bestFit="1" customWidth="1"/>
    <col min="13" max="13" width="8.21875" bestFit="1" customWidth="1"/>
    <col min="14" max="14" width="16.5546875" bestFit="1" customWidth="1"/>
    <col min="15" max="15" width="12.6640625" bestFit="1" customWidth="1"/>
    <col min="16" max="16" width="9" bestFit="1" customWidth="1"/>
    <col min="17" max="17" width="7.109375" bestFit="1" customWidth="1"/>
  </cols>
  <sheetData>
    <row r="1" spans="1:9" x14ac:dyDescent="0.3">
      <c r="A1" s="8" t="s">
        <v>425</v>
      </c>
      <c r="B1" s="8" t="s">
        <v>0</v>
      </c>
      <c r="C1" s="8" t="s">
        <v>63</v>
      </c>
      <c r="D1" s="8" t="s">
        <v>2</v>
      </c>
      <c r="E1" s="8" t="s">
        <v>3</v>
      </c>
      <c r="F1" s="8" t="s">
        <v>4</v>
      </c>
      <c r="G1" s="8" t="s">
        <v>5</v>
      </c>
      <c r="H1" s="8" t="s">
        <v>6</v>
      </c>
      <c r="I1" s="8" t="s">
        <v>66</v>
      </c>
    </row>
    <row r="2" spans="1:9" x14ac:dyDescent="0.3">
      <c r="A2" t="s">
        <v>109</v>
      </c>
      <c r="B2" t="s">
        <v>88</v>
      </c>
      <c r="C2" t="s">
        <v>434</v>
      </c>
      <c r="D2">
        <v>1</v>
      </c>
      <c r="E2">
        <v>1</v>
      </c>
      <c r="F2">
        <v>1</v>
      </c>
      <c r="G2">
        <v>1</v>
      </c>
      <c r="H2">
        <v>1</v>
      </c>
      <c r="I2">
        <v>1</v>
      </c>
    </row>
    <row r="3" spans="1:9" x14ac:dyDescent="0.3">
      <c r="A3" t="s">
        <v>109</v>
      </c>
      <c r="B3" t="s">
        <v>88</v>
      </c>
      <c r="C3" t="s">
        <v>15</v>
      </c>
      <c r="I3">
        <v>1</v>
      </c>
    </row>
    <row r="4" spans="1:9" x14ac:dyDescent="0.3">
      <c r="A4" t="s">
        <v>109</v>
      </c>
      <c r="B4" t="s">
        <v>74</v>
      </c>
      <c r="C4" t="s">
        <v>73</v>
      </c>
      <c r="E4">
        <v>1</v>
      </c>
      <c r="F4">
        <v>1</v>
      </c>
    </row>
    <row r="5" spans="1:9" x14ac:dyDescent="0.3">
      <c r="A5" t="s">
        <v>109</v>
      </c>
      <c r="B5" t="s">
        <v>74</v>
      </c>
      <c r="C5" t="s">
        <v>434</v>
      </c>
      <c r="D5">
        <v>1</v>
      </c>
      <c r="E5">
        <v>1</v>
      </c>
      <c r="F5">
        <v>1</v>
      </c>
      <c r="G5">
        <v>1</v>
      </c>
      <c r="H5">
        <v>1</v>
      </c>
      <c r="I5">
        <v>1</v>
      </c>
    </row>
    <row r="6" spans="1:9" x14ac:dyDescent="0.3">
      <c r="A6" t="s">
        <v>109</v>
      </c>
      <c r="B6" t="s">
        <v>74</v>
      </c>
      <c r="C6" t="s">
        <v>93</v>
      </c>
      <c r="F6">
        <v>1</v>
      </c>
    </row>
    <row r="7" spans="1:9" x14ac:dyDescent="0.3">
      <c r="A7" t="s">
        <v>109</v>
      </c>
      <c r="B7" t="s">
        <v>74</v>
      </c>
      <c r="C7" t="s">
        <v>10</v>
      </c>
      <c r="F7">
        <v>1</v>
      </c>
      <c r="I7">
        <v>1</v>
      </c>
    </row>
    <row r="8" spans="1:9" x14ac:dyDescent="0.3">
      <c r="A8" t="s">
        <v>109</v>
      </c>
      <c r="B8" t="s">
        <v>140</v>
      </c>
      <c r="C8" t="s">
        <v>434</v>
      </c>
      <c r="D8">
        <v>1</v>
      </c>
      <c r="E8">
        <v>1</v>
      </c>
      <c r="F8">
        <v>1</v>
      </c>
      <c r="G8">
        <v>1</v>
      </c>
      <c r="H8">
        <v>1</v>
      </c>
      <c r="I8">
        <v>1</v>
      </c>
    </row>
    <row r="9" spans="1:9" x14ac:dyDescent="0.3">
      <c r="A9" t="s">
        <v>109</v>
      </c>
      <c r="B9" t="s">
        <v>140</v>
      </c>
      <c r="C9" t="s">
        <v>38</v>
      </c>
      <c r="F9">
        <v>1</v>
      </c>
    </row>
    <row r="10" spans="1:9" x14ac:dyDescent="0.3">
      <c r="A10" t="s">
        <v>109</v>
      </c>
      <c r="B10" t="s">
        <v>75</v>
      </c>
      <c r="C10" t="s">
        <v>73</v>
      </c>
      <c r="E10">
        <v>1</v>
      </c>
      <c r="F10">
        <v>1</v>
      </c>
      <c r="I10">
        <v>1</v>
      </c>
    </row>
    <row r="11" spans="1:9" x14ac:dyDescent="0.3">
      <c r="A11" t="s">
        <v>109</v>
      </c>
      <c r="B11" t="s">
        <v>75</v>
      </c>
      <c r="C11" t="s">
        <v>37</v>
      </c>
      <c r="F11">
        <v>1</v>
      </c>
    </row>
    <row r="12" spans="1:9" x14ac:dyDescent="0.3">
      <c r="A12" t="s">
        <v>109</v>
      </c>
      <c r="B12" t="s">
        <v>75</v>
      </c>
      <c r="C12" t="s">
        <v>434</v>
      </c>
      <c r="D12">
        <v>1</v>
      </c>
      <c r="E12">
        <v>1</v>
      </c>
      <c r="F12">
        <v>1</v>
      </c>
      <c r="H12">
        <v>1</v>
      </c>
      <c r="I12">
        <v>1</v>
      </c>
    </row>
    <row r="13" spans="1:9" x14ac:dyDescent="0.3">
      <c r="A13" t="s">
        <v>109</v>
      </c>
      <c r="B13" t="s">
        <v>75</v>
      </c>
      <c r="C13" t="s">
        <v>94</v>
      </c>
      <c r="D13">
        <v>1</v>
      </c>
      <c r="E13">
        <v>1</v>
      </c>
      <c r="F13">
        <v>1</v>
      </c>
    </row>
    <row r="14" spans="1:9" x14ac:dyDescent="0.3">
      <c r="A14" t="s">
        <v>109</v>
      </c>
      <c r="B14" t="s">
        <v>75</v>
      </c>
      <c r="C14" t="s">
        <v>26</v>
      </c>
      <c r="F14">
        <v>1</v>
      </c>
    </row>
    <row r="15" spans="1:9" x14ac:dyDescent="0.3">
      <c r="A15" t="s">
        <v>109</v>
      </c>
      <c r="B15" t="s">
        <v>75</v>
      </c>
      <c r="C15" t="s">
        <v>95</v>
      </c>
      <c r="E15">
        <v>1</v>
      </c>
      <c r="F15">
        <v>1</v>
      </c>
      <c r="H15">
        <v>1</v>
      </c>
      <c r="I15">
        <v>1</v>
      </c>
    </row>
    <row r="16" spans="1:9" x14ac:dyDescent="0.3">
      <c r="A16" t="s">
        <v>109</v>
      </c>
      <c r="B16" t="s">
        <v>75</v>
      </c>
      <c r="C16" t="s">
        <v>27</v>
      </c>
      <c r="D16">
        <v>1</v>
      </c>
      <c r="F16">
        <v>1</v>
      </c>
      <c r="H16">
        <v>1</v>
      </c>
      <c r="I16">
        <v>1</v>
      </c>
    </row>
    <row r="17" spans="1:9" x14ac:dyDescent="0.3">
      <c r="A17" t="s">
        <v>109</v>
      </c>
      <c r="B17" t="s">
        <v>76</v>
      </c>
      <c r="C17" t="s">
        <v>73</v>
      </c>
      <c r="D17">
        <v>1</v>
      </c>
      <c r="E17">
        <v>1</v>
      </c>
      <c r="F17">
        <v>1</v>
      </c>
      <c r="G17">
        <v>1</v>
      </c>
      <c r="H17">
        <v>1</v>
      </c>
      <c r="I17">
        <v>1</v>
      </c>
    </row>
    <row r="18" spans="1:9" x14ac:dyDescent="0.3">
      <c r="A18" t="s">
        <v>109</v>
      </c>
      <c r="B18" t="s">
        <v>76</v>
      </c>
      <c r="C18" t="s">
        <v>37</v>
      </c>
      <c r="D18">
        <v>1</v>
      </c>
      <c r="E18">
        <v>1</v>
      </c>
      <c r="F18">
        <v>1</v>
      </c>
      <c r="G18">
        <v>1</v>
      </c>
      <c r="H18">
        <v>1</v>
      </c>
      <c r="I18">
        <v>1</v>
      </c>
    </row>
    <row r="19" spans="1:9" x14ac:dyDescent="0.3">
      <c r="A19" t="s">
        <v>109</v>
      </c>
      <c r="B19" t="s">
        <v>76</v>
      </c>
      <c r="C19" t="s">
        <v>50</v>
      </c>
      <c r="F19">
        <v>1</v>
      </c>
      <c r="G19">
        <v>1</v>
      </c>
    </row>
    <row r="20" spans="1:9" x14ac:dyDescent="0.3">
      <c r="A20" t="s">
        <v>109</v>
      </c>
      <c r="B20" t="s">
        <v>76</v>
      </c>
      <c r="C20" t="s">
        <v>434</v>
      </c>
      <c r="D20">
        <v>1</v>
      </c>
      <c r="E20">
        <v>1</v>
      </c>
      <c r="F20">
        <v>1</v>
      </c>
      <c r="G20">
        <v>1</v>
      </c>
      <c r="H20">
        <v>1</v>
      </c>
      <c r="I20">
        <v>1</v>
      </c>
    </row>
    <row r="21" spans="1:9" x14ac:dyDescent="0.3">
      <c r="A21" t="s">
        <v>109</v>
      </c>
      <c r="B21" t="s">
        <v>76</v>
      </c>
      <c r="C21" t="s">
        <v>94</v>
      </c>
      <c r="D21">
        <v>1</v>
      </c>
      <c r="E21">
        <v>1</v>
      </c>
      <c r="F21">
        <v>1</v>
      </c>
      <c r="G21">
        <v>1</v>
      </c>
      <c r="H21">
        <v>1</v>
      </c>
      <c r="I21">
        <v>1</v>
      </c>
    </row>
    <row r="22" spans="1:9" x14ac:dyDescent="0.3">
      <c r="A22" t="s">
        <v>109</v>
      </c>
      <c r="B22" t="s">
        <v>76</v>
      </c>
      <c r="C22" t="s">
        <v>27</v>
      </c>
      <c r="E22">
        <v>1</v>
      </c>
      <c r="F22">
        <v>1</v>
      </c>
      <c r="H22">
        <v>1</v>
      </c>
      <c r="I22">
        <v>1</v>
      </c>
    </row>
    <row r="23" spans="1:9" x14ac:dyDescent="0.3">
      <c r="A23" t="s">
        <v>109</v>
      </c>
      <c r="B23" t="s">
        <v>149</v>
      </c>
      <c r="C23" t="s">
        <v>434</v>
      </c>
      <c r="D23">
        <v>1</v>
      </c>
      <c r="E23">
        <v>1</v>
      </c>
      <c r="F23">
        <v>1</v>
      </c>
      <c r="G23">
        <v>1</v>
      </c>
      <c r="H23">
        <v>1</v>
      </c>
      <c r="I23">
        <v>1</v>
      </c>
    </row>
    <row r="24" spans="1:9" x14ac:dyDescent="0.3">
      <c r="A24" t="s">
        <v>109</v>
      </c>
      <c r="B24" t="s">
        <v>29</v>
      </c>
      <c r="C24" t="s">
        <v>434</v>
      </c>
      <c r="D24">
        <v>1</v>
      </c>
      <c r="E24">
        <v>1</v>
      </c>
      <c r="F24">
        <v>1</v>
      </c>
      <c r="G24">
        <v>1</v>
      </c>
      <c r="H24">
        <v>1</v>
      </c>
      <c r="I24">
        <v>1</v>
      </c>
    </row>
    <row r="25" spans="1:9" x14ac:dyDescent="0.3">
      <c r="A25" t="s">
        <v>109</v>
      </c>
      <c r="B25" t="s">
        <v>84</v>
      </c>
      <c r="C25" t="s">
        <v>50</v>
      </c>
      <c r="F25">
        <v>1</v>
      </c>
      <c r="I25">
        <v>1</v>
      </c>
    </row>
    <row r="26" spans="1:9" x14ac:dyDescent="0.3">
      <c r="A26" t="s">
        <v>109</v>
      </c>
      <c r="B26" t="s">
        <v>84</v>
      </c>
      <c r="C26" t="s">
        <v>434</v>
      </c>
      <c r="D26">
        <v>1</v>
      </c>
      <c r="E26">
        <v>1</v>
      </c>
      <c r="F26">
        <v>1</v>
      </c>
      <c r="G26">
        <v>1</v>
      </c>
      <c r="H26">
        <v>1</v>
      </c>
      <c r="I26">
        <v>1</v>
      </c>
    </row>
    <row r="27" spans="1:9" x14ac:dyDescent="0.3">
      <c r="A27" t="s">
        <v>109</v>
      </c>
      <c r="B27" t="s">
        <v>77</v>
      </c>
      <c r="C27" t="s">
        <v>73</v>
      </c>
      <c r="E27">
        <v>1</v>
      </c>
      <c r="F27">
        <v>1</v>
      </c>
      <c r="H27">
        <v>1</v>
      </c>
      <c r="I27">
        <v>1</v>
      </c>
    </row>
    <row r="28" spans="1:9" x14ac:dyDescent="0.3">
      <c r="A28" t="s">
        <v>109</v>
      </c>
      <c r="B28" t="s">
        <v>77</v>
      </c>
      <c r="C28" t="s">
        <v>50</v>
      </c>
      <c r="E28">
        <v>1</v>
      </c>
      <c r="F28">
        <v>1</v>
      </c>
      <c r="H28">
        <v>1</v>
      </c>
      <c r="I28">
        <v>1</v>
      </c>
    </row>
    <row r="29" spans="1:9" x14ac:dyDescent="0.3">
      <c r="A29" t="s">
        <v>109</v>
      </c>
      <c r="B29" t="s">
        <v>77</v>
      </c>
      <c r="C29" t="s">
        <v>434</v>
      </c>
      <c r="D29">
        <v>1</v>
      </c>
      <c r="E29">
        <v>1</v>
      </c>
      <c r="F29">
        <v>1</v>
      </c>
      <c r="G29">
        <v>1</v>
      </c>
      <c r="H29">
        <v>1</v>
      </c>
      <c r="I29">
        <v>1</v>
      </c>
    </row>
    <row r="30" spans="1:9" x14ac:dyDescent="0.3">
      <c r="A30" t="s">
        <v>109</v>
      </c>
      <c r="B30" t="s">
        <v>77</v>
      </c>
      <c r="C30" t="s">
        <v>94</v>
      </c>
      <c r="E30">
        <v>1</v>
      </c>
      <c r="I30">
        <v>1</v>
      </c>
    </row>
    <row r="31" spans="1:9" x14ac:dyDescent="0.3">
      <c r="A31" t="s">
        <v>109</v>
      </c>
      <c r="B31" t="s">
        <v>77</v>
      </c>
      <c r="C31" t="s">
        <v>27</v>
      </c>
      <c r="D31">
        <v>1</v>
      </c>
      <c r="E31">
        <v>1</v>
      </c>
      <c r="F31">
        <v>1</v>
      </c>
      <c r="H31">
        <v>1</v>
      </c>
      <c r="I31">
        <v>1</v>
      </c>
    </row>
    <row r="32" spans="1:9" x14ac:dyDescent="0.3">
      <c r="A32" t="s">
        <v>109</v>
      </c>
      <c r="B32" t="s">
        <v>77</v>
      </c>
      <c r="C32" t="s">
        <v>23</v>
      </c>
      <c r="D32">
        <v>1</v>
      </c>
      <c r="E32">
        <v>1</v>
      </c>
      <c r="F32">
        <v>1</v>
      </c>
      <c r="H32">
        <v>1</v>
      </c>
      <c r="I32">
        <v>1</v>
      </c>
    </row>
    <row r="33" spans="1:9" x14ac:dyDescent="0.3">
      <c r="A33" t="s">
        <v>109</v>
      </c>
      <c r="B33" t="s">
        <v>91</v>
      </c>
      <c r="C33" t="s">
        <v>434</v>
      </c>
      <c r="D33">
        <v>1</v>
      </c>
      <c r="F33">
        <v>1</v>
      </c>
      <c r="I33">
        <v>1</v>
      </c>
    </row>
    <row r="34" spans="1:9" x14ac:dyDescent="0.3">
      <c r="A34" t="s">
        <v>109</v>
      </c>
      <c r="B34" t="s">
        <v>91</v>
      </c>
      <c r="C34" t="s">
        <v>22</v>
      </c>
      <c r="G34">
        <v>1</v>
      </c>
    </row>
    <row r="35" spans="1:9" x14ac:dyDescent="0.3">
      <c r="A35" t="s">
        <v>109</v>
      </c>
      <c r="B35" t="s">
        <v>91</v>
      </c>
      <c r="C35" t="s">
        <v>95</v>
      </c>
      <c r="H35">
        <v>1</v>
      </c>
    </row>
    <row r="36" spans="1:9" x14ac:dyDescent="0.3">
      <c r="A36" t="s">
        <v>109</v>
      </c>
      <c r="B36" t="s">
        <v>91</v>
      </c>
      <c r="C36" t="s">
        <v>38</v>
      </c>
      <c r="E36">
        <v>1</v>
      </c>
    </row>
    <row r="37" spans="1:9" x14ac:dyDescent="0.3">
      <c r="A37" t="s">
        <v>109</v>
      </c>
      <c r="B37" t="s">
        <v>207</v>
      </c>
      <c r="C37" t="s">
        <v>434</v>
      </c>
      <c r="D37">
        <v>1</v>
      </c>
      <c r="E37">
        <v>1</v>
      </c>
      <c r="F37">
        <v>1</v>
      </c>
      <c r="G37">
        <v>1</v>
      </c>
      <c r="H37">
        <v>1</v>
      </c>
      <c r="I37">
        <v>1</v>
      </c>
    </row>
    <row r="38" spans="1:9" x14ac:dyDescent="0.3">
      <c r="A38" t="s">
        <v>109</v>
      </c>
      <c r="B38" t="s">
        <v>153</v>
      </c>
      <c r="C38" t="s">
        <v>434</v>
      </c>
      <c r="D38">
        <v>1</v>
      </c>
      <c r="E38">
        <v>1</v>
      </c>
      <c r="F38">
        <v>1</v>
      </c>
      <c r="H38">
        <v>1</v>
      </c>
      <c r="I38">
        <v>1</v>
      </c>
    </row>
    <row r="39" spans="1:9" x14ac:dyDescent="0.3">
      <c r="A39" t="s">
        <v>109</v>
      </c>
      <c r="B39" t="s">
        <v>79</v>
      </c>
      <c r="C39" t="s">
        <v>73</v>
      </c>
      <c r="F39">
        <v>1</v>
      </c>
    </row>
    <row r="40" spans="1:9" x14ac:dyDescent="0.3">
      <c r="A40" t="s">
        <v>109</v>
      </c>
      <c r="B40" t="s">
        <v>79</v>
      </c>
      <c r="C40" t="s">
        <v>19</v>
      </c>
      <c r="D40">
        <v>1</v>
      </c>
      <c r="E40">
        <v>1</v>
      </c>
      <c r="F40">
        <v>1</v>
      </c>
      <c r="H40">
        <v>1</v>
      </c>
      <c r="I40">
        <v>1</v>
      </c>
    </row>
    <row r="41" spans="1:9" x14ac:dyDescent="0.3">
      <c r="A41" t="s">
        <v>109</v>
      </c>
      <c r="B41" t="s">
        <v>79</v>
      </c>
      <c r="C41" t="s">
        <v>37</v>
      </c>
      <c r="D41">
        <v>1</v>
      </c>
      <c r="E41">
        <v>1</v>
      </c>
      <c r="F41">
        <v>1</v>
      </c>
      <c r="H41">
        <v>1</v>
      </c>
      <c r="I41">
        <v>1</v>
      </c>
    </row>
    <row r="42" spans="1:9" x14ac:dyDescent="0.3">
      <c r="A42" t="s">
        <v>109</v>
      </c>
      <c r="B42" t="s">
        <v>79</v>
      </c>
      <c r="C42" t="s">
        <v>434</v>
      </c>
      <c r="D42">
        <v>1</v>
      </c>
      <c r="E42">
        <v>1</v>
      </c>
      <c r="F42">
        <v>1</v>
      </c>
      <c r="G42">
        <v>1</v>
      </c>
      <c r="H42">
        <v>1</v>
      </c>
      <c r="I42">
        <v>1</v>
      </c>
    </row>
    <row r="43" spans="1:9" x14ac:dyDescent="0.3">
      <c r="A43" t="s">
        <v>109</v>
      </c>
      <c r="B43" t="s">
        <v>203</v>
      </c>
      <c r="C43" t="s">
        <v>434</v>
      </c>
      <c r="D43">
        <v>1</v>
      </c>
      <c r="E43">
        <v>1</v>
      </c>
      <c r="F43">
        <v>1</v>
      </c>
      <c r="H43">
        <v>1</v>
      </c>
      <c r="I43">
        <v>1</v>
      </c>
    </row>
    <row r="44" spans="1:9" x14ac:dyDescent="0.3">
      <c r="A44" t="s">
        <v>109</v>
      </c>
      <c r="B44" t="s">
        <v>209</v>
      </c>
      <c r="C44" t="s">
        <v>434</v>
      </c>
      <c r="D44">
        <v>1</v>
      </c>
      <c r="E44">
        <v>1</v>
      </c>
      <c r="F44">
        <v>1</v>
      </c>
      <c r="G44">
        <v>1</v>
      </c>
      <c r="H44">
        <v>1</v>
      </c>
      <c r="I44">
        <v>1</v>
      </c>
    </row>
    <row r="45" spans="1:9" x14ac:dyDescent="0.3">
      <c r="A45" t="s">
        <v>109</v>
      </c>
      <c r="B45" t="s">
        <v>209</v>
      </c>
      <c r="C45" t="s">
        <v>86</v>
      </c>
      <c r="I45">
        <v>1</v>
      </c>
    </row>
    <row r="46" spans="1:9" x14ac:dyDescent="0.3">
      <c r="A46" t="s">
        <v>109</v>
      </c>
      <c r="B46" t="s">
        <v>209</v>
      </c>
      <c r="C46" t="s">
        <v>445</v>
      </c>
      <c r="F46">
        <v>1</v>
      </c>
    </row>
    <row r="47" spans="1:9" x14ac:dyDescent="0.3">
      <c r="A47" t="s">
        <v>109</v>
      </c>
      <c r="B47" t="s">
        <v>209</v>
      </c>
      <c r="C47" t="s">
        <v>38</v>
      </c>
      <c r="F47">
        <v>1</v>
      </c>
      <c r="I47">
        <v>1</v>
      </c>
    </row>
    <row r="48" spans="1:9" x14ac:dyDescent="0.3">
      <c r="A48" t="s">
        <v>109</v>
      </c>
      <c r="B48" t="s">
        <v>248</v>
      </c>
      <c r="C48" t="s">
        <v>434</v>
      </c>
      <c r="D48">
        <v>1</v>
      </c>
      <c r="E48">
        <v>1</v>
      </c>
      <c r="F48">
        <v>1</v>
      </c>
      <c r="G48">
        <v>1</v>
      </c>
      <c r="H48">
        <v>1</v>
      </c>
      <c r="I48">
        <v>1</v>
      </c>
    </row>
    <row r="49" spans="1:9" x14ac:dyDescent="0.3">
      <c r="A49" t="s">
        <v>109</v>
      </c>
      <c r="B49" t="s">
        <v>89</v>
      </c>
      <c r="C49" t="s">
        <v>434</v>
      </c>
      <c r="D49">
        <v>1</v>
      </c>
      <c r="E49">
        <v>1</v>
      </c>
      <c r="F49">
        <v>1</v>
      </c>
      <c r="G49">
        <v>1</v>
      </c>
      <c r="H49">
        <v>1</v>
      </c>
      <c r="I49">
        <v>1</v>
      </c>
    </row>
    <row r="50" spans="1:9" x14ac:dyDescent="0.3">
      <c r="A50" t="s">
        <v>109</v>
      </c>
      <c r="B50" t="s">
        <v>89</v>
      </c>
      <c r="C50" t="s">
        <v>15</v>
      </c>
      <c r="D50">
        <v>1</v>
      </c>
    </row>
    <row r="51" spans="1:9" x14ac:dyDescent="0.3">
      <c r="A51" t="s">
        <v>109</v>
      </c>
      <c r="B51" t="s">
        <v>221</v>
      </c>
      <c r="C51" t="s">
        <v>18</v>
      </c>
      <c r="F51">
        <v>1</v>
      </c>
    </row>
    <row r="52" spans="1:9" x14ac:dyDescent="0.3">
      <c r="A52" t="s">
        <v>109</v>
      </c>
      <c r="B52" t="s">
        <v>221</v>
      </c>
      <c r="C52" t="s">
        <v>19</v>
      </c>
      <c r="D52">
        <v>1</v>
      </c>
      <c r="E52">
        <v>1</v>
      </c>
      <c r="F52">
        <v>1</v>
      </c>
      <c r="I52">
        <v>1</v>
      </c>
    </row>
    <row r="53" spans="1:9" x14ac:dyDescent="0.3">
      <c r="A53" t="s">
        <v>109</v>
      </c>
      <c r="B53" t="s">
        <v>221</v>
      </c>
      <c r="C53" t="s">
        <v>20</v>
      </c>
      <c r="D53">
        <v>1</v>
      </c>
      <c r="E53">
        <v>1</v>
      </c>
      <c r="F53">
        <v>1</v>
      </c>
      <c r="G53">
        <v>1</v>
      </c>
      <c r="H53">
        <v>1</v>
      </c>
      <c r="I53">
        <v>1</v>
      </c>
    </row>
    <row r="54" spans="1:9" x14ac:dyDescent="0.3">
      <c r="A54" t="s">
        <v>109</v>
      </c>
      <c r="B54" t="s">
        <v>221</v>
      </c>
      <c r="C54" t="s">
        <v>37</v>
      </c>
      <c r="E54">
        <v>1</v>
      </c>
      <c r="F54">
        <v>1</v>
      </c>
      <c r="H54">
        <v>1</v>
      </c>
    </row>
    <row r="55" spans="1:9" x14ac:dyDescent="0.3">
      <c r="A55" t="s">
        <v>109</v>
      </c>
      <c r="B55" t="s">
        <v>221</v>
      </c>
      <c r="C55" t="s">
        <v>434</v>
      </c>
      <c r="D55">
        <v>1</v>
      </c>
      <c r="E55">
        <v>1</v>
      </c>
      <c r="F55">
        <v>1</v>
      </c>
      <c r="G55">
        <v>1</v>
      </c>
      <c r="H55">
        <v>1</v>
      </c>
      <c r="I55">
        <v>1</v>
      </c>
    </row>
    <row r="56" spans="1:9" x14ac:dyDescent="0.3">
      <c r="A56" t="s">
        <v>109</v>
      </c>
      <c r="B56" t="s">
        <v>221</v>
      </c>
      <c r="C56" t="s">
        <v>15</v>
      </c>
      <c r="F56">
        <v>1</v>
      </c>
    </row>
    <row r="57" spans="1:9" x14ac:dyDescent="0.3">
      <c r="A57" t="s">
        <v>109</v>
      </c>
      <c r="B57" t="s">
        <v>221</v>
      </c>
      <c r="C57" t="s">
        <v>26</v>
      </c>
      <c r="E57">
        <v>1</v>
      </c>
      <c r="F57">
        <v>1</v>
      </c>
    </row>
    <row r="58" spans="1:9" x14ac:dyDescent="0.3">
      <c r="A58" t="s">
        <v>109</v>
      </c>
      <c r="B58" t="s">
        <v>96</v>
      </c>
      <c r="C58" t="s">
        <v>434</v>
      </c>
      <c r="D58">
        <v>1</v>
      </c>
      <c r="E58">
        <v>1</v>
      </c>
      <c r="F58">
        <v>1</v>
      </c>
      <c r="G58">
        <v>1</v>
      </c>
      <c r="H58">
        <v>1</v>
      </c>
      <c r="I58">
        <v>1</v>
      </c>
    </row>
    <row r="59" spans="1:9" x14ac:dyDescent="0.3">
      <c r="A59" t="s">
        <v>109</v>
      </c>
      <c r="B59" t="s">
        <v>96</v>
      </c>
      <c r="C59" t="s">
        <v>23</v>
      </c>
      <c r="H59">
        <v>1</v>
      </c>
      <c r="I59">
        <v>1</v>
      </c>
    </row>
    <row r="60" spans="1:9" x14ac:dyDescent="0.3">
      <c r="A60" t="s">
        <v>109</v>
      </c>
      <c r="B60" t="s">
        <v>46</v>
      </c>
      <c r="C60" t="s">
        <v>442</v>
      </c>
      <c r="D60">
        <v>1</v>
      </c>
      <c r="E60">
        <v>1</v>
      </c>
      <c r="F60">
        <v>1</v>
      </c>
      <c r="H60">
        <v>1</v>
      </c>
      <c r="I60">
        <v>1</v>
      </c>
    </row>
    <row r="61" spans="1:9" x14ac:dyDescent="0.3">
      <c r="A61" t="s">
        <v>109</v>
      </c>
      <c r="B61" t="s">
        <v>78</v>
      </c>
      <c r="C61" t="s">
        <v>73</v>
      </c>
      <c r="E61">
        <v>1</v>
      </c>
      <c r="F61">
        <v>1</v>
      </c>
      <c r="G61">
        <v>1</v>
      </c>
    </row>
    <row r="62" spans="1:9" x14ac:dyDescent="0.3">
      <c r="A62" t="s">
        <v>109</v>
      </c>
      <c r="B62" t="s">
        <v>78</v>
      </c>
      <c r="C62" t="s">
        <v>20</v>
      </c>
      <c r="E62">
        <v>1</v>
      </c>
      <c r="F62">
        <v>1</v>
      </c>
      <c r="G62">
        <v>1</v>
      </c>
    </row>
    <row r="63" spans="1:9" x14ac:dyDescent="0.3">
      <c r="A63" t="s">
        <v>109</v>
      </c>
      <c r="B63" t="s">
        <v>78</v>
      </c>
      <c r="C63" t="s">
        <v>434</v>
      </c>
      <c r="D63">
        <v>1</v>
      </c>
      <c r="E63">
        <v>1</v>
      </c>
      <c r="F63">
        <v>1</v>
      </c>
      <c r="G63">
        <v>1</v>
      </c>
      <c r="H63">
        <v>1</v>
      </c>
      <c r="I63">
        <v>1</v>
      </c>
    </row>
    <row r="64" spans="1:9" x14ac:dyDescent="0.3">
      <c r="A64" t="s">
        <v>109</v>
      </c>
      <c r="B64" t="s">
        <v>78</v>
      </c>
      <c r="C64" t="s">
        <v>94</v>
      </c>
      <c r="D64">
        <v>1</v>
      </c>
      <c r="E64">
        <v>1</v>
      </c>
      <c r="G64">
        <v>1</v>
      </c>
    </row>
    <row r="65" spans="1:9" x14ac:dyDescent="0.3">
      <c r="A65" t="s">
        <v>109</v>
      </c>
      <c r="B65" t="s">
        <v>78</v>
      </c>
      <c r="C65" t="s">
        <v>27</v>
      </c>
      <c r="F65">
        <v>1</v>
      </c>
    </row>
    <row r="66" spans="1:9" x14ac:dyDescent="0.3">
      <c r="A66" t="s">
        <v>109</v>
      </c>
      <c r="B66" t="s">
        <v>78</v>
      </c>
      <c r="C66" t="s">
        <v>28</v>
      </c>
      <c r="F66">
        <v>1</v>
      </c>
    </row>
    <row r="67" spans="1:9" x14ac:dyDescent="0.3">
      <c r="A67" t="s">
        <v>109</v>
      </c>
      <c r="B67" t="s">
        <v>78</v>
      </c>
      <c r="C67" t="s">
        <v>38</v>
      </c>
      <c r="F67">
        <v>1</v>
      </c>
      <c r="G67">
        <v>1</v>
      </c>
    </row>
    <row r="68" spans="1:9" x14ac:dyDescent="0.3">
      <c r="A68" t="s">
        <v>109</v>
      </c>
      <c r="B68" t="s">
        <v>294</v>
      </c>
      <c r="C68" t="s">
        <v>73</v>
      </c>
      <c r="D68">
        <v>1</v>
      </c>
      <c r="E68">
        <v>1</v>
      </c>
      <c r="F68">
        <v>1</v>
      </c>
    </row>
    <row r="69" spans="1:9" x14ac:dyDescent="0.3">
      <c r="A69" t="s">
        <v>109</v>
      </c>
      <c r="B69" t="s">
        <v>294</v>
      </c>
      <c r="C69" t="s">
        <v>50</v>
      </c>
      <c r="E69">
        <v>1</v>
      </c>
    </row>
    <row r="70" spans="1:9" x14ac:dyDescent="0.3">
      <c r="A70" t="s">
        <v>109</v>
      </c>
      <c r="B70" t="s">
        <v>294</v>
      </c>
      <c r="C70" t="s">
        <v>21</v>
      </c>
      <c r="E70">
        <v>1</v>
      </c>
      <c r="F70">
        <v>1</v>
      </c>
      <c r="I70">
        <v>1</v>
      </c>
    </row>
    <row r="71" spans="1:9" x14ac:dyDescent="0.3">
      <c r="A71" t="s">
        <v>109</v>
      </c>
      <c r="B71" t="s">
        <v>294</v>
      </c>
      <c r="C71" t="s">
        <v>434</v>
      </c>
      <c r="D71">
        <v>1</v>
      </c>
      <c r="E71">
        <v>1</v>
      </c>
      <c r="F71">
        <v>1</v>
      </c>
      <c r="G71">
        <v>1</v>
      </c>
      <c r="H71">
        <v>1</v>
      </c>
      <c r="I71">
        <v>1</v>
      </c>
    </row>
    <row r="72" spans="1:9" x14ac:dyDescent="0.3">
      <c r="A72" t="s">
        <v>109</v>
      </c>
      <c r="B72" t="s">
        <v>294</v>
      </c>
      <c r="C72" t="s">
        <v>27</v>
      </c>
      <c r="E72">
        <v>1</v>
      </c>
      <c r="F72">
        <v>1</v>
      </c>
      <c r="H72">
        <v>1</v>
      </c>
    </row>
    <row r="73" spans="1:9" x14ac:dyDescent="0.3">
      <c r="A73" t="s">
        <v>109</v>
      </c>
      <c r="B73" t="s">
        <v>294</v>
      </c>
      <c r="C73" t="s">
        <v>23</v>
      </c>
      <c r="D73">
        <v>1</v>
      </c>
    </row>
    <row r="74" spans="1:9" x14ac:dyDescent="0.3">
      <c r="A74" t="s">
        <v>109</v>
      </c>
      <c r="B74" t="s">
        <v>80</v>
      </c>
      <c r="C74" t="s">
        <v>19</v>
      </c>
      <c r="E74">
        <v>1</v>
      </c>
      <c r="I74">
        <v>1</v>
      </c>
    </row>
    <row r="75" spans="1:9" x14ac:dyDescent="0.3">
      <c r="A75" t="s">
        <v>109</v>
      </c>
      <c r="B75" t="s">
        <v>80</v>
      </c>
      <c r="C75" t="s">
        <v>434</v>
      </c>
      <c r="D75">
        <v>1</v>
      </c>
      <c r="E75">
        <v>1</v>
      </c>
      <c r="F75">
        <v>1</v>
      </c>
      <c r="G75">
        <v>1</v>
      </c>
      <c r="H75">
        <v>1</v>
      </c>
      <c r="I75">
        <v>1</v>
      </c>
    </row>
    <row r="76" spans="1:9" x14ac:dyDescent="0.3">
      <c r="A76" t="s">
        <v>109</v>
      </c>
      <c r="B76" t="s">
        <v>80</v>
      </c>
      <c r="C76" t="s">
        <v>15</v>
      </c>
      <c r="G76">
        <v>1</v>
      </c>
      <c r="I76">
        <v>1</v>
      </c>
    </row>
    <row r="77" spans="1:9" x14ac:dyDescent="0.3">
      <c r="A77" t="s">
        <v>109</v>
      </c>
      <c r="B77" t="s">
        <v>80</v>
      </c>
      <c r="C77" t="s">
        <v>443</v>
      </c>
      <c r="E77">
        <v>1</v>
      </c>
      <c r="F77">
        <v>1</v>
      </c>
      <c r="H77">
        <v>1</v>
      </c>
      <c r="I77">
        <v>1</v>
      </c>
    </row>
    <row r="78" spans="1:9" x14ac:dyDescent="0.3">
      <c r="A78" t="s">
        <v>109</v>
      </c>
      <c r="B78" t="s">
        <v>80</v>
      </c>
      <c r="C78" t="s">
        <v>444</v>
      </c>
      <c r="E78">
        <v>1</v>
      </c>
      <c r="F78">
        <v>1</v>
      </c>
      <c r="H78">
        <v>1</v>
      </c>
      <c r="I78">
        <v>1</v>
      </c>
    </row>
    <row r="79" spans="1:9" x14ac:dyDescent="0.3">
      <c r="A79" t="s">
        <v>109</v>
      </c>
      <c r="B79" t="s">
        <v>80</v>
      </c>
      <c r="C79" t="s">
        <v>26</v>
      </c>
      <c r="F79">
        <v>1</v>
      </c>
    </row>
    <row r="80" spans="1:9" x14ac:dyDescent="0.3">
      <c r="A80" t="s">
        <v>109</v>
      </c>
      <c r="B80" t="s">
        <v>71</v>
      </c>
      <c r="C80" t="s">
        <v>14</v>
      </c>
      <c r="D80">
        <v>1</v>
      </c>
      <c r="E80">
        <v>1</v>
      </c>
      <c r="F80">
        <v>1</v>
      </c>
      <c r="H80">
        <v>1</v>
      </c>
      <c r="I80">
        <v>1</v>
      </c>
    </row>
    <row r="81" spans="1:9" x14ac:dyDescent="0.3">
      <c r="A81" t="s">
        <v>109</v>
      </c>
      <c r="B81" t="s">
        <v>71</v>
      </c>
      <c r="C81" t="s">
        <v>73</v>
      </c>
      <c r="D81">
        <v>1</v>
      </c>
      <c r="E81">
        <v>1</v>
      </c>
      <c r="F81">
        <v>1</v>
      </c>
      <c r="G81">
        <v>1</v>
      </c>
      <c r="H81">
        <v>1</v>
      </c>
      <c r="I81">
        <v>1</v>
      </c>
    </row>
    <row r="82" spans="1:9" x14ac:dyDescent="0.3">
      <c r="A82" t="s">
        <v>109</v>
      </c>
      <c r="B82" t="s">
        <v>71</v>
      </c>
      <c r="C82" t="s">
        <v>37</v>
      </c>
      <c r="D82">
        <v>1</v>
      </c>
      <c r="H82">
        <v>1</v>
      </c>
      <c r="I82">
        <v>1</v>
      </c>
    </row>
    <row r="83" spans="1:9" x14ac:dyDescent="0.3">
      <c r="A83" t="s">
        <v>109</v>
      </c>
      <c r="B83" t="s">
        <v>71</v>
      </c>
      <c r="C83" t="s">
        <v>434</v>
      </c>
      <c r="D83">
        <v>1</v>
      </c>
      <c r="E83">
        <v>1</v>
      </c>
      <c r="F83">
        <v>1</v>
      </c>
      <c r="G83">
        <v>1</v>
      </c>
      <c r="H83">
        <v>1</v>
      </c>
      <c r="I83">
        <v>1</v>
      </c>
    </row>
    <row r="84" spans="1:9" x14ac:dyDescent="0.3">
      <c r="A84" t="s">
        <v>109</v>
      </c>
      <c r="B84" t="s">
        <v>71</v>
      </c>
      <c r="C84" t="s">
        <v>22</v>
      </c>
      <c r="D84">
        <v>1</v>
      </c>
      <c r="F84">
        <v>1</v>
      </c>
      <c r="H84">
        <v>1</v>
      </c>
      <c r="I84">
        <v>1</v>
      </c>
    </row>
    <row r="85" spans="1:9" x14ac:dyDescent="0.3">
      <c r="A85" t="s">
        <v>109</v>
      </c>
      <c r="B85" t="s">
        <v>71</v>
      </c>
      <c r="C85" t="s">
        <v>27</v>
      </c>
      <c r="D85">
        <v>1</v>
      </c>
      <c r="E85">
        <v>1</v>
      </c>
      <c r="F85">
        <v>1</v>
      </c>
      <c r="H85">
        <v>1</v>
      </c>
      <c r="I85">
        <v>1</v>
      </c>
    </row>
    <row r="86" spans="1:9" x14ac:dyDescent="0.3">
      <c r="A86" t="s">
        <v>109</v>
      </c>
      <c r="B86" t="s">
        <v>360</v>
      </c>
      <c r="C86" t="s">
        <v>434</v>
      </c>
      <c r="D86">
        <v>1</v>
      </c>
      <c r="E86">
        <v>1</v>
      </c>
      <c r="F86">
        <v>1</v>
      </c>
      <c r="H86">
        <v>1</v>
      </c>
      <c r="I86">
        <v>1</v>
      </c>
    </row>
    <row r="87" spans="1:9" x14ac:dyDescent="0.3">
      <c r="A87" t="s">
        <v>109</v>
      </c>
      <c r="B87" t="s">
        <v>81</v>
      </c>
      <c r="C87" t="s">
        <v>19</v>
      </c>
      <c r="E87">
        <v>1</v>
      </c>
      <c r="I87">
        <v>1</v>
      </c>
    </row>
    <row r="88" spans="1:9" x14ac:dyDescent="0.3">
      <c r="A88" t="s">
        <v>109</v>
      </c>
      <c r="B88" t="s">
        <v>81</v>
      </c>
      <c r="C88" t="s">
        <v>37</v>
      </c>
      <c r="D88">
        <v>1</v>
      </c>
      <c r="E88">
        <v>1</v>
      </c>
      <c r="F88">
        <v>1</v>
      </c>
      <c r="H88">
        <v>1</v>
      </c>
      <c r="I88">
        <v>1</v>
      </c>
    </row>
    <row r="89" spans="1:9" x14ac:dyDescent="0.3">
      <c r="A89" t="s">
        <v>109</v>
      </c>
      <c r="B89" t="s">
        <v>81</v>
      </c>
      <c r="C89" t="s">
        <v>434</v>
      </c>
      <c r="D89">
        <v>1</v>
      </c>
      <c r="E89">
        <v>1</v>
      </c>
      <c r="F89">
        <v>1</v>
      </c>
      <c r="G89">
        <v>1</v>
      </c>
      <c r="H89">
        <v>1</v>
      </c>
      <c r="I89">
        <v>1</v>
      </c>
    </row>
    <row r="90" spans="1:9" x14ac:dyDescent="0.3">
      <c r="A90" t="s">
        <v>109</v>
      </c>
      <c r="B90" t="s">
        <v>81</v>
      </c>
      <c r="C90" t="s">
        <v>86</v>
      </c>
      <c r="H90">
        <v>1</v>
      </c>
    </row>
    <row r="91" spans="1:9" x14ac:dyDescent="0.3">
      <c r="A91" t="s">
        <v>109</v>
      </c>
      <c r="B91" t="s">
        <v>52</v>
      </c>
      <c r="C91" t="s">
        <v>19</v>
      </c>
      <c r="H91">
        <v>1</v>
      </c>
      <c r="I91">
        <v>1</v>
      </c>
    </row>
    <row r="92" spans="1:9" x14ac:dyDescent="0.3">
      <c r="A92" t="s">
        <v>109</v>
      </c>
      <c r="B92" t="s">
        <v>52</v>
      </c>
      <c r="C92" t="s">
        <v>20</v>
      </c>
      <c r="E92">
        <v>1</v>
      </c>
      <c r="F92">
        <v>1</v>
      </c>
    </row>
    <row r="93" spans="1:9" x14ac:dyDescent="0.3">
      <c r="A93" t="s">
        <v>109</v>
      </c>
      <c r="B93" t="s">
        <v>52</v>
      </c>
      <c r="C93" t="s">
        <v>37</v>
      </c>
      <c r="D93">
        <v>1</v>
      </c>
      <c r="E93">
        <v>1</v>
      </c>
      <c r="F93">
        <v>1</v>
      </c>
      <c r="H93">
        <v>1</v>
      </c>
      <c r="I93">
        <v>1</v>
      </c>
    </row>
    <row r="94" spans="1:9" x14ac:dyDescent="0.3">
      <c r="A94" t="s">
        <v>109</v>
      </c>
      <c r="B94" t="s">
        <v>52</v>
      </c>
      <c r="C94" t="s">
        <v>21</v>
      </c>
      <c r="D94">
        <v>1</v>
      </c>
      <c r="E94">
        <v>1</v>
      </c>
      <c r="I94">
        <v>1</v>
      </c>
    </row>
    <row r="95" spans="1:9" x14ac:dyDescent="0.3">
      <c r="A95" t="s">
        <v>109</v>
      </c>
      <c r="B95" t="s">
        <v>52</v>
      </c>
      <c r="C95" t="s">
        <v>434</v>
      </c>
      <c r="D95">
        <v>1</v>
      </c>
      <c r="E95">
        <v>1</v>
      </c>
      <c r="F95">
        <v>1</v>
      </c>
      <c r="G95">
        <v>1</v>
      </c>
      <c r="H95">
        <v>1</v>
      </c>
      <c r="I95">
        <v>1</v>
      </c>
    </row>
    <row r="96" spans="1:9" x14ac:dyDescent="0.3">
      <c r="A96" t="s">
        <v>109</v>
      </c>
      <c r="B96" t="s">
        <v>52</v>
      </c>
      <c r="C96" t="s">
        <v>86</v>
      </c>
      <c r="F96">
        <v>1</v>
      </c>
      <c r="H96">
        <v>1</v>
      </c>
    </row>
    <row r="97" spans="1:9" x14ac:dyDescent="0.3">
      <c r="A97" t="s">
        <v>109</v>
      </c>
      <c r="B97" t="s">
        <v>52</v>
      </c>
      <c r="C97" t="s">
        <v>26</v>
      </c>
      <c r="F97">
        <v>1</v>
      </c>
    </row>
    <row r="98" spans="1:9" x14ac:dyDescent="0.3">
      <c r="A98" t="s">
        <v>109</v>
      </c>
      <c r="B98" t="s">
        <v>52</v>
      </c>
      <c r="C98" t="s">
        <v>62</v>
      </c>
      <c r="F98">
        <v>1</v>
      </c>
    </row>
    <row r="99" spans="1:9" x14ac:dyDescent="0.3">
      <c r="A99" t="s">
        <v>109</v>
      </c>
      <c r="B99" t="s">
        <v>52</v>
      </c>
      <c r="C99" t="s">
        <v>23</v>
      </c>
      <c r="F99">
        <v>1</v>
      </c>
    </row>
    <row r="100" spans="1:9" x14ac:dyDescent="0.3">
      <c r="A100" t="s">
        <v>109</v>
      </c>
      <c r="B100" t="s">
        <v>52</v>
      </c>
      <c r="C100" t="s">
        <v>28</v>
      </c>
      <c r="F100">
        <v>1</v>
      </c>
      <c r="H100">
        <v>1</v>
      </c>
    </row>
    <row r="101" spans="1:9" x14ac:dyDescent="0.3">
      <c r="A101" t="s">
        <v>109</v>
      </c>
      <c r="B101" t="s">
        <v>52</v>
      </c>
      <c r="C101" t="s">
        <v>38</v>
      </c>
      <c r="D101">
        <v>1</v>
      </c>
      <c r="E101">
        <v>1</v>
      </c>
      <c r="F101">
        <v>1</v>
      </c>
    </row>
    <row r="102" spans="1:9" x14ac:dyDescent="0.3">
      <c r="A102" t="s">
        <v>109</v>
      </c>
      <c r="B102" t="s">
        <v>36</v>
      </c>
      <c r="C102" t="s">
        <v>20</v>
      </c>
      <c r="D102">
        <v>1</v>
      </c>
      <c r="G102">
        <v>1</v>
      </c>
      <c r="I102">
        <v>1</v>
      </c>
    </row>
    <row r="103" spans="1:9" x14ac:dyDescent="0.3">
      <c r="A103" t="s">
        <v>109</v>
      </c>
      <c r="B103" t="s">
        <v>36</v>
      </c>
      <c r="C103" t="s">
        <v>37</v>
      </c>
      <c r="E103">
        <v>1</v>
      </c>
      <c r="G103">
        <v>1</v>
      </c>
      <c r="H103">
        <v>1</v>
      </c>
      <c r="I103">
        <v>1</v>
      </c>
    </row>
    <row r="104" spans="1:9" x14ac:dyDescent="0.3">
      <c r="A104" t="s">
        <v>109</v>
      </c>
      <c r="B104" t="s">
        <v>36</v>
      </c>
      <c r="C104" t="s">
        <v>21</v>
      </c>
      <c r="D104">
        <v>1</v>
      </c>
      <c r="F104">
        <v>1</v>
      </c>
      <c r="I104">
        <v>1</v>
      </c>
    </row>
    <row r="105" spans="1:9" x14ac:dyDescent="0.3">
      <c r="A105" t="s">
        <v>109</v>
      </c>
      <c r="B105" t="s">
        <v>36</v>
      </c>
      <c r="C105" t="s">
        <v>434</v>
      </c>
      <c r="D105">
        <v>1</v>
      </c>
      <c r="E105">
        <v>1</v>
      </c>
      <c r="F105">
        <v>1</v>
      </c>
      <c r="G105">
        <v>1</v>
      </c>
      <c r="H105">
        <v>1</v>
      </c>
      <c r="I105">
        <v>1</v>
      </c>
    </row>
    <row r="106" spans="1:9" x14ac:dyDescent="0.3">
      <c r="A106" t="s">
        <v>109</v>
      </c>
      <c r="B106" t="s">
        <v>36</v>
      </c>
      <c r="C106" t="s">
        <v>26</v>
      </c>
      <c r="E106">
        <v>1</v>
      </c>
      <c r="F106">
        <v>1</v>
      </c>
      <c r="I106">
        <v>1</v>
      </c>
    </row>
    <row r="107" spans="1:9" x14ac:dyDescent="0.3">
      <c r="A107" t="s">
        <v>109</v>
      </c>
      <c r="B107" t="s">
        <v>36</v>
      </c>
      <c r="C107" t="s">
        <v>23</v>
      </c>
      <c r="D107">
        <v>1</v>
      </c>
      <c r="E107">
        <v>1</v>
      </c>
      <c r="F107">
        <v>1</v>
      </c>
      <c r="G107">
        <v>1</v>
      </c>
      <c r="H107">
        <v>1</v>
      </c>
      <c r="I107">
        <v>1</v>
      </c>
    </row>
    <row r="108" spans="1:9" x14ac:dyDescent="0.3">
      <c r="A108" t="s">
        <v>109</v>
      </c>
      <c r="B108" t="s">
        <v>36</v>
      </c>
      <c r="C108" t="s">
        <v>10</v>
      </c>
      <c r="E108">
        <v>1</v>
      </c>
      <c r="F108">
        <v>1</v>
      </c>
      <c r="G108">
        <v>1</v>
      </c>
      <c r="H108">
        <v>1</v>
      </c>
      <c r="I108">
        <v>1</v>
      </c>
    </row>
    <row r="109" spans="1:9" x14ac:dyDescent="0.3">
      <c r="A109" t="s">
        <v>109</v>
      </c>
      <c r="B109" t="s">
        <v>36</v>
      </c>
      <c r="C109" t="s">
        <v>28</v>
      </c>
      <c r="E109">
        <v>1</v>
      </c>
      <c r="F109">
        <v>1</v>
      </c>
      <c r="G109">
        <v>1</v>
      </c>
      <c r="H109">
        <v>1</v>
      </c>
      <c r="I109">
        <v>1</v>
      </c>
    </row>
    <row r="110" spans="1:9" x14ac:dyDescent="0.3">
      <c r="A110" t="s">
        <v>109</v>
      </c>
      <c r="B110" t="s">
        <v>36</v>
      </c>
      <c r="C110" t="s">
        <v>38</v>
      </c>
      <c r="D110">
        <v>1</v>
      </c>
      <c r="E110">
        <v>1</v>
      </c>
      <c r="F110">
        <v>1</v>
      </c>
      <c r="G110">
        <v>1</v>
      </c>
      <c r="H110">
        <v>1</v>
      </c>
      <c r="I110">
        <v>1</v>
      </c>
    </row>
    <row r="111" spans="1:9" x14ac:dyDescent="0.3">
      <c r="A111" t="s">
        <v>109</v>
      </c>
      <c r="B111" t="s">
        <v>36</v>
      </c>
      <c r="C111" t="s">
        <v>34</v>
      </c>
      <c r="D111">
        <v>1</v>
      </c>
      <c r="F111">
        <v>1</v>
      </c>
      <c r="I111">
        <v>1</v>
      </c>
    </row>
    <row r="112" spans="1:9" x14ac:dyDescent="0.3">
      <c r="A112" t="s">
        <v>109</v>
      </c>
      <c r="B112" t="s">
        <v>55</v>
      </c>
      <c r="C112" t="s">
        <v>18</v>
      </c>
      <c r="D112">
        <v>1</v>
      </c>
    </row>
    <row r="113" spans="1:9" x14ac:dyDescent="0.3">
      <c r="A113" t="s">
        <v>109</v>
      </c>
      <c r="B113" t="s">
        <v>55</v>
      </c>
      <c r="C113" t="s">
        <v>37</v>
      </c>
      <c r="E113">
        <v>1</v>
      </c>
    </row>
    <row r="114" spans="1:9" x14ac:dyDescent="0.3">
      <c r="A114" t="s">
        <v>109</v>
      </c>
      <c r="B114" t="s">
        <v>55</v>
      </c>
      <c r="C114" t="s">
        <v>434</v>
      </c>
      <c r="D114">
        <v>1</v>
      </c>
      <c r="E114">
        <v>1</v>
      </c>
      <c r="F114">
        <v>1</v>
      </c>
      <c r="G114">
        <v>1</v>
      </c>
      <c r="H114">
        <v>1</v>
      </c>
      <c r="I114">
        <v>1</v>
      </c>
    </row>
    <row r="115" spans="1:9" x14ac:dyDescent="0.3">
      <c r="A115" t="s">
        <v>109</v>
      </c>
      <c r="B115" t="s">
        <v>55</v>
      </c>
      <c r="C115" t="s">
        <v>22</v>
      </c>
      <c r="E115">
        <v>1</v>
      </c>
    </row>
    <row r="116" spans="1:9" x14ac:dyDescent="0.3">
      <c r="A116" t="s">
        <v>109</v>
      </c>
      <c r="B116" t="s">
        <v>55</v>
      </c>
      <c r="C116" t="s">
        <v>56</v>
      </c>
      <c r="F116">
        <v>1</v>
      </c>
    </row>
    <row r="117" spans="1:9" x14ac:dyDescent="0.3">
      <c r="A117" t="s">
        <v>109</v>
      </c>
      <c r="B117" t="s">
        <v>55</v>
      </c>
      <c r="C117" t="s">
        <v>27</v>
      </c>
      <c r="F117">
        <v>1</v>
      </c>
    </row>
    <row r="118" spans="1:9" x14ac:dyDescent="0.3">
      <c r="A118" t="s">
        <v>109</v>
      </c>
      <c r="B118" t="s">
        <v>85</v>
      </c>
      <c r="C118" t="s">
        <v>21</v>
      </c>
      <c r="D118">
        <v>1</v>
      </c>
      <c r="E118">
        <v>1</v>
      </c>
      <c r="H118">
        <v>1</v>
      </c>
      <c r="I118">
        <v>1</v>
      </c>
    </row>
    <row r="119" spans="1:9" x14ac:dyDescent="0.3">
      <c r="A119" t="s">
        <v>109</v>
      </c>
      <c r="B119" t="s">
        <v>85</v>
      </c>
      <c r="C119" t="s">
        <v>434</v>
      </c>
      <c r="D119">
        <v>1</v>
      </c>
      <c r="E119">
        <v>1</v>
      </c>
      <c r="F119">
        <v>1</v>
      </c>
      <c r="G119">
        <v>1</v>
      </c>
      <c r="H119">
        <v>1</v>
      </c>
      <c r="I119">
        <v>1</v>
      </c>
    </row>
    <row r="120" spans="1:9" x14ac:dyDescent="0.3">
      <c r="A120" t="s">
        <v>109</v>
      </c>
      <c r="B120" t="s">
        <v>85</v>
      </c>
      <c r="C120" t="s">
        <v>15</v>
      </c>
      <c r="E120">
        <v>1</v>
      </c>
      <c r="I120">
        <v>1</v>
      </c>
    </row>
    <row r="121" spans="1:9" x14ac:dyDescent="0.3">
      <c r="A121" t="s">
        <v>109</v>
      </c>
      <c r="B121" t="s">
        <v>85</v>
      </c>
      <c r="C121" t="s">
        <v>10</v>
      </c>
      <c r="E121">
        <v>1</v>
      </c>
      <c r="F121">
        <v>1</v>
      </c>
      <c r="H121">
        <v>1</v>
      </c>
      <c r="I121">
        <v>1</v>
      </c>
    </row>
    <row r="122" spans="1:9" x14ac:dyDescent="0.3">
      <c r="A122" t="s">
        <v>109</v>
      </c>
      <c r="B122" t="s">
        <v>72</v>
      </c>
      <c r="C122" t="s">
        <v>14</v>
      </c>
      <c r="I122">
        <v>1</v>
      </c>
    </row>
    <row r="123" spans="1:9" x14ac:dyDescent="0.3">
      <c r="A123" t="s">
        <v>109</v>
      </c>
      <c r="B123" t="s">
        <v>72</v>
      </c>
      <c r="C123" t="s">
        <v>73</v>
      </c>
      <c r="I123">
        <v>1</v>
      </c>
    </row>
    <row r="124" spans="1:9" x14ac:dyDescent="0.3">
      <c r="A124" t="s">
        <v>109</v>
      </c>
      <c r="B124" t="s">
        <v>72</v>
      </c>
      <c r="C124" t="s">
        <v>21</v>
      </c>
      <c r="F124">
        <v>1</v>
      </c>
      <c r="G124">
        <v>1</v>
      </c>
      <c r="I124">
        <v>1</v>
      </c>
    </row>
    <row r="125" spans="1:9" x14ac:dyDescent="0.3">
      <c r="A125" t="s">
        <v>109</v>
      </c>
      <c r="B125" t="s">
        <v>72</v>
      </c>
      <c r="C125" t="s">
        <v>434</v>
      </c>
      <c r="D125">
        <v>1</v>
      </c>
      <c r="E125">
        <v>1</v>
      </c>
      <c r="F125">
        <v>1</v>
      </c>
      <c r="G125">
        <v>1</v>
      </c>
      <c r="H125">
        <v>1</v>
      </c>
      <c r="I125">
        <v>1</v>
      </c>
    </row>
    <row r="126" spans="1:9" x14ac:dyDescent="0.3">
      <c r="A126" t="s">
        <v>109</v>
      </c>
      <c r="B126" t="s">
        <v>72</v>
      </c>
      <c r="C126" t="s">
        <v>38</v>
      </c>
      <c r="E126">
        <v>1</v>
      </c>
    </row>
    <row r="127" spans="1:9" x14ac:dyDescent="0.3">
      <c r="A127" t="s">
        <v>106</v>
      </c>
      <c r="B127" t="s">
        <v>108</v>
      </c>
      <c r="C127" t="s">
        <v>434</v>
      </c>
      <c r="D127">
        <v>1</v>
      </c>
      <c r="E127">
        <v>1</v>
      </c>
      <c r="F127">
        <v>1</v>
      </c>
      <c r="I127">
        <v>1</v>
      </c>
    </row>
    <row r="128" spans="1:9" x14ac:dyDescent="0.3">
      <c r="A128" t="s">
        <v>106</v>
      </c>
      <c r="B128" t="s">
        <v>39</v>
      </c>
      <c r="C128" t="s">
        <v>21</v>
      </c>
      <c r="E128">
        <v>1</v>
      </c>
    </row>
    <row r="129" spans="1:9" x14ac:dyDescent="0.3">
      <c r="A129" t="s">
        <v>106</v>
      </c>
      <c r="B129" t="s">
        <v>39</v>
      </c>
      <c r="C129" t="s">
        <v>434</v>
      </c>
      <c r="D129">
        <v>1</v>
      </c>
      <c r="E129">
        <v>1</v>
      </c>
      <c r="H129">
        <v>1</v>
      </c>
      <c r="I129">
        <v>1</v>
      </c>
    </row>
    <row r="130" spans="1:9" x14ac:dyDescent="0.3">
      <c r="A130" t="s">
        <v>106</v>
      </c>
      <c r="B130" t="s">
        <v>122</v>
      </c>
      <c r="C130" t="s">
        <v>434</v>
      </c>
      <c r="D130">
        <v>1</v>
      </c>
      <c r="E130">
        <v>1</v>
      </c>
      <c r="F130">
        <v>1</v>
      </c>
      <c r="H130">
        <v>1</v>
      </c>
      <c r="I130">
        <v>1</v>
      </c>
    </row>
    <row r="131" spans="1:9" x14ac:dyDescent="0.3">
      <c r="A131" t="s">
        <v>106</v>
      </c>
      <c r="B131" t="s">
        <v>127</v>
      </c>
      <c r="C131" t="s">
        <v>434</v>
      </c>
      <c r="D131">
        <v>1</v>
      </c>
      <c r="E131">
        <v>1</v>
      </c>
      <c r="F131">
        <v>1</v>
      </c>
      <c r="I131">
        <v>1</v>
      </c>
    </row>
    <row r="132" spans="1:9" x14ac:dyDescent="0.3">
      <c r="A132" t="s">
        <v>106</v>
      </c>
      <c r="B132" t="s">
        <v>131</v>
      </c>
      <c r="C132" t="s">
        <v>434</v>
      </c>
      <c r="D132">
        <v>1</v>
      </c>
      <c r="E132">
        <v>1</v>
      </c>
      <c r="F132">
        <v>1</v>
      </c>
      <c r="G132">
        <v>1</v>
      </c>
      <c r="H132">
        <v>1</v>
      </c>
      <c r="I132">
        <v>1</v>
      </c>
    </row>
    <row r="133" spans="1:9" x14ac:dyDescent="0.3">
      <c r="A133" t="s">
        <v>106</v>
      </c>
      <c r="B133" t="s">
        <v>40</v>
      </c>
      <c r="C133" t="s">
        <v>434</v>
      </c>
      <c r="I133">
        <v>1</v>
      </c>
    </row>
    <row r="134" spans="1:9" x14ac:dyDescent="0.3">
      <c r="A134" t="s">
        <v>106</v>
      </c>
      <c r="B134" t="s">
        <v>41</v>
      </c>
      <c r="C134" t="s">
        <v>21</v>
      </c>
      <c r="E134">
        <v>1</v>
      </c>
    </row>
    <row r="135" spans="1:9" x14ac:dyDescent="0.3">
      <c r="A135" t="s">
        <v>106</v>
      </c>
      <c r="B135" t="s">
        <v>41</v>
      </c>
      <c r="C135" t="s">
        <v>434</v>
      </c>
      <c r="E135">
        <v>1</v>
      </c>
      <c r="H135">
        <v>1</v>
      </c>
      <c r="I135">
        <v>1</v>
      </c>
    </row>
    <row r="136" spans="1:9" x14ac:dyDescent="0.3">
      <c r="A136" t="s">
        <v>106</v>
      </c>
      <c r="B136" t="s">
        <v>41</v>
      </c>
      <c r="C136" t="s">
        <v>15</v>
      </c>
      <c r="D136">
        <v>1</v>
      </c>
    </row>
    <row r="137" spans="1:9" x14ac:dyDescent="0.3">
      <c r="A137" t="s">
        <v>106</v>
      </c>
      <c r="B137" t="s">
        <v>158</v>
      </c>
      <c r="C137" t="s">
        <v>18</v>
      </c>
      <c r="D137">
        <v>1</v>
      </c>
      <c r="E137">
        <v>1</v>
      </c>
      <c r="H137">
        <v>1</v>
      </c>
      <c r="I137">
        <v>1</v>
      </c>
    </row>
    <row r="138" spans="1:9" x14ac:dyDescent="0.3">
      <c r="A138" t="s">
        <v>106</v>
      </c>
      <c r="B138" t="s">
        <v>158</v>
      </c>
      <c r="C138" t="s">
        <v>21</v>
      </c>
      <c r="D138">
        <v>1</v>
      </c>
      <c r="E138">
        <v>1</v>
      </c>
      <c r="F138">
        <v>1</v>
      </c>
      <c r="G138">
        <v>1</v>
      </c>
      <c r="H138">
        <v>1</v>
      </c>
      <c r="I138">
        <v>1</v>
      </c>
    </row>
    <row r="139" spans="1:9" x14ac:dyDescent="0.3">
      <c r="A139" t="s">
        <v>106</v>
      </c>
      <c r="B139" t="s">
        <v>158</v>
      </c>
      <c r="C139" t="s">
        <v>434</v>
      </c>
      <c r="D139">
        <v>1</v>
      </c>
      <c r="E139">
        <v>1</v>
      </c>
      <c r="F139">
        <v>1</v>
      </c>
      <c r="G139">
        <v>1</v>
      </c>
      <c r="H139">
        <v>1</v>
      </c>
      <c r="I139">
        <v>1</v>
      </c>
    </row>
    <row r="140" spans="1:9" x14ac:dyDescent="0.3">
      <c r="A140" t="s">
        <v>106</v>
      </c>
      <c r="B140" t="s">
        <v>158</v>
      </c>
      <c r="C140" t="s">
        <v>26</v>
      </c>
      <c r="F140">
        <v>1</v>
      </c>
      <c r="H140">
        <v>1</v>
      </c>
      <c r="I140">
        <v>1</v>
      </c>
    </row>
    <row r="141" spans="1:9" x14ac:dyDescent="0.3">
      <c r="A141" t="s">
        <v>106</v>
      </c>
      <c r="B141" t="s">
        <v>158</v>
      </c>
      <c r="C141" t="s">
        <v>27</v>
      </c>
      <c r="F141">
        <v>1</v>
      </c>
      <c r="G141">
        <v>1</v>
      </c>
      <c r="H141">
        <v>1</v>
      </c>
      <c r="I141">
        <v>1</v>
      </c>
    </row>
    <row r="142" spans="1:9" x14ac:dyDescent="0.3">
      <c r="A142" t="s">
        <v>106</v>
      </c>
      <c r="B142" t="s">
        <v>158</v>
      </c>
      <c r="C142" t="s">
        <v>28</v>
      </c>
      <c r="D142">
        <v>1</v>
      </c>
      <c r="E142">
        <v>1</v>
      </c>
    </row>
    <row r="143" spans="1:9" x14ac:dyDescent="0.3">
      <c r="A143" t="s">
        <v>106</v>
      </c>
      <c r="B143" t="s">
        <v>169</v>
      </c>
      <c r="C143" t="s">
        <v>434</v>
      </c>
      <c r="D143">
        <v>1</v>
      </c>
      <c r="E143">
        <v>1</v>
      </c>
      <c r="F143">
        <v>1</v>
      </c>
      <c r="G143">
        <v>1</v>
      </c>
      <c r="H143">
        <v>1</v>
      </c>
      <c r="I143">
        <v>1</v>
      </c>
    </row>
    <row r="144" spans="1:9" x14ac:dyDescent="0.3">
      <c r="A144" t="s">
        <v>106</v>
      </c>
      <c r="B144" t="s">
        <v>186</v>
      </c>
      <c r="C144" t="s">
        <v>434</v>
      </c>
      <c r="D144">
        <v>1</v>
      </c>
      <c r="E144">
        <v>1</v>
      </c>
      <c r="F144">
        <v>1</v>
      </c>
      <c r="I144">
        <v>1</v>
      </c>
    </row>
    <row r="145" spans="1:9" x14ac:dyDescent="0.3">
      <c r="A145" t="s">
        <v>106</v>
      </c>
      <c r="B145" t="s">
        <v>190</v>
      </c>
      <c r="C145" t="s">
        <v>435</v>
      </c>
      <c r="D145">
        <v>1</v>
      </c>
      <c r="E145">
        <v>1</v>
      </c>
      <c r="F145">
        <v>1</v>
      </c>
      <c r="G145">
        <v>1</v>
      </c>
      <c r="H145">
        <v>1</v>
      </c>
    </row>
    <row r="146" spans="1:9" x14ac:dyDescent="0.3">
      <c r="A146" t="s">
        <v>106</v>
      </c>
      <c r="B146" t="s">
        <v>190</v>
      </c>
      <c r="C146" t="s">
        <v>21</v>
      </c>
      <c r="D146">
        <v>1</v>
      </c>
      <c r="E146">
        <v>1</v>
      </c>
      <c r="F146">
        <v>1</v>
      </c>
    </row>
    <row r="147" spans="1:9" x14ac:dyDescent="0.3">
      <c r="A147" t="s">
        <v>106</v>
      </c>
      <c r="B147" t="s">
        <v>190</v>
      </c>
      <c r="C147" t="s">
        <v>434</v>
      </c>
      <c r="D147">
        <v>1</v>
      </c>
      <c r="E147">
        <v>1</v>
      </c>
      <c r="F147">
        <v>1</v>
      </c>
      <c r="H147">
        <v>1</v>
      </c>
      <c r="I147">
        <v>1</v>
      </c>
    </row>
    <row r="148" spans="1:9" x14ac:dyDescent="0.3">
      <c r="A148" t="s">
        <v>106</v>
      </c>
      <c r="B148" t="s">
        <v>190</v>
      </c>
      <c r="C148" t="s">
        <v>15</v>
      </c>
      <c r="D148">
        <v>1</v>
      </c>
      <c r="E148">
        <v>1</v>
      </c>
      <c r="F148">
        <v>1</v>
      </c>
    </row>
    <row r="149" spans="1:9" x14ac:dyDescent="0.3">
      <c r="A149" t="s">
        <v>106</v>
      </c>
      <c r="B149" t="s">
        <v>190</v>
      </c>
      <c r="C149" t="s">
        <v>27</v>
      </c>
      <c r="D149">
        <v>1</v>
      </c>
      <c r="E149">
        <v>1</v>
      </c>
      <c r="F149">
        <v>1</v>
      </c>
    </row>
    <row r="150" spans="1:9" x14ac:dyDescent="0.3">
      <c r="A150" t="s">
        <v>106</v>
      </c>
      <c r="B150" t="s">
        <v>362</v>
      </c>
      <c r="C150" t="s">
        <v>18</v>
      </c>
      <c r="D150">
        <v>1</v>
      </c>
      <c r="E150">
        <v>1</v>
      </c>
      <c r="I150">
        <v>1</v>
      </c>
    </row>
    <row r="151" spans="1:9" x14ac:dyDescent="0.3">
      <c r="A151" t="s">
        <v>106</v>
      </c>
      <c r="B151" t="s">
        <v>362</v>
      </c>
      <c r="C151" t="s">
        <v>21</v>
      </c>
      <c r="D151">
        <v>1</v>
      </c>
      <c r="E151">
        <v>1</v>
      </c>
      <c r="I151">
        <v>1</v>
      </c>
    </row>
    <row r="152" spans="1:9" x14ac:dyDescent="0.3">
      <c r="A152" t="s">
        <v>106</v>
      </c>
      <c r="B152" t="s">
        <v>362</v>
      </c>
      <c r="C152" t="s">
        <v>434</v>
      </c>
      <c r="D152">
        <v>1</v>
      </c>
      <c r="E152">
        <v>1</v>
      </c>
      <c r="F152">
        <v>1</v>
      </c>
      <c r="G152">
        <v>1</v>
      </c>
      <c r="H152">
        <v>1</v>
      </c>
      <c r="I152">
        <v>1</v>
      </c>
    </row>
    <row r="153" spans="1:9" x14ac:dyDescent="0.3">
      <c r="A153" t="s">
        <v>106</v>
      </c>
      <c r="B153" t="s">
        <v>362</v>
      </c>
      <c r="C153" t="s">
        <v>15</v>
      </c>
      <c r="D153">
        <v>1</v>
      </c>
      <c r="E153">
        <v>1</v>
      </c>
      <c r="I153">
        <v>1</v>
      </c>
    </row>
    <row r="154" spans="1:9" x14ac:dyDescent="0.3">
      <c r="A154" t="s">
        <v>106</v>
      </c>
      <c r="B154" t="s">
        <v>362</v>
      </c>
      <c r="C154" t="s">
        <v>26</v>
      </c>
      <c r="F154">
        <v>1</v>
      </c>
      <c r="I154">
        <v>1</v>
      </c>
    </row>
    <row r="155" spans="1:9" x14ac:dyDescent="0.3">
      <c r="A155" t="s">
        <v>106</v>
      </c>
      <c r="B155" t="s">
        <v>362</v>
      </c>
      <c r="C155" t="s">
        <v>27</v>
      </c>
      <c r="G155">
        <v>1</v>
      </c>
      <c r="H155">
        <v>1</v>
      </c>
      <c r="I155">
        <v>1</v>
      </c>
    </row>
    <row r="156" spans="1:9" x14ac:dyDescent="0.3">
      <c r="A156" t="s">
        <v>106</v>
      </c>
      <c r="B156" t="s">
        <v>362</v>
      </c>
      <c r="C156" t="s">
        <v>10</v>
      </c>
      <c r="E156">
        <v>1</v>
      </c>
      <c r="H156">
        <v>1</v>
      </c>
      <c r="I156">
        <v>1</v>
      </c>
    </row>
    <row r="157" spans="1:9" x14ac:dyDescent="0.3">
      <c r="A157" t="s">
        <v>106</v>
      </c>
      <c r="B157" t="s">
        <v>213</v>
      </c>
      <c r="C157" t="s">
        <v>434</v>
      </c>
      <c r="D157">
        <v>1</v>
      </c>
      <c r="E157">
        <v>1</v>
      </c>
      <c r="F157">
        <v>1</v>
      </c>
      <c r="G157">
        <v>1</v>
      </c>
      <c r="H157">
        <v>1</v>
      </c>
      <c r="I157">
        <v>1</v>
      </c>
    </row>
    <row r="158" spans="1:9" x14ac:dyDescent="0.3">
      <c r="A158" t="s">
        <v>106</v>
      </c>
      <c r="B158" t="s">
        <v>162</v>
      </c>
      <c r="C158" t="s">
        <v>18</v>
      </c>
      <c r="D158">
        <v>1</v>
      </c>
      <c r="E158">
        <v>1</v>
      </c>
      <c r="F158">
        <v>1</v>
      </c>
      <c r="I158">
        <v>1</v>
      </c>
    </row>
    <row r="159" spans="1:9" x14ac:dyDescent="0.3">
      <c r="A159" t="s">
        <v>106</v>
      </c>
      <c r="B159" t="s">
        <v>162</v>
      </c>
      <c r="C159" t="s">
        <v>21</v>
      </c>
      <c r="D159">
        <v>1</v>
      </c>
      <c r="E159">
        <v>1</v>
      </c>
      <c r="I159">
        <v>1</v>
      </c>
    </row>
    <row r="160" spans="1:9" x14ac:dyDescent="0.3">
      <c r="A160" t="s">
        <v>106</v>
      </c>
      <c r="B160" t="s">
        <v>162</v>
      </c>
      <c r="C160" t="s">
        <v>434</v>
      </c>
      <c r="D160">
        <v>1</v>
      </c>
      <c r="E160">
        <v>1</v>
      </c>
      <c r="F160">
        <v>1</v>
      </c>
      <c r="G160">
        <v>1</v>
      </c>
      <c r="H160">
        <v>1</v>
      </c>
      <c r="I160">
        <v>1</v>
      </c>
    </row>
    <row r="161" spans="1:9" x14ac:dyDescent="0.3">
      <c r="A161" t="s">
        <v>106</v>
      </c>
      <c r="B161" t="s">
        <v>162</v>
      </c>
      <c r="C161" t="s">
        <v>27</v>
      </c>
      <c r="E161">
        <v>1</v>
      </c>
      <c r="F161">
        <v>1</v>
      </c>
      <c r="G161">
        <v>1</v>
      </c>
      <c r="H161">
        <v>1</v>
      </c>
      <c r="I161">
        <v>1</v>
      </c>
    </row>
    <row r="162" spans="1:9" x14ac:dyDescent="0.3">
      <c r="A162" t="s">
        <v>106</v>
      </c>
      <c r="B162" t="s">
        <v>254</v>
      </c>
      <c r="C162" t="s">
        <v>434</v>
      </c>
      <c r="D162">
        <v>1</v>
      </c>
      <c r="E162">
        <v>1</v>
      </c>
      <c r="F162">
        <v>1</v>
      </c>
      <c r="G162">
        <v>1</v>
      </c>
      <c r="H162">
        <v>1</v>
      </c>
      <c r="I162">
        <v>1</v>
      </c>
    </row>
    <row r="163" spans="1:9" x14ac:dyDescent="0.3">
      <c r="A163" t="s">
        <v>106</v>
      </c>
      <c r="B163" t="s">
        <v>25</v>
      </c>
      <c r="C163" t="s">
        <v>18</v>
      </c>
      <c r="D163">
        <v>1</v>
      </c>
    </row>
    <row r="164" spans="1:9" x14ac:dyDescent="0.3">
      <c r="A164" t="s">
        <v>106</v>
      </c>
      <c r="B164" t="s">
        <v>25</v>
      </c>
      <c r="C164" t="s">
        <v>21</v>
      </c>
      <c r="D164">
        <v>1</v>
      </c>
      <c r="E164">
        <v>1</v>
      </c>
      <c r="G164">
        <v>1</v>
      </c>
    </row>
    <row r="165" spans="1:9" x14ac:dyDescent="0.3">
      <c r="A165" t="s">
        <v>106</v>
      </c>
      <c r="B165" t="s">
        <v>25</v>
      </c>
      <c r="C165" t="s">
        <v>434</v>
      </c>
      <c r="D165">
        <v>1</v>
      </c>
      <c r="E165">
        <v>1</v>
      </c>
      <c r="F165">
        <v>1</v>
      </c>
      <c r="G165">
        <v>1</v>
      </c>
      <c r="H165">
        <v>1</v>
      </c>
      <c r="I165">
        <v>1</v>
      </c>
    </row>
    <row r="166" spans="1:9" x14ac:dyDescent="0.3">
      <c r="A166" t="s">
        <v>106</v>
      </c>
      <c r="B166" t="s">
        <v>25</v>
      </c>
      <c r="C166" t="s">
        <v>15</v>
      </c>
      <c r="E166">
        <v>1</v>
      </c>
      <c r="G166">
        <v>1</v>
      </c>
      <c r="I166">
        <v>1</v>
      </c>
    </row>
    <row r="167" spans="1:9" x14ac:dyDescent="0.3">
      <c r="A167" t="s">
        <v>106</v>
      </c>
      <c r="B167" t="s">
        <v>25</v>
      </c>
      <c r="C167" t="s">
        <v>26</v>
      </c>
      <c r="F167">
        <v>1</v>
      </c>
    </row>
    <row r="168" spans="1:9" x14ac:dyDescent="0.3">
      <c r="A168" t="s">
        <v>106</v>
      </c>
      <c r="B168" t="s">
        <v>25</v>
      </c>
      <c r="C168" t="s">
        <v>27</v>
      </c>
      <c r="F168">
        <v>1</v>
      </c>
      <c r="G168">
        <v>1</v>
      </c>
      <c r="H168">
        <v>1</v>
      </c>
      <c r="I168">
        <v>1</v>
      </c>
    </row>
    <row r="169" spans="1:9" x14ac:dyDescent="0.3">
      <c r="A169" t="s">
        <v>106</v>
      </c>
      <c r="B169" t="s">
        <v>25</v>
      </c>
      <c r="C169" t="s">
        <v>10</v>
      </c>
      <c r="E169">
        <v>1</v>
      </c>
      <c r="F169">
        <v>1</v>
      </c>
      <c r="G169">
        <v>1</v>
      </c>
      <c r="H169">
        <v>1</v>
      </c>
      <c r="I169">
        <v>1</v>
      </c>
    </row>
    <row r="170" spans="1:9" x14ac:dyDescent="0.3">
      <c r="A170" t="s">
        <v>106</v>
      </c>
      <c r="B170" t="s">
        <v>25</v>
      </c>
      <c r="C170" t="s">
        <v>28</v>
      </c>
      <c r="F170">
        <v>1</v>
      </c>
    </row>
    <row r="171" spans="1:9" x14ac:dyDescent="0.3">
      <c r="A171" t="s">
        <v>106</v>
      </c>
      <c r="B171" t="s">
        <v>211</v>
      </c>
      <c r="C171" t="s">
        <v>434</v>
      </c>
      <c r="D171">
        <v>1</v>
      </c>
      <c r="E171">
        <v>1</v>
      </c>
      <c r="F171">
        <v>1</v>
      </c>
      <c r="G171">
        <v>1</v>
      </c>
      <c r="H171">
        <v>1</v>
      </c>
      <c r="I171">
        <v>1</v>
      </c>
    </row>
    <row r="172" spans="1:9" x14ac:dyDescent="0.3">
      <c r="A172" t="s">
        <v>106</v>
      </c>
      <c r="B172" t="s">
        <v>90</v>
      </c>
      <c r="C172" t="s">
        <v>434</v>
      </c>
      <c r="D172">
        <v>1</v>
      </c>
      <c r="E172">
        <v>1</v>
      </c>
      <c r="F172">
        <v>1</v>
      </c>
      <c r="G172">
        <v>1</v>
      </c>
      <c r="H172">
        <v>1</v>
      </c>
      <c r="I172">
        <v>1</v>
      </c>
    </row>
    <row r="173" spans="1:9" x14ac:dyDescent="0.3">
      <c r="A173" t="s">
        <v>106</v>
      </c>
      <c r="B173" t="s">
        <v>90</v>
      </c>
      <c r="C173" t="s">
        <v>15</v>
      </c>
      <c r="H173">
        <v>1</v>
      </c>
    </row>
    <row r="174" spans="1:9" x14ac:dyDescent="0.3">
      <c r="A174" t="s">
        <v>106</v>
      </c>
      <c r="B174" t="s">
        <v>90</v>
      </c>
      <c r="C174" t="s">
        <v>27</v>
      </c>
      <c r="D174">
        <v>1</v>
      </c>
      <c r="E174">
        <v>1</v>
      </c>
      <c r="F174">
        <v>1</v>
      </c>
      <c r="G174">
        <v>1</v>
      </c>
      <c r="H174">
        <v>1</v>
      </c>
    </row>
    <row r="175" spans="1:9" x14ac:dyDescent="0.3">
      <c r="A175" t="s">
        <v>106</v>
      </c>
      <c r="B175" t="s">
        <v>42</v>
      </c>
      <c r="C175" t="s">
        <v>434</v>
      </c>
      <c r="E175">
        <v>1</v>
      </c>
      <c r="H175">
        <v>1</v>
      </c>
      <c r="I175">
        <v>1</v>
      </c>
    </row>
    <row r="176" spans="1:9" x14ac:dyDescent="0.3">
      <c r="A176" t="s">
        <v>106</v>
      </c>
      <c r="B176" t="s">
        <v>42</v>
      </c>
      <c r="C176" t="s">
        <v>15</v>
      </c>
      <c r="D176">
        <v>1</v>
      </c>
    </row>
    <row r="177" spans="1:9" x14ac:dyDescent="0.3">
      <c r="A177" t="s">
        <v>106</v>
      </c>
      <c r="B177" t="s">
        <v>42</v>
      </c>
      <c r="C177" t="s">
        <v>10</v>
      </c>
      <c r="I177">
        <v>1</v>
      </c>
    </row>
    <row r="178" spans="1:9" x14ac:dyDescent="0.3">
      <c r="A178" t="s">
        <v>106</v>
      </c>
      <c r="B178" t="s">
        <v>303</v>
      </c>
      <c r="C178" t="s">
        <v>434</v>
      </c>
      <c r="D178">
        <v>1</v>
      </c>
      <c r="E178">
        <v>1</v>
      </c>
      <c r="F178">
        <v>1</v>
      </c>
      <c r="G178">
        <v>1</v>
      </c>
      <c r="I178">
        <v>1</v>
      </c>
    </row>
    <row r="179" spans="1:9" x14ac:dyDescent="0.3">
      <c r="A179" t="s">
        <v>106</v>
      </c>
      <c r="B179" t="s">
        <v>330</v>
      </c>
      <c r="C179" t="s">
        <v>434</v>
      </c>
      <c r="D179">
        <v>1</v>
      </c>
      <c r="E179">
        <v>1</v>
      </c>
      <c r="F179">
        <v>1</v>
      </c>
      <c r="G179">
        <v>1</v>
      </c>
      <c r="H179">
        <v>1</v>
      </c>
      <c r="I179">
        <v>1</v>
      </c>
    </row>
    <row r="180" spans="1:9" x14ac:dyDescent="0.3">
      <c r="A180" t="s">
        <v>106</v>
      </c>
      <c r="B180" t="s">
        <v>393</v>
      </c>
      <c r="C180" t="s">
        <v>50</v>
      </c>
      <c r="E180">
        <v>1</v>
      </c>
    </row>
    <row r="181" spans="1:9" x14ac:dyDescent="0.3">
      <c r="A181" t="s">
        <v>106</v>
      </c>
      <c r="B181" t="s">
        <v>393</v>
      </c>
      <c r="C181" t="s">
        <v>434</v>
      </c>
      <c r="D181">
        <v>1</v>
      </c>
      <c r="E181">
        <v>1</v>
      </c>
      <c r="F181">
        <v>1</v>
      </c>
      <c r="H181">
        <v>1</v>
      </c>
    </row>
    <row r="182" spans="1:9" x14ac:dyDescent="0.3">
      <c r="A182" t="s">
        <v>106</v>
      </c>
      <c r="B182" t="s">
        <v>381</v>
      </c>
      <c r="C182" t="s">
        <v>434</v>
      </c>
      <c r="D182">
        <v>1</v>
      </c>
      <c r="E182">
        <v>1</v>
      </c>
      <c r="F182">
        <v>1</v>
      </c>
      <c r="G182">
        <v>1</v>
      </c>
      <c r="H182">
        <v>1</v>
      </c>
      <c r="I182">
        <v>1</v>
      </c>
    </row>
    <row r="183" spans="1:9" x14ac:dyDescent="0.3">
      <c r="A183" t="s">
        <v>106</v>
      </c>
      <c r="B183" t="s">
        <v>43</v>
      </c>
      <c r="C183" t="s">
        <v>434</v>
      </c>
      <c r="D183">
        <v>1</v>
      </c>
      <c r="E183">
        <v>1</v>
      </c>
      <c r="I183">
        <v>1</v>
      </c>
    </row>
    <row r="184" spans="1:9" x14ac:dyDescent="0.3">
      <c r="A184" t="s">
        <v>106</v>
      </c>
      <c r="B184" t="s">
        <v>43</v>
      </c>
      <c r="C184" t="s">
        <v>15</v>
      </c>
      <c r="D184">
        <v>1</v>
      </c>
    </row>
    <row r="185" spans="1:9" x14ac:dyDescent="0.3">
      <c r="A185" t="s">
        <v>106</v>
      </c>
      <c r="B185" t="s">
        <v>43</v>
      </c>
      <c r="C185" t="s">
        <v>27</v>
      </c>
      <c r="F185">
        <v>1</v>
      </c>
    </row>
    <row r="186" spans="1:9" x14ac:dyDescent="0.3">
      <c r="A186" t="s">
        <v>106</v>
      </c>
      <c r="B186" t="s">
        <v>43</v>
      </c>
      <c r="C186" t="s">
        <v>28</v>
      </c>
      <c r="F186">
        <v>1</v>
      </c>
    </row>
    <row r="187" spans="1:9" x14ac:dyDescent="0.3">
      <c r="A187" t="s">
        <v>438</v>
      </c>
      <c r="B187" t="s">
        <v>83</v>
      </c>
      <c r="C187" t="s">
        <v>448</v>
      </c>
      <c r="D187">
        <v>1</v>
      </c>
      <c r="E187">
        <v>1</v>
      </c>
      <c r="F187">
        <v>1</v>
      </c>
      <c r="H187">
        <v>1</v>
      </c>
    </row>
    <row r="188" spans="1:9" x14ac:dyDescent="0.3">
      <c r="A188" t="s">
        <v>438</v>
      </c>
      <c r="B188" t="s">
        <v>83</v>
      </c>
      <c r="C188" t="s">
        <v>14</v>
      </c>
      <c r="D188">
        <v>1</v>
      </c>
      <c r="E188">
        <v>1</v>
      </c>
    </row>
    <row r="189" spans="1:9" x14ac:dyDescent="0.3">
      <c r="A189" t="s">
        <v>438</v>
      </c>
      <c r="B189" t="s">
        <v>83</v>
      </c>
      <c r="C189" t="s">
        <v>449</v>
      </c>
      <c r="E189">
        <v>1</v>
      </c>
    </row>
    <row r="190" spans="1:9" x14ac:dyDescent="0.3">
      <c r="A190" t="s">
        <v>438</v>
      </c>
      <c r="B190" t="s">
        <v>83</v>
      </c>
      <c r="C190" t="s">
        <v>19</v>
      </c>
      <c r="E190">
        <v>1</v>
      </c>
      <c r="F190">
        <v>1</v>
      </c>
      <c r="H190">
        <v>1</v>
      </c>
      <c r="I190">
        <v>1</v>
      </c>
    </row>
    <row r="191" spans="1:9" x14ac:dyDescent="0.3">
      <c r="A191" t="s">
        <v>438</v>
      </c>
      <c r="B191" t="s">
        <v>83</v>
      </c>
      <c r="C191" t="s">
        <v>20</v>
      </c>
      <c r="D191">
        <v>1</v>
      </c>
      <c r="E191">
        <v>1</v>
      </c>
      <c r="F191">
        <v>1</v>
      </c>
      <c r="H191">
        <v>1</v>
      </c>
      <c r="I191">
        <v>1</v>
      </c>
    </row>
    <row r="192" spans="1:9" x14ac:dyDescent="0.3">
      <c r="A192" t="s">
        <v>438</v>
      </c>
      <c r="B192" t="s">
        <v>83</v>
      </c>
      <c r="C192" t="s">
        <v>37</v>
      </c>
      <c r="E192">
        <v>1</v>
      </c>
      <c r="F192">
        <v>1</v>
      </c>
      <c r="I192">
        <v>1</v>
      </c>
    </row>
    <row r="193" spans="1:9" x14ac:dyDescent="0.3">
      <c r="A193" t="s">
        <v>438</v>
      </c>
      <c r="B193" t="s">
        <v>83</v>
      </c>
      <c r="C193" t="s">
        <v>21</v>
      </c>
      <c r="E193">
        <v>1</v>
      </c>
    </row>
    <row r="194" spans="1:9" x14ac:dyDescent="0.3">
      <c r="A194" t="s">
        <v>438</v>
      </c>
      <c r="B194" t="s">
        <v>83</v>
      </c>
      <c r="C194" t="s">
        <v>453</v>
      </c>
      <c r="E194">
        <v>1</v>
      </c>
    </row>
    <row r="195" spans="1:9" x14ac:dyDescent="0.3">
      <c r="A195" t="s">
        <v>438</v>
      </c>
      <c r="B195" t="s">
        <v>83</v>
      </c>
      <c r="C195" t="s">
        <v>434</v>
      </c>
      <c r="D195">
        <v>1</v>
      </c>
      <c r="E195">
        <v>1</v>
      </c>
      <c r="F195">
        <v>1</v>
      </c>
      <c r="G195">
        <v>1</v>
      </c>
      <c r="H195">
        <v>1</v>
      </c>
      <c r="I195">
        <v>1</v>
      </c>
    </row>
    <row r="196" spans="1:9" x14ac:dyDescent="0.3">
      <c r="A196" t="s">
        <v>438</v>
      </c>
      <c r="B196" t="s">
        <v>83</v>
      </c>
      <c r="C196" t="s">
        <v>87</v>
      </c>
      <c r="E196">
        <v>1</v>
      </c>
    </row>
    <row r="197" spans="1:9" x14ac:dyDescent="0.3">
      <c r="A197" t="s">
        <v>438</v>
      </c>
      <c r="B197" t="s">
        <v>83</v>
      </c>
      <c r="C197" t="s">
        <v>15</v>
      </c>
      <c r="E197">
        <v>1</v>
      </c>
    </row>
    <row r="198" spans="1:9" x14ac:dyDescent="0.3">
      <c r="A198" t="s">
        <v>438</v>
      </c>
      <c r="B198" t="s">
        <v>83</v>
      </c>
      <c r="C198" t="s">
        <v>22</v>
      </c>
      <c r="D198">
        <v>1</v>
      </c>
      <c r="E198">
        <v>1</v>
      </c>
      <c r="H198">
        <v>1</v>
      </c>
      <c r="I198">
        <v>1</v>
      </c>
    </row>
    <row r="199" spans="1:9" x14ac:dyDescent="0.3">
      <c r="A199" t="s">
        <v>438</v>
      </c>
      <c r="B199" t="s">
        <v>83</v>
      </c>
      <c r="C199" t="s">
        <v>93</v>
      </c>
      <c r="E199">
        <v>1</v>
      </c>
    </row>
    <row r="200" spans="1:9" x14ac:dyDescent="0.3">
      <c r="A200" t="s">
        <v>438</v>
      </c>
      <c r="B200" t="s">
        <v>83</v>
      </c>
      <c r="C200" t="s">
        <v>431</v>
      </c>
      <c r="E200">
        <v>1</v>
      </c>
    </row>
    <row r="201" spans="1:9" x14ac:dyDescent="0.3">
      <c r="A201" t="s">
        <v>438</v>
      </c>
      <c r="B201" t="s">
        <v>83</v>
      </c>
      <c r="C201" t="s">
        <v>26</v>
      </c>
      <c r="E201">
        <v>1</v>
      </c>
      <c r="F201">
        <v>1</v>
      </c>
      <c r="H201">
        <v>1</v>
      </c>
      <c r="I201">
        <v>1</v>
      </c>
    </row>
    <row r="202" spans="1:9" x14ac:dyDescent="0.3">
      <c r="A202" t="s">
        <v>438</v>
      </c>
      <c r="B202" t="s">
        <v>83</v>
      </c>
      <c r="C202" t="s">
        <v>451</v>
      </c>
      <c r="E202">
        <v>1</v>
      </c>
    </row>
    <row r="203" spans="1:9" x14ac:dyDescent="0.3">
      <c r="A203" t="s">
        <v>438</v>
      </c>
      <c r="B203" t="s">
        <v>83</v>
      </c>
      <c r="C203" t="s">
        <v>450</v>
      </c>
      <c r="E203">
        <v>1</v>
      </c>
    </row>
    <row r="204" spans="1:9" x14ac:dyDescent="0.3">
      <c r="A204" t="s">
        <v>438</v>
      </c>
      <c r="B204" t="s">
        <v>83</v>
      </c>
      <c r="C204" t="s">
        <v>95</v>
      </c>
      <c r="E204">
        <v>1</v>
      </c>
    </row>
    <row r="205" spans="1:9" x14ac:dyDescent="0.3">
      <c r="A205" t="s">
        <v>438</v>
      </c>
      <c r="B205" t="s">
        <v>83</v>
      </c>
      <c r="C205" t="s">
        <v>441</v>
      </c>
      <c r="E205">
        <v>1</v>
      </c>
    </row>
    <row r="206" spans="1:9" x14ac:dyDescent="0.3">
      <c r="A206" t="s">
        <v>438</v>
      </c>
      <c r="B206" t="s">
        <v>83</v>
      </c>
      <c r="C206" t="s">
        <v>452</v>
      </c>
      <c r="E206">
        <v>1</v>
      </c>
    </row>
    <row r="207" spans="1:9" x14ac:dyDescent="0.3">
      <c r="A207" t="s">
        <v>438</v>
      </c>
      <c r="B207" t="s">
        <v>83</v>
      </c>
      <c r="C207" t="s">
        <v>23</v>
      </c>
      <c r="E207">
        <v>1</v>
      </c>
    </row>
    <row r="208" spans="1:9" x14ac:dyDescent="0.3">
      <c r="A208" t="s">
        <v>438</v>
      </c>
      <c r="B208" t="s">
        <v>83</v>
      </c>
      <c r="C208" t="s">
        <v>454</v>
      </c>
      <c r="E208">
        <v>1</v>
      </c>
    </row>
    <row r="209" spans="1:9" x14ac:dyDescent="0.3">
      <c r="A209" t="s">
        <v>438</v>
      </c>
      <c r="B209" t="s">
        <v>83</v>
      </c>
      <c r="C209" t="s">
        <v>28</v>
      </c>
      <c r="E209">
        <v>1</v>
      </c>
    </row>
    <row r="210" spans="1:9" x14ac:dyDescent="0.3">
      <c r="A210" t="s">
        <v>438</v>
      </c>
      <c r="B210" t="s">
        <v>83</v>
      </c>
      <c r="C210" t="s">
        <v>38</v>
      </c>
      <c r="E210">
        <v>1</v>
      </c>
    </row>
    <row r="211" spans="1:9" x14ac:dyDescent="0.3">
      <c r="A211" t="s">
        <v>438</v>
      </c>
      <c r="B211" t="s">
        <v>83</v>
      </c>
      <c r="C211" t="s">
        <v>97</v>
      </c>
      <c r="E211">
        <v>1</v>
      </c>
    </row>
    <row r="212" spans="1:9" x14ac:dyDescent="0.3">
      <c r="A212" t="s">
        <v>438</v>
      </c>
      <c r="B212" t="s">
        <v>83</v>
      </c>
      <c r="C212" t="s">
        <v>34</v>
      </c>
      <c r="E212">
        <v>1</v>
      </c>
      <c r="I212">
        <v>1</v>
      </c>
    </row>
    <row r="213" spans="1:9" x14ac:dyDescent="0.3">
      <c r="A213" t="s">
        <v>438</v>
      </c>
      <c r="B213" t="s">
        <v>17</v>
      </c>
      <c r="C213" t="s">
        <v>18</v>
      </c>
      <c r="D213">
        <v>1</v>
      </c>
      <c r="E213">
        <v>1</v>
      </c>
      <c r="F213">
        <v>1</v>
      </c>
      <c r="G213">
        <v>1</v>
      </c>
      <c r="H213">
        <v>1</v>
      </c>
      <c r="I213">
        <v>1</v>
      </c>
    </row>
    <row r="214" spans="1:9" x14ac:dyDescent="0.3">
      <c r="A214" t="s">
        <v>438</v>
      </c>
      <c r="B214" t="s">
        <v>17</v>
      </c>
      <c r="C214" t="s">
        <v>19</v>
      </c>
      <c r="D214">
        <v>1</v>
      </c>
      <c r="E214">
        <v>1</v>
      </c>
      <c r="F214">
        <v>1</v>
      </c>
      <c r="G214">
        <v>1</v>
      </c>
      <c r="H214">
        <v>1</v>
      </c>
      <c r="I214">
        <v>1</v>
      </c>
    </row>
    <row r="215" spans="1:9" x14ac:dyDescent="0.3">
      <c r="A215" t="s">
        <v>438</v>
      </c>
      <c r="B215" t="s">
        <v>17</v>
      </c>
      <c r="C215" t="s">
        <v>20</v>
      </c>
      <c r="D215">
        <v>1</v>
      </c>
      <c r="E215">
        <v>1</v>
      </c>
      <c r="F215">
        <v>1</v>
      </c>
      <c r="G215">
        <v>1</v>
      </c>
      <c r="H215">
        <v>1</v>
      </c>
      <c r="I215">
        <v>1</v>
      </c>
    </row>
    <row r="216" spans="1:9" x14ac:dyDescent="0.3">
      <c r="A216" t="s">
        <v>438</v>
      </c>
      <c r="B216" t="s">
        <v>17</v>
      </c>
      <c r="C216" t="s">
        <v>21</v>
      </c>
      <c r="D216">
        <v>1</v>
      </c>
      <c r="E216">
        <v>1</v>
      </c>
      <c r="F216">
        <v>1</v>
      </c>
      <c r="G216">
        <v>1</v>
      </c>
      <c r="H216">
        <v>1</v>
      </c>
      <c r="I216">
        <v>1</v>
      </c>
    </row>
    <row r="217" spans="1:9" x14ac:dyDescent="0.3">
      <c r="A217" t="s">
        <v>438</v>
      </c>
      <c r="B217" t="s">
        <v>17</v>
      </c>
      <c r="C217" t="s">
        <v>434</v>
      </c>
      <c r="D217">
        <v>1</v>
      </c>
      <c r="E217">
        <v>1</v>
      </c>
      <c r="F217">
        <v>1</v>
      </c>
      <c r="G217">
        <v>1</v>
      </c>
      <c r="H217">
        <v>1</v>
      </c>
      <c r="I217">
        <v>1</v>
      </c>
    </row>
    <row r="218" spans="1:9" x14ac:dyDescent="0.3">
      <c r="A218" t="s">
        <v>438</v>
      </c>
      <c r="B218" t="s">
        <v>17</v>
      </c>
      <c r="C218" t="s">
        <v>22</v>
      </c>
      <c r="F218">
        <v>1</v>
      </c>
      <c r="I218">
        <v>1</v>
      </c>
    </row>
    <row r="219" spans="1:9" x14ac:dyDescent="0.3">
      <c r="A219" t="s">
        <v>438</v>
      </c>
      <c r="B219" t="s">
        <v>17</v>
      </c>
      <c r="C219" t="s">
        <v>62</v>
      </c>
      <c r="E219">
        <v>1</v>
      </c>
      <c r="F219">
        <v>1</v>
      </c>
      <c r="H219">
        <v>1</v>
      </c>
      <c r="I219">
        <v>1</v>
      </c>
    </row>
    <row r="220" spans="1:9" x14ac:dyDescent="0.3">
      <c r="A220" t="s">
        <v>438</v>
      </c>
      <c r="B220" t="s">
        <v>17</v>
      </c>
      <c r="C220" t="s">
        <v>23</v>
      </c>
      <c r="D220">
        <v>1</v>
      </c>
      <c r="E220">
        <v>1</v>
      </c>
      <c r="F220">
        <v>1</v>
      </c>
      <c r="H220">
        <v>1</v>
      </c>
      <c r="I220">
        <v>1</v>
      </c>
    </row>
    <row r="221" spans="1:9" x14ac:dyDescent="0.3">
      <c r="A221" t="s">
        <v>438</v>
      </c>
      <c r="B221" t="s">
        <v>17</v>
      </c>
      <c r="C221" t="s">
        <v>10</v>
      </c>
      <c r="D221">
        <v>1</v>
      </c>
      <c r="E221">
        <v>1</v>
      </c>
      <c r="F221">
        <v>1</v>
      </c>
      <c r="H221">
        <v>1</v>
      </c>
      <c r="I221">
        <v>1</v>
      </c>
    </row>
    <row r="222" spans="1:9" x14ac:dyDescent="0.3">
      <c r="A222" t="s">
        <v>438</v>
      </c>
      <c r="B222" t="s">
        <v>17</v>
      </c>
      <c r="C222" t="s">
        <v>34</v>
      </c>
      <c r="E222">
        <v>1</v>
      </c>
      <c r="F222">
        <v>1</v>
      </c>
      <c r="H222">
        <v>1</v>
      </c>
    </row>
    <row r="223" spans="1:9" x14ac:dyDescent="0.3">
      <c r="A223" t="s">
        <v>438</v>
      </c>
      <c r="B223" t="s">
        <v>146</v>
      </c>
      <c r="C223" t="s">
        <v>434</v>
      </c>
      <c r="D223">
        <v>1</v>
      </c>
      <c r="E223">
        <v>1</v>
      </c>
      <c r="F223">
        <v>1</v>
      </c>
      <c r="H223">
        <v>1</v>
      </c>
      <c r="I223">
        <v>1</v>
      </c>
    </row>
    <row r="224" spans="1:9" x14ac:dyDescent="0.3">
      <c r="A224" t="s">
        <v>438</v>
      </c>
      <c r="B224" t="s">
        <v>11</v>
      </c>
      <c r="C224" t="s">
        <v>434</v>
      </c>
      <c r="F224">
        <v>1</v>
      </c>
      <c r="G224">
        <v>1</v>
      </c>
      <c r="H224">
        <v>1</v>
      </c>
    </row>
    <row r="225" spans="1:9" x14ac:dyDescent="0.3">
      <c r="A225" t="s">
        <v>438</v>
      </c>
      <c r="B225" t="s">
        <v>45</v>
      </c>
      <c r="C225" t="s">
        <v>434</v>
      </c>
      <c r="D225">
        <v>1</v>
      </c>
      <c r="F225">
        <v>1</v>
      </c>
      <c r="H225">
        <v>1</v>
      </c>
      <c r="I225">
        <v>1</v>
      </c>
    </row>
    <row r="226" spans="1:9" x14ac:dyDescent="0.3">
      <c r="A226" t="s">
        <v>438</v>
      </c>
      <c r="B226" t="s">
        <v>45</v>
      </c>
      <c r="C226" t="s">
        <v>28</v>
      </c>
      <c r="E226">
        <v>1</v>
      </c>
      <c r="I226">
        <v>1</v>
      </c>
    </row>
    <row r="227" spans="1:9" x14ac:dyDescent="0.3">
      <c r="A227" t="s">
        <v>438</v>
      </c>
      <c r="B227" t="s">
        <v>229</v>
      </c>
      <c r="C227" t="s">
        <v>18</v>
      </c>
      <c r="D227">
        <v>1</v>
      </c>
      <c r="E227">
        <v>1</v>
      </c>
      <c r="F227">
        <v>1</v>
      </c>
      <c r="H227">
        <v>1</v>
      </c>
      <c r="I227">
        <v>1</v>
      </c>
    </row>
    <row r="228" spans="1:9" x14ac:dyDescent="0.3">
      <c r="A228" t="s">
        <v>438</v>
      </c>
      <c r="B228" t="s">
        <v>229</v>
      </c>
      <c r="C228" t="s">
        <v>68</v>
      </c>
      <c r="D228">
        <v>1</v>
      </c>
      <c r="E228">
        <v>1</v>
      </c>
      <c r="F228">
        <v>1</v>
      </c>
      <c r="H228">
        <v>1</v>
      </c>
      <c r="I228">
        <v>1</v>
      </c>
    </row>
    <row r="229" spans="1:9" x14ac:dyDescent="0.3">
      <c r="A229" t="s">
        <v>438</v>
      </c>
      <c r="B229" t="s">
        <v>229</v>
      </c>
      <c r="C229" t="s">
        <v>19</v>
      </c>
      <c r="D229">
        <v>1</v>
      </c>
      <c r="E229">
        <v>1</v>
      </c>
    </row>
    <row r="230" spans="1:9" x14ac:dyDescent="0.3">
      <c r="A230" t="s">
        <v>438</v>
      </c>
      <c r="B230" t="s">
        <v>229</v>
      </c>
      <c r="C230" t="s">
        <v>434</v>
      </c>
      <c r="D230">
        <v>1</v>
      </c>
      <c r="E230">
        <v>1</v>
      </c>
      <c r="F230">
        <v>1</v>
      </c>
      <c r="G230">
        <v>1</v>
      </c>
      <c r="H230">
        <v>1</v>
      </c>
      <c r="I230">
        <v>1</v>
      </c>
    </row>
    <row r="231" spans="1:9" x14ac:dyDescent="0.3">
      <c r="A231" t="s">
        <v>438</v>
      </c>
      <c r="B231" t="s">
        <v>229</v>
      </c>
      <c r="C231" t="s">
        <v>22</v>
      </c>
      <c r="D231">
        <v>1</v>
      </c>
      <c r="E231">
        <v>1</v>
      </c>
    </row>
    <row r="232" spans="1:9" x14ac:dyDescent="0.3">
      <c r="A232" t="s">
        <v>438</v>
      </c>
      <c r="B232" t="s">
        <v>229</v>
      </c>
      <c r="C232" t="s">
        <v>62</v>
      </c>
      <c r="I232">
        <v>1</v>
      </c>
    </row>
    <row r="233" spans="1:9" x14ac:dyDescent="0.3">
      <c r="A233" t="s">
        <v>438</v>
      </c>
      <c r="B233" t="s">
        <v>9</v>
      </c>
      <c r="C233" t="s">
        <v>434</v>
      </c>
      <c r="E233">
        <v>1</v>
      </c>
      <c r="F233">
        <v>1</v>
      </c>
      <c r="G233">
        <v>1</v>
      </c>
      <c r="H233">
        <v>1</v>
      </c>
      <c r="I233">
        <v>1</v>
      </c>
    </row>
    <row r="234" spans="1:9" x14ac:dyDescent="0.3">
      <c r="A234" t="s">
        <v>438</v>
      </c>
      <c r="B234" t="s">
        <v>9</v>
      </c>
      <c r="C234" t="s">
        <v>10</v>
      </c>
      <c r="D234">
        <v>1</v>
      </c>
      <c r="G234">
        <v>1</v>
      </c>
      <c r="H234">
        <v>1</v>
      </c>
      <c r="I234">
        <v>1</v>
      </c>
    </row>
    <row r="235" spans="1:9" x14ac:dyDescent="0.3">
      <c r="A235" t="s">
        <v>438</v>
      </c>
      <c r="B235" t="s">
        <v>9</v>
      </c>
      <c r="C235" t="s">
        <v>439</v>
      </c>
      <c r="D235">
        <v>1</v>
      </c>
      <c r="E235">
        <v>1</v>
      </c>
      <c r="F235">
        <v>1</v>
      </c>
      <c r="G235">
        <v>1</v>
      </c>
      <c r="H235">
        <v>1</v>
      </c>
      <c r="I235">
        <v>1</v>
      </c>
    </row>
    <row r="236" spans="1:9" x14ac:dyDescent="0.3">
      <c r="A236" t="s">
        <v>438</v>
      </c>
      <c r="B236" t="s">
        <v>47</v>
      </c>
      <c r="C236" t="s">
        <v>434</v>
      </c>
      <c r="D236">
        <v>1</v>
      </c>
      <c r="E236">
        <v>1</v>
      </c>
      <c r="F236">
        <v>1</v>
      </c>
      <c r="G236">
        <v>1</v>
      </c>
      <c r="H236">
        <v>1</v>
      </c>
      <c r="I236">
        <v>1</v>
      </c>
    </row>
    <row r="237" spans="1:9" x14ac:dyDescent="0.3">
      <c r="A237" t="s">
        <v>438</v>
      </c>
      <c r="B237" t="s">
        <v>47</v>
      </c>
      <c r="C237" t="s">
        <v>15</v>
      </c>
      <c r="E237">
        <v>1</v>
      </c>
    </row>
    <row r="238" spans="1:9" x14ac:dyDescent="0.3">
      <c r="A238" t="s">
        <v>438</v>
      </c>
      <c r="B238" t="s">
        <v>290</v>
      </c>
      <c r="C238" t="s">
        <v>434</v>
      </c>
      <c r="D238">
        <v>1</v>
      </c>
      <c r="E238">
        <v>1</v>
      </c>
      <c r="F238">
        <v>1</v>
      </c>
      <c r="G238">
        <v>1</v>
      </c>
      <c r="H238">
        <v>1</v>
      </c>
      <c r="I238">
        <v>1</v>
      </c>
    </row>
    <row r="239" spans="1:9" x14ac:dyDescent="0.3">
      <c r="A239" t="s">
        <v>438</v>
      </c>
      <c r="B239" t="s">
        <v>69</v>
      </c>
      <c r="C239" t="s">
        <v>68</v>
      </c>
      <c r="E239">
        <v>1</v>
      </c>
      <c r="F239">
        <v>1</v>
      </c>
      <c r="H239">
        <v>1</v>
      </c>
      <c r="I239">
        <v>1</v>
      </c>
    </row>
    <row r="240" spans="1:9" x14ac:dyDescent="0.3">
      <c r="A240" t="s">
        <v>438</v>
      </c>
      <c r="B240" t="s">
        <v>69</v>
      </c>
      <c r="C240" t="s">
        <v>19</v>
      </c>
      <c r="D240">
        <v>1</v>
      </c>
      <c r="E240">
        <v>1</v>
      </c>
      <c r="F240">
        <v>1</v>
      </c>
      <c r="G240">
        <v>1</v>
      </c>
    </row>
    <row r="241" spans="1:9" x14ac:dyDescent="0.3">
      <c r="A241" t="s">
        <v>438</v>
      </c>
      <c r="B241" t="s">
        <v>69</v>
      </c>
      <c r="C241" t="s">
        <v>20</v>
      </c>
      <c r="D241">
        <v>1</v>
      </c>
      <c r="E241">
        <v>1</v>
      </c>
      <c r="F241">
        <v>1</v>
      </c>
      <c r="G241">
        <v>1</v>
      </c>
      <c r="H241">
        <v>1</v>
      </c>
      <c r="I241">
        <v>1</v>
      </c>
    </row>
    <row r="242" spans="1:9" x14ac:dyDescent="0.3">
      <c r="A242" t="s">
        <v>438</v>
      </c>
      <c r="B242" t="s">
        <v>69</v>
      </c>
      <c r="C242" t="s">
        <v>37</v>
      </c>
      <c r="D242">
        <v>1</v>
      </c>
      <c r="E242">
        <v>1</v>
      </c>
      <c r="F242">
        <v>1</v>
      </c>
      <c r="H242">
        <v>1</v>
      </c>
      <c r="I242">
        <v>1</v>
      </c>
    </row>
    <row r="243" spans="1:9" x14ac:dyDescent="0.3">
      <c r="A243" t="s">
        <v>438</v>
      </c>
      <c r="B243" t="s">
        <v>69</v>
      </c>
      <c r="C243" t="s">
        <v>21</v>
      </c>
      <c r="D243">
        <v>1</v>
      </c>
      <c r="E243">
        <v>1</v>
      </c>
      <c r="F243">
        <v>1</v>
      </c>
      <c r="G243">
        <v>1</v>
      </c>
      <c r="H243">
        <v>1</v>
      </c>
      <c r="I243">
        <v>1</v>
      </c>
    </row>
    <row r="244" spans="1:9" x14ac:dyDescent="0.3">
      <c r="A244" t="s">
        <v>438</v>
      </c>
      <c r="B244" t="s">
        <v>69</v>
      </c>
      <c r="C244" t="s">
        <v>434</v>
      </c>
      <c r="D244">
        <v>1</v>
      </c>
      <c r="E244">
        <v>1</v>
      </c>
      <c r="F244">
        <v>1</v>
      </c>
      <c r="G244">
        <v>1</v>
      </c>
      <c r="H244">
        <v>1</v>
      </c>
      <c r="I244">
        <v>1</v>
      </c>
    </row>
    <row r="245" spans="1:9" x14ac:dyDescent="0.3">
      <c r="A245" t="s">
        <v>438</v>
      </c>
      <c r="B245" t="s">
        <v>69</v>
      </c>
      <c r="C245" t="s">
        <v>15</v>
      </c>
      <c r="G245">
        <v>1</v>
      </c>
    </row>
    <row r="246" spans="1:9" x14ac:dyDescent="0.3">
      <c r="A246" t="s">
        <v>438</v>
      </c>
      <c r="B246" t="s">
        <v>69</v>
      </c>
      <c r="C246" t="s">
        <v>22</v>
      </c>
      <c r="F246">
        <v>1</v>
      </c>
    </row>
    <row r="247" spans="1:9" x14ac:dyDescent="0.3">
      <c r="A247" t="s">
        <v>438</v>
      </c>
      <c r="B247" t="s">
        <v>69</v>
      </c>
      <c r="C247" t="s">
        <v>26</v>
      </c>
      <c r="D247">
        <v>1</v>
      </c>
      <c r="E247">
        <v>1</v>
      </c>
      <c r="F247">
        <v>1</v>
      </c>
      <c r="G247">
        <v>1</v>
      </c>
      <c r="I247">
        <v>1</v>
      </c>
    </row>
    <row r="248" spans="1:9" x14ac:dyDescent="0.3">
      <c r="A248" t="s">
        <v>438</v>
      </c>
      <c r="B248" t="s">
        <v>69</v>
      </c>
      <c r="C248" t="s">
        <v>23</v>
      </c>
      <c r="D248">
        <v>1</v>
      </c>
      <c r="E248">
        <v>1</v>
      </c>
      <c r="F248">
        <v>1</v>
      </c>
      <c r="G248">
        <v>1</v>
      </c>
      <c r="H248">
        <v>1</v>
      </c>
      <c r="I248">
        <v>1</v>
      </c>
    </row>
    <row r="249" spans="1:9" x14ac:dyDescent="0.3">
      <c r="A249" t="s">
        <v>438</v>
      </c>
      <c r="B249" t="s">
        <v>67</v>
      </c>
      <c r="C249" t="s">
        <v>18</v>
      </c>
      <c r="D249">
        <v>1</v>
      </c>
      <c r="E249">
        <v>1</v>
      </c>
      <c r="G249">
        <v>1</v>
      </c>
    </row>
    <row r="250" spans="1:9" x14ac:dyDescent="0.3">
      <c r="A250" t="s">
        <v>438</v>
      </c>
      <c r="B250" t="s">
        <v>67</v>
      </c>
      <c r="C250" t="s">
        <v>19</v>
      </c>
      <c r="D250">
        <v>1</v>
      </c>
      <c r="E250">
        <v>1</v>
      </c>
      <c r="F250">
        <v>1</v>
      </c>
      <c r="G250">
        <v>1</v>
      </c>
      <c r="H250">
        <v>1</v>
      </c>
      <c r="I250">
        <v>1</v>
      </c>
    </row>
    <row r="251" spans="1:9" x14ac:dyDescent="0.3">
      <c r="A251" t="s">
        <v>438</v>
      </c>
      <c r="B251" t="s">
        <v>67</v>
      </c>
      <c r="C251" t="s">
        <v>20</v>
      </c>
      <c r="D251">
        <v>1</v>
      </c>
      <c r="E251">
        <v>1</v>
      </c>
      <c r="F251">
        <v>1</v>
      </c>
      <c r="H251">
        <v>1</v>
      </c>
      <c r="I251">
        <v>1</v>
      </c>
    </row>
    <row r="252" spans="1:9" x14ac:dyDescent="0.3">
      <c r="A252" t="s">
        <v>438</v>
      </c>
      <c r="B252" t="s">
        <v>67</v>
      </c>
      <c r="C252" t="s">
        <v>37</v>
      </c>
      <c r="D252">
        <v>1</v>
      </c>
      <c r="E252">
        <v>1</v>
      </c>
      <c r="H252">
        <v>1</v>
      </c>
      <c r="I252">
        <v>1</v>
      </c>
    </row>
    <row r="253" spans="1:9" x14ac:dyDescent="0.3">
      <c r="A253" t="s">
        <v>438</v>
      </c>
      <c r="B253" t="s">
        <v>67</v>
      </c>
      <c r="C253" t="s">
        <v>434</v>
      </c>
      <c r="D253">
        <v>1</v>
      </c>
      <c r="E253">
        <v>1</v>
      </c>
      <c r="F253">
        <v>1</v>
      </c>
      <c r="G253">
        <v>1</v>
      </c>
      <c r="H253">
        <v>1</v>
      </c>
      <c r="I253">
        <v>1</v>
      </c>
    </row>
    <row r="254" spans="1:9" x14ac:dyDescent="0.3">
      <c r="A254" t="s">
        <v>438</v>
      </c>
      <c r="B254" t="s">
        <v>67</v>
      </c>
      <c r="C254" t="s">
        <v>87</v>
      </c>
      <c r="E254">
        <v>1</v>
      </c>
      <c r="F254">
        <v>1</v>
      </c>
    </row>
    <row r="255" spans="1:9" x14ac:dyDescent="0.3">
      <c r="A255" t="s">
        <v>438</v>
      </c>
      <c r="B255" t="s">
        <v>67</v>
      </c>
      <c r="C255" t="s">
        <v>15</v>
      </c>
      <c r="D255">
        <v>1</v>
      </c>
      <c r="I255">
        <v>1</v>
      </c>
    </row>
    <row r="256" spans="1:9" x14ac:dyDescent="0.3">
      <c r="A256" t="s">
        <v>438</v>
      </c>
      <c r="B256" t="s">
        <v>67</v>
      </c>
      <c r="C256" t="s">
        <v>94</v>
      </c>
      <c r="E256">
        <v>1</v>
      </c>
    </row>
    <row r="257" spans="1:9" x14ac:dyDescent="0.3">
      <c r="A257" t="s">
        <v>438</v>
      </c>
      <c r="B257" t="s">
        <v>67</v>
      </c>
      <c r="C257" t="s">
        <v>62</v>
      </c>
      <c r="F257">
        <v>1</v>
      </c>
    </row>
    <row r="258" spans="1:9" x14ac:dyDescent="0.3">
      <c r="A258" t="s">
        <v>438</v>
      </c>
      <c r="B258" t="s">
        <v>67</v>
      </c>
      <c r="C258" t="s">
        <v>10</v>
      </c>
      <c r="D258">
        <v>1</v>
      </c>
      <c r="E258">
        <v>1</v>
      </c>
      <c r="F258">
        <v>1</v>
      </c>
      <c r="H258">
        <v>1</v>
      </c>
      <c r="I258">
        <v>1</v>
      </c>
    </row>
    <row r="259" spans="1:9" x14ac:dyDescent="0.3">
      <c r="A259" t="s">
        <v>438</v>
      </c>
      <c r="B259" t="s">
        <v>67</v>
      </c>
      <c r="C259" t="s">
        <v>28</v>
      </c>
      <c r="F259">
        <v>1</v>
      </c>
      <c r="I259">
        <v>1</v>
      </c>
    </row>
    <row r="260" spans="1:9" x14ac:dyDescent="0.3">
      <c r="A260" t="s">
        <v>438</v>
      </c>
      <c r="B260" t="s">
        <v>67</v>
      </c>
      <c r="C260" t="s">
        <v>97</v>
      </c>
      <c r="E260">
        <v>1</v>
      </c>
      <c r="F260">
        <v>1</v>
      </c>
      <c r="I260">
        <v>1</v>
      </c>
    </row>
    <row r="261" spans="1:9" x14ac:dyDescent="0.3">
      <c r="A261" t="s">
        <v>438</v>
      </c>
      <c r="B261" t="s">
        <v>33</v>
      </c>
      <c r="C261" t="s">
        <v>19</v>
      </c>
      <c r="H261">
        <v>1</v>
      </c>
      <c r="I261">
        <v>1</v>
      </c>
    </row>
    <row r="262" spans="1:9" x14ac:dyDescent="0.3">
      <c r="A262" t="s">
        <v>438</v>
      </c>
      <c r="B262" t="s">
        <v>33</v>
      </c>
      <c r="C262" t="s">
        <v>21</v>
      </c>
      <c r="D262">
        <v>1</v>
      </c>
      <c r="E262">
        <v>1</v>
      </c>
      <c r="H262">
        <v>1</v>
      </c>
      <c r="I262">
        <v>1</v>
      </c>
    </row>
    <row r="263" spans="1:9" x14ac:dyDescent="0.3">
      <c r="A263" t="s">
        <v>438</v>
      </c>
      <c r="B263" t="s">
        <v>33</v>
      </c>
      <c r="C263" t="s">
        <v>434</v>
      </c>
      <c r="D263">
        <v>1</v>
      </c>
      <c r="E263">
        <v>1</v>
      </c>
      <c r="F263">
        <v>1</v>
      </c>
      <c r="G263">
        <v>1</v>
      </c>
      <c r="H263">
        <v>1</v>
      </c>
      <c r="I263">
        <v>1</v>
      </c>
    </row>
    <row r="264" spans="1:9" x14ac:dyDescent="0.3">
      <c r="A264" t="s">
        <v>438</v>
      </c>
      <c r="B264" t="s">
        <v>33</v>
      </c>
      <c r="C264" t="s">
        <v>15</v>
      </c>
      <c r="I264">
        <v>1</v>
      </c>
    </row>
    <row r="265" spans="1:9" x14ac:dyDescent="0.3">
      <c r="A265" t="s">
        <v>438</v>
      </c>
      <c r="B265" t="s">
        <v>33</v>
      </c>
      <c r="C265" t="s">
        <v>26</v>
      </c>
      <c r="D265">
        <v>1</v>
      </c>
      <c r="F265">
        <v>1</v>
      </c>
      <c r="I265">
        <v>1</v>
      </c>
    </row>
    <row r="266" spans="1:9" x14ac:dyDescent="0.3">
      <c r="A266" t="s">
        <v>438</v>
      </c>
      <c r="B266" t="s">
        <v>33</v>
      </c>
      <c r="C266" t="s">
        <v>34</v>
      </c>
      <c r="G266">
        <v>1</v>
      </c>
      <c r="H266">
        <v>1</v>
      </c>
      <c r="I266">
        <v>1</v>
      </c>
    </row>
    <row r="267" spans="1:9" x14ac:dyDescent="0.3">
      <c r="A267" t="s">
        <v>438</v>
      </c>
      <c r="B267" t="s">
        <v>7</v>
      </c>
      <c r="C267" t="s">
        <v>434</v>
      </c>
      <c r="D267">
        <v>1</v>
      </c>
      <c r="E267">
        <v>1</v>
      </c>
      <c r="F267">
        <v>1</v>
      </c>
      <c r="G267">
        <v>1</v>
      </c>
      <c r="H267">
        <v>1</v>
      </c>
      <c r="I267">
        <v>1</v>
      </c>
    </row>
    <row r="268" spans="1:9" x14ac:dyDescent="0.3">
      <c r="A268" t="s">
        <v>438</v>
      </c>
      <c r="B268" t="s">
        <v>44</v>
      </c>
      <c r="C268" t="s">
        <v>18</v>
      </c>
      <c r="D268">
        <v>1</v>
      </c>
      <c r="E268">
        <v>1</v>
      </c>
      <c r="I268">
        <v>1</v>
      </c>
    </row>
    <row r="269" spans="1:9" x14ac:dyDescent="0.3">
      <c r="A269" t="s">
        <v>438</v>
      </c>
      <c r="B269" t="s">
        <v>44</v>
      </c>
      <c r="C269" t="s">
        <v>37</v>
      </c>
      <c r="D269">
        <v>1</v>
      </c>
      <c r="I269">
        <v>1</v>
      </c>
    </row>
    <row r="270" spans="1:9" x14ac:dyDescent="0.3">
      <c r="A270" t="s">
        <v>438</v>
      </c>
      <c r="B270" t="s">
        <v>44</v>
      </c>
      <c r="C270" t="s">
        <v>21</v>
      </c>
      <c r="D270">
        <v>1</v>
      </c>
      <c r="E270">
        <v>1</v>
      </c>
      <c r="H270">
        <v>1</v>
      </c>
    </row>
    <row r="271" spans="1:9" x14ac:dyDescent="0.3">
      <c r="A271" t="s">
        <v>438</v>
      </c>
      <c r="B271" t="s">
        <v>44</v>
      </c>
      <c r="C271" t="s">
        <v>434</v>
      </c>
      <c r="D271">
        <v>1</v>
      </c>
      <c r="E271">
        <v>1</v>
      </c>
      <c r="F271">
        <v>1</v>
      </c>
      <c r="G271">
        <v>1</v>
      </c>
      <c r="H271">
        <v>1</v>
      </c>
      <c r="I271">
        <v>1</v>
      </c>
    </row>
    <row r="272" spans="1:9" x14ac:dyDescent="0.3">
      <c r="A272" t="s">
        <v>438</v>
      </c>
      <c r="B272" t="s">
        <v>44</v>
      </c>
      <c r="C272" t="s">
        <v>27</v>
      </c>
      <c r="D272">
        <v>1</v>
      </c>
      <c r="E272">
        <v>1</v>
      </c>
      <c r="F272">
        <v>1</v>
      </c>
      <c r="G272">
        <v>1</v>
      </c>
      <c r="I272">
        <v>1</v>
      </c>
    </row>
    <row r="273" spans="1:9" x14ac:dyDescent="0.3">
      <c r="A273" t="s">
        <v>438</v>
      </c>
      <c r="B273" t="s">
        <v>44</v>
      </c>
      <c r="C273" t="s">
        <v>28</v>
      </c>
      <c r="D273">
        <v>1</v>
      </c>
      <c r="E273">
        <v>1</v>
      </c>
      <c r="F273">
        <v>1</v>
      </c>
      <c r="I273">
        <v>1</v>
      </c>
    </row>
    <row r="274" spans="1:9" x14ac:dyDescent="0.3">
      <c r="A274" t="s">
        <v>438</v>
      </c>
      <c r="B274" t="s">
        <v>44</v>
      </c>
      <c r="C274" t="s">
        <v>38</v>
      </c>
      <c r="D274">
        <v>1</v>
      </c>
      <c r="E274">
        <v>1</v>
      </c>
      <c r="F274">
        <v>1</v>
      </c>
      <c r="H274">
        <v>1</v>
      </c>
      <c r="I274">
        <v>1</v>
      </c>
    </row>
    <row r="275" spans="1:9" x14ac:dyDescent="0.3">
      <c r="A275" t="s">
        <v>438</v>
      </c>
      <c r="B275" t="s">
        <v>312</v>
      </c>
      <c r="C275" t="s">
        <v>434</v>
      </c>
      <c r="D275">
        <v>1</v>
      </c>
      <c r="E275">
        <v>1</v>
      </c>
      <c r="F275">
        <v>1</v>
      </c>
      <c r="G275">
        <v>1</v>
      </c>
      <c r="H275">
        <v>1</v>
      </c>
      <c r="I275">
        <v>1</v>
      </c>
    </row>
    <row r="276" spans="1:9" x14ac:dyDescent="0.3">
      <c r="A276" t="s">
        <v>438</v>
      </c>
      <c r="B276" t="s">
        <v>8</v>
      </c>
      <c r="C276" t="s">
        <v>434</v>
      </c>
      <c r="D276">
        <v>1</v>
      </c>
      <c r="E276">
        <v>1</v>
      </c>
      <c r="F276">
        <v>1</v>
      </c>
      <c r="H276">
        <v>1</v>
      </c>
    </row>
    <row r="277" spans="1:9" x14ac:dyDescent="0.3">
      <c r="A277" t="s">
        <v>438</v>
      </c>
      <c r="B277" t="s">
        <v>372</v>
      </c>
      <c r="C277" t="s">
        <v>18</v>
      </c>
      <c r="D277">
        <v>1</v>
      </c>
      <c r="E277">
        <v>1</v>
      </c>
      <c r="I277">
        <v>1</v>
      </c>
    </row>
    <row r="278" spans="1:9" x14ac:dyDescent="0.3">
      <c r="A278" t="s">
        <v>438</v>
      </c>
      <c r="B278" t="s">
        <v>372</v>
      </c>
      <c r="C278" t="s">
        <v>68</v>
      </c>
      <c r="E278">
        <v>1</v>
      </c>
      <c r="H278">
        <v>1</v>
      </c>
      <c r="I278">
        <v>1</v>
      </c>
    </row>
    <row r="279" spans="1:9" x14ac:dyDescent="0.3">
      <c r="A279" t="s">
        <v>438</v>
      </c>
      <c r="B279" t="s">
        <v>372</v>
      </c>
      <c r="C279" t="s">
        <v>434</v>
      </c>
      <c r="D279">
        <v>1</v>
      </c>
      <c r="E279">
        <v>1</v>
      </c>
      <c r="F279">
        <v>1</v>
      </c>
      <c r="G279">
        <v>1</v>
      </c>
      <c r="H279">
        <v>1</v>
      </c>
      <c r="I279">
        <v>1</v>
      </c>
    </row>
    <row r="280" spans="1:9" x14ac:dyDescent="0.3">
      <c r="A280" t="s">
        <v>438</v>
      </c>
      <c r="B280" t="s">
        <v>372</v>
      </c>
      <c r="C280" t="s">
        <v>440</v>
      </c>
      <c r="E280">
        <v>1</v>
      </c>
    </row>
    <row r="281" spans="1:9" x14ac:dyDescent="0.3">
      <c r="A281" t="s">
        <v>438</v>
      </c>
      <c r="B281" t="s">
        <v>372</v>
      </c>
      <c r="C281" t="s">
        <v>15</v>
      </c>
      <c r="H281">
        <v>1</v>
      </c>
      <c r="I281">
        <v>1</v>
      </c>
    </row>
    <row r="282" spans="1:9" x14ac:dyDescent="0.3">
      <c r="A282" t="s">
        <v>438</v>
      </c>
      <c r="B282" t="s">
        <v>372</v>
      </c>
      <c r="C282" t="s">
        <v>431</v>
      </c>
      <c r="D282">
        <v>1</v>
      </c>
    </row>
    <row r="283" spans="1:9" x14ac:dyDescent="0.3">
      <c r="A283" t="s">
        <v>438</v>
      </c>
      <c r="B283" t="s">
        <v>372</v>
      </c>
      <c r="C283" t="s">
        <v>38</v>
      </c>
      <c r="D283">
        <v>1</v>
      </c>
      <c r="E283">
        <v>1</v>
      </c>
      <c r="F283">
        <v>1</v>
      </c>
      <c r="H283">
        <v>1</v>
      </c>
    </row>
    <row r="284" spans="1:9" x14ac:dyDescent="0.3">
      <c r="A284" t="s">
        <v>438</v>
      </c>
      <c r="B284" t="s">
        <v>372</v>
      </c>
      <c r="C284" t="s">
        <v>97</v>
      </c>
      <c r="D284">
        <v>1</v>
      </c>
      <c r="E284">
        <v>1</v>
      </c>
      <c r="F284">
        <v>1</v>
      </c>
      <c r="H284">
        <v>1</v>
      </c>
      <c r="I284">
        <v>1</v>
      </c>
    </row>
    <row r="285" spans="1:9" x14ac:dyDescent="0.3">
      <c r="A285" t="s">
        <v>438</v>
      </c>
      <c r="B285" t="s">
        <v>12</v>
      </c>
      <c r="C285" t="s">
        <v>434</v>
      </c>
      <c r="D285">
        <v>1</v>
      </c>
      <c r="H285">
        <v>1</v>
      </c>
    </row>
    <row r="286" spans="1:9" x14ac:dyDescent="0.3">
      <c r="A286" t="s">
        <v>438</v>
      </c>
      <c r="B286" t="s">
        <v>12</v>
      </c>
      <c r="C286" t="s">
        <v>10</v>
      </c>
      <c r="I286">
        <v>1</v>
      </c>
    </row>
    <row r="287" spans="1:9" x14ac:dyDescent="0.3">
      <c r="A287" t="s">
        <v>438</v>
      </c>
      <c r="B287" t="s">
        <v>12</v>
      </c>
      <c r="C287" t="s">
        <v>97</v>
      </c>
      <c r="G287">
        <v>1</v>
      </c>
      <c r="H287">
        <v>1</v>
      </c>
      <c r="I287">
        <v>1</v>
      </c>
    </row>
    <row r="288" spans="1:9" x14ac:dyDescent="0.3">
      <c r="A288" t="s">
        <v>436</v>
      </c>
      <c r="B288" t="s">
        <v>13</v>
      </c>
      <c r="C288" t="s">
        <v>14</v>
      </c>
      <c r="E288">
        <v>1</v>
      </c>
    </row>
    <row r="289" spans="1:9" x14ac:dyDescent="0.3">
      <c r="A289" t="s">
        <v>436</v>
      </c>
      <c r="B289" t="s">
        <v>13</v>
      </c>
      <c r="C289" t="s">
        <v>434</v>
      </c>
      <c r="D289">
        <v>1</v>
      </c>
      <c r="E289">
        <v>1</v>
      </c>
      <c r="F289">
        <v>1</v>
      </c>
      <c r="G289">
        <v>1</v>
      </c>
      <c r="H289">
        <v>1</v>
      </c>
      <c r="I289">
        <v>1</v>
      </c>
    </row>
    <row r="290" spans="1:9" x14ac:dyDescent="0.3">
      <c r="A290" t="s">
        <v>436</v>
      </c>
      <c r="B290" t="s">
        <v>13</v>
      </c>
      <c r="C290" t="s">
        <v>15</v>
      </c>
      <c r="F290">
        <v>1</v>
      </c>
    </row>
    <row r="291" spans="1:9" x14ac:dyDescent="0.3">
      <c r="A291" t="s">
        <v>436</v>
      </c>
      <c r="B291" t="s">
        <v>16</v>
      </c>
      <c r="C291" t="s">
        <v>14</v>
      </c>
      <c r="E291">
        <v>1</v>
      </c>
      <c r="F291">
        <v>1</v>
      </c>
      <c r="G291">
        <v>1</v>
      </c>
      <c r="H291">
        <v>1</v>
      </c>
      <c r="I291">
        <v>1</v>
      </c>
    </row>
    <row r="292" spans="1:9" x14ac:dyDescent="0.3">
      <c r="A292" t="s">
        <v>436</v>
      </c>
      <c r="B292" t="s">
        <v>16</v>
      </c>
      <c r="C292" t="s">
        <v>434</v>
      </c>
      <c r="D292">
        <v>1</v>
      </c>
      <c r="E292">
        <v>1</v>
      </c>
      <c r="F292">
        <v>1</v>
      </c>
      <c r="G292">
        <v>1</v>
      </c>
      <c r="H292">
        <v>1</v>
      </c>
      <c r="I292">
        <v>1</v>
      </c>
    </row>
    <row r="293" spans="1:9" x14ac:dyDescent="0.3">
      <c r="A293" t="s">
        <v>436</v>
      </c>
      <c r="B293" t="s">
        <v>16</v>
      </c>
      <c r="C293" t="s">
        <v>15</v>
      </c>
      <c r="E293">
        <v>1</v>
      </c>
      <c r="F293">
        <v>1</v>
      </c>
      <c r="G293">
        <v>1</v>
      </c>
      <c r="H293">
        <v>1</v>
      </c>
      <c r="I293">
        <v>1</v>
      </c>
    </row>
    <row r="294" spans="1:9" x14ac:dyDescent="0.3">
      <c r="A294" t="s">
        <v>436</v>
      </c>
      <c r="B294" t="s">
        <v>16</v>
      </c>
      <c r="C294" t="s">
        <v>10</v>
      </c>
      <c r="E294">
        <v>1</v>
      </c>
      <c r="F294">
        <v>1</v>
      </c>
      <c r="I294">
        <v>1</v>
      </c>
    </row>
    <row r="295" spans="1:9" x14ac:dyDescent="0.3">
      <c r="A295" t="s">
        <v>436</v>
      </c>
      <c r="B295" t="s">
        <v>30</v>
      </c>
      <c r="C295" t="s">
        <v>434</v>
      </c>
      <c r="D295">
        <v>1</v>
      </c>
      <c r="E295">
        <v>1</v>
      </c>
      <c r="F295">
        <v>1</v>
      </c>
      <c r="G295">
        <v>1</v>
      </c>
      <c r="H295">
        <v>1</v>
      </c>
      <c r="I295">
        <v>1</v>
      </c>
    </row>
    <row r="296" spans="1:9" x14ac:dyDescent="0.3">
      <c r="A296" t="s">
        <v>436</v>
      </c>
      <c r="B296" t="s">
        <v>58</v>
      </c>
      <c r="C296" t="s">
        <v>14</v>
      </c>
      <c r="E296">
        <v>1</v>
      </c>
      <c r="F296">
        <v>1</v>
      </c>
    </row>
    <row r="297" spans="1:9" x14ac:dyDescent="0.3">
      <c r="A297" t="s">
        <v>436</v>
      </c>
      <c r="B297" t="s">
        <v>58</v>
      </c>
      <c r="C297" t="s">
        <v>20</v>
      </c>
      <c r="D297">
        <v>1</v>
      </c>
      <c r="F297">
        <v>1</v>
      </c>
    </row>
    <row r="298" spans="1:9" x14ac:dyDescent="0.3">
      <c r="A298" t="s">
        <v>436</v>
      </c>
      <c r="B298" t="s">
        <v>58</v>
      </c>
      <c r="C298" t="s">
        <v>21</v>
      </c>
      <c r="D298">
        <v>1</v>
      </c>
      <c r="F298">
        <v>1</v>
      </c>
    </row>
    <row r="299" spans="1:9" x14ac:dyDescent="0.3">
      <c r="A299" t="s">
        <v>436</v>
      </c>
      <c r="B299" t="s">
        <v>58</v>
      </c>
      <c r="C299" t="s">
        <v>434</v>
      </c>
      <c r="E299">
        <v>1</v>
      </c>
      <c r="G299">
        <v>1</v>
      </c>
    </row>
    <row r="300" spans="1:9" x14ac:dyDescent="0.3">
      <c r="A300" t="s">
        <v>436</v>
      </c>
      <c r="B300" t="s">
        <v>58</v>
      </c>
      <c r="C300" t="s">
        <v>15</v>
      </c>
      <c r="E300">
        <v>1</v>
      </c>
    </row>
    <row r="301" spans="1:9" x14ac:dyDescent="0.3">
      <c r="A301" t="s">
        <v>436</v>
      </c>
      <c r="B301" t="s">
        <v>58</v>
      </c>
      <c r="C301" t="s">
        <v>10</v>
      </c>
      <c r="E301">
        <v>1</v>
      </c>
      <c r="F301">
        <v>1</v>
      </c>
      <c r="G301">
        <v>1</v>
      </c>
      <c r="H301">
        <v>1</v>
      </c>
    </row>
    <row r="302" spans="1:9" x14ac:dyDescent="0.3">
      <c r="A302" t="s">
        <v>436</v>
      </c>
      <c r="B302" t="s">
        <v>58</v>
      </c>
      <c r="C302" t="s">
        <v>28</v>
      </c>
      <c r="D302">
        <v>1</v>
      </c>
      <c r="F302">
        <v>1</v>
      </c>
    </row>
    <row r="303" spans="1:9" x14ac:dyDescent="0.3">
      <c r="A303" t="s">
        <v>436</v>
      </c>
      <c r="B303" t="s">
        <v>58</v>
      </c>
      <c r="C303" t="s">
        <v>34</v>
      </c>
      <c r="F303">
        <v>1</v>
      </c>
    </row>
    <row r="304" spans="1:9" x14ac:dyDescent="0.3">
      <c r="A304" t="s">
        <v>436</v>
      </c>
      <c r="B304" t="s">
        <v>24</v>
      </c>
      <c r="C304" t="s">
        <v>437</v>
      </c>
      <c r="G304">
        <v>1</v>
      </c>
      <c r="H304">
        <v>1</v>
      </c>
    </row>
    <row r="305" spans="1:9" x14ac:dyDescent="0.3">
      <c r="A305" t="s">
        <v>436</v>
      </c>
      <c r="B305" t="s">
        <v>24</v>
      </c>
      <c r="C305" t="s">
        <v>434</v>
      </c>
      <c r="D305">
        <v>1</v>
      </c>
      <c r="E305">
        <v>1</v>
      </c>
      <c r="F305">
        <v>1</v>
      </c>
      <c r="G305">
        <v>1</v>
      </c>
      <c r="H305">
        <v>1</v>
      </c>
      <c r="I305">
        <v>1</v>
      </c>
    </row>
    <row r="306" spans="1:9" x14ac:dyDescent="0.3">
      <c r="A306" t="s">
        <v>436</v>
      </c>
      <c r="B306" t="s">
        <v>24</v>
      </c>
      <c r="C306" t="s">
        <v>10</v>
      </c>
      <c r="G306">
        <v>1</v>
      </c>
      <c r="H306">
        <v>1</v>
      </c>
    </row>
    <row r="307" spans="1:9" x14ac:dyDescent="0.3">
      <c r="A307" t="s">
        <v>436</v>
      </c>
      <c r="B307" t="s">
        <v>60</v>
      </c>
      <c r="C307" t="s">
        <v>50</v>
      </c>
      <c r="F307">
        <v>1</v>
      </c>
    </row>
    <row r="308" spans="1:9" x14ac:dyDescent="0.3">
      <c r="A308" t="s">
        <v>436</v>
      </c>
      <c r="B308" t="s">
        <v>60</v>
      </c>
      <c r="C308" t="s">
        <v>437</v>
      </c>
      <c r="F308">
        <v>1</v>
      </c>
      <c r="G308">
        <v>1</v>
      </c>
    </row>
    <row r="309" spans="1:9" x14ac:dyDescent="0.3">
      <c r="A309" t="s">
        <v>436</v>
      </c>
      <c r="B309" t="s">
        <v>60</v>
      </c>
      <c r="C309" t="s">
        <v>434</v>
      </c>
      <c r="D309">
        <v>1</v>
      </c>
      <c r="E309">
        <v>1</v>
      </c>
      <c r="F309">
        <v>1</v>
      </c>
      <c r="G309">
        <v>1</v>
      </c>
      <c r="H309">
        <v>1</v>
      </c>
      <c r="I309">
        <v>1</v>
      </c>
    </row>
    <row r="310" spans="1:9" x14ac:dyDescent="0.3">
      <c r="A310" t="s">
        <v>436</v>
      </c>
      <c r="B310" t="s">
        <v>48</v>
      </c>
      <c r="C310" t="s">
        <v>14</v>
      </c>
      <c r="I310">
        <v>1</v>
      </c>
    </row>
    <row r="311" spans="1:9" x14ac:dyDescent="0.3">
      <c r="A311" t="s">
        <v>436</v>
      </c>
      <c r="B311" t="s">
        <v>48</v>
      </c>
      <c r="C311" t="s">
        <v>434</v>
      </c>
      <c r="G311">
        <v>1</v>
      </c>
    </row>
    <row r="312" spans="1:9" x14ac:dyDescent="0.3">
      <c r="A312" t="s">
        <v>436</v>
      </c>
      <c r="B312" t="s">
        <v>48</v>
      </c>
      <c r="C312" t="s">
        <v>15</v>
      </c>
      <c r="H312">
        <v>1</v>
      </c>
    </row>
    <row r="313" spans="1:9" x14ac:dyDescent="0.3">
      <c r="A313" t="s">
        <v>436</v>
      </c>
      <c r="B313" t="s">
        <v>48</v>
      </c>
      <c r="C313" t="s">
        <v>10</v>
      </c>
      <c r="G313">
        <v>1</v>
      </c>
    </row>
    <row r="314" spans="1:9" x14ac:dyDescent="0.3">
      <c r="A314" t="s">
        <v>436</v>
      </c>
      <c r="B314" t="s">
        <v>59</v>
      </c>
      <c r="C314" t="s">
        <v>14</v>
      </c>
      <c r="F314">
        <v>1</v>
      </c>
    </row>
    <row r="315" spans="1:9" x14ac:dyDescent="0.3">
      <c r="A315" t="s">
        <v>436</v>
      </c>
      <c r="B315" t="s">
        <v>59</v>
      </c>
      <c r="C315" t="s">
        <v>434</v>
      </c>
      <c r="E315">
        <v>1</v>
      </c>
      <c r="F315">
        <v>1</v>
      </c>
      <c r="G315">
        <v>1</v>
      </c>
    </row>
    <row r="316" spans="1:9" x14ac:dyDescent="0.3">
      <c r="A316" t="s">
        <v>436</v>
      </c>
      <c r="B316" t="s">
        <v>59</v>
      </c>
      <c r="C316" t="s">
        <v>15</v>
      </c>
      <c r="F316">
        <v>1</v>
      </c>
      <c r="I316">
        <v>1</v>
      </c>
    </row>
    <row r="317" spans="1:9" x14ac:dyDescent="0.3">
      <c r="A317" t="s">
        <v>436</v>
      </c>
      <c r="B317" t="s">
        <v>59</v>
      </c>
      <c r="C317" t="s">
        <v>10</v>
      </c>
      <c r="F317">
        <v>1</v>
      </c>
      <c r="I317">
        <v>1</v>
      </c>
    </row>
    <row r="318" spans="1:9" x14ac:dyDescent="0.3">
      <c r="A318" t="s">
        <v>436</v>
      </c>
      <c r="B318" t="s">
        <v>49</v>
      </c>
      <c r="C318" t="s">
        <v>18</v>
      </c>
      <c r="H318">
        <v>1</v>
      </c>
      <c r="I318">
        <v>1</v>
      </c>
    </row>
    <row r="319" spans="1:9" x14ac:dyDescent="0.3">
      <c r="A319" t="s">
        <v>436</v>
      </c>
      <c r="B319" t="s">
        <v>49</v>
      </c>
      <c r="C319" t="s">
        <v>19</v>
      </c>
      <c r="E319">
        <v>1</v>
      </c>
      <c r="G319">
        <v>1</v>
      </c>
      <c r="H319">
        <v>1</v>
      </c>
      <c r="I319">
        <v>1</v>
      </c>
    </row>
    <row r="320" spans="1:9" x14ac:dyDescent="0.3">
      <c r="A320" t="s">
        <v>436</v>
      </c>
      <c r="B320" t="s">
        <v>49</v>
      </c>
      <c r="C320" t="s">
        <v>50</v>
      </c>
      <c r="F320">
        <v>1</v>
      </c>
      <c r="G320">
        <v>1</v>
      </c>
      <c r="H320">
        <v>1</v>
      </c>
      <c r="I320">
        <v>1</v>
      </c>
    </row>
    <row r="321" spans="1:9" x14ac:dyDescent="0.3">
      <c r="A321" t="s">
        <v>436</v>
      </c>
      <c r="B321" t="s">
        <v>49</v>
      </c>
      <c r="C321" t="s">
        <v>434</v>
      </c>
      <c r="D321">
        <v>1</v>
      </c>
      <c r="E321">
        <v>1</v>
      </c>
      <c r="F321">
        <v>1</v>
      </c>
      <c r="G321">
        <v>1</v>
      </c>
      <c r="H321">
        <v>1</v>
      </c>
      <c r="I321">
        <v>1</v>
      </c>
    </row>
    <row r="322" spans="1:9" x14ac:dyDescent="0.3">
      <c r="A322" t="s">
        <v>436</v>
      </c>
      <c r="B322" t="s">
        <v>49</v>
      </c>
      <c r="C322" t="s">
        <v>15</v>
      </c>
      <c r="E322">
        <v>1</v>
      </c>
      <c r="I322">
        <v>1</v>
      </c>
    </row>
    <row r="323" spans="1:9" x14ac:dyDescent="0.3">
      <c r="A323" t="s">
        <v>436</v>
      </c>
      <c r="B323" t="s">
        <v>49</v>
      </c>
      <c r="C323" t="s">
        <v>23</v>
      </c>
      <c r="E323">
        <v>1</v>
      </c>
      <c r="G323">
        <v>1</v>
      </c>
      <c r="H323">
        <v>1</v>
      </c>
      <c r="I323">
        <v>1</v>
      </c>
    </row>
    <row r="324" spans="1:9" x14ac:dyDescent="0.3">
      <c r="A324" t="s">
        <v>436</v>
      </c>
      <c r="B324" t="s">
        <v>31</v>
      </c>
      <c r="C324" t="s">
        <v>434</v>
      </c>
      <c r="D324">
        <v>1</v>
      </c>
      <c r="E324">
        <v>1</v>
      </c>
      <c r="F324">
        <v>1</v>
      </c>
      <c r="G324">
        <v>1</v>
      </c>
      <c r="H324">
        <v>1</v>
      </c>
      <c r="I324">
        <v>1</v>
      </c>
    </row>
    <row r="325" spans="1:9" x14ac:dyDescent="0.3">
      <c r="A325" t="s">
        <v>436</v>
      </c>
      <c r="B325" t="s">
        <v>51</v>
      </c>
      <c r="C325" t="s">
        <v>434</v>
      </c>
      <c r="D325">
        <v>1</v>
      </c>
      <c r="E325">
        <v>1</v>
      </c>
      <c r="F325">
        <v>1</v>
      </c>
      <c r="G325">
        <v>1</v>
      </c>
      <c r="H325">
        <v>1</v>
      </c>
      <c r="I325">
        <v>1</v>
      </c>
    </row>
    <row r="326" spans="1:9" x14ac:dyDescent="0.3">
      <c r="A326" t="s">
        <v>436</v>
      </c>
      <c r="B326" t="s">
        <v>51</v>
      </c>
      <c r="C326" t="s">
        <v>10</v>
      </c>
      <c r="G326">
        <v>1</v>
      </c>
    </row>
    <row r="327" spans="1:9" x14ac:dyDescent="0.3">
      <c r="A327" t="s">
        <v>436</v>
      </c>
      <c r="B327" t="s">
        <v>57</v>
      </c>
      <c r="C327" t="s">
        <v>21</v>
      </c>
      <c r="F327">
        <v>1</v>
      </c>
      <c r="I327">
        <v>1</v>
      </c>
    </row>
    <row r="328" spans="1:9" x14ac:dyDescent="0.3">
      <c r="A328" t="s">
        <v>436</v>
      </c>
      <c r="B328" t="s">
        <v>57</v>
      </c>
      <c r="C328" t="s">
        <v>434</v>
      </c>
      <c r="D328">
        <v>1</v>
      </c>
      <c r="E328">
        <v>1</v>
      </c>
      <c r="F328">
        <v>1</v>
      </c>
      <c r="G328">
        <v>1</v>
      </c>
      <c r="H328">
        <v>1</v>
      </c>
      <c r="I328">
        <v>1</v>
      </c>
    </row>
    <row r="329" spans="1:9" x14ac:dyDescent="0.3">
      <c r="A329" t="s">
        <v>436</v>
      </c>
      <c r="B329" t="s">
        <v>57</v>
      </c>
      <c r="C329" t="s">
        <v>22</v>
      </c>
      <c r="F329">
        <v>1</v>
      </c>
      <c r="G329">
        <v>1</v>
      </c>
    </row>
    <row r="330" spans="1:9" x14ac:dyDescent="0.3">
      <c r="A330" t="s">
        <v>433</v>
      </c>
      <c r="B330" t="s">
        <v>192</v>
      </c>
      <c r="C330" t="s">
        <v>434</v>
      </c>
      <c r="D330">
        <v>1</v>
      </c>
      <c r="E330">
        <v>1</v>
      </c>
      <c r="F330">
        <v>1</v>
      </c>
      <c r="G330">
        <v>1</v>
      </c>
      <c r="H330">
        <v>1</v>
      </c>
      <c r="I330">
        <v>1</v>
      </c>
    </row>
    <row r="331" spans="1:9" x14ac:dyDescent="0.3">
      <c r="A331" t="s">
        <v>433</v>
      </c>
      <c r="B331" t="s">
        <v>92</v>
      </c>
      <c r="C331" t="s">
        <v>434</v>
      </c>
      <c r="D331">
        <v>1</v>
      </c>
      <c r="E331">
        <v>1</v>
      </c>
      <c r="F331">
        <v>1</v>
      </c>
      <c r="G331">
        <v>1</v>
      </c>
      <c r="H331">
        <v>1</v>
      </c>
      <c r="I331">
        <v>1</v>
      </c>
    </row>
    <row r="332" spans="1:9" x14ac:dyDescent="0.3">
      <c r="A332" t="s">
        <v>433</v>
      </c>
      <c r="B332" t="s">
        <v>92</v>
      </c>
      <c r="C332" t="s">
        <v>22</v>
      </c>
      <c r="E332">
        <v>1</v>
      </c>
      <c r="F332">
        <v>1</v>
      </c>
      <c r="G332">
        <v>1</v>
      </c>
      <c r="I332">
        <v>1</v>
      </c>
    </row>
    <row r="333" spans="1:9" x14ac:dyDescent="0.3">
      <c r="A333" t="s">
        <v>433</v>
      </c>
      <c r="B333" t="s">
        <v>82</v>
      </c>
      <c r="C333" t="s">
        <v>20</v>
      </c>
      <c r="D333">
        <v>1</v>
      </c>
      <c r="E333">
        <v>1</v>
      </c>
      <c r="F333">
        <v>1</v>
      </c>
      <c r="H333">
        <v>1</v>
      </c>
      <c r="I333">
        <v>1</v>
      </c>
    </row>
    <row r="334" spans="1:9" x14ac:dyDescent="0.3">
      <c r="A334" t="s">
        <v>433</v>
      </c>
      <c r="B334" t="s">
        <v>82</v>
      </c>
      <c r="C334" t="s">
        <v>21</v>
      </c>
      <c r="D334">
        <v>1</v>
      </c>
      <c r="E334">
        <v>1</v>
      </c>
      <c r="I334">
        <v>1</v>
      </c>
    </row>
    <row r="335" spans="1:9" x14ac:dyDescent="0.3">
      <c r="A335" t="s">
        <v>433</v>
      </c>
      <c r="B335" t="s">
        <v>82</v>
      </c>
      <c r="C335" t="s">
        <v>434</v>
      </c>
      <c r="D335">
        <v>1</v>
      </c>
      <c r="E335">
        <v>1</v>
      </c>
      <c r="F335">
        <v>1</v>
      </c>
      <c r="G335">
        <v>1</v>
      </c>
      <c r="H335">
        <v>1</v>
      </c>
      <c r="I335">
        <v>1</v>
      </c>
    </row>
    <row r="336" spans="1:9" x14ac:dyDescent="0.3">
      <c r="A336" t="s">
        <v>433</v>
      </c>
      <c r="B336" t="s">
        <v>82</v>
      </c>
      <c r="C336" t="s">
        <v>26</v>
      </c>
      <c r="F336">
        <v>1</v>
      </c>
      <c r="I336">
        <v>1</v>
      </c>
    </row>
    <row r="337" spans="1:9" x14ac:dyDescent="0.3">
      <c r="A337" t="s">
        <v>433</v>
      </c>
      <c r="B337" t="s">
        <v>82</v>
      </c>
      <c r="C337" t="s">
        <v>23</v>
      </c>
      <c r="E337">
        <v>1</v>
      </c>
      <c r="F337">
        <v>1</v>
      </c>
    </row>
    <row r="338" spans="1:9" x14ac:dyDescent="0.3">
      <c r="A338" t="s">
        <v>433</v>
      </c>
      <c r="B338" t="s">
        <v>215</v>
      </c>
      <c r="C338" t="s">
        <v>434</v>
      </c>
      <c r="D338">
        <v>1</v>
      </c>
      <c r="E338">
        <v>1</v>
      </c>
      <c r="F338">
        <v>1</v>
      </c>
      <c r="G338">
        <v>1</v>
      </c>
      <c r="H338">
        <v>1</v>
      </c>
      <c r="I338">
        <v>1</v>
      </c>
    </row>
    <row r="339" spans="1:9" x14ac:dyDescent="0.3">
      <c r="A339" t="s">
        <v>433</v>
      </c>
      <c r="B339" t="s">
        <v>215</v>
      </c>
      <c r="C339" t="s">
        <v>447</v>
      </c>
      <c r="D339">
        <v>1</v>
      </c>
      <c r="F339">
        <v>1</v>
      </c>
    </row>
    <row r="340" spans="1:9" x14ac:dyDescent="0.3">
      <c r="A340" t="s">
        <v>433</v>
      </c>
      <c r="B340" t="s">
        <v>215</v>
      </c>
      <c r="C340" t="s">
        <v>93</v>
      </c>
      <c r="D340">
        <v>1</v>
      </c>
      <c r="E340">
        <v>1</v>
      </c>
      <c r="F340">
        <v>1</v>
      </c>
      <c r="G340">
        <v>1</v>
      </c>
      <c r="H340">
        <v>1</v>
      </c>
      <c r="I340">
        <v>1</v>
      </c>
    </row>
    <row r="341" spans="1:9" x14ac:dyDescent="0.3">
      <c r="A341" t="s">
        <v>433</v>
      </c>
      <c r="B341" t="s">
        <v>215</v>
      </c>
      <c r="C341" t="s">
        <v>62</v>
      </c>
      <c r="E341">
        <v>1</v>
      </c>
      <c r="F341">
        <v>1</v>
      </c>
      <c r="G341">
        <v>1</v>
      </c>
      <c r="H341">
        <v>1</v>
      </c>
      <c r="I341">
        <v>1</v>
      </c>
    </row>
    <row r="342" spans="1:9" x14ac:dyDescent="0.3">
      <c r="A342" t="s">
        <v>433</v>
      </c>
      <c r="B342" t="s">
        <v>215</v>
      </c>
      <c r="C342" t="s">
        <v>446</v>
      </c>
      <c r="H342">
        <v>1</v>
      </c>
    </row>
    <row r="343" spans="1:9" x14ac:dyDescent="0.3">
      <c r="A343" t="s">
        <v>433</v>
      </c>
      <c r="B343" t="s">
        <v>61</v>
      </c>
      <c r="C343" t="s">
        <v>14</v>
      </c>
      <c r="F343">
        <v>1</v>
      </c>
    </row>
    <row r="344" spans="1:9" x14ac:dyDescent="0.3">
      <c r="A344" t="s">
        <v>433</v>
      </c>
      <c r="B344" t="s">
        <v>61</v>
      </c>
      <c r="C344" t="s">
        <v>19</v>
      </c>
      <c r="E344">
        <v>1</v>
      </c>
    </row>
    <row r="345" spans="1:9" x14ac:dyDescent="0.3">
      <c r="A345" t="s">
        <v>433</v>
      </c>
      <c r="B345" t="s">
        <v>61</v>
      </c>
      <c r="C345" t="s">
        <v>20</v>
      </c>
      <c r="E345">
        <v>1</v>
      </c>
      <c r="F345">
        <v>1</v>
      </c>
      <c r="H345">
        <v>1</v>
      </c>
    </row>
    <row r="346" spans="1:9" x14ac:dyDescent="0.3">
      <c r="A346" t="s">
        <v>433</v>
      </c>
      <c r="B346" t="s">
        <v>61</v>
      </c>
      <c r="C346" t="s">
        <v>50</v>
      </c>
      <c r="D346">
        <v>1</v>
      </c>
      <c r="F346">
        <v>1</v>
      </c>
      <c r="I346">
        <v>1</v>
      </c>
    </row>
    <row r="347" spans="1:9" x14ac:dyDescent="0.3">
      <c r="A347" t="s">
        <v>433</v>
      </c>
      <c r="B347" t="s">
        <v>61</v>
      </c>
      <c r="C347" t="s">
        <v>21</v>
      </c>
      <c r="E347">
        <v>1</v>
      </c>
      <c r="F347">
        <v>1</v>
      </c>
    </row>
    <row r="348" spans="1:9" x14ac:dyDescent="0.3">
      <c r="A348" t="s">
        <v>433</v>
      </c>
      <c r="B348" t="s">
        <v>61</v>
      </c>
      <c r="C348" t="s">
        <v>434</v>
      </c>
      <c r="E348">
        <v>1</v>
      </c>
      <c r="F348">
        <v>1</v>
      </c>
      <c r="I348">
        <v>1</v>
      </c>
    </row>
    <row r="349" spans="1:9" x14ac:dyDescent="0.3">
      <c r="A349" t="s">
        <v>433</v>
      </c>
      <c r="B349" t="s">
        <v>61</v>
      </c>
      <c r="C349" t="s">
        <v>22</v>
      </c>
      <c r="F349">
        <v>1</v>
      </c>
    </row>
    <row r="350" spans="1:9" x14ac:dyDescent="0.3">
      <c r="A350" t="s">
        <v>433</v>
      </c>
      <c r="B350" t="s">
        <v>61</v>
      </c>
      <c r="C350" t="s">
        <v>26</v>
      </c>
      <c r="F350">
        <v>1</v>
      </c>
    </row>
    <row r="351" spans="1:9" x14ac:dyDescent="0.3">
      <c r="A351" t="s">
        <v>433</v>
      </c>
      <c r="B351" t="s">
        <v>61</v>
      </c>
      <c r="C351" t="s">
        <v>62</v>
      </c>
      <c r="E351">
        <v>1</v>
      </c>
      <c r="F351">
        <v>1</v>
      </c>
      <c r="G351">
        <v>1</v>
      </c>
    </row>
    <row r="352" spans="1:9" x14ac:dyDescent="0.3">
      <c r="A352" t="s">
        <v>433</v>
      </c>
      <c r="B352" t="s">
        <v>61</v>
      </c>
      <c r="C352" t="s">
        <v>27</v>
      </c>
      <c r="F352">
        <v>1</v>
      </c>
    </row>
    <row r="353" spans="1:9" x14ac:dyDescent="0.3">
      <c r="A353" t="s">
        <v>433</v>
      </c>
      <c r="B353" t="s">
        <v>61</v>
      </c>
      <c r="C353" t="s">
        <v>23</v>
      </c>
      <c r="E353">
        <v>1</v>
      </c>
      <c r="F353">
        <v>1</v>
      </c>
    </row>
    <row r="354" spans="1:9" x14ac:dyDescent="0.3">
      <c r="A354" t="s">
        <v>433</v>
      </c>
      <c r="B354" t="s">
        <v>61</v>
      </c>
      <c r="C354" t="s">
        <v>10</v>
      </c>
      <c r="F354">
        <v>1</v>
      </c>
    </row>
    <row r="355" spans="1:9" x14ac:dyDescent="0.3">
      <c r="A355" t="s">
        <v>433</v>
      </c>
      <c r="B355" t="s">
        <v>61</v>
      </c>
      <c r="C355" t="s">
        <v>28</v>
      </c>
      <c r="F355">
        <v>1</v>
      </c>
    </row>
    <row r="356" spans="1:9" x14ac:dyDescent="0.3">
      <c r="A356" t="s">
        <v>433</v>
      </c>
      <c r="B356" t="s">
        <v>61</v>
      </c>
      <c r="C356" t="s">
        <v>38</v>
      </c>
      <c r="E356">
        <v>1</v>
      </c>
      <c r="F356">
        <v>1</v>
      </c>
    </row>
    <row r="357" spans="1:9" x14ac:dyDescent="0.3">
      <c r="A357" t="s">
        <v>433</v>
      </c>
      <c r="B357" t="s">
        <v>32</v>
      </c>
      <c r="C357" t="s">
        <v>434</v>
      </c>
      <c r="D357">
        <v>1</v>
      </c>
      <c r="E357">
        <v>1</v>
      </c>
      <c r="F357">
        <v>1</v>
      </c>
      <c r="G357">
        <v>1</v>
      </c>
      <c r="H357">
        <v>1</v>
      </c>
      <c r="I357">
        <v>1</v>
      </c>
    </row>
    <row r="358" spans="1:9" x14ac:dyDescent="0.3">
      <c r="A358" t="s">
        <v>433</v>
      </c>
      <c r="B358" t="s">
        <v>54</v>
      </c>
      <c r="C358" t="s">
        <v>19</v>
      </c>
      <c r="H358">
        <v>1</v>
      </c>
      <c r="I358">
        <v>1</v>
      </c>
    </row>
    <row r="359" spans="1:9" x14ac:dyDescent="0.3">
      <c r="A359" t="s">
        <v>433</v>
      </c>
      <c r="B359" t="s">
        <v>54</v>
      </c>
      <c r="C359" t="s">
        <v>20</v>
      </c>
      <c r="D359">
        <v>1</v>
      </c>
      <c r="E359">
        <v>1</v>
      </c>
      <c r="F359">
        <v>1</v>
      </c>
      <c r="G359">
        <v>1</v>
      </c>
      <c r="H359">
        <v>1</v>
      </c>
      <c r="I359">
        <v>1</v>
      </c>
    </row>
    <row r="360" spans="1:9" x14ac:dyDescent="0.3">
      <c r="A360" t="s">
        <v>433</v>
      </c>
      <c r="B360" t="s">
        <v>54</v>
      </c>
      <c r="C360" t="s">
        <v>37</v>
      </c>
      <c r="F360">
        <v>1</v>
      </c>
      <c r="H360">
        <v>1</v>
      </c>
      <c r="I360">
        <v>1</v>
      </c>
    </row>
    <row r="361" spans="1:9" x14ac:dyDescent="0.3">
      <c r="A361" t="s">
        <v>433</v>
      </c>
      <c r="B361" t="s">
        <v>54</v>
      </c>
      <c r="C361" t="s">
        <v>21</v>
      </c>
      <c r="E361">
        <v>1</v>
      </c>
      <c r="F361">
        <v>1</v>
      </c>
      <c r="H361">
        <v>1</v>
      </c>
      <c r="I361">
        <v>1</v>
      </c>
    </row>
    <row r="362" spans="1:9" x14ac:dyDescent="0.3">
      <c r="A362" t="s">
        <v>433</v>
      </c>
      <c r="B362" t="s">
        <v>54</v>
      </c>
      <c r="C362" t="s">
        <v>434</v>
      </c>
      <c r="D362">
        <v>1</v>
      </c>
      <c r="E362">
        <v>1</v>
      </c>
      <c r="F362">
        <v>1</v>
      </c>
      <c r="G362">
        <v>1</v>
      </c>
      <c r="H362">
        <v>1</v>
      </c>
      <c r="I362">
        <v>1</v>
      </c>
    </row>
    <row r="363" spans="1:9" x14ac:dyDescent="0.3">
      <c r="A363" t="s">
        <v>433</v>
      </c>
      <c r="B363" t="s">
        <v>54</v>
      </c>
      <c r="C363" t="s">
        <v>26</v>
      </c>
      <c r="D363">
        <v>1</v>
      </c>
      <c r="F363">
        <v>1</v>
      </c>
      <c r="I363">
        <v>1</v>
      </c>
    </row>
    <row r="364" spans="1:9" x14ac:dyDescent="0.3">
      <c r="A364" t="s">
        <v>433</v>
      </c>
      <c r="B364" t="s">
        <v>54</v>
      </c>
      <c r="C364" t="s">
        <v>23</v>
      </c>
      <c r="F364">
        <v>1</v>
      </c>
      <c r="H364">
        <v>1</v>
      </c>
    </row>
    <row r="365" spans="1:9" x14ac:dyDescent="0.3">
      <c r="A365" t="s">
        <v>433</v>
      </c>
      <c r="B365" t="s">
        <v>54</v>
      </c>
      <c r="C365" t="s">
        <v>10</v>
      </c>
      <c r="E365">
        <v>1</v>
      </c>
      <c r="F365">
        <v>1</v>
      </c>
      <c r="H365">
        <v>1</v>
      </c>
    </row>
    <row r="366" spans="1:9" x14ac:dyDescent="0.3">
      <c r="A366" t="s">
        <v>433</v>
      </c>
      <c r="B366" t="s">
        <v>35</v>
      </c>
      <c r="C366" t="s">
        <v>434</v>
      </c>
      <c r="D366">
        <v>1</v>
      </c>
      <c r="E366">
        <v>1</v>
      </c>
      <c r="F366">
        <v>1</v>
      </c>
      <c r="G366">
        <v>1</v>
      </c>
      <c r="H366">
        <v>1</v>
      </c>
      <c r="I366">
        <v>1</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F63EC-5F1A-4734-8386-DD162D02B1B1}">
  <sheetPr codeName="Sheet2"/>
  <dimension ref="A1:AG204"/>
  <sheetViews>
    <sheetView tabSelected="1" zoomScaleNormal="100" workbookViewId="0">
      <selection activeCell="B5" sqref="B5:C5"/>
    </sheetView>
  </sheetViews>
  <sheetFormatPr defaultColWidth="0" defaultRowHeight="14.4" x14ac:dyDescent="0.3"/>
  <cols>
    <col min="1" max="1" width="7.21875" customWidth="1"/>
    <col min="2" max="2" width="21.33203125" customWidth="1"/>
    <col min="3" max="3" width="34.109375" customWidth="1"/>
    <col min="4" max="17" width="12.5546875" customWidth="1"/>
    <col min="18" max="18" width="14.109375" customWidth="1"/>
    <col min="19" max="27" width="12.5546875" customWidth="1"/>
    <col min="28" max="28" width="4.77734375" style="1" customWidth="1"/>
    <col min="29" max="33" width="0" hidden="1" customWidth="1"/>
    <col min="34" max="16384" width="9" hidden="1"/>
  </cols>
  <sheetData>
    <row r="1" spans="1:28" ht="39.6" customHeight="1" x14ac:dyDescent="0.3">
      <c r="A1" s="1"/>
      <c r="B1" s="7" t="s">
        <v>491</v>
      </c>
      <c r="C1" s="1"/>
      <c r="D1" s="1"/>
      <c r="E1" s="1"/>
      <c r="F1" s="1"/>
      <c r="G1" s="1"/>
      <c r="H1" s="1"/>
      <c r="I1" s="1"/>
      <c r="J1" s="1"/>
      <c r="K1" s="1"/>
      <c r="L1" s="1"/>
      <c r="M1" s="1"/>
      <c r="N1" s="1"/>
      <c r="O1" s="1"/>
      <c r="P1" s="1"/>
      <c r="Q1" s="1"/>
      <c r="R1" s="1"/>
      <c r="S1" s="1"/>
      <c r="T1" s="1"/>
      <c r="U1" s="1"/>
      <c r="V1" s="1"/>
      <c r="W1" s="1"/>
      <c r="X1" s="1"/>
      <c r="Y1" s="1"/>
      <c r="Z1" s="1"/>
      <c r="AA1" s="1"/>
    </row>
    <row r="2" spans="1:28" ht="22.8" customHeight="1" x14ac:dyDescent="0.3">
      <c r="A2" s="1"/>
      <c r="B2" s="1"/>
      <c r="C2" s="1"/>
      <c r="D2" s="1"/>
      <c r="E2" s="62" t="s">
        <v>472</v>
      </c>
      <c r="F2" s="63"/>
      <c r="G2" s="63"/>
      <c r="H2" s="63"/>
      <c r="I2" s="63"/>
      <c r="J2" s="63"/>
      <c r="K2" s="63"/>
      <c r="L2" s="63"/>
      <c r="M2" s="64"/>
      <c r="N2" s="1"/>
      <c r="O2" s="1"/>
      <c r="P2" s="1"/>
      <c r="Q2" s="1"/>
      <c r="R2" s="1"/>
      <c r="S2" s="1"/>
      <c r="T2" s="1"/>
      <c r="U2" s="1"/>
      <c r="V2" s="1"/>
      <c r="W2" s="1"/>
      <c r="X2" s="1"/>
      <c r="Y2" s="1"/>
      <c r="Z2" s="1"/>
      <c r="AA2" s="1"/>
    </row>
    <row r="3" spans="1:28" ht="22.8" customHeight="1" x14ac:dyDescent="0.3">
      <c r="A3" s="50" t="s">
        <v>427</v>
      </c>
      <c r="B3" s="51"/>
      <c r="C3" s="61" t="s">
        <v>19</v>
      </c>
      <c r="D3" s="1"/>
      <c r="E3" s="65"/>
      <c r="F3" s="66"/>
      <c r="G3" s="66"/>
      <c r="H3" s="66"/>
      <c r="I3" s="66"/>
      <c r="J3" s="66"/>
      <c r="K3" s="66"/>
      <c r="L3" s="66"/>
      <c r="M3" s="67"/>
      <c r="N3" s="1"/>
      <c r="O3" s="1"/>
      <c r="P3" s="1"/>
      <c r="Q3" s="1"/>
      <c r="R3" s="1"/>
      <c r="S3" s="1"/>
      <c r="T3" s="1"/>
      <c r="U3" s="1"/>
      <c r="V3" s="1"/>
      <c r="W3" s="1"/>
      <c r="X3" s="1"/>
      <c r="Y3" s="1"/>
      <c r="Z3" s="1"/>
      <c r="AA3" s="1"/>
    </row>
    <row r="4" spans="1:28" ht="22.8" customHeight="1" x14ac:dyDescent="0.3">
      <c r="A4" s="50"/>
      <c r="B4" s="51"/>
      <c r="C4" s="61"/>
      <c r="D4" s="2"/>
      <c r="E4" s="65"/>
      <c r="F4" s="66"/>
      <c r="G4" s="66"/>
      <c r="H4" s="66"/>
      <c r="I4" s="66"/>
      <c r="J4" s="66"/>
      <c r="K4" s="66"/>
      <c r="L4" s="66"/>
      <c r="M4" s="67"/>
      <c r="N4" s="1"/>
      <c r="O4" s="1"/>
      <c r="P4" s="1"/>
      <c r="Q4" s="1"/>
      <c r="R4" s="1"/>
      <c r="S4" s="1"/>
      <c r="T4" s="1"/>
      <c r="U4" s="1"/>
      <c r="V4" s="1"/>
      <c r="W4" s="1"/>
      <c r="X4" s="1"/>
      <c r="Y4" s="1"/>
      <c r="Z4" s="1"/>
      <c r="AA4" s="1"/>
    </row>
    <row r="5" spans="1:28" ht="70.8" customHeight="1" x14ac:dyDescent="0.3">
      <c r="A5" s="1"/>
      <c r="B5" s="52" t="str">
        <f>IF(selected="Other","Please specify in your email which National Society you're reporting on Behalf","")</f>
        <v/>
      </c>
      <c r="C5" s="52"/>
      <c r="D5" s="1"/>
      <c r="E5" s="68"/>
      <c r="F5" s="69"/>
      <c r="G5" s="69"/>
      <c r="H5" s="69"/>
      <c r="I5" s="69"/>
      <c r="J5" s="69"/>
      <c r="K5" s="69"/>
      <c r="L5" s="69"/>
      <c r="M5" s="70"/>
      <c r="N5" s="1"/>
      <c r="O5" s="1"/>
      <c r="P5" s="1"/>
      <c r="Q5" s="1"/>
      <c r="R5" s="1"/>
      <c r="S5" s="1"/>
      <c r="T5" s="1"/>
      <c r="U5" s="1"/>
      <c r="V5" s="1"/>
      <c r="W5" s="1"/>
      <c r="X5" s="1"/>
      <c r="Y5" s="1"/>
      <c r="Z5" s="1"/>
      <c r="AA5" s="1"/>
    </row>
    <row r="6" spans="1:28" s="10" customFormat="1" ht="40.799999999999997" customHeight="1" x14ac:dyDescent="0.3">
      <c r="A6" s="9"/>
      <c r="B6" s="71"/>
      <c r="C6" s="71"/>
      <c r="D6" s="71"/>
      <c r="E6" s="71"/>
      <c r="F6" s="71"/>
      <c r="G6" s="71"/>
      <c r="H6" s="71"/>
      <c r="I6" s="71"/>
      <c r="J6" s="12"/>
      <c r="K6" s="12"/>
      <c r="L6" s="12"/>
      <c r="M6" s="12"/>
      <c r="N6" s="9"/>
      <c r="O6" s="9"/>
      <c r="P6" s="9"/>
      <c r="Q6" s="9"/>
      <c r="R6" s="9"/>
      <c r="S6" s="9"/>
      <c r="T6" s="9"/>
      <c r="U6" s="9"/>
      <c r="V6" s="9"/>
      <c r="W6" s="9"/>
      <c r="X6" s="9"/>
      <c r="Y6" s="9"/>
      <c r="Z6" s="9"/>
      <c r="AA6" s="9"/>
      <c r="AB6" s="9"/>
    </row>
    <row r="7" spans="1:28" s="10" customFormat="1" ht="7.2" customHeight="1" thickBot="1" x14ac:dyDescent="0.35">
      <c r="A7" s="9"/>
      <c r="B7" s="13"/>
      <c r="C7" s="13"/>
      <c r="D7" s="9"/>
      <c r="E7" s="12"/>
      <c r="F7" s="12"/>
      <c r="G7" s="12"/>
      <c r="H7" s="12"/>
      <c r="I7" s="12"/>
      <c r="J7" s="12"/>
      <c r="K7" s="12"/>
      <c r="L7" s="12"/>
      <c r="M7" s="12"/>
      <c r="N7" s="9"/>
      <c r="O7" s="9"/>
      <c r="P7" s="9"/>
      <c r="Q7" s="9"/>
      <c r="R7" s="9"/>
      <c r="S7" s="9"/>
      <c r="T7" s="9"/>
      <c r="U7" s="9"/>
      <c r="V7" s="9"/>
      <c r="W7" s="9"/>
      <c r="X7" s="9"/>
      <c r="Y7" s="9"/>
      <c r="Z7" s="9"/>
      <c r="AA7" s="9"/>
      <c r="AB7" s="9"/>
    </row>
    <row r="8" spans="1:28" s="10" customFormat="1" ht="23.4" customHeight="1" x14ac:dyDescent="0.3">
      <c r="A8" s="9"/>
      <c r="B8" s="9"/>
      <c r="C8" s="9"/>
      <c r="D8" s="55">
        <v>2027</v>
      </c>
      <c r="E8" s="56"/>
      <c r="F8" s="56"/>
      <c r="G8" s="56"/>
      <c r="H8" s="56"/>
      <c r="I8" s="56"/>
      <c r="J8" s="56"/>
      <c r="K8" s="57"/>
      <c r="L8" s="58">
        <v>2028</v>
      </c>
      <c r="M8" s="59"/>
      <c r="N8" s="59"/>
      <c r="O8" s="59"/>
      <c r="P8" s="59"/>
      <c r="Q8" s="59"/>
      <c r="R8" s="59"/>
      <c r="S8" s="60"/>
      <c r="T8" s="55">
        <v>2029</v>
      </c>
      <c r="U8" s="56"/>
      <c r="V8" s="56"/>
      <c r="W8" s="56"/>
      <c r="X8" s="56"/>
      <c r="Y8" s="56"/>
      <c r="Z8" s="56"/>
      <c r="AA8" s="57"/>
      <c r="AB8" s="9"/>
    </row>
    <row r="9" spans="1:28" s="10" customFormat="1" ht="19.8" customHeight="1" x14ac:dyDescent="0.3">
      <c r="A9" s="9"/>
      <c r="B9" s="9"/>
      <c r="C9" s="9"/>
      <c r="D9" s="53" t="s">
        <v>462</v>
      </c>
      <c r="E9" s="54"/>
      <c r="F9" s="54"/>
      <c r="G9" s="54"/>
      <c r="H9" s="54"/>
      <c r="I9" s="54"/>
      <c r="J9" s="54"/>
      <c r="K9" s="29"/>
      <c r="L9" s="53" t="s">
        <v>462</v>
      </c>
      <c r="M9" s="54"/>
      <c r="N9" s="54"/>
      <c r="O9" s="54"/>
      <c r="P9" s="54"/>
      <c r="Q9" s="54"/>
      <c r="R9" s="54"/>
      <c r="S9" s="29"/>
      <c r="T9" s="53" t="s">
        <v>462</v>
      </c>
      <c r="U9" s="54"/>
      <c r="V9" s="54"/>
      <c r="W9" s="54"/>
      <c r="X9" s="54"/>
      <c r="Y9" s="54"/>
      <c r="Z9" s="54"/>
      <c r="AA9" s="29"/>
      <c r="AB9" s="9"/>
    </row>
    <row r="10" spans="1:28" s="10" customFormat="1" ht="18" customHeight="1" x14ac:dyDescent="0.3">
      <c r="A10" s="47" t="s">
        <v>463</v>
      </c>
      <c r="B10" s="48"/>
      <c r="C10" s="49"/>
      <c r="D10" s="36">
        <f>SUM(FR_data[Response - Disasters and Crises])</f>
        <v>1462291</v>
      </c>
      <c r="E10" s="37">
        <f>SUM(FR_data[Resilience - Climate and environment])</f>
        <v>2056587</v>
      </c>
      <c r="F10" s="37">
        <f>SUM(FR_data[Resilience - Health and wellbeing])</f>
        <v>150000</v>
      </c>
      <c r="G10" s="37">
        <f>SUM(FR_data[Resilience - Migration and displacement])</f>
        <v>672878</v>
      </c>
      <c r="H10" s="37">
        <f>SUM(FR_data[Respect - Values, power and inclusion])</f>
        <v>190000</v>
      </c>
      <c r="I10" s="37">
        <f>SUM(FR_data[Enabling Functions])</f>
        <v>1093353</v>
      </c>
      <c r="J10" s="37">
        <f>SUM(FR_data[Total Funding Requirement])</f>
        <v>5625109</v>
      </c>
      <c r="K10" s="38">
        <f>SUM(FR_data[Confirmed Funding])</f>
        <v>0</v>
      </c>
      <c r="L10" s="36">
        <f>SUM(FR_data[Response - Disasters and Crises ])</f>
        <v>702737</v>
      </c>
      <c r="M10" s="37">
        <f>SUM(FR_data[Resilience - Climate and environment ])</f>
        <v>818347</v>
      </c>
      <c r="N10" s="37">
        <f>SUM(FR_data[Resilience - Health and wellbeing ])</f>
        <v>100000</v>
      </c>
      <c r="O10" s="37">
        <f>SUM(FR_data[Resilience - Migration and displacement ])</f>
        <v>160479</v>
      </c>
      <c r="P10" s="37">
        <f>SUM(FR_data[Respect - Values, power and inclusion ])</f>
        <v>100000</v>
      </c>
      <c r="Q10" s="37">
        <f>SUM(FR_data[[Enabling Functions ]])</f>
        <v>576812</v>
      </c>
      <c r="R10" s="37">
        <f>SUM(FR_data[[Total Funding Requirement ]])</f>
        <v>2458375</v>
      </c>
      <c r="S10" s="38">
        <f>SUM(FR_data[[Confirmed Funding ]])</f>
        <v>0</v>
      </c>
      <c r="T10" s="36">
        <f>SUM(FR_data[Response - Disasters and Crises  ])</f>
        <v>624401</v>
      </c>
      <c r="U10" s="37">
        <f>SUM(FR_data[Resilience - Climate and environment  ])</f>
        <v>816040</v>
      </c>
      <c r="V10" s="37">
        <f>SUM(FR_data[Resilience - Health and wellbeing  ])</f>
        <v>100000</v>
      </c>
      <c r="W10" s="37">
        <f>SUM(FR_data[Resilience - Migration and displacement  ])</f>
        <v>50000</v>
      </c>
      <c r="X10" s="37">
        <f>SUM(FR_data[Respect - Values, power and inclusion  ])</f>
        <v>100000</v>
      </c>
      <c r="Y10" s="37">
        <f>SUM(FR_data[[Enabling Functions  ]])</f>
        <v>514216</v>
      </c>
      <c r="Z10" s="37">
        <f>SUM(FR_data[[Total Funding Requirement  ]])</f>
        <v>2204657</v>
      </c>
      <c r="AA10" s="38"/>
      <c r="AB10" s="9"/>
    </row>
    <row r="11" spans="1:28" s="10" customFormat="1" ht="63.6" customHeight="1" x14ac:dyDescent="0.3">
      <c r="A11" s="14" t="s">
        <v>426</v>
      </c>
      <c r="B11" s="14" t="s">
        <v>425</v>
      </c>
      <c r="C11" s="14" t="s">
        <v>0</v>
      </c>
      <c r="D11" s="72" t="s">
        <v>473</v>
      </c>
      <c r="E11" s="73" t="s">
        <v>474</v>
      </c>
      <c r="F11" s="73" t="s">
        <v>475</v>
      </c>
      <c r="G11" s="73" t="s">
        <v>476</v>
      </c>
      <c r="H11" s="73" t="s">
        <v>477</v>
      </c>
      <c r="I11" s="73" t="s">
        <v>488</v>
      </c>
      <c r="J11" s="73" t="s">
        <v>466</v>
      </c>
      <c r="K11" s="74" t="s">
        <v>461</v>
      </c>
      <c r="L11" s="72" t="s">
        <v>478</v>
      </c>
      <c r="M11" s="73" t="s">
        <v>479</v>
      </c>
      <c r="N11" s="73" t="s">
        <v>480</v>
      </c>
      <c r="O11" s="73" t="s">
        <v>481</v>
      </c>
      <c r="P11" s="73" t="s">
        <v>482</v>
      </c>
      <c r="Q11" s="73" t="s">
        <v>489</v>
      </c>
      <c r="R11" s="73" t="s">
        <v>467</v>
      </c>
      <c r="S11" s="74" t="s">
        <v>464</v>
      </c>
      <c r="T11" s="72" t="s">
        <v>483</v>
      </c>
      <c r="U11" s="73" t="s">
        <v>484</v>
      </c>
      <c r="V11" s="73" t="s">
        <v>485</v>
      </c>
      <c r="W11" s="73" t="s">
        <v>486</v>
      </c>
      <c r="X11" s="73" t="s">
        <v>487</v>
      </c>
      <c r="Y11" s="73" t="s">
        <v>490</v>
      </c>
      <c r="Z11" s="73" t="s">
        <v>468</v>
      </c>
      <c r="AA11" s="74" t="s">
        <v>465</v>
      </c>
      <c r="AB11" s="9"/>
    </row>
    <row r="12" spans="1:28" x14ac:dyDescent="0.3">
      <c r="A12" s="11" t="s">
        <v>110</v>
      </c>
      <c r="B12" s="11" t="s">
        <v>109</v>
      </c>
      <c r="C12" s="11" t="s">
        <v>88</v>
      </c>
      <c r="D12" s="30" t="str">
        <f>_xlfn.LET(
    _xlpm.sumValue, SUMIFS(
        PNS_data[Value],
        PNS_data[Country], FR_data[[#This Row],[Country]],
        PNS_data[National Society name], selected,
        PNS_data[Attribute], "SP1",
        PNS_data[Year], "2026"
    ),
    IF(_xlpm.sumValue = 0, "", _xlpm.sumValue)
)</f>
        <v/>
      </c>
      <c r="E12" s="31" t="str">
        <f>_xlfn.LET(
    _xlpm.sumValue, SUMIFS(
        PNS_data[Value],
        PNS_data[Country], FR_data[[#This Row],[Country]],
        PNS_data[National Society name], selected,
        PNS_data[Attribute], "SP2",
        PNS_data[Year], "2026"
    ),
    IF(_xlpm.sumValue = 0, "", _xlpm.sumValue)
)</f>
        <v/>
      </c>
      <c r="F12" s="31" t="str">
        <f>_xlfn.LET(
    _xlpm.sumValue, SUMIFS(
        PNS_data[Value],
        PNS_data[Country], FR_data[[#This Row],[Country]],
        PNS_data[National Society name], selected,
        PNS_data[Attribute], "SP3",
        PNS_data[Year], "2026"
    ),
    IF(_xlpm.sumValue = 0, "", _xlpm.sumValue)
)</f>
        <v/>
      </c>
      <c r="G12" s="31" t="str">
        <f>_xlfn.LET(
    _xlpm.sumValue, SUMIFS(
        PNS_data[Value],
        PNS_data[Country], FR_data[[#This Row],[Country]],
        PNS_data[National Society name], selected,
        PNS_data[Attribute], "SP4",
        PNS_data[Year], "2026"
    ),
    IF(_xlpm.sumValue = 0, "", _xlpm.sumValue)
)</f>
        <v/>
      </c>
      <c r="H12" s="31" t="str">
        <f>_xlfn.LET(
    _xlpm.sumValue, SUMIFS(
        PNS_data[Value],
        PNS_data[Country], FR_data[[#This Row],[Country]],
        PNS_data[National Society name], selected,
        PNS_data[Attribute], "SP5",
        PNS_data[Year], "2026"
    ),
    IF(_xlpm.sumValue = 0, "", _xlpm.sumValue)
)</f>
        <v/>
      </c>
      <c r="I12" s="31" t="str">
        <f>_xlfn.LET(
    _xlpm.sumValue, SUMIFS(
        PNS_data[Value],
        PNS_data[Country], FR_data[[#This Row],[Country]],
        PNS_data[National Society name], selected,
        PNS_data[Attribute], "EFs",
        PNS_data[Year], "2026"
    ),
    IF(_xlpm.sumValue = 0, "", _xlpm.sumValue)
)</f>
        <v/>
      </c>
      <c r="J12" s="32" t="str">
        <f>IF(SUM(FR_data[[#This Row],[Response - Disasters and Crises]:[Enabling Functions]])=0,"",SUM(FR_data[[#This Row],[Response - Disasters and Crises]:[Enabling Functions]]))</f>
        <v/>
      </c>
      <c r="K12" s="39"/>
      <c r="L12" s="30" t="str">
        <f>_xlfn.LET(
    _xlpm.sumValue, SUMIFS(
        PNS_data[Value],
        PNS_data[Country], FR_data[[#This Row],[Country]],
        PNS_data[National Society name], selected,
        PNS_data[Attribute], "SP1",
        PNS_data[Year], "2027"
    ),
    IF(_xlpm.sumValue = 0, "", _xlpm.sumValue)
)</f>
        <v/>
      </c>
      <c r="M12" s="31" t="str">
        <f>_xlfn.LET(
    _xlpm.sumValue, SUMIFS(
        PNS_data[Value],
        PNS_data[Country], FR_data[[#This Row],[Country]],
        PNS_data[National Society name], selected,
        PNS_data[Attribute], "SP2",
        PNS_data[Year], "2027"
    ),
    IF(_xlpm.sumValue = 0, "", _xlpm.sumValue)
)</f>
        <v/>
      </c>
      <c r="N12" s="31" t="str">
        <f>_xlfn.LET(
    _xlpm.sumValue, SUMIFS(
        PNS_data[Value],
        PNS_data[Country], FR_data[[#This Row],[Country]],
        PNS_data[National Society name], selected,
        PNS_data[Attribute], "SP3",
        PNS_data[Year], "2027"
    ),
    IF(_xlpm.sumValue = 0, "", _xlpm.sumValue)
)</f>
        <v/>
      </c>
      <c r="O12" s="31" t="str">
        <f>_xlfn.LET(
    _xlpm.sumValue, SUMIFS(
        PNS_data[Value],
        PNS_data[Country], FR_data[[#This Row],[Country]],
        PNS_data[National Society name], selected,
        PNS_data[Attribute], "SP4",
        PNS_data[Year], "2027"
    ),
    IF(_xlpm.sumValue = 0, "", _xlpm.sumValue)
)</f>
        <v/>
      </c>
      <c r="P12" s="31" t="str">
        <f>_xlfn.LET(
    _xlpm.sumValue, SUMIFS(
        PNS_data[Value],
        PNS_data[Country], FR_data[[#This Row],[Country]],
        PNS_data[National Society name], selected,
        PNS_data[Attribute], "SP5",
        PNS_data[Year], "2027"
    ),
    IF(_xlpm.sumValue = 0, "", _xlpm.sumValue)
)</f>
        <v/>
      </c>
      <c r="Q12" s="31" t="str">
        <f>_xlfn.LET(
    _xlpm.sumValue, SUMIFS(
        PNS_data[Value],
        PNS_data[Country], FR_data[[#This Row],[Country]],
        PNS_data[National Society name], selected,
        PNS_data[Attribute], "EFs",
        PNS_data[Year], "2027"
    ),
    IF(_xlpm.sumValue = 0, "", _xlpm.sumValue)
)</f>
        <v/>
      </c>
      <c r="R12" s="32" t="str">
        <f>IF(SUM(FR_data[[#This Row],[Response - Disasters and Crises ]:[Enabling Functions ]])=0,"",SUM(FR_data[[#This Row],[Response - Disasters and Crises ]:[Enabling Functions ]]))</f>
        <v/>
      </c>
      <c r="S12" s="39"/>
      <c r="T12" s="30" t="str">
        <f>_xlfn.LET(
    _xlpm.sumValue, SUMIFS(
        PNS_data[Value],
        PNS_data[Country], FR_data[[#This Row],[Country]],
        PNS_data[National Society name], selected,
        PNS_data[Attribute], "SP1",
        PNS_data[Year], "2028"
    ),
    IF(_xlpm.sumValue = 0, "", _xlpm.sumValue)
)</f>
        <v/>
      </c>
      <c r="U12" s="31" t="str">
        <f>_xlfn.LET(
    _xlpm.sumValue, SUMIFS(
        PNS_data[Value],
        PNS_data[Country], FR_data[[#This Row],[Country]],
        PNS_data[National Society name], selected,
        PNS_data[Attribute], "SP2",
        PNS_data[Year], "2028"
    ),
    IF(_xlpm.sumValue = 0, "", _xlpm.sumValue)
)</f>
        <v/>
      </c>
      <c r="V12" s="31" t="str">
        <f>_xlfn.LET(
    _xlpm.sumValue, SUMIFS(
        PNS_data[Value],
        PNS_data[Country], FR_data[[#This Row],[Country]],
        PNS_data[National Society name], selected,
        PNS_data[Attribute], "SP3",
        PNS_data[Year], "2028"
    ),
    IF(_xlpm.sumValue = 0, "", _xlpm.sumValue)
)</f>
        <v/>
      </c>
      <c r="W12" s="31" t="str">
        <f>_xlfn.LET(
    _xlpm.sumValue, SUMIFS(
        PNS_data[Value],
        PNS_data[Country], FR_data[[#This Row],[Country]],
        PNS_data[National Society name], selected,
        PNS_data[Attribute], "SP4",
        PNS_data[Year], "2028"
    ),
    IF(_xlpm.sumValue = 0, "", _xlpm.sumValue)
)</f>
        <v/>
      </c>
      <c r="X12" s="31" t="str">
        <f>_xlfn.LET(
    _xlpm.sumValue, SUMIFS(
        PNS_data[Value],
        PNS_data[Country], FR_data[[#This Row],[Country]],
        PNS_data[National Society name], selected,
        PNS_data[Attribute], "SP5",
        PNS_data[Year], "2028"
    ),
    IF(_xlpm.sumValue = 0, "", _xlpm.sumValue)
)</f>
        <v/>
      </c>
      <c r="Y12" s="31" t="str">
        <f>_xlfn.LET(
    _xlpm.sumValue, SUMIFS(
        PNS_data[Value],
        PNS_data[Country], FR_data[[#This Row],[Country]],
        PNS_data[National Society name], selected,
        PNS_data[Attribute], "EFs",
        PNS_data[Year], "2028"
    ),
    IF(_xlpm.sumValue = 0, "", _xlpm.sumValue)
)</f>
        <v/>
      </c>
      <c r="Z12" s="32" t="str">
        <f>IF(SUM(FR_data[[#This Row],[Response - Disasters and Crises  ]:[Enabling Functions  ]])=0,"",SUM(FR_data[[#This Row],[Response - Disasters and Crises  ]:[Enabling Functions  ]]))</f>
        <v/>
      </c>
      <c r="AA12" s="41"/>
    </row>
    <row r="13" spans="1:28" x14ac:dyDescent="0.3">
      <c r="A13" s="11" t="s">
        <v>138</v>
      </c>
      <c r="B13" s="11" t="s">
        <v>109</v>
      </c>
      <c r="C13" s="11" t="s">
        <v>74</v>
      </c>
      <c r="D13" s="30" t="str">
        <f>_xlfn.LET(
    _xlpm.sumValue, SUMIFS(
        PNS_data[Value],
        PNS_data[Country], FR_data[[#This Row],[Country]],
        PNS_data[National Society name], selected,
        PNS_data[Attribute], "SP1",
        PNS_data[Year], "2026"
    ),
    IF(_xlpm.sumValue = 0, "", _xlpm.sumValue)
)</f>
        <v/>
      </c>
      <c r="E13" s="31" t="str">
        <f>_xlfn.LET(
    _xlpm.sumValue, SUMIFS(
        PNS_data[Value],
        PNS_data[Country], FR_data[[#This Row],[Country]],
        PNS_data[National Society name], selected,
        PNS_data[Attribute], "SP2",
        PNS_data[Year], "2026"
    ),
    IF(_xlpm.sumValue = 0, "", _xlpm.sumValue)
)</f>
        <v/>
      </c>
      <c r="F13" s="31" t="str">
        <f>_xlfn.LET(
    _xlpm.sumValue, SUMIFS(
        PNS_data[Value],
        PNS_data[Country], FR_data[[#This Row],[Country]],
        PNS_data[National Society name], selected,
        PNS_data[Attribute], "SP3",
        PNS_data[Year], "2026"
    ),
    IF(_xlpm.sumValue = 0, "", _xlpm.sumValue)
)</f>
        <v/>
      </c>
      <c r="G13" s="31" t="str">
        <f>_xlfn.LET(
    _xlpm.sumValue, SUMIFS(
        PNS_data[Value],
        PNS_data[Country], FR_data[[#This Row],[Country]],
        PNS_data[National Society name], selected,
        PNS_data[Attribute], "SP4",
        PNS_data[Year], "2026"
    ),
    IF(_xlpm.sumValue = 0, "", _xlpm.sumValue)
)</f>
        <v/>
      </c>
      <c r="H13" s="31" t="str">
        <f>_xlfn.LET(
    _xlpm.sumValue, SUMIFS(
        PNS_data[Value],
        PNS_data[Country], FR_data[[#This Row],[Country]],
        PNS_data[National Society name], selected,
        PNS_data[Attribute], "SP5",
        PNS_data[Year], "2026"
    ),
    IF(_xlpm.sumValue = 0, "", _xlpm.sumValue)
)</f>
        <v/>
      </c>
      <c r="I13" s="31" t="str">
        <f>_xlfn.LET(
    _xlpm.sumValue, SUMIFS(
        PNS_data[Value],
        PNS_data[Country], FR_data[[#This Row],[Country]],
        PNS_data[National Society name], selected,
        PNS_data[Attribute], "EFs",
        PNS_data[Year], "2026"
    ),
    IF(_xlpm.sumValue = 0, "", _xlpm.sumValue)
)</f>
        <v/>
      </c>
      <c r="J13" s="32" t="str">
        <f>IF(SUM(FR_data[[#This Row],[Response - Disasters and Crises]:[Enabling Functions]])=0,"",SUM(FR_data[[#This Row],[Response - Disasters and Crises]:[Enabling Functions]]))</f>
        <v/>
      </c>
      <c r="K13" s="39"/>
      <c r="L13" s="30" t="str">
        <f>_xlfn.LET(
    _xlpm.sumValue, SUMIFS(
        PNS_data[Value],
        PNS_data[Country], FR_data[[#This Row],[Country]],
        PNS_data[National Society name], selected,
        PNS_data[Attribute], "SP1",
        PNS_data[Year], "2027"
    ),
    IF(_xlpm.sumValue = 0, "", _xlpm.sumValue)
)</f>
        <v/>
      </c>
      <c r="M13" s="31" t="str">
        <f>_xlfn.LET(
    _xlpm.sumValue, SUMIFS(
        PNS_data[Value],
        PNS_data[Country], FR_data[[#This Row],[Country]],
        PNS_data[National Society name], selected,
        PNS_data[Attribute], "SP2",
        PNS_data[Year], "2027"
    ),
    IF(_xlpm.sumValue = 0, "", _xlpm.sumValue)
)</f>
        <v/>
      </c>
      <c r="N13" s="31" t="str">
        <f>_xlfn.LET(
    _xlpm.sumValue, SUMIFS(
        PNS_data[Value],
        PNS_data[Country], FR_data[[#This Row],[Country]],
        PNS_data[National Society name], selected,
        PNS_data[Attribute], "SP3",
        PNS_data[Year], "2027"
    ),
    IF(_xlpm.sumValue = 0, "", _xlpm.sumValue)
)</f>
        <v/>
      </c>
      <c r="O13" s="31" t="str">
        <f>_xlfn.LET(
    _xlpm.sumValue, SUMIFS(
        PNS_data[Value],
        PNS_data[Country], FR_data[[#This Row],[Country]],
        PNS_data[National Society name], selected,
        PNS_data[Attribute], "SP4",
        PNS_data[Year], "2027"
    ),
    IF(_xlpm.sumValue = 0, "", _xlpm.sumValue)
)</f>
        <v/>
      </c>
      <c r="P13" s="31" t="str">
        <f>_xlfn.LET(
    _xlpm.sumValue, SUMIFS(
        PNS_data[Value],
        PNS_data[Country], FR_data[[#This Row],[Country]],
        PNS_data[National Society name], selected,
        PNS_data[Attribute], "SP5",
        PNS_data[Year], "2027"
    ),
    IF(_xlpm.sumValue = 0, "", _xlpm.sumValue)
)</f>
        <v/>
      </c>
      <c r="Q13" s="31" t="str">
        <f>_xlfn.LET(
    _xlpm.sumValue, SUMIFS(
        PNS_data[Value],
        PNS_data[Country], FR_data[[#This Row],[Country]],
        PNS_data[National Society name], selected,
        PNS_data[Attribute], "EFs",
        PNS_data[Year], "2027"
    ),
    IF(_xlpm.sumValue = 0, "", _xlpm.sumValue)
)</f>
        <v/>
      </c>
      <c r="R13" s="32" t="str">
        <f>IF(SUM(FR_data[[#This Row],[Response - Disasters and Crises ]:[Enabling Functions ]])=0,"",SUM(FR_data[[#This Row],[Response - Disasters and Crises ]:[Enabling Functions ]]))</f>
        <v/>
      </c>
      <c r="S13" s="39"/>
      <c r="T13" s="30" t="str">
        <f>_xlfn.LET(
    _xlpm.sumValue, SUMIFS(
        PNS_data[Value],
        PNS_data[Country], FR_data[[#This Row],[Country]],
        PNS_data[National Society name], selected,
        PNS_data[Attribute], "SP1",
        PNS_data[Year], "2028"
    ),
    IF(_xlpm.sumValue = 0, "", _xlpm.sumValue)
)</f>
        <v/>
      </c>
      <c r="U13" s="31" t="str">
        <f>_xlfn.LET(
    _xlpm.sumValue, SUMIFS(
        PNS_data[Value],
        PNS_data[Country], FR_data[[#This Row],[Country]],
        PNS_data[National Society name], selected,
        PNS_data[Attribute], "SP2",
        PNS_data[Year], "2028"
    ),
    IF(_xlpm.sumValue = 0, "", _xlpm.sumValue)
)</f>
        <v/>
      </c>
      <c r="V13" s="31" t="str">
        <f>_xlfn.LET(
    _xlpm.sumValue, SUMIFS(
        PNS_data[Value],
        PNS_data[Country], FR_data[[#This Row],[Country]],
        PNS_data[National Society name], selected,
        PNS_data[Attribute], "SP3",
        PNS_data[Year], "2028"
    ),
    IF(_xlpm.sumValue = 0, "", _xlpm.sumValue)
)</f>
        <v/>
      </c>
      <c r="W13" s="31" t="str">
        <f>_xlfn.LET(
    _xlpm.sumValue, SUMIFS(
        PNS_data[Value],
        PNS_data[Country], FR_data[[#This Row],[Country]],
        PNS_data[National Society name], selected,
        PNS_data[Attribute], "SP4",
        PNS_data[Year], "2028"
    ),
    IF(_xlpm.sumValue = 0, "", _xlpm.sumValue)
)</f>
        <v/>
      </c>
      <c r="X13" s="31" t="str">
        <f>_xlfn.LET(
    _xlpm.sumValue, SUMIFS(
        PNS_data[Value],
        PNS_data[Country], FR_data[[#This Row],[Country]],
        PNS_data[National Society name], selected,
        PNS_data[Attribute], "SP5",
        PNS_data[Year], "2028"
    ),
    IF(_xlpm.sumValue = 0, "", _xlpm.sumValue)
)</f>
        <v/>
      </c>
      <c r="Y13" s="31" t="str">
        <f>_xlfn.LET(
    _xlpm.sumValue, SUMIFS(
        PNS_data[Value],
        PNS_data[Country], FR_data[[#This Row],[Country]],
        PNS_data[National Society name], selected,
        PNS_data[Attribute], "EFs",
        PNS_data[Year], "2028"
    ),
    IF(_xlpm.sumValue = 0, "", _xlpm.sumValue)
)</f>
        <v/>
      </c>
      <c r="Z13" s="32" t="str">
        <f>IF(SUM(FR_data[[#This Row],[Response - Disasters and Crises  ]:[Enabling Functions  ]])=0,"",SUM(FR_data[[#This Row],[Response - Disasters and Crises  ]:[Enabling Functions  ]]))</f>
        <v/>
      </c>
      <c r="AA13" s="41"/>
    </row>
    <row r="14" spans="1:28" x14ac:dyDescent="0.3">
      <c r="A14" s="11" t="s">
        <v>139</v>
      </c>
      <c r="B14" s="11" t="s">
        <v>109</v>
      </c>
      <c r="C14" s="11" t="s">
        <v>140</v>
      </c>
      <c r="D14" s="30" t="str">
        <f>_xlfn.LET(
    _xlpm.sumValue, SUMIFS(
        PNS_data[Value],
        PNS_data[Country], FR_data[[#This Row],[Country]],
        PNS_data[National Society name], selected,
        PNS_data[Attribute], "SP1",
        PNS_data[Year], "2026"
    ),
    IF(_xlpm.sumValue = 0, "", _xlpm.sumValue)
)</f>
        <v/>
      </c>
      <c r="E14" s="31" t="str">
        <f>_xlfn.LET(
    _xlpm.sumValue, SUMIFS(
        PNS_data[Value],
        PNS_data[Country], FR_data[[#This Row],[Country]],
        PNS_data[National Society name], selected,
        PNS_data[Attribute], "SP2",
        PNS_data[Year], "2026"
    ),
    IF(_xlpm.sumValue = 0, "", _xlpm.sumValue)
)</f>
        <v/>
      </c>
      <c r="F14" s="31" t="str">
        <f>_xlfn.LET(
    _xlpm.sumValue, SUMIFS(
        PNS_data[Value],
        PNS_data[Country], FR_data[[#This Row],[Country]],
        PNS_data[National Society name], selected,
        PNS_data[Attribute], "SP3",
        PNS_data[Year], "2026"
    ),
    IF(_xlpm.sumValue = 0, "", _xlpm.sumValue)
)</f>
        <v/>
      </c>
      <c r="G14" s="31" t="str">
        <f>_xlfn.LET(
    _xlpm.sumValue, SUMIFS(
        PNS_data[Value],
        PNS_data[Country], FR_data[[#This Row],[Country]],
        PNS_data[National Society name], selected,
        PNS_data[Attribute], "SP4",
        PNS_data[Year], "2026"
    ),
    IF(_xlpm.sumValue = 0, "", _xlpm.sumValue)
)</f>
        <v/>
      </c>
      <c r="H14" s="31" t="str">
        <f>_xlfn.LET(
    _xlpm.sumValue, SUMIFS(
        PNS_data[Value],
        PNS_data[Country], FR_data[[#This Row],[Country]],
        PNS_data[National Society name], selected,
        PNS_data[Attribute], "SP5",
        PNS_data[Year], "2026"
    ),
    IF(_xlpm.sumValue = 0, "", _xlpm.sumValue)
)</f>
        <v/>
      </c>
      <c r="I14" s="31" t="str">
        <f>_xlfn.LET(
    _xlpm.sumValue, SUMIFS(
        PNS_data[Value],
        PNS_data[Country], FR_data[[#This Row],[Country]],
        PNS_data[National Society name], selected,
        PNS_data[Attribute], "EFs",
        PNS_data[Year], "2026"
    ),
    IF(_xlpm.sumValue = 0, "", _xlpm.sumValue)
)</f>
        <v/>
      </c>
      <c r="J14" s="32" t="str">
        <f>IF(SUM(FR_data[[#This Row],[Response - Disasters and Crises]:[Enabling Functions]])=0,"",SUM(FR_data[[#This Row],[Response - Disasters and Crises]:[Enabling Functions]]))</f>
        <v/>
      </c>
      <c r="K14" s="39"/>
      <c r="L14" s="30" t="str">
        <f>_xlfn.LET(
    _xlpm.sumValue, SUMIFS(
        PNS_data[Value],
        PNS_data[Country], FR_data[[#This Row],[Country]],
        PNS_data[National Society name], selected,
        PNS_data[Attribute], "SP1",
        PNS_data[Year], "2027"
    ),
    IF(_xlpm.sumValue = 0, "", _xlpm.sumValue)
)</f>
        <v/>
      </c>
      <c r="M14" s="31" t="str">
        <f>_xlfn.LET(
    _xlpm.sumValue, SUMIFS(
        PNS_data[Value],
        PNS_data[Country], FR_data[[#This Row],[Country]],
        PNS_data[National Society name], selected,
        PNS_data[Attribute], "SP2",
        PNS_data[Year], "2027"
    ),
    IF(_xlpm.sumValue = 0, "", _xlpm.sumValue)
)</f>
        <v/>
      </c>
      <c r="N14" s="31" t="str">
        <f>_xlfn.LET(
    _xlpm.sumValue, SUMIFS(
        PNS_data[Value],
        PNS_data[Country], FR_data[[#This Row],[Country]],
        PNS_data[National Society name], selected,
        PNS_data[Attribute], "SP3",
        PNS_data[Year], "2027"
    ),
    IF(_xlpm.sumValue = 0, "", _xlpm.sumValue)
)</f>
        <v/>
      </c>
      <c r="O14" s="31" t="str">
        <f>_xlfn.LET(
    _xlpm.sumValue, SUMIFS(
        PNS_data[Value],
        PNS_data[Country], FR_data[[#This Row],[Country]],
        PNS_data[National Society name], selected,
        PNS_data[Attribute], "SP4",
        PNS_data[Year], "2027"
    ),
    IF(_xlpm.sumValue = 0, "", _xlpm.sumValue)
)</f>
        <v/>
      </c>
      <c r="P14" s="31" t="str">
        <f>_xlfn.LET(
    _xlpm.sumValue, SUMIFS(
        PNS_data[Value],
        PNS_data[Country], FR_data[[#This Row],[Country]],
        PNS_data[National Society name], selected,
        PNS_data[Attribute], "SP5",
        PNS_data[Year], "2027"
    ),
    IF(_xlpm.sumValue = 0, "", _xlpm.sumValue)
)</f>
        <v/>
      </c>
      <c r="Q14" s="31" t="str">
        <f>_xlfn.LET(
    _xlpm.sumValue, SUMIFS(
        PNS_data[Value],
        PNS_data[Country], FR_data[[#This Row],[Country]],
        PNS_data[National Society name], selected,
        PNS_data[Attribute], "EFs",
        PNS_data[Year], "2027"
    ),
    IF(_xlpm.sumValue = 0, "", _xlpm.sumValue)
)</f>
        <v/>
      </c>
      <c r="R14" s="32" t="str">
        <f>IF(SUM(FR_data[[#This Row],[Response - Disasters and Crises ]:[Enabling Functions ]])=0,"",SUM(FR_data[[#This Row],[Response - Disasters and Crises ]:[Enabling Functions ]]))</f>
        <v/>
      </c>
      <c r="S14" s="39"/>
      <c r="T14" s="30" t="str">
        <f>_xlfn.LET(
    _xlpm.sumValue, SUMIFS(
        PNS_data[Value],
        PNS_data[Country], FR_data[[#This Row],[Country]],
        PNS_data[National Society name], selected,
        PNS_data[Attribute], "SP1",
        PNS_data[Year], "2028"
    ),
    IF(_xlpm.sumValue = 0, "", _xlpm.sumValue)
)</f>
        <v/>
      </c>
      <c r="U14" s="31" t="str">
        <f>_xlfn.LET(
    _xlpm.sumValue, SUMIFS(
        PNS_data[Value],
        PNS_data[Country], FR_data[[#This Row],[Country]],
        PNS_data[National Society name], selected,
        PNS_data[Attribute], "SP2",
        PNS_data[Year], "2028"
    ),
    IF(_xlpm.sumValue = 0, "", _xlpm.sumValue)
)</f>
        <v/>
      </c>
      <c r="V14" s="31" t="str">
        <f>_xlfn.LET(
    _xlpm.sumValue, SUMIFS(
        PNS_data[Value],
        PNS_data[Country], FR_data[[#This Row],[Country]],
        PNS_data[National Society name], selected,
        PNS_data[Attribute], "SP3",
        PNS_data[Year], "2028"
    ),
    IF(_xlpm.sumValue = 0, "", _xlpm.sumValue)
)</f>
        <v/>
      </c>
      <c r="W14" s="31" t="str">
        <f>_xlfn.LET(
    _xlpm.sumValue, SUMIFS(
        PNS_data[Value],
        PNS_data[Country], FR_data[[#This Row],[Country]],
        PNS_data[National Society name], selected,
        PNS_data[Attribute], "SP4",
        PNS_data[Year], "2028"
    ),
    IF(_xlpm.sumValue = 0, "", _xlpm.sumValue)
)</f>
        <v/>
      </c>
      <c r="X14" s="31" t="str">
        <f>_xlfn.LET(
    _xlpm.sumValue, SUMIFS(
        PNS_data[Value],
        PNS_data[Country], FR_data[[#This Row],[Country]],
        PNS_data[National Society name], selected,
        PNS_data[Attribute], "SP5",
        PNS_data[Year], "2028"
    ),
    IF(_xlpm.sumValue = 0, "", _xlpm.sumValue)
)</f>
        <v/>
      </c>
      <c r="Y14" s="31" t="str">
        <f>_xlfn.LET(
    _xlpm.sumValue, SUMIFS(
        PNS_data[Value],
        PNS_data[Country], FR_data[[#This Row],[Country]],
        PNS_data[National Society name], selected,
        PNS_data[Attribute], "EFs",
        PNS_data[Year], "2028"
    ),
    IF(_xlpm.sumValue = 0, "", _xlpm.sumValue)
)</f>
        <v/>
      </c>
      <c r="Z14" s="32" t="str">
        <f>IF(SUM(FR_data[[#This Row],[Response - Disasters and Crises  ]:[Enabling Functions  ]])=0,"",SUM(FR_data[[#This Row],[Response - Disasters and Crises  ]:[Enabling Functions  ]]))</f>
        <v/>
      </c>
      <c r="AA14" s="41"/>
    </row>
    <row r="15" spans="1:28" x14ac:dyDescent="0.3">
      <c r="A15" s="11" t="s">
        <v>134</v>
      </c>
      <c r="B15" s="11" t="s">
        <v>109</v>
      </c>
      <c r="C15" s="11" t="s">
        <v>75</v>
      </c>
      <c r="D15" s="30" t="str">
        <f>_xlfn.LET(
    _xlpm.sumValue, SUMIFS(
        PNS_data[Value],
        PNS_data[Country], FR_data[[#This Row],[Country]],
        PNS_data[National Society name], selected,
        PNS_data[Attribute], "SP1",
        PNS_data[Year], "2026"
    ),
    IF(_xlpm.sumValue = 0, "", _xlpm.sumValue)
)</f>
        <v/>
      </c>
      <c r="E15" s="31" t="str">
        <f>_xlfn.LET(
    _xlpm.sumValue, SUMIFS(
        PNS_data[Value],
        PNS_data[Country], FR_data[[#This Row],[Country]],
        PNS_data[National Society name], selected,
        PNS_data[Attribute], "SP2",
        PNS_data[Year], "2026"
    ),
    IF(_xlpm.sumValue = 0, "", _xlpm.sumValue)
)</f>
        <v/>
      </c>
      <c r="F15" s="31" t="str">
        <f>_xlfn.LET(
    _xlpm.sumValue, SUMIFS(
        PNS_data[Value],
        PNS_data[Country], FR_data[[#This Row],[Country]],
        PNS_data[National Society name], selected,
        PNS_data[Attribute], "SP3",
        PNS_data[Year], "2026"
    ),
    IF(_xlpm.sumValue = 0, "", _xlpm.sumValue)
)</f>
        <v/>
      </c>
      <c r="G15" s="31" t="str">
        <f>_xlfn.LET(
    _xlpm.sumValue, SUMIFS(
        PNS_data[Value],
        PNS_data[Country], FR_data[[#This Row],[Country]],
        PNS_data[National Society name], selected,
        PNS_data[Attribute], "SP4",
        PNS_data[Year], "2026"
    ),
    IF(_xlpm.sumValue = 0, "", _xlpm.sumValue)
)</f>
        <v/>
      </c>
      <c r="H15" s="31" t="str">
        <f>_xlfn.LET(
    _xlpm.sumValue, SUMIFS(
        PNS_data[Value],
        PNS_data[Country], FR_data[[#This Row],[Country]],
        PNS_data[National Society name], selected,
        PNS_data[Attribute], "SP5",
        PNS_data[Year], "2026"
    ),
    IF(_xlpm.sumValue = 0, "", _xlpm.sumValue)
)</f>
        <v/>
      </c>
      <c r="I15" s="31" t="str">
        <f>_xlfn.LET(
    _xlpm.sumValue, SUMIFS(
        PNS_data[Value],
        PNS_data[Country], FR_data[[#This Row],[Country]],
        PNS_data[National Society name], selected,
        PNS_data[Attribute], "EFs",
        PNS_data[Year], "2026"
    ),
    IF(_xlpm.sumValue = 0, "", _xlpm.sumValue)
)</f>
        <v/>
      </c>
      <c r="J15" s="32" t="str">
        <f>IF(SUM(FR_data[[#This Row],[Response - Disasters and Crises]:[Enabling Functions]])=0,"",SUM(FR_data[[#This Row],[Response - Disasters and Crises]:[Enabling Functions]]))</f>
        <v/>
      </c>
      <c r="K15" s="39"/>
      <c r="L15" s="30" t="str">
        <f>_xlfn.LET(
    _xlpm.sumValue, SUMIFS(
        PNS_data[Value],
        PNS_data[Country], FR_data[[#This Row],[Country]],
        PNS_data[National Society name], selected,
        PNS_data[Attribute], "SP1",
        PNS_data[Year], "2027"
    ),
    IF(_xlpm.sumValue = 0, "", _xlpm.sumValue)
)</f>
        <v/>
      </c>
      <c r="M15" s="31" t="str">
        <f>_xlfn.LET(
    _xlpm.sumValue, SUMIFS(
        PNS_data[Value],
        PNS_data[Country], FR_data[[#This Row],[Country]],
        PNS_data[National Society name], selected,
        PNS_data[Attribute], "SP2",
        PNS_data[Year], "2027"
    ),
    IF(_xlpm.sumValue = 0, "", _xlpm.sumValue)
)</f>
        <v/>
      </c>
      <c r="N15" s="31" t="str">
        <f>_xlfn.LET(
    _xlpm.sumValue, SUMIFS(
        PNS_data[Value],
        PNS_data[Country], FR_data[[#This Row],[Country]],
        PNS_data[National Society name], selected,
        PNS_data[Attribute], "SP3",
        PNS_data[Year], "2027"
    ),
    IF(_xlpm.sumValue = 0, "", _xlpm.sumValue)
)</f>
        <v/>
      </c>
      <c r="O15" s="31" t="str">
        <f>_xlfn.LET(
    _xlpm.sumValue, SUMIFS(
        PNS_data[Value],
        PNS_data[Country], FR_data[[#This Row],[Country]],
        PNS_data[National Society name], selected,
        PNS_data[Attribute], "SP4",
        PNS_data[Year], "2027"
    ),
    IF(_xlpm.sumValue = 0, "", _xlpm.sumValue)
)</f>
        <v/>
      </c>
      <c r="P15" s="31" t="str">
        <f>_xlfn.LET(
    _xlpm.sumValue, SUMIFS(
        PNS_data[Value],
        PNS_data[Country], FR_data[[#This Row],[Country]],
        PNS_data[National Society name], selected,
        PNS_data[Attribute], "SP5",
        PNS_data[Year], "2027"
    ),
    IF(_xlpm.sumValue = 0, "", _xlpm.sumValue)
)</f>
        <v/>
      </c>
      <c r="Q15" s="31" t="str">
        <f>_xlfn.LET(
    _xlpm.sumValue, SUMIFS(
        PNS_data[Value],
        PNS_data[Country], FR_data[[#This Row],[Country]],
        PNS_data[National Society name], selected,
        PNS_data[Attribute], "EFs",
        PNS_data[Year], "2027"
    ),
    IF(_xlpm.sumValue = 0, "", _xlpm.sumValue)
)</f>
        <v/>
      </c>
      <c r="R15" s="32" t="str">
        <f>IF(SUM(FR_data[[#This Row],[Response - Disasters and Crises ]:[Enabling Functions ]])=0,"",SUM(FR_data[[#This Row],[Response - Disasters and Crises ]:[Enabling Functions ]]))</f>
        <v/>
      </c>
      <c r="S15" s="39"/>
      <c r="T15" s="30" t="str">
        <f>_xlfn.LET(
    _xlpm.sumValue, SUMIFS(
        PNS_data[Value],
        PNS_data[Country], FR_data[[#This Row],[Country]],
        PNS_data[National Society name], selected,
        PNS_data[Attribute], "SP1",
        PNS_data[Year], "2028"
    ),
    IF(_xlpm.sumValue = 0, "", _xlpm.sumValue)
)</f>
        <v/>
      </c>
      <c r="U15" s="31" t="str">
        <f>_xlfn.LET(
    _xlpm.sumValue, SUMIFS(
        PNS_data[Value],
        PNS_data[Country], FR_data[[#This Row],[Country]],
        PNS_data[National Society name], selected,
        PNS_data[Attribute], "SP2",
        PNS_data[Year], "2028"
    ),
    IF(_xlpm.sumValue = 0, "", _xlpm.sumValue)
)</f>
        <v/>
      </c>
      <c r="V15" s="31" t="str">
        <f>_xlfn.LET(
    _xlpm.sumValue, SUMIFS(
        PNS_data[Value],
        PNS_data[Country], FR_data[[#This Row],[Country]],
        PNS_data[National Society name], selected,
        PNS_data[Attribute], "SP3",
        PNS_data[Year], "2028"
    ),
    IF(_xlpm.sumValue = 0, "", _xlpm.sumValue)
)</f>
        <v/>
      </c>
      <c r="W15" s="31" t="str">
        <f>_xlfn.LET(
    _xlpm.sumValue, SUMIFS(
        PNS_data[Value],
        PNS_data[Country], FR_data[[#This Row],[Country]],
        PNS_data[National Society name], selected,
        PNS_data[Attribute], "SP4",
        PNS_data[Year], "2028"
    ),
    IF(_xlpm.sumValue = 0, "", _xlpm.sumValue)
)</f>
        <v/>
      </c>
      <c r="X15" s="31" t="str">
        <f>_xlfn.LET(
    _xlpm.sumValue, SUMIFS(
        PNS_data[Value],
        PNS_data[Country], FR_data[[#This Row],[Country]],
        PNS_data[National Society name], selected,
        PNS_data[Attribute], "SP5",
        PNS_data[Year], "2028"
    ),
    IF(_xlpm.sumValue = 0, "", _xlpm.sumValue)
)</f>
        <v/>
      </c>
      <c r="Y15" s="31" t="str">
        <f>_xlfn.LET(
    _xlpm.sumValue, SUMIFS(
        PNS_data[Value],
        PNS_data[Country], FR_data[[#This Row],[Country]],
        PNS_data[National Society name], selected,
        PNS_data[Attribute], "EFs",
        PNS_data[Year], "2028"
    ),
    IF(_xlpm.sumValue = 0, "", _xlpm.sumValue)
)</f>
        <v/>
      </c>
      <c r="Z15" s="32" t="str">
        <f>IF(SUM(FR_data[[#This Row],[Response - Disasters and Crises  ]:[Enabling Functions  ]])=0,"",SUM(FR_data[[#This Row],[Response - Disasters and Crises  ]:[Enabling Functions  ]]))</f>
        <v/>
      </c>
      <c r="AA15" s="41"/>
    </row>
    <row r="16" spans="1:28" x14ac:dyDescent="0.3">
      <c r="A16" s="11" t="s">
        <v>141</v>
      </c>
      <c r="B16" s="11" t="s">
        <v>109</v>
      </c>
      <c r="C16" s="11" t="s">
        <v>76</v>
      </c>
      <c r="D16" s="30" t="str">
        <f>_xlfn.LET(
    _xlpm.sumValue, SUMIFS(
        PNS_data[Value],
        PNS_data[Country], FR_data[[#This Row],[Country]],
        PNS_data[National Society name], selected,
        PNS_data[Attribute], "SP1",
        PNS_data[Year], "2026"
    ),
    IF(_xlpm.sumValue = 0, "", _xlpm.sumValue)
)</f>
        <v/>
      </c>
      <c r="E16" s="31" t="str">
        <f>_xlfn.LET(
    _xlpm.sumValue, SUMIFS(
        PNS_data[Value],
        PNS_data[Country], FR_data[[#This Row],[Country]],
        PNS_data[National Society name], selected,
        PNS_data[Attribute], "SP2",
        PNS_data[Year], "2026"
    ),
    IF(_xlpm.sumValue = 0, "", _xlpm.sumValue)
)</f>
        <v/>
      </c>
      <c r="F16" s="31" t="str">
        <f>_xlfn.LET(
    _xlpm.sumValue, SUMIFS(
        PNS_data[Value],
        PNS_data[Country], FR_data[[#This Row],[Country]],
        PNS_data[National Society name], selected,
        PNS_data[Attribute], "SP3",
        PNS_data[Year], "2026"
    ),
    IF(_xlpm.sumValue = 0, "", _xlpm.sumValue)
)</f>
        <v/>
      </c>
      <c r="G16" s="31" t="str">
        <f>_xlfn.LET(
    _xlpm.sumValue, SUMIFS(
        PNS_data[Value],
        PNS_data[Country], FR_data[[#This Row],[Country]],
        PNS_data[National Society name], selected,
        PNS_data[Attribute], "SP4",
        PNS_data[Year], "2026"
    ),
    IF(_xlpm.sumValue = 0, "", _xlpm.sumValue)
)</f>
        <v/>
      </c>
      <c r="H16" s="31" t="str">
        <f>_xlfn.LET(
    _xlpm.sumValue, SUMIFS(
        PNS_data[Value],
        PNS_data[Country], FR_data[[#This Row],[Country]],
        PNS_data[National Society name], selected,
        PNS_data[Attribute], "SP5",
        PNS_data[Year], "2026"
    ),
    IF(_xlpm.sumValue = 0, "", _xlpm.sumValue)
)</f>
        <v/>
      </c>
      <c r="I16" s="31" t="str">
        <f>_xlfn.LET(
    _xlpm.sumValue, SUMIFS(
        PNS_data[Value],
        PNS_data[Country], FR_data[[#This Row],[Country]],
        PNS_data[National Society name], selected,
        PNS_data[Attribute], "EFs",
        PNS_data[Year], "2026"
    ),
    IF(_xlpm.sumValue = 0, "", _xlpm.sumValue)
)</f>
        <v/>
      </c>
      <c r="J16" s="32" t="str">
        <f>IF(SUM(FR_data[[#This Row],[Response - Disasters and Crises]:[Enabling Functions]])=0,"",SUM(FR_data[[#This Row],[Response - Disasters and Crises]:[Enabling Functions]]))</f>
        <v/>
      </c>
      <c r="K16" s="39"/>
      <c r="L16" s="30" t="str">
        <f>_xlfn.LET(
    _xlpm.sumValue, SUMIFS(
        PNS_data[Value],
        PNS_data[Country], FR_data[[#This Row],[Country]],
        PNS_data[National Society name], selected,
        PNS_data[Attribute], "SP1",
        PNS_data[Year], "2027"
    ),
    IF(_xlpm.sumValue = 0, "", _xlpm.sumValue)
)</f>
        <v/>
      </c>
      <c r="M16" s="31" t="str">
        <f>_xlfn.LET(
    _xlpm.sumValue, SUMIFS(
        PNS_data[Value],
        PNS_data[Country], FR_data[[#This Row],[Country]],
        PNS_data[National Society name], selected,
        PNS_data[Attribute], "SP2",
        PNS_data[Year], "2027"
    ),
    IF(_xlpm.sumValue = 0, "", _xlpm.sumValue)
)</f>
        <v/>
      </c>
      <c r="N16" s="31" t="str">
        <f>_xlfn.LET(
    _xlpm.sumValue, SUMIFS(
        PNS_data[Value],
        PNS_data[Country], FR_data[[#This Row],[Country]],
        PNS_data[National Society name], selected,
        PNS_data[Attribute], "SP3",
        PNS_data[Year], "2027"
    ),
    IF(_xlpm.sumValue = 0, "", _xlpm.sumValue)
)</f>
        <v/>
      </c>
      <c r="O16" s="31" t="str">
        <f>_xlfn.LET(
    _xlpm.sumValue, SUMIFS(
        PNS_data[Value],
        PNS_data[Country], FR_data[[#This Row],[Country]],
        PNS_data[National Society name], selected,
        PNS_data[Attribute], "SP4",
        PNS_data[Year], "2027"
    ),
    IF(_xlpm.sumValue = 0, "", _xlpm.sumValue)
)</f>
        <v/>
      </c>
      <c r="P16" s="31" t="str">
        <f>_xlfn.LET(
    _xlpm.sumValue, SUMIFS(
        PNS_data[Value],
        PNS_data[Country], FR_data[[#This Row],[Country]],
        PNS_data[National Society name], selected,
        PNS_data[Attribute], "SP5",
        PNS_data[Year], "2027"
    ),
    IF(_xlpm.sumValue = 0, "", _xlpm.sumValue)
)</f>
        <v/>
      </c>
      <c r="Q16" s="31" t="str">
        <f>_xlfn.LET(
    _xlpm.sumValue, SUMIFS(
        PNS_data[Value],
        PNS_data[Country], FR_data[[#This Row],[Country]],
        PNS_data[National Society name], selected,
        PNS_data[Attribute], "EFs",
        PNS_data[Year], "2027"
    ),
    IF(_xlpm.sumValue = 0, "", _xlpm.sumValue)
)</f>
        <v/>
      </c>
      <c r="R16" s="32" t="str">
        <f>IF(SUM(FR_data[[#This Row],[Response - Disasters and Crises ]:[Enabling Functions ]])=0,"",SUM(FR_data[[#This Row],[Response - Disasters and Crises ]:[Enabling Functions ]]))</f>
        <v/>
      </c>
      <c r="S16" s="39"/>
      <c r="T16" s="30" t="str">
        <f>_xlfn.LET(
    _xlpm.sumValue, SUMIFS(
        PNS_data[Value],
        PNS_data[Country], FR_data[[#This Row],[Country]],
        PNS_data[National Society name], selected,
        PNS_data[Attribute], "SP1",
        PNS_data[Year], "2028"
    ),
    IF(_xlpm.sumValue = 0, "", _xlpm.sumValue)
)</f>
        <v/>
      </c>
      <c r="U16" s="31" t="str">
        <f>_xlfn.LET(
    _xlpm.sumValue, SUMIFS(
        PNS_data[Value],
        PNS_data[Country], FR_data[[#This Row],[Country]],
        PNS_data[National Society name], selected,
        PNS_data[Attribute], "SP2",
        PNS_data[Year], "2028"
    ),
    IF(_xlpm.sumValue = 0, "", _xlpm.sumValue)
)</f>
        <v/>
      </c>
      <c r="V16" s="31" t="str">
        <f>_xlfn.LET(
    _xlpm.sumValue, SUMIFS(
        PNS_data[Value],
        PNS_data[Country], FR_data[[#This Row],[Country]],
        PNS_data[National Society name], selected,
        PNS_data[Attribute], "SP3",
        PNS_data[Year], "2028"
    ),
    IF(_xlpm.sumValue = 0, "", _xlpm.sumValue)
)</f>
        <v/>
      </c>
      <c r="W16" s="31" t="str">
        <f>_xlfn.LET(
    _xlpm.sumValue, SUMIFS(
        PNS_data[Value],
        PNS_data[Country], FR_data[[#This Row],[Country]],
        PNS_data[National Society name], selected,
        PNS_data[Attribute], "SP4",
        PNS_data[Year], "2028"
    ),
    IF(_xlpm.sumValue = 0, "", _xlpm.sumValue)
)</f>
        <v/>
      </c>
      <c r="X16" s="31" t="str">
        <f>_xlfn.LET(
    _xlpm.sumValue, SUMIFS(
        PNS_data[Value],
        PNS_data[Country], FR_data[[#This Row],[Country]],
        PNS_data[National Society name], selected,
        PNS_data[Attribute], "SP5",
        PNS_data[Year], "2028"
    ),
    IF(_xlpm.sumValue = 0, "", _xlpm.sumValue)
)</f>
        <v/>
      </c>
      <c r="Y16" s="31" t="str">
        <f>_xlfn.LET(
    _xlpm.sumValue, SUMIFS(
        PNS_data[Value],
        PNS_data[Country], FR_data[[#This Row],[Country]],
        PNS_data[National Society name], selected,
        PNS_data[Attribute], "EFs",
        PNS_data[Year], "2028"
    ),
    IF(_xlpm.sumValue = 0, "", _xlpm.sumValue)
)</f>
        <v/>
      </c>
      <c r="Z16" s="32" t="str">
        <f>IF(SUM(FR_data[[#This Row],[Response - Disasters and Crises  ]:[Enabling Functions  ]])=0,"",SUM(FR_data[[#This Row],[Response - Disasters and Crises  ]:[Enabling Functions  ]]))</f>
        <v/>
      </c>
      <c r="AA16" s="41"/>
    </row>
    <row r="17" spans="1:27" x14ac:dyDescent="0.3">
      <c r="A17" s="11" t="s">
        <v>148</v>
      </c>
      <c r="B17" s="11" t="s">
        <v>109</v>
      </c>
      <c r="C17" s="11" t="s">
        <v>149</v>
      </c>
      <c r="D17" s="30" t="str">
        <f>_xlfn.LET(
    _xlpm.sumValue, SUMIFS(
        PNS_data[Value],
        PNS_data[Country], FR_data[[#This Row],[Country]],
        PNS_data[National Society name], selected,
        PNS_data[Attribute], "SP1",
        PNS_data[Year], "2026"
    ),
    IF(_xlpm.sumValue = 0, "", _xlpm.sumValue)
)</f>
        <v/>
      </c>
      <c r="E17" s="31" t="str">
        <f>_xlfn.LET(
    _xlpm.sumValue, SUMIFS(
        PNS_data[Value],
        PNS_data[Country], FR_data[[#This Row],[Country]],
        PNS_data[National Society name], selected,
        PNS_data[Attribute], "SP2",
        PNS_data[Year], "2026"
    ),
    IF(_xlpm.sumValue = 0, "", _xlpm.sumValue)
)</f>
        <v/>
      </c>
      <c r="F17" s="31" t="str">
        <f>_xlfn.LET(
    _xlpm.sumValue, SUMIFS(
        PNS_data[Value],
        PNS_data[Country], FR_data[[#This Row],[Country]],
        PNS_data[National Society name], selected,
        PNS_data[Attribute], "SP3",
        PNS_data[Year], "2026"
    ),
    IF(_xlpm.sumValue = 0, "", _xlpm.sumValue)
)</f>
        <v/>
      </c>
      <c r="G17" s="31" t="str">
        <f>_xlfn.LET(
    _xlpm.sumValue, SUMIFS(
        PNS_data[Value],
        PNS_data[Country], FR_data[[#This Row],[Country]],
        PNS_data[National Society name], selected,
        PNS_data[Attribute], "SP4",
        PNS_data[Year], "2026"
    ),
    IF(_xlpm.sumValue = 0, "", _xlpm.sumValue)
)</f>
        <v/>
      </c>
      <c r="H17" s="31" t="str">
        <f>_xlfn.LET(
    _xlpm.sumValue, SUMIFS(
        PNS_data[Value],
        PNS_data[Country], FR_data[[#This Row],[Country]],
        PNS_data[National Society name], selected,
        PNS_data[Attribute], "SP5",
        PNS_data[Year], "2026"
    ),
    IF(_xlpm.sumValue = 0, "", _xlpm.sumValue)
)</f>
        <v/>
      </c>
      <c r="I17" s="31" t="str">
        <f>_xlfn.LET(
    _xlpm.sumValue, SUMIFS(
        PNS_data[Value],
        PNS_data[Country], FR_data[[#This Row],[Country]],
        PNS_data[National Society name], selected,
        PNS_data[Attribute], "EFs",
        PNS_data[Year], "2026"
    ),
    IF(_xlpm.sumValue = 0, "", _xlpm.sumValue)
)</f>
        <v/>
      </c>
      <c r="J17" s="32" t="str">
        <f>IF(SUM(FR_data[[#This Row],[Response - Disasters and Crises]:[Enabling Functions]])=0,"",SUM(FR_data[[#This Row],[Response - Disasters and Crises]:[Enabling Functions]]))</f>
        <v/>
      </c>
      <c r="K17" s="39"/>
      <c r="L17" s="30" t="str">
        <f>_xlfn.LET(
    _xlpm.sumValue, SUMIFS(
        PNS_data[Value],
        PNS_data[Country], FR_data[[#This Row],[Country]],
        PNS_data[National Society name], selected,
        PNS_data[Attribute], "SP1",
        PNS_data[Year], "2027"
    ),
    IF(_xlpm.sumValue = 0, "", _xlpm.sumValue)
)</f>
        <v/>
      </c>
      <c r="M17" s="31" t="str">
        <f>_xlfn.LET(
    _xlpm.sumValue, SUMIFS(
        PNS_data[Value],
        PNS_data[Country], FR_data[[#This Row],[Country]],
        PNS_data[National Society name], selected,
        PNS_data[Attribute], "SP2",
        PNS_data[Year], "2027"
    ),
    IF(_xlpm.sumValue = 0, "", _xlpm.sumValue)
)</f>
        <v/>
      </c>
      <c r="N17" s="31" t="str">
        <f>_xlfn.LET(
    _xlpm.sumValue, SUMIFS(
        PNS_data[Value],
        PNS_data[Country], FR_data[[#This Row],[Country]],
        PNS_data[National Society name], selected,
        PNS_data[Attribute], "SP3",
        PNS_data[Year], "2027"
    ),
    IF(_xlpm.sumValue = 0, "", _xlpm.sumValue)
)</f>
        <v/>
      </c>
      <c r="O17" s="31" t="str">
        <f>_xlfn.LET(
    _xlpm.sumValue, SUMIFS(
        PNS_data[Value],
        PNS_data[Country], FR_data[[#This Row],[Country]],
        PNS_data[National Society name], selected,
        PNS_data[Attribute], "SP4",
        PNS_data[Year], "2027"
    ),
    IF(_xlpm.sumValue = 0, "", _xlpm.sumValue)
)</f>
        <v/>
      </c>
      <c r="P17" s="31" t="str">
        <f>_xlfn.LET(
    _xlpm.sumValue, SUMIFS(
        PNS_data[Value],
        PNS_data[Country], FR_data[[#This Row],[Country]],
        PNS_data[National Society name], selected,
        PNS_data[Attribute], "SP5",
        PNS_data[Year], "2027"
    ),
    IF(_xlpm.sumValue = 0, "", _xlpm.sumValue)
)</f>
        <v/>
      </c>
      <c r="Q17" s="31" t="str">
        <f>_xlfn.LET(
    _xlpm.sumValue, SUMIFS(
        PNS_data[Value],
        PNS_data[Country], FR_data[[#This Row],[Country]],
        PNS_data[National Society name], selected,
        PNS_data[Attribute], "EFs",
        PNS_data[Year], "2027"
    ),
    IF(_xlpm.sumValue = 0, "", _xlpm.sumValue)
)</f>
        <v/>
      </c>
      <c r="R17" s="32" t="str">
        <f>IF(SUM(FR_data[[#This Row],[Response - Disasters and Crises ]:[Enabling Functions ]])=0,"",SUM(FR_data[[#This Row],[Response - Disasters and Crises ]:[Enabling Functions ]]))</f>
        <v/>
      </c>
      <c r="S17" s="39"/>
      <c r="T17" s="30" t="str">
        <f>_xlfn.LET(
    _xlpm.sumValue, SUMIFS(
        PNS_data[Value],
        PNS_data[Country], FR_data[[#This Row],[Country]],
        PNS_data[National Society name], selected,
        PNS_data[Attribute], "SP1",
        PNS_data[Year], "2028"
    ),
    IF(_xlpm.sumValue = 0, "", _xlpm.sumValue)
)</f>
        <v/>
      </c>
      <c r="U17" s="31" t="str">
        <f>_xlfn.LET(
    _xlpm.sumValue, SUMIFS(
        PNS_data[Value],
        PNS_data[Country], FR_data[[#This Row],[Country]],
        PNS_data[National Society name], selected,
        PNS_data[Attribute], "SP2",
        PNS_data[Year], "2028"
    ),
    IF(_xlpm.sumValue = 0, "", _xlpm.sumValue)
)</f>
        <v/>
      </c>
      <c r="V17" s="31" t="str">
        <f>_xlfn.LET(
    _xlpm.sumValue, SUMIFS(
        PNS_data[Value],
        PNS_data[Country], FR_data[[#This Row],[Country]],
        PNS_data[National Society name], selected,
        PNS_data[Attribute], "SP3",
        PNS_data[Year], "2028"
    ),
    IF(_xlpm.sumValue = 0, "", _xlpm.sumValue)
)</f>
        <v/>
      </c>
      <c r="W17" s="31" t="str">
        <f>_xlfn.LET(
    _xlpm.sumValue, SUMIFS(
        PNS_data[Value],
        PNS_data[Country], FR_data[[#This Row],[Country]],
        PNS_data[National Society name], selected,
        PNS_data[Attribute], "SP4",
        PNS_data[Year], "2028"
    ),
    IF(_xlpm.sumValue = 0, "", _xlpm.sumValue)
)</f>
        <v/>
      </c>
      <c r="X17" s="31" t="str">
        <f>_xlfn.LET(
    _xlpm.sumValue, SUMIFS(
        PNS_data[Value],
        PNS_data[Country], FR_data[[#This Row],[Country]],
        PNS_data[National Society name], selected,
        PNS_data[Attribute], "SP5",
        PNS_data[Year], "2028"
    ),
    IF(_xlpm.sumValue = 0, "", _xlpm.sumValue)
)</f>
        <v/>
      </c>
      <c r="Y17" s="31" t="str">
        <f>_xlfn.LET(
    _xlpm.sumValue, SUMIFS(
        PNS_data[Value],
        PNS_data[Country], FR_data[[#This Row],[Country]],
        PNS_data[National Society name], selected,
        PNS_data[Attribute], "EFs",
        PNS_data[Year], "2028"
    ),
    IF(_xlpm.sumValue = 0, "", _xlpm.sumValue)
)</f>
        <v/>
      </c>
      <c r="Z17" s="32" t="str">
        <f>IF(SUM(FR_data[[#This Row],[Response - Disasters and Crises  ]:[Enabling Functions  ]])=0,"",SUM(FR_data[[#This Row],[Response - Disasters and Crises  ]:[Enabling Functions  ]]))</f>
        <v/>
      </c>
      <c r="AA17" s="41"/>
    </row>
    <row r="18" spans="1:27" x14ac:dyDescent="0.3">
      <c r="A18" s="11" t="s">
        <v>164</v>
      </c>
      <c r="B18" s="11" t="s">
        <v>109</v>
      </c>
      <c r="C18" s="11" t="s">
        <v>165</v>
      </c>
      <c r="D18" s="30" t="str">
        <f>_xlfn.LET(
    _xlpm.sumValue, SUMIFS(
        PNS_data[Value],
        PNS_data[Country], FR_data[[#This Row],[Country]],
        PNS_data[National Society name], selected,
        PNS_data[Attribute], "SP1",
        PNS_data[Year], "2026"
    ),
    IF(_xlpm.sumValue = 0, "", _xlpm.sumValue)
)</f>
        <v/>
      </c>
      <c r="E18" s="31" t="str">
        <f>_xlfn.LET(
    _xlpm.sumValue, SUMIFS(
        PNS_data[Value],
        PNS_data[Country], FR_data[[#This Row],[Country]],
        PNS_data[National Society name], selected,
        PNS_data[Attribute], "SP2",
        PNS_data[Year], "2026"
    ),
    IF(_xlpm.sumValue = 0, "", _xlpm.sumValue)
)</f>
        <v/>
      </c>
      <c r="F18" s="31" t="str">
        <f>_xlfn.LET(
    _xlpm.sumValue, SUMIFS(
        PNS_data[Value],
        PNS_data[Country], FR_data[[#This Row],[Country]],
        PNS_data[National Society name], selected,
        PNS_data[Attribute], "SP3",
        PNS_data[Year], "2026"
    ),
    IF(_xlpm.sumValue = 0, "", _xlpm.sumValue)
)</f>
        <v/>
      </c>
      <c r="G18" s="31" t="str">
        <f>_xlfn.LET(
    _xlpm.sumValue, SUMIFS(
        PNS_data[Value],
        PNS_data[Country], FR_data[[#This Row],[Country]],
        PNS_data[National Society name], selected,
        PNS_data[Attribute], "SP4",
        PNS_data[Year], "2026"
    ),
    IF(_xlpm.sumValue = 0, "", _xlpm.sumValue)
)</f>
        <v/>
      </c>
      <c r="H18" s="31" t="str">
        <f>_xlfn.LET(
    _xlpm.sumValue, SUMIFS(
        PNS_data[Value],
        PNS_data[Country], FR_data[[#This Row],[Country]],
        PNS_data[National Society name], selected,
        PNS_data[Attribute], "SP5",
        PNS_data[Year], "2026"
    ),
    IF(_xlpm.sumValue = 0, "", _xlpm.sumValue)
)</f>
        <v/>
      </c>
      <c r="I18" s="31" t="str">
        <f>_xlfn.LET(
    _xlpm.sumValue, SUMIFS(
        PNS_data[Value],
        PNS_data[Country], FR_data[[#This Row],[Country]],
        PNS_data[National Society name], selected,
        PNS_data[Attribute], "EFs",
        PNS_data[Year], "2026"
    ),
    IF(_xlpm.sumValue = 0, "", _xlpm.sumValue)
)</f>
        <v/>
      </c>
      <c r="J18" s="32" t="str">
        <f>IF(SUM(FR_data[[#This Row],[Response - Disasters and Crises]:[Enabling Functions]])=0,"",SUM(FR_data[[#This Row],[Response - Disasters and Crises]:[Enabling Functions]]))</f>
        <v/>
      </c>
      <c r="K18" s="39"/>
      <c r="L18" s="30" t="str">
        <f>_xlfn.LET(
    _xlpm.sumValue, SUMIFS(
        PNS_data[Value],
        PNS_data[Country], FR_data[[#This Row],[Country]],
        PNS_data[National Society name], selected,
        PNS_data[Attribute], "SP1",
        PNS_data[Year], "2027"
    ),
    IF(_xlpm.sumValue = 0, "", _xlpm.sumValue)
)</f>
        <v/>
      </c>
      <c r="M18" s="31" t="str">
        <f>_xlfn.LET(
    _xlpm.sumValue, SUMIFS(
        PNS_data[Value],
        PNS_data[Country], FR_data[[#This Row],[Country]],
        PNS_data[National Society name], selected,
        PNS_data[Attribute], "SP2",
        PNS_data[Year], "2027"
    ),
    IF(_xlpm.sumValue = 0, "", _xlpm.sumValue)
)</f>
        <v/>
      </c>
      <c r="N18" s="31" t="str">
        <f>_xlfn.LET(
    _xlpm.sumValue, SUMIFS(
        PNS_data[Value],
        PNS_data[Country], FR_data[[#This Row],[Country]],
        PNS_data[National Society name], selected,
        PNS_data[Attribute], "SP3",
        PNS_data[Year], "2027"
    ),
    IF(_xlpm.sumValue = 0, "", _xlpm.sumValue)
)</f>
        <v/>
      </c>
      <c r="O18" s="31" t="str">
        <f>_xlfn.LET(
    _xlpm.sumValue, SUMIFS(
        PNS_data[Value],
        PNS_data[Country], FR_data[[#This Row],[Country]],
        PNS_data[National Society name], selected,
        PNS_data[Attribute], "SP4",
        PNS_data[Year], "2027"
    ),
    IF(_xlpm.sumValue = 0, "", _xlpm.sumValue)
)</f>
        <v/>
      </c>
      <c r="P18" s="31" t="str">
        <f>_xlfn.LET(
    _xlpm.sumValue, SUMIFS(
        PNS_data[Value],
        PNS_data[Country], FR_data[[#This Row],[Country]],
        PNS_data[National Society name], selected,
        PNS_data[Attribute], "SP5",
        PNS_data[Year], "2027"
    ),
    IF(_xlpm.sumValue = 0, "", _xlpm.sumValue)
)</f>
        <v/>
      </c>
      <c r="Q18" s="31" t="str">
        <f>_xlfn.LET(
    _xlpm.sumValue, SUMIFS(
        PNS_data[Value],
        PNS_data[Country], FR_data[[#This Row],[Country]],
        PNS_data[National Society name], selected,
        PNS_data[Attribute], "EFs",
        PNS_data[Year], "2027"
    ),
    IF(_xlpm.sumValue = 0, "", _xlpm.sumValue)
)</f>
        <v/>
      </c>
      <c r="R18" s="32" t="str">
        <f>IF(SUM(FR_data[[#This Row],[Response - Disasters and Crises ]:[Enabling Functions ]])=0,"",SUM(FR_data[[#This Row],[Response - Disasters and Crises ]:[Enabling Functions ]]))</f>
        <v/>
      </c>
      <c r="S18" s="39"/>
      <c r="T18" s="30" t="str">
        <f>_xlfn.LET(
    _xlpm.sumValue, SUMIFS(
        PNS_data[Value],
        PNS_data[Country], FR_data[[#This Row],[Country]],
        PNS_data[National Society name], selected,
        PNS_data[Attribute], "SP1",
        PNS_data[Year], "2028"
    ),
    IF(_xlpm.sumValue = 0, "", _xlpm.sumValue)
)</f>
        <v/>
      </c>
      <c r="U18" s="31" t="str">
        <f>_xlfn.LET(
    _xlpm.sumValue, SUMIFS(
        PNS_data[Value],
        PNS_data[Country], FR_data[[#This Row],[Country]],
        PNS_data[National Society name], selected,
        PNS_data[Attribute], "SP2",
        PNS_data[Year], "2028"
    ),
    IF(_xlpm.sumValue = 0, "", _xlpm.sumValue)
)</f>
        <v/>
      </c>
      <c r="V18" s="31" t="str">
        <f>_xlfn.LET(
    _xlpm.sumValue, SUMIFS(
        PNS_data[Value],
        PNS_data[Country], FR_data[[#This Row],[Country]],
        PNS_data[National Society name], selected,
        PNS_data[Attribute], "SP3",
        PNS_data[Year], "2028"
    ),
    IF(_xlpm.sumValue = 0, "", _xlpm.sumValue)
)</f>
        <v/>
      </c>
      <c r="W18" s="31" t="str">
        <f>_xlfn.LET(
    _xlpm.sumValue, SUMIFS(
        PNS_data[Value],
        PNS_data[Country], FR_data[[#This Row],[Country]],
        PNS_data[National Society name], selected,
        PNS_data[Attribute], "SP4",
        PNS_data[Year], "2028"
    ),
    IF(_xlpm.sumValue = 0, "", _xlpm.sumValue)
)</f>
        <v/>
      </c>
      <c r="X18" s="31" t="str">
        <f>_xlfn.LET(
    _xlpm.sumValue, SUMIFS(
        PNS_data[Value],
        PNS_data[Country], FR_data[[#This Row],[Country]],
        PNS_data[National Society name], selected,
        PNS_data[Attribute], "SP5",
        PNS_data[Year], "2028"
    ),
    IF(_xlpm.sumValue = 0, "", _xlpm.sumValue)
)</f>
        <v/>
      </c>
      <c r="Y18" s="31" t="str">
        <f>_xlfn.LET(
    _xlpm.sumValue, SUMIFS(
        PNS_data[Value],
        PNS_data[Country], FR_data[[#This Row],[Country]],
        PNS_data[National Society name], selected,
        PNS_data[Attribute], "EFs",
        PNS_data[Year], "2028"
    ),
    IF(_xlpm.sumValue = 0, "", _xlpm.sumValue)
)</f>
        <v/>
      </c>
      <c r="Z18" s="32" t="str">
        <f>IF(SUM(FR_data[[#This Row],[Response - Disasters and Crises  ]:[Enabling Functions  ]])=0,"",SUM(FR_data[[#This Row],[Response - Disasters and Crises  ]:[Enabling Functions  ]]))</f>
        <v/>
      </c>
      <c r="AA18" s="41"/>
    </row>
    <row r="19" spans="1:27" x14ac:dyDescent="0.3">
      <c r="A19" s="11" t="s">
        <v>150</v>
      </c>
      <c r="B19" s="11" t="s">
        <v>109</v>
      </c>
      <c r="C19" s="11" t="s">
        <v>151</v>
      </c>
      <c r="D19" s="30" t="str">
        <f>_xlfn.LET(
    _xlpm.sumValue, SUMIFS(
        PNS_data[Value],
        PNS_data[Country], FR_data[[#This Row],[Country]],
        PNS_data[National Society name], selected,
        PNS_data[Attribute], "SP1",
        PNS_data[Year], "2026"
    ),
    IF(_xlpm.sumValue = 0, "", _xlpm.sumValue)
)</f>
        <v/>
      </c>
      <c r="E19" s="31" t="str">
        <f>_xlfn.LET(
    _xlpm.sumValue, SUMIFS(
        PNS_data[Value],
        PNS_data[Country], FR_data[[#This Row],[Country]],
        PNS_data[National Society name], selected,
        PNS_data[Attribute], "SP2",
        PNS_data[Year], "2026"
    ),
    IF(_xlpm.sumValue = 0, "", _xlpm.sumValue)
)</f>
        <v/>
      </c>
      <c r="F19" s="31" t="str">
        <f>_xlfn.LET(
    _xlpm.sumValue, SUMIFS(
        PNS_data[Value],
        PNS_data[Country], FR_data[[#This Row],[Country]],
        PNS_data[National Society name], selected,
        PNS_data[Attribute], "SP3",
        PNS_data[Year], "2026"
    ),
    IF(_xlpm.sumValue = 0, "", _xlpm.sumValue)
)</f>
        <v/>
      </c>
      <c r="G19" s="31" t="str">
        <f>_xlfn.LET(
    _xlpm.sumValue, SUMIFS(
        PNS_data[Value],
        PNS_data[Country], FR_data[[#This Row],[Country]],
        PNS_data[National Society name], selected,
        PNS_data[Attribute], "SP4",
        PNS_data[Year], "2026"
    ),
    IF(_xlpm.sumValue = 0, "", _xlpm.sumValue)
)</f>
        <v/>
      </c>
      <c r="H19" s="31" t="str">
        <f>_xlfn.LET(
    _xlpm.sumValue, SUMIFS(
        PNS_data[Value],
        PNS_data[Country], FR_data[[#This Row],[Country]],
        PNS_data[National Society name], selected,
        PNS_data[Attribute], "SP5",
        PNS_data[Year], "2026"
    ),
    IF(_xlpm.sumValue = 0, "", _xlpm.sumValue)
)</f>
        <v/>
      </c>
      <c r="I19" s="31" t="str">
        <f>_xlfn.LET(
    _xlpm.sumValue, SUMIFS(
        PNS_data[Value],
        PNS_data[Country], FR_data[[#This Row],[Country]],
        PNS_data[National Society name], selected,
        PNS_data[Attribute], "EFs",
        PNS_data[Year], "2026"
    ),
    IF(_xlpm.sumValue = 0, "", _xlpm.sumValue)
)</f>
        <v/>
      </c>
      <c r="J19" s="32" t="str">
        <f>IF(SUM(FR_data[[#This Row],[Response - Disasters and Crises]:[Enabling Functions]])=0,"",SUM(FR_data[[#This Row],[Response - Disasters and Crises]:[Enabling Functions]]))</f>
        <v/>
      </c>
      <c r="K19" s="39"/>
      <c r="L19" s="30" t="str">
        <f>_xlfn.LET(
    _xlpm.sumValue, SUMIFS(
        PNS_data[Value],
        PNS_data[Country], FR_data[[#This Row],[Country]],
        PNS_data[National Society name], selected,
        PNS_data[Attribute], "SP1",
        PNS_data[Year], "2027"
    ),
    IF(_xlpm.sumValue = 0, "", _xlpm.sumValue)
)</f>
        <v/>
      </c>
      <c r="M19" s="31" t="str">
        <f>_xlfn.LET(
    _xlpm.sumValue, SUMIFS(
        PNS_data[Value],
        PNS_data[Country], FR_data[[#This Row],[Country]],
        PNS_data[National Society name], selected,
        PNS_data[Attribute], "SP2",
        PNS_data[Year], "2027"
    ),
    IF(_xlpm.sumValue = 0, "", _xlpm.sumValue)
)</f>
        <v/>
      </c>
      <c r="N19" s="31" t="str">
        <f>_xlfn.LET(
    _xlpm.sumValue, SUMIFS(
        PNS_data[Value],
        PNS_data[Country], FR_data[[#This Row],[Country]],
        PNS_data[National Society name], selected,
        PNS_data[Attribute], "SP3",
        PNS_data[Year], "2027"
    ),
    IF(_xlpm.sumValue = 0, "", _xlpm.sumValue)
)</f>
        <v/>
      </c>
      <c r="O19" s="31" t="str">
        <f>_xlfn.LET(
    _xlpm.sumValue, SUMIFS(
        PNS_data[Value],
        PNS_data[Country], FR_data[[#This Row],[Country]],
        PNS_data[National Society name], selected,
        PNS_data[Attribute], "SP4",
        PNS_data[Year], "2027"
    ),
    IF(_xlpm.sumValue = 0, "", _xlpm.sumValue)
)</f>
        <v/>
      </c>
      <c r="P19" s="31" t="str">
        <f>_xlfn.LET(
    _xlpm.sumValue, SUMIFS(
        PNS_data[Value],
        PNS_data[Country], FR_data[[#This Row],[Country]],
        PNS_data[National Society name], selected,
        PNS_data[Attribute], "SP5",
        PNS_data[Year], "2027"
    ),
    IF(_xlpm.sumValue = 0, "", _xlpm.sumValue)
)</f>
        <v/>
      </c>
      <c r="Q19" s="31" t="str">
        <f>_xlfn.LET(
    _xlpm.sumValue, SUMIFS(
        PNS_data[Value],
        PNS_data[Country], FR_data[[#This Row],[Country]],
        PNS_data[National Society name], selected,
        PNS_data[Attribute], "EFs",
        PNS_data[Year], "2027"
    ),
    IF(_xlpm.sumValue = 0, "", _xlpm.sumValue)
)</f>
        <v/>
      </c>
      <c r="R19" s="32" t="str">
        <f>IF(SUM(FR_data[[#This Row],[Response - Disasters and Crises ]:[Enabling Functions ]])=0,"",SUM(FR_data[[#This Row],[Response - Disasters and Crises ]:[Enabling Functions ]]))</f>
        <v/>
      </c>
      <c r="S19" s="39"/>
      <c r="T19" s="30" t="str">
        <f>_xlfn.LET(
    _xlpm.sumValue, SUMIFS(
        PNS_data[Value],
        PNS_data[Country], FR_data[[#This Row],[Country]],
        PNS_data[National Society name], selected,
        PNS_data[Attribute], "SP1",
        PNS_data[Year], "2028"
    ),
    IF(_xlpm.sumValue = 0, "", _xlpm.sumValue)
)</f>
        <v/>
      </c>
      <c r="U19" s="31" t="str">
        <f>_xlfn.LET(
    _xlpm.sumValue, SUMIFS(
        PNS_data[Value],
        PNS_data[Country], FR_data[[#This Row],[Country]],
        PNS_data[National Society name], selected,
        PNS_data[Attribute], "SP2",
        PNS_data[Year], "2028"
    ),
    IF(_xlpm.sumValue = 0, "", _xlpm.sumValue)
)</f>
        <v/>
      </c>
      <c r="V19" s="31" t="str">
        <f>_xlfn.LET(
    _xlpm.sumValue, SUMIFS(
        PNS_data[Value],
        PNS_data[Country], FR_data[[#This Row],[Country]],
        PNS_data[National Society name], selected,
        PNS_data[Attribute], "SP3",
        PNS_data[Year], "2028"
    ),
    IF(_xlpm.sumValue = 0, "", _xlpm.sumValue)
)</f>
        <v/>
      </c>
      <c r="W19" s="31" t="str">
        <f>_xlfn.LET(
    _xlpm.sumValue, SUMIFS(
        PNS_data[Value],
        PNS_data[Country], FR_data[[#This Row],[Country]],
        PNS_data[National Society name], selected,
        PNS_data[Attribute], "SP4",
        PNS_data[Year], "2028"
    ),
    IF(_xlpm.sumValue = 0, "", _xlpm.sumValue)
)</f>
        <v/>
      </c>
      <c r="X19" s="31" t="str">
        <f>_xlfn.LET(
    _xlpm.sumValue, SUMIFS(
        PNS_data[Value],
        PNS_data[Country], FR_data[[#This Row],[Country]],
        PNS_data[National Society name], selected,
        PNS_data[Attribute], "SP5",
        PNS_data[Year], "2028"
    ),
    IF(_xlpm.sumValue = 0, "", _xlpm.sumValue)
)</f>
        <v/>
      </c>
      <c r="Y19" s="31" t="str">
        <f>_xlfn.LET(
    _xlpm.sumValue, SUMIFS(
        PNS_data[Value],
        PNS_data[Country], FR_data[[#This Row],[Country]],
        PNS_data[National Society name], selected,
        PNS_data[Attribute], "EFs",
        PNS_data[Year], "2028"
    ),
    IF(_xlpm.sumValue = 0, "", _xlpm.sumValue)
)</f>
        <v/>
      </c>
      <c r="Z19" s="32" t="str">
        <f>IF(SUM(FR_data[[#This Row],[Response - Disasters and Crises  ]:[Enabling Functions  ]])=0,"",SUM(FR_data[[#This Row],[Response - Disasters and Crises  ]:[Enabling Functions  ]]))</f>
        <v/>
      </c>
      <c r="AA19" s="41"/>
    </row>
    <row r="20" spans="1:27" x14ac:dyDescent="0.3">
      <c r="A20" s="11" t="s">
        <v>365</v>
      </c>
      <c r="B20" s="11" t="s">
        <v>109</v>
      </c>
      <c r="C20" s="11" t="s">
        <v>366</v>
      </c>
      <c r="D20" s="30" t="str">
        <f>_xlfn.LET(
    _xlpm.sumValue, SUMIFS(
        PNS_data[Value],
        PNS_data[Country], FR_data[[#This Row],[Country]],
        PNS_data[National Society name], selected,
        PNS_data[Attribute], "SP1",
        PNS_data[Year], "2026"
    ),
    IF(_xlpm.sumValue = 0, "", _xlpm.sumValue)
)</f>
        <v/>
      </c>
      <c r="E20" s="31" t="str">
        <f>_xlfn.LET(
    _xlpm.sumValue, SUMIFS(
        PNS_data[Value],
        PNS_data[Country], FR_data[[#This Row],[Country]],
        PNS_data[National Society name], selected,
        PNS_data[Attribute], "SP2",
        PNS_data[Year], "2026"
    ),
    IF(_xlpm.sumValue = 0, "", _xlpm.sumValue)
)</f>
        <v/>
      </c>
      <c r="F20" s="31" t="str">
        <f>_xlfn.LET(
    _xlpm.sumValue, SUMIFS(
        PNS_data[Value],
        PNS_data[Country], FR_data[[#This Row],[Country]],
        PNS_data[National Society name], selected,
        PNS_data[Attribute], "SP3",
        PNS_data[Year], "2026"
    ),
    IF(_xlpm.sumValue = 0, "", _xlpm.sumValue)
)</f>
        <v/>
      </c>
      <c r="G20" s="31" t="str">
        <f>_xlfn.LET(
    _xlpm.sumValue, SUMIFS(
        PNS_data[Value],
        PNS_data[Country], FR_data[[#This Row],[Country]],
        PNS_data[National Society name], selected,
        PNS_data[Attribute], "SP4",
        PNS_data[Year], "2026"
    ),
    IF(_xlpm.sumValue = 0, "", _xlpm.sumValue)
)</f>
        <v/>
      </c>
      <c r="H20" s="31" t="str">
        <f>_xlfn.LET(
    _xlpm.sumValue, SUMIFS(
        PNS_data[Value],
        PNS_data[Country], FR_data[[#This Row],[Country]],
        PNS_data[National Society name], selected,
        PNS_data[Attribute], "SP5",
        PNS_data[Year], "2026"
    ),
    IF(_xlpm.sumValue = 0, "", _xlpm.sumValue)
)</f>
        <v/>
      </c>
      <c r="I20" s="31" t="str">
        <f>_xlfn.LET(
    _xlpm.sumValue, SUMIFS(
        PNS_data[Value],
        PNS_data[Country], FR_data[[#This Row],[Country]],
        PNS_data[National Society name], selected,
        PNS_data[Attribute], "EFs",
        PNS_data[Year], "2026"
    ),
    IF(_xlpm.sumValue = 0, "", _xlpm.sumValue)
)</f>
        <v/>
      </c>
      <c r="J20" s="32" t="str">
        <f>IF(SUM(FR_data[[#This Row],[Response - Disasters and Crises]:[Enabling Functions]])=0,"",SUM(FR_data[[#This Row],[Response - Disasters and Crises]:[Enabling Functions]]))</f>
        <v/>
      </c>
      <c r="K20" s="39"/>
      <c r="L20" s="30" t="str">
        <f>_xlfn.LET(
    _xlpm.sumValue, SUMIFS(
        PNS_data[Value],
        PNS_data[Country], FR_data[[#This Row],[Country]],
        PNS_data[National Society name], selected,
        PNS_data[Attribute], "SP1",
        PNS_data[Year], "2027"
    ),
    IF(_xlpm.sumValue = 0, "", _xlpm.sumValue)
)</f>
        <v/>
      </c>
      <c r="M20" s="31" t="str">
        <f>_xlfn.LET(
    _xlpm.sumValue, SUMIFS(
        PNS_data[Value],
        PNS_data[Country], FR_data[[#This Row],[Country]],
        PNS_data[National Society name], selected,
        PNS_data[Attribute], "SP2",
        PNS_data[Year], "2027"
    ),
    IF(_xlpm.sumValue = 0, "", _xlpm.sumValue)
)</f>
        <v/>
      </c>
      <c r="N20" s="31" t="str">
        <f>_xlfn.LET(
    _xlpm.sumValue, SUMIFS(
        PNS_data[Value],
        PNS_data[Country], FR_data[[#This Row],[Country]],
        PNS_data[National Society name], selected,
        PNS_data[Attribute], "SP3",
        PNS_data[Year], "2027"
    ),
    IF(_xlpm.sumValue = 0, "", _xlpm.sumValue)
)</f>
        <v/>
      </c>
      <c r="O20" s="31" t="str">
        <f>_xlfn.LET(
    _xlpm.sumValue, SUMIFS(
        PNS_data[Value],
        PNS_data[Country], FR_data[[#This Row],[Country]],
        PNS_data[National Society name], selected,
        PNS_data[Attribute], "SP4",
        PNS_data[Year], "2027"
    ),
    IF(_xlpm.sumValue = 0, "", _xlpm.sumValue)
)</f>
        <v/>
      </c>
      <c r="P20" s="31" t="str">
        <f>_xlfn.LET(
    _xlpm.sumValue, SUMIFS(
        PNS_data[Value],
        PNS_data[Country], FR_data[[#This Row],[Country]],
        PNS_data[National Society name], selected,
        PNS_data[Attribute], "SP5",
        PNS_data[Year], "2027"
    ),
    IF(_xlpm.sumValue = 0, "", _xlpm.sumValue)
)</f>
        <v/>
      </c>
      <c r="Q20" s="31" t="str">
        <f>_xlfn.LET(
    _xlpm.sumValue, SUMIFS(
        PNS_data[Value],
        PNS_data[Country], FR_data[[#This Row],[Country]],
        PNS_data[National Society name], selected,
        PNS_data[Attribute], "EFs",
        PNS_data[Year], "2027"
    ),
    IF(_xlpm.sumValue = 0, "", _xlpm.sumValue)
)</f>
        <v/>
      </c>
      <c r="R20" s="32" t="str">
        <f>IF(SUM(FR_data[[#This Row],[Response - Disasters and Crises ]:[Enabling Functions ]])=0,"",SUM(FR_data[[#This Row],[Response - Disasters and Crises ]:[Enabling Functions ]]))</f>
        <v/>
      </c>
      <c r="S20" s="39"/>
      <c r="T20" s="30" t="str">
        <f>_xlfn.LET(
    _xlpm.sumValue, SUMIFS(
        PNS_data[Value],
        PNS_data[Country], FR_data[[#This Row],[Country]],
        PNS_data[National Society name], selected,
        PNS_data[Attribute], "SP1",
        PNS_data[Year], "2028"
    ),
    IF(_xlpm.sumValue = 0, "", _xlpm.sumValue)
)</f>
        <v/>
      </c>
      <c r="U20" s="31" t="str">
        <f>_xlfn.LET(
    _xlpm.sumValue, SUMIFS(
        PNS_data[Value],
        PNS_data[Country], FR_data[[#This Row],[Country]],
        PNS_data[National Society name], selected,
        PNS_data[Attribute], "SP2",
        PNS_data[Year], "2028"
    ),
    IF(_xlpm.sumValue = 0, "", _xlpm.sumValue)
)</f>
        <v/>
      </c>
      <c r="V20" s="31" t="str">
        <f>_xlfn.LET(
    _xlpm.sumValue, SUMIFS(
        PNS_data[Value],
        PNS_data[Country], FR_data[[#This Row],[Country]],
        PNS_data[National Society name], selected,
        PNS_data[Attribute], "SP3",
        PNS_data[Year], "2028"
    ),
    IF(_xlpm.sumValue = 0, "", _xlpm.sumValue)
)</f>
        <v/>
      </c>
      <c r="W20" s="31" t="str">
        <f>_xlfn.LET(
    _xlpm.sumValue, SUMIFS(
        PNS_data[Value],
        PNS_data[Country], FR_data[[#This Row],[Country]],
        PNS_data[National Society name], selected,
        PNS_data[Attribute], "SP4",
        PNS_data[Year], "2028"
    ),
    IF(_xlpm.sumValue = 0, "", _xlpm.sumValue)
)</f>
        <v/>
      </c>
      <c r="X20" s="31" t="str">
        <f>_xlfn.LET(
    _xlpm.sumValue, SUMIFS(
        PNS_data[Value],
        PNS_data[Country], FR_data[[#This Row],[Country]],
        PNS_data[National Society name], selected,
        PNS_data[Attribute], "SP5",
        PNS_data[Year], "2028"
    ),
    IF(_xlpm.sumValue = 0, "", _xlpm.sumValue)
)</f>
        <v/>
      </c>
      <c r="Y20" s="31" t="str">
        <f>_xlfn.LET(
    _xlpm.sumValue, SUMIFS(
        PNS_data[Value],
        PNS_data[Country], FR_data[[#This Row],[Country]],
        PNS_data[National Society name], selected,
        PNS_data[Attribute], "EFs",
        PNS_data[Year], "2028"
    ),
    IF(_xlpm.sumValue = 0, "", _xlpm.sumValue)
)</f>
        <v/>
      </c>
      <c r="Z20" s="32" t="str">
        <f>IF(SUM(FR_data[[#This Row],[Response - Disasters and Crises  ]:[Enabling Functions  ]])=0,"",SUM(FR_data[[#This Row],[Response - Disasters and Crises  ]:[Enabling Functions  ]]))</f>
        <v/>
      </c>
      <c r="AA20" s="41"/>
    </row>
    <row r="21" spans="1:27" x14ac:dyDescent="0.3">
      <c r="A21" s="11" t="s">
        <v>181</v>
      </c>
      <c r="B21" s="11" t="s">
        <v>109</v>
      </c>
      <c r="C21" s="11" t="s">
        <v>29</v>
      </c>
      <c r="D21" s="30" t="str">
        <f>_xlfn.LET(
    _xlpm.sumValue, SUMIFS(
        PNS_data[Value],
        PNS_data[Country], FR_data[[#This Row],[Country]],
        PNS_data[National Society name], selected,
        PNS_data[Attribute], "SP1",
        PNS_data[Year], "2026"
    ),
    IF(_xlpm.sumValue = 0, "", _xlpm.sumValue)
)</f>
        <v/>
      </c>
      <c r="E21" s="31" t="str">
        <f>_xlfn.LET(
    _xlpm.sumValue, SUMIFS(
        PNS_data[Value],
        PNS_data[Country], FR_data[[#This Row],[Country]],
        PNS_data[National Society name], selected,
        PNS_data[Attribute], "SP2",
        PNS_data[Year], "2026"
    ),
    IF(_xlpm.sumValue = 0, "", _xlpm.sumValue)
)</f>
        <v/>
      </c>
      <c r="F21" s="31" t="str">
        <f>_xlfn.LET(
    _xlpm.sumValue, SUMIFS(
        PNS_data[Value],
        PNS_data[Country], FR_data[[#This Row],[Country]],
        PNS_data[National Society name], selected,
        PNS_data[Attribute], "SP3",
        PNS_data[Year], "2026"
    ),
    IF(_xlpm.sumValue = 0, "", _xlpm.sumValue)
)</f>
        <v/>
      </c>
      <c r="G21" s="31" t="str">
        <f>_xlfn.LET(
    _xlpm.sumValue, SUMIFS(
        PNS_data[Value],
        PNS_data[Country], FR_data[[#This Row],[Country]],
        PNS_data[National Society name], selected,
        PNS_data[Attribute], "SP4",
        PNS_data[Year], "2026"
    ),
    IF(_xlpm.sumValue = 0, "", _xlpm.sumValue)
)</f>
        <v/>
      </c>
      <c r="H21" s="31" t="str">
        <f>_xlfn.LET(
    _xlpm.sumValue, SUMIFS(
        PNS_data[Value],
        PNS_data[Country], FR_data[[#This Row],[Country]],
        PNS_data[National Society name], selected,
        PNS_data[Attribute], "SP5",
        PNS_data[Year], "2026"
    ),
    IF(_xlpm.sumValue = 0, "", _xlpm.sumValue)
)</f>
        <v/>
      </c>
      <c r="I21" s="31" t="str">
        <f>_xlfn.LET(
    _xlpm.sumValue, SUMIFS(
        PNS_data[Value],
        PNS_data[Country], FR_data[[#This Row],[Country]],
        PNS_data[National Society name], selected,
        PNS_data[Attribute], "EFs",
        PNS_data[Year], "2026"
    ),
    IF(_xlpm.sumValue = 0, "", _xlpm.sumValue)
)</f>
        <v/>
      </c>
      <c r="J21" s="32" t="str">
        <f>IF(SUM(FR_data[[#This Row],[Response - Disasters and Crises]:[Enabling Functions]])=0,"",SUM(FR_data[[#This Row],[Response - Disasters and Crises]:[Enabling Functions]]))</f>
        <v/>
      </c>
      <c r="K21" s="39"/>
      <c r="L21" s="30" t="str">
        <f>_xlfn.LET(
    _xlpm.sumValue, SUMIFS(
        PNS_data[Value],
        PNS_data[Country], FR_data[[#This Row],[Country]],
        PNS_data[National Society name], selected,
        PNS_data[Attribute], "SP1",
        PNS_data[Year], "2027"
    ),
    IF(_xlpm.sumValue = 0, "", _xlpm.sumValue)
)</f>
        <v/>
      </c>
      <c r="M21" s="31" t="str">
        <f>_xlfn.LET(
    _xlpm.sumValue, SUMIFS(
        PNS_data[Value],
        PNS_data[Country], FR_data[[#This Row],[Country]],
        PNS_data[National Society name], selected,
        PNS_data[Attribute], "SP2",
        PNS_data[Year], "2027"
    ),
    IF(_xlpm.sumValue = 0, "", _xlpm.sumValue)
)</f>
        <v/>
      </c>
      <c r="N21" s="31" t="str">
        <f>_xlfn.LET(
    _xlpm.sumValue, SUMIFS(
        PNS_data[Value],
        PNS_data[Country], FR_data[[#This Row],[Country]],
        PNS_data[National Society name], selected,
        PNS_data[Attribute], "SP3",
        PNS_data[Year], "2027"
    ),
    IF(_xlpm.sumValue = 0, "", _xlpm.sumValue)
)</f>
        <v/>
      </c>
      <c r="O21" s="31" t="str">
        <f>_xlfn.LET(
    _xlpm.sumValue, SUMIFS(
        PNS_data[Value],
        PNS_data[Country], FR_data[[#This Row],[Country]],
        PNS_data[National Society name], selected,
        PNS_data[Attribute], "SP4",
        PNS_data[Year], "2027"
    ),
    IF(_xlpm.sumValue = 0, "", _xlpm.sumValue)
)</f>
        <v/>
      </c>
      <c r="P21" s="31" t="str">
        <f>_xlfn.LET(
    _xlpm.sumValue, SUMIFS(
        PNS_data[Value],
        PNS_data[Country], FR_data[[#This Row],[Country]],
        PNS_data[National Society name], selected,
        PNS_data[Attribute], "SP5",
        PNS_data[Year], "2027"
    ),
    IF(_xlpm.sumValue = 0, "", _xlpm.sumValue)
)</f>
        <v/>
      </c>
      <c r="Q21" s="31" t="str">
        <f>_xlfn.LET(
    _xlpm.sumValue, SUMIFS(
        PNS_data[Value],
        PNS_data[Country], FR_data[[#This Row],[Country]],
        PNS_data[National Society name], selected,
        PNS_data[Attribute], "EFs",
        PNS_data[Year], "2027"
    ),
    IF(_xlpm.sumValue = 0, "", _xlpm.sumValue)
)</f>
        <v/>
      </c>
      <c r="R21" s="32" t="str">
        <f>IF(SUM(FR_data[[#This Row],[Response - Disasters and Crises ]:[Enabling Functions ]])=0,"",SUM(FR_data[[#This Row],[Response - Disasters and Crises ]:[Enabling Functions ]]))</f>
        <v/>
      </c>
      <c r="S21" s="39"/>
      <c r="T21" s="30" t="str">
        <f>_xlfn.LET(
    _xlpm.sumValue, SUMIFS(
        PNS_data[Value],
        PNS_data[Country], FR_data[[#This Row],[Country]],
        PNS_data[National Society name], selected,
        PNS_data[Attribute], "SP1",
        PNS_data[Year], "2028"
    ),
    IF(_xlpm.sumValue = 0, "", _xlpm.sumValue)
)</f>
        <v/>
      </c>
      <c r="U21" s="31" t="str">
        <f>_xlfn.LET(
    _xlpm.sumValue, SUMIFS(
        PNS_data[Value],
        PNS_data[Country], FR_data[[#This Row],[Country]],
        PNS_data[National Society name], selected,
        PNS_data[Attribute], "SP2",
        PNS_data[Year], "2028"
    ),
    IF(_xlpm.sumValue = 0, "", _xlpm.sumValue)
)</f>
        <v/>
      </c>
      <c r="V21" s="31" t="str">
        <f>_xlfn.LET(
    _xlpm.sumValue, SUMIFS(
        PNS_data[Value],
        PNS_data[Country], FR_data[[#This Row],[Country]],
        PNS_data[National Society name], selected,
        PNS_data[Attribute], "SP3",
        PNS_data[Year], "2028"
    ),
    IF(_xlpm.sumValue = 0, "", _xlpm.sumValue)
)</f>
        <v/>
      </c>
      <c r="W21" s="31" t="str">
        <f>_xlfn.LET(
    _xlpm.sumValue, SUMIFS(
        PNS_data[Value],
        PNS_data[Country], FR_data[[#This Row],[Country]],
        PNS_data[National Society name], selected,
        PNS_data[Attribute], "SP4",
        PNS_data[Year], "2028"
    ),
    IF(_xlpm.sumValue = 0, "", _xlpm.sumValue)
)</f>
        <v/>
      </c>
      <c r="X21" s="31" t="str">
        <f>_xlfn.LET(
    _xlpm.sumValue, SUMIFS(
        PNS_data[Value],
        PNS_data[Country], FR_data[[#This Row],[Country]],
        PNS_data[National Society name], selected,
        PNS_data[Attribute], "SP5",
        PNS_data[Year], "2028"
    ),
    IF(_xlpm.sumValue = 0, "", _xlpm.sumValue)
)</f>
        <v/>
      </c>
      <c r="Y21" s="31" t="str">
        <f>_xlfn.LET(
    _xlpm.sumValue, SUMIFS(
        PNS_data[Value],
        PNS_data[Country], FR_data[[#This Row],[Country]],
        PNS_data[National Society name], selected,
        PNS_data[Attribute], "EFs",
        PNS_data[Year], "2028"
    ),
    IF(_xlpm.sumValue = 0, "", _xlpm.sumValue)
)</f>
        <v/>
      </c>
      <c r="Z21" s="32" t="str">
        <f>IF(SUM(FR_data[[#This Row],[Response - Disasters and Crises  ]:[Enabling Functions  ]])=0,"",SUM(FR_data[[#This Row],[Response - Disasters and Crises  ]:[Enabling Functions  ]]))</f>
        <v/>
      </c>
      <c r="AA21" s="41"/>
    </row>
    <row r="22" spans="1:27" x14ac:dyDescent="0.3">
      <c r="A22" s="11" t="s">
        <v>163</v>
      </c>
      <c r="B22" s="11" t="s">
        <v>109</v>
      </c>
      <c r="C22" s="11" t="s">
        <v>84</v>
      </c>
      <c r="D22" s="30" t="str">
        <f>_xlfn.LET(
    _xlpm.sumValue, SUMIFS(
        PNS_data[Value],
        PNS_data[Country], FR_data[[#This Row],[Country]],
        PNS_data[National Society name], selected,
        PNS_data[Attribute], "SP1",
        PNS_data[Year], "2026"
    ),
    IF(_xlpm.sumValue = 0, "", _xlpm.sumValue)
)</f>
        <v/>
      </c>
      <c r="E22" s="31" t="str">
        <f>_xlfn.LET(
    _xlpm.sumValue, SUMIFS(
        PNS_data[Value],
        PNS_data[Country], FR_data[[#This Row],[Country]],
        PNS_data[National Society name], selected,
        PNS_data[Attribute], "SP2",
        PNS_data[Year], "2026"
    ),
    IF(_xlpm.sumValue = 0, "", _xlpm.sumValue)
)</f>
        <v/>
      </c>
      <c r="F22" s="31" t="str">
        <f>_xlfn.LET(
    _xlpm.sumValue, SUMIFS(
        PNS_data[Value],
        PNS_data[Country], FR_data[[#This Row],[Country]],
        PNS_data[National Society name], selected,
        PNS_data[Attribute], "SP3",
        PNS_data[Year], "2026"
    ),
    IF(_xlpm.sumValue = 0, "", _xlpm.sumValue)
)</f>
        <v/>
      </c>
      <c r="G22" s="31" t="str">
        <f>_xlfn.LET(
    _xlpm.sumValue, SUMIFS(
        PNS_data[Value],
        PNS_data[Country], FR_data[[#This Row],[Country]],
        PNS_data[National Society name], selected,
        PNS_data[Attribute], "SP4",
        PNS_data[Year], "2026"
    ),
    IF(_xlpm.sumValue = 0, "", _xlpm.sumValue)
)</f>
        <v/>
      </c>
      <c r="H22" s="31" t="str">
        <f>_xlfn.LET(
    _xlpm.sumValue, SUMIFS(
        PNS_data[Value],
        PNS_data[Country], FR_data[[#This Row],[Country]],
        PNS_data[National Society name], selected,
        PNS_data[Attribute], "SP5",
        PNS_data[Year], "2026"
    ),
    IF(_xlpm.sumValue = 0, "", _xlpm.sumValue)
)</f>
        <v/>
      </c>
      <c r="I22" s="31" t="str">
        <f>_xlfn.LET(
    _xlpm.sumValue, SUMIFS(
        PNS_data[Value],
        PNS_data[Country], FR_data[[#This Row],[Country]],
        PNS_data[National Society name], selected,
        PNS_data[Attribute], "EFs",
        PNS_data[Year], "2026"
    ),
    IF(_xlpm.sumValue = 0, "", _xlpm.sumValue)
)</f>
        <v/>
      </c>
      <c r="J22" s="32" t="str">
        <f>IF(SUM(FR_data[[#This Row],[Response - Disasters and Crises]:[Enabling Functions]])=0,"",SUM(FR_data[[#This Row],[Response - Disasters and Crises]:[Enabling Functions]]))</f>
        <v/>
      </c>
      <c r="K22" s="39"/>
      <c r="L22" s="30" t="str">
        <f>_xlfn.LET(
    _xlpm.sumValue, SUMIFS(
        PNS_data[Value],
        PNS_data[Country], FR_data[[#This Row],[Country]],
        PNS_data[National Society name], selected,
        PNS_data[Attribute], "SP1",
        PNS_data[Year], "2027"
    ),
    IF(_xlpm.sumValue = 0, "", _xlpm.sumValue)
)</f>
        <v/>
      </c>
      <c r="M22" s="31" t="str">
        <f>_xlfn.LET(
    _xlpm.sumValue, SUMIFS(
        PNS_data[Value],
        PNS_data[Country], FR_data[[#This Row],[Country]],
        PNS_data[National Society name], selected,
        PNS_data[Attribute], "SP2",
        PNS_data[Year], "2027"
    ),
    IF(_xlpm.sumValue = 0, "", _xlpm.sumValue)
)</f>
        <v/>
      </c>
      <c r="N22" s="31" t="str">
        <f>_xlfn.LET(
    _xlpm.sumValue, SUMIFS(
        PNS_data[Value],
        PNS_data[Country], FR_data[[#This Row],[Country]],
        PNS_data[National Society name], selected,
        PNS_data[Attribute], "SP3",
        PNS_data[Year], "2027"
    ),
    IF(_xlpm.sumValue = 0, "", _xlpm.sumValue)
)</f>
        <v/>
      </c>
      <c r="O22" s="31" t="str">
        <f>_xlfn.LET(
    _xlpm.sumValue, SUMIFS(
        PNS_data[Value],
        PNS_data[Country], FR_data[[#This Row],[Country]],
        PNS_data[National Society name], selected,
        PNS_data[Attribute], "SP4",
        PNS_data[Year], "2027"
    ),
    IF(_xlpm.sumValue = 0, "", _xlpm.sumValue)
)</f>
        <v/>
      </c>
      <c r="P22" s="31" t="str">
        <f>_xlfn.LET(
    _xlpm.sumValue, SUMIFS(
        PNS_data[Value],
        PNS_data[Country], FR_data[[#This Row],[Country]],
        PNS_data[National Society name], selected,
        PNS_data[Attribute], "SP5",
        PNS_data[Year], "2027"
    ),
    IF(_xlpm.sumValue = 0, "", _xlpm.sumValue)
)</f>
        <v/>
      </c>
      <c r="Q22" s="31" t="str">
        <f>_xlfn.LET(
    _xlpm.sumValue, SUMIFS(
        PNS_data[Value],
        PNS_data[Country], FR_data[[#This Row],[Country]],
        PNS_data[National Society name], selected,
        PNS_data[Attribute], "EFs",
        PNS_data[Year], "2027"
    ),
    IF(_xlpm.sumValue = 0, "", _xlpm.sumValue)
)</f>
        <v/>
      </c>
      <c r="R22" s="32" t="str">
        <f>IF(SUM(FR_data[[#This Row],[Response - Disasters and Crises ]:[Enabling Functions ]])=0,"",SUM(FR_data[[#This Row],[Response - Disasters and Crises ]:[Enabling Functions ]]))</f>
        <v/>
      </c>
      <c r="S22" s="39"/>
      <c r="T22" s="30" t="str">
        <f>_xlfn.LET(
    _xlpm.sumValue, SUMIFS(
        PNS_data[Value],
        PNS_data[Country], FR_data[[#This Row],[Country]],
        PNS_data[National Society name], selected,
        PNS_data[Attribute], "SP1",
        PNS_data[Year], "2028"
    ),
    IF(_xlpm.sumValue = 0, "", _xlpm.sumValue)
)</f>
        <v/>
      </c>
      <c r="U22" s="31" t="str">
        <f>_xlfn.LET(
    _xlpm.sumValue, SUMIFS(
        PNS_data[Value],
        PNS_data[Country], FR_data[[#This Row],[Country]],
        PNS_data[National Society name], selected,
        PNS_data[Attribute], "SP2",
        PNS_data[Year], "2028"
    ),
    IF(_xlpm.sumValue = 0, "", _xlpm.sumValue)
)</f>
        <v/>
      </c>
      <c r="V22" s="31" t="str">
        <f>_xlfn.LET(
    _xlpm.sumValue, SUMIFS(
        PNS_data[Value],
        PNS_data[Country], FR_data[[#This Row],[Country]],
        PNS_data[National Society name], selected,
        PNS_data[Attribute], "SP3",
        PNS_data[Year], "2028"
    ),
    IF(_xlpm.sumValue = 0, "", _xlpm.sumValue)
)</f>
        <v/>
      </c>
      <c r="W22" s="31" t="str">
        <f>_xlfn.LET(
    _xlpm.sumValue, SUMIFS(
        PNS_data[Value],
        PNS_data[Country], FR_data[[#This Row],[Country]],
        PNS_data[National Society name], selected,
        PNS_data[Attribute], "SP4",
        PNS_data[Year], "2028"
    ),
    IF(_xlpm.sumValue = 0, "", _xlpm.sumValue)
)</f>
        <v/>
      </c>
      <c r="X22" s="31" t="str">
        <f>_xlfn.LET(
    _xlpm.sumValue, SUMIFS(
        PNS_data[Value],
        PNS_data[Country], FR_data[[#This Row],[Country]],
        PNS_data[National Society name], selected,
        PNS_data[Attribute], "SP5",
        PNS_data[Year], "2028"
    ),
    IF(_xlpm.sumValue = 0, "", _xlpm.sumValue)
)</f>
        <v/>
      </c>
      <c r="Y22" s="31" t="str">
        <f>_xlfn.LET(
    _xlpm.sumValue, SUMIFS(
        PNS_data[Value],
        PNS_data[Country], FR_data[[#This Row],[Country]],
        PNS_data[National Society name], selected,
        PNS_data[Attribute], "EFs",
        PNS_data[Year], "2028"
    ),
    IF(_xlpm.sumValue = 0, "", _xlpm.sumValue)
)</f>
        <v/>
      </c>
      <c r="Z22" s="32" t="str">
        <f>IF(SUM(FR_data[[#This Row],[Response - Disasters and Crises  ]:[Enabling Functions  ]])=0,"",SUM(FR_data[[#This Row],[Response - Disasters and Crises  ]:[Enabling Functions  ]]))</f>
        <v/>
      </c>
      <c r="AA22" s="41"/>
    </row>
    <row r="23" spans="1:27" x14ac:dyDescent="0.3">
      <c r="A23" s="11" t="s">
        <v>172</v>
      </c>
      <c r="B23" s="11" t="s">
        <v>109</v>
      </c>
      <c r="C23" s="11" t="s">
        <v>77</v>
      </c>
      <c r="D23" s="30" t="str">
        <f>_xlfn.LET(
    _xlpm.sumValue, SUMIFS(
        PNS_data[Value],
        PNS_data[Country], FR_data[[#This Row],[Country]],
        PNS_data[National Society name], selected,
        PNS_data[Attribute], "SP1",
        PNS_data[Year], "2026"
    ),
    IF(_xlpm.sumValue = 0, "", _xlpm.sumValue)
)</f>
        <v/>
      </c>
      <c r="E23" s="31" t="str">
        <f>_xlfn.LET(
    _xlpm.sumValue, SUMIFS(
        PNS_data[Value],
        PNS_data[Country], FR_data[[#This Row],[Country]],
        PNS_data[National Society name], selected,
        PNS_data[Attribute], "SP2",
        PNS_data[Year], "2026"
    ),
    IF(_xlpm.sumValue = 0, "", _xlpm.sumValue)
)</f>
        <v/>
      </c>
      <c r="F23" s="31" t="str">
        <f>_xlfn.LET(
    _xlpm.sumValue, SUMIFS(
        PNS_data[Value],
        PNS_data[Country], FR_data[[#This Row],[Country]],
        PNS_data[National Society name], selected,
        PNS_data[Attribute], "SP3",
        PNS_data[Year], "2026"
    ),
    IF(_xlpm.sumValue = 0, "", _xlpm.sumValue)
)</f>
        <v/>
      </c>
      <c r="G23" s="31" t="str">
        <f>_xlfn.LET(
    _xlpm.sumValue, SUMIFS(
        PNS_data[Value],
        PNS_data[Country], FR_data[[#This Row],[Country]],
        PNS_data[National Society name], selected,
        PNS_data[Attribute], "SP4",
        PNS_data[Year], "2026"
    ),
    IF(_xlpm.sumValue = 0, "", _xlpm.sumValue)
)</f>
        <v/>
      </c>
      <c r="H23" s="31" t="str">
        <f>_xlfn.LET(
    _xlpm.sumValue, SUMIFS(
        PNS_data[Value],
        PNS_data[Country], FR_data[[#This Row],[Country]],
        PNS_data[National Society name], selected,
        PNS_data[Attribute], "SP5",
        PNS_data[Year], "2026"
    ),
    IF(_xlpm.sumValue = 0, "", _xlpm.sumValue)
)</f>
        <v/>
      </c>
      <c r="I23" s="31" t="str">
        <f>_xlfn.LET(
    _xlpm.sumValue, SUMIFS(
        PNS_data[Value],
        PNS_data[Country], FR_data[[#This Row],[Country]],
        PNS_data[National Society name], selected,
        PNS_data[Attribute], "EFs",
        PNS_data[Year], "2026"
    ),
    IF(_xlpm.sumValue = 0, "", _xlpm.sumValue)
)</f>
        <v/>
      </c>
      <c r="J23" s="32" t="str">
        <f>IF(SUM(FR_data[[#This Row],[Response - Disasters and Crises]:[Enabling Functions]])=0,"",SUM(FR_data[[#This Row],[Response - Disasters and Crises]:[Enabling Functions]]))</f>
        <v/>
      </c>
      <c r="K23" s="39"/>
      <c r="L23" s="30" t="str">
        <f>_xlfn.LET(
    _xlpm.sumValue, SUMIFS(
        PNS_data[Value],
        PNS_data[Country], FR_data[[#This Row],[Country]],
        PNS_data[National Society name], selected,
        PNS_data[Attribute], "SP1",
        PNS_data[Year], "2027"
    ),
    IF(_xlpm.sumValue = 0, "", _xlpm.sumValue)
)</f>
        <v/>
      </c>
      <c r="M23" s="31" t="str">
        <f>_xlfn.LET(
    _xlpm.sumValue, SUMIFS(
        PNS_data[Value],
        PNS_data[Country], FR_data[[#This Row],[Country]],
        PNS_data[National Society name], selected,
        PNS_data[Attribute], "SP2",
        PNS_data[Year], "2027"
    ),
    IF(_xlpm.sumValue = 0, "", _xlpm.sumValue)
)</f>
        <v/>
      </c>
      <c r="N23" s="31" t="str">
        <f>_xlfn.LET(
    _xlpm.sumValue, SUMIFS(
        PNS_data[Value],
        PNS_data[Country], FR_data[[#This Row],[Country]],
        PNS_data[National Society name], selected,
        PNS_data[Attribute], "SP3",
        PNS_data[Year], "2027"
    ),
    IF(_xlpm.sumValue = 0, "", _xlpm.sumValue)
)</f>
        <v/>
      </c>
      <c r="O23" s="31" t="str">
        <f>_xlfn.LET(
    _xlpm.sumValue, SUMIFS(
        PNS_data[Value],
        PNS_data[Country], FR_data[[#This Row],[Country]],
        PNS_data[National Society name], selected,
        PNS_data[Attribute], "SP4",
        PNS_data[Year], "2027"
    ),
    IF(_xlpm.sumValue = 0, "", _xlpm.sumValue)
)</f>
        <v/>
      </c>
      <c r="P23" s="31" t="str">
        <f>_xlfn.LET(
    _xlpm.sumValue, SUMIFS(
        PNS_data[Value],
        PNS_data[Country], FR_data[[#This Row],[Country]],
        PNS_data[National Society name], selected,
        PNS_data[Attribute], "SP5",
        PNS_data[Year], "2027"
    ),
    IF(_xlpm.sumValue = 0, "", _xlpm.sumValue)
)</f>
        <v/>
      </c>
      <c r="Q23" s="31" t="str">
        <f>_xlfn.LET(
    _xlpm.sumValue, SUMIFS(
        PNS_data[Value],
        PNS_data[Country], FR_data[[#This Row],[Country]],
        PNS_data[National Society name], selected,
        PNS_data[Attribute], "EFs",
        PNS_data[Year], "2027"
    ),
    IF(_xlpm.sumValue = 0, "", _xlpm.sumValue)
)</f>
        <v/>
      </c>
      <c r="R23" s="32" t="str">
        <f>IF(SUM(FR_data[[#This Row],[Response - Disasters and Crises ]:[Enabling Functions ]])=0,"",SUM(FR_data[[#This Row],[Response - Disasters and Crises ]:[Enabling Functions ]]))</f>
        <v/>
      </c>
      <c r="S23" s="39"/>
      <c r="T23" s="30" t="str">
        <f>_xlfn.LET(
    _xlpm.sumValue, SUMIFS(
        PNS_data[Value],
        PNS_data[Country], FR_data[[#This Row],[Country]],
        PNS_data[National Society name], selected,
        PNS_data[Attribute], "SP1",
        PNS_data[Year], "2028"
    ),
    IF(_xlpm.sumValue = 0, "", _xlpm.sumValue)
)</f>
        <v/>
      </c>
      <c r="U23" s="31" t="str">
        <f>_xlfn.LET(
    _xlpm.sumValue, SUMIFS(
        PNS_data[Value],
        PNS_data[Country], FR_data[[#This Row],[Country]],
        PNS_data[National Society name], selected,
        PNS_data[Attribute], "SP2",
        PNS_data[Year], "2028"
    ),
    IF(_xlpm.sumValue = 0, "", _xlpm.sumValue)
)</f>
        <v/>
      </c>
      <c r="V23" s="31" t="str">
        <f>_xlfn.LET(
    _xlpm.sumValue, SUMIFS(
        PNS_data[Value],
        PNS_data[Country], FR_data[[#This Row],[Country]],
        PNS_data[National Society name], selected,
        PNS_data[Attribute], "SP3",
        PNS_data[Year], "2028"
    ),
    IF(_xlpm.sumValue = 0, "", _xlpm.sumValue)
)</f>
        <v/>
      </c>
      <c r="W23" s="31" t="str">
        <f>_xlfn.LET(
    _xlpm.sumValue, SUMIFS(
        PNS_data[Value],
        PNS_data[Country], FR_data[[#This Row],[Country]],
        PNS_data[National Society name], selected,
        PNS_data[Attribute], "SP4",
        PNS_data[Year], "2028"
    ),
    IF(_xlpm.sumValue = 0, "", _xlpm.sumValue)
)</f>
        <v/>
      </c>
      <c r="X23" s="31" t="str">
        <f>_xlfn.LET(
    _xlpm.sumValue, SUMIFS(
        PNS_data[Value],
        PNS_data[Country], FR_data[[#This Row],[Country]],
        PNS_data[National Society name], selected,
        PNS_data[Attribute], "SP5",
        PNS_data[Year], "2028"
    ),
    IF(_xlpm.sumValue = 0, "", _xlpm.sumValue)
)</f>
        <v/>
      </c>
      <c r="Y23" s="31" t="str">
        <f>_xlfn.LET(
    _xlpm.sumValue, SUMIFS(
        PNS_data[Value],
        PNS_data[Country], FR_data[[#This Row],[Country]],
        PNS_data[National Society name], selected,
        PNS_data[Attribute], "EFs",
        PNS_data[Year], "2028"
    ),
    IF(_xlpm.sumValue = 0, "", _xlpm.sumValue)
)</f>
        <v/>
      </c>
      <c r="Z23" s="32" t="str">
        <f>IF(SUM(FR_data[[#This Row],[Response - Disasters and Crises  ]:[Enabling Functions  ]])=0,"",SUM(FR_data[[#This Row],[Response - Disasters and Crises  ]:[Enabling Functions  ]]))</f>
        <v/>
      </c>
      <c r="AA23" s="41"/>
    </row>
    <row r="24" spans="1:27" x14ac:dyDescent="0.3">
      <c r="A24" s="11" t="s">
        <v>182</v>
      </c>
      <c r="B24" s="11" t="s">
        <v>109</v>
      </c>
      <c r="C24" s="11" t="s">
        <v>91</v>
      </c>
      <c r="D24" s="30" t="str">
        <f>_xlfn.LET(
    _xlpm.sumValue, SUMIFS(
        PNS_data[Value],
        PNS_data[Country], FR_data[[#This Row],[Country]],
        PNS_data[National Society name], selected,
        PNS_data[Attribute], "SP1",
        PNS_data[Year], "2026"
    ),
    IF(_xlpm.sumValue = 0, "", _xlpm.sumValue)
)</f>
        <v/>
      </c>
      <c r="E24" s="31" t="str">
        <f>_xlfn.LET(
    _xlpm.sumValue, SUMIFS(
        PNS_data[Value],
        PNS_data[Country], FR_data[[#This Row],[Country]],
        PNS_data[National Society name], selected,
        PNS_data[Attribute], "SP2",
        PNS_data[Year], "2026"
    ),
    IF(_xlpm.sumValue = 0, "", _xlpm.sumValue)
)</f>
        <v/>
      </c>
      <c r="F24" s="31" t="str">
        <f>_xlfn.LET(
    _xlpm.sumValue, SUMIFS(
        PNS_data[Value],
        PNS_data[Country], FR_data[[#This Row],[Country]],
        PNS_data[National Society name], selected,
        PNS_data[Attribute], "SP3",
        PNS_data[Year], "2026"
    ),
    IF(_xlpm.sumValue = 0, "", _xlpm.sumValue)
)</f>
        <v/>
      </c>
      <c r="G24" s="31" t="str">
        <f>_xlfn.LET(
    _xlpm.sumValue, SUMIFS(
        PNS_data[Value],
        PNS_data[Country], FR_data[[#This Row],[Country]],
        PNS_data[National Society name], selected,
        PNS_data[Attribute], "SP4",
        PNS_data[Year], "2026"
    ),
    IF(_xlpm.sumValue = 0, "", _xlpm.sumValue)
)</f>
        <v/>
      </c>
      <c r="H24" s="31" t="str">
        <f>_xlfn.LET(
    _xlpm.sumValue, SUMIFS(
        PNS_data[Value],
        PNS_data[Country], FR_data[[#This Row],[Country]],
        PNS_data[National Society name], selected,
        PNS_data[Attribute], "SP5",
        PNS_data[Year], "2026"
    ),
    IF(_xlpm.sumValue = 0, "", _xlpm.sumValue)
)</f>
        <v/>
      </c>
      <c r="I24" s="31" t="str">
        <f>_xlfn.LET(
    _xlpm.sumValue, SUMIFS(
        PNS_data[Value],
        PNS_data[Country], FR_data[[#This Row],[Country]],
        PNS_data[National Society name], selected,
        PNS_data[Attribute], "EFs",
        PNS_data[Year], "2026"
    ),
    IF(_xlpm.sumValue = 0, "", _xlpm.sumValue)
)</f>
        <v/>
      </c>
      <c r="J24" s="32" t="str">
        <f>IF(SUM(FR_data[[#This Row],[Response - Disasters and Crises]:[Enabling Functions]])=0,"",SUM(FR_data[[#This Row],[Response - Disasters and Crises]:[Enabling Functions]]))</f>
        <v/>
      </c>
      <c r="K24" s="39"/>
      <c r="L24" s="30" t="str">
        <f>_xlfn.LET(
    _xlpm.sumValue, SUMIFS(
        PNS_data[Value],
        PNS_data[Country], FR_data[[#This Row],[Country]],
        PNS_data[National Society name], selected,
        PNS_data[Attribute], "SP1",
        PNS_data[Year], "2027"
    ),
    IF(_xlpm.sumValue = 0, "", _xlpm.sumValue)
)</f>
        <v/>
      </c>
      <c r="M24" s="31" t="str">
        <f>_xlfn.LET(
    _xlpm.sumValue, SUMIFS(
        PNS_data[Value],
        PNS_data[Country], FR_data[[#This Row],[Country]],
        PNS_data[National Society name], selected,
        PNS_data[Attribute], "SP2",
        PNS_data[Year], "2027"
    ),
    IF(_xlpm.sumValue = 0, "", _xlpm.sumValue)
)</f>
        <v/>
      </c>
      <c r="N24" s="31" t="str">
        <f>_xlfn.LET(
    _xlpm.sumValue, SUMIFS(
        PNS_data[Value],
        PNS_data[Country], FR_data[[#This Row],[Country]],
        PNS_data[National Society name], selected,
        PNS_data[Attribute], "SP3",
        PNS_data[Year], "2027"
    ),
    IF(_xlpm.sumValue = 0, "", _xlpm.sumValue)
)</f>
        <v/>
      </c>
      <c r="O24" s="31" t="str">
        <f>_xlfn.LET(
    _xlpm.sumValue, SUMIFS(
        PNS_data[Value],
        PNS_data[Country], FR_data[[#This Row],[Country]],
        PNS_data[National Society name], selected,
        PNS_data[Attribute], "SP4",
        PNS_data[Year], "2027"
    ),
    IF(_xlpm.sumValue = 0, "", _xlpm.sumValue)
)</f>
        <v/>
      </c>
      <c r="P24" s="31" t="str">
        <f>_xlfn.LET(
    _xlpm.sumValue, SUMIFS(
        PNS_data[Value],
        PNS_data[Country], FR_data[[#This Row],[Country]],
        PNS_data[National Society name], selected,
        PNS_data[Attribute], "SP5",
        PNS_data[Year], "2027"
    ),
    IF(_xlpm.sumValue = 0, "", _xlpm.sumValue)
)</f>
        <v/>
      </c>
      <c r="Q24" s="31" t="str">
        <f>_xlfn.LET(
    _xlpm.sumValue, SUMIFS(
        PNS_data[Value],
        PNS_data[Country], FR_data[[#This Row],[Country]],
        PNS_data[National Society name], selected,
        PNS_data[Attribute], "EFs",
        PNS_data[Year], "2027"
    ),
    IF(_xlpm.sumValue = 0, "", _xlpm.sumValue)
)</f>
        <v/>
      </c>
      <c r="R24" s="32" t="str">
        <f>IF(SUM(FR_data[[#This Row],[Response - Disasters and Crises ]:[Enabling Functions ]])=0,"",SUM(FR_data[[#This Row],[Response - Disasters and Crises ]:[Enabling Functions ]]))</f>
        <v/>
      </c>
      <c r="S24" s="39"/>
      <c r="T24" s="30" t="str">
        <f>_xlfn.LET(
    _xlpm.sumValue, SUMIFS(
        PNS_data[Value],
        PNS_data[Country], FR_data[[#This Row],[Country]],
        PNS_data[National Society name], selected,
        PNS_data[Attribute], "SP1",
        PNS_data[Year], "2028"
    ),
    IF(_xlpm.sumValue = 0, "", _xlpm.sumValue)
)</f>
        <v/>
      </c>
      <c r="U24" s="31" t="str">
        <f>_xlfn.LET(
    _xlpm.sumValue, SUMIFS(
        PNS_data[Value],
        PNS_data[Country], FR_data[[#This Row],[Country]],
        PNS_data[National Society name], selected,
        PNS_data[Attribute], "SP2",
        PNS_data[Year], "2028"
    ),
    IF(_xlpm.sumValue = 0, "", _xlpm.sumValue)
)</f>
        <v/>
      </c>
      <c r="V24" s="31" t="str">
        <f>_xlfn.LET(
    _xlpm.sumValue, SUMIFS(
        PNS_data[Value],
        PNS_data[Country], FR_data[[#This Row],[Country]],
        PNS_data[National Society name], selected,
        PNS_data[Attribute], "SP3",
        PNS_data[Year], "2028"
    ),
    IF(_xlpm.sumValue = 0, "", _xlpm.sumValue)
)</f>
        <v/>
      </c>
      <c r="W24" s="31" t="str">
        <f>_xlfn.LET(
    _xlpm.sumValue, SUMIFS(
        PNS_data[Value],
        PNS_data[Country], FR_data[[#This Row],[Country]],
        PNS_data[National Society name], selected,
        PNS_data[Attribute], "SP4",
        PNS_data[Year], "2028"
    ),
    IF(_xlpm.sumValue = 0, "", _xlpm.sumValue)
)</f>
        <v/>
      </c>
      <c r="X24" s="31" t="str">
        <f>_xlfn.LET(
    _xlpm.sumValue, SUMIFS(
        PNS_data[Value],
        PNS_data[Country], FR_data[[#This Row],[Country]],
        PNS_data[National Society name], selected,
        PNS_data[Attribute], "SP5",
        PNS_data[Year], "2028"
    ),
    IF(_xlpm.sumValue = 0, "", _xlpm.sumValue)
)</f>
        <v/>
      </c>
      <c r="Y24" s="31" t="str">
        <f>_xlfn.LET(
    _xlpm.sumValue, SUMIFS(
        PNS_data[Value],
        PNS_data[Country], FR_data[[#This Row],[Country]],
        PNS_data[National Society name], selected,
        PNS_data[Attribute], "EFs",
        PNS_data[Year], "2028"
    ),
    IF(_xlpm.sumValue = 0, "", _xlpm.sumValue)
)</f>
        <v/>
      </c>
      <c r="Z24" s="32" t="str">
        <f>IF(SUM(FR_data[[#This Row],[Response - Disasters and Crises  ]:[Enabling Functions  ]])=0,"",SUM(FR_data[[#This Row],[Response - Disasters and Crises  ]:[Enabling Functions  ]]))</f>
        <v/>
      </c>
      <c r="AA24" s="41"/>
    </row>
    <row r="25" spans="1:27" x14ac:dyDescent="0.3">
      <c r="A25" s="11" t="s">
        <v>206</v>
      </c>
      <c r="B25" s="11" t="s">
        <v>109</v>
      </c>
      <c r="C25" s="11" t="s">
        <v>207</v>
      </c>
      <c r="D25" s="30" t="str">
        <f>_xlfn.LET(
    _xlpm.sumValue, SUMIFS(
        PNS_data[Value],
        PNS_data[Country], FR_data[[#This Row],[Country]],
        PNS_data[National Society name], selected,
        PNS_data[Attribute], "SP1",
        PNS_data[Year], "2026"
    ),
    IF(_xlpm.sumValue = 0, "", _xlpm.sumValue)
)</f>
        <v/>
      </c>
      <c r="E25" s="31" t="str">
        <f>_xlfn.LET(
    _xlpm.sumValue, SUMIFS(
        PNS_data[Value],
        PNS_data[Country], FR_data[[#This Row],[Country]],
        PNS_data[National Society name], selected,
        PNS_data[Attribute], "SP2",
        PNS_data[Year], "2026"
    ),
    IF(_xlpm.sumValue = 0, "", _xlpm.sumValue)
)</f>
        <v/>
      </c>
      <c r="F25" s="31" t="str">
        <f>_xlfn.LET(
    _xlpm.sumValue, SUMIFS(
        PNS_data[Value],
        PNS_data[Country], FR_data[[#This Row],[Country]],
        PNS_data[National Society name], selected,
        PNS_data[Attribute], "SP3",
        PNS_data[Year], "2026"
    ),
    IF(_xlpm.sumValue = 0, "", _xlpm.sumValue)
)</f>
        <v/>
      </c>
      <c r="G25" s="31" t="str">
        <f>_xlfn.LET(
    _xlpm.sumValue, SUMIFS(
        PNS_data[Value],
        PNS_data[Country], FR_data[[#This Row],[Country]],
        PNS_data[National Society name], selected,
        PNS_data[Attribute], "SP4",
        PNS_data[Year], "2026"
    ),
    IF(_xlpm.sumValue = 0, "", _xlpm.sumValue)
)</f>
        <v/>
      </c>
      <c r="H25" s="31" t="str">
        <f>_xlfn.LET(
    _xlpm.sumValue, SUMIFS(
        PNS_data[Value],
        PNS_data[Country], FR_data[[#This Row],[Country]],
        PNS_data[National Society name], selected,
        PNS_data[Attribute], "SP5",
        PNS_data[Year], "2026"
    ),
    IF(_xlpm.sumValue = 0, "", _xlpm.sumValue)
)</f>
        <v/>
      </c>
      <c r="I25" s="31" t="str">
        <f>_xlfn.LET(
    _xlpm.sumValue, SUMIFS(
        PNS_data[Value],
        PNS_data[Country], FR_data[[#This Row],[Country]],
        PNS_data[National Society name], selected,
        PNS_data[Attribute], "EFs",
        PNS_data[Year], "2026"
    ),
    IF(_xlpm.sumValue = 0, "", _xlpm.sumValue)
)</f>
        <v/>
      </c>
      <c r="J25" s="32" t="str">
        <f>IF(SUM(FR_data[[#This Row],[Response - Disasters and Crises]:[Enabling Functions]])=0,"",SUM(FR_data[[#This Row],[Response - Disasters and Crises]:[Enabling Functions]]))</f>
        <v/>
      </c>
      <c r="K25" s="39"/>
      <c r="L25" s="30" t="str">
        <f>_xlfn.LET(
    _xlpm.sumValue, SUMIFS(
        PNS_data[Value],
        PNS_data[Country], FR_data[[#This Row],[Country]],
        PNS_data[National Society name], selected,
        PNS_data[Attribute], "SP1",
        PNS_data[Year], "2027"
    ),
    IF(_xlpm.sumValue = 0, "", _xlpm.sumValue)
)</f>
        <v/>
      </c>
      <c r="M25" s="31" t="str">
        <f>_xlfn.LET(
    _xlpm.sumValue, SUMIFS(
        PNS_data[Value],
        PNS_data[Country], FR_data[[#This Row],[Country]],
        PNS_data[National Society name], selected,
        PNS_data[Attribute], "SP2",
        PNS_data[Year], "2027"
    ),
    IF(_xlpm.sumValue = 0, "", _xlpm.sumValue)
)</f>
        <v/>
      </c>
      <c r="N25" s="31" t="str">
        <f>_xlfn.LET(
    _xlpm.sumValue, SUMIFS(
        PNS_data[Value],
        PNS_data[Country], FR_data[[#This Row],[Country]],
        PNS_data[National Society name], selected,
        PNS_data[Attribute], "SP3",
        PNS_data[Year], "2027"
    ),
    IF(_xlpm.sumValue = 0, "", _xlpm.sumValue)
)</f>
        <v/>
      </c>
      <c r="O25" s="31" t="str">
        <f>_xlfn.LET(
    _xlpm.sumValue, SUMIFS(
        PNS_data[Value],
        PNS_data[Country], FR_data[[#This Row],[Country]],
        PNS_data[National Society name], selected,
        PNS_data[Attribute], "SP4",
        PNS_data[Year], "2027"
    ),
    IF(_xlpm.sumValue = 0, "", _xlpm.sumValue)
)</f>
        <v/>
      </c>
      <c r="P25" s="31" t="str">
        <f>_xlfn.LET(
    _xlpm.sumValue, SUMIFS(
        PNS_data[Value],
        PNS_data[Country], FR_data[[#This Row],[Country]],
        PNS_data[National Society name], selected,
        PNS_data[Attribute], "SP5",
        PNS_data[Year], "2027"
    ),
    IF(_xlpm.sumValue = 0, "", _xlpm.sumValue)
)</f>
        <v/>
      </c>
      <c r="Q25" s="31" t="str">
        <f>_xlfn.LET(
    _xlpm.sumValue, SUMIFS(
        PNS_data[Value],
        PNS_data[Country], FR_data[[#This Row],[Country]],
        PNS_data[National Society name], selected,
        PNS_data[Attribute], "EFs",
        PNS_data[Year], "2027"
    ),
    IF(_xlpm.sumValue = 0, "", _xlpm.sumValue)
)</f>
        <v/>
      </c>
      <c r="R25" s="32" t="str">
        <f>IF(SUM(FR_data[[#This Row],[Response - Disasters and Crises ]:[Enabling Functions ]])=0,"",SUM(FR_data[[#This Row],[Response - Disasters and Crises ]:[Enabling Functions ]]))</f>
        <v/>
      </c>
      <c r="S25" s="39"/>
      <c r="T25" s="30" t="str">
        <f>_xlfn.LET(
    _xlpm.sumValue, SUMIFS(
        PNS_data[Value],
        PNS_data[Country], FR_data[[#This Row],[Country]],
        PNS_data[National Society name], selected,
        PNS_data[Attribute], "SP1",
        PNS_data[Year], "2028"
    ),
    IF(_xlpm.sumValue = 0, "", _xlpm.sumValue)
)</f>
        <v/>
      </c>
      <c r="U25" s="31" t="str">
        <f>_xlfn.LET(
    _xlpm.sumValue, SUMIFS(
        PNS_data[Value],
        PNS_data[Country], FR_data[[#This Row],[Country]],
        PNS_data[National Society name], selected,
        PNS_data[Attribute], "SP2",
        PNS_data[Year], "2028"
    ),
    IF(_xlpm.sumValue = 0, "", _xlpm.sumValue)
)</f>
        <v/>
      </c>
      <c r="V25" s="31" t="str">
        <f>_xlfn.LET(
    _xlpm.sumValue, SUMIFS(
        PNS_data[Value],
        PNS_data[Country], FR_data[[#This Row],[Country]],
        PNS_data[National Society name], selected,
        PNS_data[Attribute], "SP3",
        PNS_data[Year], "2028"
    ),
    IF(_xlpm.sumValue = 0, "", _xlpm.sumValue)
)</f>
        <v/>
      </c>
      <c r="W25" s="31" t="str">
        <f>_xlfn.LET(
    _xlpm.sumValue, SUMIFS(
        PNS_data[Value],
        PNS_data[Country], FR_data[[#This Row],[Country]],
        PNS_data[National Society name], selected,
        PNS_data[Attribute], "SP4",
        PNS_data[Year], "2028"
    ),
    IF(_xlpm.sumValue = 0, "", _xlpm.sumValue)
)</f>
        <v/>
      </c>
      <c r="X25" s="31" t="str">
        <f>_xlfn.LET(
    _xlpm.sumValue, SUMIFS(
        PNS_data[Value],
        PNS_data[Country], FR_data[[#This Row],[Country]],
        PNS_data[National Society name], selected,
        PNS_data[Attribute], "SP5",
        PNS_data[Year], "2028"
    ),
    IF(_xlpm.sumValue = 0, "", _xlpm.sumValue)
)</f>
        <v/>
      </c>
      <c r="Y25" s="31" t="str">
        <f>_xlfn.LET(
    _xlpm.sumValue, SUMIFS(
        PNS_data[Value],
        PNS_data[Country], FR_data[[#This Row],[Country]],
        PNS_data[National Society name], selected,
        PNS_data[Attribute], "EFs",
        PNS_data[Year], "2028"
    ),
    IF(_xlpm.sumValue = 0, "", _xlpm.sumValue)
)</f>
        <v/>
      </c>
      <c r="Z25" s="32" t="str">
        <f>IF(SUM(FR_data[[#This Row],[Response - Disasters and Crises  ]:[Enabling Functions  ]])=0,"",SUM(FR_data[[#This Row],[Response - Disasters and Crises  ]:[Enabling Functions  ]]))</f>
        <v/>
      </c>
      <c r="AA25" s="41"/>
    </row>
    <row r="26" spans="1:27" x14ac:dyDescent="0.3">
      <c r="A26" s="11" t="s">
        <v>152</v>
      </c>
      <c r="B26" s="11" t="s">
        <v>109</v>
      </c>
      <c r="C26" s="11" t="s">
        <v>153</v>
      </c>
      <c r="D26" s="30" t="str">
        <f>_xlfn.LET(
    _xlpm.sumValue, SUMIFS(
        PNS_data[Value],
        PNS_data[Country], FR_data[[#This Row],[Country]],
        PNS_data[National Society name], selected,
        PNS_data[Attribute], "SP1",
        PNS_data[Year], "2026"
    ),
    IF(_xlpm.sumValue = 0, "", _xlpm.sumValue)
)</f>
        <v/>
      </c>
      <c r="E26" s="31" t="str">
        <f>_xlfn.LET(
    _xlpm.sumValue, SUMIFS(
        PNS_data[Value],
        PNS_data[Country], FR_data[[#This Row],[Country]],
        PNS_data[National Society name], selected,
        PNS_data[Attribute], "SP2",
        PNS_data[Year], "2026"
    ),
    IF(_xlpm.sumValue = 0, "", _xlpm.sumValue)
)</f>
        <v/>
      </c>
      <c r="F26" s="31" t="str">
        <f>_xlfn.LET(
    _xlpm.sumValue, SUMIFS(
        PNS_data[Value],
        PNS_data[Country], FR_data[[#This Row],[Country]],
        PNS_data[National Society name], selected,
        PNS_data[Attribute], "SP3",
        PNS_data[Year], "2026"
    ),
    IF(_xlpm.sumValue = 0, "", _xlpm.sumValue)
)</f>
        <v/>
      </c>
      <c r="G26" s="31" t="str">
        <f>_xlfn.LET(
    _xlpm.sumValue, SUMIFS(
        PNS_data[Value],
        PNS_data[Country], FR_data[[#This Row],[Country]],
        PNS_data[National Society name], selected,
        PNS_data[Attribute], "SP4",
        PNS_data[Year], "2026"
    ),
    IF(_xlpm.sumValue = 0, "", _xlpm.sumValue)
)</f>
        <v/>
      </c>
      <c r="H26" s="31" t="str">
        <f>_xlfn.LET(
    _xlpm.sumValue, SUMIFS(
        PNS_data[Value],
        PNS_data[Country], FR_data[[#This Row],[Country]],
        PNS_data[National Society name], selected,
        PNS_data[Attribute], "SP5",
        PNS_data[Year], "2026"
    ),
    IF(_xlpm.sumValue = 0, "", _xlpm.sumValue)
)</f>
        <v/>
      </c>
      <c r="I26" s="31" t="str">
        <f>_xlfn.LET(
    _xlpm.sumValue, SUMIFS(
        PNS_data[Value],
        PNS_data[Country], FR_data[[#This Row],[Country]],
        PNS_data[National Society name], selected,
        PNS_data[Attribute], "EFs",
        PNS_data[Year], "2026"
    ),
    IF(_xlpm.sumValue = 0, "", _xlpm.sumValue)
)</f>
        <v/>
      </c>
      <c r="J26" s="32" t="str">
        <f>IF(SUM(FR_data[[#This Row],[Response - Disasters and Crises]:[Enabling Functions]])=0,"",SUM(FR_data[[#This Row],[Response - Disasters and Crises]:[Enabling Functions]]))</f>
        <v/>
      </c>
      <c r="K26" s="39"/>
      <c r="L26" s="30" t="str">
        <f>_xlfn.LET(
    _xlpm.sumValue, SUMIFS(
        PNS_data[Value],
        PNS_data[Country], FR_data[[#This Row],[Country]],
        PNS_data[National Society name], selected,
        PNS_data[Attribute], "SP1",
        PNS_data[Year], "2027"
    ),
    IF(_xlpm.sumValue = 0, "", _xlpm.sumValue)
)</f>
        <v/>
      </c>
      <c r="M26" s="31" t="str">
        <f>_xlfn.LET(
    _xlpm.sumValue, SUMIFS(
        PNS_data[Value],
        PNS_data[Country], FR_data[[#This Row],[Country]],
        PNS_data[National Society name], selected,
        PNS_data[Attribute], "SP2",
        PNS_data[Year], "2027"
    ),
    IF(_xlpm.sumValue = 0, "", _xlpm.sumValue)
)</f>
        <v/>
      </c>
      <c r="N26" s="31" t="str">
        <f>_xlfn.LET(
    _xlpm.sumValue, SUMIFS(
        PNS_data[Value],
        PNS_data[Country], FR_data[[#This Row],[Country]],
        PNS_data[National Society name], selected,
        PNS_data[Attribute], "SP3",
        PNS_data[Year], "2027"
    ),
    IF(_xlpm.sumValue = 0, "", _xlpm.sumValue)
)</f>
        <v/>
      </c>
      <c r="O26" s="31" t="str">
        <f>_xlfn.LET(
    _xlpm.sumValue, SUMIFS(
        PNS_data[Value],
        PNS_data[Country], FR_data[[#This Row],[Country]],
        PNS_data[National Society name], selected,
        PNS_data[Attribute], "SP4",
        PNS_data[Year], "2027"
    ),
    IF(_xlpm.sumValue = 0, "", _xlpm.sumValue)
)</f>
        <v/>
      </c>
      <c r="P26" s="31" t="str">
        <f>_xlfn.LET(
    _xlpm.sumValue, SUMIFS(
        PNS_data[Value],
        PNS_data[Country], FR_data[[#This Row],[Country]],
        PNS_data[National Society name], selected,
        PNS_data[Attribute], "SP5",
        PNS_data[Year], "2027"
    ),
    IF(_xlpm.sumValue = 0, "", _xlpm.sumValue)
)</f>
        <v/>
      </c>
      <c r="Q26" s="31" t="str">
        <f>_xlfn.LET(
    _xlpm.sumValue, SUMIFS(
        PNS_data[Value],
        PNS_data[Country], FR_data[[#This Row],[Country]],
        PNS_data[National Society name], selected,
        PNS_data[Attribute], "EFs",
        PNS_data[Year], "2027"
    ),
    IF(_xlpm.sumValue = 0, "", _xlpm.sumValue)
)</f>
        <v/>
      </c>
      <c r="R26" s="32" t="str">
        <f>IF(SUM(FR_data[[#This Row],[Response - Disasters and Crises ]:[Enabling Functions ]])=0,"",SUM(FR_data[[#This Row],[Response - Disasters and Crises ]:[Enabling Functions ]]))</f>
        <v/>
      </c>
      <c r="S26" s="39"/>
      <c r="T26" s="30" t="str">
        <f>_xlfn.LET(
    _xlpm.sumValue, SUMIFS(
        PNS_data[Value],
        PNS_data[Country], FR_data[[#This Row],[Country]],
        PNS_data[National Society name], selected,
        PNS_data[Attribute], "SP1",
        PNS_data[Year], "2028"
    ),
    IF(_xlpm.sumValue = 0, "", _xlpm.sumValue)
)</f>
        <v/>
      </c>
      <c r="U26" s="31" t="str">
        <f>_xlfn.LET(
    _xlpm.sumValue, SUMIFS(
        PNS_data[Value],
        PNS_data[Country], FR_data[[#This Row],[Country]],
        PNS_data[National Society name], selected,
        PNS_data[Attribute], "SP2",
        PNS_data[Year], "2028"
    ),
    IF(_xlpm.sumValue = 0, "", _xlpm.sumValue)
)</f>
        <v/>
      </c>
      <c r="V26" s="31" t="str">
        <f>_xlfn.LET(
    _xlpm.sumValue, SUMIFS(
        PNS_data[Value],
        PNS_data[Country], FR_data[[#This Row],[Country]],
        PNS_data[National Society name], selected,
        PNS_data[Attribute], "SP3",
        PNS_data[Year], "2028"
    ),
    IF(_xlpm.sumValue = 0, "", _xlpm.sumValue)
)</f>
        <v/>
      </c>
      <c r="W26" s="31" t="str">
        <f>_xlfn.LET(
    _xlpm.sumValue, SUMIFS(
        PNS_data[Value],
        PNS_data[Country], FR_data[[#This Row],[Country]],
        PNS_data[National Society name], selected,
        PNS_data[Attribute], "SP4",
        PNS_data[Year], "2028"
    ),
    IF(_xlpm.sumValue = 0, "", _xlpm.sumValue)
)</f>
        <v/>
      </c>
      <c r="X26" s="31" t="str">
        <f>_xlfn.LET(
    _xlpm.sumValue, SUMIFS(
        PNS_data[Value],
        PNS_data[Country], FR_data[[#This Row],[Country]],
        PNS_data[National Society name], selected,
        PNS_data[Attribute], "SP5",
        PNS_data[Year], "2028"
    ),
    IF(_xlpm.sumValue = 0, "", _xlpm.sumValue)
)</f>
        <v/>
      </c>
      <c r="Y26" s="31" t="str">
        <f>_xlfn.LET(
    _xlpm.sumValue, SUMIFS(
        PNS_data[Value],
        PNS_data[Country], FR_data[[#This Row],[Country]],
        PNS_data[National Society name], selected,
        PNS_data[Attribute], "EFs",
        PNS_data[Year], "2028"
    ),
    IF(_xlpm.sumValue = 0, "", _xlpm.sumValue)
)</f>
        <v/>
      </c>
      <c r="Z26" s="32" t="str">
        <f>IF(SUM(FR_data[[#This Row],[Response - Disasters and Crises  ]:[Enabling Functions  ]])=0,"",SUM(FR_data[[#This Row],[Response - Disasters and Crises  ]:[Enabling Functions  ]]))</f>
        <v/>
      </c>
      <c r="AA26" s="41"/>
    </row>
    <row r="27" spans="1:27" x14ac:dyDescent="0.3">
      <c r="A27" s="11" t="s">
        <v>364</v>
      </c>
      <c r="B27" s="11" t="s">
        <v>109</v>
      </c>
      <c r="C27" s="11" t="s">
        <v>79</v>
      </c>
      <c r="D27" s="30" t="str">
        <f>_xlfn.LET(
    _xlpm.sumValue, SUMIFS(
        PNS_data[Value],
        PNS_data[Country], FR_data[[#This Row],[Country]],
        PNS_data[National Society name], selected,
        PNS_data[Attribute], "SP1",
        PNS_data[Year], "2026"
    ),
    IF(_xlpm.sumValue = 0, "", _xlpm.sumValue)
)</f>
        <v/>
      </c>
      <c r="E27" s="31" t="str">
        <f>_xlfn.LET(
    _xlpm.sumValue, SUMIFS(
        PNS_data[Value],
        PNS_data[Country], FR_data[[#This Row],[Country]],
        PNS_data[National Society name], selected,
        PNS_data[Attribute], "SP2",
        PNS_data[Year], "2026"
    ),
    IF(_xlpm.sumValue = 0, "", _xlpm.sumValue)
)</f>
        <v/>
      </c>
      <c r="F27" s="31" t="str">
        <f>_xlfn.LET(
    _xlpm.sumValue, SUMIFS(
        PNS_data[Value],
        PNS_data[Country], FR_data[[#This Row],[Country]],
        PNS_data[National Society name], selected,
        PNS_data[Attribute], "SP3",
        PNS_data[Year], "2026"
    ),
    IF(_xlpm.sumValue = 0, "", _xlpm.sumValue)
)</f>
        <v/>
      </c>
      <c r="G27" s="31" t="str">
        <f>_xlfn.LET(
    _xlpm.sumValue, SUMIFS(
        PNS_data[Value],
        PNS_data[Country], FR_data[[#This Row],[Country]],
        PNS_data[National Society name], selected,
        PNS_data[Attribute], "SP4",
        PNS_data[Year], "2026"
    ),
    IF(_xlpm.sumValue = 0, "", _xlpm.sumValue)
)</f>
        <v/>
      </c>
      <c r="H27" s="31" t="str">
        <f>_xlfn.LET(
    _xlpm.sumValue, SUMIFS(
        PNS_data[Value],
        PNS_data[Country], FR_data[[#This Row],[Country]],
        PNS_data[National Society name], selected,
        PNS_data[Attribute], "SP5",
        PNS_data[Year], "2026"
    ),
    IF(_xlpm.sumValue = 0, "", _xlpm.sumValue)
)</f>
        <v/>
      </c>
      <c r="I27" s="31" t="str">
        <f>_xlfn.LET(
    _xlpm.sumValue, SUMIFS(
        PNS_data[Value],
        PNS_data[Country], FR_data[[#This Row],[Country]],
        PNS_data[National Society name], selected,
        PNS_data[Attribute], "EFs",
        PNS_data[Year], "2026"
    ),
    IF(_xlpm.sumValue = 0, "", _xlpm.sumValue)
)</f>
        <v/>
      </c>
      <c r="J27" s="32" t="str">
        <f>IF(SUM(FR_data[[#This Row],[Response - Disasters and Crises]:[Enabling Functions]])=0,"",SUM(FR_data[[#This Row],[Response - Disasters and Crises]:[Enabling Functions]]))</f>
        <v/>
      </c>
      <c r="K27" s="39"/>
      <c r="L27" s="30" t="str">
        <f>_xlfn.LET(
    _xlpm.sumValue, SUMIFS(
        PNS_data[Value],
        PNS_data[Country], FR_data[[#This Row],[Country]],
        PNS_data[National Society name], selected,
        PNS_data[Attribute], "SP1",
        PNS_data[Year], "2027"
    ),
    IF(_xlpm.sumValue = 0, "", _xlpm.sumValue)
)</f>
        <v/>
      </c>
      <c r="M27" s="31" t="str">
        <f>_xlfn.LET(
    _xlpm.sumValue, SUMIFS(
        PNS_data[Value],
        PNS_data[Country], FR_data[[#This Row],[Country]],
        PNS_data[National Society name], selected,
        PNS_data[Attribute], "SP2",
        PNS_data[Year], "2027"
    ),
    IF(_xlpm.sumValue = 0, "", _xlpm.sumValue)
)</f>
        <v/>
      </c>
      <c r="N27" s="31" t="str">
        <f>_xlfn.LET(
    _xlpm.sumValue, SUMIFS(
        PNS_data[Value],
        PNS_data[Country], FR_data[[#This Row],[Country]],
        PNS_data[National Society name], selected,
        PNS_data[Attribute], "SP3",
        PNS_data[Year], "2027"
    ),
    IF(_xlpm.sumValue = 0, "", _xlpm.sumValue)
)</f>
        <v/>
      </c>
      <c r="O27" s="31" t="str">
        <f>_xlfn.LET(
    _xlpm.sumValue, SUMIFS(
        PNS_data[Value],
        PNS_data[Country], FR_data[[#This Row],[Country]],
        PNS_data[National Society name], selected,
        PNS_data[Attribute], "SP4",
        PNS_data[Year], "2027"
    ),
    IF(_xlpm.sumValue = 0, "", _xlpm.sumValue)
)</f>
        <v/>
      </c>
      <c r="P27" s="31" t="str">
        <f>_xlfn.LET(
    _xlpm.sumValue, SUMIFS(
        PNS_data[Value],
        PNS_data[Country], FR_data[[#This Row],[Country]],
        PNS_data[National Society name], selected,
        PNS_data[Attribute], "SP5",
        PNS_data[Year], "2027"
    ),
    IF(_xlpm.sumValue = 0, "", _xlpm.sumValue)
)</f>
        <v/>
      </c>
      <c r="Q27" s="31" t="str">
        <f>_xlfn.LET(
    _xlpm.sumValue, SUMIFS(
        PNS_data[Value],
        PNS_data[Country], FR_data[[#This Row],[Country]],
        PNS_data[National Society name], selected,
        PNS_data[Attribute], "EFs",
        PNS_data[Year], "2027"
    ),
    IF(_xlpm.sumValue = 0, "", _xlpm.sumValue)
)</f>
        <v/>
      </c>
      <c r="R27" s="32" t="str">
        <f>IF(SUM(FR_data[[#This Row],[Response - Disasters and Crises ]:[Enabling Functions ]])=0,"",SUM(FR_data[[#This Row],[Response - Disasters and Crises ]:[Enabling Functions ]]))</f>
        <v/>
      </c>
      <c r="S27" s="39"/>
      <c r="T27" s="30" t="str">
        <f>_xlfn.LET(
    _xlpm.sumValue, SUMIFS(
        PNS_data[Value],
        PNS_data[Country], FR_data[[#This Row],[Country]],
        PNS_data[National Society name], selected,
        PNS_data[Attribute], "SP1",
        PNS_data[Year], "2028"
    ),
    IF(_xlpm.sumValue = 0, "", _xlpm.sumValue)
)</f>
        <v/>
      </c>
      <c r="U27" s="31" t="str">
        <f>_xlfn.LET(
    _xlpm.sumValue, SUMIFS(
        PNS_data[Value],
        PNS_data[Country], FR_data[[#This Row],[Country]],
        PNS_data[National Society name], selected,
        PNS_data[Attribute], "SP2",
        PNS_data[Year], "2028"
    ),
    IF(_xlpm.sumValue = 0, "", _xlpm.sumValue)
)</f>
        <v/>
      </c>
      <c r="V27" s="31" t="str">
        <f>_xlfn.LET(
    _xlpm.sumValue, SUMIFS(
        PNS_data[Value],
        PNS_data[Country], FR_data[[#This Row],[Country]],
        PNS_data[National Society name], selected,
        PNS_data[Attribute], "SP3",
        PNS_data[Year], "2028"
    ),
    IF(_xlpm.sumValue = 0, "", _xlpm.sumValue)
)</f>
        <v/>
      </c>
      <c r="W27" s="31" t="str">
        <f>_xlfn.LET(
    _xlpm.sumValue, SUMIFS(
        PNS_data[Value],
        PNS_data[Country], FR_data[[#This Row],[Country]],
        PNS_data[National Society name], selected,
        PNS_data[Attribute], "SP4",
        PNS_data[Year], "2028"
    ),
    IF(_xlpm.sumValue = 0, "", _xlpm.sumValue)
)</f>
        <v/>
      </c>
      <c r="X27" s="31" t="str">
        <f>_xlfn.LET(
    _xlpm.sumValue, SUMIFS(
        PNS_data[Value],
        PNS_data[Country], FR_data[[#This Row],[Country]],
        PNS_data[National Society name], selected,
        PNS_data[Attribute], "SP5",
        PNS_data[Year], "2028"
    ),
    IF(_xlpm.sumValue = 0, "", _xlpm.sumValue)
)</f>
        <v/>
      </c>
      <c r="Y27" s="31" t="str">
        <f>_xlfn.LET(
    _xlpm.sumValue, SUMIFS(
        PNS_data[Value],
        PNS_data[Country], FR_data[[#This Row],[Country]],
        PNS_data[National Society name], selected,
        PNS_data[Attribute], "EFs",
        PNS_data[Year], "2028"
    ),
    IF(_xlpm.sumValue = 0, "", _xlpm.sumValue)
)</f>
        <v/>
      </c>
      <c r="Z27" s="32" t="str">
        <f>IF(SUM(FR_data[[#This Row],[Response - Disasters and Crises  ]:[Enabling Functions  ]])=0,"",SUM(FR_data[[#This Row],[Response - Disasters and Crises  ]:[Enabling Functions  ]]))</f>
        <v/>
      </c>
      <c r="AA27" s="41"/>
    </row>
    <row r="28" spans="1:27" x14ac:dyDescent="0.3">
      <c r="A28" s="11" t="s">
        <v>195</v>
      </c>
      <c r="B28" s="11" t="s">
        <v>109</v>
      </c>
      <c r="C28" s="11" t="s">
        <v>70</v>
      </c>
      <c r="D28" s="30" t="str">
        <f>_xlfn.LET(
    _xlpm.sumValue, SUMIFS(
        PNS_data[Value],
        PNS_data[Country], FR_data[[#This Row],[Country]],
        PNS_data[National Society name], selected,
        PNS_data[Attribute], "SP1",
        PNS_data[Year], "2026"
    ),
    IF(_xlpm.sumValue = 0, "", _xlpm.sumValue)
)</f>
        <v/>
      </c>
      <c r="E28" s="31" t="str">
        <f>_xlfn.LET(
    _xlpm.sumValue, SUMIFS(
        PNS_data[Value],
        PNS_data[Country], FR_data[[#This Row],[Country]],
        PNS_data[National Society name], selected,
        PNS_data[Attribute], "SP2",
        PNS_data[Year], "2026"
    ),
    IF(_xlpm.sumValue = 0, "", _xlpm.sumValue)
)</f>
        <v/>
      </c>
      <c r="F28" s="31" t="str">
        <f>_xlfn.LET(
    _xlpm.sumValue, SUMIFS(
        PNS_data[Value],
        PNS_data[Country], FR_data[[#This Row],[Country]],
        PNS_data[National Society name], selected,
        PNS_data[Attribute], "SP3",
        PNS_data[Year], "2026"
    ),
    IF(_xlpm.sumValue = 0, "", _xlpm.sumValue)
)</f>
        <v/>
      </c>
      <c r="G28" s="31" t="str">
        <f>_xlfn.LET(
    _xlpm.sumValue, SUMIFS(
        PNS_data[Value],
        PNS_data[Country], FR_data[[#This Row],[Country]],
        PNS_data[National Society name], selected,
        PNS_data[Attribute], "SP4",
        PNS_data[Year], "2026"
    ),
    IF(_xlpm.sumValue = 0, "", _xlpm.sumValue)
)</f>
        <v/>
      </c>
      <c r="H28" s="31" t="str">
        <f>_xlfn.LET(
    _xlpm.sumValue, SUMIFS(
        PNS_data[Value],
        PNS_data[Country], FR_data[[#This Row],[Country]],
        PNS_data[National Society name], selected,
        PNS_data[Attribute], "SP5",
        PNS_data[Year], "2026"
    ),
    IF(_xlpm.sumValue = 0, "", _xlpm.sumValue)
)</f>
        <v/>
      </c>
      <c r="I28" s="31" t="str">
        <f>_xlfn.LET(
    _xlpm.sumValue, SUMIFS(
        PNS_data[Value],
        PNS_data[Country], FR_data[[#This Row],[Country]],
        PNS_data[National Society name], selected,
        PNS_data[Attribute], "EFs",
        PNS_data[Year], "2026"
    ),
    IF(_xlpm.sumValue = 0, "", _xlpm.sumValue)
)</f>
        <v/>
      </c>
      <c r="J28" s="32" t="str">
        <f>IF(SUM(FR_data[[#This Row],[Response - Disasters and Crises]:[Enabling Functions]])=0,"",SUM(FR_data[[#This Row],[Response - Disasters and Crises]:[Enabling Functions]]))</f>
        <v/>
      </c>
      <c r="K28" s="39"/>
      <c r="L28" s="30" t="str">
        <f>_xlfn.LET(
    _xlpm.sumValue, SUMIFS(
        PNS_data[Value],
        PNS_data[Country], FR_data[[#This Row],[Country]],
        PNS_data[National Society name], selected,
        PNS_data[Attribute], "SP1",
        PNS_data[Year], "2027"
    ),
    IF(_xlpm.sumValue = 0, "", _xlpm.sumValue)
)</f>
        <v/>
      </c>
      <c r="M28" s="31" t="str">
        <f>_xlfn.LET(
    _xlpm.sumValue, SUMIFS(
        PNS_data[Value],
        PNS_data[Country], FR_data[[#This Row],[Country]],
        PNS_data[National Society name], selected,
        PNS_data[Attribute], "SP2",
        PNS_data[Year], "2027"
    ),
    IF(_xlpm.sumValue = 0, "", _xlpm.sumValue)
)</f>
        <v/>
      </c>
      <c r="N28" s="31" t="str">
        <f>_xlfn.LET(
    _xlpm.sumValue, SUMIFS(
        PNS_data[Value],
        PNS_data[Country], FR_data[[#This Row],[Country]],
        PNS_data[National Society name], selected,
        PNS_data[Attribute], "SP3",
        PNS_data[Year], "2027"
    ),
    IF(_xlpm.sumValue = 0, "", _xlpm.sumValue)
)</f>
        <v/>
      </c>
      <c r="O28" s="31" t="str">
        <f>_xlfn.LET(
    _xlpm.sumValue, SUMIFS(
        PNS_data[Value],
        PNS_data[Country], FR_data[[#This Row],[Country]],
        PNS_data[National Society name], selected,
        PNS_data[Attribute], "SP4",
        PNS_data[Year], "2027"
    ),
    IF(_xlpm.sumValue = 0, "", _xlpm.sumValue)
)</f>
        <v/>
      </c>
      <c r="P28" s="31" t="str">
        <f>_xlfn.LET(
    _xlpm.sumValue, SUMIFS(
        PNS_data[Value],
        PNS_data[Country], FR_data[[#This Row],[Country]],
        PNS_data[National Society name], selected,
        PNS_data[Attribute], "SP5",
        PNS_data[Year], "2027"
    ),
    IF(_xlpm.sumValue = 0, "", _xlpm.sumValue)
)</f>
        <v/>
      </c>
      <c r="Q28" s="31" t="str">
        <f>_xlfn.LET(
    _xlpm.sumValue, SUMIFS(
        PNS_data[Value],
        PNS_data[Country], FR_data[[#This Row],[Country]],
        PNS_data[National Society name], selected,
        PNS_data[Attribute], "EFs",
        PNS_data[Year], "2027"
    ),
    IF(_xlpm.sumValue = 0, "", _xlpm.sumValue)
)</f>
        <v/>
      </c>
      <c r="R28" s="32" t="str">
        <f>IF(SUM(FR_data[[#This Row],[Response - Disasters and Crises ]:[Enabling Functions ]])=0,"",SUM(FR_data[[#This Row],[Response - Disasters and Crises ]:[Enabling Functions ]]))</f>
        <v/>
      </c>
      <c r="S28" s="39"/>
      <c r="T28" s="30" t="str">
        <f>_xlfn.LET(
    _xlpm.sumValue, SUMIFS(
        PNS_data[Value],
        PNS_data[Country], FR_data[[#This Row],[Country]],
        PNS_data[National Society name], selected,
        PNS_data[Attribute], "SP1",
        PNS_data[Year], "2028"
    ),
    IF(_xlpm.sumValue = 0, "", _xlpm.sumValue)
)</f>
        <v/>
      </c>
      <c r="U28" s="31" t="str">
        <f>_xlfn.LET(
    _xlpm.sumValue, SUMIFS(
        PNS_data[Value],
        PNS_data[Country], FR_data[[#This Row],[Country]],
        PNS_data[National Society name], selected,
        PNS_data[Attribute], "SP2",
        PNS_data[Year], "2028"
    ),
    IF(_xlpm.sumValue = 0, "", _xlpm.sumValue)
)</f>
        <v/>
      </c>
      <c r="V28" s="31" t="str">
        <f>_xlfn.LET(
    _xlpm.sumValue, SUMIFS(
        PNS_data[Value],
        PNS_data[Country], FR_data[[#This Row],[Country]],
        PNS_data[National Society name], selected,
        PNS_data[Attribute], "SP3",
        PNS_data[Year], "2028"
    ),
    IF(_xlpm.sumValue = 0, "", _xlpm.sumValue)
)</f>
        <v/>
      </c>
      <c r="W28" s="31" t="str">
        <f>_xlfn.LET(
    _xlpm.sumValue, SUMIFS(
        PNS_data[Value],
        PNS_data[Country], FR_data[[#This Row],[Country]],
        PNS_data[National Society name], selected,
        PNS_data[Attribute], "SP4",
        PNS_data[Year], "2028"
    ),
    IF(_xlpm.sumValue = 0, "", _xlpm.sumValue)
)</f>
        <v/>
      </c>
      <c r="X28" s="31" t="str">
        <f>_xlfn.LET(
    _xlpm.sumValue, SUMIFS(
        PNS_data[Value],
        PNS_data[Country], FR_data[[#This Row],[Country]],
        PNS_data[National Society name], selected,
        PNS_data[Attribute], "SP5",
        PNS_data[Year], "2028"
    ),
    IF(_xlpm.sumValue = 0, "", _xlpm.sumValue)
)</f>
        <v/>
      </c>
      <c r="Y28" s="31" t="str">
        <f>_xlfn.LET(
    _xlpm.sumValue, SUMIFS(
        PNS_data[Value],
        PNS_data[Country], FR_data[[#This Row],[Country]],
        PNS_data[National Society name], selected,
        PNS_data[Attribute], "EFs",
        PNS_data[Year], "2028"
    ),
    IF(_xlpm.sumValue = 0, "", _xlpm.sumValue)
)</f>
        <v/>
      </c>
      <c r="Z28" s="32" t="str">
        <f>IF(SUM(FR_data[[#This Row],[Response - Disasters and Crises  ]:[Enabling Functions  ]])=0,"",SUM(FR_data[[#This Row],[Response - Disasters and Crises  ]:[Enabling Functions  ]]))</f>
        <v/>
      </c>
      <c r="AA28" s="41"/>
    </row>
    <row r="29" spans="1:27" x14ac:dyDescent="0.3">
      <c r="A29" s="11" t="s">
        <v>202</v>
      </c>
      <c r="B29" s="11" t="s">
        <v>109</v>
      </c>
      <c r="C29" s="11" t="s">
        <v>203</v>
      </c>
      <c r="D29" s="30" t="str">
        <f>_xlfn.LET(
    _xlpm.sumValue, SUMIFS(
        PNS_data[Value],
        PNS_data[Country], FR_data[[#This Row],[Country]],
        PNS_data[National Society name], selected,
        PNS_data[Attribute], "SP1",
        PNS_data[Year], "2026"
    ),
    IF(_xlpm.sumValue = 0, "", _xlpm.sumValue)
)</f>
        <v/>
      </c>
      <c r="E29" s="31" t="str">
        <f>_xlfn.LET(
    _xlpm.sumValue, SUMIFS(
        PNS_data[Value],
        PNS_data[Country], FR_data[[#This Row],[Country]],
        PNS_data[National Society name], selected,
        PNS_data[Attribute], "SP2",
        PNS_data[Year], "2026"
    ),
    IF(_xlpm.sumValue = 0, "", _xlpm.sumValue)
)</f>
        <v/>
      </c>
      <c r="F29" s="31" t="str">
        <f>_xlfn.LET(
    _xlpm.sumValue, SUMIFS(
        PNS_data[Value],
        PNS_data[Country], FR_data[[#This Row],[Country]],
        PNS_data[National Society name], selected,
        PNS_data[Attribute], "SP3",
        PNS_data[Year], "2026"
    ),
    IF(_xlpm.sumValue = 0, "", _xlpm.sumValue)
)</f>
        <v/>
      </c>
      <c r="G29" s="31" t="str">
        <f>_xlfn.LET(
    _xlpm.sumValue, SUMIFS(
        PNS_data[Value],
        PNS_data[Country], FR_data[[#This Row],[Country]],
        PNS_data[National Society name], selected,
        PNS_data[Attribute], "SP4",
        PNS_data[Year], "2026"
    ),
    IF(_xlpm.sumValue = 0, "", _xlpm.sumValue)
)</f>
        <v/>
      </c>
      <c r="H29" s="31" t="str">
        <f>_xlfn.LET(
    _xlpm.sumValue, SUMIFS(
        PNS_data[Value],
        PNS_data[Country], FR_data[[#This Row],[Country]],
        PNS_data[National Society name], selected,
        PNS_data[Attribute], "SP5",
        PNS_data[Year], "2026"
    ),
    IF(_xlpm.sumValue = 0, "", _xlpm.sumValue)
)</f>
        <v/>
      </c>
      <c r="I29" s="31" t="str">
        <f>_xlfn.LET(
    _xlpm.sumValue, SUMIFS(
        PNS_data[Value],
        PNS_data[Country], FR_data[[#This Row],[Country]],
        PNS_data[National Society name], selected,
        PNS_data[Attribute], "EFs",
        PNS_data[Year], "2026"
    ),
    IF(_xlpm.sumValue = 0, "", _xlpm.sumValue)
)</f>
        <v/>
      </c>
      <c r="J29" s="32" t="str">
        <f>IF(SUM(FR_data[[#This Row],[Response - Disasters and Crises]:[Enabling Functions]])=0,"",SUM(FR_data[[#This Row],[Response - Disasters and Crises]:[Enabling Functions]]))</f>
        <v/>
      </c>
      <c r="K29" s="39"/>
      <c r="L29" s="30" t="str">
        <f>_xlfn.LET(
    _xlpm.sumValue, SUMIFS(
        PNS_data[Value],
        PNS_data[Country], FR_data[[#This Row],[Country]],
        PNS_data[National Society name], selected,
        PNS_data[Attribute], "SP1",
        PNS_data[Year], "2027"
    ),
    IF(_xlpm.sumValue = 0, "", _xlpm.sumValue)
)</f>
        <v/>
      </c>
      <c r="M29" s="31" t="str">
        <f>_xlfn.LET(
    _xlpm.sumValue, SUMIFS(
        PNS_data[Value],
        PNS_data[Country], FR_data[[#This Row],[Country]],
        PNS_data[National Society name], selected,
        PNS_data[Attribute], "SP2",
        PNS_data[Year], "2027"
    ),
    IF(_xlpm.sumValue = 0, "", _xlpm.sumValue)
)</f>
        <v/>
      </c>
      <c r="N29" s="31" t="str">
        <f>_xlfn.LET(
    _xlpm.sumValue, SUMIFS(
        PNS_data[Value],
        PNS_data[Country], FR_data[[#This Row],[Country]],
        PNS_data[National Society name], selected,
        PNS_data[Attribute], "SP3",
        PNS_data[Year], "2027"
    ),
    IF(_xlpm.sumValue = 0, "", _xlpm.sumValue)
)</f>
        <v/>
      </c>
      <c r="O29" s="31" t="str">
        <f>_xlfn.LET(
    _xlpm.sumValue, SUMIFS(
        PNS_data[Value],
        PNS_data[Country], FR_data[[#This Row],[Country]],
        PNS_data[National Society name], selected,
        PNS_data[Attribute], "SP4",
        PNS_data[Year], "2027"
    ),
    IF(_xlpm.sumValue = 0, "", _xlpm.sumValue)
)</f>
        <v/>
      </c>
      <c r="P29" s="31" t="str">
        <f>_xlfn.LET(
    _xlpm.sumValue, SUMIFS(
        PNS_data[Value],
        PNS_data[Country], FR_data[[#This Row],[Country]],
        PNS_data[National Society name], selected,
        PNS_data[Attribute], "SP5",
        PNS_data[Year], "2027"
    ),
    IF(_xlpm.sumValue = 0, "", _xlpm.sumValue)
)</f>
        <v/>
      </c>
      <c r="Q29" s="31" t="str">
        <f>_xlfn.LET(
    _xlpm.sumValue, SUMIFS(
        PNS_data[Value],
        PNS_data[Country], FR_data[[#This Row],[Country]],
        PNS_data[National Society name], selected,
        PNS_data[Attribute], "EFs",
        PNS_data[Year], "2027"
    ),
    IF(_xlpm.sumValue = 0, "", _xlpm.sumValue)
)</f>
        <v/>
      </c>
      <c r="R29" s="32" t="str">
        <f>IF(SUM(FR_data[[#This Row],[Response - Disasters and Crises ]:[Enabling Functions ]])=0,"",SUM(FR_data[[#This Row],[Response - Disasters and Crises ]:[Enabling Functions ]]))</f>
        <v/>
      </c>
      <c r="S29" s="39"/>
      <c r="T29" s="30" t="str">
        <f>_xlfn.LET(
    _xlpm.sumValue, SUMIFS(
        PNS_data[Value],
        PNS_data[Country], FR_data[[#This Row],[Country]],
        PNS_data[National Society name], selected,
        PNS_data[Attribute], "SP1",
        PNS_data[Year], "2028"
    ),
    IF(_xlpm.sumValue = 0, "", _xlpm.sumValue)
)</f>
        <v/>
      </c>
      <c r="U29" s="31" t="str">
        <f>_xlfn.LET(
    _xlpm.sumValue, SUMIFS(
        PNS_data[Value],
        PNS_data[Country], FR_data[[#This Row],[Country]],
        PNS_data[National Society name], selected,
        PNS_data[Attribute], "SP2",
        PNS_data[Year], "2028"
    ),
    IF(_xlpm.sumValue = 0, "", _xlpm.sumValue)
)</f>
        <v/>
      </c>
      <c r="V29" s="31" t="str">
        <f>_xlfn.LET(
    _xlpm.sumValue, SUMIFS(
        PNS_data[Value],
        PNS_data[Country], FR_data[[#This Row],[Country]],
        PNS_data[National Society name], selected,
        PNS_data[Attribute], "SP3",
        PNS_data[Year], "2028"
    ),
    IF(_xlpm.sumValue = 0, "", _xlpm.sumValue)
)</f>
        <v/>
      </c>
      <c r="W29" s="31" t="str">
        <f>_xlfn.LET(
    _xlpm.sumValue, SUMIFS(
        PNS_data[Value],
        PNS_data[Country], FR_data[[#This Row],[Country]],
        PNS_data[National Society name], selected,
        PNS_data[Attribute], "SP4",
        PNS_data[Year], "2028"
    ),
    IF(_xlpm.sumValue = 0, "", _xlpm.sumValue)
)</f>
        <v/>
      </c>
      <c r="X29" s="31" t="str">
        <f>_xlfn.LET(
    _xlpm.sumValue, SUMIFS(
        PNS_data[Value],
        PNS_data[Country], FR_data[[#This Row],[Country]],
        PNS_data[National Society name], selected,
        PNS_data[Attribute], "SP5",
        PNS_data[Year], "2028"
    ),
    IF(_xlpm.sumValue = 0, "", _xlpm.sumValue)
)</f>
        <v/>
      </c>
      <c r="Y29" s="31" t="str">
        <f>_xlfn.LET(
    _xlpm.sumValue, SUMIFS(
        PNS_data[Value],
        PNS_data[Country], FR_data[[#This Row],[Country]],
        PNS_data[National Society name], selected,
        PNS_data[Attribute], "EFs",
        PNS_data[Year], "2028"
    ),
    IF(_xlpm.sumValue = 0, "", _xlpm.sumValue)
)</f>
        <v/>
      </c>
      <c r="Z29" s="32" t="str">
        <f>IF(SUM(FR_data[[#This Row],[Response - Disasters and Crises  ]:[Enabling Functions  ]])=0,"",SUM(FR_data[[#This Row],[Response - Disasters and Crises  ]:[Enabling Functions  ]]))</f>
        <v/>
      </c>
      <c r="AA29" s="41"/>
    </row>
    <row r="30" spans="1:27" x14ac:dyDescent="0.3">
      <c r="A30" s="11" t="s">
        <v>237</v>
      </c>
      <c r="B30" s="11" t="s">
        <v>109</v>
      </c>
      <c r="C30" s="11" t="s">
        <v>238</v>
      </c>
      <c r="D30" s="30" t="str">
        <f>_xlfn.LET(
    _xlpm.sumValue, SUMIFS(
        PNS_data[Value],
        PNS_data[Country], FR_data[[#This Row],[Country]],
        PNS_data[National Society name], selected,
        PNS_data[Attribute], "SP1",
        PNS_data[Year], "2026"
    ),
    IF(_xlpm.sumValue = 0, "", _xlpm.sumValue)
)</f>
        <v/>
      </c>
      <c r="E30" s="31" t="str">
        <f>_xlfn.LET(
    _xlpm.sumValue, SUMIFS(
        PNS_data[Value],
        PNS_data[Country], FR_data[[#This Row],[Country]],
        PNS_data[National Society name], selected,
        PNS_data[Attribute], "SP2",
        PNS_data[Year], "2026"
    ),
    IF(_xlpm.sumValue = 0, "", _xlpm.sumValue)
)</f>
        <v/>
      </c>
      <c r="F30" s="31" t="str">
        <f>_xlfn.LET(
    _xlpm.sumValue, SUMIFS(
        PNS_data[Value],
        PNS_data[Country], FR_data[[#This Row],[Country]],
        PNS_data[National Society name], selected,
        PNS_data[Attribute], "SP3",
        PNS_data[Year], "2026"
    ),
    IF(_xlpm.sumValue = 0, "", _xlpm.sumValue)
)</f>
        <v/>
      </c>
      <c r="G30" s="31" t="str">
        <f>_xlfn.LET(
    _xlpm.sumValue, SUMIFS(
        PNS_data[Value],
        PNS_data[Country], FR_data[[#This Row],[Country]],
        PNS_data[National Society name], selected,
        PNS_data[Attribute], "SP4",
        PNS_data[Year], "2026"
    ),
    IF(_xlpm.sumValue = 0, "", _xlpm.sumValue)
)</f>
        <v/>
      </c>
      <c r="H30" s="31" t="str">
        <f>_xlfn.LET(
    _xlpm.sumValue, SUMIFS(
        PNS_data[Value],
        PNS_data[Country], FR_data[[#This Row],[Country]],
        PNS_data[National Society name], selected,
        PNS_data[Attribute], "SP5",
        PNS_data[Year], "2026"
    ),
    IF(_xlpm.sumValue = 0, "", _xlpm.sumValue)
)</f>
        <v/>
      </c>
      <c r="I30" s="31" t="str">
        <f>_xlfn.LET(
    _xlpm.sumValue, SUMIFS(
        PNS_data[Value],
        PNS_data[Country], FR_data[[#This Row],[Country]],
        PNS_data[National Society name], selected,
        PNS_data[Attribute], "EFs",
        PNS_data[Year], "2026"
    ),
    IF(_xlpm.sumValue = 0, "", _xlpm.sumValue)
)</f>
        <v/>
      </c>
      <c r="J30" s="32" t="str">
        <f>IF(SUM(FR_data[[#This Row],[Response - Disasters and Crises]:[Enabling Functions]])=0,"",SUM(FR_data[[#This Row],[Response - Disasters and Crises]:[Enabling Functions]]))</f>
        <v/>
      </c>
      <c r="K30" s="39"/>
      <c r="L30" s="30" t="str">
        <f>_xlfn.LET(
    _xlpm.sumValue, SUMIFS(
        PNS_data[Value],
        PNS_data[Country], FR_data[[#This Row],[Country]],
        PNS_data[National Society name], selected,
        PNS_data[Attribute], "SP1",
        PNS_data[Year], "2027"
    ),
    IF(_xlpm.sumValue = 0, "", _xlpm.sumValue)
)</f>
        <v/>
      </c>
      <c r="M30" s="31" t="str">
        <f>_xlfn.LET(
    _xlpm.sumValue, SUMIFS(
        PNS_data[Value],
        PNS_data[Country], FR_data[[#This Row],[Country]],
        PNS_data[National Society name], selected,
        PNS_data[Attribute], "SP2",
        PNS_data[Year], "2027"
    ),
    IF(_xlpm.sumValue = 0, "", _xlpm.sumValue)
)</f>
        <v/>
      </c>
      <c r="N30" s="31" t="str">
        <f>_xlfn.LET(
    _xlpm.sumValue, SUMIFS(
        PNS_data[Value],
        PNS_data[Country], FR_data[[#This Row],[Country]],
        PNS_data[National Society name], selected,
        PNS_data[Attribute], "SP3",
        PNS_data[Year], "2027"
    ),
    IF(_xlpm.sumValue = 0, "", _xlpm.sumValue)
)</f>
        <v/>
      </c>
      <c r="O30" s="31" t="str">
        <f>_xlfn.LET(
    _xlpm.sumValue, SUMIFS(
        PNS_data[Value],
        PNS_data[Country], FR_data[[#This Row],[Country]],
        PNS_data[National Society name], selected,
        PNS_data[Attribute], "SP4",
        PNS_data[Year], "2027"
    ),
    IF(_xlpm.sumValue = 0, "", _xlpm.sumValue)
)</f>
        <v/>
      </c>
      <c r="P30" s="31" t="str">
        <f>_xlfn.LET(
    _xlpm.sumValue, SUMIFS(
        PNS_data[Value],
        PNS_data[Country], FR_data[[#This Row],[Country]],
        PNS_data[National Society name], selected,
        PNS_data[Attribute], "SP5",
        PNS_data[Year], "2027"
    ),
    IF(_xlpm.sumValue = 0, "", _xlpm.sumValue)
)</f>
        <v/>
      </c>
      <c r="Q30" s="31" t="str">
        <f>_xlfn.LET(
    _xlpm.sumValue, SUMIFS(
        PNS_data[Value],
        PNS_data[Country], FR_data[[#This Row],[Country]],
        PNS_data[National Society name], selected,
        PNS_data[Attribute], "EFs",
        PNS_data[Year], "2027"
    ),
    IF(_xlpm.sumValue = 0, "", _xlpm.sumValue)
)</f>
        <v/>
      </c>
      <c r="R30" s="32" t="str">
        <f>IF(SUM(FR_data[[#This Row],[Response - Disasters and Crises ]:[Enabling Functions ]])=0,"",SUM(FR_data[[#This Row],[Response - Disasters and Crises ]:[Enabling Functions ]]))</f>
        <v/>
      </c>
      <c r="S30" s="39"/>
      <c r="T30" s="30" t="str">
        <f>_xlfn.LET(
    _xlpm.sumValue, SUMIFS(
        PNS_data[Value],
        PNS_data[Country], FR_data[[#This Row],[Country]],
        PNS_data[National Society name], selected,
        PNS_data[Attribute], "SP1",
        PNS_data[Year], "2028"
    ),
    IF(_xlpm.sumValue = 0, "", _xlpm.sumValue)
)</f>
        <v/>
      </c>
      <c r="U30" s="31" t="str">
        <f>_xlfn.LET(
    _xlpm.sumValue, SUMIFS(
        PNS_data[Value],
        PNS_data[Country], FR_data[[#This Row],[Country]],
        PNS_data[National Society name], selected,
        PNS_data[Attribute], "SP2",
        PNS_data[Year], "2028"
    ),
    IF(_xlpm.sumValue = 0, "", _xlpm.sumValue)
)</f>
        <v/>
      </c>
      <c r="V30" s="31" t="str">
        <f>_xlfn.LET(
    _xlpm.sumValue, SUMIFS(
        PNS_data[Value],
        PNS_data[Country], FR_data[[#This Row],[Country]],
        PNS_data[National Society name], selected,
        PNS_data[Attribute], "SP3",
        PNS_data[Year], "2028"
    ),
    IF(_xlpm.sumValue = 0, "", _xlpm.sumValue)
)</f>
        <v/>
      </c>
      <c r="W30" s="31" t="str">
        <f>_xlfn.LET(
    _xlpm.sumValue, SUMIFS(
        PNS_data[Value],
        PNS_data[Country], FR_data[[#This Row],[Country]],
        PNS_data[National Society name], selected,
        PNS_data[Attribute], "SP4",
        PNS_data[Year], "2028"
    ),
    IF(_xlpm.sumValue = 0, "", _xlpm.sumValue)
)</f>
        <v/>
      </c>
      <c r="X30" s="31" t="str">
        <f>_xlfn.LET(
    _xlpm.sumValue, SUMIFS(
        PNS_data[Value],
        PNS_data[Country], FR_data[[#This Row],[Country]],
        PNS_data[National Society name], selected,
        PNS_data[Attribute], "SP5",
        PNS_data[Year], "2028"
    ),
    IF(_xlpm.sumValue = 0, "", _xlpm.sumValue)
)</f>
        <v/>
      </c>
      <c r="Y30" s="31" t="str">
        <f>_xlfn.LET(
    _xlpm.sumValue, SUMIFS(
        PNS_data[Value],
        PNS_data[Country], FR_data[[#This Row],[Country]],
        PNS_data[National Society name], selected,
        PNS_data[Attribute], "EFs",
        PNS_data[Year], "2028"
    ),
    IF(_xlpm.sumValue = 0, "", _xlpm.sumValue)
)</f>
        <v/>
      </c>
      <c r="Z30" s="32" t="str">
        <f>IF(SUM(FR_data[[#This Row],[Response - Disasters and Crises  ]:[Enabling Functions  ]])=0,"",SUM(FR_data[[#This Row],[Response - Disasters and Crises  ]:[Enabling Functions  ]]))</f>
        <v/>
      </c>
      <c r="AA30" s="41"/>
    </row>
    <row r="31" spans="1:27" x14ac:dyDescent="0.3">
      <c r="A31" s="11" t="s">
        <v>208</v>
      </c>
      <c r="B31" s="11" t="s">
        <v>109</v>
      </c>
      <c r="C31" s="11" t="s">
        <v>209</v>
      </c>
      <c r="D31" s="30" t="str">
        <f>_xlfn.LET(
    _xlpm.sumValue, SUMIFS(
        PNS_data[Value],
        PNS_data[Country], FR_data[[#This Row],[Country]],
        PNS_data[National Society name], selected,
        PNS_data[Attribute], "SP1",
        PNS_data[Year], "2026"
    ),
    IF(_xlpm.sumValue = 0, "", _xlpm.sumValue)
)</f>
        <v/>
      </c>
      <c r="E31" s="31" t="str">
        <f>_xlfn.LET(
    _xlpm.sumValue, SUMIFS(
        PNS_data[Value],
        PNS_data[Country], FR_data[[#This Row],[Country]],
        PNS_data[National Society name], selected,
        PNS_data[Attribute], "SP2",
        PNS_data[Year], "2026"
    ),
    IF(_xlpm.sumValue = 0, "", _xlpm.sumValue)
)</f>
        <v/>
      </c>
      <c r="F31" s="31" t="str">
        <f>_xlfn.LET(
    _xlpm.sumValue, SUMIFS(
        PNS_data[Value],
        PNS_data[Country], FR_data[[#This Row],[Country]],
        PNS_data[National Society name], selected,
        PNS_data[Attribute], "SP3",
        PNS_data[Year], "2026"
    ),
    IF(_xlpm.sumValue = 0, "", _xlpm.sumValue)
)</f>
        <v/>
      </c>
      <c r="G31" s="31" t="str">
        <f>_xlfn.LET(
    _xlpm.sumValue, SUMIFS(
        PNS_data[Value],
        PNS_data[Country], FR_data[[#This Row],[Country]],
        PNS_data[National Society name], selected,
        PNS_data[Attribute], "SP4",
        PNS_data[Year], "2026"
    ),
    IF(_xlpm.sumValue = 0, "", _xlpm.sumValue)
)</f>
        <v/>
      </c>
      <c r="H31" s="31" t="str">
        <f>_xlfn.LET(
    _xlpm.sumValue, SUMIFS(
        PNS_data[Value],
        PNS_data[Country], FR_data[[#This Row],[Country]],
        PNS_data[National Society name], selected,
        PNS_data[Attribute], "SP5",
        PNS_data[Year], "2026"
    ),
    IF(_xlpm.sumValue = 0, "", _xlpm.sumValue)
)</f>
        <v/>
      </c>
      <c r="I31" s="31" t="str">
        <f>_xlfn.LET(
    _xlpm.sumValue, SUMIFS(
        PNS_data[Value],
        PNS_data[Country], FR_data[[#This Row],[Country]],
        PNS_data[National Society name], selected,
        PNS_data[Attribute], "EFs",
        PNS_data[Year], "2026"
    ),
    IF(_xlpm.sumValue = 0, "", _xlpm.sumValue)
)</f>
        <v/>
      </c>
      <c r="J31" s="32" t="str">
        <f>IF(SUM(FR_data[[#This Row],[Response - Disasters and Crises]:[Enabling Functions]])=0,"",SUM(FR_data[[#This Row],[Response - Disasters and Crises]:[Enabling Functions]]))</f>
        <v/>
      </c>
      <c r="K31" s="39"/>
      <c r="L31" s="30" t="str">
        <f>_xlfn.LET(
    _xlpm.sumValue, SUMIFS(
        PNS_data[Value],
        PNS_data[Country], FR_data[[#This Row],[Country]],
        PNS_data[National Society name], selected,
        PNS_data[Attribute], "SP1",
        PNS_data[Year], "2027"
    ),
    IF(_xlpm.sumValue = 0, "", _xlpm.sumValue)
)</f>
        <v/>
      </c>
      <c r="M31" s="31" t="str">
        <f>_xlfn.LET(
    _xlpm.sumValue, SUMIFS(
        PNS_data[Value],
        PNS_data[Country], FR_data[[#This Row],[Country]],
        PNS_data[National Society name], selected,
        PNS_data[Attribute], "SP2",
        PNS_data[Year], "2027"
    ),
    IF(_xlpm.sumValue = 0, "", _xlpm.sumValue)
)</f>
        <v/>
      </c>
      <c r="N31" s="31" t="str">
        <f>_xlfn.LET(
    _xlpm.sumValue, SUMIFS(
        PNS_data[Value],
        PNS_data[Country], FR_data[[#This Row],[Country]],
        PNS_data[National Society name], selected,
        PNS_data[Attribute], "SP3",
        PNS_data[Year], "2027"
    ),
    IF(_xlpm.sumValue = 0, "", _xlpm.sumValue)
)</f>
        <v/>
      </c>
      <c r="O31" s="31" t="str">
        <f>_xlfn.LET(
    _xlpm.sumValue, SUMIFS(
        PNS_data[Value],
        PNS_data[Country], FR_data[[#This Row],[Country]],
        PNS_data[National Society name], selected,
        PNS_data[Attribute], "SP4",
        PNS_data[Year], "2027"
    ),
    IF(_xlpm.sumValue = 0, "", _xlpm.sumValue)
)</f>
        <v/>
      </c>
      <c r="P31" s="31" t="str">
        <f>_xlfn.LET(
    _xlpm.sumValue, SUMIFS(
        PNS_data[Value],
        PNS_data[Country], FR_data[[#This Row],[Country]],
        PNS_data[National Society name], selected,
        PNS_data[Attribute], "SP5",
        PNS_data[Year], "2027"
    ),
    IF(_xlpm.sumValue = 0, "", _xlpm.sumValue)
)</f>
        <v/>
      </c>
      <c r="Q31" s="31" t="str">
        <f>_xlfn.LET(
    _xlpm.sumValue, SUMIFS(
        PNS_data[Value],
        PNS_data[Country], FR_data[[#This Row],[Country]],
        PNS_data[National Society name], selected,
        PNS_data[Attribute], "EFs",
        PNS_data[Year], "2027"
    ),
    IF(_xlpm.sumValue = 0, "", _xlpm.sumValue)
)</f>
        <v/>
      </c>
      <c r="R31" s="32" t="str">
        <f>IF(SUM(FR_data[[#This Row],[Response - Disasters and Crises ]:[Enabling Functions ]])=0,"",SUM(FR_data[[#This Row],[Response - Disasters and Crises ]:[Enabling Functions ]]))</f>
        <v/>
      </c>
      <c r="S31" s="39"/>
      <c r="T31" s="30" t="str">
        <f>_xlfn.LET(
    _xlpm.sumValue, SUMIFS(
        PNS_data[Value],
        PNS_data[Country], FR_data[[#This Row],[Country]],
        PNS_data[National Society name], selected,
        PNS_data[Attribute], "SP1",
        PNS_data[Year], "2028"
    ),
    IF(_xlpm.sumValue = 0, "", _xlpm.sumValue)
)</f>
        <v/>
      </c>
      <c r="U31" s="31" t="str">
        <f>_xlfn.LET(
    _xlpm.sumValue, SUMIFS(
        PNS_data[Value],
        PNS_data[Country], FR_data[[#This Row],[Country]],
        PNS_data[National Society name], selected,
        PNS_data[Attribute], "SP2",
        PNS_data[Year], "2028"
    ),
    IF(_xlpm.sumValue = 0, "", _xlpm.sumValue)
)</f>
        <v/>
      </c>
      <c r="V31" s="31" t="str">
        <f>_xlfn.LET(
    _xlpm.sumValue, SUMIFS(
        PNS_data[Value],
        PNS_data[Country], FR_data[[#This Row],[Country]],
        PNS_data[National Society name], selected,
        PNS_data[Attribute], "SP3",
        PNS_data[Year], "2028"
    ),
    IF(_xlpm.sumValue = 0, "", _xlpm.sumValue)
)</f>
        <v/>
      </c>
      <c r="W31" s="31" t="str">
        <f>_xlfn.LET(
    _xlpm.sumValue, SUMIFS(
        PNS_data[Value],
        PNS_data[Country], FR_data[[#This Row],[Country]],
        PNS_data[National Society name], selected,
        PNS_data[Attribute], "SP4",
        PNS_data[Year], "2028"
    ),
    IF(_xlpm.sumValue = 0, "", _xlpm.sumValue)
)</f>
        <v/>
      </c>
      <c r="X31" s="31" t="str">
        <f>_xlfn.LET(
    _xlpm.sumValue, SUMIFS(
        PNS_data[Value],
        PNS_data[Country], FR_data[[#This Row],[Country]],
        PNS_data[National Society name], selected,
        PNS_data[Attribute], "SP5",
        PNS_data[Year], "2028"
    ),
    IF(_xlpm.sumValue = 0, "", _xlpm.sumValue)
)</f>
        <v/>
      </c>
      <c r="Y31" s="31" t="str">
        <f>_xlfn.LET(
    _xlpm.sumValue, SUMIFS(
        PNS_data[Value],
        PNS_data[Country], FR_data[[#This Row],[Country]],
        PNS_data[National Society name], selected,
        PNS_data[Attribute], "EFs",
        PNS_data[Year], "2028"
    ),
    IF(_xlpm.sumValue = 0, "", _xlpm.sumValue)
)</f>
        <v/>
      </c>
      <c r="Z31" s="32" t="str">
        <f>IF(SUM(FR_data[[#This Row],[Response - Disasters and Crises  ]:[Enabling Functions  ]])=0,"",SUM(FR_data[[#This Row],[Response - Disasters and Crises  ]:[Enabling Functions  ]]))</f>
        <v/>
      </c>
      <c r="AA31" s="41"/>
    </row>
    <row r="32" spans="1:27" x14ac:dyDescent="0.3">
      <c r="A32" s="11" t="s">
        <v>247</v>
      </c>
      <c r="B32" s="11" t="s">
        <v>109</v>
      </c>
      <c r="C32" s="11" t="s">
        <v>248</v>
      </c>
      <c r="D32" s="30" t="str">
        <f>_xlfn.LET(
    _xlpm.sumValue, SUMIFS(
        PNS_data[Value],
        PNS_data[Country], FR_data[[#This Row],[Country]],
        PNS_data[National Society name], selected,
        PNS_data[Attribute], "SP1",
        PNS_data[Year], "2026"
    ),
    IF(_xlpm.sumValue = 0, "", _xlpm.sumValue)
)</f>
        <v/>
      </c>
      <c r="E32" s="31" t="str">
        <f>_xlfn.LET(
    _xlpm.sumValue, SUMIFS(
        PNS_data[Value],
        PNS_data[Country], FR_data[[#This Row],[Country]],
        PNS_data[National Society name], selected,
        PNS_data[Attribute], "SP2",
        PNS_data[Year], "2026"
    ),
    IF(_xlpm.sumValue = 0, "", _xlpm.sumValue)
)</f>
        <v/>
      </c>
      <c r="F32" s="31" t="str">
        <f>_xlfn.LET(
    _xlpm.sumValue, SUMIFS(
        PNS_data[Value],
        PNS_data[Country], FR_data[[#This Row],[Country]],
        PNS_data[National Society name], selected,
        PNS_data[Attribute], "SP3",
        PNS_data[Year], "2026"
    ),
    IF(_xlpm.sumValue = 0, "", _xlpm.sumValue)
)</f>
        <v/>
      </c>
      <c r="G32" s="31" t="str">
        <f>_xlfn.LET(
    _xlpm.sumValue, SUMIFS(
        PNS_data[Value],
        PNS_data[Country], FR_data[[#This Row],[Country]],
        PNS_data[National Society name], selected,
        PNS_data[Attribute], "SP4",
        PNS_data[Year], "2026"
    ),
    IF(_xlpm.sumValue = 0, "", _xlpm.sumValue)
)</f>
        <v/>
      </c>
      <c r="H32" s="31" t="str">
        <f>_xlfn.LET(
    _xlpm.sumValue, SUMIFS(
        PNS_data[Value],
        PNS_data[Country], FR_data[[#This Row],[Country]],
        PNS_data[National Society name], selected,
        PNS_data[Attribute], "SP5",
        PNS_data[Year], "2026"
    ),
    IF(_xlpm.sumValue = 0, "", _xlpm.sumValue)
)</f>
        <v/>
      </c>
      <c r="I32" s="31" t="str">
        <f>_xlfn.LET(
    _xlpm.sumValue, SUMIFS(
        PNS_data[Value],
        PNS_data[Country], FR_data[[#This Row],[Country]],
        PNS_data[National Society name], selected,
        PNS_data[Attribute], "EFs",
        PNS_data[Year], "2026"
    ),
    IF(_xlpm.sumValue = 0, "", _xlpm.sumValue)
)</f>
        <v/>
      </c>
      <c r="J32" s="32" t="str">
        <f>IF(SUM(FR_data[[#This Row],[Response - Disasters and Crises]:[Enabling Functions]])=0,"",SUM(FR_data[[#This Row],[Response - Disasters and Crises]:[Enabling Functions]]))</f>
        <v/>
      </c>
      <c r="K32" s="39"/>
      <c r="L32" s="30" t="str">
        <f>_xlfn.LET(
    _xlpm.sumValue, SUMIFS(
        PNS_data[Value],
        PNS_data[Country], FR_data[[#This Row],[Country]],
        PNS_data[National Society name], selected,
        PNS_data[Attribute], "SP1",
        PNS_data[Year], "2027"
    ),
    IF(_xlpm.sumValue = 0, "", _xlpm.sumValue)
)</f>
        <v/>
      </c>
      <c r="M32" s="31" t="str">
        <f>_xlfn.LET(
    _xlpm.sumValue, SUMIFS(
        PNS_data[Value],
        PNS_data[Country], FR_data[[#This Row],[Country]],
        PNS_data[National Society name], selected,
        PNS_data[Attribute], "SP2",
        PNS_data[Year], "2027"
    ),
    IF(_xlpm.sumValue = 0, "", _xlpm.sumValue)
)</f>
        <v/>
      </c>
      <c r="N32" s="31" t="str">
        <f>_xlfn.LET(
    _xlpm.sumValue, SUMIFS(
        PNS_data[Value],
        PNS_data[Country], FR_data[[#This Row],[Country]],
        PNS_data[National Society name], selected,
        PNS_data[Attribute], "SP3",
        PNS_data[Year], "2027"
    ),
    IF(_xlpm.sumValue = 0, "", _xlpm.sumValue)
)</f>
        <v/>
      </c>
      <c r="O32" s="31" t="str">
        <f>_xlfn.LET(
    _xlpm.sumValue, SUMIFS(
        PNS_data[Value],
        PNS_data[Country], FR_data[[#This Row],[Country]],
        PNS_data[National Society name], selected,
        PNS_data[Attribute], "SP4",
        PNS_data[Year], "2027"
    ),
    IF(_xlpm.sumValue = 0, "", _xlpm.sumValue)
)</f>
        <v/>
      </c>
      <c r="P32" s="31" t="str">
        <f>_xlfn.LET(
    _xlpm.sumValue, SUMIFS(
        PNS_data[Value],
        PNS_data[Country], FR_data[[#This Row],[Country]],
        PNS_data[National Society name], selected,
        PNS_data[Attribute], "SP5",
        PNS_data[Year], "2027"
    ),
    IF(_xlpm.sumValue = 0, "", _xlpm.sumValue)
)</f>
        <v/>
      </c>
      <c r="Q32" s="31" t="str">
        <f>_xlfn.LET(
    _xlpm.sumValue, SUMIFS(
        PNS_data[Value],
        PNS_data[Country], FR_data[[#This Row],[Country]],
        PNS_data[National Society name], selected,
        PNS_data[Attribute], "EFs",
        PNS_data[Year], "2027"
    ),
    IF(_xlpm.sumValue = 0, "", _xlpm.sumValue)
)</f>
        <v/>
      </c>
      <c r="R32" s="32" t="str">
        <f>IF(SUM(FR_data[[#This Row],[Response - Disasters and Crises ]:[Enabling Functions ]])=0,"",SUM(FR_data[[#This Row],[Response - Disasters and Crises ]:[Enabling Functions ]]))</f>
        <v/>
      </c>
      <c r="S32" s="39"/>
      <c r="T32" s="30" t="str">
        <f>_xlfn.LET(
    _xlpm.sumValue, SUMIFS(
        PNS_data[Value],
        PNS_data[Country], FR_data[[#This Row],[Country]],
        PNS_data[National Society name], selected,
        PNS_data[Attribute], "SP1",
        PNS_data[Year], "2028"
    ),
    IF(_xlpm.sumValue = 0, "", _xlpm.sumValue)
)</f>
        <v/>
      </c>
      <c r="U32" s="31" t="str">
        <f>_xlfn.LET(
    _xlpm.sumValue, SUMIFS(
        PNS_data[Value],
        PNS_data[Country], FR_data[[#This Row],[Country]],
        PNS_data[National Society name], selected,
        PNS_data[Attribute], "SP2",
        PNS_data[Year], "2028"
    ),
    IF(_xlpm.sumValue = 0, "", _xlpm.sumValue)
)</f>
        <v/>
      </c>
      <c r="V32" s="31" t="str">
        <f>_xlfn.LET(
    _xlpm.sumValue, SUMIFS(
        PNS_data[Value],
        PNS_data[Country], FR_data[[#This Row],[Country]],
        PNS_data[National Society name], selected,
        PNS_data[Attribute], "SP3",
        PNS_data[Year], "2028"
    ),
    IF(_xlpm.sumValue = 0, "", _xlpm.sumValue)
)</f>
        <v/>
      </c>
      <c r="W32" s="31" t="str">
        <f>_xlfn.LET(
    _xlpm.sumValue, SUMIFS(
        PNS_data[Value],
        PNS_data[Country], FR_data[[#This Row],[Country]],
        PNS_data[National Society name], selected,
        PNS_data[Attribute], "SP4",
        PNS_data[Year], "2028"
    ),
    IF(_xlpm.sumValue = 0, "", _xlpm.sumValue)
)</f>
        <v/>
      </c>
      <c r="X32" s="31" t="str">
        <f>_xlfn.LET(
    _xlpm.sumValue, SUMIFS(
        PNS_data[Value],
        PNS_data[Country], FR_data[[#This Row],[Country]],
        PNS_data[National Society name], selected,
        PNS_data[Attribute], "SP5",
        PNS_data[Year], "2028"
    ),
    IF(_xlpm.sumValue = 0, "", _xlpm.sumValue)
)</f>
        <v/>
      </c>
      <c r="Y32" s="31" t="str">
        <f>_xlfn.LET(
    _xlpm.sumValue, SUMIFS(
        PNS_data[Value],
        PNS_data[Country], FR_data[[#This Row],[Country]],
        PNS_data[National Society name], selected,
        PNS_data[Attribute], "EFs",
        PNS_data[Year], "2028"
    ),
    IF(_xlpm.sumValue = 0, "", _xlpm.sumValue)
)</f>
        <v/>
      </c>
      <c r="Z32" s="32" t="str">
        <f>IF(SUM(FR_data[[#This Row],[Response - Disasters and Crises  ]:[Enabling Functions  ]])=0,"",SUM(FR_data[[#This Row],[Response - Disasters and Crises  ]:[Enabling Functions  ]]))</f>
        <v/>
      </c>
      <c r="AA32" s="41"/>
    </row>
    <row r="33" spans="1:27" x14ac:dyDescent="0.3">
      <c r="A33" s="11" t="s">
        <v>250</v>
      </c>
      <c r="B33" s="11" t="s">
        <v>109</v>
      </c>
      <c r="C33" s="11" t="s">
        <v>89</v>
      </c>
      <c r="D33" s="30" t="str">
        <f>_xlfn.LET(
    _xlpm.sumValue, SUMIFS(
        PNS_data[Value],
        PNS_data[Country], FR_data[[#This Row],[Country]],
        PNS_data[National Society name], selected,
        PNS_data[Attribute], "SP1",
        PNS_data[Year], "2026"
    ),
    IF(_xlpm.sumValue = 0, "", _xlpm.sumValue)
)</f>
        <v/>
      </c>
      <c r="E33" s="31" t="str">
        <f>_xlfn.LET(
    _xlpm.sumValue, SUMIFS(
        PNS_data[Value],
        PNS_data[Country], FR_data[[#This Row],[Country]],
        PNS_data[National Society name], selected,
        PNS_data[Attribute], "SP2",
        PNS_data[Year], "2026"
    ),
    IF(_xlpm.sumValue = 0, "", _xlpm.sumValue)
)</f>
        <v/>
      </c>
      <c r="F33" s="31" t="str">
        <f>_xlfn.LET(
    _xlpm.sumValue, SUMIFS(
        PNS_data[Value],
        PNS_data[Country], FR_data[[#This Row],[Country]],
        PNS_data[National Society name], selected,
        PNS_data[Attribute], "SP3",
        PNS_data[Year], "2026"
    ),
    IF(_xlpm.sumValue = 0, "", _xlpm.sumValue)
)</f>
        <v/>
      </c>
      <c r="G33" s="31" t="str">
        <f>_xlfn.LET(
    _xlpm.sumValue, SUMIFS(
        PNS_data[Value],
        PNS_data[Country], FR_data[[#This Row],[Country]],
        PNS_data[National Society name], selected,
        PNS_data[Attribute], "SP4",
        PNS_data[Year], "2026"
    ),
    IF(_xlpm.sumValue = 0, "", _xlpm.sumValue)
)</f>
        <v/>
      </c>
      <c r="H33" s="31" t="str">
        <f>_xlfn.LET(
    _xlpm.sumValue, SUMIFS(
        PNS_data[Value],
        PNS_data[Country], FR_data[[#This Row],[Country]],
        PNS_data[National Society name], selected,
        PNS_data[Attribute], "SP5",
        PNS_data[Year], "2026"
    ),
    IF(_xlpm.sumValue = 0, "", _xlpm.sumValue)
)</f>
        <v/>
      </c>
      <c r="I33" s="31" t="str">
        <f>_xlfn.LET(
    _xlpm.sumValue, SUMIFS(
        PNS_data[Value],
        PNS_data[Country], FR_data[[#This Row],[Country]],
        PNS_data[National Society name], selected,
        PNS_data[Attribute], "EFs",
        PNS_data[Year], "2026"
    ),
    IF(_xlpm.sumValue = 0, "", _xlpm.sumValue)
)</f>
        <v/>
      </c>
      <c r="J33" s="32" t="str">
        <f>IF(SUM(FR_data[[#This Row],[Response - Disasters and Crises]:[Enabling Functions]])=0,"",SUM(FR_data[[#This Row],[Response - Disasters and Crises]:[Enabling Functions]]))</f>
        <v/>
      </c>
      <c r="K33" s="39"/>
      <c r="L33" s="30" t="str">
        <f>_xlfn.LET(
    _xlpm.sumValue, SUMIFS(
        PNS_data[Value],
        PNS_data[Country], FR_data[[#This Row],[Country]],
        PNS_data[National Society name], selected,
        PNS_data[Attribute], "SP1",
        PNS_data[Year], "2027"
    ),
    IF(_xlpm.sumValue = 0, "", _xlpm.sumValue)
)</f>
        <v/>
      </c>
      <c r="M33" s="31" t="str">
        <f>_xlfn.LET(
    _xlpm.sumValue, SUMIFS(
        PNS_data[Value],
        PNS_data[Country], FR_data[[#This Row],[Country]],
        PNS_data[National Society name], selected,
        PNS_data[Attribute], "SP2",
        PNS_data[Year], "2027"
    ),
    IF(_xlpm.sumValue = 0, "", _xlpm.sumValue)
)</f>
        <v/>
      </c>
      <c r="N33" s="31" t="str">
        <f>_xlfn.LET(
    _xlpm.sumValue, SUMIFS(
        PNS_data[Value],
        PNS_data[Country], FR_data[[#This Row],[Country]],
        PNS_data[National Society name], selected,
        PNS_data[Attribute], "SP3",
        PNS_data[Year], "2027"
    ),
    IF(_xlpm.sumValue = 0, "", _xlpm.sumValue)
)</f>
        <v/>
      </c>
      <c r="O33" s="31" t="str">
        <f>_xlfn.LET(
    _xlpm.sumValue, SUMIFS(
        PNS_data[Value],
        PNS_data[Country], FR_data[[#This Row],[Country]],
        PNS_data[National Society name], selected,
        PNS_data[Attribute], "SP4",
        PNS_data[Year], "2027"
    ),
    IF(_xlpm.sumValue = 0, "", _xlpm.sumValue)
)</f>
        <v/>
      </c>
      <c r="P33" s="31" t="str">
        <f>_xlfn.LET(
    _xlpm.sumValue, SUMIFS(
        PNS_data[Value],
        PNS_data[Country], FR_data[[#This Row],[Country]],
        PNS_data[National Society name], selected,
        PNS_data[Attribute], "SP5",
        PNS_data[Year], "2027"
    ),
    IF(_xlpm.sumValue = 0, "", _xlpm.sumValue)
)</f>
        <v/>
      </c>
      <c r="Q33" s="31" t="str">
        <f>_xlfn.LET(
    _xlpm.sumValue, SUMIFS(
        PNS_data[Value],
        PNS_data[Country], FR_data[[#This Row],[Country]],
        PNS_data[National Society name], selected,
        PNS_data[Attribute], "EFs",
        PNS_data[Year], "2027"
    ),
    IF(_xlpm.sumValue = 0, "", _xlpm.sumValue)
)</f>
        <v/>
      </c>
      <c r="R33" s="32" t="str">
        <f>IF(SUM(FR_data[[#This Row],[Response - Disasters and Crises ]:[Enabling Functions ]])=0,"",SUM(FR_data[[#This Row],[Response - Disasters and Crises ]:[Enabling Functions ]]))</f>
        <v/>
      </c>
      <c r="S33" s="39"/>
      <c r="T33" s="30" t="str">
        <f>_xlfn.LET(
    _xlpm.sumValue, SUMIFS(
        PNS_data[Value],
        PNS_data[Country], FR_data[[#This Row],[Country]],
        PNS_data[National Society name], selected,
        PNS_data[Attribute], "SP1",
        PNS_data[Year], "2028"
    ),
    IF(_xlpm.sumValue = 0, "", _xlpm.sumValue)
)</f>
        <v/>
      </c>
      <c r="U33" s="31" t="str">
        <f>_xlfn.LET(
    _xlpm.sumValue, SUMIFS(
        PNS_data[Value],
        PNS_data[Country], FR_data[[#This Row],[Country]],
        PNS_data[National Society name], selected,
        PNS_data[Attribute], "SP2",
        PNS_data[Year], "2028"
    ),
    IF(_xlpm.sumValue = 0, "", _xlpm.sumValue)
)</f>
        <v/>
      </c>
      <c r="V33" s="31" t="str">
        <f>_xlfn.LET(
    _xlpm.sumValue, SUMIFS(
        PNS_data[Value],
        PNS_data[Country], FR_data[[#This Row],[Country]],
        PNS_data[National Society name], selected,
        PNS_data[Attribute], "SP3",
        PNS_data[Year], "2028"
    ),
    IF(_xlpm.sumValue = 0, "", _xlpm.sumValue)
)</f>
        <v/>
      </c>
      <c r="W33" s="31" t="str">
        <f>_xlfn.LET(
    _xlpm.sumValue, SUMIFS(
        PNS_data[Value],
        PNS_data[Country], FR_data[[#This Row],[Country]],
        PNS_data[National Society name], selected,
        PNS_data[Attribute], "SP4",
        PNS_data[Year], "2028"
    ),
    IF(_xlpm.sumValue = 0, "", _xlpm.sumValue)
)</f>
        <v/>
      </c>
      <c r="X33" s="31" t="str">
        <f>_xlfn.LET(
    _xlpm.sumValue, SUMIFS(
        PNS_data[Value],
        PNS_data[Country], FR_data[[#This Row],[Country]],
        PNS_data[National Society name], selected,
        PNS_data[Attribute], "SP5",
        PNS_data[Year], "2028"
    ),
    IF(_xlpm.sumValue = 0, "", _xlpm.sumValue)
)</f>
        <v/>
      </c>
      <c r="Y33" s="31" t="str">
        <f>_xlfn.LET(
    _xlpm.sumValue, SUMIFS(
        PNS_data[Value],
        PNS_data[Country], FR_data[[#This Row],[Country]],
        PNS_data[National Society name], selected,
        PNS_data[Attribute], "EFs",
        PNS_data[Year], "2028"
    ),
    IF(_xlpm.sumValue = 0, "", _xlpm.sumValue)
)</f>
        <v/>
      </c>
      <c r="Z33" s="32" t="str">
        <f>IF(SUM(FR_data[[#This Row],[Response - Disasters and Crises  ]:[Enabling Functions  ]])=0,"",SUM(FR_data[[#This Row],[Response - Disasters and Crises  ]:[Enabling Functions  ]]))</f>
        <v/>
      </c>
      <c r="AA33" s="41"/>
    </row>
    <row r="34" spans="1:27" x14ac:dyDescent="0.3">
      <c r="A34" s="11" t="s">
        <v>220</v>
      </c>
      <c r="B34" s="11" t="s">
        <v>109</v>
      </c>
      <c r="C34" s="11" t="s">
        <v>221</v>
      </c>
      <c r="D34" s="30" t="str">
        <f>_xlfn.LET(
    _xlpm.sumValue, SUMIFS(
        PNS_data[Value],
        PNS_data[Country], FR_data[[#This Row],[Country]],
        PNS_data[National Society name], selected,
        PNS_data[Attribute], "SP1",
        PNS_data[Year], "2026"
    ),
    IF(_xlpm.sumValue = 0, "", _xlpm.sumValue)
)</f>
        <v/>
      </c>
      <c r="E34" s="31" t="str">
        <f>_xlfn.LET(
    _xlpm.sumValue, SUMIFS(
        PNS_data[Value],
        PNS_data[Country], FR_data[[#This Row],[Country]],
        PNS_data[National Society name], selected,
        PNS_data[Attribute], "SP2",
        PNS_data[Year], "2026"
    ),
    IF(_xlpm.sumValue = 0, "", _xlpm.sumValue)
)</f>
        <v/>
      </c>
      <c r="F34" s="31" t="str">
        <f>_xlfn.LET(
    _xlpm.sumValue, SUMIFS(
        PNS_data[Value],
        PNS_data[Country], FR_data[[#This Row],[Country]],
        PNS_data[National Society name], selected,
        PNS_data[Attribute], "SP3",
        PNS_data[Year], "2026"
    ),
    IF(_xlpm.sumValue = 0, "", _xlpm.sumValue)
)</f>
        <v/>
      </c>
      <c r="G34" s="31" t="str">
        <f>_xlfn.LET(
    _xlpm.sumValue, SUMIFS(
        PNS_data[Value],
        PNS_data[Country], FR_data[[#This Row],[Country]],
        PNS_data[National Society name], selected,
        PNS_data[Attribute], "SP4",
        PNS_data[Year], "2026"
    ),
    IF(_xlpm.sumValue = 0, "", _xlpm.sumValue)
)</f>
        <v/>
      </c>
      <c r="H34" s="31" t="str">
        <f>_xlfn.LET(
    _xlpm.sumValue, SUMIFS(
        PNS_data[Value],
        PNS_data[Country], FR_data[[#This Row],[Country]],
        PNS_data[National Society name], selected,
        PNS_data[Attribute], "SP5",
        PNS_data[Year], "2026"
    ),
    IF(_xlpm.sumValue = 0, "", _xlpm.sumValue)
)</f>
        <v/>
      </c>
      <c r="I34" s="31" t="str">
        <f>_xlfn.LET(
    _xlpm.sumValue, SUMIFS(
        PNS_data[Value],
        PNS_data[Country], FR_data[[#This Row],[Country]],
        PNS_data[National Society name], selected,
        PNS_data[Attribute], "EFs",
        PNS_data[Year], "2026"
    ),
    IF(_xlpm.sumValue = 0, "", _xlpm.sumValue)
)</f>
        <v/>
      </c>
      <c r="J34" s="32" t="str">
        <f>IF(SUM(FR_data[[#This Row],[Response - Disasters and Crises]:[Enabling Functions]])=0,"",SUM(FR_data[[#This Row],[Response - Disasters and Crises]:[Enabling Functions]]))</f>
        <v/>
      </c>
      <c r="K34" s="39"/>
      <c r="L34" s="30" t="str">
        <f>_xlfn.LET(
    _xlpm.sumValue, SUMIFS(
        PNS_data[Value],
        PNS_data[Country], FR_data[[#This Row],[Country]],
        PNS_data[National Society name], selected,
        PNS_data[Attribute], "SP1",
        PNS_data[Year], "2027"
    ),
    IF(_xlpm.sumValue = 0, "", _xlpm.sumValue)
)</f>
        <v/>
      </c>
      <c r="M34" s="31" t="str">
        <f>_xlfn.LET(
    _xlpm.sumValue, SUMIFS(
        PNS_data[Value],
        PNS_data[Country], FR_data[[#This Row],[Country]],
        PNS_data[National Society name], selected,
        PNS_data[Attribute], "SP2",
        PNS_data[Year], "2027"
    ),
    IF(_xlpm.sumValue = 0, "", _xlpm.sumValue)
)</f>
        <v/>
      </c>
      <c r="N34" s="31" t="str">
        <f>_xlfn.LET(
    _xlpm.sumValue, SUMIFS(
        PNS_data[Value],
        PNS_data[Country], FR_data[[#This Row],[Country]],
        PNS_data[National Society name], selected,
        PNS_data[Attribute], "SP3",
        PNS_data[Year], "2027"
    ),
    IF(_xlpm.sumValue = 0, "", _xlpm.sumValue)
)</f>
        <v/>
      </c>
      <c r="O34" s="31" t="str">
        <f>_xlfn.LET(
    _xlpm.sumValue, SUMIFS(
        PNS_data[Value],
        PNS_data[Country], FR_data[[#This Row],[Country]],
        PNS_data[National Society name], selected,
        PNS_data[Attribute], "SP4",
        PNS_data[Year], "2027"
    ),
    IF(_xlpm.sumValue = 0, "", _xlpm.sumValue)
)</f>
        <v/>
      </c>
      <c r="P34" s="31" t="str">
        <f>_xlfn.LET(
    _xlpm.sumValue, SUMIFS(
        PNS_data[Value],
        PNS_data[Country], FR_data[[#This Row],[Country]],
        PNS_data[National Society name], selected,
        PNS_data[Attribute], "SP5",
        PNS_data[Year], "2027"
    ),
    IF(_xlpm.sumValue = 0, "", _xlpm.sumValue)
)</f>
        <v/>
      </c>
      <c r="Q34" s="31" t="str">
        <f>_xlfn.LET(
    _xlpm.sumValue, SUMIFS(
        PNS_data[Value],
        PNS_data[Country], FR_data[[#This Row],[Country]],
        PNS_data[National Society name], selected,
        PNS_data[Attribute], "EFs",
        PNS_data[Year], "2027"
    ),
    IF(_xlpm.sumValue = 0, "", _xlpm.sumValue)
)</f>
        <v/>
      </c>
      <c r="R34" s="32" t="str">
        <f>IF(SUM(FR_data[[#This Row],[Response - Disasters and Crises ]:[Enabling Functions ]])=0,"",SUM(FR_data[[#This Row],[Response - Disasters and Crises ]:[Enabling Functions ]]))</f>
        <v/>
      </c>
      <c r="S34" s="39"/>
      <c r="T34" s="30" t="str">
        <f>_xlfn.LET(
    _xlpm.sumValue, SUMIFS(
        PNS_data[Value],
        PNS_data[Country], FR_data[[#This Row],[Country]],
        PNS_data[National Society name], selected,
        PNS_data[Attribute], "SP1",
        PNS_data[Year], "2028"
    ),
    IF(_xlpm.sumValue = 0, "", _xlpm.sumValue)
)</f>
        <v/>
      </c>
      <c r="U34" s="31" t="str">
        <f>_xlfn.LET(
    _xlpm.sumValue, SUMIFS(
        PNS_data[Value],
        PNS_data[Country], FR_data[[#This Row],[Country]],
        PNS_data[National Society name], selected,
        PNS_data[Attribute], "SP2",
        PNS_data[Year], "2028"
    ),
    IF(_xlpm.sumValue = 0, "", _xlpm.sumValue)
)</f>
        <v/>
      </c>
      <c r="V34" s="31" t="str">
        <f>_xlfn.LET(
    _xlpm.sumValue, SUMIFS(
        PNS_data[Value],
        PNS_data[Country], FR_data[[#This Row],[Country]],
        PNS_data[National Society name], selected,
        PNS_data[Attribute], "SP3",
        PNS_data[Year], "2028"
    ),
    IF(_xlpm.sumValue = 0, "", _xlpm.sumValue)
)</f>
        <v/>
      </c>
      <c r="W34" s="31" t="str">
        <f>_xlfn.LET(
    _xlpm.sumValue, SUMIFS(
        PNS_data[Value],
        PNS_data[Country], FR_data[[#This Row],[Country]],
        PNS_data[National Society name], selected,
        PNS_data[Attribute], "SP4",
        PNS_data[Year], "2028"
    ),
    IF(_xlpm.sumValue = 0, "", _xlpm.sumValue)
)</f>
        <v/>
      </c>
      <c r="X34" s="31" t="str">
        <f>_xlfn.LET(
    _xlpm.sumValue, SUMIFS(
        PNS_data[Value],
        PNS_data[Country], FR_data[[#This Row],[Country]],
        PNS_data[National Society name], selected,
        PNS_data[Attribute], "SP5",
        PNS_data[Year], "2028"
    ),
    IF(_xlpm.sumValue = 0, "", _xlpm.sumValue)
)</f>
        <v/>
      </c>
      <c r="Y34" s="31" t="str">
        <f>_xlfn.LET(
    _xlpm.sumValue, SUMIFS(
        PNS_data[Value],
        PNS_data[Country], FR_data[[#This Row],[Country]],
        PNS_data[National Society name], selected,
        PNS_data[Attribute], "EFs",
        PNS_data[Year], "2028"
    ),
    IF(_xlpm.sumValue = 0, "", _xlpm.sumValue)
)</f>
        <v/>
      </c>
      <c r="Z34" s="32" t="str">
        <f>IF(SUM(FR_data[[#This Row],[Response - Disasters and Crises  ]:[Enabling Functions  ]])=0,"",SUM(FR_data[[#This Row],[Response - Disasters and Crises  ]:[Enabling Functions  ]]))</f>
        <v/>
      </c>
      <c r="AA34" s="41"/>
    </row>
    <row r="35" spans="1:27" x14ac:dyDescent="0.3">
      <c r="A35" s="11" t="s">
        <v>256</v>
      </c>
      <c r="B35" s="11" t="s">
        <v>109</v>
      </c>
      <c r="C35" s="11" t="s">
        <v>257</v>
      </c>
      <c r="D35" s="30" t="str">
        <f>_xlfn.LET(
    _xlpm.sumValue, SUMIFS(
        PNS_data[Value],
        PNS_data[Country], FR_data[[#This Row],[Country]],
        PNS_data[National Society name], selected,
        PNS_data[Attribute], "SP1",
        PNS_data[Year], "2026"
    ),
    IF(_xlpm.sumValue = 0, "", _xlpm.sumValue)
)</f>
        <v/>
      </c>
      <c r="E35" s="31" t="str">
        <f>_xlfn.LET(
    _xlpm.sumValue, SUMIFS(
        PNS_data[Value],
        PNS_data[Country], FR_data[[#This Row],[Country]],
        PNS_data[National Society name], selected,
        PNS_data[Attribute], "SP2",
        PNS_data[Year], "2026"
    ),
    IF(_xlpm.sumValue = 0, "", _xlpm.sumValue)
)</f>
        <v/>
      </c>
      <c r="F35" s="31" t="str">
        <f>_xlfn.LET(
    _xlpm.sumValue, SUMIFS(
        PNS_data[Value],
        PNS_data[Country], FR_data[[#This Row],[Country]],
        PNS_data[National Society name], selected,
        PNS_data[Attribute], "SP3",
        PNS_data[Year], "2026"
    ),
    IF(_xlpm.sumValue = 0, "", _xlpm.sumValue)
)</f>
        <v/>
      </c>
      <c r="G35" s="31" t="str">
        <f>_xlfn.LET(
    _xlpm.sumValue, SUMIFS(
        PNS_data[Value],
        PNS_data[Country], FR_data[[#This Row],[Country]],
        PNS_data[National Society name], selected,
        PNS_data[Attribute], "SP4",
        PNS_data[Year], "2026"
    ),
    IF(_xlpm.sumValue = 0, "", _xlpm.sumValue)
)</f>
        <v/>
      </c>
      <c r="H35" s="31" t="str">
        <f>_xlfn.LET(
    _xlpm.sumValue, SUMIFS(
        PNS_data[Value],
        PNS_data[Country], FR_data[[#This Row],[Country]],
        PNS_data[National Society name], selected,
        PNS_data[Attribute], "SP5",
        PNS_data[Year], "2026"
    ),
    IF(_xlpm.sumValue = 0, "", _xlpm.sumValue)
)</f>
        <v/>
      </c>
      <c r="I35" s="31" t="str">
        <f>_xlfn.LET(
    _xlpm.sumValue, SUMIFS(
        PNS_data[Value],
        PNS_data[Country], FR_data[[#This Row],[Country]],
        PNS_data[National Society name], selected,
        PNS_data[Attribute], "EFs",
        PNS_data[Year], "2026"
    ),
    IF(_xlpm.sumValue = 0, "", _xlpm.sumValue)
)</f>
        <v/>
      </c>
      <c r="J35" s="32" t="str">
        <f>IF(SUM(FR_data[[#This Row],[Response - Disasters and Crises]:[Enabling Functions]])=0,"",SUM(FR_data[[#This Row],[Response - Disasters and Crises]:[Enabling Functions]]))</f>
        <v/>
      </c>
      <c r="K35" s="39"/>
      <c r="L35" s="30" t="str">
        <f>_xlfn.LET(
    _xlpm.sumValue, SUMIFS(
        PNS_data[Value],
        PNS_data[Country], FR_data[[#This Row],[Country]],
        PNS_data[National Society name], selected,
        PNS_data[Attribute], "SP1",
        PNS_data[Year], "2027"
    ),
    IF(_xlpm.sumValue = 0, "", _xlpm.sumValue)
)</f>
        <v/>
      </c>
      <c r="M35" s="31" t="str">
        <f>_xlfn.LET(
    _xlpm.sumValue, SUMIFS(
        PNS_data[Value],
        PNS_data[Country], FR_data[[#This Row],[Country]],
        PNS_data[National Society name], selected,
        PNS_data[Attribute], "SP2",
        PNS_data[Year], "2027"
    ),
    IF(_xlpm.sumValue = 0, "", _xlpm.sumValue)
)</f>
        <v/>
      </c>
      <c r="N35" s="31" t="str">
        <f>_xlfn.LET(
    _xlpm.sumValue, SUMIFS(
        PNS_data[Value],
        PNS_data[Country], FR_data[[#This Row],[Country]],
        PNS_data[National Society name], selected,
        PNS_data[Attribute], "SP3",
        PNS_data[Year], "2027"
    ),
    IF(_xlpm.sumValue = 0, "", _xlpm.sumValue)
)</f>
        <v/>
      </c>
      <c r="O35" s="31" t="str">
        <f>_xlfn.LET(
    _xlpm.sumValue, SUMIFS(
        PNS_data[Value],
        PNS_data[Country], FR_data[[#This Row],[Country]],
        PNS_data[National Society name], selected,
        PNS_data[Attribute], "SP4",
        PNS_data[Year], "2027"
    ),
    IF(_xlpm.sumValue = 0, "", _xlpm.sumValue)
)</f>
        <v/>
      </c>
      <c r="P35" s="31" t="str">
        <f>_xlfn.LET(
    _xlpm.sumValue, SUMIFS(
        PNS_data[Value],
        PNS_data[Country], FR_data[[#This Row],[Country]],
        PNS_data[National Society name], selected,
        PNS_data[Attribute], "SP5",
        PNS_data[Year], "2027"
    ),
    IF(_xlpm.sumValue = 0, "", _xlpm.sumValue)
)</f>
        <v/>
      </c>
      <c r="Q35" s="31" t="str">
        <f>_xlfn.LET(
    _xlpm.sumValue, SUMIFS(
        PNS_data[Value],
        PNS_data[Country], FR_data[[#This Row],[Country]],
        PNS_data[National Society name], selected,
        PNS_data[Attribute], "EFs",
        PNS_data[Year], "2027"
    ),
    IF(_xlpm.sumValue = 0, "", _xlpm.sumValue)
)</f>
        <v/>
      </c>
      <c r="R35" s="32" t="str">
        <f>IF(SUM(FR_data[[#This Row],[Response - Disasters and Crises ]:[Enabling Functions ]])=0,"",SUM(FR_data[[#This Row],[Response - Disasters and Crises ]:[Enabling Functions ]]))</f>
        <v/>
      </c>
      <c r="S35" s="39"/>
      <c r="T35" s="30" t="str">
        <f>_xlfn.LET(
    _xlpm.sumValue, SUMIFS(
        PNS_data[Value],
        PNS_data[Country], FR_data[[#This Row],[Country]],
        PNS_data[National Society name], selected,
        PNS_data[Attribute], "SP1",
        PNS_data[Year], "2028"
    ),
    IF(_xlpm.sumValue = 0, "", _xlpm.sumValue)
)</f>
        <v/>
      </c>
      <c r="U35" s="31" t="str">
        <f>_xlfn.LET(
    _xlpm.sumValue, SUMIFS(
        PNS_data[Value],
        PNS_data[Country], FR_data[[#This Row],[Country]],
        PNS_data[National Society name], selected,
        PNS_data[Attribute], "SP2",
        PNS_data[Year], "2028"
    ),
    IF(_xlpm.sumValue = 0, "", _xlpm.sumValue)
)</f>
        <v/>
      </c>
      <c r="V35" s="31" t="str">
        <f>_xlfn.LET(
    _xlpm.sumValue, SUMIFS(
        PNS_data[Value],
        PNS_data[Country], FR_data[[#This Row],[Country]],
        PNS_data[National Society name], selected,
        PNS_data[Attribute], "SP3",
        PNS_data[Year], "2028"
    ),
    IF(_xlpm.sumValue = 0, "", _xlpm.sumValue)
)</f>
        <v/>
      </c>
      <c r="W35" s="31" t="str">
        <f>_xlfn.LET(
    _xlpm.sumValue, SUMIFS(
        PNS_data[Value],
        PNS_data[Country], FR_data[[#This Row],[Country]],
        PNS_data[National Society name], selected,
        PNS_data[Attribute], "SP4",
        PNS_data[Year], "2028"
    ),
    IF(_xlpm.sumValue = 0, "", _xlpm.sumValue)
)</f>
        <v/>
      </c>
      <c r="X35" s="31" t="str">
        <f>_xlfn.LET(
    _xlpm.sumValue, SUMIFS(
        PNS_data[Value],
        PNS_data[Country], FR_data[[#This Row],[Country]],
        PNS_data[National Society name], selected,
        PNS_data[Attribute], "SP5",
        PNS_data[Year], "2028"
    ),
    IF(_xlpm.sumValue = 0, "", _xlpm.sumValue)
)</f>
        <v/>
      </c>
      <c r="Y35" s="31" t="str">
        <f>_xlfn.LET(
    _xlpm.sumValue, SUMIFS(
        PNS_data[Value],
        PNS_data[Country], FR_data[[#This Row],[Country]],
        PNS_data[National Society name], selected,
        PNS_data[Attribute], "EFs",
        PNS_data[Year], "2028"
    ),
    IF(_xlpm.sumValue = 0, "", _xlpm.sumValue)
)</f>
        <v/>
      </c>
      <c r="Z35" s="32" t="str">
        <f>IF(SUM(FR_data[[#This Row],[Response - Disasters and Crises  ]:[Enabling Functions  ]])=0,"",SUM(FR_data[[#This Row],[Response - Disasters and Crises  ]:[Enabling Functions  ]]))</f>
        <v/>
      </c>
      <c r="AA35" s="41"/>
    </row>
    <row r="36" spans="1:27" x14ac:dyDescent="0.3">
      <c r="A36" s="11" t="s">
        <v>258</v>
      </c>
      <c r="B36" s="11" t="s">
        <v>109</v>
      </c>
      <c r="C36" s="11" t="s">
        <v>96</v>
      </c>
      <c r="D36" s="30" t="str">
        <f>_xlfn.LET(
    _xlpm.sumValue, SUMIFS(
        PNS_data[Value],
        PNS_data[Country], FR_data[[#This Row],[Country]],
        PNS_data[National Society name], selected,
        PNS_data[Attribute], "SP1",
        PNS_data[Year], "2026"
    ),
    IF(_xlpm.sumValue = 0, "", _xlpm.sumValue)
)</f>
        <v/>
      </c>
      <c r="E36" s="31" t="str">
        <f>_xlfn.LET(
    _xlpm.sumValue, SUMIFS(
        PNS_data[Value],
        PNS_data[Country], FR_data[[#This Row],[Country]],
        PNS_data[National Society name], selected,
        PNS_data[Attribute], "SP2",
        PNS_data[Year], "2026"
    ),
    IF(_xlpm.sumValue = 0, "", _xlpm.sumValue)
)</f>
        <v/>
      </c>
      <c r="F36" s="31" t="str">
        <f>_xlfn.LET(
    _xlpm.sumValue, SUMIFS(
        PNS_data[Value],
        PNS_data[Country], FR_data[[#This Row],[Country]],
        PNS_data[National Society name], selected,
        PNS_data[Attribute], "SP3",
        PNS_data[Year], "2026"
    ),
    IF(_xlpm.sumValue = 0, "", _xlpm.sumValue)
)</f>
        <v/>
      </c>
      <c r="G36" s="31" t="str">
        <f>_xlfn.LET(
    _xlpm.sumValue, SUMIFS(
        PNS_data[Value],
        PNS_data[Country], FR_data[[#This Row],[Country]],
        PNS_data[National Society name], selected,
        PNS_data[Attribute], "SP4",
        PNS_data[Year], "2026"
    ),
    IF(_xlpm.sumValue = 0, "", _xlpm.sumValue)
)</f>
        <v/>
      </c>
      <c r="H36" s="31" t="str">
        <f>_xlfn.LET(
    _xlpm.sumValue, SUMIFS(
        PNS_data[Value],
        PNS_data[Country], FR_data[[#This Row],[Country]],
        PNS_data[National Society name], selected,
        PNS_data[Attribute], "SP5",
        PNS_data[Year], "2026"
    ),
    IF(_xlpm.sumValue = 0, "", _xlpm.sumValue)
)</f>
        <v/>
      </c>
      <c r="I36" s="31" t="str">
        <f>_xlfn.LET(
    _xlpm.sumValue, SUMIFS(
        PNS_data[Value],
        PNS_data[Country], FR_data[[#This Row],[Country]],
        PNS_data[National Society name], selected,
        PNS_data[Attribute], "EFs",
        PNS_data[Year], "2026"
    ),
    IF(_xlpm.sumValue = 0, "", _xlpm.sumValue)
)</f>
        <v/>
      </c>
      <c r="J36" s="32" t="str">
        <f>IF(SUM(FR_data[[#This Row],[Response - Disasters and Crises]:[Enabling Functions]])=0,"",SUM(FR_data[[#This Row],[Response - Disasters and Crises]:[Enabling Functions]]))</f>
        <v/>
      </c>
      <c r="K36" s="39"/>
      <c r="L36" s="30" t="str">
        <f>_xlfn.LET(
    _xlpm.sumValue, SUMIFS(
        PNS_data[Value],
        PNS_data[Country], FR_data[[#This Row],[Country]],
        PNS_data[National Society name], selected,
        PNS_data[Attribute], "SP1",
        PNS_data[Year], "2027"
    ),
    IF(_xlpm.sumValue = 0, "", _xlpm.sumValue)
)</f>
        <v/>
      </c>
      <c r="M36" s="31" t="str">
        <f>_xlfn.LET(
    _xlpm.sumValue, SUMIFS(
        PNS_data[Value],
        PNS_data[Country], FR_data[[#This Row],[Country]],
        PNS_data[National Society name], selected,
        PNS_data[Attribute], "SP2",
        PNS_data[Year], "2027"
    ),
    IF(_xlpm.sumValue = 0, "", _xlpm.sumValue)
)</f>
        <v/>
      </c>
      <c r="N36" s="31" t="str">
        <f>_xlfn.LET(
    _xlpm.sumValue, SUMIFS(
        PNS_data[Value],
        PNS_data[Country], FR_data[[#This Row],[Country]],
        PNS_data[National Society name], selected,
        PNS_data[Attribute], "SP3",
        PNS_data[Year], "2027"
    ),
    IF(_xlpm.sumValue = 0, "", _xlpm.sumValue)
)</f>
        <v/>
      </c>
      <c r="O36" s="31" t="str">
        <f>_xlfn.LET(
    _xlpm.sumValue, SUMIFS(
        PNS_data[Value],
        PNS_data[Country], FR_data[[#This Row],[Country]],
        PNS_data[National Society name], selected,
        PNS_data[Attribute], "SP4",
        PNS_data[Year], "2027"
    ),
    IF(_xlpm.sumValue = 0, "", _xlpm.sumValue)
)</f>
        <v/>
      </c>
      <c r="P36" s="31" t="str">
        <f>_xlfn.LET(
    _xlpm.sumValue, SUMIFS(
        PNS_data[Value],
        PNS_data[Country], FR_data[[#This Row],[Country]],
        PNS_data[National Society name], selected,
        PNS_data[Attribute], "SP5",
        PNS_data[Year], "2027"
    ),
    IF(_xlpm.sumValue = 0, "", _xlpm.sumValue)
)</f>
        <v/>
      </c>
      <c r="Q36" s="31" t="str">
        <f>_xlfn.LET(
    _xlpm.sumValue, SUMIFS(
        PNS_data[Value],
        PNS_data[Country], FR_data[[#This Row],[Country]],
        PNS_data[National Society name], selected,
        PNS_data[Attribute], "EFs",
        PNS_data[Year], "2027"
    ),
    IF(_xlpm.sumValue = 0, "", _xlpm.sumValue)
)</f>
        <v/>
      </c>
      <c r="R36" s="32" t="str">
        <f>IF(SUM(FR_data[[#This Row],[Response - Disasters and Crises ]:[Enabling Functions ]])=0,"",SUM(FR_data[[#This Row],[Response - Disasters and Crises ]:[Enabling Functions ]]))</f>
        <v/>
      </c>
      <c r="S36" s="39"/>
      <c r="T36" s="30" t="str">
        <f>_xlfn.LET(
    _xlpm.sumValue, SUMIFS(
        PNS_data[Value],
        PNS_data[Country], FR_data[[#This Row],[Country]],
        PNS_data[National Society name], selected,
        PNS_data[Attribute], "SP1",
        PNS_data[Year], "2028"
    ),
    IF(_xlpm.sumValue = 0, "", _xlpm.sumValue)
)</f>
        <v/>
      </c>
      <c r="U36" s="31" t="str">
        <f>_xlfn.LET(
    _xlpm.sumValue, SUMIFS(
        PNS_data[Value],
        PNS_data[Country], FR_data[[#This Row],[Country]],
        PNS_data[National Society name], selected,
        PNS_data[Attribute], "SP2",
        PNS_data[Year], "2028"
    ),
    IF(_xlpm.sumValue = 0, "", _xlpm.sumValue)
)</f>
        <v/>
      </c>
      <c r="V36" s="31" t="str">
        <f>_xlfn.LET(
    _xlpm.sumValue, SUMIFS(
        PNS_data[Value],
        PNS_data[Country], FR_data[[#This Row],[Country]],
        PNS_data[National Society name], selected,
        PNS_data[Attribute], "SP3",
        PNS_data[Year], "2028"
    ),
    IF(_xlpm.sumValue = 0, "", _xlpm.sumValue)
)</f>
        <v/>
      </c>
      <c r="W36" s="31" t="str">
        <f>_xlfn.LET(
    _xlpm.sumValue, SUMIFS(
        PNS_data[Value],
        PNS_data[Country], FR_data[[#This Row],[Country]],
        PNS_data[National Society name], selected,
        PNS_data[Attribute], "SP4",
        PNS_data[Year], "2028"
    ),
    IF(_xlpm.sumValue = 0, "", _xlpm.sumValue)
)</f>
        <v/>
      </c>
      <c r="X36" s="31" t="str">
        <f>_xlfn.LET(
    _xlpm.sumValue, SUMIFS(
        PNS_data[Value],
        PNS_data[Country], FR_data[[#This Row],[Country]],
        PNS_data[National Society name], selected,
        PNS_data[Attribute], "SP5",
        PNS_data[Year], "2028"
    ),
    IF(_xlpm.sumValue = 0, "", _xlpm.sumValue)
)</f>
        <v/>
      </c>
      <c r="Y36" s="31" t="str">
        <f>_xlfn.LET(
    _xlpm.sumValue, SUMIFS(
        PNS_data[Value],
        PNS_data[Country], FR_data[[#This Row],[Country]],
        PNS_data[National Society name], selected,
        PNS_data[Attribute], "EFs",
        PNS_data[Year], "2028"
    ),
    IF(_xlpm.sumValue = 0, "", _xlpm.sumValue)
)</f>
        <v/>
      </c>
      <c r="Z36" s="32" t="str">
        <f>IF(SUM(FR_data[[#This Row],[Response - Disasters and Crises  ]:[Enabling Functions  ]])=0,"",SUM(FR_data[[#This Row],[Response - Disasters and Crises  ]:[Enabling Functions  ]]))</f>
        <v/>
      </c>
      <c r="AA36" s="41"/>
    </row>
    <row r="37" spans="1:27" x14ac:dyDescent="0.3">
      <c r="A37" s="11" t="s">
        <v>267</v>
      </c>
      <c r="B37" s="11" t="s">
        <v>109</v>
      </c>
      <c r="C37" s="11" t="s">
        <v>46</v>
      </c>
      <c r="D37" s="30" t="str">
        <f>_xlfn.LET(
    _xlpm.sumValue, SUMIFS(
        PNS_data[Value],
        PNS_data[Country], FR_data[[#This Row],[Country]],
        PNS_data[National Society name], selected,
        PNS_data[Attribute], "SP1",
        PNS_data[Year], "2026"
    ),
    IF(_xlpm.sumValue = 0, "", _xlpm.sumValue)
)</f>
        <v/>
      </c>
      <c r="E37" s="31" t="str">
        <f>_xlfn.LET(
    _xlpm.sumValue, SUMIFS(
        PNS_data[Value],
        PNS_data[Country], FR_data[[#This Row],[Country]],
        PNS_data[National Society name], selected,
        PNS_data[Attribute], "SP2",
        PNS_data[Year], "2026"
    ),
    IF(_xlpm.sumValue = 0, "", _xlpm.sumValue)
)</f>
        <v/>
      </c>
      <c r="F37" s="31" t="str">
        <f>_xlfn.LET(
    _xlpm.sumValue, SUMIFS(
        PNS_data[Value],
        PNS_data[Country], FR_data[[#This Row],[Country]],
        PNS_data[National Society name], selected,
        PNS_data[Attribute], "SP3",
        PNS_data[Year], "2026"
    ),
    IF(_xlpm.sumValue = 0, "", _xlpm.sumValue)
)</f>
        <v/>
      </c>
      <c r="G37" s="31" t="str">
        <f>_xlfn.LET(
    _xlpm.sumValue, SUMIFS(
        PNS_data[Value],
        PNS_data[Country], FR_data[[#This Row],[Country]],
        PNS_data[National Society name], selected,
        PNS_data[Attribute], "SP4",
        PNS_data[Year], "2026"
    ),
    IF(_xlpm.sumValue = 0, "", _xlpm.sumValue)
)</f>
        <v/>
      </c>
      <c r="H37" s="31" t="str">
        <f>_xlfn.LET(
    _xlpm.sumValue, SUMIFS(
        PNS_data[Value],
        PNS_data[Country], FR_data[[#This Row],[Country]],
        PNS_data[National Society name], selected,
        PNS_data[Attribute], "SP5",
        PNS_data[Year], "2026"
    ),
    IF(_xlpm.sumValue = 0, "", _xlpm.sumValue)
)</f>
        <v/>
      </c>
      <c r="I37" s="31" t="str">
        <f>_xlfn.LET(
    _xlpm.sumValue, SUMIFS(
        PNS_data[Value],
        PNS_data[Country], FR_data[[#This Row],[Country]],
        PNS_data[National Society name], selected,
        PNS_data[Attribute], "EFs",
        PNS_data[Year], "2026"
    ),
    IF(_xlpm.sumValue = 0, "", _xlpm.sumValue)
)</f>
        <v/>
      </c>
      <c r="J37" s="32" t="str">
        <f>IF(SUM(FR_data[[#This Row],[Response - Disasters and Crises]:[Enabling Functions]])=0,"",SUM(FR_data[[#This Row],[Response - Disasters and Crises]:[Enabling Functions]]))</f>
        <v/>
      </c>
      <c r="K37" s="39"/>
      <c r="L37" s="30" t="str">
        <f>_xlfn.LET(
    _xlpm.sumValue, SUMIFS(
        PNS_data[Value],
        PNS_data[Country], FR_data[[#This Row],[Country]],
        PNS_data[National Society name], selected,
        PNS_data[Attribute], "SP1",
        PNS_data[Year], "2027"
    ),
    IF(_xlpm.sumValue = 0, "", _xlpm.sumValue)
)</f>
        <v/>
      </c>
      <c r="M37" s="31" t="str">
        <f>_xlfn.LET(
    _xlpm.sumValue, SUMIFS(
        PNS_data[Value],
        PNS_data[Country], FR_data[[#This Row],[Country]],
        PNS_data[National Society name], selected,
        PNS_data[Attribute], "SP2",
        PNS_data[Year], "2027"
    ),
    IF(_xlpm.sumValue = 0, "", _xlpm.sumValue)
)</f>
        <v/>
      </c>
      <c r="N37" s="31" t="str">
        <f>_xlfn.LET(
    _xlpm.sumValue, SUMIFS(
        PNS_data[Value],
        PNS_data[Country], FR_data[[#This Row],[Country]],
        PNS_data[National Society name], selected,
        PNS_data[Attribute], "SP3",
        PNS_data[Year], "2027"
    ),
    IF(_xlpm.sumValue = 0, "", _xlpm.sumValue)
)</f>
        <v/>
      </c>
      <c r="O37" s="31" t="str">
        <f>_xlfn.LET(
    _xlpm.sumValue, SUMIFS(
        PNS_data[Value],
        PNS_data[Country], FR_data[[#This Row],[Country]],
        PNS_data[National Society name], selected,
        PNS_data[Attribute], "SP4",
        PNS_data[Year], "2027"
    ),
    IF(_xlpm.sumValue = 0, "", _xlpm.sumValue)
)</f>
        <v/>
      </c>
      <c r="P37" s="31" t="str">
        <f>_xlfn.LET(
    _xlpm.sumValue, SUMIFS(
        PNS_data[Value],
        PNS_data[Country], FR_data[[#This Row],[Country]],
        PNS_data[National Society name], selected,
        PNS_data[Attribute], "SP5",
        PNS_data[Year], "2027"
    ),
    IF(_xlpm.sumValue = 0, "", _xlpm.sumValue)
)</f>
        <v/>
      </c>
      <c r="Q37" s="31" t="str">
        <f>_xlfn.LET(
    _xlpm.sumValue, SUMIFS(
        PNS_data[Value],
        PNS_data[Country], FR_data[[#This Row],[Country]],
        PNS_data[National Society name], selected,
        PNS_data[Attribute], "EFs",
        PNS_data[Year], "2027"
    ),
    IF(_xlpm.sumValue = 0, "", _xlpm.sumValue)
)</f>
        <v/>
      </c>
      <c r="R37" s="32" t="str">
        <f>IF(SUM(FR_data[[#This Row],[Response - Disasters and Crises ]:[Enabling Functions ]])=0,"",SUM(FR_data[[#This Row],[Response - Disasters and Crises ]:[Enabling Functions ]]))</f>
        <v/>
      </c>
      <c r="S37" s="39"/>
      <c r="T37" s="30" t="str">
        <f>_xlfn.LET(
    _xlpm.sumValue, SUMIFS(
        PNS_data[Value],
        PNS_data[Country], FR_data[[#This Row],[Country]],
        PNS_data[National Society name], selected,
        PNS_data[Attribute], "SP1",
        PNS_data[Year], "2028"
    ),
    IF(_xlpm.sumValue = 0, "", _xlpm.sumValue)
)</f>
        <v/>
      </c>
      <c r="U37" s="31" t="str">
        <f>_xlfn.LET(
    _xlpm.sumValue, SUMIFS(
        PNS_data[Value],
        PNS_data[Country], FR_data[[#This Row],[Country]],
        PNS_data[National Society name], selected,
        PNS_data[Attribute], "SP2",
        PNS_data[Year], "2028"
    ),
    IF(_xlpm.sumValue = 0, "", _xlpm.sumValue)
)</f>
        <v/>
      </c>
      <c r="V37" s="31" t="str">
        <f>_xlfn.LET(
    _xlpm.sumValue, SUMIFS(
        PNS_data[Value],
        PNS_data[Country], FR_data[[#This Row],[Country]],
        PNS_data[National Society name], selected,
        PNS_data[Attribute], "SP3",
        PNS_data[Year], "2028"
    ),
    IF(_xlpm.sumValue = 0, "", _xlpm.sumValue)
)</f>
        <v/>
      </c>
      <c r="W37" s="31" t="str">
        <f>_xlfn.LET(
    _xlpm.sumValue, SUMIFS(
        PNS_data[Value],
        PNS_data[Country], FR_data[[#This Row],[Country]],
        PNS_data[National Society name], selected,
        PNS_data[Attribute], "SP4",
        PNS_data[Year], "2028"
    ),
    IF(_xlpm.sumValue = 0, "", _xlpm.sumValue)
)</f>
        <v/>
      </c>
      <c r="X37" s="31" t="str">
        <f>_xlfn.LET(
    _xlpm.sumValue, SUMIFS(
        PNS_data[Value],
        PNS_data[Country], FR_data[[#This Row],[Country]],
        PNS_data[National Society name], selected,
        PNS_data[Attribute], "SP5",
        PNS_data[Year], "2028"
    ),
    IF(_xlpm.sumValue = 0, "", _xlpm.sumValue)
)</f>
        <v/>
      </c>
      <c r="Y37" s="31" t="str">
        <f>_xlfn.LET(
    _xlpm.sumValue, SUMIFS(
        PNS_data[Value],
        PNS_data[Country], FR_data[[#This Row],[Country]],
        PNS_data[National Society name], selected,
        PNS_data[Attribute], "EFs",
        PNS_data[Year], "2028"
    ),
    IF(_xlpm.sumValue = 0, "", _xlpm.sumValue)
)</f>
        <v/>
      </c>
      <c r="Z37" s="32" t="str">
        <f>IF(SUM(FR_data[[#This Row],[Response - Disasters and Crises  ]:[Enabling Functions  ]])=0,"",SUM(FR_data[[#This Row],[Response - Disasters and Crises  ]:[Enabling Functions  ]]))</f>
        <v/>
      </c>
      <c r="AA37" s="41"/>
    </row>
    <row r="38" spans="1:27" x14ac:dyDescent="0.3">
      <c r="A38" s="11" t="s">
        <v>268</v>
      </c>
      <c r="B38" s="11" t="s">
        <v>109</v>
      </c>
      <c r="C38" s="11" t="s">
        <v>269</v>
      </c>
      <c r="D38" s="30" t="str">
        <f>_xlfn.LET(
    _xlpm.sumValue, SUMIFS(
        PNS_data[Value],
        PNS_data[Country], FR_data[[#This Row],[Country]],
        PNS_data[National Society name], selected,
        PNS_data[Attribute], "SP1",
        PNS_data[Year], "2026"
    ),
    IF(_xlpm.sumValue = 0, "", _xlpm.sumValue)
)</f>
        <v/>
      </c>
      <c r="E38" s="31" t="str">
        <f>_xlfn.LET(
    _xlpm.sumValue, SUMIFS(
        PNS_data[Value],
        PNS_data[Country], FR_data[[#This Row],[Country]],
        PNS_data[National Society name], selected,
        PNS_data[Attribute], "SP2",
        PNS_data[Year], "2026"
    ),
    IF(_xlpm.sumValue = 0, "", _xlpm.sumValue)
)</f>
        <v/>
      </c>
      <c r="F38" s="31" t="str">
        <f>_xlfn.LET(
    _xlpm.sumValue, SUMIFS(
        PNS_data[Value],
        PNS_data[Country], FR_data[[#This Row],[Country]],
        PNS_data[National Society name], selected,
        PNS_data[Attribute], "SP3",
        PNS_data[Year], "2026"
    ),
    IF(_xlpm.sumValue = 0, "", _xlpm.sumValue)
)</f>
        <v/>
      </c>
      <c r="G38" s="31" t="str">
        <f>_xlfn.LET(
    _xlpm.sumValue, SUMIFS(
        PNS_data[Value],
        PNS_data[Country], FR_data[[#This Row],[Country]],
        PNS_data[National Society name], selected,
        PNS_data[Attribute], "SP4",
        PNS_data[Year], "2026"
    ),
    IF(_xlpm.sumValue = 0, "", _xlpm.sumValue)
)</f>
        <v/>
      </c>
      <c r="H38" s="31" t="str">
        <f>_xlfn.LET(
    _xlpm.sumValue, SUMIFS(
        PNS_data[Value],
        PNS_data[Country], FR_data[[#This Row],[Country]],
        PNS_data[National Society name], selected,
        PNS_data[Attribute], "SP5",
        PNS_data[Year], "2026"
    ),
    IF(_xlpm.sumValue = 0, "", _xlpm.sumValue)
)</f>
        <v/>
      </c>
      <c r="I38" s="31" t="str">
        <f>_xlfn.LET(
    _xlpm.sumValue, SUMIFS(
        PNS_data[Value],
        PNS_data[Country], FR_data[[#This Row],[Country]],
        PNS_data[National Society name], selected,
        PNS_data[Attribute], "EFs",
        PNS_data[Year], "2026"
    ),
    IF(_xlpm.sumValue = 0, "", _xlpm.sumValue)
)</f>
        <v/>
      </c>
      <c r="J38" s="32" t="str">
        <f>IF(SUM(FR_data[[#This Row],[Response - Disasters and Crises]:[Enabling Functions]])=0,"",SUM(FR_data[[#This Row],[Response - Disasters and Crises]:[Enabling Functions]]))</f>
        <v/>
      </c>
      <c r="K38" s="39"/>
      <c r="L38" s="30" t="str">
        <f>_xlfn.LET(
    _xlpm.sumValue, SUMIFS(
        PNS_data[Value],
        PNS_data[Country], FR_data[[#This Row],[Country]],
        PNS_data[National Society name], selected,
        PNS_data[Attribute], "SP1",
        PNS_data[Year], "2027"
    ),
    IF(_xlpm.sumValue = 0, "", _xlpm.sumValue)
)</f>
        <v/>
      </c>
      <c r="M38" s="31" t="str">
        <f>_xlfn.LET(
    _xlpm.sumValue, SUMIFS(
        PNS_data[Value],
        PNS_data[Country], FR_data[[#This Row],[Country]],
        PNS_data[National Society name], selected,
        PNS_data[Attribute], "SP2",
        PNS_data[Year], "2027"
    ),
    IF(_xlpm.sumValue = 0, "", _xlpm.sumValue)
)</f>
        <v/>
      </c>
      <c r="N38" s="31" t="str">
        <f>_xlfn.LET(
    _xlpm.sumValue, SUMIFS(
        PNS_data[Value],
        PNS_data[Country], FR_data[[#This Row],[Country]],
        PNS_data[National Society name], selected,
        PNS_data[Attribute], "SP3",
        PNS_data[Year], "2027"
    ),
    IF(_xlpm.sumValue = 0, "", _xlpm.sumValue)
)</f>
        <v/>
      </c>
      <c r="O38" s="31" t="str">
        <f>_xlfn.LET(
    _xlpm.sumValue, SUMIFS(
        PNS_data[Value],
        PNS_data[Country], FR_data[[#This Row],[Country]],
        PNS_data[National Society name], selected,
        PNS_data[Attribute], "SP4",
        PNS_data[Year], "2027"
    ),
    IF(_xlpm.sumValue = 0, "", _xlpm.sumValue)
)</f>
        <v/>
      </c>
      <c r="P38" s="31" t="str">
        <f>_xlfn.LET(
    _xlpm.sumValue, SUMIFS(
        PNS_data[Value],
        PNS_data[Country], FR_data[[#This Row],[Country]],
        PNS_data[National Society name], selected,
        PNS_data[Attribute], "SP5",
        PNS_data[Year], "2027"
    ),
    IF(_xlpm.sumValue = 0, "", _xlpm.sumValue)
)</f>
        <v/>
      </c>
      <c r="Q38" s="31" t="str">
        <f>_xlfn.LET(
    _xlpm.sumValue, SUMIFS(
        PNS_data[Value],
        PNS_data[Country], FR_data[[#This Row],[Country]],
        PNS_data[National Society name], selected,
        PNS_data[Attribute], "EFs",
        PNS_data[Year], "2027"
    ),
    IF(_xlpm.sumValue = 0, "", _xlpm.sumValue)
)</f>
        <v/>
      </c>
      <c r="R38" s="32" t="str">
        <f>IF(SUM(FR_data[[#This Row],[Response - Disasters and Crises ]:[Enabling Functions ]])=0,"",SUM(FR_data[[#This Row],[Response - Disasters and Crises ]:[Enabling Functions ]]))</f>
        <v/>
      </c>
      <c r="S38" s="39"/>
      <c r="T38" s="30" t="str">
        <f>_xlfn.LET(
    _xlpm.sumValue, SUMIFS(
        PNS_data[Value],
        PNS_data[Country], FR_data[[#This Row],[Country]],
        PNS_data[National Society name], selected,
        PNS_data[Attribute], "SP1",
        PNS_data[Year], "2028"
    ),
    IF(_xlpm.sumValue = 0, "", _xlpm.sumValue)
)</f>
        <v/>
      </c>
      <c r="U38" s="31" t="str">
        <f>_xlfn.LET(
    _xlpm.sumValue, SUMIFS(
        PNS_data[Value],
        PNS_data[Country], FR_data[[#This Row],[Country]],
        PNS_data[National Society name], selected,
        PNS_data[Attribute], "SP2",
        PNS_data[Year], "2028"
    ),
    IF(_xlpm.sumValue = 0, "", _xlpm.sumValue)
)</f>
        <v/>
      </c>
      <c r="V38" s="31" t="str">
        <f>_xlfn.LET(
    _xlpm.sumValue, SUMIFS(
        PNS_data[Value],
        PNS_data[Country], FR_data[[#This Row],[Country]],
        PNS_data[National Society name], selected,
        PNS_data[Attribute], "SP3",
        PNS_data[Year], "2028"
    ),
    IF(_xlpm.sumValue = 0, "", _xlpm.sumValue)
)</f>
        <v/>
      </c>
      <c r="W38" s="31" t="str">
        <f>_xlfn.LET(
    _xlpm.sumValue, SUMIFS(
        PNS_data[Value],
        PNS_data[Country], FR_data[[#This Row],[Country]],
        PNS_data[National Society name], selected,
        PNS_data[Attribute], "SP4",
        PNS_data[Year], "2028"
    ),
    IF(_xlpm.sumValue = 0, "", _xlpm.sumValue)
)</f>
        <v/>
      </c>
      <c r="X38" s="31" t="str">
        <f>_xlfn.LET(
    _xlpm.sumValue, SUMIFS(
        PNS_data[Value],
        PNS_data[Country], FR_data[[#This Row],[Country]],
        PNS_data[National Society name], selected,
        PNS_data[Attribute], "SP5",
        PNS_data[Year], "2028"
    ),
    IF(_xlpm.sumValue = 0, "", _xlpm.sumValue)
)</f>
        <v/>
      </c>
      <c r="Y38" s="31" t="str">
        <f>_xlfn.LET(
    _xlpm.sumValue, SUMIFS(
        PNS_data[Value],
        PNS_data[Country], FR_data[[#This Row],[Country]],
        PNS_data[National Society name], selected,
        PNS_data[Attribute], "EFs",
        PNS_data[Year], "2028"
    ),
    IF(_xlpm.sumValue = 0, "", _xlpm.sumValue)
)</f>
        <v/>
      </c>
      <c r="Z38" s="32" t="str">
        <f>IF(SUM(FR_data[[#This Row],[Response - Disasters and Crises  ]:[Enabling Functions  ]])=0,"",SUM(FR_data[[#This Row],[Response - Disasters and Crises  ]:[Enabling Functions  ]]))</f>
        <v/>
      </c>
      <c r="AA38" s="41"/>
    </row>
    <row r="39" spans="1:27" x14ac:dyDescent="0.3">
      <c r="A39" s="11" t="s">
        <v>274</v>
      </c>
      <c r="B39" s="11" t="s">
        <v>109</v>
      </c>
      <c r="C39" s="11" t="s">
        <v>78</v>
      </c>
      <c r="D39" s="30" t="str">
        <f>_xlfn.LET(
    _xlpm.sumValue, SUMIFS(
        PNS_data[Value],
        PNS_data[Country], FR_data[[#This Row],[Country]],
        PNS_data[National Society name], selected,
        PNS_data[Attribute], "SP1",
        PNS_data[Year], "2026"
    ),
    IF(_xlpm.sumValue = 0, "", _xlpm.sumValue)
)</f>
        <v/>
      </c>
      <c r="E39" s="31" t="str">
        <f>_xlfn.LET(
    _xlpm.sumValue, SUMIFS(
        PNS_data[Value],
        PNS_data[Country], FR_data[[#This Row],[Country]],
        PNS_data[National Society name], selected,
        PNS_data[Attribute], "SP2",
        PNS_data[Year], "2026"
    ),
    IF(_xlpm.sumValue = 0, "", _xlpm.sumValue)
)</f>
        <v/>
      </c>
      <c r="F39" s="31" t="str">
        <f>_xlfn.LET(
    _xlpm.sumValue, SUMIFS(
        PNS_data[Value],
        PNS_data[Country], FR_data[[#This Row],[Country]],
        PNS_data[National Society name], selected,
        PNS_data[Attribute], "SP3",
        PNS_data[Year], "2026"
    ),
    IF(_xlpm.sumValue = 0, "", _xlpm.sumValue)
)</f>
        <v/>
      </c>
      <c r="G39" s="31" t="str">
        <f>_xlfn.LET(
    _xlpm.sumValue, SUMIFS(
        PNS_data[Value],
        PNS_data[Country], FR_data[[#This Row],[Country]],
        PNS_data[National Society name], selected,
        PNS_data[Attribute], "SP4",
        PNS_data[Year], "2026"
    ),
    IF(_xlpm.sumValue = 0, "", _xlpm.sumValue)
)</f>
        <v/>
      </c>
      <c r="H39" s="31" t="str">
        <f>_xlfn.LET(
    _xlpm.sumValue, SUMIFS(
        PNS_data[Value],
        PNS_data[Country], FR_data[[#This Row],[Country]],
        PNS_data[National Society name], selected,
        PNS_data[Attribute], "SP5",
        PNS_data[Year], "2026"
    ),
    IF(_xlpm.sumValue = 0, "", _xlpm.sumValue)
)</f>
        <v/>
      </c>
      <c r="I39" s="31" t="str">
        <f>_xlfn.LET(
    _xlpm.sumValue, SUMIFS(
        PNS_data[Value],
        PNS_data[Country], FR_data[[#This Row],[Country]],
        PNS_data[National Society name], selected,
        PNS_data[Attribute], "EFs",
        PNS_data[Year], "2026"
    ),
    IF(_xlpm.sumValue = 0, "", _xlpm.sumValue)
)</f>
        <v/>
      </c>
      <c r="J39" s="32" t="str">
        <f>IF(SUM(FR_data[[#This Row],[Response - Disasters and Crises]:[Enabling Functions]])=0,"",SUM(FR_data[[#This Row],[Response - Disasters and Crises]:[Enabling Functions]]))</f>
        <v/>
      </c>
      <c r="K39" s="39"/>
      <c r="L39" s="30" t="str">
        <f>_xlfn.LET(
    _xlpm.sumValue, SUMIFS(
        PNS_data[Value],
        PNS_data[Country], FR_data[[#This Row],[Country]],
        PNS_data[National Society name], selected,
        PNS_data[Attribute], "SP1",
        PNS_data[Year], "2027"
    ),
    IF(_xlpm.sumValue = 0, "", _xlpm.sumValue)
)</f>
        <v/>
      </c>
      <c r="M39" s="31" t="str">
        <f>_xlfn.LET(
    _xlpm.sumValue, SUMIFS(
        PNS_data[Value],
        PNS_data[Country], FR_data[[#This Row],[Country]],
        PNS_data[National Society name], selected,
        PNS_data[Attribute], "SP2",
        PNS_data[Year], "2027"
    ),
    IF(_xlpm.sumValue = 0, "", _xlpm.sumValue)
)</f>
        <v/>
      </c>
      <c r="N39" s="31" t="str">
        <f>_xlfn.LET(
    _xlpm.sumValue, SUMIFS(
        PNS_data[Value],
        PNS_data[Country], FR_data[[#This Row],[Country]],
        PNS_data[National Society name], selected,
        PNS_data[Attribute], "SP3",
        PNS_data[Year], "2027"
    ),
    IF(_xlpm.sumValue = 0, "", _xlpm.sumValue)
)</f>
        <v/>
      </c>
      <c r="O39" s="31" t="str">
        <f>_xlfn.LET(
    _xlpm.sumValue, SUMIFS(
        PNS_data[Value],
        PNS_data[Country], FR_data[[#This Row],[Country]],
        PNS_data[National Society name], selected,
        PNS_data[Attribute], "SP4",
        PNS_data[Year], "2027"
    ),
    IF(_xlpm.sumValue = 0, "", _xlpm.sumValue)
)</f>
        <v/>
      </c>
      <c r="P39" s="31" t="str">
        <f>_xlfn.LET(
    _xlpm.sumValue, SUMIFS(
        PNS_data[Value],
        PNS_data[Country], FR_data[[#This Row],[Country]],
        PNS_data[National Society name], selected,
        PNS_data[Attribute], "SP5",
        PNS_data[Year], "2027"
    ),
    IF(_xlpm.sumValue = 0, "", _xlpm.sumValue)
)</f>
        <v/>
      </c>
      <c r="Q39" s="31" t="str">
        <f>_xlfn.LET(
    _xlpm.sumValue, SUMIFS(
        PNS_data[Value],
        PNS_data[Country], FR_data[[#This Row],[Country]],
        PNS_data[National Society name], selected,
        PNS_data[Attribute], "EFs",
        PNS_data[Year], "2027"
    ),
    IF(_xlpm.sumValue = 0, "", _xlpm.sumValue)
)</f>
        <v/>
      </c>
      <c r="R39" s="32" t="str">
        <f>IF(SUM(FR_data[[#This Row],[Response - Disasters and Crises ]:[Enabling Functions ]])=0,"",SUM(FR_data[[#This Row],[Response - Disasters and Crises ]:[Enabling Functions ]]))</f>
        <v/>
      </c>
      <c r="S39" s="39"/>
      <c r="T39" s="30" t="str">
        <f>_xlfn.LET(
    _xlpm.sumValue, SUMIFS(
        PNS_data[Value],
        PNS_data[Country], FR_data[[#This Row],[Country]],
        PNS_data[National Society name], selected,
        PNS_data[Attribute], "SP1",
        PNS_data[Year], "2028"
    ),
    IF(_xlpm.sumValue = 0, "", _xlpm.sumValue)
)</f>
        <v/>
      </c>
      <c r="U39" s="31" t="str">
        <f>_xlfn.LET(
    _xlpm.sumValue, SUMIFS(
        PNS_data[Value],
        PNS_data[Country], FR_data[[#This Row],[Country]],
        PNS_data[National Society name], selected,
        PNS_data[Attribute], "SP2",
        PNS_data[Year], "2028"
    ),
    IF(_xlpm.sumValue = 0, "", _xlpm.sumValue)
)</f>
        <v/>
      </c>
      <c r="V39" s="31" t="str">
        <f>_xlfn.LET(
    _xlpm.sumValue, SUMIFS(
        PNS_data[Value],
        PNS_data[Country], FR_data[[#This Row],[Country]],
        PNS_data[National Society name], selected,
        PNS_data[Attribute], "SP3",
        PNS_data[Year], "2028"
    ),
    IF(_xlpm.sumValue = 0, "", _xlpm.sumValue)
)</f>
        <v/>
      </c>
      <c r="W39" s="31" t="str">
        <f>_xlfn.LET(
    _xlpm.sumValue, SUMIFS(
        PNS_data[Value],
        PNS_data[Country], FR_data[[#This Row],[Country]],
        PNS_data[National Society name], selected,
        PNS_data[Attribute], "SP4",
        PNS_data[Year], "2028"
    ),
    IF(_xlpm.sumValue = 0, "", _xlpm.sumValue)
)</f>
        <v/>
      </c>
      <c r="X39" s="31" t="str">
        <f>_xlfn.LET(
    _xlpm.sumValue, SUMIFS(
        PNS_data[Value],
        PNS_data[Country], FR_data[[#This Row],[Country]],
        PNS_data[National Society name], selected,
        PNS_data[Attribute], "SP5",
        PNS_data[Year], "2028"
    ),
    IF(_xlpm.sumValue = 0, "", _xlpm.sumValue)
)</f>
        <v/>
      </c>
      <c r="Y39" s="31" t="str">
        <f>_xlfn.LET(
    _xlpm.sumValue, SUMIFS(
        PNS_data[Value],
        PNS_data[Country], FR_data[[#This Row],[Country]],
        PNS_data[National Society name], selected,
        PNS_data[Attribute], "EFs",
        PNS_data[Year], "2028"
    ),
    IF(_xlpm.sumValue = 0, "", _xlpm.sumValue)
)</f>
        <v/>
      </c>
      <c r="Z39" s="32" t="str">
        <f>IF(SUM(FR_data[[#This Row],[Response - Disasters and Crises  ]:[Enabling Functions  ]])=0,"",SUM(FR_data[[#This Row],[Response - Disasters and Crises  ]:[Enabling Functions  ]]))</f>
        <v/>
      </c>
      <c r="AA39" s="41"/>
    </row>
    <row r="40" spans="1:27" x14ac:dyDescent="0.3">
      <c r="A40" s="11" t="s">
        <v>283</v>
      </c>
      <c r="B40" s="11" t="s">
        <v>109</v>
      </c>
      <c r="C40" s="11" t="s">
        <v>284</v>
      </c>
      <c r="D40" s="30" t="str">
        <f>_xlfn.LET(
    _xlpm.sumValue, SUMIFS(
        PNS_data[Value],
        PNS_data[Country], FR_data[[#This Row],[Country]],
        PNS_data[National Society name], selected,
        PNS_data[Attribute], "SP1",
        PNS_data[Year], "2026"
    ),
    IF(_xlpm.sumValue = 0, "", _xlpm.sumValue)
)</f>
        <v/>
      </c>
      <c r="E40" s="31" t="str">
        <f>_xlfn.LET(
    _xlpm.sumValue, SUMIFS(
        PNS_data[Value],
        PNS_data[Country], FR_data[[#This Row],[Country]],
        PNS_data[National Society name], selected,
        PNS_data[Attribute], "SP2",
        PNS_data[Year], "2026"
    ),
    IF(_xlpm.sumValue = 0, "", _xlpm.sumValue)
)</f>
        <v/>
      </c>
      <c r="F40" s="31" t="str">
        <f>_xlfn.LET(
    _xlpm.sumValue, SUMIFS(
        PNS_data[Value],
        PNS_data[Country], FR_data[[#This Row],[Country]],
        PNS_data[National Society name], selected,
        PNS_data[Attribute], "SP3",
        PNS_data[Year], "2026"
    ),
    IF(_xlpm.sumValue = 0, "", _xlpm.sumValue)
)</f>
        <v/>
      </c>
      <c r="G40" s="31" t="str">
        <f>_xlfn.LET(
    _xlpm.sumValue, SUMIFS(
        PNS_data[Value],
        PNS_data[Country], FR_data[[#This Row],[Country]],
        PNS_data[National Society name], selected,
        PNS_data[Attribute], "SP4",
        PNS_data[Year], "2026"
    ),
    IF(_xlpm.sumValue = 0, "", _xlpm.sumValue)
)</f>
        <v/>
      </c>
      <c r="H40" s="31" t="str">
        <f>_xlfn.LET(
    _xlpm.sumValue, SUMIFS(
        PNS_data[Value],
        PNS_data[Country], FR_data[[#This Row],[Country]],
        PNS_data[National Society name], selected,
        PNS_data[Attribute], "SP5",
        PNS_data[Year], "2026"
    ),
    IF(_xlpm.sumValue = 0, "", _xlpm.sumValue)
)</f>
        <v/>
      </c>
      <c r="I40" s="31" t="str">
        <f>_xlfn.LET(
    _xlpm.sumValue, SUMIFS(
        PNS_data[Value],
        PNS_data[Country], FR_data[[#This Row],[Country]],
        PNS_data[National Society name], selected,
        PNS_data[Attribute], "EFs",
        PNS_data[Year], "2026"
    ),
    IF(_xlpm.sumValue = 0, "", _xlpm.sumValue)
)</f>
        <v/>
      </c>
      <c r="J40" s="32" t="str">
        <f>IF(SUM(FR_data[[#This Row],[Response - Disasters and Crises]:[Enabling Functions]])=0,"",SUM(FR_data[[#This Row],[Response - Disasters and Crises]:[Enabling Functions]]))</f>
        <v/>
      </c>
      <c r="K40" s="39"/>
      <c r="L40" s="30" t="str">
        <f>_xlfn.LET(
    _xlpm.sumValue, SUMIFS(
        PNS_data[Value],
        PNS_data[Country], FR_data[[#This Row],[Country]],
        PNS_data[National Society name], selected,
        PNS_data[Attribute], "SP1",
        PNS_data[Year], "2027"
    ),
    IF(_xlpm.sumValue = 0, "", _xlpm.sumValue)
)</f>
        <v/>
      </c>
      <c r="M40" s="31" t="str">
        <f>_xlfn.LET(
    _xlpm.sumValue, SUMIFS(
        PNS_data[Value],
        PNS_data[Country], FR_data[[#This Row],[Country]],
        PNS_data[National Society name], selected,
        PNS_data[Attribute], "SP2",
        PNS_data[Year], "2027"
    ),
    IF(_xlpm.sumValue = 0, "", _xlpm.sumValue)
)</f>
        <v/>
      </c>
      <c r="N40" s="31" t="str">
        <f>_xlfn.LET(
    _xlpm.sumValue, SUMIFS(
        PNS_data[Value],
        PNS_data[Country], FR_data[[#This Row],[Country]],
        PNS_data[National Society name], selected,
        PNS_data[Attribute], "SP3",
        PNS_data[Year], "2027"
    ),
    IF(_xlpm.sumValue = 0, "", _xlpm.sumValue)
)</f>
        <v/>
      </c>
      <c r="O40" s="31" t="str">
        <f>_xlfn.LET(
    _xlpm.sumValue, SUMIFS(
        PNS_data[Value],
        PNS_data[Country], FR_data[[#This Row],[Country]],
        PNS_data[National Society name], selected,
        PNS_data[Attribute], "SP4",
        PNS_data[Year], "2027"
    ),
    IF(_xlpm.sumValue = 0, "", _xlpm.sumValue)
)</f>
        <v/>
      </c>
      <c r="P40" s="31" t="str">
        <f>_xlfn.LET(
    _xlpm.sumValue, SUMIFS(
        PNS_data[Value],
        PNS_data[Country], FR_data[[#This Row],[Country]],
        PNS_data[National Society name], selected,
        PNS_data[Attribute], "SP5",
        PNS_data[Year], "2027"
    ),
    IF(_xlpm.sumValue = 0, "", _xlpm.sumValue)
)</f>
        <v/>
      </c>
      <c r="Q40" s="31" t="str">
        <f>_xlfn.LET(
    _xlpm.sumValue, SUMIFS(
        PNS_data[Value],
        PNS_data[Country], FR_data[[#This Row],[Country]],
        PNS_data[National Society name], selected,
        PNS_data[Attribute], "EFs",
        PNS_data[Year], "2027"
    ),
    IF(_xlpm.sumValue = 0, "", _xlpm.sumValue)
)</f>
        <v/>
      </c>
      <c r="R40" s="32" t="str">
        <f>IF(SUM(FR_data[[#This Row],[Response - Disasters and Crises ]:[Enabling Functions ]])=0,"",SUM(FR_data[[#This Row],[Response - Disasters and Crises ]:[Enabling Functions ]]))</f>
        <v/>
      </c>
      <c r="S40" s="39"/>
      <c r="T40" s="30" t="str">
        <f>_xlfn.LET(
    _xlpm.sumValue, SUMIFS(
        PNS_data[Value],
        PNS_data[Country], FR_data[[#This Row],[Country]],
        PNS_data[National Society name], selected,
        PNS_data[Attribute], "SP1",
        PNS_data[Year], "2028"
    ),
    IF(_xlpm.sumValue = 0, "", _xlpm.sumValue)
)</f>
        <v/>
      </c>
      <c r="U40" s="31" t="str">
        <f>_xlfn.LET(
    _xlpm.sumValue, SUMIFS(
        PNS_data[Value],
        PNS_data[Country], FR_data[[#This Row],[Country]],
        PNS_data[National Society name], selected,
        PNS_data[Attribute], "SP2",
        PNS_data[Year], "2028"
    ),
    IF(_xlpm.sumValue = 0, "", _xlpm.sumValue)
)</f>
        <v/>
      </c>
      <c r="V40" s="31" t="str">
        <f>_xlfn.LET(
    _xlpm.sumValue, SUMIFS(
        PNS_data[Value],
        PNS_data[Country], FR_data[[#This Row],[Country]],
        PNS_data[National Society name], selected,
        PNS_data[Attribute], "SP3",
        PNS_data[Year], "2028"
    ),
    IF(_xlpm.sumValue = 0, "", _xlpm.sumValue)
)</f>
        <v/>
      </c>
      <c r="W40" s="31" t="str">
        <f>_xlfn.LET(
    _xlpm.sumValue, SUMIFS(
        PNS_data[Value],
        PNS_data[Country], FR_data[[#This Row],[Country]],
        PNS_data[National Society name], selected,
        PNS_data[Attribute], "SP4",
        PNS_data[Year], "2028"
    ),
    IF(_xlpm.sumValue = 0, "", _xlpm.sumValue)
)</f>
        <v/>
      </c>
      <c r="X40" s="31" t="str">
        <f>_xlfn.LET(
    _xlpm.sumValue, SUMIFS(
        PNS_data[Value],
        PNS_data[Country], FR_data[[#This Row],[Country]],
        PNS_data[National Society name], selected,
        PNS_data[Attribute], "SP5",
        PNS_data[Year], "2028"
    ),
    IF(_xlpm.sumValue = 0, "", _xlpm.sumValue)
)</f>
        <v/>
      </c>
      <c r="Y40" s="31" t="str">
        <f>_xlfn.LET(
    _xlpm.sumValue, SUMIFS(
        PNS_data[Value],
        PNS_data[Country], FR_data[[#This Row],[Country]],
        PNS_data[National Society name], selected,
        PNS_data[Attribute], "EFs",
        PNS_data[Year], "2028"
    ),
    IF(_xlpm.sumValue = 0, "", _xlpm.sumValue)
)</f>
        <v/>
      </c>
      <c r="Z40" s="32" t="str">
        <f>IF(SUM(FR_data[[#This Row],[Response - Disasters and Crises  ]:[Enabling Functions  ]])=0,"",SUM(FR_data[[#This Row],[Response - Disasters and Crises  ]:[Enabling Functions  ]]))</f>
        <v/>
      </c>
      <c r="AA40" s="41"/>
    </row>
    <row r="41" spans="1:27" x14ac:dyDescent="0.3">
      <c r="A41" s="11" t="s">
        <v>285</v>
      </c>
      <c r="B41" s="11" t="s">
        <v>109</v>
      </c>
      <c r="C41" s="11" t="s">
        <v>286</v>
      </c>
      <c r="D41" s="30" t="str">
        <f>_xlfn.LET(
    _xlpm.sumValue, SUMIFS(
        PNS_data[Value],
        PNS_data[Country], FR_data[[#This Row],[Country]],
        PNS_data[National Society name], selected,
        PNS_data[Attribute], "SP1",
        PNS_data[Year], "2026"
    ),
    IF(_xlpm.sumValue = 0, "", _xlpm.sumValue)
)</f>
        <v/>
      </c>
      <c r="E41" s="31" t="str">
        <f>_xlfn.LET(
    _xlpm.sumValue, SUMIFS(
        PNS_data[Value],
        PNS_data[Country], FR_data[[#This Row],[Country]],
        PNS_data[National Society name], selected,
        PNS_data[Attribute], "SP2",
        PNS_data[Year], "2026"
    ),
    IF(_xlpm.sumValue = 0, "", _xlpm.sumValue)
)</f>
        <v/>
      </c>
      <c r="F41" s="31" t="str">
        <f>_xlfn.LET(
    _xlpm.sumValue, SUMIFS(
        PNS_data[Value],
        PNS_data[Country], FR_data[[#This Row],[Country]],
        PNS_data[National Society name], selected,
        PNS_data[Attribute], "SP3",
        PNS_data[Year], "2026"
    ),
    IF(_xlpm.sumValue = 0, "", _xlpm.sumValue)
)</f>
        <v/>
      </c>
      <c r="G41" s="31" t="str">
        <f>_xlfn.LET(
    _xlpm.sumValue, SUMIFS(
        PNS_data[Value],
        PNS_data[Country], FR_data[[#This Row],[Country]],
        PNS_data[National Society name], selected,
        PNS_data[Attribute], "SP4",
        PNS_data[Year], "2026"
    ),
    IF(_xlpm.sumValue = 0, "", _xlpm.sumValue)
)</f>
        <v/>
      </c>
      <c r="H41" s="31" t="str">
        <f>_xlfn.LET(
    _xlpm.sumValue, SUMIFS(
        PNS_data[Value],
        PNS_data[Country], FR_data[[#This Row],[Country]],
        PNS_data[National Society name], selected,
        PNS_data[Attribute], "SP5",
        PNS_data[Year], "2026"
    ),
    IF(_xlpm.sumValue = 0, "", _xlpm.sumValue)
)</f>
        <v/>
      </c>
      <c r="I41" s="31" t="str">
        <f>_xlfn.LET(
    _xlpm.sumValue, SUMIFS(
        PNS_data[Value],
        PNS_data[Country], FR_data[[#This Row],[Country]],
        PNS_data[National Society name], selected,
        PNS_data[Attribute], "EFs",
        PNS_data[Year], "2026"
    ),
    IF(_xlpm.sumValue = 0, "", _xlpm.sumValue)
)</f>
        <v/>
      </c>
      <c r="J41" s="32" t="str">
        <f>IF(SUM(FR_data[[#This Row],[Response - Disasters and Crises]:[Enabling Functions]])=0,"",SUM(FR_data[[#This Row],[Response - Disasters and Crises]:[Enabling Functions]]))</f>
        <v/>
      </c>
      <c r="K41" s="39"/>
      <c r="L41" s="30" t="str">
        <f>_xlfn.LET(
    _xlpm.sumValue, SUMIFS(
        PNS_data[Value],
        PNS_data[Country], FR_data[[#This Row],[Country]],
        PNS_data[National Society name], selected,
        PNS_data[Attribute], "SP1",
        PNS_data[Year], "2027"
    ),
    IF(_xlpm.sumValue = 0, "", _xlpm.sumValue)
)</f>
        <v/>
      </c>
      <c r="M41" s="31" t="str">
        <f>_xlfn.LET(
    _xlpm.sumValue, SUMIFS(
        PNS_data[Value],
        PNS_data[Country], FR_data[[#This Row],[Country]],
        PNS_data[National Society name], selected,
        PNS_data[Attribute], "SP2",
        PNS_data[Year], "2027"
    ),
    IF(_xlpm.sumValue = 0, "", _xlpm.sumValue)
)</f>
        <v/>
      </c>
      <c r="N41" s="31" t="str">
        <f>_xlfn.LET(
    _xlpm.sumValue, SUMIFS(
        PNS_data[Value],
        PNS_data[Country], FR_data[[#This Row],[Country]],
        PNS_data[National Society name], selected,
        PNS_data[Attribute], "SP3",
        PNS_data[Year], "2027"
    ),
    IF(_xlpm.sumValue = 0, "", _xlpm.sumValue)
)</f>
        <v/>
      </c>
      <c r="O41" s="31" t="str">
        <f>_xlfn.LET(
    _xlpm.sumValue, SUMIFS(
        PNS_data[Value],
        PNS_data[Country], FR_data[[#This Row],[Country]],
        PNS_data[National Society name], selected,
        PNS_data[Attribute], "SP4",
        PNS_data[Year], "2027"
    ),
    IF(_xlpm.sumValue = 0, "", _xlpm.sumValue)
)</f>
        <v/>
      </c>
      <c r="P41" s="31" t="str">
        <f>_xlfn.LET(
    _xlpm.sumValue, SUMIFS(
        PNS_data[Value],
        PNS_data[Country], FR_data[[#This Row],[Country]],
        PNS_data[National Society name], selected,
        PNS_data[Attribute], "SP5",
        PNS_data[Year], "2027"
    ),
    IF(_xlpm.sumValue = 0, "", _xlpm.sumValue)
)</f>
        <v/>
      </c>
      <c r="Q41" s="31" t="str">
        <f>_xlfn.LET(
    _xlpm.sumValue, SUMIFS(
        PNS_data[Value],
        PNS_data[Country], FR_data[[#This Row],[Country]],
        PNS_data[National Society name], selected,
        PNS_data[Attribute], "EFs",
        PNS_data[Year], "2027"
    ),
    IF(_xlpm.sumValue = 0, "", _xlpm.sumValue)
)</f>
        <v/>
      </c>
      <c r="R41" s="32" t="str">
        <f>IF(SUM(FR_data[[#This Row],[Response - Disasters and Crises ]:[Enabling Functions ]])=0,"",SUM(FR_data[[#This Row],[Response - Disasters and Crises ]:[Enabling Functions ]]))</f>
        <v/>
      </c>
      <c r="S41" s="39"/>
      <c r="T41" s="30" t="str">
        <f>_xlfn.LET(
    _xlpm.sumValue, SUMIFS(
        PNS_data[Value],
        PNS_data[Country], FR_data[[#This Row],[Country]],
        PNS_data[National Society name], selected,
        PNS_data[Attribute], "SP1",
        PNS_data[Year], "2028"
    ),
    IF(_xlpm.sumValue = 0, "", _xlpm.sumValue)
)</f>
        <v/>
      </c>
      <c r="U41" s="31" t="str">
        <f>_xlfn.LET(
    _xlpm.sumValue, SUMIFS(
        PNS_data[Value],
        PNS_data[Country], FR_data[[#This Row],[Country]],
        PNS_data[National Society name], selected,
        PNS_data[Attribute], "SP2",
        PNS_data[Year], "2028"
    ),
    IF(_xlpm.sumValue = 0, "", _xlpm.sumValue)
)</f>
        <v/>
      </c>
      <c r="V41" s="31" t="str">
        <f>_xlfn.LET(
    _xlpm.sumValue, SUMIFS(
        PNS_data[Value],
        PNS_data[Country], FR_data[[#This Row],[Country]],
        PNS_data[National Society name], selected,
        PNS_data[Attribute], "SP3",
        PNS_data[Year], "2028"
    ),
    IF(_xlpm.sumValue = 0, "", _xlpm.sumValue)
)</f>
        <v/>
      </c>
      <c r="W41" s="31" t="str">
        <f>_xlfn.LET(
    _xlpm.sumValue, SUMIFS(
        PNS_data[Value],
        PNS_data[Country], FR_data[[#This Row],[Country]],
        PNS_data[National Society name], selected,
        PNS_data[Attribute], "SP4",
        PNS_data[Year], "2028"
    ),
    IF(_xlpm.sumValue = 0, "", _xlpm.sumValue)
)</f>
        <v/>
      </c>
      <c r="X41" s="31" t="str">
        <f>_xlfn.LET(
    _xlpm.sumValue, SUMIFS(
        PNS_data[Value],
        PNS_data[Country], FR_data[[#This Row],[Country]],
        PNS_data[National Society name], selected,
        PNS_data[Attribute], "SP5",
        PNS_data[Year], "2028"
    ),
    IF(_xlpm.sumValue = 0, "", _xlpm.sumValue)
)</f>
        <v/>
      </c>
      <c r="Y41" s="31" t="str">
        <f>_xlfn.LET(
    _xlpm.sumValue, SUMIFS(
        PNS_data[Value],
        PNS_data[Country], FR_data[[#This Row],[Country]],
        PNS_data[National Society name], selected,
        PNS_data[Attribute], "EFs",
        PNS_data[Year], "2028"
    ),
    IF(_xlpm.sumValue = 0, "", _xlpm.sumValue)
)</f>
        <v/>
      </c>
      <c r="Z41" s="32" t="str">
        <f>IF(SUM(FR_data[[#This Row],[Response - Disasters and Crises  ]:[Enabling Functions  ]])=0,"",SUM(FR_data[[#This Row],[Response - Disasters and Crises  ]:[Enabling Functions  ]]))</f>
        <v/>
      </c>
      <c r="AA41" s="41"/>
    </row>
    <row r="42" spans="1:27" x14ac:dyDescent="0.3">
      <c r="A42" s="11" t="s">
        <v>293</v>
      </c>
      <c r="B42" s="11" t="s">
        <v>109</v>
      </c>
      <c r="C42" s="11" t="s">
        <v>294</v>
      </c>
      <c r="D42" s="30" t="str">
        <f>_xlfn.LET(
    _xlpm.sumValue, SUMIFS(
        PNS_data[Value],
        PNS_data[Country], FR_data[[#This Row],[Country]],
        PNS_data[National Society name], selected,
        PNS_data[Attribute], "SP1",
        PNS_data[Year], "2026"
    ),
    IF(_xlpm.sumValue = 0, "", _xlpm.sumValue)
)</f>
        <v/>
      </c>
      <c r="E42" s="31" t="str">
        <f>_xlfn.LET(
    _xlpm.sumValue, SUMIFS(
        PNS_data[Value],
        PNS_data[Country], FR_data[[#This Row],[Country]],
        PNS_data[National Society name], selected,
        PNS_data[Attribute], "SP2",
        PNS_data[Year], "2026"
    ),
    IF(_xlpm.sumValue = 0, "", _xlpm.sumValue)
)</f>
        <v/>
      </c>
      <c r="F42" s="31" t="str">
        <f>_xlfn.LET(
    _xlpm.sumValue, SUMIFS(
        PNS_data[Value],
        PNS_data[Country], FR_data[[#This Row],[Country]],
        PNS_data[National Society name], selected,
        PNS_data[Attribute], "SP3",
        PNS_data[Year], "2026"
    ),
    IF(_xlpm.sumValue = 0, "", _xlpm.sumValue)
)</f>
        <v/>
      </c>
      <c r="G42" s="31" t="str">
        <f>_xlfn.LET(
    _xlpm.sumValue, SUMIFS(
        PNS_data[Value],
        PNS_data[Country], FR_data[[#This Row],[Country]],
        PNS_data[National Society name], selected,
        PNS_data[Attribute], "SP4",
        PNS_data[Year], "2026"
    ),
    IF(_xlpm.sumValue = 0, "", _xlpm.sumValue)
)</f>
        <v/>
      </c>
      <c r="H42" s="31" t="str">
        <f>_xlfn.LET(
    _xlpm.sumValue, SUMIFS(
        PNS_data[Value],
        PNS_data[Country], FR_data[[#This Row],[Country]],
        PNS_data[National Society name], selected,
        PNS_data[Attribute], "SP5",
        PNS_data[Year], "2026"
    ),
    IF(_xlpm.sumValue = 0, "", _xlpm.sumValue)
)</f>
        <v/>
      </c>
      <c r="I42" s="31" t="str">
        <f>_xlfn.LET(
    _xlpm.sumValue, SUMIFS(
        PNS_data[Value],
        PNS_data[Country], FR_data[[#This Row],[Country]],
        PNS_data[National Society name], selected,
        PNS_data[Attribute], "EFs",
        PNS_data[Year], "2026"
    ),
    IF(_xlpm.sumValue = 0, "", _xlpm.sumValue)
)</f>
        <v/>
      </c>
      <c r="J42" s="32" t="str">
        <f>IF(SUM(FR_data[[#This Row],[Response - Disasters and Crises]:[Enabling Functions]])=0,"",SUM(FR_data[[#This Row],[Response - Disasters and Crises]:[Enabling Functions]]))</f>
        <v/>
      </c>
      <c r="K42" s="39"/>
      <c r="L42" s="30" t="str">
        <f>_xlfn.LET(
    _xlpm.sumValue, SUMIFS(
        PNS_data[Value],
        PNS_data[Country], FR_data[[#This Row],[Country]],
        PNS_data[National Society name], selected,
        PNS_data[Attribute], "SP1",
        PNS_data[Year], "2027"
    ),
    IF(_xlpm.sumValue = 0, "", _xlpm.sumValue)
)</f>
        <v/>
      </c>
      <c r="M42" s="31" t="str">
        <f>_xlfn.LET(
    _xlpm.sumValue, SUMIFS(
        PNS_data[Value],
        PNS_data[Country], FR_data[[#This Row],[Country]],
        PNS_data[National Society name], selected,
        PNS_data[Attribute], "SP2",
        PNS_data[Year], "2027"
    ),
    IF(_xlpm.sumValue = 0, "", _xlpm.sumValue)
)</f>
        <v/>
      </c>
      <c r="N42" s="31" t="str">
        <f>_xlfn.LET(
    _xlpm.sumValue, SUMIFS(
        PNS_data[Value],
        PNS_data[Country], FR_data[[#This Row],[Country]],
        PNS_data[National Society name], selected,
        PNS_data[Attribute], "SP3",
        PNS_data[Year], "2027"
    ),
    IF(_xlpm.sumValue = 0, "", _xlpm.sumValue)
)</f>
        <v/>
      </c>
      <c r="O42" s="31" t="str">
        <f>_xlfn.LET(
    _xlpm.sumValue, SUMIFS(
        PNS_data[Value],
        PNS_data[Country], FR_data[[#This Row],[Country]],
        PNS_data[National Society name], selected,
        PNS_data[Attribute], "SP4",
        PNS_data[Year], "2027"
    ),
    IF(_xlpm.sumValue = 0, "", _xlpm.sumValue)
)</f>
        <v/>
      </c>
      <c r="P42" s="31" t="str">
        <f>_xlfn.LET(
    _xlpm.sumValue, SUMIFS(
        PNS_data[Value],
        PNS_data[Country], FR_data[[#This Row],[Country]],
        PNS_data[National Society name], selected,
        PNS_data[Attribute], "SP5",
        PNS_data[Year], "2027"
    ),
    IF(_xlpm.sumValue = 0, "", _xlpm.sumValue)
)</f>
        <v/>
      </c>
      <c r="Q42" s="31" t="str">
        <f>_xlfn.LET(
    _xlpm.sumValue, SUMIFS(
        PNS_data[Value],
        PNS_data[Country], FR_data[[#This Row],[Country]],
        PNS_data[National Society name], selected,
        PNS_data[Attribute], "EFs",
        PNS_data[Year], "2027"
    ),
    IF(_xlpm.sumValue = 0, "", _xlpm.sumValue)
)</f>
        <v/>
      </c>
      <c r="R42" s="32" t="str">
        <f>IF(SUM(FR_data[[#This Row],[Response - Disasters and Crises ]:[Enabling Functions ]])=0,"",SUM(FR_data[[#This Row],[Response - Disasters and Crises ]:[Enabling Functions ]]))</f>
        <v/>
      </c>
      <c r="S42" s="39"/>
      <c r="T42" s="30" t="str">
        <f>_xlfn.LET(
    _xlpm.sumValue, SUMIFS(
        PNS_data[Value],
        PNS_data[Country], FR_data[[#This Row],[Country]],
        PNS_data[National Society name], selected,
        PNS_data[Attribute], "SP1",
        PNS_data[Year], "2028"
    ),
    IF(_xlpm.sumValue = 0, "", _xlpm.sumValue)
)</f>
        <v/>
      </c>
      <c r="U42" s="31" t="str">
        <f>_xlfn.LET(
    _xlpm.sumValue, SUMIFS(
        PNS_data[Value],
        PNS_data[Country], FR_data[[#This Row],[Country]],
        PNS_data[National Society name], selected,
        PNS_data[Attribute], "SP2",
        PNS_data[Year], "2028"
    ),
    IF(_xlpm.sumValue = 0, "", _xlpm.sumValue)
)</f>
        <v/>
      </c>
      <c r="V42" s="31" t="str">
        <f>_xlfn.LET(
    _xlpm.sumValue, SUMIFS(
        PNS_data[Value],
        PNS_data[Country], FR_data[[#This Row],[Country]],
        PNS_data[National Society name], selected,
        PNS_data[Attribute], "SP3",
        PNS_data[Year], "2028"
    ),
    IF(_xlpm.sumValue = 0, "", _xlpm.sumValue)
)</f>
        <v/>
      </c>
      <c r="W42" s="31" t="str">
        <f>_xlfn.LET(
    _xlpm.sumValue, SUMIFS(
        PNS_data[Value],
        PNS_data[Country], FR_data[[#This Row],[Country]],
        PNS_data[National Society name], selected,
        PNS_data[Attribute], "SP4",
        PNS_data[Year], "2028"
    ),
    IF(_xlpm.sumValue = 0, "", _xlpm.sumValue)
)</f>
        <v/>
      </c>
      <c r="X42" s="31" t="str">
        <f>_xlfn.LET(
    _xlpm.sumValue, SUMIFS(
        PNS_data[Value],
        PNS_data[Country], FR_data[[#This Row],[Country]],
        PNS_data[National Society name], selected,
        PNS_data[Attribute], "SP5",
        PNS_data[Year], "2028"
    ),
    IF(_xlpm.sumValue = 0, "", _xlpm.sumValue)
)</f>
        <v/>
      </c>
      <c r="Y42" s="31" t="str">
        <f>_xlfn.LET(
    _xlpm.sumValue, SUMIFS(
        PNS_data[Value],
        PNS_data[Country], FR_data[[#This Row],[Country]],
        PNS_data[National Society name], selected,
        PNS_data[Attribute], "EFs",
        PNS_data[Year], "2028"
    ),
    IF(_xlpm.sumValue = 0, "", _xlpm.sumValue)
)</f>
        <v/>
      </c>
      <c r="Z42" s="32" t="str">
        <f>IF(SUM(FR_data[[#This Row],[Response - Disasters and Crises  ]:[Enabling Functions  ]])=0,"",SUM(FR_data[[#This Row],[Response - Disasters and Crises  ]:[Enabling Functions  ]]))</f>
        <v/>
      </c>
      <c r="AA42" s="41"/>
    </row>
    <row r="43" spans="1:27" x14ac:dyDescent="0.3">
      <c r="A43" s="11" t="s">
        <v>297</v>
      </c>
      <c r="B43" s="11" t="s">
        <v>109</v>
      </c>
      <c r="C43" s="11" t="s">
        <v>298</v>
      </c>
      <c r="D43" s="30" t="str">
        <f>_xlfn.LET(
    _xlpm.sumValue, SUMIFS(
        PNS_data[Value],
        PNS_data[Country], FR_data[[#This Row],[Country]],
        PNS_data[National Society name], selected,
        PNS_data[Attribute], "SP1",
        PNS_data[Year], "2026"
    ),
    IF(_xlpm.sumValue = 0, "", _xlpm.sumValue)
)</f>
        <v/>
      </c>
      <c r="E43" s="31" t="str">
        <f>_xlfn.LET(
    _xlpm.sumValue, SUMIFS(
        PNS_data[Value],
        PNS_data[Country], FR_data[[#This Row],[Country]],
        PNS_data[National Society name], selected,
        PNS_data[Attribute], "SP2",
        PNS_data[Year], "2026"
    ),
    IF(_xlpm.sumValue = 0, "", _xlpm.sumValue)
)</f>
        <v/>
      </c>
      <c r="F43" s="31" t="str">
        <f>_xlfn.LET(
    _xlpm.sumValue, SUMIFS(
        PNS_data[Value],
        PNS_data[Country], FR_data[[#This Row],[Country]],
        PNS_data[National Society name], selected,
        PNS_data[Attribute], "SP3",
        PNS_data[Year], "2026"
    ),
    IF(_xlpm.sumValue = 0, "", _xlpm.sumValue)
)</f>
        <v/>
      </c>
      <c r="G43" s="31" t="str">
        <f>_xlfn.LET(
    _xlpm.sumValue, SUMIFS(
        PNS_data[Value],
        PNS_data[Country], FR_data[[#This Row],[Country]],
        PNS_data[National Society name], selected,
        PNS_data[Attribute], "SP4",
        PNS_data[Year], "2026"
    ),
    IF(_xlpm.sumValue = 0, "", _xlpm.sumValue)
)</f>
        <v/>
      </c>
      <c r="H43" s="31" t="str">
        <f>_xlfn.LET(
    _xlpm.sumValue, SUMIFS(
        PNS_data[Value],
        PNS_data[Country], FR_data[[#This Row],[Country]],
        PNS_data[National Society name], selected,
        PNS_data[Attribute], "SP5",
        PNS_data[Year], "2026"
    ),
    IF(_xlpm.sumValue = 0, "", _xlpm.sumValue)
)</f>
        <v/>
      </c>
      <c r="I43" s="31" t="str">
        <f>_xlfn.LET(
    _xlpm.sumValue, SUMIFS(
        PNS_data[Value],
        PNS_data[Country], FR_data[[#This Row],[Country]],
        PNS_data[National Society name], selected,
        PNS_data[Attribute], "EFs",
        PNS_data[Year], "2026"
    ),
    IF(_xlpm.sumValue = 0, "", _xlpm.sumValue)
)</f>
        <v/>
      </c>
      <c r="J43" s="32" t="str">
        <f>IF(SUM(FR_data[[#This Row],[Response - Disasters and Crises]:[Enabling Functions]])=0,"",SUM(FR_data[[#This Row],[Response - Disasters and Crises]:[Enabling Functions]]))</f>
        <v/>
      </c>
      <c r="K43" s="39"/>
      <c r="L43" s="30" t="str">
        <f>_xlfn.LET(
    _xlpm.sumValue, SUMIFS(
        PNS_data[Value],
        PNS_data[Country], FR_data[[#This Row],[Country]],
        PNS_data[National Society name], selected,
        PNS_data[Attribute], "SP1",
        PNS_data[Year], "2027"
    ),
    IF(_xlpm.sumValue = 0, "", _xlpm.sumValue)
)</f>
        <v/>
      </c>
      <c r="M43" s="31" t="str">
        <f>_xlfn.LET(
    _xlpm.sumValue, SUMIFS(
        PNS_data[Value],
        PNS_data[Country], FR_data[[#This Row],[Country]],
        PNS_data[National Society name], selected,
        PNS_data[Attribute], "SP2",
        PNS_data[Year], "2027"
    ),
    IF(_xlpm.sumValue = 0, "", _xlpm.sumValue)
)</f>
        <v/>
      </c>
      <c r="N43" s="31" t="str">
        <f>_xlfn.LET(
    _xlpm.sumValue, SUMIFS(
        PNS_data[Value],
        PNS_data[Country], FR_data[[#This Row],[Country]],
        PNS_data[National Society name], selected,
        PNS_data[Attribute], "SP3",
        PNS_data[Year], "2027"
    ),
    IF(_xlpm.sumValue = 0, "", _xlpm.sumValue)
)</f>
        <v/>
      </c>
      <c r="O43" s="31" t="str">
        <f>_xlfn.LET(
    _xlpm.sumValue, SUMIFS(
        PNS_data[Value],
        PNS_data[Country], FR_data[[#This Row],[Country]],
        PNS_data[National Society name], selected,
        PNS_data[Attribute], "SP4",
        PNS_data[Year], "2027"
    ),
    IF(_xlpm.sumValue = 0, "", _xlpm.sumValue)
)</f>
        <v/>
      </c>
      <c r="P43" s="31" t="str">
        <f>_xlfn.LET(
    _xlpm.sumValue, SUMIFS(
        PNS_data[Value],
        PNS_data[Country], FR_data[[#This Row],[Country]],
        PNS_data[National Society name], selected,
        PNS_data[Attribute], "SP5",
        PNS_data[Year], "2027"
    ),
    IF(_xlpm.sumValue = 0, "", _xlpm.sumValue)
)</f>
        <v/>
      </c>
      <c r="Q43" s="31" t="str">
        <f>_xlfn.LET(
    _xlpm.sumValue, SUMIFS(
        PNS_data[Value],
        PNS_data[Country], FR_data[[#This Row],[Country]],
        PNS_data[National Society name], selected,
        PNS_data[Attribute], "EFs",
        PNS_data[Year], "2027"
    ),
    IF(_xlpm.sumValue = 0, "", _xlpm.sumValue)
)</f>
        <v/>
      </c>
      <c r="R43" s="32" t="str">
        <f>IF(SUM(FR_data[[#This Row],[Response - Disasters and Crises ]:[Enabling Functions ]])=0,"",SUM(FR_data[[#This Row],[Response - Disasters and Crises ]:[Enabling Functions ]]))</f>
        <v/>
      </c>
      <c r="S43" s="39"/>
      <c r="T43" s="30" t="str">
        <f>_xlfn.LET(
    _xlpm.sumValue, SUMIFS(
        PNS_data[Value],
        PNS_data[Country], FR_data[[#This Row],[Country]],
        PNS_data[National Society name], selected,
        PNS_data[Attribute], "SP1",
        PNS_data[Year], "2028"
    ),
    IF(_xlpm.sumValue = 0, "", _xlpm.sumValue)
)</f>
        <v/>
      </c>
      <c r="U43" s="31" t="str">
        <f>_xlfn.LET(
    _xlpm.sumValue, SUMIFS(
        PNS_data[Value],
        PNS_data[Country], FR_data[[#This Row],[Country]],
        PNS_data[National Society name], selected,
        PNS_data[Attribute], "SP2",
        PNS_data[Year], "2028"
    ),
    IF(_xlpm.sumValue = 0, "", _xlpm.sumValue)
)</f>
        <v/>
      </c>
      <c r="V43" s="31" t="str">
        <f>_xlfn.LET(
    _xlpm.sumValue, SUMIFS(
        PNS_data[Value],
        PNS_data[Country], FR_data[[#This Row],[Country]],
        PNS_data[National Society name], selected,
        PNS_data[Attribute], "SP3",
        PNS_data[Year], "2028"
    ),
    IF(_xlpm.sumValue = 0, "", _xlpm.sumValue)
)</f>
        <v/>
      </c>
      <c r="W43" s="31" t="str">
        <f>_xlfn.LET(
    _xlpm.sumValue, SUMIFS(
        PNS_data[Value],
        PNS_data[Country], FR_data[[#This Row],[Country]],
        PNS_data[National Society name], selected,
        PNS_data[Attribute], "SP4",
        PNS_data[Year], "2028"
    ),
    IF(_xlpm.sumValue = 0, "", _xlpm.sumValue)
)</f>
        <v/>
      </c>
      <c r="X43" s="31" t="str">
        <f>_xlfn.LET(
    _xlpm.sumValue, SUMIFS(
        PNS_data[Value],
        PNS_data[Country], FR_data[[#This Row],[Country]],
        PNS_data[National Society name], selected,
        PNS_data[Attribute], "SP5",
        PNS_data[Year], "2028"
    ),
    IF(_xlpm.sumValue = 0, "", _xlpm.sumValue)
)</f>
        <v/>
      </c>
      <c r="Y43" s="31" t="str">
        <f>_xlfn.LET(
    _xlpm.sumValue, SUMIFS(
        PNS_data[Value],
        PNS_data[Country], FR_data[[#This Row],[Country]],
        PNS_data[National Society name], selected,
        PNS_data[Attribute], "EFs",
        PNS_data[Year], "2028"
    ),
    IF(_xlpm.sumValue = 0, "", _xlpm.sumValue)
)</f>
        <v/>
      </c>
      <c r="Z43" s="32" t="str">
        <f>IF(SUM(FR_data[[#This Row],[Response - Disasters and Crises  ]:[Enabling Functions  ]])=0,"",SUM(FR_data[[#This Row],[Response - Disasters and Crises  ]:[Enabling Functions  ]]))</f>
        <v/>
      </c>
      <c r="AA43" s="41"/>
    </row>
    <row r="44" spans="1:27" x14ac:dyDescent="0.3">
      <c r="A44" s="11" t="s">
        <v>323</v>
      </c>
      <c r="B44" s="11" t="s">
        <v>109</v>
      </c>
      <c r="C44" s="11" t="s">
        <v>324</v>
      </c>
      <c r="D44" s="30" t="str">
        <f>_xlfn.LET(
    _xlpm.sumValue, SUMIFS(
        PNS_data[Value],
        PNS_data[Country], FR_data[[#This Row],[Country]],
        PNS_data[National Society name], selected,
        PNS_data[Attribute], "SP1",
        PNS_data[Year], "2026"
    ),
    IF(_xlpm.sumValue = 0, "", _xlpm.sumValue)
)</f>
        <v/>
      </c>
      <c r="E44" s="31" t="str">
        <f>_xlfn.LET(
    _xlpm.sumValue, SUMIFS(
        PNS_data[Value],
        PNS_data[Country], FR_data[[#This Row],[Country]],
        PNS_data[National Society name], selected,
        PNS_data[Attribute], "SP2",
        PNS_data[Year], "2026"
    ),
    IF(_xlpm.sumValue = 0, "", _xlpm.sumValue)
)</f>
        <v/>
      </c>
      <c r="F44" s="31" t="str">
        <f>_xlfn.LET(
    _xlpm.sumValue, SUMIFS(
        PNS_data[Value],
        PNS_data[Country], FR_data[[#This Row],[Country]],
        PNS_data[National Society name], selected,
        PNS_data[Attribute], "SP3",
        PNS_data[Year], "2026"
    ),
    IF(_xlpm.sumValue = 0, "", _xlpm.sumValue)
)</f>
        <v/>
      </c>
      <c r="G44" s="31" t="str">
        <f>_xlfn.LET(
    _xlpm.sumValue, SUMIFS(
        PNS_data[Value],
        PNS_data[Country], FR_data[[#This Row],[Country]],
        PNS_data[National Society name], selected,
        PNS_data[Attribute], "SP4",
        PNS_data[Year], "2026"
    ),
    IF(_xlpm.sumValue = 0, "", _xlpm.sumValue)
)</f>
        <v/>
      </c>
      <c r="H44" s="31" t="str">
        <f>_xlfn.LET(
    _xlpm.sumValue, SUMIFS(
        PNS_data[Value],
        PNS_data[Country], FR_data[[#This Row],[Country]],
        PNS_data[National Society name], selected,
        PNS_data[Attribute], "SP5",
        PNS_data[Year], "2026"
    ),
    IF(_xlpm.sumValue = 0, "", _xlpm.sumValue)
)</f>
        <v/>
      </c>
      <c r="I44" s="31" t="str">
        <f>_xlfn.LET(
    _xlpm.sumValue, SUMIFS(
        PNS_data[Value],
        PNS_data[Country], FR_data[[#This Row],[Country]],
        PNS_data[National Society name], selected,
        PNS_data[Attribute], "EFs",
        PNS_data[Year], "2026"
    ),
    IF(_xlpm.sumValue = 0, "", _xlpm.sumValue)
)</f>
        <v/>
      </c>
      <c r="J44" s="32" t="str">
        <f>IF(SUM(FR_data[[#This Row],[Response - Disasters and Crises]:[Enabling Functions]])=0,"",SUM(FR_data[[#This Row],[Response - Disasters and Crises]:[Enabling Functions]]))</f>
        <v/>
      </c>
      <c r="K44" s="39"/>
      <c r="L44" s="30" t="str">
        <f>_xlfn.LET(
    _xlpm.sumValue, SUMIFS(
        PNS_data[Value],
        PNS_data[Country], FR_data[[#This Row],[Country]],
        PNS_data[National Society name], selected,
        PNS_data[Attribute], "SP1",
        PNS_data[Year], "2027"
    ),
    IF(_xlpm.sumValue = 0, "", _xlpm.sumValue)
)</f>
        <v/>
      </c>
      <c r="M44" s="31" t="str">
        <f>_xlfn.LET(
    _xlpm.sumValue, SUMIFS(
        PNS_data[Value],
        PNS_data[Country], FR_data[[#This Row],[Country]],
        PNS_data[National Society name], selected,
        PNS_data[Attribute], "SP2",
        PNS_data[Year], "2027"
    ),
    IF(_xlpm.sumValue = 0, "", _xlpm.sumValue)
)</f>
        <v/>
      </c>
      <c r="N44" s="31" t="str">
        <f>_xlfn.LET(
    _xlpm.sumValue, SUMIFS(
        PNS_data[Value],
        PNS_data[Country], FR_data[[#This Row],[Country]],
        PNS_data[National Society name], selected,
        PNS_data[Attribute], "SP3",
        PNS_data[Year], "2027"
    ),
    IF(_xlpm.sumValue = 0, "", _xlpm.sumValue)
)</f>
        <v/>
      </c>
      <c r="O44" s="31" t="str">
        <f>_xlfn.LET(
    _xlpm.sumValue, SUMIFS(
        PNS_data[Value],
        PNS_data[Country], FR_data[[#This Row],[Country]],
        PNS_data[National Society name], selected,
        PNS_data[Attribute], "SP4",
        PNS_data[Year], "2027"
    ),
    IF(_xlpm.sumValue = 0, "", _xlpm.sumValue)
)</f>
        <v/>
      </c>
      <c r="P44" s="31" t="str">
        <f>_xlfn.LET(
    _xlpm.sumValue, SUMIFS(
        PNS_data[Value],
        PNS_data[Country], FR_data[[#This Row],[Country]],
        PNS_data[National Society name], selected,
        PNS_data[Attribute], "SP5",
        PNS_data[Year], "2027"
    ),
    IF(_xlpm.sumValue = 0, "", _xlpm.sumValue)
)</f>
        <v/>
      </c>
      <c r="Q44" s="31" t="str">
        <f>_xlfn.LET(
    _xlpm.sumValue, SUMIFS(
        PNS_data[Value],
        PNS_data[Country], FR_data[[#This Row],[Country]],
        PNS_data[National Society name], selected,
        PNS_data[Attribute], "EFs",
        PNS_data[Year], "2027"
    ),
    IF(_xlpm.sumValue = 0, "", _xlpm.sumValue)
)</f>
        <v/>
      </c>
      <c r="R44" s="32" t="str">
        <f>IF(SUM(FR_data[[#This Row],[Response - Disasters and Crises ]:[Enabling Functions ]])=0,"",SUM(FR_data[[#This Row],[Response - Disasters and Crises ]:[Enabling Functions ]]))</f>
        <v/>
      </c>
      <c r="S44" s="39"/>
      <c r="T44" s="30" t="str">
        <f>_xlfn.LET(
    _xlpm.sumValue, SUMIFS(
        PNS_data[Value],
        PNS_data[Country], FR_data[[#This Row],[Country]],
        PNS_data[National Society name], selected,
        PNS_data[Attribute], "SP1",
        PNS_data[Year], "2028"
    ),
    IF(_xlpm.sumValue = 0, "", _xlpm.sumValue)
)</f>
        <v/>
      </c>
      <c r="U44" s="31" t="str">
        <f>_xlfn.LET(
    _xlpm.sumValue, SUMIFS(
        PNS_data[Value],
        PNS_data[Country], FR_data[[#This Row],[Country]],
        PNS_data[National Society name], selected,
        PNS_data[Attribute], "SP2",
        PNS_data[Year], "2028"
    ),
    IF(_xlpm.sumValue = 0, "", _xlpm.sumValue)
)</f>
        <v/>
      </c>
      <c r="V44" s="31" t="str">
        <f>_xlfn.LET(
    _xlpm.sumValue, SUMIFS(
        PNS_data[Value],
        PNS_data[Country], FR_data[[#This Row],[Country]],
        PNS_data[National Society name], selected,
        PNS_data[Attribute], "SP3",
        PNS_data[Year], "2028"
    ),
    IF(_xlpm.sumValue = 0, "", _xlpm.sumValue)
)</f>
        <v/>
      </c>
      <c r="W44" s="31" t="str">
        <f>_xlfn.LET(
    _xlpm.sumValue, SUMIFS(
        PNS_data[Value],
        PNS_data[Country], FR_data[[#This Row],[Country]],
        PNS_data[National Society name], selected,
        PNS_data[Attribute], "SP4",
        PNS_data[Year], "2028"
    ),
    IF(_xlpm.sumValue = 0, "", _xlpm.sumValue)
)</f>
        <v/>
      </c>
      <c r="X44" s="31" t="str">
        <f>_xlfn.LET(
    _xlpm.sumValue, SUMIFS(
        PNS_data[Value],
        PNS_data[Country], FR_data[[#This Row],[Country]],
        PNS_data[National Society name], selected,
        PNS_data[Attribute], "SP5",
        PNS_data[Year], "2028"
    ),
    IF(_xlpm.sumValue = 0, "", _xlpm.sumValue)
)</f>
        <v/>
      </c>
      <c r="Y44" s="31" t="str">
        <f>_xlfn.LET(
    _xlpm.sumValue, SUMIFS(
        PNS_data[Value],
        PNS_data[Country], FR_data[[#This Row],[Country]],
        PNS_data[National Society name], selected,
        PNS_data[Attribute], "EFs",
        PNS_data[Year], "2028"
    ),
    IF(_xlpm.sumValue = 0, "", _xlpm.sumValue)
)</f>
        <v/>
      </c>
      <c r="Z44" s="32" t="str">
        <f>IF(SUM(FR_data[[#This Row],[Response - Disasters and Crises  ]:[Enabling Functions  ]])=0,"",SUM(FR_data[[#This Row],[Response - Disasters and Crises  ]:[Enabling Functions  ]]))</f>
        <v/>
      </c>
      <c r="AA44" s="41"/>
    </row>
    <row r="45" spans="1:27" x14ac:dyDescent="0.3">
      <c r="A45" s="11" t="s">
        <v>271</v>
      </c>
      <c r="B45" s="11" t="s">
        <v>109</v>
      </c>
      <c r="C45" s="11" t="s">
        <v>80</v>
      </c>
      <c r="D45" s="30">
        <f>_xlfn.LET(
    _xlpm.sumValue, SUMIFS(
        PNS_data[Value],
        PNS_data[Country], FR_data[[#This Row],[Country]],
        PNS_data[National Society name], selected,
        PNS_data[Attribute], "SP1",
        PNS_data[Year], "2026"
    ),
    IF(_xlpm.sumValue = 0, "", _xlpm.sumValue)
)</f>
        <v>290000</v>
      </c>
      <c r="E45" s="31">
        <f>_xlfn.LET(
    _xlpm.sumValue, SUMIFS(
        PNS_data[Value],
        PNS_data[Country], FR_data[[#This Row],[Country]],
        PNS_data[National Society name], selected,
        PNS_data[Attribute], "SP2",
        PNS_data[Year], "2026"
    ),
    IF(_xlpm.sumValue = 0, "", _xlpm.sumValue)
)</f>
        <v>300000</v>
      </c>
      <c r="F45" s="31">
        <f>_xlfn.LET(
    _xlpm.sumValue, SUMIFS(
        PNS_data[Value],
        PNS_data[Country], FR_data[[#This Row],[Country]],
        PNS_data[National Society name], selected,
        PNS_data[Attribute], "SP3",
        PNS_data[Year], "2026"
    ),
    IF(_xlpm.sumValue = 0, "", _xlpm.sumValue)
)</f>
        <v>50000</v>
      </c>
      <c r="G45" s="31" t="str">
        <f>_xlfn.LET(
    _xlpm.sumValue, SUMIFS(
        PNS_data[Value],
        PNS_data[Country], FR_data[[#This Row],[Country]],
        PNS_data[National Society name], selected,
        PNS_data[Attribute], "SP4",
        PNS_data[Year], "2026"
    ),
    IF(_xlpm.sumValue = 0, "", _xlpm.sumValue)
)</f>
        <v/>
      </c>
      <c r="H45" s="31">
        <f>_xlfn.LET(
    _xlpm.sumValue, SUMIFS(
        PNS_data[Value],
        PNS_data[Country], FR_data[[#This Row],[Country]],
        PNS_data[National Society name], selected,
        PNS_data[Attribute], "SP5",
        PNS_data[Year], "2026"
    ),
    IF(_xlpm.sumValue = 0, "", _xlpm.sumValue)
)</f>
        <v>40000</v>
      </c>
      <c r="I45" s="31">
        <f>_xlfn.LET(
    _xlpm.sumValue, SUMIFS(
        PNS_data[Value],
        PNS_data[Country], FR_data[[#This Row],[Country]],
        PNS_data[National Society name], selected,
        PNS_data[Attribute], "EFs",
        PNS_data[Year], "2026"
    ),
    IF(_xlpm.sumValue = 0, "", _xlpm.sumValue)
)</f>
        <v>110000</v>
      </c>
      <c r="J45" s="32">
        <f>IF(SUM(FR_data[[#This Row],[Response - Disasters and Crises]:[Enabling Functions]])=0,"",SUM(FR_data[[#This Row],[Response - Disasters and Crises]:[Enabling Functions]]))</f>
        <v>790000</v>
      </c>
      <c r="K45" s="39"/>
      <c r="L45" s="30" t="str">
        <f>_xlfn.LET(
    _xlpm.sumValue, SUMIFS(
        PNS_data[Value],
        PNS_data[Country], FR_data[[#This Row],[Country]],
        PNS_data[National Society name], selected,
        PNS_data[Attribute], "SP1",
        PNS_data[Year], "2027"
    ),
    IF(_xlpm.sumValue = 0, "", _xlpm.sumValue)
)</f>
        <v/>
      </c>
      <c r="M45" s="31" t="str">
        <f>_xlfn.LET(
    _xlpm.sumValue, SUMIFS(
        PNS_data[Value],
        PNS_data[Country], FR_data[[#This Row],[Country]],
        PNS_data[National Society name], selected,
        PNS_data[Attribute], "SP2",
        PNS_data[Year], "2027"
    ),
    IF(_xlpm.sumValue = 0, "", _xlpm.sumValue)
)</f>
        <v/>
      </c>
      <c r="N45" s="31" t="str">
        <f>_xlfn.LET(
    _xlpm.sumValue, SUMIFS(
        PNS_data[Value],
        PNS_data[Country], FR_data[[#This Row],[Country]],
        PNS_data[National Society name], selected,
        PNS_data[Attribute], "SP3",
        PNS_data[Year], "2027"
    ),
    IF(_xlpm.sumValue = 0, "", _xlpm.sumValue)
)</f>
        <v/>
      </c>
      <c r="O45" s="31" t="str">
        <f>_xlfn.LET(
    _xlpm.sumValue, SUMIFS(
        PNS_data[Value],
        PNS_data[Country], FR_data[[#This Row],[Country]],
        PNS_data[National Society name], selected,
        PNS_data[Attribute], "SP4",
        PNS_data[Year], "2027"
    ),
    IF(_xlpm.sumValue = 0, "", _xlpm.sumValue)
)</f>
        <v/>
      </c>
      <c r="P45" s="31" t="str">
        <f>_xlfn.LET(
    _xlpm.sumValue, SUMIFS(
        PNS_data[Value],
        PNS_data[Country], FR_data[[#This Row],[Country]],
        PNS_data[National Society name], selected,
        PNS_data[Attribute], "SP5",
        PNS_data[Year], "2027"
    ),
    IF(_xlpm.sumValue = 0, "", _xlpm.sumValue)
)</f>
        <v/>
      </c>
      <c r="Q45" s="31" t="str">
        <f>_xlfn.LET(
    _xlpm.sumValue, SUMIFS(
        PNS_data[Value],
        PNS_data[Country], FR_data[[#This Row],[Country]],
        PNS_data[National Society name], selected,
        PNS_data[Attribute], "EFs",
        PNS_data[Year], "2027"
    ),
    IF(_xlpm.sumValue = 0, "", _xlpm.sumValue)
)</f>
        <v/>
      </c>
      <c r="R45" s="32" t="str">
        <f>IF(SUM(FR_data[[#This Row],[Response - Disasters and Crises ]:[Enabling Functions ]])=0,"",SUM(FR_data[[#This Row],[Response - Disasters and Crises ]:[Enabling Functions ]]))</f>
        <v/>
      </c>
      <c r="S45" s="39"/>
      <c r="T45" s="30" t="str">
        <f>_xlfn.LET(
    _xlpm.sumValue, SUMIFS(
        PNS_data[Value],
        PNS_data[Country], FR_data[[#This Row],[Country]],
        PNS_data[National Society name], selected,
        PNS_data[Attribute], "SP1",
        PNS_data[Year], "2028"
    ),
    IF(_xlpm.sumValue = 0, "", _xlpm.sumValue)
)</f>
        <v/>
      </c>
      <c r="U45" s="31" t="str">
        <f>_xlfn.LET(
    _xlpm.sumValue, SUMIFS(
        PNS_data[Value],
        PNS_data[Country], FR_data[[#This Row],[Country]],
        PNS_data[National Society name], selected,
        PNS_data[Attribute], "SP2",
        PNS_data[Year], "2028"
    ),
    IF(_xlpm.sumValue = 0, "", _xlpm.sumValue)
)</f>
        <v/>
      </c>
      <c r="V45" s="31" t="str">
        <f>_xlfn.LET(
    _xlpm.sumValue, SUMIFS(
        PNS_data[Value],
        PNS_data[Country], FR_data[[#This Row],[Country]],
        PNS_data[National Society name], selected,
        PNS_data[Attribute], "SP3",
        PNS_data[Year], "2028"
    ),
    IF(_xlpm.sumValue = 0, "", _xlpm.sumValue)
)</f>
        <v/>
      </c>
      <c r="W45" s="31" t="str">
        <f>_xlfn.LET(
    _xlpm.sumValue, SUMIFS(
        PNS_data[Value],
        PNS_data[Country], FR_data[[#This Row],[Country]],
        PNS_data[National Society name], selected,
        PNS_data[Attribute], "SP4",
        PNS_data[Year], "2028"
    ),
    IF(_xlpm.sumValue = 0, "", _xlpm.sumValue)
)</f>
        <v/>
      </c>
      <c r="X45" s="31" t="str">
        <f>_xlfn.LET(
    _xlpm.sumValue, SUMIFS(
        PNS_data[Value],
        PNS_data[Country], FR_data[[#This Row],[Country]],
        PNS_data[National Society name], selected,
        PNS_data[Attribute], "SP5",
        PNS_data[Year], "2028"
    ),
    IF(_xlpm.sumValue = 0, "", _xlpm.sumValue)
)</f>
        <v/>
      </c>
      <c r="Y45" s="31" t="str">
        <f>_xlfn.LET(
    _xlpm.sumValue, SUMIFS(
        PNS_data[Value],
        PNS_data[Country], FR_data[[#This Row],[Country]],
        PNS_data[National Society name], selected,
        PNS_data[Attribute], "EFs",
        PNS_data[Year], "2028"
    ),
    IF(_xlpm.sumValue = 0, "", _xlpm.sumValue)
)</f>
        <v/>
      </c>
      <c r="Z45" s="32" t="str">
        <f>IF(SUM(FR_data[[#This Row],[Response - Disasters and Crises  ]:[Enabling Functions  ]])=0,"",SUM(FR_data[[#This Row],[Response - Disasters and Crises  ]:[Enabling Functions  ]]))</f>
        <v/>
      </c>
      <c r="AA45" s="41"/>
    </row>
    <row r="46" spans="1:27" x14ac:dyDescent="0.3">
      <c r="A46" s="11" t="s">
        <v>332</v>
      </c>
      <c r="B46" s="11" t="s">
        <v>109</v>
      </c>
      <c r="C46" s="11" t="s">
        <v>71</v>
      </c>
      <c r="D46" s="30" t="str">
        <f>_xlfn.LET(
    _xlpm.sumValue, SUMIFS(
        PNS_data[Value],
        PNS_data[Country], FR_data[[#This Row],[Country]],
        PNS_data[National Society name], selected,
        PNS_data[Attribute], "SP1",
        PNS_data[Year], "2026"
    ),
    IF(_xlpm.sumValue = 0, "", _xlpm.sumValue)
)</f>
        <v/>
      </c>
      <c r="E46" s="31" t="str">
        <f>_xlfn.LET(
    _xlpm.sumValue, SUMIFS(
        PNS_data[Value],
        PNS_data[Country], FR_data[[#This Row],[Country]],
        PNS_data[National Society name], selected,
        PNS_data[Attribute], "SP2",
        PNS_data[Year], "2026"
    ),
    IF(_xlpm.sumValue = 0, "", _xlpm.sumValue)
)</f>
        <v/>
      </c>
      <c r="F46" s="31" t="str">
        <f>_xlfn.LET(
    _xlpm.sumValue, SUMIFS(
        PNS_data[Value],
        PNS_data[Country], FR_data[[#This Row],[Country]],
        PNS_data[National Society name], selected,
        PNS_data[Attribute], "SP3",
        PNS_data[Year], "2026"
    ),
    IF(_xlpm.sumValue = 0, "", _xlpm.sumValue)
)</f>
        <v/>
      </c>
      <c r="G46" s="31" t="str">
        <f>_xlfn.LET(
    _xlpm.sumValue, SUMIFS(
        PNS_data[Value],
        PNS_data[Country], FR_data[[#This Row],[Country]],
        PNS_data[National Society name], selected,
        PNS_data[Attribute], "SP4",
        PNS_data[Year], "2026"
    ),
    IF(_xlpm.sumValue = 0, "", _xlpm.sumValue)
)</f>
        <v/>
      </c>
      <c r="H46" s="31" t="str">
        <f>_xlfn.LET(
    _xlpm.sumValue, SUMIFS(
        PNS_data[Value],
        PNS_data[Country], FR_data[[#This Row],[Country]],
        PNS_data[National Society name], selected,
        PNS_data[Attribute], "SP5",
        PNS_data[Year], "2026"
    ),
    IF(_xlpm.sumValue = 0, "", _xlpm.sumValue)
)</f>
        <v/>
      </c>
      <c r="I46" s="31" t="str">
        <f>_xlfn.LET(
    _xlpm.sumValue, SUMIFS(
        PNS_data[Value],
        PNS_data[Country], FR_data[[#This Row],[Country]],
        PNS_data[National Society name], selected,
        PNS_data[Attribute], "EFs",
        PNS_data[Year], "2026"
    ),
    IF(_xlpm.sumValue = 0, "", _xlpm.sumValue)
)</f>
        <v/>
      </c>
      <c r="J46" s="32" t="str">
        <f>IF(SUM(FR_data[[#This Row],[Response - Disasters and Crises]:[Enabling Functions]])=0,"",SUM(FR_data[[#This Row],[Response - Disasters and Crises]:[Enabling Functions]]))</f>
        <v/>
      </c>
      <c r="K46" s="39"/>
      <c r="L46" s="30" t="str">
        <f>_xlfn.LET(
    _xlpm.sumValue, SUMIFS(
        PNS_data[Value],
        PNS_data[Country], FR_data[[#This Row],[Country]],
        PNS_data[National Society name], selected,
        PNS_data[Attribute], "SP1",
        PNS_data[Year], "2027"
    ),
    IF(_xlpm.sumValue = 0, "", _xlpm.sumValue)
)</f>
        <v/>
      </c>
      <c r="M46" s="31" t="str">
        <f>_xlfn.LET(
    _xlpm.sumValue, SUMIFS(
        PNS_data[Value],
        PNS_data[Country], FR_data[[#This Row],[Country]],
        PNS_data[National Society name], selected,
        PNS_data[Attribute], "SP2",
        PNS_data[Year], "2027"
    ),
    IF(_xlpm.sumValue = 0, "", _xlpm.sumValue)
)</f>
        <v/>
      </c>
      <c r="N46" s="31" t="str">
        <f>_xlfn.LET(
    _xlpm.sumValue, SUMIFS(
        PNS_data[Value],
        PNS_data[Country], FR_data[[#This Row],[Country]],
        PNS_data[National Society name], selected,
        PNS_data[Attribute], "SP3",
        PNS_data[Year], "2027"
    ),
    IF(_xlpm.sumValue = 0, "", _xlpm.sumValue)
)</f>
        <v/>
      </c>
      <c r="O46" s="31" t="str">
        <f>_xlfn.LET(
    _xlpm.sumValue, SUMIFS(
        PNS_data[Value],
        PNS_data[Country], FR_data[[#This Row],[Country]],
        PNS_data[National Society name], selected,
        PNS_data[Attribute], "SP4",
        PNS_data[Year], "2027"
    ),
    IF(_xlpm.sumValue = 0, "", _xlpm.sumValue)
)</f>
        <v/>
      </c>
      <c r="P46" s="31" t="str">
        <f>_xlfn.LET(
    _xlpm.sumValue, SUMIFS(
        PNS_data[Value],
        PNS_data[Country], FR_data[[#This Row],[Country]],
        PNS_data[National Society name], selected,
        PNS_data[Attribute], "SP5",
        PNS_data[Year], "2027"
    ),
    IF(_xlpm.sumValue = 0, "", _xlpm.sumValue)
)</f>
        <v/>
      </c>
      <c r="Q46" s="31" t="str">
        <f>_xlfn.LET(
    _xlpm.sumValue, SUMIFS(
        PNS_data[Value],
        PNS_data[Country], FR_data[[#This Row],[Country]],
        PNS_data[National Society name], selected,
        PNS_data[Attribute], "EFs",
        PNS_data[Year], "2027"
    ),
    IF(_xlpm.sumValue = 0, "", _xlpm.sumValue)
)</f>
        <v/>
      </c>
      <c r="R46" s="32" t="str">
        <f>IF(SUM(FR_data[[#This Row],[Response - Disasters and Crises ]:[Enabling Functions ]])=0,"",SUM(FR_data[[#This Row],[Response - Disasters and Crises ]:[Enabling Functions ]]))</f>
        <v/>
      </c>
      <c r="S46" s="39"/>
      <c r="T46" s="30" t="str">
        <f>_xlfn.LET(
    _xlpm.sumValue, SUMIFS(
        PNS_data[Value],
        PNS_data[Country], FR_data[[#This Row],[Country]],
        PNS_data[National Society name], selected,
        PNS_data[Attribute], "SP1",
        PNS_data[Year], "2028"
    ),
    IF(_xlpm.sumValue = 0, "", _xlpm.sumValue)
)</f>
        <v/>
      </c>
      <c r="U46" s="31" t="str">
        <f>_xlfn.LET(
    _xlpm.sumValue, SUMIFS(
        PNS_data[Value],
        PNS_data[Country], FR_data[[#This Row],[Country]],
        PNS_data[National Society name], selected,
        PNS_data[Attribute], "SP2",
        PNS_data[Year], "2028"
    ),
    IF(_xlpm.sumValue = 0, "", _xlpm.sumValue)
)</f>
        <v/>
      </c>
      <c r="V46" s="31" t="str">
        <f>_xlfn.LET(
    _xlpm.sumValue, SUMIFS(
        PNS_data[Value],
        PNS_data[Country], FR_data[[#This Row],[Country]],
        PNS_data[National Society name], selected,
        PNS_data[Attribute], "SP3",
        PNS_data[Year], "2028"
    ),
    IF(_xlpm.sumValue = 0, "", _xlpm.sumValue)
)</f>
        <v/>
      </c>
      <c r="W46" s="31" t="str">
        <f>_xlfn.LET(
    _xlpm.sumValue, SUMIFS(
        PNS_data[Value],
        PNS_data[Country], FR_data[[#This Row],[Country]],
        PNS_data[National Society name], selected,
        PNS_data[Attribute], "SP4",
        PNS_data[Year], "2028"
    ),
    IF(_xlpm.sumValue = 0, "", _xlpm.sumValue)
)</f>
        <v/>
      </c>
      <c r="X46" s="31" t="str">
        <f>_xlfn.LET(
    _xlpm.sumValue, SUMIFS(
        PNS_data[Value],
        PNS_data[Country], FR_data[[#This Row],[Country]],
        PNS_data[National Society name], selected,
        PNS_data[Attribute], "SP5",
        PNS_data[Year], "2028"
    ),
    IF(_xlpm.sumValue = 0, "", _xlpm.sumValue)
)</f>
        <v/>
      </c>
      <c r="Y46" s="31" t="str">
        <f>_xlfn.LET(
    _xlpm.sumValue, SUMIFS(
        PNS_data[Value],
        PNS_data[Country], FR_data[[#This Row],[Country]],
        PNS_data[National Society name], selected,
        PNS_data[Attribute], "EFs",
        PNS_data[Year], "2028"
    ),
    IF(_xlpm.sumValue = 0, "", _xlpm.sumValue)
)</f>
        <v/>
      </c>
      <c r="Z46" s="32" t="str">
        <f>IF(SUM(FR_data[[#This Row],[Response - Disasters and Crises  ]:[Enabling Functions  ]])=0,"",SUM(FR_data[[#This Row],[Response - Disasters and Crises  ]:[Enabling Functions  ]]))</f>
        <v/>
      </c>
      <c r="AA46" s="41"/>
    </row>
    <row r="47" spans="1:27" x14ac:dyDescent="0.3">
      <c r="A47" s="11" t="s">
        <v>359</v>
      </c>
      <c r="B47" s="11" t="s">
        <v>109</v>
      </c>
      <c r="C47" s="11" t="s">
        <v>360</v>
      </c>
      <c r="D47" s="30" t="str">
        <f>_xlfn.LET(
    _xlpm.sumValue, SUMIFS(
        PNS_data[Value],
        PNS_data[Country], FR_data[[#This Row],[Country]],
        PNS_data[National Society name], selected,
        PNS_data[Attribute], "SP1",
        PNS_data[Year], "2026"
    ),
    IF(_xlpm.sumValue = 0, "", _xlpm.sumValue)
)</f>
        <v/>
      </c>
      <c r="E47" s="31" t="str">
        <f>_xlfn.LET(
    _xlpm.sumValue, SUMIFS(
        PNS_data[Value],
        PNS_data[Country], FR_data[[#This Row],[Country]],
        PNS_data[National Society name], selected,
        PNS_data[Attribute], "SP2",
        PNS_data[Year], "2026"
    ),
    IF(_xlpm.sumValue = 0, "", _xlpm.sumValue)
)</f>
        <v/>
      </c>
      <c r="F47" s="31" t="str">
        <f>_xlfn.LET(
    _xlpm.sumValue, SUMIFS(
        PNS_data[Value],
        PNS_data[Country], FR_data[[#This Row],[Country]],
        PNS_data[National Society name], selected,
        PNS_data[Attribute], "SP3",
        PNS_data[Year], "2026"
    ),
    IF(_xlpm.sumValue = 0, "", _xlpm.sumValue)
)</f>
        <v/>
      </c>
      <c r="G47" s="31" t="str">
        <f>_xlfn.LET(
    _xlpm.sumValue, SUMIFS(
        PNS_data[Value],
        PNS_data[Country], FR_data[[#This Row],[Country]],
        PNS_data[National Society name], selected,
        PNS_data[Attribute], "SP4",
        PNS_data[Year], "2026"
    ),
    IF(_xlpm.sumValue = 0, "", _xlpm.sumValue)
)</f>
        <v/>
      </c>
      <c r="H47" s="31" t="str">
        <f>_xlfn.LET(
    _xlpm.sumValue, SUMIFS(
        PNS_data[Value],
        PNS_data[Country], FR_data[[#This Row],[Country]],
        PNS_data[National Society name], selected,
        PNS_data[Attribute], "SP5",
        PNS_data[Year], "2026"
    ),
    IF(_xlpm.sumValue = 0, "", _xlpm.sumValue)
)</f>
        <v/>
      </c>
      <c r="I47" s="31" t="str">
        <f>_xlfn.LET(
    _xlpm.sumValue, SUMIFS(
        PNS_data[Value],
        PNS_data[Country], FR_data[[#This Row],[Country]],
        PNS_data[National Society name], selected,
        PNS_data[Attribute], "EFs",
        PNS_data[Year], "2026"
    ),
    IF(_xlpm.sumValue = 0, "", _xlpm.sumValue)
)</f>
        <v/>
      </c>
      <c r="J47" s="32" t="str">
        <f>IF(SUM(FR_data[[#This Row],[Response - Disasters and Crises]:[Enabling Functions]])=0,"",SUM(FR_data[[#This Row],[Response - Disasters and Crises]:[Enabling Functions]]))</f>
        <v/>
      </c>
      <c r="K47" s="39"/>
      <c r="L47" s="30" t="str">
        <f>_xlfn.LET(
    _xlpm.sumValue, SUMIFS(
        PNS_data[Value],
        PNS_data[Country], FR_data[[#This Row],[Country]],
        PNS_data[National Society name], selected,
        PNS_data[Attribute], "SP1",
        PNS_data[Year], "2027"
    ),
    IF(_xlpm.sumValue = 0, "", _xlpm.sumValue)
)</f>
        <v/>
      </c>
      <c r="M47" s="31" t="str">
        <f>_xlfn.LET(
    _xlpm.sumValue, SUMIFS(
        PNS_data[Value],
        PNS_data[Country], FR_data[[#This Row],[Country]],
        PNS_data[National Society name], selected,
        PNS_data[Attribute], "SP2",
        PNS_data[Year], "2027"
    ),
    IF(_xlpm.sumValue = 0, "", _xlpm.sumValue)
)</f>
        <v/>
      </c>
      <c r="N47" s="31" t="str">
        <f>_xlfn.LET(
    _xlpm.sumValue, SUMIFS(
        PNS_data[Value],
        PNS_data[Country], FR_data[[#This Row],[Country]],
        PNS_data[National Society name], selected,
        PNS_data[Attribute], "SP3",
        PNS_data[Year], "2027"
    ),
    IF(_xlpm.sumValue = 0, "", _xlpm.sumValue)
)</f>
        <v/>
      </c>
      <c r="O47" s="31" t="str">
        <f>_xlfn.LET(
    _xlpm.sumValue, SUMIFS(
        PNS_data[Value],
        PNS_data[Country], FR_data[[#This Row],[Country]],
        PNS_data[National Society name], selected,
        PNS_data[Attribute], "SP4",
        PNS_data[Year], "2027"
    ),
    IF(_xlpm.sumValue = 0, "", _xlpm.sumValue)
)</f>
        <v/>
      </c>
      <c r="P47" s="31" t="str">
        <f>_xlfn.LET(
    _xlpm.sumValue, SUMIFS(
        PNS_data[Value],
        PNS_data[Country], FR_data[[#This Row],[Country]],
        PNS_data[National Society name], selected,
        PNS_data[Attribute], "SP5",
        PNS_data[Year], "2027"
    ),
    IF(_xlpm.sumValue = 0, "", _xlpm.sumValue)
)</f>
        <v/>
      </c>
      <c r="Q47" s="31" t="str">
        <f>_xlfn.LET(
    _xlpm.sumValue, SUMIFS(
        PNS_data[Value],
        PNS_data[Country], FR_data[[#This Row],[Country]],
        PNS_data[National Society name], selected,
        PNS_data[Attribute], "EFs",
        PNS_data[Year], "2027"
    ),
    IF(_xlpm.sumValue = 0, "", _xlpm.sumValue)
)</f>
        <v/>
      </c>
      <c r="R47" s="32" t="str">
        <f>IF(SUM(FR_data[[#This Row],[Response - Disasters and Crises ]:[Enabling Functions ]])=0,"",SUM(FR_data[[#This Row],[Response - Disasters and Crises ]:[Enabling Functions ]]))</f>
        <v/>
      </c>
      <c r="S47" s="39"/>
      <c r="T47" s="30" t="str">
        <f>_xlfn.LET(
    _xlpm.sumValue, SUMIFS(
        PNS_data[Value],
        PNS_data[Country], FR_data[[#This Row],[Country]],
        PNS_data[National Society name], selected,
        PNS_data[Attribute], "SP1",
        PNS_data[Year], "2028"
    ),
    IF(_xlpm.sumValue = 0, "", _xlpm.sumValue)
)</f>
        <v/>
      </c>
      <c r="U47" s="31" t="str">
        <f>_xlfn.LET(
    _xlpm.sumValue, SUMIFS(
        PNS_data[Value],
        PNS_data[Country], FR_data[[#This Row],[Country]],
        PNS_data[National Society name], selected,
        PNS_data[Attribute], "SP2",
        PNS_data[Year], "2028"
    ),
    IF(_xlpm.sumValue = 0, "", _xlpm.sumValue)
)</f>
        <v/>
      </c>
      <c r="V47" s="31" t="str">
        <f>_xlfn.LET(
    _xlpm.sumValue, SUMIFS(
        PNS_data[Value],
        PNS_data[Country], FR_data[[#This Row],[Country]],
        PNS_data[National Society name], selected,
        PNS_data[Attribute], "SP3",
        PNS_data[Year], "2028"
    ),
    IF(_xlpm.sumValue = 0, "", _xlpm.sumValue)
)</f>
        <v/>
      </c>
      <c r="W47" s="31" t="str">
        <f>_xlfn.LET(
    _xlpm.sumValue, SUMIFS(
        PNS_data[Value],
        PNS_data[Country], FR_data[[#This Row],[Country]],
        PNS_data[National Society name], selected,
        PNS_data[Attribute], "SP4",
        PNS_data[Year], "2028"
    ),
    IF(_xlpm.sumValue = 0, "", _xlpm.sumValue)
)</f>
        <v/>
      </c>
      <c r="X47" s="31" t="str">
        <f>_xlfn.LET(
    _xlpm.sumValue, SUMIFS(
        PNS_data[Value],
        PNS_data[Country], FR_data[[#This Row],[Country]],
        PNS_data[National Society name], selected,
        PNS_data[Attribute], "SP5",
        PNS_data[Year], "2028"
    ),
    IF(_xlpm.sumValue = 0, "", _xlpm.sumValue)
)</f>
        <v/>
      </c>
      <c r="Y47" s="31" t="str">
        <f>_xlfn.LET(
    _xlpm.sumValue, SUMIFS(
        PNS_data[Value],
        PNS_data[Country], FR_data[[#This Row],[Country]],
        PNS_data[National Society name], selected,
        PNS_data[Attribute], "EFs",
        PNS_data[Year], "2028"
    ),
    IF(_xlpm.sumValue = 0, "", _xlpm.sumValue)
)</f>
        <v/>
      </c>
      <c r="Z47" s="32" t="str">
        <f>IF(SUM(FR_data[[#This Row],[Response - Disasters and Crises  ]:[Enabling Functions  ]])=0,"",SUM(FR_data[[#This Row],[Response - Disasters and Crises  ]:[Enabling Functions  ]]))</f>
        <v/>
      </c>
      <c r="AA47" s="41"/>
    </row>
    <row r="48" spans="1:27" x14ac:dyDescent="0.3">
      <c r="A48" s="11" t="s">
        <v>353</v>
      </c>
      <c r="B48" s="11" t="s">
        <v>109</v>
      </c>
      <c r="C48" s="11" t="s">
        <v>354</v>
      </c>
      <c r="D48" s="30" t="str">
        <f>_xlfn.LET(
    _xlpm.sumValue, SUMIFS(
        PNS_data[Value],
        PNS_data[Country], FR_data[[#This Row],[Country]],
        PNS_data[National Society name], selected,
        PNS_data[Attribute], "SP1",
        PNS_data[Year], "2026"
    ),
    IF(_xlpm.sumValue = 0, "", _xlpm.sumValue)
)</f>
        <v/>
      </c>
      <c r="E48" s="31" t="str">
        <f>_xlfn.LET(
    _xlpm.sumValue, SUMIFS(
        PNS_data[Value],
        PNS_data[Country], FR_data[[#This Row],[Country]],
        PNS_data[National Society name], selected,
        PNS_data[Attribute], "SP2",
        PNS_data[Year], "2026"
    ),
    IF(_xlpm.sumValue = 0, "", _xlpm.sumValue)
)</f>
        <v/>
      </c>
      <c r="F48" s="31" t="str">
        <f>_xlfn.LET(
    _xlpm.sumValue, SUMIFS(
        PNS_data[Value],
        PNS_data[Country], FR_data[[#This Row],[Country]],
        PNS_data[National Society name], selected,
        PNS_data[Attribute], "SP3",
        PNS_data[Year], "2026"
    ),
    IF(_xlpm.sumValue = 0, "", _xlpm.sumValue)
)</f>
        <v/>
      </c>
      <c r="G48" s="31" t="str">
        <f>_xlfn.LET(
    _xlpm.sumValue, SUMIFS(
        PNS_data[Value],
        PNS_data[Country], FR_data[[#This Row],[Country]],
        PNS_data[National Society name], selected,
        PNS_data[Attribute], "SP4",
        PNS_data[Year], "2026"
    ),
    IF(_xlpm.sumValue = 0, "", _xlpm.sumValue)
)</f>
        <v/>
      </c>
      <c r="H48" s="31" t="str">
        <f>_xlfn.LET(
    _xlpm.sumValue, SUMIFS(
        PNS_data[Value],
        PNS_data[Country], FR_data[[#This Row],[Country]],
        PNS_data[National Society name], selected,
        PNS_data[Attribute], "SP5",
        PNS_data[Year], "2026"
    ),
    IF(_xlpm.sumValue = 0, "", _xlpm.sumValue)
)</f>
        <v/>
      </c>
      <c r="I48" s="31" t="str">
        <f>_xlfn.LET(
    _xlpm.sumValue, SUMIFS(
        PNS_data[Value],
        PNS_data[Country], FR_data[[#This Row],[Country]],
        PNS_data[National Society name], selected,
        PNS_data[Attribute], "EFs",
        PNS_data[Year], "2026"
    ),
    IF(_xlpm.sumValue = 0, "", _xlpm.sumValue)
)</f>
        <v/>
      </c>
      <c r="J48" s="32" t="str">
        <f>IF(SUM(FR_data[[#This Row],[Response - Disasters and Crises]:[Enabling Functions]])=0,"",SUM(FR_data[[#This Row],[Response - Disasters and Crises]:[Enabling Functions]]))</f>
        <v/>
      </c>
      <c r="K48" s="39"/>
      <c r="L48" s="30" t="str">
        <f>_xlfn.LET(
    _xlpm.sumValue, SUMIFS(
        PNS_data[Value],
        PNS_data[Country], FR_data[[#This Row],[Country]],
        PNS_data[National Society name], selected,
        PNS_data[Attribute], "SP1",
        PNS_data[Year], "2027"
    ),
    IF(_xlpm.sumValue = 0, "", _xlpm.sumValue)
)</f>
        <v/>
      </c>
      <c r="M48" s="31" t="str">
        <f>_xlfn.LET(
    _xlpm.sumValue, SUMIFS(
        PNS_data[Value],
        PNS_data[Country], FR_data[[#This Row],[Country]],
        PNS_data[National Society name], selected,
        PNS_data[Attribute], "SP2",
        PNS_data[Year], "2027"
    ),
    IF(_xlpm.sumValue = 0, "", _xlpm.sumValue)
)</f>
        <v/>
      </c>
      <c r="N48" s="31" t="str">
        <f>_xlfn.LET(
    _xlpm.sumValue, SUMIFS(
        PNS_data[Value],
        PNS_data[Country], FR_data[[#This Row],[Country]],
        PNS_data[National Society name], selected,
        PNS_data[Attribute], "SP3",
        PNS_data[Year], "2027"
    ),
    IF(_xlpm.sumValue = 0, "", _xlpm.sumValue)
)</f>
        <v/>
      </c>
      <c r="O48" s="31" t="str">
        <f>_xlfn.LET(
    _xlpm.sumValue, SUMIFS(
        PNS_data[Value],
        PNS_data[Country], FR_data[[#This Row],[Country]],
        PNS_data[National Society name], selected,
        PNS_data[Attribute], "SP4",
        PNS_data[Year], "2027"
    ),
    IF(_xlpm.sumValue = 0, "", _xlpm.sumValue)
)</f>
        <v/>
      </c>
      <c r="P48" s="31" t="str">
        <f>_xlfn.LET(
    _xlpm.sumValue, SUMIFS(
        PNS_data[Value],
        PNS_data[Country], FR_data[[#This Row],[Country]],
        PNS_data[National Society name], selected,
        PNS_data[Attribute], "SP5",
        PNS_data[Year], "2027"
    ),
    IF(_xlpm.sumValue = 0, "", _xlpm.sumValue)
)</f>
        <v/>
      </c>
      <c r="Q48" s="31" t="str">
        <f>_xlfn.LET(
    _xlpm.sumValue, SUMIFS(
        PNS_data[Value],
        PNS_data[Country], FR_data[[#This Row],[Country]],
        PNS_data[National Society name], selected,
        PNS_data[Attribute], "EFs",
        PNS_data[Year], "2027"
    ),
    IF(_xlpm.sumValue = 0, "", _xlpm.sumValue)
)</f>
        <v/>
      </c>
      <c r="R48" s="32" t="str">
        <f>IF(SUM(FR_data[[#This Row],[Response - Disasters and Crises ]:[Enabling Functions ]])=0,"",SUM(FR_data[[#This Row],[Response - Disasters and Crises ]:[Enabling Functions ]]))</f>
        <v/>
      </c>
      <c r="S48" s="39"/>
      <c r="T48" s="30" t="str">
        <f>_xlfn.LET(
    _xlpm.sumValue, SUMIFS(
        PNS_data[Value],
        PNS_data[Country], FR_data[[#This Row],[Country]],
        PNS_data[National Society name], selected,
        PNS_data[Attribute], "SP1",
        PNS_data[Year], "2028"
    ),
    IF(_xlpm.sumValue = 0, "", _xlpm.sumValue)
)</f>
        <v/>
      </c>
      <c r="U48" s="31" t="str">
        <f>_xlfn.LET(
    _xlpm.sumValue, SUMIFS(
        PNS_data[Value],
        PNS_data[Country], FR_data[[#This Row],[Country]],
        PNS_data[National Society name], selected,
        PNS_data[Attribute], "SP2",
        PNS_data[Year], "2028"
    ),
    IF(_xlpm.sumValue = 0, "", _xlpm.sumValue)
)</f>
        <v/>
      </c>
      <c r="V48" s="31" t="str">
        <f>_xlfn.LET(
    _xlpm.sumValue, SUMIFS(
        PNS_data[Value],
        PNS_data[Country], FR_data[[#This Row],[Country]],
        PNS_data[National Society name], selected,
        PNS_data[Attribute], "SP3",
        PNS_data[Year], "2028"
    ),
    IF(_xlpm.sumValue = 0, "", _xlpm.sumValue)
)</f>
        <v/>
      </c>
      <c r="W48" s="31" t="str">
        <f>_xlfn.LET(
    _xlpm.sumValue, SUMIFS(
        PNS_data[Value],
        PNS_data[Country], FR_data[[#This Row],[Country]],
        PNS_data[National Society name], selected,
        PNS_data[Attribute], "SP4",
        PNS_data[Year], "2028"
    ),
    IF(_xlpm.sumValue = 0, "", _xlpm.sumValue)
)</f>
        <v/>
      </c>
      <c r="X48" s="31" t="str">
        <f>_xlfn.LET(
    _xlpm.sumValue, SUMIFS(
        PNS_data[Value],
        PNS_data[Country], FR_data[[#This Row],[Country]],
        PNS_data[National Society name], selected,
        PNS_data[Attribute], "SP5",
        PNS_data[Year], "2028"
    ),
    IF(_xlpm.sumValue = 0, "", _xlpm.sumValue)
)</f>
        <v/>
      </c>
      <c r="Y48" s="31" t="str">
        <f>_xlfn.LET(
    _xlpm.sumValue, SUMIFS(
        PNS_data[Value],
        PNS_data[Country], FR_data[[#This Row],[Country]],
        PNS_data[National Society name], selected,
        PNS_data[Attribute], "EFs",
        PNS_data[Year], "2028"
    ),
    IF(_xlpm.sumValue = 0, "", _xlpm.sumValue)
)</f>
        <v/>
      </c>
      <c r="Z48" s="32" t="str">
        <f>IF(SUM(FR_data[[#This Row],[Response - Disasters and Crises  ]:[Enabling Functions  ]])=0,"",SUM(FR_data[[#This Row],[Response - Disasters and Crises  ]:[Enabling Functions  ]]))</f>
        <v/>
      </c>
      <c r="AA48" s="41"/>
    </row>
    <row r="49" spans="1:27" x14ac:dyDescent="0.3">
      <c r="A49" s="11" t="s">
        <v>340</v>
      </c>
      <c r="B49" s="11" t="s">
        <v>109</v>
      </c>
      <c r="C49" s="11" t="s">
        <v>53</v>
      </c>
      <c r="D49" s="30" t="str">
        <f>_xlfn.LET(
    _xlpm.sumValue, SUMIFS(
        PNS_data[Value],
        PNS_data[Country], FR_data[[#This Row],[Country]],
        PNS_data[National Society name], selected,
        PNS_data[Attribute], "SP1",
        PNS_data[Year], "2026"
    ),
    IF(_xlpm.sumValue = 0, "", _xlpm.sumValue)
)</f>
        <v/>
      </c>
      <c r="E49" s="31" t="str">
        <f>_xlfn.LET(
    _xlpm.sumValue, SUMIFS(
        PNS_data[Value],
        PNS_data[Country], FR_data[[#This Row],[Country]],
        PNS_data[National Society name], selected,
        PNS_data[Attribute], "SP2",
        PNS_data[Year], "2026"
    ),
    IF(_xlpm.sumValue = 0, "", _xlpm.sumValue)
)</f>
        <v/>
      </c>
      <c r="F49" s="31" t="str">
        <f>_xlfn.LET(
    _xlpm.sumValue, SUMIFS(
        PNS_data[Value],
        PNS_data[Country], FR_data[[#This Row],[Country]],
        PNS_data[National Society name], selected,
        PNS_data[Attribute], "SP3",
        PNS_data[Year], "2026"
    ),
    IF(_xlpm.sumValue = 0, "", _xlpm.sumValue)
)</f>
        <v/>
      </c>
      <c r="G49" s="31" t="str">
        <f>_xlfn.LET(
    _xlpm.sumValue, SUMIFS(
        PNS_data[Value],
        PNS_data[Country], FR_data[[#This Row],[Country]],
        PNS_data[National Society name], selected,
        PNS_data[Attribute], "SP4",
        PNS_data[Year], "2026"
    ),
    IF(_xlpm.sumValue = 0, "", _xlpm.sumValue)
)</f>
        <v/>
      </c>
      <c r="H49" s="31" t="str">
        <f>_xlfn.LET(
    _xlpm.sumValue, SUMIFS(
        PNS_data[Value],
        PNS_data[Country], FR_data[[#This Row],[Country]],
        PNS_data[National Society name], selected,
        PNS_data[Attribute], "SP5",
        PNS_data[Year], "2026"
    ),
    IF(_xlpm.sumValue = 0, "", _xlpm.sumValue)
)</f>
        <v/>
      </c>
      <c r="I49" s="31" t="str">
        <f>_xlfn.LET(
    _xlpm.sumValue, SUMIFS(
        PNS_data[Value],
        PNS_data[Country], FR_data[[#This Row],[Country]],
        PNS_data[National Society name], selected,
        PNS_data[Attribute], "EFs",
        PNS_data[Year], "2026"
    ),
    IF(_xlpm.sumValue = 0, "", _xlpm.sumValue)
)</f>
        <v/>
      </c>
      <c r="J49" s="32" t="str">
        <f>IF(SUM(FR_data[[#This Row],[Response - Disasters and Crises]:[Enabling Functions]])=0,"",SUM(FR_data[[#This Row],[Response - Disasters and Crises]:[Enabling Functions]]))</f>
        <v/>
      </c>
      <c r="K49" s="39"/>
      <c r="L49" s="30" t="str">
        <f>_xlfn.LET(
    _xlpm.sumValue, SUMIFS(
        PNS_data[Value],
        PNS_data[Country], FR_data[[#This Row],[Country]],
        PNS_data[National Society name], selected,
        PNS_data[Attribute], "SP1",
        PNS_data[Year], "2027"
    ),
    IF(_xlpm.sumValue = 0, "", _xlpm.sumValue)
)</f>
        <v/>
      </c>
      <c r="M49" s="31" t="str">
        <f>_xlfn.LET(
    _xlpm.sumValue, SUMIFS(
        PNS_data[Value],
        PNS_data[Country], FR_data[[#This Row],[Country]],
        PNS_data[National Society name], selected,
        PNS_data[Attribute], "SP2",
        PNS_data[Year], "2027"
    ),
    IF(_xlpm.sumValue = 0, "", _xlpm.sumValue)
)</f>
        <v/>
      </c>
      <c r="N49" s="31" t="str">
        <f>_xlfn.LET(
    _xlpm.sumValue, SUMIFS(
        PNS_data[Value],
        PNS_data[Country], FR_data[[#This Row],[Country]],
        PNS_data[National Society name], selected,
        PNS_data[Attribute], "SP3",
        PNS_data[Year], "2027"
    ),
    IF(_xlpm.sumValue = 0, "", _xlpm.sumValue)
)</f>
        <v/>
      </c>
      <c r="O49" s="31" t="str">
        <f>_xlfn.LET(
    _xlpm.sumValue, SUMIFS(
        PNS_data[Value],
        PNS_data[Country], FR_data[[#This Row],[Country]],
        PNS_data[National Society name], selected,
        PNS_data[Attribute], "SP4",
        PNS_data[Year], "2027"
    ),
    IF(_xlpm.sumValue = 0, "", _xlpm.sumValue)
)</f>
        <v/>
      </c>
      <c r="P49" s="31" t="str">
        <f>_xlfn.LET(
    _xlpm.sumValue, SUMIFS(
        PNS_data[Value],
        PNS_data[Country], FR_data[[#This Row],[Country]],
        PNS_data[National Society name], selected,
        PNS_data[Attribute], "SP5",
        PNS_data[Year], "2027"
    ),
    IF(_xlpm.sumValue = 0, "", _xlpm.sumValue)
)</f>
        <v/>
      </c>
      <c r="Q49" s="31" t="str">
        <f>_xlfn.LET(
    _xlpm.sumValue, SUMIFS(
        PNS_data[Value],
        PNS_data[Country], FR_data[[#This Row],[Country]],
        PNS_data[National Society name], selected,
        PNS_data[Attribute], "EFs",
        PNS_data[Year], "2027"
    ),
    IF(_xlpm.sumValue = 0, "", _xlpm.sumValue)
)</f>
        <v/>
      </c>
      <c r="R49" s="32" t="str">
        <f>IF(SUM(FR_data[[#This Row],[Response - Disasters and Crises ]:[Enabling Functions ]])=0,"",SUM(FR_data[[#This Row],[Response - Disasters and Crises ]:[Enabling Functions ]]))</f>
        <v/>
      </c>
      <c r="S49" s="39"/>
      <c r="T49" s="30" t="str">
        <f>_xlfn.LET(
    _xlpm.sumValue, SUMIFS(
        PNS_data[Value],
        PNS_data[Country], FR_data[[#This Row],[Country]],
        PNS_data[National Society name], selected,
        PNS_data[Attribute], "SP1",
        PNS_data[Year], "2028"
    ),
    IF(_xlpm.sumValue = 0, "", _xlpm.sumValue)
)</f>
        <v/>
      </c>
      <c r="U49" s="31" t="str">
        <f>_xlfn.LET(
    _xlpm.sumValue, SUMIFS(
        PNS_data[Value],
        PNS_data[Country], FR_data[[#This Row],[Country]],
        PNS_data[National Society name], selected,
        PNS_data[Attribute], "SP2",
        PNS_data[Year], "2028"
    ),
    IF(_xlpm.sumValue = 0, "", _xlpm.sumValue)
)</f>
        <v/>
      </c>
      <c r="V49" s="31" t="str">
        <f>_xlfn.LET(
    _xlpm.sumValue, SUMIFS(
        PNS_data[Value],
        PNS_data[Country], FR_data[[#This Row],[Country]],
        PNS_data[National Society name], selected,
        PNS_data[Attribute], "SP3",
        PNS_data[Year], "2028"
    ),
    IF(_xlpm.sumValue = 0, "", _xlpm.sumValue)
)</f>
        <v/>
      </c>
      <c r="W49" s="31" t="str">
        <f>_xlfn.LET(
    _xlpm.sumValue, SUMIFS(
        PNS_data[Value],
        PNS_data[Country], FR_data[[#This Row],[Country]],
        PNS_data[National Society name], selected,
        PNS_data[Attribute], "SP4",
        PNS_data[Year], "2028"
    ),
    IF(_xlpm.sumValue = 0, "", _xlpm.sumValue)
)</f>
        <v/>
      </c>
      <c r="X49" s="31" t="str">
        <f>_xlfn.LET(
    _xlpm.sumValue, SUMIFS(
        PNS_data[Value],
        PNS_data[Country], FR_data[[#This Row],[Country]],
        PNS_data[National Society name], selected,
        PNS_data[Attribute], "SP5",
        PNS_data[Year], "2028"
    ),
    IF(_xlpm.sumValue = 0, "", _xlpm.sumValue)
)</f>
        <v/>
      </c>
      <c r="Y49" s="31" t="str">
        <f>_xlfn.LET(
    _xlpm.sumValue, SUMIFS(
        PNS_data[Value],
        PNS_data[Country], FR_data[[#This Row],[Country]],
        PNS_data[National Society name], selected,
        PNS_data[Attribute], "EFs",
        PNS_data[Year], "2028"
    ),
    IF(_xlpm.sumValue = 0, "", _xlpm.sumValue)
)</f>
        <v/>
      </c>
      <c r="Z49" s="32" t="str">
        <f>IF(SUM(FR_data[[#This Row],[Response - Disasters and Crises  ]:[Enabling Functions  ]])=0,"",SUM(FR_data[[#This Row],[Response - Disasters and Crises  ]:[Enabling Functions  ]]))</f>
        <v/>
      </c>
      <c r="AA49" s="41"/>
    </row>
    <row r="50" spans="1:27" x14ac:dyDescent="0.3">
      <c r="A50" s="11" t="s">
        <v>336</v>
      </c>
      <c r="B50" s="11" t="s">
        <v>109</v>
      </c>
      <c r="C50" s="11" t="s">
        <v>81</v>
      </c>
      <c r="D50" s="30" t="str">
        <f>_xlfn.LET(
    _xlpm.sumValue, SUMIFS(
        PNS_data[Value],
        PNS_data[Country], FR_data[[#This Row],[Country]],
        PNS_data[National Society name], selected,
        PNS_data[Attribute], "SP1",
        PNS_data[Year], "2026"
    ),
    IF(_xlpm.sumValue = 0, "", _xlpm.sumValue)
)</f>
        <v/>
      </c>
      <c r="E50" s="31" t="str">
        <f>_xlfn.LET(
    _xlpm.sumValue, SUMIFS(
        PNS_data[Value],
        PNS_data[Country], FR_data[[#This Row],[Country]],
        PNS_data[National Society name], selected,
        PNS_data[Attribute], "SP2",
        PNS_data[Year], "2026"
    ),
    IF(_xlpm.sumValue = 0, "", _xlpm.sumValue)
)</f>
        <v/>
      </c>
      <c r="F50" s="31" t="str">
        <f>_xlfn.LET(
    _xlpm.sumValue, SUMIFS(
        PNS_data[Value],
        PNS_data[Country], FR_data[[#This Row],[Country]],
        PNS_data[National Society name], selected,
        PNS_data[Attribute], "SP3",
        PNS_data[Year], "2026"
    ),
    IF(_xlpm.sumValue = 0, "", _xlpm.sumValue)
)</f>
        <v/>
      </c>
      <c r="G50" s="31" t="str">
        <f>_xlfn.LET(
    _xlpm.sumValue, SUMIFS(
        PNS_data[Value],
        PNS_data[Country], FR_data[[#This Row],[Country]],
        PNS_data[National Society name], selected,
        PNS_data[Attribute], "SP4",
        PNS_data[Year], "2026"
    ),
    IF(_xlpm.sumValue = 0, "", _xlpm.sumValue)
)</f>
        <v/>
      </c>
      <c r="H50" s="31" t="str">
        <f>_xlfn.LET(
    _xlpm.sumValue, SUMIFS(
        PNS_data[Value],
        PNS_data[Country], FR_data[[#This Row],[Country]],
        PNS_data[National Society name], selected,
        PNS_data[Attribute], "SP5",
        PNS_data[Year], "2026"
    ),
    IF(_xlpm.sumValue = 0, "", _xlpm.sumValue)
)</f>
        <v/>
      </c>
      <c r="I50" s="31" t="str">
        <f>_xlfn.LET(
    _xlpm.sumValue, SUMIFS(
        PNS_data[Value],
        PNS_data[Country], FR_data[[#This Row],[Country]],
        PNS_data[National Society name], selected,
        PNS_data[Attribute], "EFs",
        PNS_data[Year], "2026"
    ),
    IF(_xlpm.sumValue = 0, "", _xlpm.sumValue)
)</f>
        <v/>
      </c>
      <c r="J50" s="32" t="str">
        <f>IF(SUM(FR_data[[#This Row],[Response - Disasters and Crises]:[Enabling Functions]])=0,"",SUM(FR_data[[#This Row],[Response - Disasters and Crises]:[Enabling Functions]]))</f>
        <v/>
      </c>
      <c r="K50" s="39"/>
      <c r="L50" s="30" t="str">
        <f>_xlfn.LET(
    _xlpm.sumValue, SUMIFS(
        PNS_data[Value],
        PNS_data[Country], FR_data[[#This Row],[Country]],
        PNS_data[National Society name], selected,
        PNS_data[Attribute], "SP1",
        PNS_data[Year], "2027"
    ),
    IF(_xlpm.sumValue = 0, "", _xlpm.sumValue)
)</f>
        <v/>
      </c>
      <c r="M50" s="31" t="str">
        <f>_xlfn.LET(
    _xlpm.sumValue, SUMIFS(
        PNS_data[Value],
        PNS_data[Country], FR_data[[#This Row],[Country]],
        PNS_data[National Society name], selected,
        PNS_data[Attribute], "SP2",
        PNS_data[Year], "2027"
    ),
    IF(_xlpm.sumValue = 0, "", _xlpm.sumValue)
)</f>
        <v/>
      </c>
      <c r="N50" s="31" t="str">
        <f>_xlfn.LET(
    _xlpm.sumValue, SUMIFS(
        PNS_data[Value],
        PNS_data[Country], FR_data[[#This Row],[Country]],
        PNS_data[National Society name], selected,
        PNS_data[Attribute], "SP3",
        PNS_data[Year], "2027"
    ),
    IF(_xlpm.sumValue = 0, "", _xlpm.sumValue)
)</f>
        <v/>
      </c>
      <c r="O50" s="31" t="str">
        <f>_xlfn.LET(
    _xlpm.sumValue, SUMIFS(
        PNS_data[Value],
        PNS_data[Country], FR_data[[#This Row],[Country]],
        PNS_data[National Society name], selected,
        PNS_data[Attribute], "SP4",
        PNS_data[Year], "2027"
    ),
    IF(_xlpm.sumValue = 0, "", _xlpm.sumValue)
)</f>
        <v/>
      </c>
      <c r="P50" s="31" t="str">
        <f>_xlfn.LET(
    _xlpm.sumValue, SUMIFS(
        PNS_data[Value],
        PNS_data[Country], FR_data[[#This Row],[Country]],
        PNS_data[National Society name], selected,
        PNS_data[Attribute], "SP5",
        PNS_data[Year], "2027"
    ),
    IF(_xlpm.sumValue = 0, "", _xlpm.sumValue)
)</f>
        <v/>
      </c>
      <c r="Q50" s="31" t="str">
        <f>_xlfn.LET(
    _xlpm.sumValue, SUMIFS(
        PNS_data[Value],
        PNS_data[Country], FR_data[[#This Row],[Country]],
        PNS_data[National Society name], selected,
        PNS_data[Attribute], "EFs",
        PNS_data[Year], "2027"
    ),
    IF(_xlpm.sumValue = 0, "", _xlpm.sumValue)
)</f>
        <v/>
      </c>
      <c r="R50" s="32" t="str">
        <f>IF(SUM(FR_data[[#This Row],[Response - Disasters and Crises ]:[Enabling Functions ]])=0,"",SUM(FR_data[[#This Row],[Response - Disasters and Crises ]:[Enabling Functions ]]))</f>
        <v/>
      </c>
      <c r="S50" s="39"/>
      <c r="T50" s="30" t="str">
        <f>_xlfn.LET(
    _xlpm.sumValue, SUMIFS(
        PNS_data[Value],
        PNS_data[Country], FR_data[[#This Row],[Country]],
        PNS_data[National Society name], selected,
        PNS_data[Attribute], "SP1",
        PNS_data[Year], "2028"
    ),
    IF(_xlpm.sumValue = 0, "", _xlpm.sumValue)
)</f>
        <v/>
      </c>
      <c r="U50" s="31" t="str">
        <f>_xlfn.LET(
    _xlpm.sumValue, SUMIFS(
        PNS_data[Value],
        PNS_data[Country], FR_data[[#This Row],[Country]],
        PNS_data[National Society name], selected,
        PNS_data[Attribute], "SP2",
        PNS_data[Year], "2028"
    ),
    IF(_xlpm.sumValue = 0, "", _xlpm.sumValue)
)</f>
        <v/>
      </c>
      <c r="V50" s="31" t="str">
        <f>_xlfn.LET(
    _xlpm.sumValue, SUMIFS(
        PNS_data[Value],
        PNS_data[Country], FR_data[[#This Row],[Country]],
        PNS_data[National Society name], selected,
        PNS_data[Attribute], "SP3",
        PNS_data[Year], "2028"
    ),
    IF(_xlpm.sumValue = 0, "", _xlpm.sumValue)
)</f>
        <v/>
      </c>
      <c r="W50" s="31" t="str">
        <f>_xlfn.LET(
    _xlpm.sumValue, SUMIFS(
        PNS_data[Value],
        PNS_data[Country], FR_data[[#This Row],[Country]],
        PNS_data[National Society name], selected,
        PNS_data[Attribute], "SP4",
        PNS_data[Year], "2028"
    ),
    IF(_xlpm.sumValue = 0, "", _xlpm.sumValue)
)</f>
        <v/>
      </c>
      <c r="X50" s="31" t="str">
        <f>_xlfn.LET(
    _xlpm.sumValue, SUMIFS(
        PNS_data[Value],
        PNS_data[Country], FR_data[[#This Row],[Country]],
        PNS_data[National Society name], selected,
        PNS_data[Attribute], "SP5",
        PNS_data[Year], "2028"
    ),
    IF(_xlpm.sumValue = 0, "", _xlpm.sumValue)
)</f>
        <v/>
      </c>
      <c r="Y50" s="31" t="str">
        <f>_xlfn.LET(
    _xlpm.sumValue, SUMIFS(
        PNS_data[Value],
        PNS_data[Country], FR_data[[#This Row],[Country]],
        PNS_data[National Society name], selected,
        PNS_data[Attribute], "EFs",
        PNS_data[Year], "2028"
    ),
    IF(_xlpm.sumValue = 0, "", _xlpm.sumValue)
)</f>
        <v/>
      </c>
      <c r="Z50" s="32" t="str">
        <f>IF(SUM(FR_data[[#This Row],[Response - Disasters and Crises  ]:[Enabling Functions  ]])=0,"",SUM(FR_data[[#This Row],[Response - Disasters and Crises  ]:[Enabling Functions  ]]))</f>
        <v/>
      </c>
      <c r="AA50" s="41"/>
    </row>
    <row r="51" spans="1:27" x14ac:dyDescent="0.3">
      <c r="A51" s="11" t="s">
        <v>355</v>
      </c>
      <c r="B51" s="11" t="s">
        <v>109</v>
      </c>
      <c r="C51" s="11" t="s">
        <v>52</v>
      </c>
      <c r="D51" s="30" t="str">
        <f>_xlfn.LET(
    _xlpm.sumValue, SUMIFS(
        PNS_data[Value],
        PNS_data[Country], FR_data[[#This Row],[Country]],
        PNS_data[National Society name], selected,
        PNS_data[Attribute], "SP1",
        PNS_data[Year], "2026"
    ),
    IF(_xlpm.sumValue = 0, "", _xlpm.sumValue)
)</f>
        <v/>
      </c>
      <c r="E51" s="31" t="str">
        <f>_xlfn.LET(
    _xlpm.sumValue, SUMIFS(
        PNS_data[Value],
        PNS_data[Country], FR_data[[#This Row],[Country]],
        PNS_data[National Society name], selected,
        PNS_data[Attribute], "SP2",
        PNS_data[Year], "2026"
    ),
    IF(_xlpm.sumValue = 0, "", _xlpm.sumValue)
)</f>
        <v/>
      </c>
      <c r="F51" s="31" t="str">
        <f>_xlfn.LET(
    _xlpm.sumValue, SUMIFS(
        PNS_data[Value],
        PNS_data[Country], FR_data[[#This Row],[Country]],
        PNS_data[National Society name], selected,
        PNS_data[Attribute], "SP3",
        PNS_data[Year], "2026"
    ),
    IF(_xlpm.sumValue = 0, "", _xlpm.sumValue)
)</f>
        <v/>
      </c>
      <c r="G51" s="31" t="str">
        <f>_xlfn.LET(
    _xlpm.sumValue, SUMIFS(
        PNS_data[Value],
        PNS_data[Country], FR_data[[#This Row],[Country]],
        PNS_data[National Society name], selected,
        PNS_data[Attribute], "SP4",
        PNS_data[Year], "2026"
    ),
    IF(_xlpm.sumValue = 0, "", _xlpm.sumValue)
)</f>
        <v/>
      </c>
      <c r="H51" s="31" t="str">
        <f>_xlfn.LET(
    _xlpm.sumValue, SUMIFS(
        PNS_data[Value],
        PNS_data[Country], FR_data[[#This Row],[Country]],
        PNS_data[National Society name], selected,
        PNS_data[Attribute], "SP5",
        PNS_data[Year], "2026"
    ),
    IF(_xlpm.sumValue = 0, "", _xlpm.sumValue)
)</f>
        <v/>
      </c>
      <c r="I51" s="31" t="str">
        <f>_xlfn.LET(
    _xlpm.sumValue, SUMIFS(
        PNS_data[Value],
        PNS_data[Country], FR_data[[#This Row],[Country]],
        PNS_data[National Society name], selected,
        PNS_data[Attribute], "EFs",
        PNS_data[Year], "2026"
    ),
    IF(_xlpm.sumValue = 0, "", _xlpm.sumValue)
)</f>
        <v/>
      </c>
      <c r="J51" s="32" t="str">
        <f>IF(SUM(FR_data[[#This Row],[Response - Disasters and Crises]:[Enabling Functions]])=0,"",SUM(FR_data[[#This Row],[Response - Disasters and Crises]:[Enabling Functions]]))</f>
        <v/>
      </c>
      <c r="K51" s="39"/>
      <c r="L51" s="30" t="str">
        <f>_xlfn.LET(
    _xlpm.sumValue, SUMIFS(
        PNS_data[Value],
        PNS_data[Country], FR_data[[#This Row],[Country]],
        PNS_data[National Society name], selected,
        PNS_data[Attribute], "SP1",
        PNS_data[Year], "2027"
    ),
    IF(_xlpm.sumValue = 0, "", _xlpm.sumValue)
)</f>
        <v/>
      </c>
      <c r="M51" s="31" t="str">
        <f>_xlfn.LET(
    _xlpm.sumValue, SUMIFS(
        PNS_data[Value],
        PNS_data[Country], FR_data[[#This Row],[Country]],
        PNS_data[National Society name], selected,
        PNS_data[Attribute], "SP2",
        PNS_data[Year], "2027"
    ),
    IF(_xlpm.sumValue = 0, "", _xlpm.sumValue)
)</f>
        <v/>
      </c>
      <c r="N51" s="31" t="str">
        <f>_xlfn.LET(
    _xlpm.sumValue, SUMIFS(
        PNS_data[Value],
        PNS_data[Country], FR_data[[#This Row],[Country]],
        PNS_data[National Society name], selected,
        PNS_data[Attribute], "SP3",
        PNS_data[Year], "2027"
    ),
    IF(_xlpm.sumValue = 0, "", _xlpm.sumValue)
)</f>
        <v/>
      </c>
      <c r="O51" s="31" t="str">
        <f>_xlfn.LET(
    _xlpm.sumValue, SUMIFS(
        PNS_data[Value],
        PNS_data[Country], FR_data[[#This Row],[Country]],
        PNS_data[National Society name], selected,
        PNS_data[Attribute], "SP4",
        PNS_data[Year], "2027"
    ),
    IF(_xlpm.sumValue = 0, "", _xlpm.sumValue)
)</f>
        <v/>
      </c>
      <c r="P51" s="31" t="str">
        <f>_xlfn.LET(
    _xlpm.sumValue, SUMIFS(
        PNS_data[Value],
        PNS_data[Country], FR_data[[#This Row],[Country]],
        PNS_data[National Society name], selected,
        PNS_data[Attribute], "SP5",
        PNS_data[Year], "2027"
    ),
    IF(_xlpm.sumValue = 0, "", _xlpm.sumValue)
)</f>
        <v/>
      </c>
      <c r="Q51" s="31" t="str">
        <f>_xlfn.LET(
    _xlpm.sumValue, SUMIFS(
        PNS_data[Value],
        PNS_data[Country], FR_data[[#This Row],[Country]],
        PNS_data[National Society name], selected,
        PNS_data[Attribute], "EFs",
        PNS_data[Year], "2027"
    ),
    IF(_xlpm.sumValue = 0, "", _xlpm.sumValue)
)</f>
        <v/>
      </c>
      <c r="R51" s="32" t="str">
        <f>IF(SUM(FR_data[[#This Row],[Response - Disasters and Crises ]:[Enabling Functions ]])=0,"",SUM(FR_data[[#This Row],[Response - Disasters and Crises ]:[Enabling Functions ]]))</f>
        <v/>
      </c>
      <c r="S51" s="39"/>
      <c r="T51" s="30" t="str">
        <f>_xlfn.LET(
    _xlpm.sumValue, SUMIFS(
        PNS_data[Value],
        PNS_data[Country], FR_data[[#This Row],[Country]],
        PNS_data[National Society name], selected,
        PNS_data[Attribute], "SP1",
        PNS_data[Year], "2028"
    ),
    IF(_xlpm.sumValue = 0, "", _xlpm.sumValue)
)</f>
        <v/>
      </c>
      <c r="U51" s="31" t="str">
        <f>_xlfn.LET(
    _xlpm.sumValue, SUMIFS(
        PNS_data[Value],
        PNS_data[Country], FR_data[[#This Row],[Country]],
        PNS_data[National Society name], selected,
        PNS_data[Attribute], "SP2",
        PNS_data[Year], "2028"
    ),
    IF(_xlpm.sumValue = 0, "", _xlpm.sumValue)
)</f>
        <v/>
      </c>
      <c r="V51" s="31" t="str">
        <f>_xlfn.LET(
    _xlpm.sumValue, SUMIFS(
        PNS_data[Value],
        PNS_data[Country], FR_data[[#This Row],[Country]],
        PNS_data[National Society name], selected,
        PNS_data[Attribute], "SP3",
        PNS_data[Year], "2028"
    ),
    IF(_xlpm.sumValue = 0, "", _xlpm.sumValue)
)</f>
        <v/>
      </c>
      <c r="W51" s="31" t="str">
        <f>_xlfn.LET(
    _xlpm.sumValue, SUMIFS(
        PNS_data[Value],
        PNS_data[Country], FR_data[[#This Row],[Country]],
        PNS_data[National Society name], selected,
        PNS_data[Attribute], "SP4",
        PNS_data[Year], "2028"
    ),
    IF(_xlpm.sumValue = 0, "", _xlpm.sumValue)
)</f>
        <v/>
      </c>
      <c r="X51" s="31" t="str">
        <f>_xlfn.LET(
    _xlpm.sumValue, SUMIFS(
        PNS_data[Value],
        PNS_data[Country], FR_data[[#This Row],[Country]],
        PNS_data[National Society name], selected,
        PNS_data[Attribute], "SP5",
        PNS_data[Year], "2028"
    ),
    IF(_xlpm.sumValue = 0, "", _xlpm.sumValue)
)</f>
        <v/>
      </c>
      <c r="Y51" s="31" t="str">
        <f>_xlfn.LET(
    _xlpm.sumValue, SUMIFS(
        PNS_data[Value],
        PNS_data[Country], FR_data[[#This Row],[Country]],
        PNS_data[National Society name], selected,
        PNS_data[Attribute], "EFs",
        PNS_data[Year], "2028"
    ),
    IF(_xlpm.sumValue = 0, "", _xlpm.sumValue)
)</f>
        <v/>
      </c>
      <c r="Z51" s="32" t="str">
        <f>IF(SUM(FR_data[[#This Row],[Response - Disasters and Crises  ]:[Enabling Functions  ]])=0,"",SUM(FR_data[[#This Row],[Response - Disasters and Crises  ]:[Enabling Functions  ]]))</f>
        <v/>
      </c>
      <c r="AA51" s="41"/>
    </row>
    <row r="52" spans="1:27" x14ac:dyDescent="0.3">
      <c r="A52" s="11" t="s">
        <v>402</v>
      </c>
      <c r="B52" s="11" t="s">
        <v>109</v>
      </c>
      <c r="C52" s="11" t="s">
        <v>403</v>
      </c>
      <c r="D52" s="30" t="str">
        <f>_xlfn.LET(
    _xlpm.sumValue, SUMIFS(
        PNS_data[Value],
        PNS_data[Country], FR_data[[#This Row],[Country]],
        PNS_data[National Society name], selected,
        PNS_data[Attribute], "SP1",
        PNS_data[Year], "2026"
    ),
    IF(_xlpm.sumValue = 0, "", _xlpm.sumValue)
)</f>
        <v/>
      </c>
      <c r="E52" s="31" t="str">
        <f>_xlfn.LET(
    _xlpm.sumValue, SUMIFS(
        PNS_data[Value],
        PNS_data[Country], FR_data[[#This Row],[Country]],
        PNS_data[National Society name], selected,
        PNS_data[Attribute], "SP2",
        PNS_data[Year], "2026"
    ),
    IF(_xlpm.sumValue = 0, "", _xlpm.sumValue)
)</f>
        <v/>
      </c>
      <c r="F52" s="31" t="str">
        <f>_xlfn.LET(
    _xlpm.sumValue, SUMIFS(
        PNS_data[Value],
        PNS_data[Country], FR_data[[#This Row],[Country]],
        PNS_data[National Society name], selected,
        PNS_data[Attribute], "SP3",
        PNS_data[Year], "2026"
    ),
    IF(_xlpm.sumValue = 0, "", _xlpm.sumValue)
)</f>
        <v/>
      </c>
      <c r="G52" s="31" t="str">
        <f>_xlfn.LET(
    _xlpm.sumValue, SUMIFS(
        PNS_data[Value],
        PNS_data[Country], FR_data[[#This Row],[Country]],
        PNS_data[National Society name], selected,
        PNS_data[Attribute], "SP4",
        PNS_data[Year], "2026"
    ),
    IF(_xlpm.sumValue = 0, "", _xlpm.sumValue)
)</f>
        <v/>
      </c>
      <c r="H52" s="31" t="str">
        <f>_xlfn.LET(
    _xlpm.sumValue, SUMIFS(
        PNS_data[Value],
        PNS_data[Country], FR_data[[#This Row],[Country]],
        PNS_data[National Society name], selected,
        PNS_data[Attribute], "SP5",
        PNS_data[Year], "2026"
    ),
    IF(_xlpm.sumValue = 0, "", _xlpm.sumValue)
)</f>
        <v/>
      </c>
      <c r="I52" s="31" t="str">
        <f>_xlfn.LET(
    _xlpm.sumValue, SUMIFS(
        PNS_data[Value],
        PNS_data[Country], FR_data[[#This Row],[Country]],
        PNS_data[National Society name], selected,
        PNS_data[Attribute], "EFs",
        PNS_data[Year], "2026"
    ),
    IF(_xlpm.sumValue = 0, "", _xlpm.sumValue)
)</f>
        <v/>
      </c>
      <c r="J52" s="32" t="str">
        <f>IF(SUM(FR_data[[#This Row],[Response - Disasters and Crises]:[Enabling Functions]])=0,"",SUM(FR_data[[#This Row],[Response - Disasters and Crises]:[Enabling Functions]]))</f>
        <v/>
      </c>
      <c r="K52" s="39"/>
      <c r="L52" s="30" t="str">
        <f>_xlfn.LET(
    _xlpm.sumValue, SUMIFS(
        PNS_data[Value],
        PNS_data[Country], FR_data[[#This Row],[Country]],
        PNS_data[National Society name], selected,
        PNS_data[Attribute], "SP1",
        PNS_data[Year], "2027"
    ),
    IF(_xlpm.sumValue = 0, "", _xlpm.sumValue)
)</f>
        <v/>
      </c>
      <c r="M52" s="31" t="str">
        <f>_xlfn.LET(
    _xlpm.sumValue, SUMIFS(
        PNS_data[Value],
        PNS_data[Country], FR_data[[#This Row],[Country]],
        PNS_data[National Society name], selected,
        PNS_data[Attribute], "SP2",
        PNS_data[Year], "2027"
    ),
    IF(_xlpm.sumValue = 0, "", _xlpm.sumValue)
)</f>
        <v/>
      </c>
      <c r="N52" s="31" t="str">
        <f>_xlfn.LET(
    _xlpm.sumValue, SUMIFS(
        PNS_data[Value],
        PNS_data[Country], FR_data[[#This Row],[Country]],
        PNS_data[National Society name], selected,
        PNS_data[Attribute], "SP3",
        PNS_data[Year], "2027"
    ),
    IF(_xlpm.sumValue = 0, "", _xlpm.sumValue)
)</f>
        <v/>
      </c>
      <c r="O52" s="31" t="str">
        <f>_xlfn.LET(
    _xlpm.sumValue, SUMIFS(
        PNS_data[Value],
        PNS_data[Country], FR_data[[#This Row],[Country]],
        PNS_data[National Society name], selected,
        PNS_data[Attribute], "SP4",
        PNS_data[Year], "2027"
    ),
    IF(_xlpm.sumValue = 0, "", _xlpm.sumValue)
)</f>
        <v/>
      </c>
      <c r="P52" s="31" t="str">
        <f>_xlfn.LET(
    _xlpm.sumValue, SUMIFS(
        PNS_data[Value],
        PNS_data[Country], FR_data[[#This Row],[Country]],
        PNS_data[National Society name], selected,
        PNS_data[Attribute], "SP5",
        PNS_data[Year], "2027"
    ),
    IF(_xlpm.sumValue = 0, "", _xlpm.sumValue)
)</f>
        <v/>
      </c>
      <c r="Q52" s="31" t="str">
        <f>_xlfn.LET(
    _xlpm.sumValue, SUMIFS(
        PNS_data[Value],
        PNS_data[Country], FR_data[[#This Row],[Country]],
        PNS_data[National Society name], selected,
        PNS_data[Attribute], "EFs",
        PNS_data[Year], "2027"
    ),
    IF(_xlpm.sumValue = 0, "", _xlpm.sumValue)
)</f>
        <v/>
      </c>
      <c r="R52" s="32" t="str">
        <f>IF(SUM(FR_data[[#This Row],[Response - Disasters and Crises ]:[Enabling Functions ]])=0,"",SUM(FR_data[[#This Row],[Response - Disasters and Crises ]:[Enabling Functions ]]))</f>
        <v/>
      </c>
      <c r="S52" s="39"/>
      <c r="T52" s="30" t="str">
        <f>_xlfn.LET(
    _xlpm.sumValue, SUMIFS(
        PNS_data[Value],
        PNS_data[Country], FR_data[[#This Row],[Country]],
        PNS_data[National Society name], selected,
        PNS_data[Attribute], "SP1",
        PNS_data[Year], "2028"
    ),
    IF(_xlpm.sumValue = 0, "", _xlpm.sumValue)
)</f>
        <v/>
      </c>
      <c r="U52" s="31" t="str">
        <f>_xlfn.LET(
    _xlpm.sumValue, SUMIFS(
        PNS_data[Value],
        PNS_data[Country], FR_data[[#This Row],[Country]],
        PNS_data[National Society name], selected,
        PNS_data[Attribute], "SP2",
        PNS_data[Year], "2028"
    ),
    IF(_xlpm.sumValue = 0, "", _xlpm.sumValue)
)</f>
        <v/>
      </c>
      <c r="V52" s="31" t="str">
        <f>_xlfn.LET(
    _xlpm.sumValue, SUMIFS(
        PNS_data[Value],
        PNS_data[Country], FR_data[[#This Row],[Country]],
        PNS_data[National Society name], selected,
        PNS_data[Attribute], "SP3",
        PNS_data[Year], "2028"
    ),
    IF(_xlpm.sumValue = 0, "", _xlpm.sumValue)
)</f>
        <v/>
      </c>
      <c r="W52" s="31" t="str">
        <f>_xlfn.LET(
    _xlpm.sumValue, SUMIFS(
        PNS_data[Value],
        PNS_data[Country], FR_data[[#This Row],[Country]],
        PNS_data[National Society name], selected,
        PNS_data[Attribute], "SP4",
        PNS_data[Year], "2028"
    ),
    IF(_xlpm.sumValue = 0, "", _xlpm.sumValue)
)</f>
        <v/>
      </c>
      <c r="X52" s="31" t="str">
        <f>_xlfn.LET(
    _xlpm.sumValue, SUMIFS(
        PNS_data[Value],
        PNS_data[Country], FR_data[[#This Row],[Country]],
        PNS_data[National Society name], selected,
        PNS_data[Attribute], "SP5",
        PNS_data[Year], "2028"
    ),
    IF(_xlpm.sumValue = 0, "", _xlpm.sumValue)
)</f>
        <v/>
      </c>
      <c r="Y52" s="31" t="str">
        <f>_xlfn.LET(
    _xlpm.sumValue, SUMIFS(
        PNS_data[Value],
        PNS_data[Country], FR_data[[#This Row],[Country]],
        PNS_data[National Society name], selected,
        PNS_data[Attribute], "EFs",
        PNS_data[Year], "2028"
    ),
    IF(_xlpm.sumValue = 0, "", _xlpm.sumValue)
)</f>
        <v/>
      </c>
      <c r="Z52" s="32" t="str">
        <f>IF(SUM(FR_data[[#This Row],[Response - Disasters and Crises  ]:[Enabling Functions  ]])=0,"",SUM(FR_data[[#This Row],[Response - Disasters and Crises  ]:[Enabling Functions  ]]))</f>
        <v/>
      </c>
      <c r="AA52" s="41"/>
    </row>
    <row r="53" spans="1:27" x14ac:dyDescent="0.3">
      <c r="A53" s="11" t="s">
        <v>358</v>
      </c>
      <c r="B53" s="11" t="s">
        <v>109</v>
      </c>
      <c r="C53" s="11" t="s">
        <v>36</v>
      </c>
      <c r="D53" s="30" t="str">
        <f>_xlfn.LET(
    _xlpm.sumValue, SUMIFS(
        PNS_data[Value],
        PNS_data[Country], FR_data[[#This Row],[Country]],
        PNS_data[National Society name], selected,
        PNS_data[Attribute], "SP1",
        PNS_data[Year], "2026"
    ),
    IF(_xlpm.sumValue = 0, "", _xlpm.sumValue)
)</f>
        <v/>
      </c>
      <c r="E53" s="31" t="str">
        <f>_xlfn.LET(
    _xlpm.sumValue, SUMIFS(
        PNS_data[Value],
        PNS_data[Country], FR_data[[#This Row],[Country]],
        PNS_data[National Society name], selected,
        PNS_data[Attribute], "SP2",
        PNS_data[Year], "2026"
    ),
    IF(_xlpm.sumValue = 0, "", _xlpm.sumValue)
)</f>
        <v/>
      </c>
      <c r="F53" s="31" t="str">
        <f>_xlfn.LET(
    _xlpm.sumValue, SUMIFS(
        PNS_data[Value],
        PNS_data[Country], FR_data[[#This Row],[Country]],
        PNS_data[National Society name], selected,
        PNS_data[Attribute], "SP3",
        PNS_data[Year], "2026"
    ),
    IF(_xlpm.sumValue = 0, "", _xlpm.sumValue)
)</f>
        <v/>
      </c>
      <c r="G53" s="31" t="str">
        <f>_xlfn.LET(
    _xlpm.sumValue, SUMIFS(
        PNS_data[Value],
        PNS_data[Country], FR_data[[#This Row],[Country]],
        PNS_data[National Society name], selected,
        PNS_data[Attribute], "SP4",
        PNS_data[Year], "2026"
    ),
    IF(_xlpm.sumValue = 0, "", _xlpm.sumValue)
)</f>
        <v/>
      </c>
      <c r="H53" s="31" t="str">
        <f>_xlfn.LET(
    _xlpm.sumValue, SUMIFS(
        PNS_data[Value],
        PNS_data[Country], FR_data[[#This Row],[Country]],
        PNS_data[National Society name], selected,
        PNS_data[Attribute], "SP5",
        PNS_data[Year], "2026"
    ),
    IF(_xlpm.sumValue = 0, "", _xlpm.sumValue)
)</f>
        <v/>
      </c>
      <c r="I53" s="31" t="str">
        <f>_xlfn.LET(
    _xlpm.sumValue, SUMIFS(
        PNS_data[Value],
        PNS_data[Country], FR_data[[#This Row],[Country]],
        PNS_data[National Society name], selected,
        PNS_data[Attribute], "EFs",
        PNS_data[Year], "2026"
    ),
    IF(_xlpm.sumValue = 0, "", _xlpm.sumValue)
)</f>
        <v/>
      </c>
      <c r="J53" s="32" t="str">
        <f>IF(SUM(FR_data[[#This Row],[Response - Disasters and Crises]:[Enabling Functions]])=0,"",SUM(FR_data[[#This Row],[Response - Disasters and Crises]:[Enabling Functions]]))</f>
        <v/>
      </c>
      <c r="K53" s="39"/>
      <c r="L53" s="30" t="str">
        <f>_xlfn.LET(
    _xlpm.sumValue, SUMIFS(
        PNS_data[Value],
        PNS_data[Country], FR_data[[#This Row],[Country]],
        PNS_data[National Society name], selected,
        PNS_data[Attribute], "SP1",
        PNS_data[Year], "2027"
    ),
    IF(_xlpm.sumValue = 0, "", _xlpm.sumValue)
)</f>
        <v/>
      </c>
      <c r="M53" s="31" t="str">
        <f>_xlfn.LET(
    _xlpm.sumValue, SUMIFS(
        PNS_data[Value],
        PNS_data[Country], FR_data[[#This Row],[Country]],
        PNS_data[National Society name], selected,
        PNS_data[Attribute], "SP2",
        PNS_data[Year], "2027"
    ),
    IF(_xlpm.sumValue = 0, "", _xlpm.sumValue)
)</f>
        <v/>
      </c>
      <c r="N53" s="31" t="str">
        <f>_xlfn.LET(
    _xlpm.sumValue, SUMIFS(
        PNS_data[Value],
        PNS_data[Country], FR_data[[#This Row],[Country]],
        PNS_data[National Society name], selected,
        PNS_data[Attribute], "SP3",
        PNS_data[Year], "2027"
    ),
    IF(_xlpm.sumValue = 0, "", _xlpm.sumValue)
)</f>
        <v/>
      </c>
      <c r="O53" s="31" t="str">
        <f>_xlfn.LET(
    _xlpm.sumValue, SUMIFS(
        PNS_data[Value],
        PNS_data[Country], FR_data[[#This Row],[Country]],
        PNS_data[National Society name], selected,
        PNS_data[Attribute], "SP4",
        PNS_data[Year], "2027"
    ),
    IF(_xlpm.sumValue = 0, "", _xlpm.sumValue)
)</f>
        <v/>
      </c>
      <c r="P53" s="31" t="str">
        <f>_xlfn.LET(
    _xlpm.sumValue, SUMIFS(
        PNS_data[Value],
        PNS_data[Country], FR_data[[#This Row],[Country]],
        PNS_data[National Society name], selected,
        PNS_data[Attribute], "SP5",
        PNS_data[Year], "2027"
    ),
    IF(_xlpm.sumValue = 0, "", _xlpm.sumValue)
)</f>
        <v/>
      </c>
      <c r="Q53" s="31" t="str">
        <f>_xlfn.LET(
    _xlpm.sumValue, SUMIFS(
        PNS_data[Value],
        PNS_data[Country], FR_data[[#This Row],[Country]],
        PNS_data[National Society name], selected,
        PNS_data[Attribute], "EFs",
        PNS_data[Year], "2027"
    ),
    IF(_xlpm.sumValue = 0, "", _xlpm.sumValue)
)</f>
        <v/>
      </c>
      <c r="R53" s="32" t="str">
        <f>IF(SUM(FR_data[[#This Row],[Response - Disasters and Crises ]:[Enabling Functions ]])=0,"",SUM(FR_data[[#This Row],[Response - Disasters and Crises ]:[Enabling Functions ]]))</f>
        <v/>
      </c>
      <c r="S53" s="39"/>
      <c r="T53" s="30" t="str">
        <f>_xlfn.LET(
    _xlpm.sumValue, SUMIFS(
        PNS_data[Value],
        PNS_data[Country], FR_data[[#This Row],[Country]],
        PNS_data[National Society name], selected,
        PNS_data[Attribute], "SP1",
        PNS_data[Year], "2028"
    ),
    IF(_xlpm.sumValue = 0, "", _xlpm.sumValue)
)</f>
        <v/>
      </c>
      <c r="U53" s="31" t="str">
        <f>_xlfn.LET(
    _xlpm.sumValue, SUMIFS(
        PNS_data[Value],
        PNS_data[Country], FR_data[[#This Row],[Country]],
        PNS_data[National Society name], selected,
        PNS_data[Attribute], "SP2",
        PNS_data[Year], "2028"
    ),
    IF(_xlpm.sumValue = 0, "", _xlpm.sumValue)
)</f>
        <v/>
      </c>
      <c r="V53" s="31" t="str">
        <f>_xlfn.LET(
    _xlpm.sumValue, SUMIFS(
        PNS_data[Value],
        PNS_data[Country], FR_data[[#This Row],[Country]],
        PNS_data[National Society name], selected,
        PNS_data[Attribute], "SP3",
        PNS_data[Year], "2028"
    ),
    IF(_xlpm.sumValue = 0, "", _xlpm.sumValue)
)</f>
        <v/>
      </c>
      <c r="W53" s="31" t="str">
        <f>_xlfn.LET(
    _xlpm.sumValue, SUMIFS(
        PNS_data[Value],
        PNS_data[Country], FR_data[[#This Row],[Country]],
        PNS_data[National Society name], selected,
        PNS_data[Attribute], "SP4",
        PNS_data[Year], "2028"
    ),
    IF(_xlpm.sumValue = 0, "", _xlpm.sumValue)
)</f>
        <v/>
      </c>
      <c r="X53" s="31" t="str">
        <f>_xlfn.LET(
    _xlpm.sumValue, SUMIFS(
        PNS_data[Value],
        PNS_data[Country], FR_data[[#This Row],[Country]],
        PNS_data[National Society name], selected,
        PNS_data[Attribute], "SP5",
        PNS_data[Year], "2028"
    ),
    IF(_xlpm.sumValue = 0, "", _xlpm.sumValue)
)</f>
        <v/>
      </c>
      <c r="Y53" s="31" t="str">
        <f>_xlfn.LET(
    _xlpm.sumValue, SUMIFS(
        PNS_data[Value],
        PNS_data[Country], FR_data[[#This Row],[Country]],
        PNS_data[National Society name], selected,
        PNS_data[Attribute], "EFs",
        PNS_data[Year], "2028"
    ),
    IF(_xlpm.sumValue = 0, "", _xlpm.sumValue)
)</f>
        <v/>
      </c>
      <c r="Z53" s="32" t="str">
        <f>IF(SUM(FR_data[[#This Row],[Response - Disasters and Crises  ]:[Enabling Functions  ]])=0,"",SUM(FR_data[[#This Row],[Response - Disasters and Crises  ]:[Enabling Functions  ]]))</f>
        <v/>
      </c>
      <c r="AA53" s="41"/>
    </row>
    <row r="54" spans="1:27" x14ac:dyDescent="0.3">
      <c r="A54" s="11" t="s">
        <v>341</v>
      </c>
      <c r="B54" s="11" t="s">
        <v>109</v>
      </c>
      <c r="C54" s="11" t="s">
        <v>342</v>
      </c>
      <c r="D54" s="30" t="str">
        <f>_xlfn.LET(
    _xlpm.sumValue, SUMIFS(
        PNS_data[Value],
        PNS_data[Country], FR_data[[#This Row],[Country]],
        PNS_data[National Society name], selected,
        PNS_data[Attribute], "SP1",
        PNS_data[Year], "2026"
    ),
    IF(_xlpm.sumValue = 0, "", _xlpm.sumValue)
)</f>
        <v/>
      </c>
      <c r="E54" s="31" t="str">
        <f>_xlfn.LET(
    _xlpm.sumValue, SUMIFS(
        PNS_data[Value],
        PNS_data[Country], FR_data[[#This Row],[Country]],
        PNS_data[National Society name], selected,
        PNS_data[Attribute], "SP2",
        PNS_data[Year], "2026"
    ),
    IF(_xlpm.sumValue = 0, "", _xlpm.sumValue)
)</f>
        <v/>
      </c>
      <c r="F54" s="31" t="str">
        <f>_xlfn.LET(
    _xlpm.sumValue, SUMIFS(
        PNS_data[Value],
        PNS_data[Country], FR_data[[#This Row],[Country]],
        PNS_data[National Society name], selected,
        PNS_data[Attribute], "SP3",
        PNS_data[Year], "2026"
    ),
    IF(_xlpm.sumValue = 0, "", _xlpm.sumValue)
)</f>
        <v/>
      </c>
      <c r="G54" s="31" t="str">
        <f>_xlfn.LET(
    _xlpm.sumValue, SUMIFS(
        PNS_data[Value],
        PNS_data[Country], FR_data[[#This Row],[Country]],
        PNS_data[National Society name], selected,
        PNS_data[Attribute], "SP4",
        PNS_data[Year], "2026"
    ),
    IF(_xlpm.sumValue = 0, "", _xlpm.sumValue)
)</f>
        <v/>
      </c>
      <c r="H54" s="31" t="str">
        <f>_xlfn.LET(
    _xlpm.sumValue, SUMIFS(
        PNS_data[Value],
        PNS_data[Country], FR_data[[#This Row],[Country]],
        PNS_data[National Society name], selected,
        PNS_data[Attribute], "SP5",
        PNS_data[Year], "2026"
    ),
    IF(_xlpm.sumValue = 0, "", _xlpm.sumValue)
)</f>
        <v/>
      </c>
      <c r="I54" s="31" t="str">
        <f>_xlfn.LET(
    _xlpm.sumValue, SUMIFS(
        PNS_data[Value],
        PNS_data[Country], FR_data[[#This Row],[Country]],
        PNS_data[National Society name], selected,
        PNS_data[Attribute], "EFs",
        PNS_data[Year], "2026"
    ),
    IF(_xlpm.sumValue = 0, "", _xlpm.sumValue)
)</f>
        <v/>
      </c>
      <c r="J54" s="32" t="str">
        <f>IF(SUM(FR_data[[#This Row],[Response - Disasters and Crises]:[Enabling Functions]])=0,"",SUM(FR_data[[#This Row],[Response - Disasters and Crises]:[Enabling Functions]]))</f>
        <v/>
      </c>
      <c r="K54" s="39"/>
      <c r="L54" s="30" t="str">
        <f>_xlfn.LET(
    _xlpm.sumValue, SUMIFS(
        PNS_data[Value],
        PNS_data[Country], FR_data[[#This Row],[Country]],
        PNS_data[National Society name], selected,
        PNS_data[Attribute], "SP1",
        PNS_data[Year], "2027"
    ),
    IF(_xlpm.sumValue = 0, "", _xlpm.sumValue)
)</f>
        <v/>
      </c>
      <c r="M54" s="31" t="str">
        <f>_xlfn.LET(
    _xlpm.sumValue, SUMIFS(
        PNS_data[Value],
        PNS_data[Country], FR_data[[#This Row],[Country]],
        PNS_data[National Society name], selected,
        PNS_data[Attribute], "SP2",
        PNS_data[Year], "2027"
    ),
    IF(_xlpm.sumValue = 0, "", _xlpm.sumValue)
)</f>
        <v/>
      </c>
      <c r="N54" s="31" t="str">
        <f>_xlfn.LET(
    _xlpm.sumValue, SUMIFS(
        PNS_data[Value],
        PNS_data[Country], FR_data[[#This Row],[Country]],
        PNS_data[National Society name], selected,
        PNS_data[Attribute], "SP3",
        PNS_data[Year], "2027"
    ),
    IF(_xlpm.sumValue = 0, "", _xlpm.sumValue)
)</f>
        <v/>
      </c>
      <c r="O54" s="31" t="str">
        <f>_xlfn.LET(
    _xlpm.sumValue, SUMIFS(
        PNS_data[Value],
        PNS_data[Country], FR_data[[#This Row],[Country]],
        PNS_data[National Society name], selected,
        PNS_data[Attribute], "SP4",
        PNS_data[Year], "2027"
    ),
    IF(_xlpm.sumValue = 0, "", _xlpm.sumValue)
)</f>
        <v/>
      </c>
      <c r="P54" s="31" t="str">
        <f>_xlfn.LET(
    _xlpm.sumValue, SUMIFS(
        PNS_data[Value],
        PNS_data[Country], FR_data[[#This Row],[Country]],
        PNS_data[National Society name], selected,
        PNS_data[Attribute], "SP5",
        PNS_data[Year], "2027"
    ),
    IF(_xlpm.sumValue = 0, "", _xlpm.sumValue)
)</f>
        <v/>
      </c>
      <c r="Q54" s="31" t="str">
        <f>_xlfn.LET(
    _xlpm.sumValue, SUMIFS(
        PNS_data[Value],
        PNS_data[Country], FR_data[[#This Row],[Country]],
        PNS_data[National Society name], selected,
        PNS_data[Attribute], "EFs",
        PNS_data[Year], "2027"
    ),
    IF(_xlpm.sumValue = 0, "", _xlpm.sumValue)
)</f>
        <v/>
      </c>
      <c r="R54" s="32" t="str">
        <f>IF(SUM(FR_data[[#This Row],[Response - Disasters and Crises ]:[Enabling Functions ]])=0,"",SUM(FR_data[[#This Row],[Response - Disasters and Crises ]:[Enabling Functions ]]))</f>
        <v/>
      </c>
      <c r="S54" s="39"/>
      <c r="T54" s="30" t="str">
        <f>_xlfn.LET(
    _xlpm.sumValue, SUMIFS(
        PNS_data[Value],
        PNS_data[Country], FR_data[[#This Row],[Country]],
        PNS_data[National Society name], selected,
        PNS_data[Attribute], "SP1",
        PNS_data[Year], "2028"
    ),
    IF(_xlpm.sumValue = 0, "", _xlpm.sumValue)
)</f>
        <v/>
      </c>
      <c r="U54" s="31" t="str">
        <f>_xlfn.LET(
    _xlpm.sumValue, SUMIFS(
        PNS_data[Value],
        PNS_data[Country], FR_data[[#This Row],[Country]],
        PNS_data[National Society name], selected,
        PNS_data[Attribute], "SP2",
        PNS_data[Year], "2028"
    ),
    IF(_xlpm.sumValue = 0, "", _xlpm.sumValue)
)</f>
        <v/>
      </c>
      <c r="V54" s="31" t="str">
        <f>_xlfn.LET(
    _xlpm.sumValue, SUMIFS(
        PNS_data[Value],
        PNS_data[Country], FR_data[[#This Row],[Country]],
        PNS_data[National Society name], selected,
        PNS_data[Attribute], "SP3",
        PNS_data[Year], "2028"
    ),
    IF(_xlpm.sumValue = 0, "", _xlpm.sumValue)
)</f>
        <v/>
      </c>
      <c r="W54" s="31" t="str">
        <f>_xlfn.LET(
    _xlpm.sumValue, SUMIFS(
        PNS_data[Value],
        PNS_data[Country], FR_data[[#This Row],[Country]],
        PNS_data[National Society name], selected,
        PNS_data[Attribute], "SP4",
        PNS_data[Year], "2028"
    ),
    IF(_xlpm.sumValue = 0, "", _xlpm.sumValue)
)</f>
        <v/>
      </c>
      <c r="X54" s="31" t="str">
        <f>_xlfn.LET(
    _xlpm.sumValue, SUMIFS(
        PNS_data[Value],
        PNS_data[Country], FR_data[[#This Row],[Country]],
        PNS_data[National Society name], selected,
        PNS_data[Attribute], "SP5",
        PNS_data[Year], "2028"
    ),
    IF(_xlpm.sumValue = 0, "", _xlpm.sumValue)
)</f>
        <v/>
      </c>
      <c r="Y54" s="31" t="str">
        <f>_xlfn.LET(
    _xlpm.sumValue, SUMIFS(
        PNS_data[Value],
        PNS_data[Country], FR_data[[#This Row],[Country]],
        PNS_data[National Society name], selected,
        PNS_data[Attribute], "EFs",
        PNS_data[Year], "2028"
    ),
    IF(_xlpm.sumValue = 0, "", _xlpm.sumValue)
)</f>
        <v/>
      </c>
      <c r="Z54" s="32" t="str">
        <f>IF(SUM(FR_data[[#This Row],[Response - Disasters and Crises  ]:[Enabling Functions  ]])=0,"",SUM(FR_data[[#This Row],[Response - Disasters and Crises  ]:[Enabling Functions  ]]))</f>
        <v/>
      </c>
      <c r="AA54" s="41"/>
    </row>
    <row r="55" spans="1:27" x14ac:dyDescent="0.3">
      <c r="A55" s="11" t="s">
        <v>384</v>
      </c>
      <c r="B55" s="11" t="s">
        <v>109</v>
      </c>
      <c r="C55" s="11" t="s">
        <v>55</v>
      </c>
      <c r="D55" s="30" t="str">
        <f>_xlfn.LET(
    _xlpm.sumValue, SUMIFS(
        PNS_data[Value],
        PNS_data[Country], FR_data[[#This Row],[Country]],
        PNS_data[National Society name], selected,
        PNS_data[Attribute], "SP1",
        PNS_data[Year], "2026"
    ),
    IF(_xlpm.sumValue = 0, "", _xlpm.sumValue)
)</f>
        <v/>
      </c>
      <c r="E55" s="31" t="str">
        <f>_xlfn.LET(
    _xlpm.sumValue, SUMIFS(
        PNS_data[Value],
        PNS_data[Country], FR_data[[#This Row],[Country]],
        PNS_data[National Society name], selected,
        PNS_data[Attribute], "SP2",
        PNS_data[Year], "2026"
    ),
    IF(_xlpm.sumValue = 0, "", _xlpm.sumValue)
)</f>
        <v/>
      </c>
      <c r="F55" s="31" t="str">
        <f>_xlfn.LET(
    _xlpm.sumValue, SUMIFS(
        PNS_data[Value],
        PNS_data[Country], FR_data[[#This Row],[Country]],
        PNS_data[National Society name], selected,
        PNS_data[Attribute], "SP3",
        PNS_data[Year], "2026"
    ),
    IF(_xlpm.sumValue = 0, "", _xlpm.sumValue)
)</f>
        <v/>
      </c>
      <c r="G55" s="31" t="str">
        <f>_xlfn.LET(
    _xlpm.sumValue, SUMIFS(
        PNS_data[Value],
        PNS_data[Country], FR_data[[#This Row],[Country]],
        PNS_data[National Society name], selected,
        PNS_data[Attribute], "SP4",
        PNS_data[Year], "2026"
    ),
    IF(_xlpm.sumValue = 0, "", _xlpm.sumValue)
)</f>
        <v/>
      </c>
      <c r="H55" s="31" t="str">
        <f>_xlfn.LET(
    _xlpm.sumValue, SUMIFS(
        PNS_data[Value],
        PNS_data[Country], FR_data[[#This Row],[Country]],
        PNS_data[National Society name], selected,
        PNS_data[Attribute], "SP5",
        PNS_data[Year], "2026"
    ),
    IF(_xlpm.sumValue = 0, "", _xlpm.sumValue)
)</f>
        <v/>
      </c>
      <c r="I55" s="31" t="str">
        <f>_xlfn.LET(
    _xlpm.sumValue, SUMIFS(
        PNS_data[Value],
        PNS_data[Country], FR_data[[#This Row],[Country]],
        PNS_data[National Society name], selected,
        PNS_data[Attribute], "EFs",
        PNS_data[Year], "2026"
    ),
    IF(_xlpm.sumValue = 0, "", _xlpm.sumValue)
)</f>
        <v/>
      </c>
      <c r="J55" s="32" t="str">
        <f>IF(SUM(FR_data[[#This Row],[Response - Disasters and Crises]:[Enabling Functions]])=0,"",SUM(FR_data[[#This Row],[Response - Disasters and Crises]:[Enabling Functions]]))</f>
        <v/>
      </c>
      <c r="K55" s="39"/>
      <c r="L55" s="30" t="str">
        <f>_xlfn.LET(
    _xlpm.sumValue, SUMIFS(
        PNS_data[Value],
        PNS_data[Country], FR_data[[#This Row],[Country]],
        PNS_data[National Society name], selected,
        PNS_data[Attribute], "SP1",
        PNS_data[Year], "2027"
    ),
    IF(_xlpm.sumValue = 0, "", _xlpm.sumValue)
)</f>
        <v/>
      </c>
      <c r="M55" s="31" t="str">
        <f>_xlfn.LET(
    _xlpm.sumValue, SUMIFS(
        PNS_data[Value],
        PNS_data[Country], FR_data[[#This Row],[Country]],
        PNS_data[National Society name], selected,
        PNS_data[Attribute], "SP2",
        PNS_data[Year], "2027"
    ),
    IF(_xlpm.sumValue = 0, "", _xlpm.sumValue)
)</f>
        <v/>
      </c>
      <c r="N55" s="31" t="str">
        <f>_xlfn.LET(
    _xlpm.sumValue, SUMIFS(
        PNS_data[Value],
        PNS_data[Country], FR_data[[#This Row],[Country]],
        PNS_data[National Society name], selected,
        PNS_data[Attribute], "SP3",
        PNS_data[Year], "2027"
    ),
    IF(_xlpm.sumValue = 0, "", _xlpm.sumValue)
)</f>
        <v/>
      </c>
      <c r="O55" s="31" t="str">
        <f>_xlfn.LET(
    _xlpm.sumValue, SUMIFS(
        PNS_data[Value],
        PNS_data[Country], FR_data[[#This Row],[Country]],
        PNS_data[National Society name], selected,
        PNS_data[Attribute], "SP4",
        PNS_data[Year], "2027"
    ),
    IF(_xlpm.sumValue = 0, "", _xlpm.sumValue)
)</f>
        <v/>
      </c>
      <c r="P55" s="31" t="str">
        <f>_xlfn.LET(
    _xlpm.sumValue, SUMIFS(
        PNS_data[Value],
        PNS_data[Country], FR_data[[#This Row],[Country]],
        PNS_data[National Society name], selected,
        PNS_data[Attribute], "SP5",
        PNS_data[Year], "2027"
    ),
    IF(_xlpm.sumValue = 0, "", _xlpm.sumValue)
)</f>
        <v/>
      </c>
      <c r="Q55" s="31" t="str">
        <f>_xlfn.LET(
    _xlpm.sumValue, SUMIFS(
        PNS_data[Value],
        PNS_data[Country], FR_data[[#This Row],[Country]],
        PNS_data[National Society name], selected,
        PNS_data[Attribute], "EFs",
        PNS_data[Year], "2027"
    ),
    IF(_xlpm.sumValue = 0, "", _xlpm.sumValue)
)</f>
        <v/>
      </c>
      <c r="R55" s="32" t="str">
        <f>IF(SUM(FR_data[[#This Row],[Response - Disasters and Crises ]:[Enabling Functions ]])=0,"",SUM(FR_data[[#This Row],[Response - Disasters and Crises ]:[Enabling Functions ]]))</f>
        <v/>
      </c>
      <c r="S55" s="39"/>
      <c r="T55" s="30" t="str">
        <f>_xlfn.LET(
    _xlpm.sumValue, SUMIFS(
        PNS_data[Value],
        PNS_data[Country], FR_data[[#This Row],[Country]],
        PNS_data[National Society name], selected,
        PNS_data[Attribute], "SP1",
        PNS_data[Year], "2028"
    ),
    IF(_xlpm.sumValue = 0, "", _xlpm.sumValue)
)</f>
        <v/>
      </c>
      <c r="U55" s="31" t="str">
        <f>_xlfn.LET(
    _xlpm.sumValue, SUMIFS(
        PNS_data[Value],
        PNS_data[Country], FR_data[[#This Row],[Country]],
        PNS_data[National Society name], selected,
        PNS_data[Attribute], "SP2",
        PNS_data[Year], "2028"
    ),
    IF(_xlpm.sumValue = 0, "", _xlpm.sumValue)
)</f>
        <v/>
      </c>
      <c r="V55" s="31" t="str">
        <f>_xlfn.LET(
    _xlpm.sumValue, SUMIFS(
        PNS_data[Value],
        PNS_data[Country], FR_data[[#This Row],[Country]],
        PNS_data[National Society name], selected,
        PNS_data[Attribute], "SP3",
        PNS_data[Year], "2028"
    ),
    IF(_xlpm.sumValue = 0, "", _xlpm.sumValue)
)</f>
        <v/>
      </c>
      <c r="W55" s="31" t="str">
        <f>_xlfn.LET(
    _xlpm.sumValue, SUMIFS(
        PNS_data[Value],
        PNS_data[Country], FR_data[[#This Row],[Country]],
        PNS_data[National Society name], selected,
        PNS_data[Attribute], "SP4",
        PNS_data[Year], "2028"
    ),
    IF(_xlpm.sumValue = 0, "", _xlpm.sumValue)
)</f>
        <v/>
      </c>
      <c r="X55" s="31" t="str">
        <f>_xlfn.LET(
    _xlpm.sumValue, SUMIFS(
        PNS_data[Value],
        PNS_data[Country], FR_data[[#This Row],[Country]],
        PNS_data[National Society name], selected,
        PNS_data[Attribute], "SP5",
        PNS_data[Year], "2028"
    ),
    IF(_xlpm.sumValue = 0, "", _xlpm.sumValue)
)</f>
        <v/>
      </c>
      <c r="Y55" s="31" t="str">
        <f>_xlfn.LET(
    _xlpm.sumValue, SUMIFS(
        PNS_data[Value],
        PNS_data[Country], FR_data[[#This Row],[Country]],
        PNS_data[National Society name], selected,
        PNS_data[Attribute], "EFs",
        PNS_data[Year], "2028"
    ),
    IF(_xlpm.sumValue = 0, "", _xlpm.sumValue)
)</f>
        <v/>
      </c>
      <c r="Z55" s="32" t="str">
        <f>IF(SUM(FR_data[[#This Row],[Response - Disasters and Crises  ]:[Enabling Functions  ]])=0,"",SUM(FR_data[[#This Row],[Response - Disasters and Crises  ]:[Enabling Functions  ]]))</f>
        <v/>
      </c>
      <c r="AA55" s="41"/>
    </row>
    <row r="56" spans="1:27" x14ac:dyDescent="0.3">
      <c r="A56" s="11" t="s">
        <v>367</v>
      </c>
      <c r="B56" s="11" t="s">
        <v>109</v>
      </c>
      <c r="C56" s="11" t="s">
        <v>85</v>
      </c>
      <c r="D56" s="30" t="str">
        <f>_xlfn.LET(
    _xlpm.sumValue, SUMIFS(
        PNS_data[Value],
        PNS_data[Country], FR_data[[#This Row],[Country]],
        PNS_data[National Society name], selected,
        PNS_data[Attribute], "SP1",
        PNS_data[Year], "2026"
    ),
    IF(_xlpm.sumValue = 0, "", _xlpm.sumValue)
)</f>
        <v/>
      </c>
      <c r="E56" s="31" t="str">
        <f>_xlfn.LET(
    _xlpm.sumValue, SUMIFS(
        PNS_data[Value],
        PNS_data[Country], FR_data[[#This Row],[Country]],
        PNS_data[National Society name], selected,
        PNS_data[Attribute], "SP2",
        PNS_data[Year], "2026"
    ),
    IF(_xlpm.sumValue = 0, "", _xlpm.sumValue)
)</f>
        <v/>
      </c>
      <c r="F56" s="31" t="str">
        <f>_xlfn.LET(
    _xlpm.sumValue, SUMIFS(
        PNS_data[Value],
        PNS_data[Country], FR_data[[#This Row],[Country]],
        PNS_data[National Society name], selected,
        PNS_data[Attribute], "SP3",
        PNS_data[Year], "2026"
    ),
    IF(_xlpm.sumValue = 0, "", _xlpm.sumValue)
)</f>
        <v/>
      </c>
      <c r="G56" s="31" t="str">
        <f>_xlfn.LET(
    _xlpm.sumValue, SUMIFS(
        PNS_data[Value],
        PNS_data[Country], FR_data[[#This Row],[Country]],
        PNS_data[National Society name], selected,
        PNS_data[Attribute], "SP4",
        PNS_data[Year], "2026"
    ),
    IF(_xlpm.sumValue = 0, "", _xlpm.sumValue)
)</f>
        <v/>
      </c>
      <c r="H56" s="31" t="str">
        <f>_xlfn.LET(
    _xlpm.sumValue, SUMIFS(
        PNS_data[Value],
        PNS_data[Country], FR_data[[#This Row],[Country]],
        PNS_data[National Society name], selected,
        PNS_data[Attribute], "SP5",
        PNS_data[Year], "2026"
    ),
    IF(_xlpm.sumValue = 0, "", _xlpm.sumValue)
)</f>
        <v/>
      </c>
      <c r="I56" s="31" t="str">
        <f>_xlfn.LET(
    _xlpm.sumValue, SUMIFS(
        PNS_data[Value],
        PNS_data[Country], FR_data[[#This Row],[Country]],
        PNS_data[National Society name], selected,
        PNS_data[Attribute], "EFs",
        PNS_data[Year], "2026"
    ),
    IF(_xlpm.sumValue = 0, "", _xlpm.sumValue)
)</f>
        <v/>
      </c>
      <c r="J56" s="32" t="str">
        <f>IF(SUM(FR_data[[#This Row],[Response - Disasters and Crises]:[Enabling Functions]])=0,"",SUM(FR_data[[#This Row],[Response - Disasters and Crises]:[Enabling Functions]]))</f>
        <v/>
      </c>
      <c r="K56" s="39"/>
      <c r="L56" s="30" t="str">
        <f>_xlfn.LET(
    _xlpm.sumValue, SUMIFS(
        PNS_data[Value],
        PNS_data[Country], FR_data[[#This Row],[Country]],
        PNS_data[National Society name], selected,
        PNS_data[Attribute], "SP1",
        PNS_data[Year], "2027"
    ),
    IF(_xlpm.sumValue = 0, "", _xlpm.sumValue)
)</f>
        <v/>
      </c>
      <c r="M56" s="31" t="str">
        <f>_xlfn.LET(
    _xlpm.sumValue, SUMIFS(
        PNS_data[Value],
        PNS_data[Country], FR_data[[#This Row],[Country]],
        PNS_data[National Society name], selected,
        PNS_data[Attribute], "SP2",
        PNS_data[Year], "2027"
    ),
    IF(_xlpm.sumValue = 0, "", _xlpm.sumValue)
)</f>
        <v/>
      </c>
      <c r="N56" s="31" t="str">
        <f>_xlfn.LET(
    _xlpm.sumValue, SUMIFS(
        PNS_data[Value],
        PNS_data[Country], FR_data[[#This Row],[Country]],
        PNS_data[National Society name], selected,
        PNS_data[Attribute], "SP3",
        PNS_data[Year], "2027"
    ),
    IF(_xlpm.sumValue = 0, "", _xlpm.sumValue)
)</f>
        <v/>
      </c>
      <c r="O56" s="31" t="str">
        <f>_xlfn.LET(
    _xlpm.sumValue, SUMIFS(
        PNS_data[Value],
        PNS_data[Country], FR_data[[#This Row],[Country]],
        PNS_data[National Society name], selected,
        PNS_data[Attribute], "SP4",
        PNS_data[Year], "2027"
    ),
    IF(_xlpm.sumValue = 0, "", _xlpm.sumValue)
)</f>
        <v/>
      </c>
      <c r="P56" s="31" t="str">
        <f>_xlfn.LET(
    _xlpm.sumValue, SUMIFS(
        PNS_data[Value],
        PNS_data[Country], FR_data[[#This Row],[Country]],
        PNS_data[National Society name], selected,
        PNS_data[Attribute], "SP5",
        PNS_data[Year], "2027"
    ),
    IF(_xlpm.sumValue = 0, "", _xlpm.sumValue)
)</f>
        <v/>
      </c>
      <c r="Q56" s="31" t="str">
        <f>_xlfn.LET(
    _xlpm.sumValue, SUMIFS(
        PNS_data[Value],
        PNS_data[Country], FR_data[[#This Row],[Country]],
        PNS_data[National Society name], selected,
        PNS_data[Attribute], "EFs",
        PNS_data[Year], "2027"
    ),
    IF(_xlpm.sumValue = 0, "", _xlpm.sumValue)
)</f>
        <v/>
      </c>
      <c r="R56" s="32" t="str">
        <f>IF(SUM(FR_data[[#This Row],[Response - Disasters and Crises ]:[Enabling Functions ]])=0,"",SUM(FR_data[[#This Row],[Response - Disasters and Crises ]:[Enabling Functions ]]))</f>
        <v/>
      </c>
      <c r="S56" s="39"/>
      <c r="T56" s="30" t="str">
        <f>_xlfn.LET(
    _xlpm.sumValue, SUMIFS(
        PNS_data[Value],
        PNS_data[Country], FR_data[[#This Row],[Country]],
        PNS_data[National Society name], selected,
        PNS_data[Attribute], "SP1",
        PNS_data[Year], "2028"
    ),
    IF(_xlpm.sumValue = 0, "", _xlpm.sumValue)
)</f>
        <v/>
      </c>
      <c r="U56" s="31" t="str">
        <f>_xlfn.LET(
    _xlpm.sumValue, SUMIFS(
        PNS_data[Value],
        PNS_data[Country], FR_data[[#This Row],[Country]],
        PNS_data[National Society name], selected,
        PNS_data[Attribute], "SP2",
        PNS_data[Year], "2028"
    ),
    IF(_xlpm.sumValue = 0, "", _xlpm.sumValue)
)</f>
        <v/>
      </c>
      <c r="V56" s="31" t="str">
        <f>_xlfn.LET(
    _xlpm.sumValue, SUMIFS(
        PNS_data[Value],
        PNS_data[Country], FR_data[[#This Row],[Country]],
        PNS_data[National Society name], selected,
        PNS_data[Attribute], "SP3",
        PNS_data[Year], "2028"
    ),
    IF(_xlpm.sumValue = 0, "", _xlpm.sumValue)
)</f>
        <v/>
      </c>
      <c r="W56" s="31" t="str">
        <f>_xlfn.LET(
    _xlpm.sumValue, SUMIFS(
        PNS_data[Value],
        PNS_data[Country], FR_data[[#This Row],[Country]],
        PNS_data[National Society name], selected,
        PNS_data[Attribute], "SP4",
        PNS_data[Year], "2028"
    ),
    IF(_xlpm.sumValue = 0, "", _xlpm.sumValue)
)</f>
        <v/>
      </c>
      <c r="X56" s="31" t="str">
        <f>_xlfn.LET(
    _xlpm.sumValue, SUMIFS(
        PNS_data[Value],
        PNS_data[Country], FR_data[[#This Row],[Country]],
        PNS_data[National Society name], selected,
        PNS_data[Attribute], "SP5",
        PNS_data[Year], "2028"
    ),
    IF(_xlpm.sumValue = 0, "", _xlpm.sumValue)
)</f>
        <v/>
      </c>
      <c r="Y56" s="31" t="str">
        <f>_xlfn.LET(
    _xlpm.sumValue, SUMIFS(
        PNS_data[Value],
        PNS_data[Country], FR_data[[#This Row],[Country]],
        PNS_data[National Society name], selected,
        PNS_data[Attribute], "EFs",
        PNS_data[Year], "2028"
    ),
    IF(_xlpm.sumValue = 0, "", _xlpm.sumValue)
)</f>
        <v/>
      </c>
      <c r="Z56" s="32" t="str">
        <f>IF(SUM(FR_data[[#This Row],[Response - Disasters and Crises  ]:[Enabling Functions  ]])=0,"",SUM(FR_data[[#This Row],[Response - Disasters and Crises  ]:[Enabling Functions  ]]))</f>
        <v/>
      </c>
      <c r="AA56" s="41"/>
    </row>
    <row r="57" spans="1:27" x14ac:dyDescent="0.3">
      <c r="A57" s="11" t="s">
        <v>387</v>
      </c>
      <c r="B57" s="11" t="s">
        <v>109</v>
      </c>
      <c r="C57" s="11" t="s">
        <v>72</v>
      </c>
      <c r="D57" s="30" t="str">
        <f>_xlfn.LET(
    _xlpm.sumValue, SUMIFS(
        PNS_data[Value],
        PNS_data[Country], FR_data[[#This Row],[Country]],
        PNS_data[National Society name], selected,
        PNS_data[Attribute], "SP1",
        PNS_data[Year], "2026"
    ),
    IF(_xlpm.sumValue = 0, "", _xlpm.sumValue)
)</f>
        <v/>
      </c>
      <c r="E57" s="31" t="str">
        <f>_xlfn.LET(
    _xlpm.sumValue, SUMIFS(
        PNS_data[Value],
        PNS_data[Country], FR_data[[#This Row],[Country]],
        PNS_data[National Society name], selected,
        PNS_data[Attribute], "SP2",
        PNS_data[Year], "2026"
    ),
    IF(_xlpm.sumValue = 0, "", _xlpm.sumValue)
)</f>
        <v/>
      </c>
      <c r="F57" s="31" t="str">
        <f>_xlfn.LET(
    _xlpm.sumValue, SUMIFS(
        PNS_data[Value],
        PNS_data[Country], FR_data[[#This Row],[Country]],
        PNS_data[National Society name], selected,
        PNS_data[Attribute], "SP3",
        PNS_data[Year], "2026"
    ),
    IF(_xlpm.sumValue = 0, "", _xlpm.sumValue)
)</f>
        <v/>
      </c>
      <c r="G57" s="31" t="str">
        <f>_xlfn.LET(
    _xlpm.sumValue, SUMIFS(
        PNS_data[Value],
        PNS_data[Country], FR_data[[#This Row],[Country]],
        PNS_data[National Society name], selected,
        PNS_data[Attribute], "SP4",
        PNS_data[Year], "2026"
    ),
    IF(_xlpm.sumValue = 0, "", _xlpm.sumValue)
)</f>
        <v/>
      </c>
      <c r="H57" s="31" t="str">
        <f>_xlfn.LET(
    _xlpm.sumValue, SUMIFS(
        PNS_data[Value],
        PNS_data[Country], FR_data[[#This Row],[Country]],
        PNS_data[National Society name], selected,
        PNS_data[Attribute], "SP5",
        PNS_data[Year], "2026"
    ),
    IF(_xlpm.sumValue = 0, "", _xlpm.sumValue)
)</f>
        <v/>
      </c>
      <c r="I57" s="31" t="str">
        <f>_xlfn.LET(
    _xlpm.sumValue, SUMIFS(
        PNS_data[Value],
        PNS_data[Country], FR_data[[#This Row],[Country]],
        PNS_data[National Society name], selected,
        PNS_data[Attribute], "EFs",
        PNS_data[Year], "2026"
    ),
    IF(_xlpm.sumValue = 0, "", _xlpm.sumValue)
)</f>
        <v/>
      </c>
      <c r="J57" s="32" t="str">
        <f>IF(SUM(FR_data[[#This Row],[Response - Disasters and Crises]:[Enabling Functions]])=0,"",SUM(FR_data[[#This Row],[Response - Disasters and Crises]:[Enabling Functions]]))</f>
        <v/>
      </c>
      <c r="K57" s="39"/>
      <c r="L57" s="30" t="str">
        <f>_xlfn.LET(
    _xlpm.sumValue, SUMIFS(
        PNS_data[Value],
        PNS_data[Country], FR_data[[#This Row],[Country]],
        PNS_data[National Society name], selected,
        PNS_data[Attribute], "SP1",
        PNS_data[Year], "2027"
    ),
    IF(_xlpm.sumValue = 0, "", _xlpm.sumValue)
)</f>
        <v/>
      </c>
      <c r="M57" s="31" t="str">
        <f>_xlfn.LET(
    _xlpm.sumValue, SUMIFS(
        PNS_data[Value],
        PNS_data[Country], FR_data[[#This Row],[Country]],
        PNS_data[National Society name], selected,
        PNS_data[Attribute], "SP2",
        PNS_data[Year], "2027"
    ),
    IF(_xlpm.sumValue = 0, "", _xlpm.sumValue)
)</f>
        <v/>
      </c>
      <c r="N57" s="31" t="str">
        <f>_xlfn.LET(
    _xlpm.sumValue, SUMIFS(
        PNS_data[Value],
        PNS_data[Country], FR_data[[#This Row],[Country]],
        PNS_data[National Society name], selected,
        PNS_data[Attribute], "SP3",
        PNS_data[Year], "2027"
    ),
    IF(_xlpm.sumValue = 0, "", _xlpm.sumValue)
)</f>
        <v/>
      </c>
      <c r="O57" s="31" t="str">
        <f>_xlfn.LET(
    _xlpm.sumValue, SUMIFS(
        PNS_data[Value],
        PNS_data[Country], FR_data[[#This Row],[Country]],
        PNS_data[National Society name], selected,
        PNS_data[Attribute], "SP4",
        PNS_data[Year], "2027"
    ),
    IF(_xlpm.sumValue = 0, "", _xlpm.sumValue)
)</f>
        <v/>
      </c>
      <c r="P57" s="31" t="str">
        <f>_xlfn.LET(
    _xlpm.sumValue, SUMIFS(
        PNS_data[Value],
        PNS_data[Country], FR_data[[#This Row],[Country]],
        PNS_data[National Society name], selected,
        PNS_data[Attribute], "SP5",
        PNS_data[Year], "2027"
    ),
    IF(_xlpm.sumValue = 0, "", _xlpm.sumValue)
)</f>
        <v/>
      </c>
      <c r="Q57" s="31" t="str">
        <f>_xlfn.LET(
    _xlpm.sumValue, SUMIFS(
        PNS_data[Value],
        PNS_data[Country], FR_data[[#This Row],[Country]],
        PNS_data[National Society name], selected,
        PNS_data[Attribute], "EFs",
        PNS_data[Year], "2027"
    ),
    IF(_xlpm.sumValue = 0, "", _xlpm.sumValue)
)</f>
        <v/>
      </c>
      <c r="R57" s="32" t="str">
        <f>IF(SUM(FR_data[[#This Row],[Response - Disasters and Crises ]:[Enabling Functions ]])=0,"",SUM(FR_data[[#This Row],[Response - Disasters and Crises ]:[Enabling Functions ]]))</f>
        <v/>
      </c>
      <c r="S57" s="39"/>
      <c r="T57" s="30" t="str">
        <f>_xlfn.LET(
    _xlpm.sumValue, SUMIFS(
        PNS_data[Value],
        PNS_data[Country], FR_data[[#This Row],[Country]],
        PNS_data[National Society name], selected,
        PNS_data[Attribute], "SP1",
        PNS_data[Year], "2028"
    ),
    IF(_xlpm.sumValue = 0, "", _xlpm.sumValue)
)</f>
        <v/>
      </c>
      <c r="U57" s="31" t="str">
        <f>_xlfn.LET(
    _xlpm.sumValue, SUMIFS(
        PNS_data[Value],
        PNS_data[Country], FR_data[[#This Row],[Country]],
        PNS_data[National Society name], selected,
        PNS_data[Attribute], "SP2",
        PNS_data[Year], "2028"
    ),
    IF(_xlpm.sumValue = 0, "", _xlpm.sumValue)
)</f>
        <v/>
      </c>
      <c r="V57" s="31" t="str">
        <f>_xlfn.LET(
    _xlpm.sumValue, SUMIFS(
        PNS_data[Value],
        PNS_data[Country], FR_data[[#This Row],[Country]],
        PNS_data[National Society name], selected,
        PNS_data[Attribute], "SP3",
        PNS_data[Year], "2028"
    ),
    IF(_xlpm.sumValue = 0, "", _xlpm.sumValue)
)</f>
        <v/>
      </c>
      <c r="W57" s="31" t="str">
        <f>_xlfn.LET(
    _xlpm.sumValue, SUMIFS(
        PNS_data[Value],
        PNS_data[Country], FR_data[[#This Row],[Country]],
        PNS_data[National Society name], selected,
        PNS_data[Attribute], "SP4",
        PNS_data[Year], "2028"
    ),
    IF(_xlpm.sumValue = 0, "", _xlpm.sumValue)
)</f>
        <v/>
      </c>
      <c r="X57" s="31" t="str">
        <f>_xlfn.LET(
    _xlpm.sumValue, SUMIFS(
        PNS_data[Value],
        PNS_data[Country], FR_data[[#This Row],[Country]],
        PNS_data[National Society name], selected,
        PNS_data[Attribute], "SP5",
        PNS_data[Year], "2028"
    ),
    IF(_xlpm.sumValue = 0, "", _xlpm.sumValue)
)</f>
        <v/>
      </c>
      <c r="Y57" s="31" t="str">
        <f>_xlfn.LET(
    _xlpm.sumValue, SUMIFS(
        PNS_data[Value],
        PNS_data[Country], FR_data[[#This Row],[Country]],
        PNS_data[National Society name], selected,
        PNS_data[Attribute], "EFs",
        PNS_data[Year], "2028"
    ),
    IF(_xlpm.sumValue = 0, "", _xlpm.sumValue)
)</f>
        <v/>
      </c>
      <c r="Z57" s="32" t="str">
        <f>IF(SUM(FR_data[[#This Row],[Response - Disasters and Crises  ]:[Enabling Functions  ]])=0,"",SUM(FR_data[[#This Row],[Response - Disasters and Crises  ]:[Enabling Functions  ]]))</f>
        <v/>
      </c>
      <c r="AA57" s="41"/>
    </row>
    <row r="58" spans="1:27" x14ac:dyDescent="0.3">
      <c r="A58" s="11" t="s">
        <v>404</v>
      </c>
      <c r="B58" s="11" t="s">
        <v>109</v>
      </c>
      <c r="C58" s="11" t="s">
        <v>405</v>
      </c>
      <c r="D58" s="30" t="str">
        <f>_xlfn.LET(
    _xlpm.sumValue, SUMIFS(
        PNS_data[Value],
        PNS_data[Country], FR_data[[#This Row],[Country]],
        PNS_data[National Society name], selected,
        PNS_data[Attribute], "SP1",
        PNS_data[Year], "2026"
    ),
    IF(_xlpm.sumValue = 0, "", _xlpm.sumValue)
)</f>
        <v/>
      </c>
      <c r="E58" s="31" t="str">
        <f>_xlfn.LET(
    _xlpm.sumValue, SUMIFS(
        PNS_data[Value],
        PNS_data[Country], FR_data[[#This Row],[Country]],
        PNS_data[National Society name], selected,
        PNS_data[Attribute], "SP2",
        PNS_data[Year], "2026"
    ),
    IF(_xlpm.sumValue = 0, "", _xlpm.sumValue)
)</f>
        <v/>
      </c>
      <c r="F58" s="31" t="str">
        <f>_xlfn.LET(
    _xlpm.sumValue, SUMIFS(
        PNS_data[Value],
        PNS_data[Country], FR_data[[#This Row],[Country]],
        PNS_data[National Society name], selected,
        PNS_data[Attribute], "SP3",
        PNS_data[Year], "2026"
    ),
    IF(_xlpm.sumValue = 0, "", _xlpm.sumValue)
)</f>
        <v/>
      </c>
      <c r="G58" s="31" t="str">
        <f>_xlfn.LET(
    _xlpm.sumValue, SUMIFS(
        PNS_data[Value],
        PNS_data[Country], FR_data[[#This Row],[Country]],
        PNS_data[National Society name], selected,
        PNS_data[Attribute], "SP4",
        PNS_data[Year], "2026"
    ),
    IF(_xlpm.sumValue = 0, "", _xlpm.sumValue)
)</f>
        <v/>
      </c>
      <c r="H58" s="31" t="str">
        <f>_xlfn.LET(
    _xlpm.sumValue, SUMIFS(
        PNS_data[Value],
        PNS_data[Country], FR_data[[#This Row],[Country]],
        PNS_data[National Society name], selected,
        PNS_data[Attribute], "SP5",
        PNS_data[Year], "2026"
    ),
    IF(_xlpm.sumValue = 0, "", _xlpm.sumValue)
)</f>
        <v/>
      </c>
      <c r="I58" s="31" t="str">
        <f>_xlfn.LET(
    _xlpm.sumValue, SUMIFS(
        PNS_data[Value],
        PNS_data[Country], FR_data[[#This Row],[Country]],
        PNS_data[National Society name], selected,
        PNS_data[Attribute], "EFs",
        PNS_data[Year], "2026"
    ),
    IF(_xlpm.sumValue = 0, "", _xlpm.sumValue)
)</f>
        <v/>
      </c>
      <c r="J58" s="32" t="str">
        <f>IF(SUM(FR_data[[#This Row],[Response - Disasters and Crises]:[Enabling Functions]])=0,"",SUM(FR_data[[#This Row],[Response - Disasters and Crises]:[Enabling Functions]]))</f>
        <v/>
      </c>
      <c r="K58" s="39"/>
      <c r="L58" s="30" t="str">
        <f>_xlfn.LET(
    _xlpm.sumValue, SUMIFS(
        PNS_data[Value],
        PNS_data[Country], FR_data[[#This Row],[Country]],
        PNS_data[National Society name], selected,
        PNS_data[Attribute], "SP1",
        PNS_data[Year], "2027"
    ),
    IF(_xlpm.sumValue = 0, "", _xlpm.sumValue)
)</f>
        <v/>
      </c>
      <c r="M58" s="31" t="str">
        <f>_xlfn.LET(
    _xlpm.sumValue, SUMIFS(
        PNS_data[Value],
        PNS_data[Country], FR_data[[#This Row],[Country]],
        PNS_data[National Society name], selected,
        PNS_data[Attribute], "SP2",
        PNS_data[Year], "2027"
    ),
    IF(_xlpm.sumValue = 0, "", _xlpm.sumValue)
)</f>
        <v/>
      </c>
      <c r="N58" s="31" t="str">
        <f>_xlfn.LET(
    _xlpm.sumValue, SUMIFS(
        PNS_data[Value],
        PNS_data[Country], FR_data[[#This Row],[Country]],
        PNS_data[National Society name], selected,
        PNS_data[Attribute], "SP3",
        PNS_data[Year], "2027"
    ),
    IF(_xlpm.sumValue = 0, "", _xlpm.sumValue)
)</f>
        <v/>
      </c>
      <c r="O58" s="31" t="str">
        <f>_xlfn.LET(
    _xlpm.sumValue, SUMIFS(
        PNS_data[Value],
        PNS_data[Country], FR_data[[#This Row],[Country]],
        PNS_data[National Society name], selected,
        PNS_data[Attribute], "SP4",
        PNS_data[Year], "2027"
    ),
    IF(_xlpm.sumValue = 0, "", _xlpm.sumValue)
)</f>
        <v/>
      </c>
      <c r="P58" s="31" t="str">
        <f>_xlfn.LET(
    _xlpm.sumValue, SUMIFS(
        PNS_data[Value],
        PNS_data[Country], FR_data[[#This Row],[Country]],
        PNS_data[National Society name], selected,
        PNS_data[Attribute], "SP5",
        PNS_data[Year], "2027"
    ),
    IF(_xlpm.sumValue = 0, "", _xlpm.sumValue)
)</f>
        <v/>
      </c>
      <c r="Q58" s="31" t="str">
        <f>_xlfn.LET(
    _xlpm.sumValue, SUMIFS(
        PNS_data[Value],
        PNS_data[Country], FR_data[[#This Row],[Country]],
        PNS_data[National Society name], selected,
        PNS_data[Attribute], "EFs",
        PNS_data[Year], "2027"
    ),
    IF(_xlpm.sumValue = 0, "", _xlpm.sumValue)
)</f>
        <v/>
      </c>
      <c r="R58" s="32" t="str">
        <f>IF(SUM(FR_data[[#This Row],[Response - Disasters and Crises ]:[Enabling Functions ]])=0,"",SUM(FR_data[[#This Row],[Response - Disasters and Crises ]:[Enabling Functions ]]))</f>
        <v/>
      </c>
      <c r="S58" s="39"/>
      <c r="T58" s="30" t="str">
        <f>_xlfn.LET(
    _xlpm.sumValue, SUMIFS(
        PNS_data[Value],
        PNS_data[Country], FR_data[[#This Row],[Country]],
        PNS_data[National Society name], selected,
        PNS_data[Attribute], "SP1",
        PNS_data[Year], "2028"
    ),
    IF(_xlpm.sumValue = 0, "", _xlpm.sumValue)
)</f>
        <v/>
      </c>
      <c r="U58" s="31" t="str">
        <f>_xlfn.LET(
    _xlpm.sumValue, SUMIFS(
        PNS_data[Value],
        PNS_data[Country], FR_data[[#This Row],[Country]],
        PNS_data[National Society name], selected,
        PNS_data[Attribute], "SP2",
        PNS_data[Year], "2028"
    ),
    IF(_xlpm.sumValue = 0, "", _xlpm.sumValue)
)</f>
        <v/>
      </c>
      <c r="V58" s="31" t="str">
        <f>_xlfn.LET(
    _xlpm.sumValue, SUMIFS(
        PNS_data[Value],
        PNS_data[Country], FR_data[[#This Row],[Country]],
        PNS_data[National Society name], selected,
        PNS_data[Attribute], "SP3",
        PNS_data[Year], "2028"
    ),
    IF(_xlpm.sumValue = 0, "", _xlpm.sumValue)
)</f>
        <v/>
      </c>
      <c r="W58" s="31" t="str">
        <f>_xlfn.LET(
    _xlpm.sumValue, SUMIFS(
        PNS_data[Value],
        PNS_data[Country], FR_data[[#This Row],[Country]],
        PNS_data[National Society name], selected,
        PNS_data[Attribute], "SP4",
        PNS_data[Year], "2028"
    ),
    IF(_xlpm.sumValue = 0, "", _xlpm.sumValue)
)</f>
        <v/>
      </c>
      <c r="X58" s="31" t="str">
        <f>_xlfn.LET(
    _xlpm.sumValue, SUMIFS(
        PNS_data[Value],
        PNS_data[Country], FR_data[[#This Row],[Country]],
        PNS_data[National Society name], selected,
        PNS_data[Attribute], "SP5",
        PNS_data[Year], "2028"
    ),
    IF(_xlpm.sumValue = 0, "", _xlpm.sumValue)
)</f>
        <v/>
      </c>
      <c r="Y58" s="31" t="str">
        <f>_xlfn.LET(
    _xlpm.sumValue, SUMIFS(
        PNS_data[Value],
        PNS_data[Country], FR_data[[#This Row],[Country]],
        PNS_data[National Society name], selected,
        PNS_data[Attribute], "EFs",
        PNS_data[Year], "2028"
    ),
    IF(_xlpm.sumValue = 0, "", _xlpm.sumValue)
)</f>
        <v/>
      </c>
      <c r="Z58" s="32" t="str">
        <f>IF(SUM(FR_data[[#This Row],[Response - Disasters and Crises  ]:[Enabling Functions  ]])=0,"",SUM(FR_data[[#This Row],[Response - Disasters and Crises  ]:[Enabling Functions  ]]))</f>
        <v/>
      </c>
      <c r="AA58" s="41"/>
    </row>
    <row r="59" spans="1:27" x14ac:dyDescent="0.3">
      <c r="A59" s="11" t="s">
        <v>406</v>
      </c>
      <c r="B59" s="11" t="s">
        <v>109</v>
      </c>
      <c r="C59" s="11" t="s">
        <v>407</v>
      </c>
      <c r="D59" s="30" t="str">
        <f>_xlfn.LET(
    _xlpm.sumValue, SUMIFS(
        PNS_data[Value],
        PNS_data[Country], FR_data[[#This Row],[Country]],
        PNS_data[National Society name], selected,
        PNS_data[Attribute], "SP1",
        PNS_data[Year], "2026"
    ),
    IF(_xlpm.sumValue = 0, "", _xlpm.sumValue)
)</f>
        <v/>
      </c>
      <c r="E59" s="31" t="str">
        <f>_xlfn.LET(
    _xlpm.sumValue, SUMIFS(
        PNS_data[Value],
        PNS_data[Country], FR_data[[#This Row],[Country]],
        PNS_data[National Society name], selected,
        PNS_data[Attribute], "SP2",
        PNS_data[Year], "2026"
    ),
    IF(_xlpm.sumValue = 0, "", _xlpm.sumValue)
)</f>
        <v/>
      </c>
      <c r="F59" s="31" t="str">
        <f>_xlfn.LET(
    _xlpm.sumValue, SUMIFS(
        PNS_data[Value],
        PNS_data[Country], FR_data[[#This Row],[Country]],
        PNS_data[National Society name], selected,
        PNS_data[Attribute], "SP3",
        PNS_data[Year], "2026"
    ),
    IF(_xlpm.sumValue = 0, "", _xlpm.sumValue)
)</f>
        <v/>
      </c>
      <c r="G59" s="31" t="str">
        <f>_xlfn.LET(
    _xlpm.sumValue, SUMIFS(
        PNS_data[Value],
        PNS_data[Country], FR_data[[#This Row],[Country]],
        PNS_data[National Society name], selected,
        PNS_data[Attribute], "SP4",
        PNS_data[Year], "2026"
    ),
    IF(_xlpm.sumValue = 0, "", _xlpm.sumValue)
)</f>
        <v/>
      </c>
      <c r="H59" s="31" t="str">
        <f>_xlfn.LET(
    _xlpm.sumValue, SUMIFS(
        PNS_data[Value],
        PNS_data[Country], FR_data[[#This Row],[Country]],
        PNS_data[National Society name], selected,
        PNS_data[Attribute], "SP5",
        PNS_data[Year], "2026"
    ),
    IF(_xlpm.sumValue = 0, "", _xlpm.sumValue)
)</f>
        <v/>
      </c>
      <c r="I59" s="31" t="str">
        <f>_xlfn.LET(
    _xlpm.sumValue, SUMIFS(
        PNS_data[Value],
        PNS_data[Country], FR_data[[#This Row],[Country]],
        PNS_data[National Society name], selected,
        PNS_data[Attribute], "EFs",
        PNS_data[Year], "2026"
    ),
    IF(_xlpm.sumValue = 0, "", _xlpm.sumValue)
)</f>
        <v/>
      </c>
      <c r="J59" s="32" t="str">
        <f>IF(SUM(FR_data[[#This Row],[Response - Disasters and Crises]:[Enabling Functions]])=0,"",SUM(FR_data[[#This Row],[Response - Disasters and Crises]:[Enabling Functions]]))</f>
        <v/>
      </c>
      <c r="K59" s="39"/>
      <c r="L59" s="30" t="str">
        <f>_xlfn.LET(
    _xlpm.sumValue, SUMIFS(
        PNS_data[Value],
        PNS_data[Country], FR_data[[#This Row],[Country]],
        PNS_data[National Society name], selected,
        PNS_data[Attribute], "SP1",
        PNS_data[Year], "2027"
    ),
    IF(_xlpm.sumValue = 0, "", _xlpm.sumValue)
)</f>
        <v/>
      </c>
      <c r="M59" s="31" t="str">
        <f>_xlfn.LET(
    _xlpm.sumValue, SUMIFS(
        PNS_data[Value],
        PNS_data[Country], FR_data[[#This Row],[Country]],
        PNS_data[National Society name], selected,
        PNS_data[Attribute], "SP2",
        PNS_data[Year], "2027"
    ),
    IF(_xlpm.sumValue = 0, "", _xlpm.sumValue)
)</f>
        <v/>
      </c>
      <c r="N59" s="31" t="str">
        <f>_xlfn.LET(
    _xlpm.sumValue, SUMIFS(
        PNS_data[Value],
        PNS_data[Country], FR_data[[#This Row],[Country]],
        PNS_data[National Society name], selected,
        PNS_data[Attribute], "SP3",
        PNS_data[Year], "2027"
    ),
    IF(_xlpm.sumValue = 0, "", _xlpm.sumValue)
)</f>
        <v/>
      </c>
      <c r="O59" s="31" t="str">
        <f>_xlfn.LET(
    _xlpm.sumValue, SUMIFS(
        PNS_data[Value],
        PNS_data[Country], FR_data[[#This Row],[Country]],
        PNS_data[National Society name], selected,
        PNS_data[Attribute], "SP4",
        PNS_data[Year], "2027"
    ),
    IF(_xlpm.sumValue = 0, "", _xlpm.sumValue)
)</f>
        <v/>
      </c>
      <c r="P59" s="31" t="str">
        <f>_xlfn.LET(
    _xlpm.sumValue, SUMIFS(
        PNS_data[Value],
        PNS_data[Country], FR_data[[#This Row],[Country]],
        PNS_data[National Society name], selected,
        PNS_data[Attribute], "SP5",
        PNS_data[Year], "2027"
    ),
    IF(_xlpm.sumValue = 0, "", _xlpm.sumValue)
)</f>
        <v/>
      </c>
      <c r="Q59" s="31" t="str">
        <f>_xlfn.LET(
    _xlpm.sumValue, SUMIFS(
        PNS_data[Value],
        PNS_data[Country], FR_data[[#This Row],[Country]],
        PNS_data[National Society name], selected,
        PNS_data[Attribute], "EFs",
        PNS_data[Year], "2027"
    ),
    IF(_xlpm.sumValue = 0, "", _xlpm.sumValue)
)</f>
        <v/>
      </c>
      <c r="R59" s="32" t="str">
        <f>IF(SUM(FR_data[[#This Row],[Response - Disasters and Crises ]:[Enabling Functions ]])=0,"",SUM(FR_data[[#This Row],[Response - Disasters and Crises ]:[Enabling Functions ]]))</f>
        <v/>
      </c>
      <c r="S59" s="39"/>
      <c r="T59" s="30" t="str">
        <f>_xlfn.LET(
    _xlpm.sumValue, SUMIFS(
        PNS_data[Value],
        PNS_data[Country], FR_data[[#This Row],[Country]],
        PNS_data[National Society name], selected,
        PNS_data[Attribute], "SP1",
        PNS_data[Year], "2028"
    ),
    IF(_xlpm.sumValue = 0, "", _xlpm.sumValue)
)</f>
        <v/>
      </c>
      <c r="U59" s="31" t="str">
        <f>_xlfn.LET(
    _xlpm.sumValue, SUMIFS(
        PNS_data[Value],
        PNS_data[Country], FR_data[[#This Row],[Country]],
        PNS_data[National Society name], selected,
        PNS_data[Attribute], "SP2",
        PNS_data[Year], "2028"
    ),
    IF(_xlpm.sumValue = 0, "", _xlpm.sumValue)
)</f>
        <v/>
      </c>
      <c r="V59" s="31" t="str">
        <f>_xlfn.LET(
    _xlpm.sumValue, SUMIFS(
        PNS_data[Value],
        PNS_data[Country], FR_data[[#This Row],[Country]],
        PNS_data[National Society name], selected,
        PNS_data[Attribute], "SP3",
        PNS_data[Year], "2028"
    ),
    IF(_xlpm.sumValue = 0, "", _xlpm.sumValue)
)</f>
        <v/>
      </c>
      <c r="W59" s="31" t="str">
        <f>_xlfn.LET(
    _xlpm.sumValue, SUMIFS(
        PNS_data[Value],
        PNS_data[Country], FR_data[[#This Row],[Country]],
        PNS_data[National Society name], selected,
        PNS_data[Attribute], "SP4",
        PNS_data[Year], "2028"
    ),
    IF(_xlpm.sumValue = 0, "", _xlpm.sumValue)
)</f>
        <v/>
      </c>
      <c r="X59" s="31" t="str">
        <f>_xlfn.LET(
    _xlpm.sumValue, SUMIFS(
        PNS_data[Value],
        PNS_data[Country], FR_data[[#This Row],[Country]],
        PNS_data[National Society name], selected,
        PNS_data[Attribute], "SP5",
        PNS_data[Year], "2028"
    ),
    IF(_xlpm.sumValue = 0, "", _xlpm.sumValue)
)</f>
        <v/>
      </c>
      <c r="Y59" s="31" t="str">
        <f>_xlfn.LET(
    _xlpm.sumValue, SUMIFS(
        PNS_data[Value],
        PNS_data[Country], FR_data[[#This Row],[Country]],
        PNS_data[National Society name], selected,
        PNS_data[Attribute], "EFs",
        PNS_data[Year], "2028"
    ),
    IF(_xlpm.sumValue = 0, "", _xlpm.sumValue)
)</f>
        <v/>
      </c>
      <c r="Z59" s="32" t="str">
        <f>IF(SUM(FR_data[[#This Row],[Response - Disasters and Crises  ]:[Enabling Functions  ]])=0,"",SUM(FR_data[[#This Row],[Response - Disasters and Crises  ]:[Enabling Functions  ]]))</f>
        <v/>
      </c>
      <c r="AA59" s="41"/>
    </row>
    <row r="60" spans="1:27" x14ac:dyDescent="0.3">
      <c r="A60" s="11" t="s">
        <v>107</v>
      </c>
      <c r="B60" s="11" t="s">
        <v>106</v>
      </c>
      <c r="C60" s="11" t="s">
        <v>108</v>
      </c>
      <c r="D60" s="30" t="str">
        <f>_xlfn.LET(
    _xlpm.sumValue, SUMIFS(
        PNS_data[Value],
        PNS_data[Country], FR_data[[#This Row],[Country]],
        PNS_data[National Society name], selected,
        PNS_data[Attribute], "SP1",
        PNS_data[Year], "2026"
    ),
    IF(_xlpm.sumValue = 0, "", _xlpm.sumValue)
)</f>
        <v/>
      </c>
      <c r="E60" s="31" t="str">
        <f>_xlfn.LET(
    _xlpm.sumValue, SUMIFS(
        PNS_data[Value],
        PNS_data[Country], FR_data[[#This Row],[Country]],
        PNS_data[National Society name], selected,
        PNS_data[Attribute], "SP2",
        PNS_data[Year], "2026"
    ),
    IF(_xlpm.sumValue = 0, "", _xlpm.sumValue)
)</f>
        <v/>
      </c>
      <c r="F60" s="31" t="str">
        <f>_xlfn.LET(
    _xlpm.sumValue, SUMIFS(
        PNS_data[Value],
        PNS_data[Country], FR_data[[#This Row],[Country]],
        PNS_data[National Society name], selected,
        PNS_data[Attribute], "SP3",
        PNS_data[Year], "2026"
    ),
    IF(_xlpm.sumValue = 0, "", _xlpm.sumValue)
)</f>
        <v/>
      </c>
      <c r="G60" s="31" t="str">
        <f>_xlfn.LET(
    _xlpm.sumValue, SUMIFS(
        PNS_data[Value],
        PNS_data[Country], FR_data[[#This Row],[Country]],
        PNS_data[National Society name], selected,
        PNS_data[Attribute], "SP4",
        PNS_data[Year], "2026"
    ),
    IF(_xlpm.sumValue = 0, "", _xlpm.sumValue)
)</f>
        <v/>
      </c>
      <c r="H60" s="31" t="str">
        <f>_xlfn.LET(
    _xlpm.sumValue, SUMIFS(
        PNS_data[Value],
        PNS_data[Country], FR_data[[#This Row],[Country]],
        PNS_data[National Society name], selected,
        PNS_data[Attribute], "SP5",
        PNS_data[Year], "2026"
    ),
    IF(_xlpm.sumValue = 0, "", _xlpm.sumValue)
)</f>
        <v/>
      </c>
      <c r="I60" s="31" t="str">
        <f>_xlfn.LET(
    _xlpm.sumValue, SUMIFS(
        PNS_data[Value],
        PNS_data[Country], FR_data[[#This Row],[Country]],
        PNS_data[National Society name], selected,
        PNS_data[Attribute], "EFs",
        PNS_data[Year], "2026"
    ),
    IF(_xlpm.sumValue = 0, "", _xlpm.sumValue)
)</f>
        <v/>
      </c>
      <c r="J60" s="32" t="str">
        <f>IF(SUM(FR_data[[#This Row],[Response - Disasters and Crises]:[Enabling Functions]])=0,"",SUM(FR_data[[#This Row],[Response - Disasters and Crises]:[Enabling Functions]]))</f>
        <v/>
      </c>
      <c r="K60" s="39"/>
      <c r="L60" s="30" t="str">
        <f>_xlfn.LET(
    _xlpm.sumValue, SUMIFS(
        PNS_data[Value],
        PNS_data[Country], FR_data[[#This Row],[Country]],
        PNS_data[National Society name], selected,
        PNS_data[Attribute], "SP1",
        PNS_data[Year], "2027"
    ),
    IF(_xlpm.sumValue = 0, "", _xlpm.sumValue)
)</f>
        <v/>
      </c>
      <c r="M60" s="31" t="str">
        <f>_xlfn.LET(
    _xlpm.sumValue, SUMIFS(
        PNS_data[Value],
        PNS_data[Country], FR_data[[#This Row],[Country]],
        PNS_data[National Society name], selected,
        PNS_data[Attribute], "SP2",
        PNS_data[Year], "2027"
    ),
    IF(_xlpm.sumValue = 0, "", _xlpm.sumValue)
)</f>
        <v/>
      </c>
      <c r="N60" s="31" t="str">
        <f>_xlfn.LET(
    _xlpm.sumValue, SUMIFS(
        PNS_data[Value],
        PNS_data[Country], FR_data[[#This Row],[Country]],
        PNS_data[National Society name], selected,
        PNS_data[Attribute], "SP3",
        PNS_data[Year], "2027"
    ),
    IF(_xlpm.sumValue = 0, "", _xlpm.sumValue)
)</f>
        <v/>
      </c>
      <c r="O60" s="31" t="str">
        <f>_xlfn.LET(
    _xlpm.sumValue, SUMIFS(
        PNS_data[Value],
        PNS_data[Country], FR_data[[#This Row],[Country]],
        PNS_data[National Society name], selected,
        PNS_data[Attribute], "SP4",
        PNS_data[Year], "2027"
    ),
    IF(_xlpm.sumValue = 0, "", _xlpm.sumValue)
)</f>
        <v/>
      </c>
      <c r="P60" s="31" t="str">
        <f>_xlfn.LET(
    _xlpm.sumValue, SUMIFS(
        PNS_data[Value],
        PNS_data[Country], FR_data[[#This Row],[Country]],
        PNS_data[National Society name], selected,
        PNS_data[Attribute], "SP5",
        PNS_data[Year], "2027"
    ),
    IF(_xlpm.sumValue = 0, "", _xlpm.sumValue)
)</f>
        <v/>
      </c>
      <c r="Q60" s="31" t="str">
        <f>_xlfn.LET(
    _xlpm.sumValue, SUMIFS(
        PNS_data[Value],
        PNS_data[Country], FR_data[[#This Row],[Country]],
        PNS_data[National Society name], selected,
        PNS_data[Attribute], "EFs",
        PNS_data[Year], "2027"
    ),
    IF(_xlpm.sumValue = 0, "", _xlpm.sumValue)
)</f>
        <v/>
      </c>
      <c r="R60" s="32" t="str">
        <f>IF(SUM(FR_data[[#This Row],[Response - Disasters and Crises ]:[Enabling Functions ]])=0,"",SUM(FR_data[[#This Row],[Response - Disasters and Crises ]:[Enabling Functions ]]))</f>
        <v/>
      </c>
      <c r="S60" s="39"/>
      <c r="T60" s="30" t="str">
        <f>_xlfn.LET(
    _xlpm.sumValue, SUMIFS(
        PNS_data[Value],
        PNS_data[Country], FR_data[[#This Row],[Country]],
        PNS_data[National Society name], selected,
        PNS_data[Attribute], "SP1",
        PNS_data[Year], "2028"
    ),
    IF(_xlpm.sumValue = 0, "", _xlpm.sumValue)
)</f>
        <v/>
      </c>
      <c r="U60" s="31" t="str">
        <f>_xlfn.LET(
    _xlpm.sumValue, SUMIFS(
        PNS_data[Value],
        PNS_data[Country], FR_data[[#This Row],[Country]],
        PNS_data[National Society name], selected,
        PNS_data[Attribute], "SP2",
        PNS_data[Year], "2028"
    ),
    IF(_xlpm.sumValue = 0, "", _xlpm.sumValue)
)</f>
        <v/>
      </c>
      <c r="V60" s="31" t="str">
        <f>_xlfn.LET(
    _xlpm.sumValue, SUMIFS(
        PNS_data[Value],
        PNS_data[Country], FR_data[[#This Row],[Country]],
        PNS_data[National Society name], selected,
        PNS_data[Attribute], "SP3",
        PNS_data[Year], "2028"
    ),
    IF(_xlpm.sumValue = 0, "", _xlpm.sumValue)
)</f>
        <v/>
      </c>
      <c r="W60" s="31" t="str">
        <f>_xlfn.LET(
    _xlpm.sumValue, SUMIFS(
        PNS_data[Value],
        PNS_data[Country], FR_data[[#This Row],[Country]],
        PNS_data[National Society name], selected,
        PNS_data[Attribute], "SP4",
        PNS_data[Year], "2028"
    ),
    IF(_xlpm.sumValue = 0, "", _xlpm.sumValue)
)</f>
        <v/>
      </c>
      <c r="X60" s="31" t="str">
        <f>_xlfn.LET(
    _xlpm.sumValue, SUMIFS(
        PNS_data[Value],
        PNS_data[Country], FR_data[[#This Row],[Country]],
        PNS_data[National Society name], selected,
        PNS_data[Attribute], "SP5",
        PNS_data[Year], "2028"
    ),
    IF(_xlpm.sumValue = 0, "", _xlpm.sumValue)
)</f>
        <v/>
      </c>
      <c r="Y60" s="31" t="str">
        <f>_xlfn.LET(
    _xlpm.sumValue, SUMIFS(
        PNS_data[Value],
        PNS_data[Country], FR_data[[#This Row],[Country]],
        PNS_data[National Society name], selected,
        PNS_data[Attribute], "EFs",
        PNS_data[Year], "2028"
    ),
    IF(_xlpm.sumValue = 0, "", _xlpm.sumValue)
)</f>
        <v/>
      </c>
      <c r="Z60" s="32" t="str">
        <f>IF(SUM(FR_data[[#This Row],[Response - Disasters and Crises  ]:[Enabling Functions  ]])=0,"",SUM(FR_data[[#This Row],[Response - Disasters and Crises  ]:[Enabling Functions  ]]))</f>
        <v/>
      </c>
      <c r="AA60" s="41"/>
    </row>
    <row r="61" spans="1:27" x14ac:dyDescent="0.3">
      <c r="A61" s="11" t="s">
        <v>111</v>
      </c>
      <c r="B61" s="11" t="s">
        <v>106</v>
      </c>
      <c r="C61" s="11" t="s">
        <v>39</v>
      </c>
      <c r="D61" s="30" t="str">
        <f>_xlfn.LET(
    _xlpm.sumValue, SUMIFS(
        PNS_data[Value],
        PNS_data[Country], FR_data[[#This Row],[Country]],
        PNS_data[National Society name], selected,
        PNS_data[Attribute], "SP1",
        PNS_data[Year], "2026"
    ),
    IF(_xlpm.sumValue = 0, "", _xlpm.sumValue)
)</f>
        <v/>
      </c>
      <c r="E61" s="31" t="str">
        <f>_xlfn.LET(
    _xlpm.sumValue, SUMIFS(
        PNS_data[Value],
        PNS_data[Country], FR_data[[#This Row],[Country]],
        PNS_data[National Society name], selected,
        PNS_data[Attribute], "SP2",
        PNS_data[Year], "2026"
    ),
    IF(_xlpm.sumValue = 0, "", _xlpm.sumValue)
)</f>
        <v/>
      </c>
      <c r="F61" s="31" t="str">
        <f>_xlfn.LET(
    _xlpm.sumValue, SUMIFS(
        PNS_data[Value],
        PNS_data[Country], FR_data[[#This Row],[Country]],
        PNS_data[National Society name], selected,
        PNS_data[Attribute], "SP3",
        PNS_data[Year], "2026"
    ),
    IF(_xlpm.sumValue = 0, "", _xlpm.sumValue)
)</f>
        <v/>
      </c>
      <c r="G61" s="31" t="str">
        <f>_xlfn.LET(
    _xlpm.sumValue, SUMIFS(
        PNS_data[Value],
        PNS_data[Country], FR_data[[#This Row],[Country]],
        PNS_data[National Society name], selected,
        PNS_data[Attribute], "SP4",
        PNS_data[Year], "2026"
    ),
    IF(_xlpm.sumValue = 0, "", _xlpm.sumValue)
)</f>
        <v/>
      </c>
      <c r="H61" s="31" t="str">
        <f>_xlfn.LET(
    _xlpm.sumValue, SUMIFS(
        PNS_data[Value],
        PNS_data[Country], FR_data[[#This Row],[Country]],
        PNS_data[National Society name], selected,
        PNS_data[Attribute], "SP5",
        PNS_data[Year], "2026"
    ),
    IF(_xlpm.sumValue = 0, "", _xlpm.sumValue)
)</f>
        <v/>
      </c>
      <c r="I61" s="31" t="str">
        <f>_xlfn.LET(
    _xlpm.sumValue, SUMIFS(
        PNS_data[Value],
        PNS_data[Country], FR_data[[#This Row],[Country]],
        PNS_data[National Society name], selected,
        PNS_data[Attribute], "EFs",
        PNS_data[Year], "2026"
    ),
    IF(_xlpm.sumValue = 0, "", _xlpm.sumValue)
)</f>
        <v/>
      </c>
      <c r="J61" s="32" t="str">
        <f>IF(SUM(FR_data[[#This Row],[Response - Disasters and Crises]:[Enabling Functions]])=0,"",SUM(FR_data[[#This Row],[Response - Disasters and Crises]:[Enabling Functions]]))</f>
        <v/>
      </c>
      <c r="K61" s="39"/>
      <c r="L61" s="30" t="str">
        <f>_xlfn.LET(
    _xlpm.sumValue, SUMIFS(
        PNS_data[Value],
        PNS_data[Country], FR_data[[#This Row],[Country]],
        PNS_data[National Society name], selected,
        PNS_data[Attribute], "SP1",
        PNS_data[Year], "2027"
    ),
    IF(_xlpm.sumValue = 0, "", _xlpm.sumValue)
)</f>
        <v/>
      </c>
      <c r="M61" s="31" t="str">
        <f>_xlfn.LET(
    _xlpm.sumValue, SUMIFS(
        PNS_data[Value],
        PNS_data[Country], FR_data[[#This Row],[Country]],
        PNS_data[National Society name], selected,
        PNS_data[Attribute], "SP2",
        PNS_data[Year], "2027"
    ),
    IF(_xlpm.sumValue = 0, "", _xlpm.sumValue)
)</f>
        <v/>
      </c>
      <c r="N61" s="31" t="str">
        <f>_xlfn.LET(
    _xlpm.sumValue, SUMIFS(
        PNS_data[Value],
        PNS_data[Country], FR_data[[#This Row],[Country]],
        PNS_data[National Society name], selected,
        PNS_data[Attribute], "SP3",
        PNS_data[Year], "2027"
    ),
    IF(_xlpm.sumValue = 0, "", _xlpm.sumValue)
)</f>
        <v/>
      </c>
      <c r="O61" s="31" t="str">
        <f>_xlfn.LET(
    _xlpm.sumValue, SUMIFS(
        PNS_data[Value],
        PNS_data[Country], FR_data[[#This Row],[Country]],
        PNS_data[National Society name], selected,
        PNS_data[Attribute], "SP4",
        PNS_data[Year], "2027"
    ),
    IF(_xlpm.sumValue = 0, "", _xlpm.sumValue)
)</f>
        <v/>
      </c>
      <c r="P61" s="31" t="str">
        <f>_xlfn.LET(
    _xlpm.sumValue, SUMIFS(
        PNS_data[Value],
        PNS_data[Country], FR_data[[#This Row],[Country]],
        PNS_data[National Society name], selected,
        PNS_data[Attribute], "SP5",
        PNS_data[Year], "2027"
    ),
    IF(_xlpm.sumValue = 0, "", _xlpm.sumValue)
)</f>
        <v/>
      </c>
      <c r="Q61" s="31" t="str">
        <f>_xlfn.LET(
    _xlpm.sumValue, SUMIFS(
        PNS_data[Value],
        PNS_data[Country], FR_data[[#This Row],[Country]],
        PNS_data[National Society name], selected,
        PNS_data[Attribute], "EFs",
        PNS_data[Year], "2027"
    ),
    IF(_xlpm.sumValue = 0, "", _xlpm.sumValue)
)</f>
        <v/>
      </c>
      <c r="R61" s="32" t="str">
        <f>IF(SUM(FR_data[[#This Row],[Response - Disasters and Crises ]:[Enabling Functions ]])=0,"",SUM(FR_data[[#This Row],[Response - Disasters and Crises ]:[Enabling Functions ]]))</f>
        <v/>
      </c>
      <c r="S61" s="39"/>
      <c r="T61" s="30" t="str">
        <f>_xlfn.LET(
    _xlpm.sumValue, SUMIFS(
        PNS_data[Value],
        PNS_data[Country], FR_data[[#This Row],[Country]],
        PNS_data[National Society name], selected,
        PNS_data[Attribute], "SP1",
        PNS_data[Year], "2028"
    ),
    IF(_xlpm.sumValue = 0, "", _xlpm.sumValue)
)</f>
        <v/>
      </c>
      <c r="U61" s="31" t="str">
        <f>_xlfn.LET(
    _xlpm.sumValue, SUMIFS(
        PNS_data[Value],
        PNS_data[Country], FR_data[[#This Row],[Country]],
        PNS_data[National Society name], selected,
        PNS_data[Attribute], "SP2",
        PNS_data[Year], "2028"
    ),
    IF(_xlpm.sumValue = 0, "", _xlpm.sumValue)
)</f>
        <v/>
      </c>
      <c r="V61" s="31" t="str">
        <f>_xlfn.LET(
    _xlpm.sumValue, SUMIFS(
        PNS_data[Value],
        PNS_data[Country], FR_data[[#This Row],[Country]],
        PNS_data[National Society name], selected,
        PNS_data[Attribute], "SP3",
        PNS_data[Year], "2028"
    ),
    IF(_xlpm.sumValue = 0, "", _xlpm.sumValue)
)</f>
        <v/>
      </c>
      <c r="W61" s="31" t="str">
        <f>_xlfn.LET(
    _xlpm.sumValue, SUMIFS(
        PNS_data[Value],
        PNS_data[Country], FR_data[[#This Row],[Country]],
        PNS_data[National Society name], selected,
        PNS_data[Attribute], "SP4",
        PNS_data[Year], "2028"
    ),
    IF(_xlpm.sumValue = 0, "", _xlpm.sumValue)
)</f>
        <v/>
      </c>
      <c r="X61" s="31" t="str">
        <f>_xlfn.LET(
    _xlpm.sumValue, SUMIFS(
        PNS_data[Value],
        PNS_data[Country], FR_data[[#This Row],[Country]],
        PNS_data[National Society name], selected,
        PNS_data[Attribute], "SP5",
        PNS_data[Year], "2028"
    ),
    IF(_xlpm.sumValue = 0, "", _xlpm.sumValue)
)</f>
        <v/>
      </c>
      <c r="Y61" s="31" t="str">
        <f>_xlfn.LET(
    _xlpm.sumValue, SUMIFS(
        PNS_data[Value],
        PNS_data[Country], FR_data[[#This Row],[Country]],
        PNS_data[National Society name], selected,
        PNS_data[Attribute], "EFs",
        PNS_data[Year], "2028"
    ),
    IF(_xlpm.sumValue = 0, "", _xlpm.sumValue)
)</f>
        <v/>
      </c>
      <c r="Z61" s="32" t="str">
        <f>IF(SUM(FR_data[[#This Row],[Response - Disasters and Crises  ]:[Enabling Functions  ]])=0,"",SUM(FR_data[[#This Row],[Response - Disasters and Crises  ]:[Enabling Functions  ]]))</f>
        <v/>
      </c>
      <c r="AA61" s="41"/>
    </row>
    <row r="62" spans="1:27" x14ac:dyDescent="0.3">
      <c r="A62" s="11" t="s">
        <v>121</v>
      </c>
      <c r="B62" s="11" t="s">
        <v>106</v>
      </c>
      <c r="C62" s="11" t="s">
        <v>122</v>
      </c>
      <c r="D62" s="30" t="str">
        <f>_xlfn.LET(
    _xlpm.sumValue, SUMIFS(
        PNS_data[Value],
        PNS_data[Country], FR_data[[#This Row],[Country]],
        PNS_data[National Society name], selected,
        PNS_data[Attribute], "SP1",
        PNS_data[Year], "2026"
    ),
    IF(_xlpm.sumValue = 0, "", _xlpm.sumValue)
)</f>
        <v/>
      </c>
      <c r="E62" s="31" t="str">
        <f>_xlfn.LET(
    _xlpm.sumValue, SUMIFS(
        PNS_data[Value],
        PNS_data[Country], FR_data[[#This Row],[Country]],
        PNS_data[National Society name], selected,
        PNS_data[Attribute], "SP2",
        PNS_data[Year], "2026"
    ),
    IF(_xlpm.sumValue = 0, "", _xlpm.sumValue)
)</f>
        <v/>
      </c>
      <c r="F62" s="31" t="str">
        <f>_xlfn.LET(
    _xlpm.sumValue, SUMIFS(
        PNS_data[Value],
        PNS_data[Country], FR_data[[#This Row],[Country]],
        PNS_data[National Society name], selected,
        PNS_data[Attribute], "SP3",
        PNS_data[Year], "2026"
    ),
    IF(_xlpm.sumValue = 0, "", _xlpm.sumValue)
)</f>
        <v/>
      </c>
      <c r="G62" s="31" t="str">
        <f>_xlfn.LET(
    _xlpm.sumValue, SUMIFS(
        PNS_data[Value],
        PNS_data[Country], FR_data[[#This Row],[Country]],
        PNS_data[National Society name], selected,
        PNS_data[Attribute], "SP4",
        PNS_data[Year], "2026"
    ),
    IF(_xlpm.sumValue = 0, "", _xlpm.sumValue)
)</f>
        <v/>
      </c>
      <c r="H62" s="31" t="str">
        <f>_xlfn.LET(
    _xlpm.sumValue, SUMIFS(
        PNS_data[Value],
        PNS_data[Country], FR_data[[#This Row],[Country]],
        PNS_data[National Society name], selected,
        PNS_data[Attribute], "SP5",
        PNS_data[Year], "2026"
    ),
    IF(_xlpm.sumValue = 0, "", _xlpm.sumValue)
)</f>
        <v/>
      </c>
      <c r="I62" s="31" t="str">
        <f>_xlfn.LET(
    _xlpm.sumValue, SUMIFS(
        PNS_data[Value],
        PNS_data[Country], FR_data[[#This Row],[Country]],
        PNS_data[National Society name], selected,
        PNS_data[Attribute], "EFs",
        PNS_data[Year], "2026"
    ),
    IF(_xlpm.sumValue = 0, "", _xlpm.sumValue)
)</f>
        <v/>
      </c>
      <c r="J62" s="32" t="str">
        <f>IF(SUM(FR_data[[#This Row],[Response - Disasters and Crises]:[Enabling Functions]])=0,"",SUM(FR_data[[#This Row],[Response - Disasters and Crises]:[Enabling Functions]]))</f>
        <v/>
      </c>
      <c r="K62" s="39"/>
      <c r="L62" s="30" t="str">
        <f>_xlfn.LET(
    _xlpm.sumValue, SUMIFS(
        PNS_data[Value],
        PNS_data[Country], FR_data[[#This Row],[Country]],
        PNS_data[National Society name], selected,
        PNS_data[Attribute], "SP1",
        PNS_data[Year], "2027"
    ),
    IF(_xlpm.sumValue = 0, "", _xlpm.sumValue)
)</f>
        <v/>
      </c>
      <c r="M62" s="31" t="str">
        <f>_xlfn.LET(
    _xlpm.sumValue, SUMIFS(
        PNS_data[Value],
        PNS_data[Country], FR_data[[#This Row],[Country]],
        PNS_data[National Society name], selected,
        PNS_data[Attribute], "SP2",
        PNS_data[Year], "2027"
    ),
    IF(_xlpm.sumValue = 0, "", _xlpm.sumValue)
)</f>
        <v/>
      </c>
      <c r="N62" s="31" t="str">
        <f>_xlfn.LET(
    _xlpm.sumValue, SUMIFS(
        PNS_data[Value],
        PNS_data[Country], FR_data[[#This Row],[Country]],
        PNS_data[National Society name], selected,
        PNS_data[Attribute], "SP3",
        PNS_data[Year], "2027"
    ),
    IF(_xlpm.sumValue = 0, "", _xlpm.sumValue)
)</f>
        <v/>
      </c>
      <c r="O62" s="31" t="str">
        <f>_xlfn.LET(
    _xlpm.sumValue, SUMIFS(
        PNS_data[Value],
        PNS_data[Country], FR_data[[#This Row],[Country]],
        PNS_data[National Society name], selected,
        PNS_data[Attribute], "SP4",
        PNS_data[Year], "2027"
    ),
    IF(_xlpm.sumValue = 0, "", _xlpm.sumValue)
)</f>
        <v/>
      </c>
      <c r="P62" s="31" t="str">
        <f>_xlfn.LET(
    _xlpm.sumValue, SUMIFS(
        PNS_data[Value],
        PNS_data[Country], FR_data[[#This Row],[Country]],
        PNS_data[National Society name], selected,
        PNS_data[Attribute], "SP5",
        PNS_data[Year], "2027"
    ),
    IF(_xlpm.sumValue = 0, "", _xlpm.sumValue)
)</f>
        <v/>
      </c>
      <c r="Q62" s="31" t="str">
        <f>_xlfn.LET(
    _xlpm.sumValue, SUMIFS(
        PNS_data[Value],
        PNS_data[Country], FR_data[[#This Row],[Country]],
        PNS_data[National Society name], selected,
        PNS_data[Attribute], "EFs",
        PNS_data[Year], "2027"
    ),
    IF(_xlpm.sumValue = 0, "", _xlpm.sumValue)
)</f>
        <v/>
      </c>
      <c r="R62" s="32" t="str">
        <f>IF(SUM(FR_data[[#This Row],[Response - Disasters and Crises ]:[Enabling Functions ]])=0,"",SUM(FR_data[[#This Row],[Response - Disasters and Crises ]:[Enabling Functions ]]))</f>
        <v/>
      </c>
      <c r="S62" s="39"/>
      <c r="T62" s="30" t="str">
        <f>_xlfn.LET(
    _xlpm.sumValue, SUMIFS(
        PNS_data[Value],
        PNS_data[Country], FR_data[[#This Row],[Country]],
        PNS_data[National Society name], selected,
        PNS_data[Attribute], "SP1",
        PNS_data[Year], "2028"
    ),
    IF(_xlpm.sumValue = 0, "", _xlpm.sumValue)
)</f>
        <v/>
      </c>
      <c r="U62" s="31" t="str">
        <f>_xlfn.LET(
    _xlpm.sumValue, SUMIFS(
        PNS_data[Value],
        PNS_data[Country], FR_data[[#This Row],[Country]],
        PNS_data[National Society name], selected,
        PNS_data[Attribute], "SP2",
        PNS_data[Year], "2028"
    ),
    IF(_xlpm.sumValue = 0, "", _xlpm.sumValue)
)</f>
        <v/>
      </c>
      <c r="V62" s="31" t="str">
        <f>_xlfn.LET(
    _xlpm.sumValue, SUMIFS(
        PNS_data[Value],
        PNS_data[Country], FR_data[[#This Row],[Country]],
        PNS_data[National Society name], selected,
        PNS_data[Attribute], "SP3",
        PNS_data[Year], "2028"
    ),
    IF(_xlpm.sumValue = 0, "", _xlpm.sumValue)
)</f>
        <v/>
      </c>
      <c r="W62" s="31" t="str">
        <f>_xlfn.LET(
    _xlpm.sumValue, SUMIFS(
        PNS_data[Value],
        PNS_data[Country], FR_data[[#This Row],[Country]],
        PNS_data[National Society name], selected,
        PNS_data[Attribute], "SP4",
        PNS_data[Year], "2028"
    ),
    IF(_xlpm.sumValue = 0, "", _xlpm.sumValue)
)</f>
        <v/>
      </c>
      <c r="X62" s="31" t="str">
        <f>_xlfn.LET(
    _xlpm.sumValue, SUMIFS(
        PNS_data[Value],
        PNS_data[Country], FR_data[[#This Row],[Country]],
        PNS_data[National Society name], selected,
        PNS_data[Attribute], "SP5",
        PNS_data[Year], "2028"
    ),
    IF(_xlpm.sumValue = 0, "", _xlpm.sumValue)
)</f>
        <v/>
      </c>
      <c r="Y62" s="31" t="str">
        <f>_xlfn.LET(
    _xlpm.sumValue, SUMIFS(
        PNS_data[Value],
        PNS_data[Country], FR_data[[#This Row],[Country]],
        PNS_data[National Society name], selected,
        PNS_data[Attribute], "EFs",
        PNS_data[Year], "2028"
    ),
    IF(_xlpm.sumValue = 0, "", _xlpm.sumValue)
)</f>
        <v/>
      </c>
      <c r="Z62" s="32" t="str">
        <f>IF(SUM(FR_data[[#This Row],[Response - Disasters and Crises  ]:[Enabling Functions  ]])=0,"",SUM(FR_data[[#This Row],[Response - Disasters and Crises  ]:[Enabling Functions  ]]))</f>
        <v/>
      </c>
      <c r="AA62" s="41"/>
    </row>
    <row r="63" spans="1:27" x14ac:dyDescent="0.3">
      <c r="A63" s="11" t="s">
        <v>126</v>
      </c>
      <c r="B63" s="11" t="s">
        <v>106</v>
      </c>
      <c r="C63" s="11" t="s">
        <v>127</v>
      </c>
      <c r="D63" s="30" t="str">
        <f>_xlfn.LET(
    _xlpm.sumValue, SUMIFS(
        PNS_data[Value],
        PNS_data[Country], FR_data[[#This Row],[Country]],
        PNS_data[National Society name], selected,
        PNS_data[Attribute], "SP1",
        PNS_data[Year], "2026"
    ),
    IF(_xlpm.sumValue = 0, "", _xlpm.sumValue)
)</f>
        <v/>
      </c>
      <c r="E63" s="31" t="str">
        <f>_xlfn.LET(
    _xlpm.sumValue, SUMIFS(
        PNS_data[Value],
        PNS_data[Country], FR_data[[#This Row],[Country]],
        PNS_data[National Society name], selected,
        PNS_data[Attribute], "SP2",
        PNS_data[Year], "2026"
    ),
    IF(_xlpm.sumValue = 0, "", _xlpm.sumValue)
)</f>
        <v/>
      </c>
      <c r="F63" s="31" t="str">
        <f>_xlfn.LET(
    _xlpm.sumValue, SUMIFS(
        PNS_data[Value],
        PNS_data[Country], FR_data[[#This Row],[Country]],
        PNS_data[National Society name], selected,
        PNS_data[Attribute], "SP3",
        PNS_data[Year], "2026"
    ),
    IF(_xlpm.sumValue = 0, "", _xlpm.sumValue)
)</f>
        <v/>
      </c>
      <c r="G63" s="31" t="str">
        <f>_xlfn.LET(
    _xlpm.sumValue, SUMIFS(
        PNS_data[Value],
        PNS_data[Country], FR_data[[#This Row],[Country]],
        PNS_data[National Society name], selected,
        PNS_data[Attribute], "SP4",
        PNS_data[Year], "2026"
    ),
    IF(_xlpm.sumValue = 0, "", _xlpm.sumValue)
)</f>
        <v/>
      </c>
      <c r="H63" s="31" t="str">
        <f>_xlfn.LET(
    _xlpm.sumValue, SUMIFS(
        PNS_data[Value],
        PNS_data[Country], FR_data[[#This Row],[Country]],
        PNS_data[National Society name], selected,
        PNS_data[Attribute], "SP5",
        PNS_data[Year], "2026"
    ),
    IF(_xlpm.sumValue = 0, "", _xlpm.sumValue)
)</f>
        <v/>
      </c>
      <c r="I63" s="31" t="str">
        <f>_xlfn.LET(
    _xlpm.sumValue, SUMIFS(
        PNS_data[Value],
        PNS_data[Country], FR_data[[#This Row],[Country]],
        PNS_data[National Society name], selected,
        PNS_data[Attribute], "EFs",
        PNS_data[Year], "2026"
    ),
    IF(_xlpm.sumValue = 0, "", _xlpm.sumValue)
)</f>
        <v/>
      </c>
      <c r="J63" s="32" t="str">
        <f>IF(SUM(FR_data[[#This Row],[Response - Disasters and Crises]:[Enabling Functions]])=0,"",SUM(FR_data[[#This Row],[Response - Disasters and Crises]:[Enabling Functions]]))</f>
        <v/>
      </c>
      <c r="K63" s="39"/>
      <c r="L63" s="30" t="str">
        <f>_xlfn.LET(
    _xlpm.sumValue, SUMIFS(
        PNS_data[Value],
        PNS_data[Country], FR_data[[#This Row],[Country]],
        PNS_data[National Society name], selected,
        PNS_data[Attribute], "SP1",
        PNS_data[Year], "2027"
    ),
    IF(_xlpm.sumValue = 0, "", _xlpm.sumValue)
)</f>
        <v/>
      </c>
      <c r="M63" s="31" t="str">
        <f>_xlfn.LET(
    _xlpm.sumValue, SUMIFS(
        PNS_data[Value],
        PNS_data[Country], FR_data[[#This Row],[Country]],
        PNS_data[National Society name], selected,
        PNS_data[Attribute], "SP2",
        PNS_data[Year], "2027"
    ),
    IF(_xlpm.sumValue = 0, "", _xlpm.sumValue)
)</f>
        <v/>
      </c>
      <c r="N63" s="31" t="str">
        <f>_xlfn.LET(
    _xlpm.sumValue, SUMIFS(
        PNS_data[Value],
        PNS_data[Country], FR_data[[#This Row],[Country]],
        PNS_data[National Society name], selected,
        PNS_data[Attribute], "SP3",
        PNS_data[Year], "2027"
    ),
    IF(_xlpm.sumValue = 0, "", _xlpm.sumValue)
)</f>
        <v/>
      </c>
      <c r="O63" s="31" t="str">
        <f>_xlfn.LET(
    _xlpm.sumValue, SUMIFS(
        PNS_data[Value],
        PNS_data[Country], FR_data[[#This Row],[Country]],
        PNS_data[National Society name], selected,
        PNS_data[Attribute], "SP4",
        PNS_data[Year], "2027"
    ),
    IF(_xlpm.sumValue = 0, "", _xlpm.sumValue)
)</f>
        <v/>
      </c>
      <c r="P63" s="31" t="str">
        <f>_xlfn.LET(
    _xlpm.sumValue, SUMIFS(
        PNS_data[Value],
        PNS_data[Country], FR_data[[#This Row],[Country]],
        PNS_data[National Society name], selected,
        PNS_data[Attribute], "SP5",
        PNS_data[Year], "2027"
    ),
    IF(_xlpm.sumValue = 0, "", _xlpm.sumValue)
)</f>
        <v/>
      </c>
      <c r="Q63" s="31" t="str">
        <f>_xlfn.LET(
    _xlpm.sumValue, SUMIFS(
        PNS_data[Value],
        PNS_data[Country], FR_data[[#This Row],[Country]],
        PNS_data[National Society name], selected,
        PNS_data[Attribute], "EFs",
        PNS_data[Year], "2027"
    ),
    IF(_xlpm.sumValue = 0, "", _xlpm.sumValue)
)</f>
        <v/>
      </c>
      <c r="R63" s="32" t="str">
        <f>IF(SUM(FR_data[[#This Row],[Response - Disasters and Crises ]:[Enabling Functions ]])=0,"",SUM(FR_data[[#This Row],[Response - Disasters and Crises ]:[Enabling Functions ]]))</f>
        <v/>
      </c>
      <c r="S63" s="39"/>
      <c r="T63" s="30" t="str">
        <f>_xlfn.LET(
    _xlpm.sumValue, SUMIFS(
        PNS_data[Value],
        PNS_data[Country], FR_data[[#This Row],[Country]],
        PNS_data[National Society name], selected,
        PNS_data[Attribute], "SP1",
        PNS_data[Year], "2028"
    ),
    IF(_xlpm.sumValue = 0, "", _xlpm.sumValue)
)</f>
        <v/>
      </c>
      <c r="U63" s="31" t="str">
        <f>_xlfn.LET(
    _xlpm.sumValue, SUMIFS(
        PNS_data[Value],
        PNS_data[Country], FR_data[[#This Row],[Country]],
        PNS_data[National Society name], selected,
        PNS_data[Attribute], "SP2",
        PNS_data[Year], "2028"
    ),
    IF(_xlpm.sumValue = 0, "", _xlpm.sumValue)
)</f>
        <v/>
      </c>
      <c r="V63" s="31" t="str">
        <f>_xlfn.LET(
    _xlpm.sumValue, SUMIFS(
        PNS_data[Value],
        PNS_data[Country], FR_data[[#This Row],[Country]],
        PNS_data[National Society name], selected,
        PNS_data[Attribute], "SP3",
        PNS_data[Year], "2028"
    ),
    IF(_xlpm.sumValue = 0, "", _xlpm.sumValue)
)</f>
        <v/>
      </c>
      <c r="W63" s="31" t="str">
        <f>_xlfn.LET(
    _xlpm.sumValue, SUMIFS(
        PNS_data[Value],
        PNS_data[Country], FR_data[[#This Row],[Country]],
        PNS_data[National Society name], selected,
        PNS_data[Attribute], "SP4",
        PNS_data[Year], "2028"
    ),
    IF(_xlpm.sumValue = 0, "", _xlpm.sumValue)
)</f>
        <v/>
      </c>
      <c r="X63" s="31" t="str">
        <f>_xlfn.LET(
    _xlpm.sumValue, SUMIFS(
        PNS_data[Value],
        PNS_data[Country], FR_data[[#This Row],[Country]],
        PNS_data[National Society name], selected,
        PNS_data[Attribute], "SP5",
        PNS_data[Year], "2028"
    ),
    IF(_xlpm.sumValue = 0, "", _xlpm.sumValue)
)</f>
        <v/>
      </c>
      <c r="Y63" s="31" t="str">
        <f>_xlfn.LET(
    _xlpm.sumValue, SUMIFS(
        PNS_data[Value],
        PNS_data[Country], FR_data[[#This Row],[Country]],
        PNS_data[National Society name], selected,
        PNS_data[Attribute], "EFs",
        PNS_data[Year], "2028"
    ),
    IF(_xlpm.sumValue = 0, "", _xlpm.sumValue)
)</f>
        <v/>
      </c>
      <c r="Z63" s="32" t="str">
        <f>IF(SUM(FR_data[[#This Row],[Response - Disasters and Crises  ]:[Enabling Functions  ]])=0,"",SUM(FR_data[[#This Row],[Response - Disasters and Crises  ]:[Enabling Functions  ]]))</f>
        <v/>
      </c>
      <c r="AA63" s="41"/>
    </row>
    <row r="64" spans="1:27" x14ac:dyDescent="0.3">
      <c r="A64" s="11" t="s">
        <v>130</v>
      </c>
      <c r="B64" s="11" t="s">
        <v>106</v>
      </c>
      <c r="C64" s="11" t="s">
        <v>131</v>
      </c>
      <c r="D64" s="30" t="str">
        <f>_xlfn.LET(
    _xlpm.sumValue, SUMIFS(
        PNS_data[Value],
        PNS_data[Country], FR_data[[#This Row],[Country]],
        PNS_data[National Society name], selected,
        PNS_data[Attribute], "SP1",
        PNS_data[Year], "2026"
    ),
    IF(_xlpm.sumValue = 0, "", _xlpm.sumValue)
)</f>
        <v/>
      </c>
      <c r="E64" s="31" t="str">
        <f>_xlfn.LET(
    _xlpm.sumValue, SUMIFS(
        PNS_data[Value],
        PNS_data[Country], FR_data[[#This Row],[Country]],
        PNS_data[National Society name], selected,
        PNS_data[Attribute], "SP2",
        PNS_data[Year], "2026"
    ),
    IF(_xlpm.sumValue = 0, "", _xlpm.sumValue)
)</f>
        <v/>
      </c>
      <c r="F64" s="31" t="str">
        <f>_xlfn.LET(
    _xlpm.sumValue, SUMIFS(
        PNS_data[Value],
        PNS_data[Country], FR_data[[#This Row],[Country]],
        PNS_data[National Society name], selected,
        PNS_data[Attribute], "SP3",
        PNS_data[Year], "2026"
    ),
    IF(_xlpm.sumValue = 0, "", _xlpm.sumValue)
)</f>
        <v/>
      </c>
      <c r="G64" s="31" t="str">
        <f>_xlfn.LET(
    _xlpm.sumValue, SUMIFS(
        PNS_data[Value],
        PNS_data[Country], FR_data[[#This Row],[Country]],
        PNS_data[National Society name], selected,
        PNS_data[Attribute], "SP4",
        PNS_data[Year], "2026"
    ),
    IF(_xlpm.sumValue = 0, "", _xlpm.sumValue)
)</f>
        <v/>
      </c>
      <c r="H64" s="31" t="str">
        <f>_xlfn.LET(
    _xlpm.sumValue, SUMIFS(
        PNS_data[Value],
        PNS_data[Country], FR_data[[#This Row],[Country]],
        PNS_data[National Society name], selected,
        PNS_data[Attribute], "SP5",
        PNS_data[Year], "2026"
    ),
    IF(_xlpm.sumValue = 0, "", _xlpm.sumValue)
)</f>
        <v/>
      </c>
      <c r="I64" s="31" t="str">
        <f>_xlfn.LET(
    _xlpm.sumValue, SUMIFS(
        PNS_data[Value],
        PNS_data[Country], FR_data[[#This Row],[Country]],
        PNS_data[National Society name], selected,
        PNS_data[Attribute], "EFs",
        PNS_data[Year], "2026"
    ),
    IF(_xlpm.sumValue = 0, "", _xlpm.sumValue)
)</f>
        <v/>
      </c>
      <c r="J64" s="32" t="str">
        <f>IF(SUM(FR_data[[#This Row],[Response - Disasters and Crises]:[Enabling Functions]])=0,"",SUM(FR_data[[#This Row],[Response - Disasters and Crises]:[Enabling Functions]]))</f>
        <v/>
      </c>
      <c r="K64" s="39"/>
      <c r="L64" s="30" t="str">
        <f>_xlfn.LET(
    _xlpm.sumValue, SUMIFS(
        PNS_data[Value],
        PNS_data[Country], FR_data[[#This Row],[Country]],
        PNS_data[National Society name], selected,
        PNS_data[Attribute], "SP1",
        PNS_data[Year], "2027"
    ),
    IF(_xlpm.sumValue = 0, "", _xlpm.sumValue)
)</f>
        <v/>
      </c>
      <c r="M64" s="31" t="str">
        <f>_xlfn.LET(
    _xlpm.sumValue, SUMIFS(
        PNS_data[Value],
        PNS_data[Country], FR_data[[#This Row],[Country]],
        PNS_data[National Society name], selected,
        PNS_data[Attribute], "SP2",
        PNS_data[Year], "2027"
    ),
    IF(_xlpm.sumValue = 0, "", _xlpm.sumValue)
)</f>
        <v/>
      </c>
      <c r="N64" s="31" t="str">
        <f>_xlfn.LET(
    _xlpm.sumValue, SUMIFS(
        PNS_data[Value],
        PNS_data[Country], FR_data[[#This Row],[Country]],
        PNS_data[National Society name], selected,
        PNS_data[Attribute], "SP3",
        PNS_data[Year], "2027"
    ),
    IF(_xlpm.sumValue = 0, "", _xlpm.sumValue)
)</f>
        <v/>
      </c>
      <c r="O64" s="31" t="str">
        <f>_xlfn.LET(
    _xlpm.sumValue, SUMIFS(
        PNS_data[Value],
        PNS_data[Country], FR_data[[#This Row],[Country]],
        PNS_data[National Society name], selected,
        PNS_data[Attribute], "SP4",
        PNS_data[Year], "2027"
    ),
    IF(_xlpm.sumValue = 0, "", _xlpm.sumValue)
)</f>
        <v/>
      </c>
      <c r="P64" s="31" t="str">
        <f>_xlfn.LET(
    _xlpm.sumValue, SUMIFS(
        PNS_data[Value],
        PNS_data[Country], FR_data[[#This Row],[Country]],
        PNS_data[National Society name], selected,
        PNS_data[Attribute], "SP5",
        PNS_data[Year], "2027"
    ),
    IF(_xlpm.sumValue = 0, "", _xlpm.sumValue)
)</f>
        <v/>
      </c>
      <c r="Q64" s="31" t="str">
        <f>_xlfn.LET(
    _xlpm.sumValue, SUMIFS(
        PNS_data[Value],
        PNS_data[Country], FR_data[[#This Row],[Country]],
        PNS_data[National Society name], selected,
        PNS_data[Attribute], "EFs",
        PNS_data[Year], "2027"
    ),
    IF(_xlpm.sumValue = 0, "", _xlpm.sumValue)
)</f>
        <v/>
      </c>
      <c r="R64" s="32" t="str">
        <f>IF(SUM(FR_data[[#This Row],[Response - Disasters and Crises ]:[Enabling Functions ]])=0,"",SUM(FR_data[[#This Row],[Response - Disasters and Crises ]:[Enabling Functions ]]))</f>
        <v/>
      </c>
      <c r="S64" s="39"/>
      <c r="T64" s="30" t="str">
        <f>_xlfn.LET(
    _xlpm.sumValue, SUMIFS(
        PNS_data[Value],
        PNS_data[Country], FR_data[[#This Row],[Country]],
        PNS_data[National Society name], selected,
        PNS_data[Attribute], "SP1",
        PNS_data[Year], "2028"
    ),
    IF(_xlpm.sumValue = 0, "", _xlpm.sumValue)
)</f>
        <v/>
      </c>
      <c r="U64" s="31" t="str">
        <f>_xlfn.LET(
    _xlpm.sumValue, SUMIFS(
        PNS_data[Value],
        PNS_data[Country], FR_data[[#This Row],[Country]],
        PNS_data[National Society name], selected,
        PNS_data[Attribute], "SP2",
        PNS_data[Year], "2028"
    ),
    IF(_xlpm.sumValue = 0, "", _xlpm.sumValue)
)</f>
        <v/>
      </c>
      <c r="V64" s="31" t="str">
        <f>_xlfn.LET(
    _xlpm.sumValue, SUMIFS(
        PNS_data[Value],
        PNS_data[Country], FR_data[[#This Row],[Country]],
        PNS_data[National Society name], selected,
        PNS_data[Attribute], "SP3",
        PNS_data[Year], "2028"
    ),
    IF(_xlpm.sumValue = 0, "", _xlpm.sumValue)
)</f>
        <v/>
      </c>
      <c r="W64" s="31" t="str">
        <f>_xlfn.LET(
    _xlpm.sumValue, SUMIFS(
        PNS_data[Value],
        PNS_data[Country], FR_data[[#This Row],[Country]],
        PNS_data[National Society name], selected,
        PNS_data[Attribute], "SP4",
        PNS_data[Year], "2028"
    ),
    IF(_xlpm.sumValue = 0, "", _xlpm.sumValue)
)</f>
        <v/>
      </c>
      <c r="X64" s="31" t="str">
        <f>_xlfn.LET(
    _xlpm.sumValue, SUMIFS(
        PNS_data[Value],
        PNS_data[Country], FR_data[[#This Row],[Country]],
        PNS_data[National Society name], selected,
        PNS_data[Attribute], "SP5",
        PNS_data[Year], "2028"
    ),
    IF(_xlpm.sumValue = 0, "", _xlpm.sumValue)
)</f>
        <v/>
      </c>
      <c r="Y64" s="31" t="str">
        <f>_xlfn.LET(
    _xlpm.sumValue, SUMIFS(
        PNS_data[Value],
        PNS_data[Country], FR_data[[#This Row],[Country]],
        PNS_data[National Society name], selected,
        PNS_data[Attribute], "EFs",
        PNS_data[Year], "2028"
    ),
    IF(_xlpm.sumValue = 0, "", _xlpm.sumValue)
)</f>
        <v/>
      </c>
      <c r="Z64" s="32" t="str">
        <f>IF(SUM(FR_data[[#This Row],[Response - Disasters and Crises  ]:[Enabling Functions  ]])=0,"",SUM(FR_data[[#This Row],[Response - Disasters and Crises  ]:[Enabling Functions  ]]))</f>
        <v/>
      </c>
      <c r="AA64" s="41"/>
    </row>
    <row r="65" spans="1:27" x14ac:dyDescent="0.3">
      <c r="A65" s="11" t="s">
        <v>135</v>
      </c>
      <c r="B65" s="11" t="s">
        <v>106</v>
      </c>
      <c r="C65" s="11" t="s">
        <v>136</v>
      </c>
      <c r="D65" s="30" t="str">
        <f>_xlfn.LET(
    _xlpm.sumValue, SUMIFS(
        PNS_data[Value],
        PNS_data[Country], FR_data[[#This Row],[Country]],
        PNS_data[National Society name], selected,
        PNS_data[Attribute], "SP1",
        PNS_data[Year], "2026"
    ),
    IF(_xlpm.sumValue = 0, "", _xlpm.sumValue)
)</f>
        <v/>
      </c>
      <c r="E65" s="31" t="str">
        <f>_xlfn.LET(
    _xlpm.sumValue, SUMIFS(
        PNS_data[Value],
        PNS_data[Country], FR_data[[#This Row],[Country]],
        PNS_data[National Society name], selected,
        PNS_data[Attribute], "SP2",
        PNS_data[Year], "2026"
    ),
    IF(_xlpm.sumValue = 0, "", _xlpm.sumValue)
)</f>
        <v/>
      </c>
      <c r="F65" s="31" t="str">
        <f>_xlfn.LET(
    _xlpm.sumValue, SUMIFS(
        PNS_data[Value],
        PNS_data[Country], FR_data[[#This Row],[Country]],
        PNS_data[National Society name], selected,
        PNS_data[Attribute], "SP3",
        PNS_data[Year], "2026"
    ),
    IF(_xlpm.sumValue = 0, "", _xlpm.sumValue)
)</f>
        <v/>
      </c>
      <c r="G65" s="31" t="str">
        <f>_xlfn.LET(
    _xlpm.sumValue, SUMIFS(
        PNS_data[Value],
        PNS_data[Country], FR_data[[#This Row],[Country]],
        PNS_data[National Society name], selected,
        PNS_data[Attribute], "SP4",
        PNS_data[Year], "2026"
    ),
    IF(_xlpm.sumValue = 0, "", _xlpm.sumValue)
)</f>
        <v/>
      </c>
      <c r="H65" s="31" t="str">
        <f>_xlfn.LET(
    _xlpm.sumValue, SUMIFS(
        PNS_data[Value],
        PNS_data[Country], FR_data[[#This Row],[Country]],
        PNS_data[National Society name], selected,
        PNS_data[Attribute], "SP5",
        PNS_data[Year], "2026"
    ),
    IF(_xlpm.sumValue = 0, "", _xlpm.sumValue)
)</f>
        <v/>
      </c>
      <c r="I65" s="31" t="str">
        <f>_xlfn.LET(
    _xlpm.sumValue, SUMIFS(
        PNS_data[Value],
        PNS_data[Country], FR_data[[#This Row],[Country]],
        PNS_data[National Society name], selected,
        PNS_data[Attribute], "EFs",
        PNS_data[Year], "2026"
    ),
    IF(_xlpm.sumValue = 0, "", _xlpm.sumValue)
)</f>
        <v/>
      </c>
      <c r="J65" s="32" t="str">
        <f>IF(SUM(FR_data[[#This Row],[Response - Disasters and Crises]:[Enabling Functions]])=0,"",SUM(FR_data[[#This Row],[Response - Disasters and Crises]:[Enabling Functions]]))</f>
        <v/>
      </c>
      <c r="K65" s="39"/>
      <c r="L65" s="30" t="str">
        <f>_xlfn.LET(
    _xlpm.sumValue, SUMIFS(
        PNS_data[Value],
        PNS_data[Country], FR_data[[#This Row],[Country]],
        PNS_data[National Society name], selected,
        PNS_data[Attribute], "SP1",
        PNS_data[Year], "2027"
    ),
    IF(_xlpm.sumValue = 0, "", _xlpm.sumValue)
)</f>
        <v/>
      </c>
      <c r="M65" s="31" t="str">
        <f>_xlfn.LET(
    _xlpm.sumValue, SUMIFS(
        PNS_data[Value],
        PNS_data[Country], FR_data[[#This Row],[Country]],
        PNS_data[National Society name], selected,
        PNS_data[Attribute], "SP2",
        PNS_data[Year], "2027"
    ),
    IF(_xlpm.sumValue = 0, "", _xlpm.sumValue)
)</f>
        <v/>
      </c>
      <c r="N65" s="31" t="str">
        <f>_xlfn.LET(
    _xlpm.sumValue, SUMIFS(
        PNS_data[Value],
        PNS_data[Country], FR_data[[#This Row],[Country]],
        PNS_data[National Society name], selected,
        PNS_data[Attribute], "SP3",
        PNS_data[Year], "2027"
    ),
    IF(_xlpm.sumValue = 0, "", _xlpm.sumValue)
)</f>
        <v/>
      </c>
      <c r="O65" s="31" t="str">
        <f>_xlfn.LET(
    _xlpm.sumValue, SUMIFS(
        PNS_data[Value],
        PNS_data[Country], FR_data[[#This Row],[Country]],
        PNS_data[National Society name], selected,
        PNS_data[Attribute], "SP4",
        PNS_data[Year], "2027"
    ),
    IF(_xlpm.sumValue = 0, "", _xlpm.sumValue)
)</f>
        <v/>
      </c>
      <c r="P65" s="31" t="str">
        <f>_xlfn.LET(
    _xlpm.sumValue, SUMIFS(
        PNS_data[Value],
        PNS_data[Country], FR_data[[#This Row],[Country]],
        PNS_data[National Society name], selected,
        PNS_data[Attribute], "SP5",
        PNS_data[Year], "2027"
    ),
    IF(_xlpm.sumValue = 0, "", _xlpm.sumValue)
)</f>
        <v/>
      </c>
      <c r="Q65" s="31" t="str">
        <f>_xlfn.LET(
    _xlpm.sumValue, SUMIFS(
        PNS_data[Value],
        PNS_data[Country], FR_data[[#This Row],[Country]],
        PNS_data[National Society name], selected,
        PNS_data[Attribute], "EFs",
        PNS_data[Year], "2027"
    ),
    IF(_xlpm.sumValue = 0, "", _xlpm.sumValue)
)</f>
        <v/>
      </c>
      <c r="R65" s="32" t="str">
        <f>IF(SUM(FR_data[[#This Row],[Response - Disasters and Crises ]:[Enabling Functions ]])=0,"",SUM(FR_data[[#This Row],[Response - Disasters and Crises ]:[Enabling Functions ]]))</f>
        <v/>
      </c>
      <c r="S65" s="39"/>
      <c r="T65" s="30" t="str">
        <f>_xlfn.LET(
    _xlpm.sumValue, SUMIFS(
        PNS_data[Value],
        PNS_data[Country], FR_data[[#This Row],[Country]],
        PNS_data[National Society name], selected,
        PNS_data[Attribute], "SP1",
        PNS_data[Year], "2028"
    ),
    IF(_xlpm.sumValue = 0, "", _xlpm.sumValue)
)</f>
        <v/>
      </c>
      <c r="U65" s="31" t="str">
        <f>_xlfn.LET(
    _xlpm.sumValue, SUMIFS(
        PNS_data[Value],
        PNS_data[Country], FR_data[[#This Row],[Country]],
        PNS_data[National Society name], selected,
        PNS_data[Attribute], "SP2",
        PNS_data[Year], "2028"
    ),
    IF(_xlpm.sumValue = 0, "", _xlpm.sumValue)
)</f>
        <v/>
      </c>
      <c r="V65" s="31" t="str">
        <f>_xlfn.LET(
    _xlpm.sumValue, SUMIFS(
        PNS_data[Value],
        PNS_data[Country], FR_data[[#This Row],[Country]],
        PNS_data[National Society name], selected,
        PNS_data[Attribute], "SP3",
        PNS_data[Year], "2028"
    ),
    IF(_xlpm.sumValue = 0, "", _xlpm.sumValue)
)</f>
        <v/>
      </c>
      <c r="W65" s="31" t="str">
        <f>_xlfn.LET(
    _xlpm.sumValue, SUMIFS(
        PNS_data[Value],
        PNS_data[Country], FR_data[[#This Row],[Country]],
        PNS_data[National Society name], selected,
        PNS_data[Attribute], "SP4",
        PNS_data[Year], "2028"
    ),
    IF(_xlpm.sumValue = 0, "", _xlpm.sumValue)
)</f>
        <v/>
      </c>
      <c r="X65" s="31" t="str">
        <f>_xlfn.LET(
    _xlpm.sumValue, SUMIFS(
        PNS_data[Value],
        PNS_data[Country], FR_data[[#This Row],[Country]],
        PNS_data[National Society name], selected,
        PNS_data[Attribute], "SP5",
        PNS_data[Year], "2028"
    ),
    IF(_xlpm.sumValue = 0, "", _xlpm.sumValue)
)</f>
        <v/>
      </c>
      <c r="Y65" s="31" t="str">
        <f>_xlfn.LET(
    _xlpm.sumValue, SUMIFS(
        PNS_data[Value],
        PNS_data[Country], FR_data[[#This Row],[Country]],
        PNS_data[National Society name], selected,
        PNS_data[Attribute], "EFs",
        PNS_data[Year], "2028"
    ),
    IF(_xlpm.sumValue = 0, "", _xlpm.sumValue)
)</f>
        <v/>
      </c>
      <c r="Z65" s="32" t="str">
        <f>IF(SUM(FR_data[[#This Row],[Response - Disasters and Crises  ]:[Enabling Functions  ]])=0,"",SUM(FR_data[[#This Row],[Response - Disasters and Crises  ]:[Enabling Functions  ]]))</f>
        <v/>
      </c>
      <c r="AA65" s="41"/>
    </row>
    <row r="66" spans="1:27" x14ac:dyDescent="0.3">
      <c r="A66" s="11" t="s">
        <v>142</v>
      </c>
      <c r="B66" s="11" t="s">
        <v>106</v>
      </c>
      <c r="C66" s="11" t="s">
        <v>40</v>
      </c>
      <c r="D66" s="30" t="str">
        <f>_xlfn.LET(
    _xlpm.sumValue, SUMIFS(
        PNS_data[Value],
        PNS_data[Country], FR_data[[#This Row],[Country]],
        PNS_data[National Society name], selected,
        PNS_data[Attribute], "SP1",
        PNS_data[Year], "2026"
    ),
    IF(_xlpm.sumValue = 0, "", _xlpm.sumValue)
)</f>
        <v/>
      </c>
      <c r="E66" s="31" t="str">
        <f>_xlfn.LET(
    _xlpm.sumValue, SUMIFS(
        PNS_data[Value],
        PNS_data[Country], FR_data[[#This Row],[Country]],
        PNS_data[National Society name], selected,
        PNS_data[Attribute], "SP2",
        PNS_data[Year], "2026"
    ),
    IF(_xlpm.sumValue = 0, "", _xlpm.sumValue)
)</f>
        <v/>
      </c>
      <c r="F66" s="31" t="str">
        <f>_xlfn.LET(
    _xlpm.sumValue, SUMIFS(
        PNS_data[Value],
        PNS_data[Country], FR_data[[#This Row],[Country]],
        PNS_data[National Society name], selected,
        PNS_data[Attribute], "SP3",
        PNS_data[Year], "2026"
    ),
    IF(_xlpm.sumValue = 0, "", _xlpm.sumValue)
)</f>
        <v/>
      </c>
      <c r="G66" s="31" t="str">
        <f>_xlfn.LET(
    _xlpm.sumValue, SUMIFS(
        PNS_data[Value],
        PNS_data[Country], FR_data[[#This Row],[Country]],
        PNS_data[National Society name], selected,
        PNS_data[Attribute], "SP4",
        PNS_data[Year], "2026"
    ),
    IF(_xlpm.sumValue = 0, "", _xlpm.sumValue)
)</f>
        <v/>
      </c>
      <c r="H66" s="31" t="str">
        <f>_xlfn.LET(
    _xlpm.sumValue, SUMIFS(
        PNS_data[Value],
        PNS_data[Country], FR_data[[#This Row],[Country]],
        PNS_data[National Society name], selected,
        PNS_data[Attribute], "SP5",
        PNS_data[Year], "2026"
    ),
    IF(_xlpm.sumValue = 0, "", _xlpm.sumValue)
)</f>
        <v/>
      </c>
      <c r="I66" s="31" t="str">
        <f>_xlfn.LET(
    _xlpm.sumValue, SUMIFS(
        PNS_data[Value],
        PNS_data[Country], FR_data[[#This Row],[Country]],
        PNS_data[National Society name], selected,
        PNS_data[Attribute], "EFs",
        PNS_data[Year], "2026"
    ),
    IF(_xlpm.sumValue = 0, "", _xlpm.sumValue)
)</f>
        <v/>
      </c>
      <c r="J66" s="32" t="str">
        <f>IF(SUM(FR_data[[#This Row],[Response - Disasters and Crises]:[Enabling Functions]])=0,"",SUM(FR_data[[#This Row],[Response - Disasters and Crises]:[Enabling Functions]]))</f>
        <v/>
      </c>
      <c r="K66" s="39"/>
      <c r="L66" s="30" t="str">
        <f>_xlfn.LET(
    _xlpm.sumValue, SUMIFS(
        PNS_data[Value],
        PNS_data[Country], FR_data[[#This Row],[Country]],
        PNS_data[National Society name], selected,
        PNS_data[Attribute], "SP1",
        PNS_data[Year], "2027"
    ),
    IF(_xlpm.sumValue = 0, "", _xlpm.sumValue)
)</f>
        <v/>
      </c>
      <c r="M66" s="31" t="str">
        <f>_xlfn.LET(
    _xlpm.sumValue, SUMIFS(
        PNS_data[Value],
        PNS_data[Country], FR_data[[#This Row],[Country]],
        PNS_data[National Society name], selected,
        PNS_data[Attribute], "SP2",
        PNS_data[Year], "2027"
    ),
    IF(_xlpm.sumValue = 0, "", _xlpm.sumValue)
)</f>
        <v/>
      </c>
      <c r="N66" s="31" t="str">
        <f>_xlfn.LET(
    _xlpm.sumValue, SUMIFS(
        PNS_data[Value],
        PNS_data[Country], FR_data[[#This Row],[Country]],
        PNS_data[National Society name], selected,
        PNS_data[Attribute], "SP3",
        PNS_data[Year], "2027"
    ),
    IF(_xlpm.sumValue = 0, "", _xlpm.sumValue)
)</f>
        <v/>
      </c>
      <c r="O66" s="31" t="str">
        <f>_xlfn.LET(
    _xlpm.sumValue, SUMIFS(
        PNS_data[Value],
        PNS_data[Country], FR_data[[#This Row],[Country]],
        PNS_data[National Society name], selected,
        PNS_data[Attribute], "SP4",
        PNS_data[Year], "2027"
    ),
    IF(_xlpm.sumValue = 0, "", _xlpm.sumValue)
)</f>
        <v/>
      </c>
      <c r="P66" s="31" t="str">
        <f>_xlfn.LET(
    _xlpm.sumValue, SUMIFS(
        PNS_data[Value],
        PNS_data[Country], FR_data[[#This Row],[Country]],
        PNS_data[National Society name], selected,
        PNS_data[Attribute], "SP5",
        PNS_data[Year], "2027"
    ),
    IF(_xlpm.sumValue = 0, "", _xlpm.sumValue)
)</f>
        <v/>
      </c>
      <c r="Q66" s="31" t="str">
        <f>_xlfn.LET(
    _xlpm.sumValue, SUMIFS(
        PNS_data[Value],
        PNS_data[Country], FR_data[[#This Row],[Country]],
        PNS_data[National Society name], selected,
        PNS_data[Attribute], "EFs",
        PNS_data[Year], "2027"
    ),
    IF(_xlpm.sumValue = 0, "", _xlpm.sumValue)
)</f>
        <v/>
      </c>
      <c r="R66" s="32" t="str">
        <f>IF(SUM(FR_data[[#This Row],[Response - Disasters and Crises ]:[Enabling Functions ]])=0,"",SUM(FR_data[[#This Row],[Response - Disasters and Crises ]:[Enabling Functions ]]))</f>
        <v/>
      </c>
      <c r="S66" s="39"/>
      <c r="T66" s="30" t="str">
        <f>_xlfn.LET(
    _xlpm.sumValue, SUMIFS(
        PNS_data[Value],
        PNS_data[Country], FR_data[[#This Row],[Country]],
        PNS_data[National Society name], selected,
        PNS_data[Attribute], "SP1",
        PNS_data[Year], "2028"
    ),
    IF(_xlpm.sumValue = 0, "", _xlpm.sumValue)
)</f>
        <v/>
      </c>
      <c r="U66" s="31" t="str">
        <f>_xlfn.LET(
    _xlpm.sumValue, SUMIFS(
        PNS_data[Value],
        PNS_data[Country], FR_data[[#This Row],[Country]],
        PNS_data[National Society name], selected,
        PNS_data[Attribute], "SP2",
        PNS_data[Year], "2028"
    ),
    IF(_xlpm.sumValue = 0, "", _xlpm.sumValue)
)</f>
        <v/>
      </c>
      <c r="V66" s="31" t="str">
        <f>_xlfn.LET(
    _xlpm.sumValue, SUMIFS(
        PNS_data[Value],
        PNS_data[Country], FR_data[[#This Row],[Country]],
        PNS_data[National Society name], selected,
        PNS_data[Attribute], "SP3",
        PNS_data[Year], "2028"
    ),
    IF(_xlpm.sumValue = 0, "", _xlpm.sumValue)
)</f>
        <v/>
      </c>
      <c r="W66" s="31" t="str">
        <f>_xlfn.LET(
    _xlpm.sumValue, SUMIFS(
        PNS_data[Value],
        PNS_data[Country], FR_data[[#This Row],[Country]],
        PNS_data[National Society name], selected,
        PNS_data[Attribute], "SP4",
        PNS_data[Year], "2028"
    ),
    IF(_xlpm.sumValue = 0, "", _xlpm.sumValue)
)</f>
        <v/>
      </c>
      <c r="X66" s="31" t="str">
        <f>_xlfn.LET(
    _xlpm.sumValue, SUMIFS(
        PNS_data[Value],
        PNS_data[Country], FR_data[[#This Row],[Country]],
        PNS_data[National Society name], selected,
        PNS_data[Attribute], "SP5",
        PNS_data[Year], "2028"
    ),
    IF(_xlpm.sumValue = 0, "", _xlpm.sumValue)
)</f>
        <v/>
      </c>
      <c r="Y66" s="31" t="str">
        <f>_xlfn.LET(
    _xlpm.sumValue, SUMIFS(
        PNS_data[Value],
        PNS_data[Country], FR_data[[#This Row],[Country]],
        PNS_data[National Society name], selected,
        PNS_data[Attribute], "EFs",
        PNS_data[Year], "2028"
    ),
    IF(_xlpm.sumValue = 0, "", _xlpm.sumValue)
)</f>
        <v/>
      </c>
      <c r="Z66" s="32" t="str">
        <f>IF(SUM(FR_data[[#This Row],[Response - Disasters and Crises  ]:[Enabling Functions  ]])=0,"",SUM(FR_data[[#This Row],[Response - Disasters and Crises  ]:[Enabling Functions  ]]))</f>
        <v/>
      </c>
      <c r="AA66" s="41"/>
    </row>
    <row r="67" spans="1:27" x14ac:dyDescent="0.3">
      <c r="A67" s="11" t="s">
        <v>159</v>
      </c>
      <c r="B67" s="11" t="s">
        <v>106</v>
      </c>
      <c r="C67" s="11" t="s">
        <v>160</v>
      </c>
      <c r="D67" s="30" t="str">
        <f>_xlfn.LET(
    _xlpm.sumValue, SUMIFS(
        PNS_data[Value],
        PNS_data[Country], FR_data[[#This Row],[Country]],
        PNS_data[National Society name], selected,
        PNS_data[Attribute], "SP1",
        PNS_data[Year], "2026"
    ),
    IF(_xlpm.sumValue = 0, "", _xlpm.sumValue)
)</f>
        <v/>
      </c>
      <c r="E67" s="31" t="str">
        <f>_xlfn.LET(
    _xlpm.sumValue, SUMIFS(
        PNS_data[Value],
        PNS_data[Country], FR_data[[#This Row],[Country]],
        PNS_data[National Society name], selected,
        PNS_data[Attribute], "SP2",
        PNS_data[Year], "2026"
    ),
    IF(_xlpm.sumValue = 0, "", _xlpm.sumValue)
)</f>
        <v/>
      </c>
      <c r="F67" s="31" t="str">
        <f>_xlfn.LET(
    _xlpm.sumValue, SUMIFS(
        PNS_data[Value],
        PNS_data[Country], FR_data[[#This Row],[Country]],
        PNS_data[National Society name], selected,
        PNS_data[Attribute], "SP3",
        PNS_data[Year], "2026"
    ),
    IF(_xlpm.sumValue = 0, "", _xlpm.sumValue)
)</f>
        <v/>
      </c>
      <c r="G67" s="31" t="str">
        <f>_xlfn.LET(
    _xlpm.sumValue, SUMIFS(
        PNS_data[Value],
        PNS_data[Country], FR_data[[#This Row],[Country]],
        PNS_data[National Society name], selected,
        PNS_data[Attribute], "SP4",
        PNS_data[Year], "2026"
    ),
    IF(_xlpm.sumValue = 0, "", _xlpm.sumValue)
)</f>
        <v/>
      </c>
      <c r="H67" s="31" t="str">
        <f>_xlfn.LET(
    _xlpm.sumValue, SUMIFS(
        PNS_data[Value],
        PNS_data[Country], FR_data[[#This Row],[Country]],
        PNS_data[National Society name], selected,
        PNS_data[Attribute], "SP5",
        PNS_data[Year], "2026"
    ),
    IF(_xlpm.sumValue = 0, "", _xlpm.sumValue)
)</f>
        <v/>
      </c>
      <c r="I67" s="31" t="str">
        <f>_xlfn.LET(
    _xlpm.sumValue, SUMIFS(
        PNS_data[Value],
        PNS_data[Country], FR_data[[#This Row],[Country]],
        PNS_data[National Society name], selected,
        PNS_data[Attribute], "EFs",
        PNS_data[Year], "2026"
    ),
    IF(_xlpm.sumValue = 0, "", _xlpm.sumValue)
)</f>
        <v/>
      </c>
      <c r="J67" s="32" t="str">
        <f>IF(SUM(FR_data[[#This Row],[Response - Disasters and Crises]:[Enabling Functions]])=0,"",SUM(FR_data[[#This Row],[Response - Disasters and Crises]:[Enabling Functions]]))</f>
        <v/>
      </c>
      <c r="K67" s="39"/>
      <c r="L67" s="30" t="str">
        <f>_xlfn.LET(
    _xlpm.sumValue, SUMIFS(
        PNS_data[Value],
        PNS_data[Country], FR_data[[#This Row],[Country]],
        PNS_data[National Society name], selected,
        PNS_data[Attribute], "SP1",
        PNS_data[Year], "2027"
    ),
    IF(_xlpm.sumValue = 0, "", _xlpm.sumValue)
)</f>
        <v/>
      </c>
      <c r="M67" s="31" t="str">
        <f>_xlfn.LET(
    _xlpm.sumValue, SUMIFS(
        PNS_data[Value],
        PNS_data[Country], FR_data[[#This Row],[Country]],
        PNS_data[National Society name], selected,
        PNS_data[Attribute], "SP2",
        PNS_data[Year], "2027"
    ),
    IF(_xlpm.sumValue = 0, "", _xlpm.sumValue)
)</f>
        <v/>
      </c>
      <c r="N67" s="31" t="str">
        <f>_xlfn.LET(
    _xlpm.sumValue, SUMIFS(
        PNS_data[Value],
        PNS_data[Country], FR_data[[#This Row],[Country]],
        PNS_data[National Society name], selected,
        PNS_data[Attribute], "SP3",
        PNS_data[Year], "2027"
    ),
    IF(_xlpm.sumValue = 0, "", _xlpm.sumValue)
)</f>
        <v/>
      </c>
      <c r="O67" s="31" t="str">
        <f>_xlfn.LET(
    _xlpm.sumValue, SUMIFS(
        PNS_data[Value],
        PNS_data[Country], FR_data[[#This Row],[Country]],
        PNS_data[National Society name], selected,
        PNS_data[Attribute], "SP4",
        PNS_data[Year], "2027"
    ),
    IF(_xlpm.sumValue = 0, "", _xlpm.sumValue)
)</f>
        <v/>
      </c>
      <c r="P67" s="31" t="str">
        <f>_xlfn.LET(
    _xlpm.sumValue, SUMIFS(
        PNS_data[Value],
        PNS_data[Country], FR_data[[#This Row],[Country]],
        PNS_data[National Society name], selected,
        PNS_data[Attribute], "SP5",
        PNS_data[Year], "2027"
    ),
    IF(_xlpm.sumValue = 0, "", _xlpm.sumValue)
)</f>
        <v/>
      </c>
      <c r="Q67" s="31" t="str">
        <f>_xlfn.LET(
    _xlpm.sumValue, SUMIFS(
        PNS_data[Value],
        PNS_data[Country], FR_data[[#This Row],[Country]],
        PNS_data[National Society name], selected,
        PNS_data[Attribute], "EFs",
        PNS_data[Year], "2027"
    ),
    IF(_xlpm.sumValue = 0, "", _xlpm.sumValue)
)</f>
        <v/>
      </c>
      <c r="R67" s="32" t="str">
        <f>IF(SUM(FR_data[[#This Row],[Response - Disasters and Crises ]:[Enabling Functions ]])=0,"",SUM(FR_data[[#This Row],[Response - Disasters and Crises ]:[Enabling Functions ]]))</f>
        <v/>
      </c>
      <c r="S67" s="39"/>
      <c r="T67" s="30" t="str">
        <f>_xlfn.LET(
    _xlpm.sumValue, SUMIFS(
        PNS_data[Value],
        PNS_data[Country], FR_data[[#This Row],[Country]],
        PNS_data[National Society name], selected,
        PNS_data[Attribute], "SP1",
        PNS_data[Year], "2028"
    ),
    IF(_xlpm.sumValue = 0, "", _xlpm.sumValue)
)</f>
        <v/>
      </c>
      <c r="U67" s="31" t="str">
        <f>_xlfn.LET(
    _xlpm.sumValue, SUMIFS(
        PNS_data[Value],
        PNS_data[Country], FR_data[[#This Row],[Country]],
        PNS_data[National Society name], selected,
        PNS_data[Attribute], "SP2",
        PNS_data[Year], "2028"
    ),
    IF(_xlpm.sumValue = 0, "", _xlpm.sumValue)
)</f>
        <v/>
      </c>
      <c r="V67" s="31" t="str">
        <f>_xlfn.LET(
    _xlpm.sumValue, SUMIFS(
        PNS_data[Value],
        PNS_data[Country], FR_data[[#This Row],[Country]],
        PNS_data[National Society name], selected,
        PNS_data[Attribute], "SP3",
        PNS_data[Year], "2028"
    ),
    IF(_xlpm.sumValue = 0, "", _xlpm.sumValue)
)</f>
        <v/>
      </c>
      <c r="W67" s="31" t="str">
        <f>_xlfn.LET(
    _xlpm.sumValue, SUMIFS(
        PNS_data[Value],
        PNS_data[Country], FR_data[[#This Row],[Country]],
        PNS_data[National Society name], selected,
        PNS_data[Attribute], "SP4",
        PNS_data[Year], "2028"
    ),
    IF(_xlpm.sumValue = 0, "", _xlpm.sumValue)
)</f>
        <v/>
      </c>
      <c r="X67" s="31" t="str">
        <f>_xlfn.LET(
    _xlpm.sumValue, SUMIFS(
        PNS_data[Value],
        PNS_data[Country], FR_data[[#This Row],[Country]],
        PNS_data[National Society name], selected,
        PNS_data[Attribute], "SP5",
        PNS_data[Year], "2028"
    ),
    IF(_xlpm.sumValue = 0, "", _xlpm.sumValue)
)</f>
        <v/>
      </c>
      <c r="Y67" s="31" t="str">
        <f>_xlfn.LET(
    _xlpm.sumValue, SUMIFS(
        PNS_data[Value],
        PNS_data[Country], FR_data[[#This Row],[Country]],
        PNS_data[National Society name], selected,
        PNS_data[Attribute], "EFs",
        PNS_data[Year], "2028"
    ),
    IF(_xlpm.sumValue = 0, "", _xlpm.sumValue)
)</f>
        <v/>
      </c>
      <c r="Z67" s="32" t="str">
        <f>IF(SUM(FR_data[[#This Row],[Response - Disasters and Crises  ]:[Enabling Functions  ]])=0,"",SUM(FR_data[[#This Row],[Response - Disasters and Crises  ]:[Enabling Functions  ]]))</f>
        <v/>
      </c>
      <c r="AA67" s="41"/>
    </row>
    <row r="68" spans="1:27" x14ac:dyDescent="0.3">
      <c r="A68" s="11" t="s">
        <v>154</v>
      </c>
      <c r="B68" s="11" t="s">
        <v>106</v>
      </c>
      <c r="C68" s="11" t="s">
        <v>41</v>
      </c>
      <c r="D68" s="30" t="str">
        <f>_xlfn.LET(
    _xlpm.sumValue, SUMIFS(
        PNS_data[Value],
        PNS_data[Country], FR_data[[#This Row],[Country]],
        PNS_data[National Society name], selected,
        PNS_data[Attribute], "SP1",
        PNS_data[Year], "2026"
    ),
    IF(_xlpm.sumValue = 0, "", _xlpm.sumValue)
)</f>
        <v/>
      </c>
      <c r="E68" s="31" t="str">
        <f>_xlfn.LET(
    _xlpm.sumValue, SUMIFS(
        PNS_data[Value],
        PNS_data[Country], FR_data[[#This Row],[Country]],
        PNS_data[National Society name], selected,
        PNS_data[Attribute], "SP2",
        PNS_data[Year], "2026"
    ),
    IF(_xlpm.sumValue = 0, "", _xlpm.sumValue)
)</f>
        <v/>
      </c>
      <c r="F68" s="31" t="str">
        <f>_xlfn.LET(
    _xlpm.sumValue, SUMIFS(
        PNS_data[Value],
        PNS_data[Country], FR_data[[#This Row],[Country]],
        PNS_data[National Society name], selected,
        PNS_data[Attribute], "SP3",
        PNS_data[Year], "2026"
    ),
    IF(_xlpm.sumValue = 0, "", _xlpm.sumValue)
)</f>
        <v/>
      </c>
      <c r="G68" s="31" t="str">
        <f>_xlfn.LET(
    _xlpm.sumValue, SUMIFS(
        PNS_data[Value],
        PNS_data[Country], FR_data[[#This Row],[Country]],
        PNS_data[National Society name], selected,
        PNS_data[Attribute], "SP4",
        PNS_data[Year], "2026"
    ),
    IF(_xlpm.sumValue = 0, "", _xlpm.sumValue)
)</f>
        <v/>
      </c>
      <c r="H68" s="31" t="str">
        <f>_xlfn.LET(
    _xlpm.sumValue, SUMIFS(
        PNS_data[Value],
        PNS_data[Country], FR_data[[#This Row],[Country]],
        PNS_data[National Society name], selected,
        PNS_data[Attribute], "SP5",
        PNS_data[Year], "2026"
    ),
    IF(_xlpm.sumValue = 0, "", _xlpm.sumValue)
)</f>
        <v/>
      </c>
      <c r="I68" s="31" t="str">
        <f>_xlfn.LET(
    _xlpm.sumValue, SUMIFS(
        PNS_data[Value],
        PNS_data[Country], FR_data[[#This Row],[Country]],
        PNS_data[National Society name], selected,
        PNS_data[Attribute], "EFs",
        PNS_data[Year], "2026"
    ),
    IF(_xlpm.sumValue = 0, "", _xlpm.sumValue)
)</f>
        <v/>
      </c>
      <c r="J68" s="32" t="str">
        <f>IF(SUM(FR_data[[#This Row],[Response - Disasters and Crises]:[Enabling Functions]])=0,"",SUM(FR_data[[#This Row],[Response - Disasters and Crises]:[Enabling Functions]]))</f>
        <v/>
      </c>
      <c r="K68" s="39"/>
      <c r="L68" s="30" t="str">
        <f>_xlfn.LET(
    _xlpm.sumValue, SUMIFS(
        PNS_data[Value],
        PNS_data[Country], FR_data[[#This Row],[Country]],
        PNS_data[National Society name], selected,
        PNS_data[Attribute], "SP1",
        PNS_data[Year], "2027"
    ),
    IF(_xlpm.sumValue = 0, "", _xlpm.sumValue)
)</f>
        <v/>
      </c>
      <c r="M68" s="31" t="str">
        <f>_xlfn.LET(
    _xlpm.sumValue, SUMIFS(
        PNS_data[Value],
        PNS_data[Country], FR_data[[#This Row],[Country]],
        PNS_data[National Society name], selected,
        PNS_data[Attribute], "SP2",
        PNS_data[Year], "2027"
    ),
    IF(_xlpm.sumValue = 0, "", _xlpm.sumValue)
)</f>
        <v/>
      </c>
      <c r="N68" s="31" t="str">
        <f>_xlfn.LET(
    _xlpm.sumValue, SUMIFS(
        PNS_data[Value],
        PNS_data[Country], FR_data[[#This Row],[Country]],
        PNS_data[National Society name], selected,
        PNS_data[Attribute], "SP3",
        PNS_data[Year], "2027"
    ),
    IF(_xlpm.sumValue = 0, "", _xlpm.sumValue)
)</f>
        <v/>
      </c>
      <c r="O68" s="31" t="str">
        <f>_xlfn.LET(
    _xlpm.sumValue, SUMIFS(
        PNS_data[Value],
        PNS_data[Country], FR_data[[#This Row],[Country]],
        PNS_data[National Society name], selected,
        PNS_data[Attribute], "SP4",
        PNS_data[Year], "2027"
    ),
    IF(_xlpm.sumValue = 0, "", _xlpm.sumValue)
)</f>
        <v/>
      </c>
      <c r="P68" s="31" t="str">
        <f>_xlfn.LET(
    _xlpm.sumValue, SUMIFS(
        PNS_data[Value],
        PNS_data[Country], FR_data[[#This Row],[Country]],
        PNS_data[National Society name], selected,
        PNS_data[Attribute], "SP5",
        PNS_data[Year], "2027"
    ),
    IF(_xlpm.sumValue = 0, "", _xlpm.sumValue)
)</f>
        <v/>
      </c>
      <c r="Q68" s="31" t="str">
        <f>_xlfn.LET(
    _xlpm.sumValue, SUMIFS(
        PNS_data[Value],
        PNS_data[Country], FR_data[[#This Row],[Country]],
        PNS_data[National Society name], selected,
        PNS_data[Attribute], "EFs",
        PNS_data[Year], "2027"
    ),
    IF(_xlpm.sumValue = 0, "", _xlpm.sumValue)
)</f>
        <v/>
      </c>
      <c r="R68" s="32" t="str">
        <f>IF(SUM(FR_data[[#This Row],[Response - Disasters and Crises ]:[Enabling Functions ]])=0,"",SUM(FR_data[[#This Row],[Response - Disasters and Crises ]:[Enabling Functions ]]))</f>
        <v/>
      </c>
      <c r="S68" s="39"/>
      <c r="T68" s="30" t="str">
        <f>_xlfn.LET(
    _xlpm.sumValue, SUMIFS(
        PNS_data[Value],
        PNS_data[Country], FR_data[[#This Row],[Country]],
        PNS_data[National Society name], selected,
        PNS_data[Attribute], "SP1",
        PNS_data[Year], "2028"
    ),
    IF(_xlpm.sumValue = 0, "", _xlpm.sumValue)
)</f>
        <v/>
      </c>
      <c r="U68" s="31" t="str">
        <f>_xlfn.LET(
    _xlpm.sumValue, SUMIFS(
        PNS_data[Value],
        PNS_data[Country], FR_data[[#This Row],[Country]],
        PNS_data[National Society name], selected,
        PNS_data[Attribute], "SP2",
        PNS_data[Year], "2028"
    ),
    IF(_xlpm.sumValue = 0, "", _xlpm.sumValue)
)</f>
        <v/>
      </c>
      <c r="V68" s="31" t="str">
        <f>_xlfn.LET(
    _xlpm.sumValue, SUMIFS(
        PNS_data[Value],
        PNS_data[Country], FR_data[[#This Row],[Country]],
        PNS_data[National Society name], selected,
        PNS_data[Attribute], "SP3",
        PNS_data[Year], "2028"
    ),
    IF(_xlpm.sumValue = 0, "", _xlpm.sumValue)
)</f>
        <v/>
      </c>
      <c r="W68" s="31" t="str">
        <f>_xlfn.LET(
    _xlpm.sumValue, SUMIFS(
        PNS_data[Value],
        PNS_data[Country], FR_data[[#This Row],[Country]],
        PNS_data[National Society name], selected,
        PNS_data[Attribute], "SP4",
        PNS_data[Year], "2028"
    ),
    IF(_xlpm.sumValue = 0, "", _xlpm.sumValue)
)</f>
        <v/>
      </c>
      <c r="X68" s="31" t="str">
        <f>_xlfn.LET(
    _xlpm.sumValue, SUMIFS(
        PNS_data[Value],
        PNS_data[Country], FR_data[[#This Row],[Country]],
        PNS_data[National Society name], selected,
        PNS_data[Attribute], "SP5",
        PNS_data[Year], "2028"
    ),
    IF(_xlpm.sumValue = 0, "", _xlpm.sumValue)
)</f>
        <v/>
      </c>
      <c r="Y68" s="31" t="str">
        <f>_xlfn.LET(
    _xlpm.sumValue, SUMIFS(
        PNS_data[Value],
        PNS_data[Country], FR_data[[#This Row],[Country]],
        PNS_data[National Society name], selected,
        PNS_data[Attribute], "EFs",
        PNS_data[Year], "2028"
    ),
    IF(_xlpm.sumValue = 0, "", _xlpm.sumValue)
)</f>
        <v/>
      </c>
      <c r="Z68" s="32" t="str">
        <f>IF(SUM(FR_data[[#This Row],[Response - Disasters and Crises  ]:[Enabling Functions  ]])=0,"",SUM(FR_data[[#This Row],[Response - Disasters and Crises  ]:[Enabling Functions  ]]))</f>
        <v/>
      </c>
      <c r="AA68" s="41"/>
    </row>
    <row r="69" spans="1:27" x14ac:dyDescent="0.3">
      <c r="A69" s="11" t="s">
        <v>157</v>
      </c>
      <c r="B69" s="11" t="s">
        <v>106</v>
      </c>
      <c r="C69" s="11" t="s">
        <v>158</v>
      </c>
      <c r="D69" s="30" t="str">
        <f>_xlfn.LET(
    _xlpm.sumValue, SUMIFS(
        PNS_data[Value],
        PNS_data[Country], FR_data[[#This Row],[Country]],
        PNS_data[National Society name], selected,
        PNS_data[Attribute], "SP1",
        PNS_data[Year], "2026"
    ),
    IF(_xlpm.sumValue = 0, "", _xlpm.sumValue)
)</f>
        <v/>
      </c>
      <c r="E69" s="31" t="str">
        <f>_xlfn.LET(
    _xlpm.sumValue, SUMIFS(
        PNS_data[Value],
        PNS_data[Country], FR_data[[#This Row],[Country]],
        PNS_data[National Society name], selected,
        PNS_data[Attribute], "SP2",
        PNS_data[Year], "2026"
    ),
    IF(_xlpm.sumValue = 0, "", _xlpm.sumValue)
)</f>
        <v/>
      </c>
      <c r="F69" s="31" t="str">
        <f>_xlfn.LET(
    _xlpm.sumValue, SUMIFS(
        PNS_data[Value],
        PNS_data[Country], FR_data[[#This Row],[Country]],
        PNS_data[National Society name], selected,
        PNS_data[Attribute], "SP3",
        PNS_data[Year], "2026"
    ),
    IF(_xlpm.sumValue = 0, "", _xlpm.sumValue)
)</f>
        <v/>
      </c>
      <c r="G69" s="31" t="str">
        <f>_xlfn.LET(
    _xlpm.sumValue, SUMIFS(
        PNS_data[Value],
        PNS_data[Country], FR_data[[#This Row],[Country]],
        PNS_data[National Society name], selected,
        PNS_data[Attribute], "SP4",
        PNS_data[Year], "2026"
    ),
    IF(_xlpm.sumValue = 0, "", _xlpm.sumValue)
)</f>
        <v/>
      </c>
      <c r="H69" s="31" t="str">
        <f>_xlfn.LET(
    _xlpm.sumValue, SUMIFS(
        PNS_data[Value],
        PNS_data[Country], FR_data[[#This Row],[Country]],
        PNS_data[National Society name], selected,
        PNS_data[Attribute], "SP5",
        PNS_data[Year], "2026"
    ),
    IF(_xlpm.sumValue = 0, "", _xlpm.sumValue)
)</f>
        <v/>
      </c>
      <c r="I69" s="31" t="str">
        <f>_xlfn.LET(
    _xlpm.sumValue, SUMIFS(
        PNS_data[Value],
        PNS_data[Country], FR_data[[#This Row],[Country]],
        PNS_data[National Society name], selected,
        PNS_data[Attribute], "EFs",
        PNS_data[Year], "2026"
    ),
    IF(_xlpm.sumValue = 0, "", _xlpm.sumValue)
)</f>
        <v/>
      </c>
      <c r="J69" s="32" t="str">
        <f>IF(SUM(FR_data[[#This Row],[Response - Disasters and Crises]:[Enabling Functions]])=0,"",SUM(FR_data[[#This Row],[Response - Disasters and Crises]:[Enabling Functions]]))</f>
        <v/>
      </c>
      <c r="K69" s="39"/>
      <c r="L69" s="30" t="str">
        <f>_xlfn.LET(
    _xlpm.sumValue, SUMIFS(
        PNS_data[Value],
        PNS_data[Country], FR_data[[#This Row],[Country]],
        PNS_data[National Society name], selected,
        PNS_data[Attribute], "SP1",
        PNS_data[Year], "2027"
    ),
    IF(_xlpm.sumValue = 0, "", _xlpm.sumValue)
)</f>
        <v/>
      </c>
      <c r="M69" s="31" t="str">
        <f>_xlfn.LET(
    _xlpm.sumValue, SUMIFS(
        PNS_data[Value],
        PNS_data[Country], FR_data[[#This Row],[Country]],
        PNS_data[National Society name], selected,
        PNS_data[Attribute], "SP2",
        PNS_data[Year], "2027"
    ),
    IF(_xlpm.sumValue = 0, "", _xlpm.sumValue)
)</f>
        <v/>
      </c>
      <c r="N69" s="31" t="str">
        <f>_xlfn.LET(
    _xlpm.sumValue, SUMIFS(
        PNS_data[Value],
        PNS_data[Country], FR_data[[#This Row],[Country]],
        PNS_data[National Society name], selected,
        PNS_data[Attribute], "SP3",
        PNS_data[Year], "2027"
    ),
    IF(_xlpm.sumValue = 0, "", _xlpm.sumValue)
)</f>
        <v/>
      </c>
      <c r="O69" s="31" t="str">
        <f>_xlfn.LET(
    _xlpm.sumValue, SUMIFS(
        PNS_data[Value],
        PNS_data[Country], FR_data[[#This Row],[Country]],
        PNS_data[National Society name], selected,
        PNS_data[Attribute], "SP4",
        PNS_data[Year], "2027"
    ),
    IF(_xlpm.sumValue = 0, "", _xlpm.sumValue)
)</f>
        <v/>
      </c>
      <c r="P69" s="31" t="str">
        <f>_xlfn.LET(
    _xlpm.sumValue, SUMIFS(
        PNS_data[Value],
        PNS_data[Country], FR_data[[#This Row],[Country]],
        PNS_data[National Society name], selected,
        PNS_data[Attribute], "SP5",
        PNS_data[Year], "2027"
    ),
    IF(_xlpm.sumValue = 0, "", _xlpm.sumValue)
)</f>
        <v/>
      </c>
      <c r="Q69" s="31" t="str">
        <f>_xlfn.LET(
    _xlpm.sumValue, SUMIFS(
        PNS_data[Value],
        PNS_data[Country], FR_data[[#This Row],[Country]],
        PNS_data[National Society name], selected,
        PNS_data[Attribute], "EFs",
        PNS_data[Year], "2027"
    ),
    IF(_xlpm.sumValue = 0, "", _xlpm.sumValue)
)</f>
        <v/>
      </c>
      <c r="R69" s="32" t="str">
        <f>IF(SUM(FR_data[[#This Row],[Response - Disasters and Crises ]:[Enabling Functions ]])=0,"",SUM(FR_data[[#This Row],[Response - Disasters and Crises ]:[Enabling Functions ]]))</f>
        <v/>
      </c>
      <c r="S69" s="39"/>
      <c r="T69" s="30" t="str">
        <f>_xlfn.LET(
    _xlpm.sumValue, SUMIFS(
        PNS_data[Value],
        PNS_data[Country], FR_data[[#This Row],[Country]],
        PNS_data[National Society name], selected,
        PNS_data[Attribute], "SP1",
        PNS_data[Year], "2028"
    ),
    IF(_xlpm.sumValue = 0, "", _xlpm.sumValue)
)</f>
        <v/>
      </c>
      <c r="U69" s="31" t="str">
        <f>_xlfn.LET(
    _xlpm.sumValue, SUMIFS(
        PNS_data[Value],
        PNS_data[Country], FR_data[[#This Row],[Country]],
        PNS_data[National Society name], selected,
        PNS_data[Attribute], "SP2",
        PNS_data[Year], "2028"
    ),
    IF(_xlpm.sumValue = 0, "", _xlpm.sumValue)
)</f>
        <v/>
      </c>
      <c r="V69" s="31" t="str">
        <f>_xlfn.LET(
    _xlpm.sumValue, SUMIFS(
        PNS_data[Value],
        PNS_data[Country], FR_data[[#This Row],[Country]],
        PNS_data[National Society name], selected,
        PNS_data[Attribute], "SP3",
        PNS_data[Year], "2028"
    ),
    IF(_xlpm.sumValue = 0, "", _xlpm.sumValue)
)</f>
        <v/>
      </c>
      <c r="W69" s="31" t="str">
        <f>_xlfn.LET(
    _xlpm.sumValue, SUMIFS(
        PNS_data[Value],
        PNS_data[Country], FR_data[[#This Row],[Country]],
        PNS_data[National Society name], selected,
        PNS_data[Attribute], "SP4",
        PNS_data[Year], "2028"
    ),
    IF(_xlpm.sumValue = 0, "", _xlpm.sumValue)
)</f>
        <v/>
      </c>
      <c r="X69" s="31" t="str">
        <f>_xlfn.LET(
    _xlpm.sumValue, SUMIFS(
        PNS_data[Value],
        PNS_data[Country], FR_data[[#This Row],[Country]],
        PNS_data[National Society name], selected,
        PNS_data[Attribute], "SP5",
        PNS_data[Year], "2028"
    ),
    IF(_xlpm.sumValue = 0, "", _xlpm.sumValue)
)</f>
        <v/>
      </c>
      <c r="Y69" s="31" t="str">
        <f>_xlfn.LET(
    _xlpm.sumValue, SUMIFS(
        PNS_data[Value],
        PNS_data[Country], FR_data[[#This Row],[Country]],
        PNS_data[National Society name], selected,
        PNS_data[Attribute], "EFs",
        PNS_data[Year], "2028"
    ),
    IF(_xlpm.sumValue = 0, "", _xlpm.sumValue)
)</f>
        <v/>
      </c>
      <c r="Z69" s="32" t="str">
        <f>IF(SUM(FR_data[[#This Row],[Response - Disasters and Crises  ]:[Enabling Functions  ]])=0,"",SUM(FR_data[[#This Row],[Response - Disasters and Crises  ]:[Enabling Functions  ]]))</f>
        <v/>
      </c>
      <c r="AA69" s="41"/>
    </row>
    <row r="70" spans="1:27" x14ac:dyDescent="0.3">
      <c r="A70" s="11" t="s">
        <v>168</v>
      </c>
      <c r="B70" s="11" t="s">
        <v>106</v>
      </c>
      <c r="C70" s="11" t="s">
        <v>169</v>
      </c>
      <c r="D70" s="30" t="str">
        <f>_xlfn.LET(
    _xlpm.sumValue, SUMIFS(
        PNS_data[Value],
        PNS_data[Country], FR_data[[#This Row],[Country]],
        PNS_data[National Society name], selected,
        PNS_data[Attribute], "SP1",
        PNS_data[Year], "2026"
    ),
    IF(_xlpm.sumValue = 0, "", _xlpm.sumValue)
)</f>
        <v/>
      </c>
      <c r="E70" s="31" t="str">
        <f>_xlfn.LET(
    _xlpm.sumValue, SUMIFS(
        PNS_data[Value],
        PNS_data[Country], FR_data[[#This Row],[Country]],
        PNS_data[National Society name], selected,
        PNS_data[Attribute], "SP2",
        PNS_data[Year], "2026"
    ),
    IF(_xlpm.sumValue = 0, "", _xlpm.sumValue)
)</f>
        <v/>
      </c>
      <c r="F70" s="31" t="str">
        <f>_xlfn.LET(
    _xlpm.sumValue, SUMIFS(
        PNS_data[Value],
        PNS_data[Country], FR_data[[#This Row],[Country]],
        PNS_data[National Society name], selected,
        PNS_data[Attribute], "SP3",
        PNS_data[Year], "2026"
    ),
    IF(_xlpm.sumValue = 0, "", _xlpm.sumValue)
)</f>
        <v/>
      </c>
      <c r="G70" s="31" t="str">
        <f>_xlfn.LET(
    _xlpm.sumValue, SUMIFS(
        PNS_data[Value],
        PNS_data[Country], FR_data[[#This Row],[Country]],
        PNS_data[National Society name], selected,
        PNS_data[Attribute], "SP4",
        PNS_data[Year], "2026"
    ),
    IF(_xlpm.sumValue = 0, "", _xlpm.sumValue)
)</f>
        <v/>
      </c>
      <c r="H70" s="31" t="str">
        <f>_xlfn.LET(
    _xlpm.sumValue, SUMIFS(
        PNS_data[Value],
        PNS_data[Country], FR_data[[#This Row],[Country]],
        PNS_data[National Society name], selected,
        PNS_data[Attribute], "SP5",
        PNS_data[Year], "2026"
    ),
    IF(_xlpm.sumValue = 0, "", _xlpm.sumValue)
)</f>
        <v/>
      </c>
      <c r="I70" s="31" t="str">
        <f>_xlfn.LET(
    _xlpm.sumValue, SUMIFS(
        PNS_data[Value],
        PNS_data[Country], FR_data[[#This Row],[Country]],
        PNS_data[National Society name], selected,
        PNS_data[Attribute], "EFs",
        PNS_data[Year], "2026"
    ),
    IF(_xlpm.sumValue = 0, "", _xlpm.sumValue)
)</f>
        <v/>
      </c>
      <c r="J70" s="32" t="str">
        <f>IF(SUM(FR_data[[#This Row],[Response - Disasters and Crises]:[Enabling Functions]])=0,"",SUM(FR_data[[#This Row],[Response - Disasters and Crises]:[Enabling Functions]]))</f>
        <v/>
      </c>
      <c r="K70" s="39"/>
      <c r="L70" s="30" t="str">
        <f>_xlfn.LET(
    _xlpm.sumValue, SUMIFS(
        PNS_data[Value],
        PNS_data[Country], FR_data[[#This Row],[Country]],
        PNS_data[National Society name], selected,
        PNS_data[Attribute], "SP1",
        PNS_data[Year], "2027"
    ),
    IF(_xlpm.sumValue = 0, "", _xlpm.sumValue)
)</f>
        <v/>
      </c>
      <c r="M70" s="31" t="str">
        <f>_xlfn.LET(
    _xlpm.sumValue, SUMIFS(
        PNS_data[Value],
        PNS_data[Country], FR_data[[#This Row],[Country]],
        PNS_data[National Society name], selected,
        PNS_data[Attribute], "SP2",
        PNS_data[Year], "2027"
    ),
    IF(_xlpm.sumValue = 0, "", _xlpm.sumValue)
)</f>
        <v/>
      </c>
      <c r="N70" s="31" t="str">
        <f>_xlfn.LET(
    _xlpm.sumValue, SUMIFS(
        PNS_data[Value],
        PNS_data[Country], FR_data[[#This Row],[Country]],
        PNS_data[National Society name], selected,
        PNS_data[Attribute], "SP3",
        PNS_data[Year], "2027"
    ),
    IF(_xlpm.sumValue = 0, "", _xlpm.sumValue)
)</f>
        <v/>
      </c>
      <c r="O70" s="31" t="str">
        <f>_xlfn.LET(
    _xlpm.sumValue, SUMIFS(
        PNS_data[Value],
        PNS_data[Country], FR_data[[#This Row],[Country]],
        PNS_data[National Society name], selected,
        PNS_data[Attribute], "SP4",
        PNS_data[Year], "2027"
    ),
    IF(_xlpm.sumValue = 0, "", _xlpm.sumValue)
)</f>
        <v/>
      </c>
      <c r="P70" s="31" t="str">
        <f>_xlfn.LET(
    _xlpm.sumValue, SUMIFS(
        PNS_data[Value],
        PNS_data[Country], FR_data[[#This Row],[Country]],
        PNS_data[National Society name], selected,
        PNS_data[Attribute], "SP5",
        PNS_data[Year], "2027"
    ),
    IF(_xlpm.sumValue = 0, "", _xlpm.sumValue)
)</f>
        <v/>
      </c>
      <c r="Q70" s="31" t="str">
        <f>_xlfn.LET(
    _xlpm.sumValue, SUMIFS(
        PNS_data[Value],
        PNS_data[Country], FR_data[[#This Row],[Country]],
        PNS_data[National Society name], selected,
        PNS_data[Attribute], "EFs",
        PNS_data[Year], "2027"
    ),
    IF(_xlpm.sumValue = 0, "", _xlpm.sumValue)
)</f>
        <v/>
      </c>
      <c r="R70" s="32" t="str">
        <f>IF(SUM(FR_data[[#This Row],[Response - Disasters and Crises ]:[Enabling Functions ]])=0,"",SUM(FR_data[[#This Row],[Response - Disasters and Crises ]:[Enabling Functions ]]))</f>
        <v/>
      </c>
      <c r="S70" s="39"/>
      <c r="T70" s="30" t="str">
        <f>_xlfn.LET(
    _xlpm.sumValue, SUMIFS(
        PNS_data[Value],
        PNS_data[Country], FR_data[[#This Row],[Country]],
        PNS_data[National Society name], selected,
        PNS_data[Attribute], "SP1",
        PNS_data[Year], "2028"
    ),
    IF(_xlpm.sumValue = 0, "", _xlpm.sumValue)
)</f>
        <v/>
      </c>
      <c r="U70" s="31" t="str">
        <f>_xlfn.LET(
    _xlpm.sumValue, SUMIFS(
        PNS_data[Value],
        PNS_data[Country], FR_data[[#This Row],[Country]],
        PNS_data[National Society name], selected,
        PNS_data[Attribute], "SP2",
        PNS_data[Year], "2028"
    ),
    IF(_xlpm.sumValue = 0, "", _xlpm.sumValue)
)</f>
        <v/>
      </c>
      <c r="V70" s="31" t="str">
        <f>_xlfn.LET(
    _xlpm.sumValue, SUMIFS(
        PNS_data[Value],
        PNS_data[Country], FR_data[[#This Row],[Country]],
        PNS_data[National Society name], selected,
        PNS_data[Attribute], "SP3",
        PNS_data[Year], "2028"
    ),
    IF(_xlpm.sumValue = 0, "", _xlpm.sumValue)
)</f>
        <v/>
      </c>
      <c r="W70" s="31" t="str">
        <f>_xlfn.LET(
    _xlpm.sumValue, SUMIFS(
        PNS_data[Value],
        PNS_data[Country], FR_data[[#This Row],[Country]],
        PNS_data[National Society name], selected,
        PNS_data[Attribute], "SP4",
        PNS_data[Year], "2028"
    ),
    IF(_xlpm.sumValue = 0, "", _xlpm.sumValue)
)</f>
        <v/>
      </c>
      <c r="X70" s="31" t="str">
        <f>_xlfn.LET(
    _xlpm.sumValue, SUMIFS(
        PNS_data[Value],
        PNS_data[Country], FR_data[[#This Row],[Country]],
        PNS_data[National Society name], selected,
        PNS_data[Attribute], "SP5",
        PNS_data[Year], "2028"
    ),
    IF(_xlpm.sumValue = 0, "", _xlpm.sumValue)
)</f>
        <v/>
      </c>
      <c r="Y70" s="31" t="str">
        <f>_xlfn.LET(
    _xlpm.sumValue, SUMIFS(
        PNS_data[Value],
        PNS_data[Country], FR_data[[#This Row],[Country]],
        PNS_data[National Society name], selected,
        PNS_data[Attribute], "EFs",
        PNS_data[Year], "2028"
    ),
    IF(_xlpm.sumValue = 0, "", _xlpm.sumValue)
)</f>
        <v/>
      </c>
      <c r="Z70" s="32" t="str">
        <f>IF(SUM(FR_data[[#This Row],[Response - Disasters and Crises  ]:[Enabling Functions  ]])=0,"",SUM(FR_data[[#This Row],[Response - Disasters and Crises  ]:[Enabling Functions  ]]))</f>
        <v/>
      </c>
      <c r="AA70" s="41"/>
    </row>
    <row r="71" spans="1:27" x14ac:dyDescent="0.3">
      <c r="A71" s="11" t="s">
        <v>170</v>
      </c>
      <c r="B71" s="11" t="s">
        <v>106</v>
      </c>
      <c r="C71" s="11" t="s">
        <v>171</v>
      </c>
      <c r="D71" s="30" t="str">
        <f>_xlfn.LET(
    _xlpm.sumValue, SUMIFS(
        PNS_data[Value],
        PNS_data[Country], FR_data[[#This Row],[Country]],
        PNS_data[National Society name], selected,
        PNS_data[Attribute], "SP1",
        PNS_data[Year], "2026"
    ),
    IF(_xlpm.sumValue = 0, "", _xlpm.sumValue)
)</f>
        <v/>
      </c>
      <c r="E71" s="31" t="str">
        <f>_xlfn.LET(
    _xlpm.sumValue, SUMIFS(
        PNS_data[Value],
        PNS_data[Country], FR_data[[#This Row],[Country]],
        PNS_data[National Society name], selected,
        PNS_data[Attribute], "SP2",
        PNS_data[Year], "2026"
    ),
    IF(_xlpm.sumValue = 0, "", _xlpm.sumValue)
)</f>
        <v/>
      </c>
      <c r="F71" s="31" t="str">
        <f>_xlfn.LET(
    _xlpm.sumValue, SUMIFS(
        PNS_data[Value],
        PNS_data[Country], FR_data[[#This Row],[Country]],
        PNS_data[National Society name], selected,
        PNS_data[Attribute], "SP3",
        PNS_data[Year], "2026"
    ),
    IF(_xlpm.sumValue = 0, "", _xlpm.sumValue)
)</f>
        <v/>
      </c>
      <c r="G71" s="31" t="str">
        <f>_xlfn.LET(
    _xlpm.sumValue, SUMIFS(
        PNS_data[Value],
        PNS_data[Country], FR_data[[#This Row],[Country]],
        PNS_data[National Society name], selected,
        PNS_data[Attribute], "SP4",
        PNS_data[Year], "2026"
    ),
    IF(_xlpm.sumValue = 0, "", _xlpm.sumValue)
)</f>
        <v/>
      </c>
      <c r="H71" s="31" t="str">
        <f>_xlfn.LET(
    _xlpm.sumValue, SUMIFS(
        PNS_data[Value],
        PNS_data[Country], FR_data[[#This Row],[Country]],
        PNS_data[National Society name], selected,
        PNS_data[Attribute], "SP5",
        PNS_data[Year], "2026"
    ),
    IF(_xlpm.sumValue = 0, "", _xlpm.sumValue)
)</f>
        <v/>
      </c>
      <c r="I71" s="31" t="str">
        <f>_xlfn.LET(
    _xlpm.sumValue, SUMIFS(
        PNS_data[Value],
        PNS_data[Country], FR_data[[#This Row],[Country]],
        PNS_data[National Society name], selected,
        PNS_data[Attribute], "EFs",
        PNS_data[Year], "2026"
    ),
    IF(_xlpm.sumValue = 0, "", _xlpm.sumValue)
)</f>
        <v/>
      </c>
      <c r="J71" s="32" t="str">
        <f>IF(SUM(FR_data[[#This Row],[Response - Disasters and Crises]:[Enabling Functions]])=0,"",SUM(FR_data[[#This Row],[Response - Disasters and Crises]:[Enabling Functions]]))</f>
        <v/>
      </c>
      <c r="K71" s="39"/>
      <c r="L71" s="30" t="str">
        <f>_xlfn.LET(
    _xlpm.sumValue, SUMIFS(
        PNS_data[Value],
        PNS_data[Country], FR_data[[#This Row],[Country]],
        PNS_data[National Society name], selected,
        PNS_data[Attribute], "SP1",
        PNS_data[Year], "2027"
    ),
    IF(_xlpm.sumValue = 0, "", _xlpm.sumValue)
)</f>
        <v/>
      </c>
      <c r="M71" s="31" t="str">
        <f>_xlfn.LET(
    _xlpm.sumValue, SUMIFS(
        PNS_data[Value],
        PNS_data[Country], FR_data[[#This Row],[Country]],
        PNS_data[National Society name], selected,
        PNS_data[Attribute], "SP2",
        PNS_data[Year], "2027"
    ),
    IF(_xlpm.sumValue = 0, "", _xlpm.sumValue)
)</f>
        <v/>
      </c>
      <c r="N71" s="31" t="str">
        <f>_xlfn.LET(
    _xlpm.sumValue, SUMIFS(
        PNS_data[Value],
        PNS_data[Country], FR_data[[#This Row],[Country]],
        PNS_data[National Society name], selected,
        PNS_data[Attribute], "SP3",
        PNS_data[Year], "2027"
    ),
    IF(_xlpm.sumValue = 0, "", _xlpm.sumValue)
)</f>
        <v/>
      </c>
      <c r="O71" s="31" t="str">
        <f>_xlfn.LET(
    _xlpm.sumValue, SUMIFS(
        PNS_data[Value],
        PNS_data[Country], FR_data[[#This Row],[Country]],
        PNS_data[National Society name], selected,
        PNS_data[Attribute], "SP4",
        PNS_data[Year], "2027"
    ),
    IF(_xlpm.sumValue = 0, "", _xlpm.sumValue)
)</f>
        <v/>
      </c>
      <c r="P71" s="31" t="str">
        <f>_xlfn.LET(
    _xlpm.sumValue, SUMIFS(
        PNS_data[Value],
        PNS_data[Country], FR_data[[#This Row],[Country]],
        PNS_data[National Society name], selected,
        PNS_data[Attribute], "SP5",
        PNS_data[Year], "2027"
    ),
    IF(_xlpm.sumValue = 0, "", _xlpm.sumValue)
)</f>
        <v/>
      </c>
      <c r="Q71" s="31" t="str">
        <f>_xlfn.LET(
    _xlpm.sumValue, SUMIFS(
        PNS_data[Value],
        PNS_data[Country], FR_data[[#This Row],[Country]],
        PNS_data[National Society name], selected,
        PNS_data[Attribute], "EFs",
        PNS_data[Year], "2027"
    ),
    IF(_xlpm.sumValue = 0, "", _xlpm.sumValue)
)</f>
        <v/>
      </c>
      <c r="R71" s="32" t="str">
        <f>IF(SUM(FR_data[[#This Row],[Response - Disasters and Crises ]:[Enabling Functions ]])=0,"",SUM(FR_data[[#This Row],[Response - Disasters and Crises ]:[Enabling Functions ]]))</f>
        <v/>
      </c>
      <c r="S71" s="39"/>
      <c r="T71" s="30" t="str">
        <f>_xlfn.LET(
    _xlpm.sumValue, SUMIFS(
        PNS_data[Value],
        PNS_data[Country], FR_data[[#This Row],[Country]],
        PNS_data[National Society name], selected,
        PNS_data[Attribute], "SP1",
        PNS_data[Year], "2028"
    ),
    IF(_xlpm.sumValue = 0, "", _xlpm.sumValue)
)</f>
        <v/>
      </c>
      <c r="U71" s="31" t="str">
        <f>_xlfn.LET(
    _xlpm.sumValue, SUMIFS(
        PNS_data[Value],
        PNS_data[Country], FR_data[[#This Row],[Country]],
        PNS_data[National Society name], selected,
        PNS_data[Attribute], "SP2",
        PNS_data[Year], "2028"
    ),
    IF(_xlpm.sumValue = 0, "", _xlpm.sumValue)
)</f>
        <v/>
      </c>
      <c r="V71" s="31" t="str">
        <f>_xlfn.LET(
    _xlpm.sumValue, SUMIFS(
        PNS_data[Value],
        PNS_data[Country], FR_data[[#This Row],[Country]],
        PNS_data[National Society name], selected,
        PNS_data[Attribute], "SP3",
        PNS_data[Year], "2028"
    ),
    IF(_xlpm.sumValue = 0, "", _xlpm.sumValue)
)</f>
        <v/>
      </c>
      <c r="W71" s="31" t="str">
        <f>_xlfn.LET(
    _xlpm.sumValue, SUMIFS(
        PNS_data[Value],
        PNS_data[Country], FR_data[[#This Row],[Country]],
        PNS_data[National Society name], selected,
        PNS_data[Attribute], "SP4",
        PNS_data[Year], "2028"
    ),
    IF(_xlpm.sumValue = 0, "", _xlpm.sumValue)
)</f>
        <v/>
      </c>
      <c r="X71" s="31" t="str">
        <f>_xlfn.LET(
    _xlpm.sumValue, SUMIFS(
        PNS_data[Value],
        PNS_data[Country], FR_data[[#This Row],[Country]],
        PNS_data[National Society name], selected,
        PNS_data[Attribute], "SP5",
        PNS_data[Year], "2028"
    ),
    IF(_xlpm.sumValue = 0, "", _xlpm.sumValue)
)</f>
        <v/>
      </c>
      <c r="Y71" s="31" t="str">
        <f>_xlfn.LET(
    _xlpm.sumValue, SUMIFS(
        PNS_data[Value],
        PNS_data[Country], FR_data[[#This Row],[Country]],
        PNS_data[National Society name], selected,
        PNS_data[Attribute], "EFs",
        PNS_data[Year], "2028"
    ),
    IF(_xlpm.sumValue = 0, "", _xlpm.sumValue)
)</f>
        <v/>
      </c>
      <c r="Z71" s="32" t="str">
        <f>IF(SUM(FR_data[[#This Row],[Response - Disasters and Crises  ]:[Enabling Functions  ]])=0,"",SUM(FR_data[[#This Row],[Response - Disasters and Crises  ]:[Enabling Functions  ]]))</f>
        <v/>
      </c>
      <c r="AA71" s="41"/>
    </row>
    <row r="72" spans="1:27" x14ac:dyDescent="0.3">
      <c r="A72" s="11" t="s">
        <v>185</v>
      </c>
      <c r="B72" s="11" t="s">
        <v>106</v>
      </c>
      <c r="C72" s="11" t="s">
        <v>186</v>
      </c>
      <c r="D72" s="30" t="str">
        <f>_xlfn.LET(
    _xlpm.sumValue, SUMIFS(
        PNS_data[Value],
        PNS_data[Country], FR_data[[#This Row],[Country]],
        PNS_data[National Society name], selected,
        PNS_data[Attribute], "SP1",
        PNS_data[Year], "2026"
    ),
    IF(_xlpm.sumValue = 0, "", _xlpm.sumValue)
)</f>
        <v/>
      </c>
      <c r="E72" s="31" t="str">
        <f>_xlfn.LET(
    _xlpm.sumValue, SUMIFS(
        PNS_data[Value],
        PNS_data[Country], FR_data[[#This Row],[Country]],
        PNS_data[National Society name], selected,
        PNS_data[Attribute], "SP2",
        PNS_data[Year], "2026"
    ),
    IF(_xlpm.sumValue = 0, "", _xlpm.sumValue)
)</f>
        <v/>
      </c>
      <c r="F72" s="31" t="str">
        <f>_xlfn.LET(
    _xlpm.sumValue, SUMIFS(
        PNS_data[Value],
        PNS_data[Country], FR_data[[#This Row],[Country]],
        PNS_data[National Society name], selected,
        PNS_data[Attribute], "SP3",
        PNS_data[Year], "2026"
    ),
    IF(_xlpm.sumValue = 0, "", _xlpm.sumValue)
)</f>
        <v/>
      </c>
      <c r="G72" s="31" t="str">
        <f>_xlfn.LET(
    _xlpm.sumValue, SUMIFS(
        PNS_data[Value],
        PNS_data[Country], FR_data[[#This Row],[Country]],
        PNS_data[National Society name], selected,
        PNS_data[Attribute], "SP4",
        PNS_data[Year], "2026"
    ),
    IF(_xlpm.sumValue = 0, "", _xlpm.sumValue)
)</f>
        <v/>
      </c>
      <c r="H72" s="31" t="str">
        <f>_xlfn.LET(
    _xlpm.sumValue, SUMIFS(
        PNS_data[Value],
        PNS_data[Country], FR_data[[#This Row],[Country]],
        PNS_data[National Society name], selected,
        PNS_data[Attribute], "SP5",
        PNS_data[Year], "2026"
    ),
    IF(_xlpm.sumValue = 0, "", _xlpm.sumValue)
)</f>
        <v/>
      </c>
      <c r="I72" s="31" t="str">
        <f>_xlfn.LET(
    _xlpm.sumValue, SUMIFS(
        PNS_data[Value],
        PNS_data[Country], FR_data[[#This Row],[Country]],
        PNS_data[National Society name], selected,
        PNS_data[Attribute], "EFs",
        PNS_data[Year], "2026"
    ),
    IF(_xlpm.sumValue = 0, "", _xlpm.sumValue)
)</f>
        <v/>
      </c>
      <c r="J72" s="32" t="str">
        <f>IF(SUM(FR_data[[#This Row],[Response - Disasters and Crises]:[Enabling Functions]])=0,"",SUM(FR_data[[#This Row],[Response - Disasters and Crises]:[Enabling Functions]]))</f>
        <v/>
      </c>
      <c r="K72" s="39"/>
      <c r="L72" s="30" t="str">
        <f>_xlfn.LET(
    _xlpm.sumValue, SUMIFS(
        PNS_data[Value],
        PNS_data[Country], FR_data[[#This Row],[Country]],
        PNS_data[National Society name], selected,
        PNS_data[Attribute], "SP1",
        PNS_data[Year], "2027"
    ),
    IF(_xlpm.sumValue = 0, "", _xlpm.sumValue)
)</f>
        <v/>
      </c>
      <c r="M72" s="31" t="str">
        <f>_xlfn.LET(
    _xlpm.sumValue, SUMIFS(
        PNS_data[Value],
        PNS_data[Country], FR_data[[#This Row],[Country]],
        PNS_data[National Society name], selected,
        PNS_data[Attribute], "SP2",
        PNS_data[Year], "2027"
    ),
    IF(_xlpm.sumValue = 0, "", _xlpm.sumValue)
)</f>
        <v/>
      </c>
      <c r="N72" s="31" t="str">
        <f>_xlfn.LET(
    _xlpm.sumValue, SUMIFS(
        PNS_data[Value],
        PNS_data[Country], FR_data[[#This Row],[Country]],
        PNS_data[National Society name], selected,
        PNS_data[Attribute], "SP3",
        PNS_data[Year], "2027"
    ),
    IF(_xlpm.sumValue = 0, "", _xlpm.sumValue)
)</f>
        <v/>
      </c>
      <c r="O72" s="31" t="str">
        <f>_xlfn.LET(
    _xlpm.sumValue, SUMIFS(
        PNS_data[Value],
        PNS_data[Country], FR_data[[#This Row],[Country]],
        PNS_data[National Society name], selected,
        PNS_data[Attribute], "SP4",
        PNS_data[Year], "2027"
    ),
    IF(_xlpm.sumValue = 0, "", _xlpm.sumValue)
)</f>
        <v/>
      </c>
      <c r="P72" s="31" t="str">
        <f>_xlfn.LET(
    _xlpm.sumValue, SUMIFS(
        PNS_data[Value],
        PNS_data[Country], FR_data[[#This Row],[Country]],
        PNS_data[National Society name], selected,
        PNS_data[Attribute], "SP5",
        PNS_data[Year], "2027"
    ),
    IF(_xlpm.sumValue = 0, "", _xlpm.sumValue)
)</f>
        <v/>
      </c>
      <c r="Q72" s="31" t="str">
        <f>_xlfn.LET(
    _xlpm.sumValue, SUMIFS(
        PNS_data[Value],
        PNS_data[Country], FR_data[[#This Row],[Country]],
        PNS_data[National Society name], selected,
        PNS_data[Attribute], "EFs",
        PNS_data[Year], "2027"
    ),
    IF(_xlpm.sumValue = 0, "", _xlpm.sumValue)
)</f>
        <v/>
      </c>
      <c r="R72" s="32" t="str">
        <f>IF(SUM(FR_data[[#This Row],[Response - Disasters and Crises ]:[Enabling Functions ]])=0,"",SUM(FR_data[[#This Row],[Response - Disasters and Crises ]:[Enabling Functions ]]))</f>
        <v/>
      </c>
      <c r="S72" s="39"/>
      <c r="T72" s="30" t="str">
        <f>_xlfn.LET(
    _xlpm.sumValue, SUMIFS(
        PNS_data[Value],
        PNS_data[Country], FR_data[[#This Row],[Country]],
        PNS_data[National Society name], selected,
        PNS_data[Attribute], "SP1",
        PNS_data[Year], "2028"
    ),
    IF(_xlpm.sumValue = 0, "", _xlpm.sumValue)
)</f>
        <v/>
      </c>
      <c r="U72" s="31" t="str">
        <f>_xlfn.LET(
    _xlpm.sumValue, SUMIFS(
        PNS_data[Value],
        PNS_data[Country], FR_data[[#This Row],[Country]],
        PNS_data[National Society name], selected,
        PNS_data[Attribute], "SP2",
        PNS_data[Year], "2028"
    ),
    IF(_xlpm.sumValue = 0, "", _xlpm.sumValue)
)</f>
        <v/>
      </c>
      <c r="V72" s="31" t="str">
        <f>_xlfn.LET(
    _xlpm.sumValue, SUMIFS(
        PNS_data[Value],
        PNS_data[Country], FR_data[[#This Row],[Country]],
        PNS_data[National Society name], selected,
        PNS_data[Attribute], "SP3",
        PNS_data[Year], "2028"
    ),
    IF(_xlpm.sumValue = 0, "", _xlpm.sumValue)
)</f>
        <v/>
      </c>
      <c r="W72" s="31" t="str">
        <f>_xlfn.LET(
    _xlpm.sumValue, SUMIFS(
        PNS_data[Value],
        PNS_data[Country], FR_data[[#This Row],[Country]],
        PNS_data[National Society name], selected,
        PNS_data[Attribute], "SP4",
        PNS_data[Year], "2028"
    ),
    IF(_xlpm.sumValue = 0, "", _xlpm.sumValue)
)</f>
        <v/>
      </c>
      <c r="X72" s="31" t="str">
        <f>_xlfn.LET(
    _xlpm.sumValue, SUMIFS(
        PNS_data[Value],
        PNS_data[Country], FR_data[[#This Row],[Country]],
        PNS_data[National Society name], selected,
        PNS_data[Attribute], "SP5",
        PNS_data[Year], "2028"
    ),
    IF(_xlpm.sumValue = 0, "", _xlpm.sumValue)
)</f>
        <v/>
      </c>
      <c r="Y72" s="31" t="str">
        <f>_xlfn.LET(
    _xlpm.sumValue, SUMIFS(
        PNS_data[Value],
        PNS_data[Country], FR_data[[#This Row],[Country]],
        PNS_data[National Society name], selected,
        PNS_data[Attribute], "EFs",
        PNS_data[Year], "2028"
    ),
    IF(_xlpm.sumValue = 0, "", _xlpm.sumValue)
)</f>
        <v/>
      </c>
      <c r="Z72" s="32" t="str">
        <f>IF(SUM(FR_data[[#This Row],[Response - Disasters and Crises  ]:[Enabling Functions  ]])=0,"",SUM(FR_data[[#This Row],[Response - Disasters and Crises  ]:[Enabling Functions  ]]))</f>
        <v/>
      </c>
      <c r="AA72" s="41"/>
    </row>
    <row r="73" spans="1:27" x14ac:dyDescent="0.3">
      <c r="A73" s="11" t="s">
        <v>187</v>
      </c>
      <c r="B73" s="11" t="s">
        <v>106</v>
      </c>
      <c r="C73" s="11" t="s">
        <v>188</v>
      </c>
      <c r="D73" s="30" t="str">
        <f>_xlfn.LET(
    _xlpm.sumValue, SUMIFS(
        PNS_data[Value],
        PNS_data[Country], FR_data[[#This Row],[Country]],
        PNS_data[National Society name], selected,
        PNS_data[Attribute], "SP1",
        PNS_data[Year], "2026"
    ),
    IF(_xlpm.sumValue = 0, "", _xlpm.sumValue)
)</f>
        <v/>
      </c>
      <c r="E73" s="31" t="str">
        <f>_xlfn.LET(
    _xlpm.sumValue, SUMIFS(
        PNS_data[Value],
        PNS_data[Country], FR_data[[#This Row],[Country]],
        PNS_data[National Society name], selected,
        PNS_data[Attribute], "SP2",
        PNS_data[Year], "2026"
    ),
    IF(_xlpm.sumValue = 0, "", _xlpm.sumValue)
)</f>
        <v/>
      </c>
      <c r="F73" s="31" t="str">
        <f>_xlfn.LET(
    _xlpm.sumValue, SUMIFS(
        PNS_data[Value],
        PNS_data[Country], FR_data[[#This Row],[Country]],
        PNS_data[National Society name], selected,
        PNS_data[Attribute], "SP3",
        PNS_data[Year], "2026"
    ),
    IF(_xlpm.sumValue = 0, "", _xlpm.sumValue)
)</f>
        <v/>
      </c>
      <c r="G73" s="31" t="str">
        <f>_xlfn.LET(
    _xlpm.sumValue, SUMIFS(
        PNS_data[Value],
        PNS_data[Country], FR_data[[#This Row],[Country]],
        PNS_data[National Society name], selected,
        PNS_data[Attribute], "SP4",
        PNS_data[Year], "2026"
    ),
    IF(_xlpm.sumValue = 0, "", _xlpm.sumValue)
)</f>
        <v/>
      </c>
      <c r="H73" s="31" t="str">
        <f>_xlfn.LET(
    _xlpm.sumValue, SUMIFS(
        PNS_data[Value],
        PNS_data[Country], FR_data[[#This Row],[Country]],
        PNS_data[National Society name], selected,
        PNS_data[Attribute], "SP5",
        PNS_data[Year], "2026"
    ),
    IF(_xlpm.sumValue = 0, "", _xlpm.sumValue)
)</f>
        <v/>
      </c>
      <c r="I73" s="31" t="str">
        <f>_xlfn.LET(
    _xlpm.sumValue, SUMIFS(
        PNS_data[Value],
        PNS_data[Country], FR_data[[#This Row],[Country]],
        PNS_data[National Society name], selected,
        PNS_data[Attribute], "EFs",
        PNS_data[Year], "2026"
    ),
    IF(_xlpm.sumValue = 0, "", _xlpm.sumValue)
)</f>
        <v/>
      </c>
      <c r="J73" s="32" t="str">
        <f>IF(SUM(FR_data[[#This Row],[Response - Disasters and Crises]:[Enabling Functions]])=0,"",SUM(FR_data[[#This Row],[Response - Disasters and Crises]:[Enabling Functions]]))</f>
        <v/>
      </c>
      <c r="K73" s="39"/>
      <c r="L73" s="30" t="str">
        <f>_xlfn.LET(
    _xlpm.sumValue, SUMIFS(
        PNS_data[Value],
        PNS_data[Country], FR_data[[#This Row],[Country]],
        PNS_data[National Society name], selected,
        PNS_data[Attribute], "SP1",
        PNS_data[Year], "2027"
    ),
    IF(_xlpm.sumValue = 0, "", _xlpm.sumValue)
)</f>
        <v/>
      </c>
      <c r="M73" s="31" t="str">
        <f>_xlfn.LET(
    _xlpm.sumValue, SUMIFS(
        PNS_data[Value],
        PNS_data[Country], FR_data[[#This Row],[Country]],
        PNS_data[National Society name], selected,
        PNS_data[Attribute], "SP2",
        PNS_data[Year], "2027"
    ),
    IF(_xlpm.sumValue = 0, "", _xlpm.sumValue)
)</f>
        <v/>
      </c>
      <c r="N73" s="31" t="str">
        <f>_xlfn.LET(
    _xlpm.sumValue, SUMIFS(
        PNS_data[Value],
        PNS_data[Country], FR_data[[#This Row],[Country]],
        PNS_data[National Society name], selected,
        PNS_data[Attribute], "SP3",
        PNS_data[Year], "2027"
    ),
    IF(_xlpm.sumValue = 0, "", _xlpm.sumValue)
)</f>
        <v/>
      </c>
      <c r="O73" s="31" t="str">
        <f>_xlfn.LET(
    _xlpm.sumValue, SUMIFS(
        PNS_data[Value],
        PNS_data[Country], FR_data[[#This Row],[Country]],
        PNS_data[National Society name], selected,
        PNS_data[Attribute], "SP4",
        PNS_data[Year], "2027"
    ),
    IF(_xlpm.sumValue = 0, "", _xlpm.sumValue)
)</f>
        <v/>
      </c>
      <c r="P73" s="31" t="str">
        <f>_xlfn.LET(
    _xlpm.sumValue, SUMIFS(
        PNS_data[Value],
        PNS_data[Country], FR_data[[#This Row],[Country]],
        PNS_data[National Society name], selected,
        PNS_data[Attribute], "SP5",
        PNS_data[Year], "2027"
    ),
    IF(_xlpm.sumValue = 0, "", _xlpm.sumValue)
)</f>
        <v/>
      </c>
      <c r="Q73" s="31" t="str">
        <f>_xlfn.LET(
    _xlpm.sumValue, SUMIFS(
        PNS_data[Value],
        PNS_data[Country], FR_data[[#This Row],[Country]],
        PNS_data[National Society name], selected,
        PNS_data[Attribute], "EFs",
        PNS_data[Year], "2027"
    ),
    IF(_xlpm.sumValue = 0, "", _xlpm.sumValue)
)</f>
        <v/>
      </c>
      <c r="R73" s="32" t="str">
        <f>IF(SUM(FR_data[[#This Row],[Response - Disasters and Crises ]:[Enabling Functions ]])=0,"",SUM(FR_data[[#This Row],[Response - Disasters and Crises ]:[Enabling Functions ]]))</f>
        <v/>
      </c>
      <c r="S73" s="39"/>
      <c r="T73" s="30" t="str">
        <f>_xlfn.LET(
    _xlpm.sumValue, SUMIFS(
        PNS_data[Value],
        PNS_data[Country], FR_data[[#This Row],[Country]],
        PNS_data[National Society name], selected,
        PNS_data[Attribute], "SP1",
        PNS_data[Year], "2028"
    ),
    IF(_xlpm.sumValue = 0, "", _xlpm.sumValue)
)</f>
        <v/>
      </c>
      <c r="U73" s="31" t="str">
        <f>_xlfn.LET(
    _xlpm.sumValue, SUMIFS(
        PNS_data[Value],
        PNS_data[Country], FR_data[[#This Row],[Country]],
        PNS_data[National Society name], selected,
        PNS_data[Attribute], "SP2",
        PNS_data[Year], "2028"
    ),
    IF(_xlpm.sumValue = 0, "", _xlpm.sumValue)
)</f>
        <v/>
      </c>
      <c r="V73" s="31" t="str">
        <f>_xlfn.LET(
    _xlpm.sumValue, SUMIFS(
        PNS_data[Value],
        PNS_data[Country], FR_data[[#This Row],[Country]],
        PNS_data[National Society name], selected,
        PNS_data[Attribute], "SP3",
        PNS_data[Year], "2028"
    ),
    IF(_xlpm.sumValue = 0, "", _xlpm.sumValue)
)</f>
        <v/>
      </c>
      <c r="W73" s="31" t="str">
        <f>_xlfn.LET(
    _xlpm.sumValue, SUMIFS(
        PNS_data[Value],
        PNS_data[Country], FR_data[[#This Row],[Country]],
        PNS_data[National Society name], selected,
        PNS_data[Attribute], "SP4",
        PNS_data[Year], "2028"
    ),
    IF(_xlpm.sumValue = 0, "", _xlpm.sumValue)
)</f>
        <v/>
      </c>
      <c r="X73" s="31" t="str">
        <f>_xlfn.LET(
    _xlpm.sumValue, SUMIFS(
        PNS_data[Value],
        PNS_data[Country], FR_data[[#This Row],[Country]],
        PNS_data[National Society name], selected,
        PNS_data[Attribute], "SP5",
        PNS_data[Year], "2028"
    ),
    IF(_xlpm.sumValue = 0, "", _xlpm.sumValue)
)</f>
        <v/>
      </c>
      <c r="Y73" s="31" t="str">
        <f>_xlfn.LET(
    _xlpm.sumValue, SUMIFS(
        PNS_data[Value],
        PNS_data[Country], FR_data[[#This Row],[Country]],
        PNS_data[National Society name], selected,
        PNS_data[Attribute], "EFs",
        PNS_data[Year], "2028"
    ),
    IF(_xlpm.sumValue = 0, "", _xlpm.sumValue)
)</f>
        <v/>
      </c>
      <c r="Z73" s="32" t="str">
        <f>IF(SUM(FR_data[[#This Row],[Response - Disasters and Crises  ]:[Enabling Functions  ]])=0,"",SUM(FR_data[[#This Row],[Response - Disasters and Crises  ]:[Enabling Functions  ]]))</f>
        <v/>
      </c>
      <c r="AA73" s="41"/>
    </row>
    <row r="74" spans="1:27" x14ac:dyDescent="0.3">
      <c r="A74" s="11" t="s">
        <v>189</v>
      </c>
      <c r="B74" s="11" t="s">
        <v>106</v>
      </c>
      <c r="C74" s="11" t="s">
        <v>190</v>
      </c>
      <c r="D74" s="30" t="str">
        <f>_xlfn.LET(
    _xlpm.sumValue, SUMIFS(
        PNS_data[Value],
        PNS_data[Country], FR_data[[#This Row],[Country]],
        PNS_data[National Society name], selected,
        PNS_data[Attribute], "SP1",
        PNS_data[Year], "2026"
    ),
    IF(_xlpm.sumValue = 0, "", _xlpm.sumValue)
)</f>
        <v/>
      </c>
      <c r="E74" s="31" t="str">
        <f>_xlfn.LET(
    _xlpm.sumValue, SUMIFS(
        PNS_data[Value],
        PNS_data[Country], FR_data[[#This Row],[Country]],
        PNS_data[National Society name], selected,
        PNS_data[Attribute], "SP2",
        PNS_data[Year], "2026"
    ),
    IF(_xlpm.sumValue = 0, "", _xlpm.sumValue)
)</f>
        <v/>
      </c>
      <c r="F74" s="31" t="str">
        <f>_xlfn.LET(
    _xlpm.sumValue, SUMIFS(
        PNS_data[Value],
        PNS_data[Country], FR_data[[#This Row],[Country]],
        PNS_data[National Society name], selected,
        PNS_data[Attribute], "SP3",
        PNS_data[Year], "2026"
    ),
    IF(_xlpm.sumValue = 0, "", _xlpm.sumValue)
)</f>
        <v/>
      </c>
      <c r="G74" s="31" t="str">
        <f>_xlfn.LET(
    _xlpm.sumValue, SUMIFS(
        PNS_data[Value],
        PNS_data[Country], FR_data[[#This Row],[Country]],
        PNS_data[National Society name], selected,
        PNS_data[Attribute], "SP4",
        PNS_data[Year], "2026"
    ),
    IF(_xlpm.sumValue = 0, "", _xlpm.sumValue)
)</f>
        <v/>
      </c>
      <c r="H74" s="31" t="str">
        <f>_xlfn.LET(
    _xlpm.sumValue, SUMIFS(
        PNS_data[Value],
        PNS_data[Country], FR_data[[#This Row],[Country]],
        PNS_data[National Society name], selected,
        PNS_data[Attribute], "SP5",
        PNS_data[Year], "2026"
    ),
    IF(_xlpm.sumValue = 0, "", _xlpm.sumValue)
)</f>
        <v/>
      </c>
      <c r="I74" s="31" t="str">
        <f>_xlfn.LET(
    _xlpm.sumValue, SUMIFS(
        PNS_data[Value],
        PNS_data[Country], FR_data[[#This Row],[Country]],
        PNS_data[National Society name], selected,
        PNS_data[Attribute], "EFs",
        PNS_data[Year], "2026"
    ),
    IF(_xlpm.sumValue = 0, "", _xlpm.sumValue)
)</f>
        <v/>
      </c>
      <c r="J74" s="32" t="str">
        <f>IF(SUM(FR_data[[#This Row],[Response - Disasters and Crises]:[Enabling Functions]])=0,"",SUM(FR_data[[#This Row],[Response - Disasters and Crises]:[Enabling Functions]]))</f>
        <v/>
      </c>
      <c r="K74" s="39"/>
      <c r="L74" s="30" t="str">
        <f>_xlfn.LET(
    _xlpm.sumValue, SUMIFS(
        PNS_data[Value],
        PNS_data[Country], FR_data[[#This Row],[Country]],
        PNS_data[National Society name], selected,
        PNS_data[Attribute], "SP1",
        PNS_data[Year], "2027"
    ),
    IF(_xlpm.sumValue = 0, "", _xlpm.sumValue)
)</f>
        <v/>
      </c>
      <c r="M74" s="31" t="str">
        <f>_xlfn.LET(
    _xlpm.sumValue, SUMIFS(
        PNS_data[Value],
        PNS_data[Country], FR_data[[#This Row],[Country]],
        PNS_data[National Society name], selected,
        PNS_data[Attribute], "SP2",
        PNS_data[Year], "2027"
    ),
    IF(_xlpm.sumValue = 0, "", _xlpm.sumValue)
)</f>
        <v/>
      </c>
      <c r="N74" s="31" t="str">
        <f>_xlfn.LET(
    _xlpm.sumValue, SUMIFS(
        PNS_data[Value],
        PNS_data[Country], FR_data[[#This Row],[Country]],
        PNS_data[National Society name], selected,
        PNS_data[Attribute], "SP3",
        PNS_data[Year], "2027"
    ),
    IF(_xlpm.sumValue = 0, "", _xlpm.sumValue)
)</f>
        <v/>
      </c>
      <c r="O74" s="31" t="str">
        <f>_xlfn.LET(
    _xlpm.sumValue, SUMIFS(
        PNS_data[Value],
        PNS_data[Country], FR_data[[#This Row],[Country]],
        PNS_data[National Society name], selected,
        PNS_data[Attribute], "SP4",
        PNS_data[Year], "2027"
    ),
    IF(_xlpm.sumValue = 0, "", _xlpm.sumValue)
)</f>
        <v/>
      </c>
      <c r="P74" s="31" t="str">
        <f>_xlfn.LET(
    _xlpm.sumValue, SUMIFS(
        PNS_data[Value],
        PNS_data[Country], FR_data[[#This Row],[Country]],
        PNS_data[National Society name], selected,
        PNS_data[Attribute], "SP5",
        PNS_data[Year], "2027"
    ),
    IF(_xlpm.sumValue = 0, "", _xlpm.sumValue)
)</f>
        <v/>
      </c>
      <c r="Q74" s="31" t="str">
        <f>_xlfn.LET(
    _xlpm.sumValue, SUMIFS(
        PNS_data[Value],
        PNS_data[Country], FR_data[[#This Row],[Country]],
        PNS_data[National Society name], selected,
        PNS_data[Attribute], "EFs",
        PNS_data[Year], "2027"
    ),
    IF(_xlpm.sumValue = 0, "", _xlpm.sumValue)
)</f>
        <v/>
      </c>
      <c r="R74" s="32" t="str">
        <f>IF(SUM(FR_data[[#This Row],[Response - Disasters and Crises ]:[Enabling Functions ]])=0,"",SUM(FR_data[[#This Row],[Response - Disasters and Crises ]:[Enabling Functions ]]))</f>
        <v/>
      </c>
      <c r="S74" s="39"/>
      <c r="T74" s="30" t="str">
        <f>_xlfn.LET(
    _xlpm.sumValue, SUMIFS(
        PNS_data[Value],
        PNS_data[Country], FR_data[[#This Row],[Country]],
        PNS_data[National Society name], selected,
        PNS_data[Attribute], "SP1",
        PNS_data[Year], "2028"
    ),
    IF(_xlpm.sumValue = 0, "", _xlpm.sumValue)
)</f>
        <v/>
      </c>
      <c r="U74" s="31" t="str">
        <f>_xlfn.LET(
    _xlpm.sumValue, SUMIFS(
        PNS_data[Value],
        PNS_data[Country], FR_data[[#This Row],[Country]],
        PNS_data[National Society name], selected,
        PNS_data[Attribute], "SP2",
        PNS_data[Year], "2028"
    ),
    IF(_xlpm.sumValue = 0, "", _xlpm.sumValue)
)</f>
        <v/>
      </c>
      <c r="V74" s="31" t="str">
        <f>_xlfn.LET(
    _xlpm.sumValue, SUMIFS(
        PNS_data[Value],
        PNS_data[Country], FR_data[[#This Row],[Country]],
        PNS_data[National Society name], selected,
        PNS_data[Attribute], "SP3",
        PNS_data[Year], "2028"
    ),
    IF(_xlpm.sumValue = 0, "", _xlpm.sumValue)
)</f>
        <v/>
      </c>
      <c r="W74" s="31" t="str">
        <f>_xlfn.LET(
    _xlpm.sumValue, SUMIFS(
        PNS_data[Value],
        PNS_data[Country], FR_data[[#This Row],[Country]],
        PNS_data[National Society name], selected,
        PNS_data[Attribute], "SP4",
        PNS_data[Year], "2028"
    ),
    IF(_xlpm.sumValue = 0, "", _xlpm.sumValue)
)</f>
        <v/>
      </c>
      <c r="X74" s="31" t="str">
        <f>_xlfn.LET(
    _xlpm.sumValue, SUMIFS(
        PNS_data[Value],
        PNS_data[Country], FR_data[[#This Row],[Country]],
        PNS_data[National Society name], selected,
        PNS_data[Attribute], "SP5",
        PNS_data[Year], "2028"
    ),
    IF(_xlpm.sumValue = 0, "", _xlpm.sumValue)
)</f>
        <v/>
      </c>
      <c r="Y74" s="31" t="str">
        <f>_xlfn.LET(
    _xlpm.sumValue, SUMIFS(
        PNS_data[Value],
        PNS_data[Country], FR_data[[#This Row],[Country]],
        PNS_data[National Society name], selected,
        PNS_data[Attribute], "EFs",
        PNS_data[Year], "2028"
    ),
    IF(_xlpm.sumValue = 0, "", _xlpm.sumValue)
)</f>
        <v/>
      </c>
      <c r="Z74" s="32" t="str">
        <f>IF(SUM(FR_data[[#This Row],[Response - Disasters and Crises  ]:[Enabling Functions  ]])=0,"",SUM(FR_data[[#This Row],[Response - Disasters and Crises  ]:[Enabling Functions  ]]))</f>
        <v/>
      </c>
      <c r="AA74" s="41"/>
    </row>
    <row r="75" spans="1:27" x14ac:dyDescent="0.3">
      <c r="A75" s="11" t="s">
        <v>361</v>
      </c>
      <c r="B75" s="11" t="s">
        <v>106</v>
      </c>
      <c r="C75" s="11" t="s">
        <v>362</v>
      </c>
      <c r="D75" s="30" t="str">
        <f>_xlfn.LET(
    _xlpm.sumValue, SUMIFS(
        PNS_data[Value],
        PNS_data[Country], FR_data[[#This Row],[Country]],
        PNS_data[National Society name], selected,
        PNS_data[Attribute], "SP1",
        PNS_data[Year], "2026"
    ),
    IF(_xlpm.sumValue = 0, "", _xlpm.sumValue)
)</f>
        <v/>
      </c>
      <c r="E75" s="31" t="str">
        <f>_xlfn.LET(
    _xlpm.sumValue, SUMIFS(
        PNS_data[Value],
        PNS_data[Country], FR_data[[#This Row],[Country]],
        PNS_data[National Society name], selected,
        PNS_data[Attribute], "SP2",
        PNS_data[Year], "2026"
    ),
    IF(_xlpm.sumValue = 0, "", _xlpm.sumValue)
)</f>
        <v/>
      </c>
      <c r="F75" s="31" t="str">
        <f>_xlfn.LET(
    _xlpm.sumValue, SUMIFS(
        PNS_data[Value],
        PNS_data[Country], FR_data[[#This Row],[Country]],
        PNS_data[National Society name], selected,
        PNS_data[Attribute], "SP3",
        PNS_data[Year], "2026"
    ),
    IF(_xlpm.sumValue = 0, "", _xlpm.sumValue)
)</f>
        <v/>
      </c>
      <c r="G75" s="31" t="str">
        <f>_xlfn.LET(
    _xlpm.sumValue, SUMIFS(
        PNS_data[Value],
        PNS_data[Country], FR_data[[#This Row],[Country]],
        PNS_data[National Society name], selected,
        PNS_data[Attribute], "SP4",
        PNS_data[Year], "2026"
    ),
    IF(_xlpm.sumValue = 0, "", _xlpm.sumValue)
)</f>
        <v/>
      </c>
      <c r="H75" s="31" t="str">
        <f>_xlfn.LET(
    _xlpm.sumValue, SUMIFS(
        PNS_data[Value],
        PNS_data[Country], FR_data[[#This Row],[Country]],
        PNS_data[National Society name], selected,
        PNS_data[Attribute], "SP5",
        PNS_data[Year], "2026"
    ),
    IF(_xlpm.sumValue = 0, "", _xlpm.sumValue)
)</f>
        <v/>
      </c>
      <c r="I75" s="31" t="str">
        <f>_xlfn.LET(
    _xlpm.sumValue, SUMIFS(
        PNS_data[Value],
        PNS_data[Country], FR_data[[#This Row],[Country]],
        PNS_data[National Society name], selected,
        PNS_data[Attribute], "EFs",
        PNS_data[Year], "2026"
    ),
    IF(_xlpm.sumValue = 0, "", _xlpm.sumValue)
)</f>
        <v/>
      </c>
      <c r="J75" s="32" t="str">
        <f>IF(SUM(FR_data[[#This Row],[Response - Disasters and Crises]:[Enabling Functions]])=0,"",SUM(FR_data[[#This Row],[Response - Disasters and Crises]:[Enabling Functions]]))</f>
        <v/>
      </c>
      <c r="K75" s="39"/>
      <c r="L75" s="30" t="str">
        <f>_xlfn.LET(
    _xlpm.sumValue, SUMIFS(
        PNS_data[Value],
        PNS_data[Country], FR_data[[#This Row],[Country]],
        PNS_data[National Society name], selected,
        PNS_data[Attribute], "SP1",
        PNS_data[Year], "2027"
    ),
    IF(_xlpm.sumValue = 0, "", _xlpm.sumValue)
)</f>
        <v/>
      </c>
      <c r="M75" s="31" t="str">
        <f>_xlfn.LET(
    _xlpm.sumValue, SUMIFS(
        PNS_data[Value],
        PNS_data[Country], FR_data[[#This Row],[Country]],
        PNS_data[National Society name], selected,
        PNS_data[Attribute], "SP2",
        PNS_data[Year], "2027"
    ),
    IF(_xlpm.sumValue = 0, "", _xlpm.sumValue)
)</f>
        <v/>
      </c>
      <c r="N75" s="31" t="str">
        <f>_xlfn.LET(
    _xlpm.sumValue, SUMIFS(
        PNS_data[Value],
        PNS_data[Country], FR_data[[#This Row],[Country]],
        PNS_data[National Society name], selected,
        PNS_data[Attribute], "SP3",
        PNS_data[Year], "2027"
    ),
    IF(_xlpm.sumValue = 0, "", _xlpm.sumValue)
)</f>
        <v/>
      </c>
      <c r="O75" s="31" t="str">
        <f>_xlfn.LET(
    _xlpm.sumValue, SUMIFS(
        PNS_data[Value],
        PNS_data[Country], FR_data[[#This Row],[Country]],
        PNS_data[National Society name], selected,
        PNS_data[Attribute], "SP4",
        PNS_data[Year], "2027"
    ),
    IF(_xlpm.sumValue = 0, "", _xlpm.sumValue)
)</f>
        <v/>
      </c>
      <c r="P75" s="31" t="str">
        <f>_xlfn.LET(
    _xlpm.sumValue, SUMIFS(
        PNS_data[Value],
        PNS_data[Country], FR_data[[#This Row],[Country]],
        PNS_data[National Society name], selected,
        PNS_data[Attribute], "SP5",
        PNS_data[Year], "2027"
    ),
    IF(_xlpm.sumValue = 0, "", _xlpm.sumValue)
)</f>
        <v/>
      </c>
      <c r="Q75" s="31" t="str">
        <f>_xlfn.LET(
    _xlpm.sumValue, SUMIFS(
        PNS_data[Value],
        PNS_data[Country], FR_data[[#This Row],[Country]],
        PNS_data[National Society name], selected,
        PNS_data[Attribute], "EFs",
        PNS_data[Year], "2027"
    ),
    IF(_xlpm.sumValue = 0, "", _xlpm.sumValue)
)</f>
        <v/>
      </c>
      <c r="R75" s="32" t="str">
        <f>IF(SUM(FR_data[[#This Row],[Response - Disasters and Crises ]:[Enabling Functions ]])=0,"",SUM(FR_data[[#This Row],[Response - Disasters and Crises ]:[Enabling Functions ]]))</f>
        <v/>
      </c>
      <c r="S75" s="39"/>
      <c r="T75" s="30" t="str">
        <f>_xlfn.LET(
    _xlpm.sumValue, SUMIFS(
        PNS_data[Value],
        PNS_data[Country], FR_data[[#This Row],[Country]],
        PNS_data[National Society name], selected,
        PNS_data[Attribute], "SP1",
        PNS_data[Year], "2028"
    ),
    IF(_xlpm.sumValue = 0, "", _xlpm.sumValue)
)</f>
        <v/>
      </c>
      <c r="U75" s="31" t="str">
        <f>_xlfn.LET(
    _xlpm.sumValue, SUMIFS(
        PNS_data[Value],
        PNS_data[Country], FR_data[[#This Row],[Country]],
        PNS_data[National Society name], selected,
        PNS_data[Attribute], "SP2",
        PNS_data[Year], "2028"
    ),
    IF(_xlpm.sumValue = 0, "", _xlpm.sumValue)
)</f>
        <v/>
      </c>
      <c r="V75" s="31" t="str">
        <f>_xlfn.LET(
    _xlpm.sumValue, SUMIFS(
        PNS_data[Value],
        PNS_data[Country], FR_data[[#This Row],[Country]],
        PNS_data[National Society name], selected,
        PNS_data[Attribute], "SP3",
        PNS_data[Year], "2028"
    ),
    IF(_xlpm.sumValue = 0, "", _xlpm.sumValue)
)</f>
        <v/>
      </c>
      <c r="W75" s="31" t="str">
        <f>_xlfn.LET(
    _xlpm.sumValue, SUMIFS(
        PNS_data[Value],
        PNS_data[Country], FR_data[[#This Row],[Country]],
        PNS_data[National Society name], selected,
        PNS_data[Attribute], "SP4",
        PNS_data[Year], "2028"
    ),
    IF(_xlpm.sumValue = 0, "", _xlpm.sumValue)
)</f>
        <v/>
      </c>
      <c r="X75" s="31" t="str">
        <f>_xlfn.LET(
    _xlpm.sumValue, SUMIFS(
        PNS_data[Value],
        PNS_data[Country], FR_data[[#This Row],[Country]],
        PNS_data[National Society name], selected,
        PNS_data[Attribute], "SP5",
        PNS_data[Year], "2028"
    ),
    IF(_xlpm.sumValue = 0, "", _xlpm.sumValue)
)</f>
        <v/>
      </c>
      <c r="Y75" s="31" t="str">
        <f>_xlfn.LET(
    _xlpm.sumValue, SUMIFS(
        PNS_data[Value],
        PNS_data[Country], FR_data[[#This Row],[Country]],
        PNS_data[National Society name], selected,
        PNS_data[Attribute], "EFs",
        PNS_data[Year], "2028"
    ),
    IF(_xlpm.sumValue = 0, "", _xlpm.sumValue)
)</f>
        <v/>
      </c>
      <c r="Z75" s="32" t="str">
        <f>IF(SUM(FR_data[[#This Row],[Response - Disasters and Crises  ]:[Enabling Functions  ]])=0,"",SUM(FR_data[[#This Row],[Response - Disasters and Crises  ]:[Enabling Functions  ]]))</f>
        <v/>
      </c>
      <c r="AA75" s="41"/>
    </row>
    <row r="76" spans="1:27" x14ac:dyDescent="0.3">
      <c r="A76" s="11" t="s">
        <v>212</v>
      </c>
      <c r="B76" s="11" t="s">
        <v>106</v>
      </c>
      <c r="C76" s="11" t="s">
        <v>213</v>
      </c>
      <c r="D76" s="30" t="str">
        <f>_xlfn.LET(
    _xlpm.sumValue, SUMIFS(
        PNS_data[Value],
        PNS_data[Country], FR_data[[#This Row],[Country]],
        PNS_data[National Society name], selected,
        PNS_data[Attribute], "SP1",
        PNS_data[Year], "2026"
    ),
    IF(_xlpm.sumValue = 0, "", _xlpm.sumValue)
)</f>
        <v/>
      </c>
      <c r="E76" s="31" t="str">
        <f>_xlfn.LET(
    _xlpm.sumValue, SUMIFS(
        PNS_data[Value],
        PNS_data[Country], FR_data[[#This Row],[Country]],
        PNS_data[National Society name], selected,
        PNS_data[Attribute], "SP2",
        PNS_data[Year], "2026"
    ),
    IF(_xlpm.sumValue = 0, "", _xlpm.sumValue)
)</f>
        <v/>
      </c>
      <c r="F76" s="31" t="str">
        <f>_xlfn.LET(
    _xlpm.sumValue, SUMIFS(
        PNS_data[Value],
        PNS_data[Country], FR_data[[#This Row],[Country]],
        PNS_data[National Society name], selected,
        PNS_data[Attribute], "SP3",
        PNS_data[Year], "2026"
    ),
    IF(_xlpm.sumValue = 0, "", _xlpm.sumValue)
)</f>
        <v/>
      </c>
      <c r="G76" s="31" t="str">
        <f>_xlfn.LET(
    _xlpm.sumValue, SUMIFS(
        PNS_data[Value],
        PNS_data[Country], FR_data[[#This Row],[Country]],
        PNS_data[National Society name], selected,
        PNS_data[Attribute], "SP4",
        PNS_data[Year], "2026"
    ),
    IF(_xlpm.sumValue = 0, "", _xlpm.sumValue)
)</f>
        <v/>
      </c>
      <c r="H76" s="31" t="str">
        <f>_xlfn.LET(
    _xlpm.sumValue, SUMIFS(
        PNS_data[Value],
        PNS_data[Country], FR_data[[#This Row],[Country]],
        PNS_data[National Society name], selected,
        PNS_data[Attribute], "SP5",
        PNS_data[Year], "2026"
    ),
    IF(_xlpm.sumValue = 0, "", _xlpm.sumValue)
)</f>
        <v/>
      </c>
      <c r="I76" s="31" t="str">
        <f>_xlfn.LET(
    _xlpm.sumValue, SUMIFS(
        PNS_data[Value],
        PNS_data[Country], FR_data[[#This Row],[Country]],
        PNS_data[National Society name], selected,
        PNS_data[Attribute], "EFs",
        PNS_data[Year], "2026"
    ),
    IF(_xlpm.sumValue = 0, "", _xlpm.sumValue)
)</f>
        <v/>
      </c>
      <c r="J76" s="32" t="str">
        <f>IF(SUM(FR_data[[#This Row],[Response - Disasters and Crises]:[Enabling Functions]])=0,"",SUM(FR_data[[#This Row],[Response - Disasters and Crises]:[Enabling Functions]]))</f>
        <v/>
      </c>
      <c r="K76" s="39"/>
      <c r="L76" s="30" t="str">
        <f>_xlfn.LET(
    _xlpm.sumValue, SUMIFS(
        PNS_data[Value],
        PNS_data[Country], FR_data[[#This Row],[Country]],
        PNS_data[National Society name], selected,
        PNS_data[Attribute], "SP1",
        PNS_data[Year], "2027"
    ),
    IF(_xlpm.sumValue = 0, "", _xlpm.sumValue)
)</f>
        <v/>
      </c>
      <c r="M76" s="31" t="str">
        <f>_xlfn.LET(
    _xlpm.sumValue, SUMIFS(
        PNS_data[Value],
        PNS_data[Country], FR_data[[#This Row],[Country]],
        PNS_data[National Society name], selected,
        PNS_data[Attribute], "SP2",
        PNS_data[Year], "2027"
    ),
    IF(_xlpm.sumValue = 0, "", _xlpm.sumValue)
)</f>
        <v/>
      </c>
      <c r="N76" s="31" t="str">
        <f>_xlfn.LET(
    _xlpm.sumValue, SUMIFS(
        PNS_data[Value],
        PNS_data[Country], FR_data[[#This Row],[Country]],
        PNS_data[National Society name], selected,
        PNS_data[Attribute], "SP3",
        PNS_data[Year], "2027"
    ),
    IF(_xlpm.sumValue = 0, "", _xlpm.sumValue)
)</f>
        <v/>
      </c>
      <c r="O76" s="31" t="str">
        <f>_xlfn.LET(
    _xlpm.sumValue, SUMIFS(
        PNS_data[Value],
        PNS_data[Country], FR_data[[#This Row],[Country]],
        PNS_data[National Society name], selected,
        PNS_data[Attribute], "SP4",
        PNS_data[Year], "2027"
    ),
    IF(_xlpm.sumValue = 0, "", _xlpm.sumValue)
)</f>
        <v/>
      </c>
      <c r="P76" s="31" t="str">
        <f>_xlfn.LET(
    _xlpm.sumValue, SUMIFS(
        PNS_data[Value],
        PNS_data[Country], FR_data[[#This Row],[Country]],
        PNS_data[National Society name], selected,
        PNS_data[Attribute], "SP5",
        PNS_data[Year], "2027"
    ),
    IF(_xlpm.sumValue = 0, "", _xlpm.sumValue)
)</f>
        <v/>
      </c>
      <c r="Q76" s="31" t="str">
        <f>_xlfn.LET(
    _xlpm.sumValue, SUMIFS(
        PNS_data[Value],
        PNS_data[Country], FR_data[[#This Row],[Country]],
        PNS_data[National Society name], selected,
        PNS_data[Attribute], "EFs",
        PNS_data[Year], "2027"
    ),
    IF(_xlpm.sumValue = 0, "", _xlpm.sumValue)
)</f>
        <v/>
      </c>
      <c r="R76" s="32" t="str">
        <f>IF(SUM(FR_data[[#This Row],[Response - Disasters and Crises ]:[Enabling Functions ]])=0,"",SUM(FR_data[[#This Row],[Response - Disasters and Crises ]:[Enabling Functions ]]))</f>
        <v/>
      </c>
      <c r="S76" s="39"/>
      <c r="T76" s="30" t="str">
        <f>_xlfn.LET(
    _xlpm.sumValue, SUMIFS(
        PNS_data[Value],
        PNS_data[Country], FR_data[[#This Row],[Country]],
        PNS_data[National Society name], selected,
        PNS_data[Attribute], "SP1",
        PNS_data[Year], "2028"
    ),
    IF(_xlpm.sumValue = 0, "", _xlpm.sumValue)
)</f>
        <v/>
      </c>
      <c r="U76" s="31" t="str">
        <f>_xlfn.LET(
    _xlpm.sumValue, SUMIFS(
        PNS_data[Value],
        PNS_data[Country], FR_data[[#This Row],[Country]],
        PNS_data[National Society name], selected,
        PNS_data[Attribute], "SP2",
        PNS_data[Year], "2028"
    ),
    IF(_xlpm.sumValue = 0, "", _xlpm.sumValue)
)</f>
        <v/>
      </c>
      <c r="V76" s="31" t="str">
        <f>_xlfn.LET(
    _xlpm.sumValue, SUMIFS(
        PNS_data[Value],
        PNS_data[Country], FR_data[[#This Row],[Country]],
        PNS_data[National Society name], selected,
        PNS_data[Attribute], "SP3",
        PNS_data[Year], "2028"
    ),
    IF(_xlpm.sumValue = 0, "", _xlpm.sumValue)
)</f>
        <v/>
      </c>
      <c r="W76" s="31" t="str">
        <f>_xlfn.LET(
    _xlpm.sumValue, SUMIFS(
        PNS_data[Value],
        PNS_data[Country], FR_data[[#This Row],[Country]],
        PNS_data[National Society name], selected,
        PNS_data[Attribute], "SP4",
        PNS_data[Year], "2028"
    ),
    IF(_xlpm.sumValue = 0, "", _xlpm.sumValue)
)</f>
        <v/>
      </c>
      <c r="X76" s="31" t="str">
        <f>_xlfn.LET(
    _xlpm.sumValue, SUMIFS(
        PNS_data[Value],
        PNS_data[Country], FR_data[[#This Row],[Country]],
        PNS_data[National Society name], selected,
        PNS_data[Attribute], "SP5",
        PNS_data[Year], "2028"
    ),
    IF(_xlpm.sumValue = 0, "", _xlpm.sumValue)
)</f>
        <v/>
      </c>
      <c r="Y76" s="31" t="str">
        <f>_xlfn.LET(
    _xlpm.sumValue, SUMIFS(
        PNS_data[Value],
        PNS_data[Country], FR_data[[#This Row],[Country]],
        PNS_data[National Society name], selected,
        PNS_data[Attribute], "EFs",
        PNS_data[Year], "2028"
    ),
    IF(_xlpm.sumValue = 0, "", _xlpm.sumValue)
)</f>
        <v/>
      </c>
      <c r="Z76" s="32" t="str">
        <f>IF(SUM(FR_data[[#This Row],[Response - Disasters and Crises  ]:[Enabling Functions  ]])=0,"",SUM(FR_data[[#This Row],[Response - Disasters and Crises  ]:[Enabling Functions  ]]))</f>
        <v/>
      </c>
      <c r="AA76" s="41"/>
    </row>
    <row r="77" spans="1:27" x14ac:dyDescent="0.3">
      <c r="A77" s="11" t="s">
        <v>161</v>
      </c>
      <c r="B77" s="11" t="s">
        <v>106</v>
      </c>
      <c r="C77" s="11" t="s">
        <v>162</v>
      </c>
      <c r="D77" s="30" t="str">
        <f>_xlfn.LET(
    _xlpm.sumValue, SUMIFS(
        PNS_data[Value],
        PNS_data[Country], FR_data[[#This Row],[Country]],
        PNS_data[National Society name], selected,
        PNS_data[Attribute], "SP1",
        PNS_data[Year], "2026"
    ),
    IF(_xlpm.sumValue = 0, "", _xlpm.sumValue)
)</f>
        <v/>
      </c>
      <c r="E77" s="31" t="str">
        <f>_xlfn.LET(
    _xlpm.sumValue, SUMIFS(
        PNS_data[Value],
        PNS_data[Country], FR_data[[#This Row],[Country]],
        PNS_data[National Society name], selected,
        PNS_data[Attribute], "SP2",
        PNS_data[Year], "2026"
    ),
    IF(_xlpm.sumValue = 0, "", _xlpm.sumValue)
)</f>
        <v/>
      </c>
      <c r="F77" s="31" t="str">
        <f>_xlfn.LET(
    _xlpm.sumValue, SUMIFS(
        PNS_data[Value],
        PNS_data[Country], FR_data[[#This Row],[Country]],
        PNS_data[National Society name], selected,
        PNS_data[Attribute], "SP3",
        PNS_data[Year], "2026"
    ),
    IF(_xlpm.sumValue = 0, "", _xlpm.sumValue)
)</f>
        <v/>
      </c>
      <c r="G77" s="31" t="str">
        <f>_xlfn.LET(
    _xlpm.sumValue, SUMIFS(
        PNS_data[Value],
        PNS_data[Country], FR_data[[#This Row],[Country]],
        PNS_data[National Society name], selected,
        PNS_data[Attribute], "SP4",
        PNS_data[Year], "2026"
    ),
    IF(_xlpm.sumValue = 0, "", _xlpm.sumValue)
)</f>
        <v/>
      </c>
      <c r="H77" s="31" t="str">
        <f>_xlfn.LET(
    _xlpm.sumValue, SUMIFS(
        PNS_data[Value],
        PNS_data[Country], FR_data[[#This Row],[Country]],
        PNS_data[National Society name], selected,
        PNS_data[Attribute], "SP5",
        PNS_data[Year], "2026"
    ),
    IF(_xlpm.sumValue = 0, "", _xlpm.sumValue)
)</f>
        <v/>
      </c>
      <c r="I77" s="31" t="str">
        <f>_xlfn.LET(
    _xlpm.sumValue, SUMIFS(
        PNS_data[Value],
        PNS_data[Country], FR_data[[#This Row],[Country]],
        PNS_data[National Society name], selected,
        PNS_data[Attribute], "EFs",
        PNS_data[Year], "2026"
    ),
    IF(_xlpm.sumValue = 0, "", _xlpm.sumValue)
)</f>
        <v/>
      </c>
      <c r="J77" s="32" t="str">
        <f>IF(SUM(FR_data[[#This Row],[Response - Disasters and Crises]:[Enabling Functions]])=0,"",SUM(FR_data[[#This Row],[Response - Disasters and Crises]:[Enabling Functions]]))</f>
        <v/>
      </c>
      <c r="K77" s="39"/>
      <c r="L77" s="30" t="str">
        <f>_xlfn.LET(
    _xlpm.sumValue, SUMIFS(
        PNS_data[Value],
        PNS_data[Country], FR_data[[#This Row],[Country]],
        PNS_data[National Society name], selected,
        PNS_data[Attribute], "SP1",
        PNS_data[Year], "2027"
    ),
    IF(_xlpm.sumValue = 0, "", _xlpm.sumValue)
)</f>
        <v/>
      </c>
      <c r="M77" s="31" t="str">
        <f>_xlfn.LET(
    _xlpm.sumValue, SUMIFS(
        PNS_data[Value],
        PNS_data[Country], FR_data[[#This Row],[Country]],
        PNS_data[National Society name], selected,
        PNS_data[Attribute], "SP2",
        PNS_data[Year], "2027"
    ),
    IF(_xlpm.sumValue = 0, "", _xlpm.sumValue)
)</f>
        <v/>
      </c>
      <c r="N77" s="31" t="str">
        <f>_xlfn.LET(
    _xlpm.sumValue, SUMIFS(
        PNS_data[Value],
        PNS_data[Country], FR_data[[#This Row],[Country]],
        PNS_data[National Society name], selected,
        PNS_data[Attribute], "SP3",
        PNS_data[Year], "2027"
    ),
    IF(_xlpm.sumValue = 0, "", _xlpm.sumValue)
)</f>
        <v/>
      </c>
      <c r="O77" s="31" t="str">
        <f>_xlfn.LET(
    _xlpm.sumValue, SUMIFS(
        PNS_data[Value],
        PNS_data[Country], FR_data[[#This Row],[Country]],
        PNS_data[National Society name], selected,
        PNS_data[Attribute], "SP4",
        PNS_data[Year], "2027"
    ),
    IF(_xlpm.sumValue = 0, "", _xlpm.sumValue)
)</f>
        <v/>
      </c>
      <c r="P77" s="31" t="str">
        <f>_xlfn.LET(
    _xlpm.sumValue, SUMIFS(
        PNS_data[Value],
        PNS_data[Country], FR_data[[#This Row],[Country]],
        PNS_data[National Society name], selected,
        PNS_data[Attribute], "SP5",
        PNS_data[Year], "2027"
    ),
    IF(_xlpm.sumValue = 0, "", _xlpm.sumValue)
)</f>
        <v/>
      </c>
      <c r="Q77" s="31" t="str">
        <f>_xlfn.LET(
    _xlpm.sumValue, SUMIFS(
        PNS_data[Value],
        PNS_data[Country], FR_data[[#This Row],[Country]],
        PNS_data[National Society name], selected,
        PNS_data[Attribute], "EFs",
        PNS_data[Year], "2027"
    ),
    IF(_xlpm.sumValue = 0, "", _xlpm.sumValue)
)</f>
        <v/>
      </c>
      <c r="R77" s="32" t="str">
        <f>IF(SUM(FR_data[[#This Row],[Response - Disasters and Crises ]:[Enabling Functions ]])=0,"",SUM(FR_data[[#This Row],[Response - Disasters and Crises ]:[Enabling Functions ]]))</f>
        <v/>
      </c>
      <c r="S77" s="39"/>
      <c r="T77" s="30" t="str">
        <f>_xlfn.LET(
    _xlpm.sumValue, SUMIFS(
        PNS_data[Value],
        PNS_data[Country], FR_data[[#This Row],[Country]],
        PNS_data[National Society name], selected,
        PNS_data[Attribute], "SP1",
        PNS_data[Year], "2028"
    ),
    IF(_xlpm.sumValue = 0, "", _xlpm.sumValue)
)</f>
        <v/>
      </c>
      <c r="U77" s="31" t="str">
        <f>_xlfn.LET(
    _xlpm.sumValue, SUMIFS(
        PNS_data[Value],
        PNS_data[Country], FR_data[[#This Row],[Country]],
        PNS_data[National Society name], selected,
        PNS_data[Attribute], "SP2",
        PNS_data[Year], "2028"
    ),
    IF(_xlpm.sumValue = 0, "", _xlpm.sumValue)
)</f>
        <v/>
      </c>
      <c r="V77" s="31" t="str">
        <f>_xlfn.LET(
    _xlpm.sumValue, SUMIFS(
        PNS_data[Value],
        PNS_data[Country], FR_data[[#This Row],[Country]],
        PNS_data[National Society name], selected,
        PNS_data[Attribute], "SP3",
        PNS_data[Year], "2028"
    ),
    IF(_xlpm.sumValue = 0, "", _xlpm.sumValue)
)</f>
        <v/>
      </c>
      <c r="W77" s="31" t="str">
        <f>_xlfn.LET(
    _xlpm.sumValue, SUMIFS(
        PNS_data[Value],
        PNS_data[Country], FR_data[[#This Row],[Country]],
        PNS_data[National Society name], selected,
        PNS_data[Attribute], "SP4",
        PNS_data[Year], "2028"
    ),
    IF(_xlpm.sumValue = 0, "", _xlpm.sumValue)
)</f>
        <v/>
      </c>
      <c r="X77" s="31" t="str">
        <f>_xlfn.LET(
    _xlpm.sumValue, SUMIFS(
        PNS_data[Value],
        PNS_data[Country], FR_data[[#This Row],[Country]],
        PNS_data[National Society name], selected,
        PNS_data[Attribute], "SP5",
        PNS_data[Year], "2028"
    ),
    IF(_xlpm.sumValue = 0, "", _xlpm.sumValue)
)</f>
        <v/>
      </c>
      <c r="Y77" s="31" t="str">
        <f>_xlfn.LET(
    _xlpm.sumValue, SUMIFS(
        PNS_data[Value],
        PNS_data[Country], FR_data[[#This Row],[Country]],
        PNS_data[National Society name], selected,
        PNS_data[Attribute], "EFs",
        PNS_data[Year], "2028"
    ),
    IF(_xlpm.sumValue = 0, "", _xlpm.sumValue)
)</f>
        <v/>
      </c>
      <c r="Z77" s="32" t="str">
        <f>IF(SUM(FR_data[[#This Row],[Response - Disasters and Crises  ]:[Enabling Functions  ]])=0,"",SUM(FR_data[[#This Row],[Response - Disasters and Crises  ]:[Enabling Functions  ]]))</f>
        <v/>
      </c>
      <c r="AA77" s="41"/>
    </row>
    <row r="78" spans="1:27" x14ac:dyDescent="0.3">
      <c r="A78" s="11" t="s">
        <v>253</v>
      </c>
      <c r="B78" s="11" t="s">
        <v>106</v>
      </c>
      <c r="C78" s="11" t="s">
        <v>254</v>
      </c>
      <c r="D78" s="30" t="str">
        <f>_xlfn.LET(
    _xlpm.sumValue, SUMIFS(
        PNS_data[Value],
        PNS_data[Country], FR_data[[#This Row],[Country]],
        PNS_data[National Society name], selected,
        PNS_data[Attribute], "SP1",
        PNS_data[Year], "2026"
    ),
    IF(_xlpm.sumValue = 0, "", _xlpm.sumValue)
)</f>
        <v/>
      </c>
      <c r="E78" s="31" t="str">
        <f>_xlfn.LET(
    _xlpm.sumValue, SUMIFS(
        PNS_data[Value],
        PNS_data[Country], FR_data[[#This Row],[Country]],
        PNS_data[National Society name], selected,
        PNS_data[Attribute], "SP2",
        PNS_data[Year], "2026"
    ),
    IF(_xlpm.sumValue = 0, "", _xlpm.sumValue)
)</f>
        <v/>
      </c>
      <c r="F78" s="31" t="str">
        <f>_xlfn.LET(
    _xlpm.sumValue, SUMIFS(
        PNS_data[Value],
        PNS_data[Country], FR_data[[#This Row],[Country]],
        PNS_data[National Society name], selected,
        PNS_data[Attribute], "SP3",
        PNS_data[Year], "2026"
    ),
    IF(_xlpm.sumValue = 0, "", _xlpm.sumValue)
)</f>
        <v/>
      </c>
      <c r="G78" s="31" t="str">
        <f>_xlfn.LET(
    _xlpm.sumValue, SUMIFS(
        PNS_data[Value],
        PNS_data[Country], FR_data[[#This Row],[Country]],
        PNS_data[National Society name], selected,
        PNS_data[Attribute], "SP4",
        PNS_data[Year], "2026"
    ),
    IF(_xlpm.sumValue = 0, "", _xlpm.sumValue)
)</f>
        <v/>
      </c>
      <c r="H78" s="31" t="str">
        <f>_xlfn.LET(
    _xlpm.sumValue, SUMIFS(
        PNS_data[Value],
        PNS_data[Country], FR_data[[#This Row],[Country]],
        PNS_data[National Society name], selected,
        PNS_data[Attribute], "SP5",
        PNS_data[Year], "2026"
    ),
    IF(_xlpm.sumValue = 0, "", _xlpm.sumValue)
)</f>
        <v/>
      </c>
      <c r="I78" s="31" t="str">
        <f>_xlfn.LET(
    _xlpm.sumValue, SUMIFS(
        PNS_data[Value],
        PNS_data[Country], FR_data[[#This Row],[Country]],
        PNS_data[National Society name], selected,
        PNS_data[Attribute], "EFs",
        PNS_data[Year], "2026"
    ),
    IF(_xlpm.sumValue = 0, "", _xlpm.sumValue)
)</f>
        <v/>
      </c>
      <c r="J78" s="32" t="str">
        <f>IF(SUM(FR_data[[#This Row],[Response - Disasters and Crises]:[Enabling Functions]])=0,"",SUM(FR_data[[#This Row],[Response - Disasters and Crises]:[Enabling Functions]]))</f>
        <v/>
      </c>
      <c r="K78" s="39"/>
      <c r="L78" s="30" t="str">
        <f>_xlfn.LET(
    _xlpm.sumValue, SUMIFS(
        PNS_data[Value],
        PNS_data[Country], FR_data[[#This Row],[Country]],
        PNS_data[National Society name], selected,
        PNS_data[Attribute], "SP1",
        PNS_data[Year], "2027"
    ),
    IF(_xlpm.sumValue = 0, "", _xlpm.sumValue)
)</f>
        <v/>
      </c>
      <c r="M78" s="31" t="str">
        <f>_xlfn.LET(
    _xlpm.sumValue, SUMIFS(
        PNS_data[Value],
        PNS_data[Country], FR_data[[#This Row],[Country]],
        PNS_data[National Society name], selected,
        PNS_data[Attribute], "SP2",
        PNS_data[Year], "2027"
    ),
    IF(_xlpm.sumValue = 0, "", _xlpm.sumValue)
)</f>
        <v/>
      </c>
      <c r="N78" s="31" t="str">
        <f>_xlfn.LET(
    _xlpm.sumValue, SUMIFS(
        PNS_data[Value],
        PNS_data[Country], FR_data[[#This Row],[Country]],
        PNS_data[National Society name], selected,
        PNS_data[Attribute], "SP3",
        PNS_data[Year], "2027"
    ),
    IF(_xlpm.sumValue = 0, "", _xlpm.sumValue)
)</f>
        <v/>
      </c>
      <c r="O78" s="31" t="str">
        <f>_xlfn.LET(
    _xlpm.sumValue, SUMIFS(
        PNS_data[Value],
        PNS_data[Country], FR_data[[#This Row],[Country]],
        PNS_data[National Society name], selected,
        PNS_data[Attribute], "SP4",
        PNS_data[Year], "2027"
    ),
    IF(_xlpm.sumValue = 0, "", _xlpm.sumValue)
)</f>
        <v/>
      </c>
      <c r="P78" s="31" t="str">
        <f>_xlfn.LET(
    _xlpm.sumValue, SUMIFS(
        PNS_data[Value],
        PNS_data[Country], FR_data[[#This Row],[Country]],
        PNS_data[National Society name], selected,
        PNS_data[Attribute], "SP5",
        PNS_data[Year], "2027"
    ),
    IF(_xlpm.sumValue = 0, "", _xlpm.sumValue)
)</f>
        <v/>
      </c>
      <c r="Q78" s="31" t="str">
        <f>_xlfn.LET(
    _xlpm.sumValue, SUMIFS(
        PNS_data[Value],
        PNS_data[Country], FR_data[[#This Row],[Country]],
        PNS_data[National Society name], selected,
        PNS_data[Attribute], "EFs",
        PNS_data[Year], "2027"
    ),
    IF(_xlpm.sumValue = 0, "", _xlpm.sumValue)
)</f>
        <v/>
      </c>
      <c r="R78" s="32" t="str">
        <f>IF(SUM(FR_data[[#This Row],[Response - Disasters and Crises ]:[Enabling Functions ]])=0,"",SUM(FR_data[[#This Row],[Response - Disasters and Crises ]:[Enabling Functions ]]))</f>
        <v/>
      </c>
      <c r="S78" s="39"/>
      <c r="T78" s="30" t="str">
        <f>_xlfn.LET(
    _xlpm.sumValue, SUMIFS(
        PNS_data[Value],
        PNS_data[Country], FR_data[[#This Row],[Country]],
        PNS_data[National Society name], selected,
        PNS_data[Attribute], "SP1",
        PNS_data[Year], "2028"
    ),
    IF(_xlpm.sumValue = 0, "", _xlpm.sumValue)
)</f>
        <v/>
      </c>
      <c r="U78" s="31" t="str">
        <f>_xlfn.LET(
    _xlpm.sumValue, SUMIFS(
        PNS_data[Value],
        PNS_data[Country], FR_data[[#This Row],[Country]],
        PNS_data[National Society name], selected,
        PNS_data[Attribute], "SP2",
        PNS_data[Year], "2028"
    ),
    IF(_xlpm.sumValue = 0, "", _xlpm.sumValue)
)</f>
        <v/>
      </c>
      <c r="V78" s="31" t="str">
        <f>_xlfn.LET(
    _xlpm.sumValue, SUMIFS(
        PNS_data[Value],
        PNS_data[Country], FR_data[[#This Row],[Country]],
        PNS_data[National Society name], selected,
        PNS_data[Attribute], "SP3",
        PNS_data[Year], "2028"
    ),
    IF(_xlpm.sumValue = 0, "", _xlpm.sumValue)
)</f>
        <v/>
      </c>
      <c r="W78" s="31" t="str">
        <f>_xlfn.LET(
    _xlpm.sumValue, SUMIFS(
        PNS_data[Value],
        PNS_data[Country], FR_data[[#This Row],[Country]],
        PNS_data[National Society name], selected,
        PNS_data[Attribute], "SP4",
        PNS_data[Year], "2028"
    ),
    IF(_xlpm.sumValue = 0, "", _xlpm.sumValue)
)</f>
        <v/>
      </c>
      <c r="X78" s="31" t="str">
        <f>_xlfn.LET(
    _xlpm.sumValue, SUMIFS(
        PNS_data[Value],
        PNS_data[Country], FR_data[[#This Row],[Country]],
        PNS_data[National Society name], selected,
        PNS_data[Attribute], "SP5",
        PNS_data[Year], "2028"
    ),
    IF(_xlpm.sumValue = 0, "", _xlpm.sumValue)
)</f>
        <v/>
      </c>
      <c r="Y78" s="31" t="str">
        <f>_xlfn.LET(
    _xlpm.sumValue, SUMIFS(
        PNS_data[Value],
        PNS_data[Country], FR_data[[#This Row],[Country]],
        PNS_data[National Society name], selected,
        PNS_data[Attribute], "EFs",
        PNS_data[Year], "2028"
    ),
    IF(_xlpm.sumValue = 0, "", _xlpm.sumValue)
)</f>
        <v/>
      </c>
      <c r="Z78" s="32" t="str">
        <f>IF(SUM(FR_data[[#This Row],[Response - Disasters and Crises  ]:[Enabling Functions  ]])=0,"",SUM(FR_data[[#This Row],[Response - Disasters and Crises  ]:[Enabling Functions  ]]))</f>
        <v/>
      </c>
      <c r="AA78" s="41"/>
    </row>
    <row r="79" spans="1:27" x14ac:dyDescent="0.3">
      <c r="A79" s="11" t="s">
        <v>218</v>
      </c>
      <c r="B79" s="11" t="s">
        <v>106</v>
      </c>
      <c r="C79" s="11" t="s">
        <v>219</v>
      </c>
      <c r="D79" s="30" t="str">
        <f>_xlfn.LET(
    _xlpm.sumValue, SUMIFS(
        PNS_data[Value],
        PNS_data[Country], FR_data[[#This Row],[Country]],
        PNS_data[National Society name], selected,
        PNS_data[Attribute], "SP1",
        PNS_data[Year], "2026"
    ),
    IF(_xlpm.sumValue = 0, "", _xlpm.sumValue)
)</f>
        <v/>
      </c>
      <c r="E79" s="31" t="str">
        <f>_xlfn.LET(
    _xlpm.sumValue, SUMIFS(
        PNS_data[Value],
        PNS_data[Country], FR_data[[#This Row],[Country]],
        PNS_data[National Society name], selected,
        PNS_data[Attribute], "SP2",
        PNS_data[Year], "2026"
    ),
    IF(_xlpm.sumValue = 0, "", _xlpm.sumValue)
)</f>
        <v/>
      </c>
      <c r="F79" s="31" t="str">
        <f>_xlfn.LET(
    _xlpm.sumValue, SUMIFS(
        PNS_data[Value],
        PNS_data[Country], FR_data[[#This Row],[Country]],
        PNS_data[National Society name], selected,
        PNS_data[Attribute], "SP3",
        PNS_data[Year], "2026"
    ),
    IF(_xlpm.sumValue = 0, "", _xlpm.sumValue)
)</f>
        <v/>
      </c>
      <c r="G79" s="31" t="str">
        <f>_xlfn.LET(
    _xlpm.sumValue, SUMIFS(
        PNS_data[Value],
        PNS_data[Country], FR_data[[#This Row],[Country]],
        PNS_data[National Society name], selected,
        PNS_data[Attribute], "SP4",
        PNS_data[Year], "2026"
    ),
    IF(_xlpm.sumValue = 0, "", _xlpm.sumValue)
)</f>
        <v/>
      </c>
      <c r="H79" s="31" t="str">
        <f>_xlfn.LET(
    _xlpm.sumValue, SUMIFS(
        PNS_data[Value],
        PNS_data[Country], FR_data[[#This Row],[Country]],
        PNS_data[National Society name], selected,
        PNS_data[Attribute], "SP5",
        PNS_data[Year], "2026"
    ),
    IF(_xlpm.sumValue = 0, "", _xlpm.sumValue)
)</f>
        <v/>
      </c>
      <c r="I79" s="31" t="str">
        <f>_xlfn.LET(
    _xlpm.sumValue, SUMIFS(
        PNS_data[Value],
        PNS_data[Country], FR_data[[#This Row],[Country]],
        PNS_data[National Society name], selected,
        PNS_data[Attribute], "EFs",
        PNS_data[Year], "2026"
    ),
    IF(_xlpm.sumValue = 0, "", _xlpm.sumValue)
)</f>
        <v/>
      </c>
      <c r="J79" s="32" t="str">
        <f>IF(SUM(FR_data[[#This Row],[Response - Disasters and Crises]:[Enabling Functions]])=0,"",SUM(FR_data[[#This Row],[Response - Disasters and Crises]:[Enabling Functions]]))</f>
        <v/>
      </c>
      <c r="K79" s="39"/>
      <c r="L79" s="30" t="str">
        <f>_xlfn.LET(
    _xlpm.sumValue, SUMIFS(
        PNS_data[Value],
        PNS_data[Country], FR_data[[#This Row],[Country]],
        PNS_data[National Society name], selected,
        PNS_data[Attribute], "SP1",
        PNS_data[Year], "2027"
    ),
    IF(_xlpm.sumValue = 0, "", _xlpm.sumValue)
)</f>
        <v/>
      </c>
      <c r="M79" s="31" t="str">
        <f>_xlfn.LET(
    _xlpm.sumValue, SUMIFS(
        PNS_data[Value],
        PNS_data[Country], FR_data[[#This Row],[Country]],
        PNS_data[National Society name], selected,
        PNS_data[Attribute], "SP2",
        PNS_data[Year], "2027"
    ),
    IF(_xlpm.sumValue = 0, "", _xlpm.sumValue)
)</f>
        <v/>
      </c>
      <c r="N79" s="31" t="str">
        <f>_xlfn.LET(
    _xlpm.sumValue, SUMIFS(
        PNS_data[Value],
        PNS_data[Country], FR_data[[#This Row],[Country]],
        PNS_data[National Society name], selected,
        PNS_data[Attribute], "SP3",
        PNS_data[Year], "2027"
    ),
    IF(_xlpm.sumValue = 0, "", _xlpm.sumValue)
)</f>
        <v/>
      </c>
      <c r="O79" s="31" t="str">
        <f>_xlfn.LET(
    _xlpm.sumValue, SUMIFS(
        PNS_data[Value],
        PNS_data[Country], FR_data[[#This Row],[Country]],
        PNS_data[National Society name], selected,
        PNS_data[Attribute], "SP4",
        PNS_data[Year], "2027"
    ),
    IF(_xlpm.sumValue = 0, "", _xlpm.sumValue)
)</f>
        <v/>
      </c>
      <c r="P79" s="31" t="str">
        <f>_xlfn.LET(
    _xlpm.sumValue, SUMIFS(
        PNS_data[Value],
        PNS_data[Country], FR_data[[#This Row],[Country]],
        PNS_data[National Society name], selected,
        PNS_data[Attribute], "SP5",
        PNS_data[Year], "2027"
    ),
    IF(_xlpm.sumValue = 0, "", _xlpm.sumValue)
)</f>
        <v/>
      </c>
      <c r="Q79" s="31" t="str">
        <f>_xlfn.LET(
    _xlpm.sumValue, SUMIFS(
        PNS_data[Value],
        PNS_data[Country], FR_data[[#This Row],[Country]],
        PNS_data[National Society name], selected,
        PNS_data[Attribute], "EFs",
        PNS_data[Year], "2027"
    ),
    IF(_xlpm.sumValue = 0, "", _xlpm.sumValue)
)</f>
        <v/>
      </c>
      <c r="R79" s="32" t="str">
        <f>IF(SUM(FR_data[[#This Row],[Response - Disasters and Crises ]:[Enabling Functions ]])=0,"",SUM(FR_data[[#This Row],[Response - Disasters and Crises ]:[Enabling Functions ]]))</f>
        <v/>
      </c>
      <c r="S79" s="39"/>
      <c r="T79" s="30" t="str">
        <f>_xlfn.LET(
    _xlpm.sumValue, SUMIFS(
        PNS_data[Value],
        PNS_data[Country], FR_data[[#This Row],[Country]],
        PNS_data[National Society name], selected,
        PNS_data[Attribute], "SP1",
        PNS_data[Year], "2028"
    ),
    IF(_xlpm.sumValue = 0, "", _xlpm.sumValue)
)</f>
        <v/>
      </c>
      <c r="U79" s="31" t="str">
        <f>_xlfn.LET(
    _xlpm.sumValue, SUMIFS(
        PNS_data[Value],
        PNS_data[Country], FR_data[[#This Row],[Country]],
        PNS_data[National Society name], selected,
        PNS_data[Attribute], "SP2",
        PNS_data[Year], "2028"
    ),
    IF(_xlpm.sumValue = 0, "", _xlpm.sumValue)
)</f>
        <v/>
      </c>
      <c r="V79" s="31" t="str">
        <f>_xlfn.LET(
    _xlpm.sumValue, SUMIFS(
        PNS_data[Value],
        PNS_data[Country], FR_data[[#This Row],[Country]],
        PNS_data[National Society name], selected,
        PNS_data[Attribute], "SP3",
        PNS_data[Year], "2028"
    ),
    IF(_xlpm.sumValue = 0, "", _xlpm.sumValue)
)</f>
        <v/>
      </c>
      <c r="W79" s="31" t="str">
        <f>_xlfn.LET(
    _xlpm.sumValue, SUMIFS(
        PNS_data[Value],
        PNS_data[Country], FR_data[[#This Row],[Country]],
        PNS_data[National Society name], selected,
        PNS_data[Attribute], "SP4",
        PNS_data[Year], "2028"
    ),
    IF(_xlpm.sumValue = 0, "", _xlpm.sumValue)
)</f>
        <v/>
      </c>
      <c r="X79" s="31" t="str">
        <f>_xlfn.LET(
    _xlpm.sumValue, SUMIFS(
        PNS_data[Value],
        PNS_data[Country], FR_data[[#This Row],[Country]],
        PNS_data[National Society name], selected,
        PNS_data[Attribute], "SP5",
        PNS_data[Year], "2028"
    ),
    IF(_xlpm.sumValue = 0, "", _xlpm.sumValue)
)</f>
        <v/>
      </c>
      <c r="Y79" s="31" t="str">
        <f>_xlfn.LET(
    _xlpm.sumValue, SUMIFS(
        PNS_data[Value],
        PNS_data[Country], FR_data[[#This Row],[Country]],
        PNS_data[National Society name], selected,
        PNS_data[Attribute], "EFs",
        PNS_data[Year], "2028"
    ),
    IF(_xlpm.sumValue = 0, "", _xlpm.sumValue)
)</f>
        <v/>
      </c>
      <c r="Z79" s="32" t="str">
        <f>IF(SUM(FR_data[[#This Row],[Response - Disasters and Crises  ]:[Enabling Functions  ]])=0,"",SUM(FR_data[[#This Row],[Response - Disasters and Crises  ]:[Enabling Functions  ]]))</f>
        <v/>
      </c>
      <c r="AA79" s="41"/>
    </row>
    <row r="80" spans="1:27" x14ac:dyDescent="0.3">
      <c r="A80" s="11" t="s">
        <v>222</v>
      </c>
      <c r="B80" s="11" t="s">
        <v>106</v>
      </c>
      <c r="C80" s="11" t="s">
        <v>25</v>
      </c>
      <c r="D80" s="30" t="str">
        <f>_xlfn.LET(
    _xlpm.sumValue, SUMIFS(
        PNS_data[Value],
        PNS_data[Country], FR_data[[#This Row],[Country]],
        PNS_data[National Society name], selected,
        PNS_data[Attribute], "SP1",
        PNS_data[Year], "2026"
    ),
    IF(_xlpm.sumValue = 0, "", _xlpm.sumValue)
)</f>
        <v/>
      </c>
      <c r="E80" s="31" t="str">
        <f>_xlfn.LET(
    _xlpm.sumValue, SUMIFS(
        PNS_data[Value],
        PNS_data[Country], FR_data[[#This Row],[Country]],
        PNS_data[National Society name], selected,
        PNS_data[Attribute], "SP2",
        PNS_data[Year], "2026"
    ),
    IF(_xlpm.sumValue = 0, "", _xlpm.sumValue)
)</f>
        <v/>
      </c>
      <c r="F80" s="31" t="str">
        <f>_xlfn.LET(
    _xlpm.sumValue, SUMIFS(
        PNS_data[Value],
        PNS_data[Country], FR_data[[#This Row],[Country]],
        PNS_data[National Society name], selected,
        PNS_data[Attribute], "SP3",
        PNS_data[Year], "2026"
    ),
    IF(_xlpm.sumValue = 0, "", _xlpm.sumValue)
)</f>
        <v/>
      </c>
      <c r="G80" s="31" t="str">
        <f>_xlfn.LET(
    _xlpm.sumValue, SUMIFS(
        PNS_data[Value],
        PNS_data[Country], FR_data[[#This Row],[Country]],
        PNS_data[National Society name], selected,
        PNS_data[Attribute], "SP4",
        PNS_data[Year], "2026"
    ),
    IF(_xlpm.sumValue = 0, "", _xlpm.sumValue)
)</f>
        <v/>
      </c>
      <c r="H80" s="31" t="str">
        <f>_xlfn.LET(
    _xlpm.sumValue, SUMIFS(
        PNS_data[Value],
        PNS_data[Country], FR_data[[#This Row],[Country]],
        PNS_data[National Society name], selected,
        PNS_data[Attribute], "SP5",
        PNS_data[Year], "2026"
    ),
    IF(_xlpm.sumValue = 0, "", _xlpm.sumValue)
)</f>
        <v/>
      </c>
      <c r="I80" s="31" t="str">
        <f>_xlfn.LET(
    _xlpm.sumValue, SUMIFS(
        PNS_data[Value],
        PNS_data[Country], FR_data[[#This Row],[Country]],
        PNS_data[National Society name], selected,
        PNS_data[Attribute], "EFs",
        PNS_data[Year], "2026"
    ),
    IF(_xlpm.sumValue = 0, "", _xlpm.sumValue)
)</f>
        <v/>
      </c>
      <c r="J80" s="32" t="str">
        <f>IF(SUM(FR_data[[#This Row],[Response - Disasters and Crises]:[Enabling Functions]])=0,"",SUM(FR_data[[#This Row],[Response - Disasters and Crises]:[Enabling Functions]]))</f>
        <v/>
      </c>
      <c r="K80" s="39"/>
      <c r="L80" s="30" t="str">
        <f>_xlfn.LET(
    _xlpm.sumValue, SUMIFS(
        PNS_data[Value],
        PNS_data[Country], FR_data[[#This Row],[Country]],
        PNS_data[National Society name], selected,
        PNS_data[Attribute], "SP1",
        PNS_data[Year], "2027"
    ),
    IF(_xlpm.sumValue = 0, "", _xlpm.sumValue)
)</f>
        <v/>
      </c>
      <c r="M80" s="31" t="str">
        <f>_xlfn.LET(
    _xlpm.sumValue, SUMIFS(
        PNS_data[Value],
        PNS_data[Country], FR_data[[#This Row],[Country]],
        PNS_data[National Society name], selected,
        PNS_data[Attribute], "SP2",
        PNS_data[Year], "2027"
    ),
    IF(_xlpm.sumValue = 0, "", _xlpm.sumValue)
)</f>
        <v/>
      </c>
      <c r="N80" s="31" t="str">
        <f>_xlfn.LET(
    _xlpm.sumValue, SUMIFS(
        PNS_data[Value],
        PNS_data[Country], FR_data[[#This Row],[Country]],
        PNS_data[National Society name], selected,
        PNS_data[Attribute], "SP3",
        PNS_data[Year], "2027"
    ),
    IF(_xlpm.sumValue = 0, "", _xlpm.sumValue)
)</f>
        <v/>
      </c>
      <c r="O80" s="31" t="str">
        <f>_xlfn.LET(
    _xlpm.sumValue, SUMIFS(
        PNS_data[Value],
        PNS_data[Country], FR_data[[#This Row],[Country]],
        PNS_data[National Society name], selected,
        PNS_data[Attribute], "SP4",
        PNS_data[Year], "2027"
    ),
    IF(_xlpm.sumValue = 0, "", _xlpm.sumValue)
)</f>
        <v/>
      </c>
      <c r="P80" s="31" t="str">
        <f>_xlfn.LET(
    _xlpm.sumValue, SUMIFS(
        PNS_data[Value],
        PNS_data[Country], FR_data[[#This Row],[Country]],
        PNS_data[National Society name], selected,
        PNS_data[Attribute], "SP5",
        PNS_data[Year], "2027"
    ),
    IF(_xlpm.sumValue = 0, "", _xlpm.sumValue)
)</f>
        <v/>
      </c>
      <c r="Q80" s="31" t="str">
        <f>_xlfn.LET(
    _xlpm.sumValue, SUMIFS(
        PNS_data[Value],
        PNS_data[Country], FR_data[[#This Row],[Country]],
        PNS_data[National Society name], selected,
        PNS_data[Attribute], "EFs",
        PNS_data[Year], "2027"
    ),
    IF(_xlpm.sumValue = 0, "", _xlpm.sumValue)
)</f>
        <v/>
      </c>
      <c r="R80" s="32" t="str">
        <f>IF(SUM(FR_data[[#This Row],[Response - Disasters and Crises ]:[Enabling Functions ]])=0,"",SUM(FR_data[[#This Row],[Response - Disasters and Crises ]:[Enabling Functions ]]))</f>
        <v/>
      </c>
      <c r="S80" s="39"/>
      <c r="T80" s="30" t="str">
        <f>_xlfn.LET(
    _xlpm.sumValue, SUMIFS(
        PNS_data[Value],
        PNS_data[Country], FR_data[[#This Row],[Country]],
        PNS_data[National Society name], selected,
        PNS_data[Attribute], "SP1",
        PNS_data[Year], "2028"
    ),
    IF(_xlpm.sumValue = 0, "", _xlpm.sumValue)
)</f>
        <v/>
      </c>
      <c r="U80" s="31" t="str">
        <f>_xlfn.LET(
    _xlpm.sumValue, SUMIFS(
        PNS_data[Value],
        PNS_data[Country], FR_data[[#This Row],[Country]],
        PNS_data[National Society name], selected,
        PNS_data[Attribute], "SP2",
        PNS_data[Year], "2028"
    ),
    IF(_xlpm.sumValue = 0, "", _xlpm.sumValue)
)</f>
        <v/>
      </c>
      <c r="V80" s="31" t="str">
        <f>_xlfn.LET(
    _xlpm.sumValue, SUMIFS(
        PNS_data[Value],
        PNS_data[Country], FR_data[[#This Row],[Country]],
        PNS_data[National Society name], selected,
        PNS_data[Attribute], "SP3",
        PNS_data[Year], "2028"
    ),
    IF(_xlpm.sumValue = 0, "", _xlpm.sumValue)
)</f>
        <v/>
      </c>
      <c r="W80" s="31" t="str">
        <f>_xlfn.LET(
    _xlpm.sumValue, SUMIFS(
        PNS_data[Value],
        PNS_data[Country], FR_data[[#This Row],[Country]],
        PNS_data[National Society name], selected,
        PNS_data[Attribute], "SP4",
        PNS_data[Year], "2028"
    ),
    IF(_xlpm.sumValue = 0, "", _xlpm.sumValue)
)</f>
        <v/>
      </c>
      <c r="X80" s="31" t="str">
        <f>_xlfn.LET(
    _xlpm.sumValue, SUMIFS(
        PNS_data[Value],
        PNS_data[Country], FR_data[[#This Row],[Country]],
        PNS_data[National Society name], selected,
        PNS_data[Attribute], "SP5",
        PNS_data[Year], "2028"
    ),
    IF(_xlpm.sumValue = 0, "", _xlpm.sumValue)
)</f>
        <v/>
      </c>
      <c r="Y80" s="31" t="str">
        <f>_xlfn.LET(
    _xlpm.sumValue, SUMIFS(
        PNS_data[Value],
        PNS_data[Country], FR_data[[#This Row],[Country]],
        PNS_data[National Society name], selected,
        PNS_data[Attribute], "EFs",
        PNS_data[Year], "2028"
    ),
    IF(_xlpm.sumValue = 0, "", _xlpm.sumValue)
)</f>
        <v/>
      </c>
      <c r="Z80" s="32" t="str">
        <f>IF(SUM(FR_data[[#This Row],[Response - Disasters and Crises  ]:[Enabling Functions  ]])=0,"",SUM(FR_data[[#This Row],[Response - Disasters and Crises  ]:[Enabling Functions  ]]))</f>
        <v/>
      </c>
      <c r="AA80" s="41"/>
    </row>
    <row r="81" spans="1:27" x14ac:dyDescent="0.3">
      <c r="A81" s="11" t="s">
        <v>210</v>
      </c>
      <c r="B81" s="11" t="s">
        <v>106</v>
      </c>
      <c r="C81" s="11" t="s">
        <v>211</v>
      </c>
      <c r="D81" s="30" t="str">
        <f>_xlfn.LET(
    _xlpm.sumValue, SUMIFS(
        PNS_data[Value],
        PNS_data[Country], FR_data[[#This Row],[Country]],
        PNS_data[National Society name], selected,
        PNS_data[Attribute], "SP1",
        PNS_data[Year], "2026"
    ),
    IF(_xlpm.sumValue = 0, "", _xlpm.sumValue)
)</f>
        <v/>
      </c>
      <c r="E81" s="31" t="str">
        <f>_xlfn.LET(
    _xlpm.sumValue, SUMIFS(
        PNS_data[Value],
        PNS_data[Country], FR_data[[#This Row],[Country]],
        PNS_data[National Society name], selected,
        PNS_data[Attribute], "SP2",
        PNS_data[Year], "2026"
    ),
    IF(_xlpm.sumValue = 0, "", _xlpm.sumValue)
)</f>
        <v/>
      </c>
      <c r="F81" s="31" t="str">
        <f>_xlfn.LET(
    _xlpm.sumValue, SUMIFS(
        PNS_data[Value],
        PNS_data[Country], FR_data[[#This Row],[Country]],
        PNS_data[National Society name], selected,
        PNS_data[Attribute], "SP3",
        PNS_data[Year], "2026"
    ),
    IF(_xlpm.sumValue = 0, "", _xlpm.sumValue)
)</f>
        <v/>
      </c>
      <c r="G81" s="31" t="str">
        <f>_xlfn.LET(
    _xlpm.sumValue, SUMIFS(
        PNS_data[Value],
        PNS_data[Country], FR_data[[#This Row],[Country]],
        PNS_data[National Society name], selected,
        PNS_data[Attribute], "SP4",
        PNS_data[Year], "2026"
    ),
    IF(_xlpm.sumValue = 0, "", _xlpm.sumValue)
)</f>
        <v/>
      </c>
      <c r="H81" s="31" t="str">
        <f>_xlfn.LET(
    _xlpm.sumValue, SUMIFS(
        PNS_data[Value],
        PNS_data[Country], FR_data[[#This Row],[Country]],
        PNS_data[National Society name], selected,
        PNS_data[Attribute], "SP5",
        PNS_data[Year], "2026"
    ),
    IF(_xlpm.sumValue = 0, "", _xlpm.sumValue)
)</f>
        <v/>
      </c>
      <c r="I81" s="31" t="str">
        <f>_xlfn.LET(
    _xlpm.sumValue, SUMIFS(
        PNS_data[Value],
        PNS_data[Country], FR_data[[#This Row],[Country]],
        PNS_data[National Society name], selected,
        PNS_data[Attribute], "EFs",
        PNS_data[Year], "2026"
    ),
    IF(_xlpm.sumValue = 0, "", _xlpm.sumValue)
)</f>
        <v/>
      </c>
      <c r="J81" s="32" t="str">
        <f>IF(SUM(FR_data[[#This Row],[Response - Disasters and Crises]:[Enabling Functions]])=0,"",SUM(FR_data[[#This Row],[Response - Disasters and Crises]:[Enabling Functions]]))</f>
        <v/>
      </c>
      <c r="K81" s="39"/>
      <c r="L81" s="30" t="str">
        <f>_xlfn.LET(
    _xlpm.sumValue, SUMIFS(
        PNS_data[Value],
        PNS_data[Country], FR_data[[#This Row],[Country]],
        PNS_data[National Society name], selected,
        PNS_data[Attribute], "SP1",
        PNS_data[Year], "2027"
    ),
    IF(_xlpm.sumValue = 0, "", _xlpm.sumValue)
)</f>
        <v/>
      </c>
      <c r="M81" s="31" t="str">
        <f>_xlfn.LET(
    _xlpm.sumValue, SUMIFS(
        PNS_data[Value],
        PNS_data[Country], FR_data[[#This Row],[Country]],
        PNS_data[National Society name], selected,
        PNS_data[Attribute], "SP2",
        PNS_data[Year], "2027"
    ),
    IF(_xlpm.sumValue = 0, "", _xlpm.sumValue)
)</f>
        <v/>
      </c>
      <c r="N81" s="31" t="str">
        <f>_xlfn.LET(
    _xlpm.sumValue, SUMIFS(
        PNS_data[Value],
        PNS_data[Country], FR_data[[#This Row],[Country]],
        PNS_data[National Society name], selected,
        PNS_data[Attribute], "SP3",
        PNS_data[Year], "2027"
    ),
    IF(_xlpm.sumValue = 0, "", _xlpm.sumValue)
)</f>
        <v/>
      </c>
      <c r="O81" s="31" t="str">
        <f>_xlfn.LET(
    _xlpm.sumValue, SUMIFS(
        PNS_data[Value],
        PNS_data[Country], FR_data[[#This Row],[Country]],
        PNS_data[National Society name], selected,
        PNS_data[Attribute], "SP4",
        PNS_data[Year], "2027"
    ),
    IF(_xlpm.sumValue = 0, "", _xlpm.sumValue)
)</f>
        <v/>
      </c>
      <c r="P81" s="31" t="str">
        <f>_xlfn.LET(
    _xlpm.sumValue, SUMIFS(
        PNS_data[Value],
        PNS_data[Country], FR_data[[#This Row],[Country]],
        PNS_data[National Society name], selected,
        PNS_data[Attribute], "SP5",
        PNS_data[Year], "2027"
    ),
    IF(_xlpm.sumValue = 0, "", _xlpm.sumValue)
)</f>
        <v/>
      </c>
      <c r="Q81" s="31" t="str">
        <f>_xlfn.LET(
    _xlpm.sumValue, SUMIFS(
        PNS_data[Value],
        PNS_data[Country], FR_data[[#This Row],[Country]],
        PNS_data[National Society name], selected,
        PNS_data[Attribute], "EFs",
        PNS_data[Year], "2027"
    ),
    IF(_xlpm.sumValue = 0, "", _xlpm.sumValue)
)</f>
        <v/>
      </c>
      <c r="R81" s="32" t="str">
        <f>IF(SUM(FR_data[[#This Row],[Response - Disasters and Crises ]:[Enabling Functions ]])=0,"",SUM(FR_data[[#This Row],[Response - Disasters and Crises ]:[Enabling Functions ]]))</f>
        <v/>
      </c>
      <c r="S81" s="39"/>
      <c r="T81" s="30" t="str">
        <f>_xlfn.LET(
    _xlpm.sumValue, SUMIFS(
        PNS_data[Value],
        PNS_data[Country], FR_data[[#This Row],[Country]],
        PNS_data[National Society name], selected,
        PNS_data[Attribute], "SP1",
        PNS_data[Year], "2028"
    ),
    IF(_xlpm.sumValue = 0, "", _xlpm.sumValue)
)</f>
        <v/>
      </c>
      <c r="U81" s="31" t="str">
        <f>_xlfn.LET(
    _xlpm.sumValue, SUMIFS(
        PNS_data[Value],
        PNS_data[Country], FR_data[[#This Row],[Country]],
        PNS_data[National Society name], selected,
        PNS_data[Attribute], "SP2",
        PNS_data[Year], "2028"
    ),
    IF(_xlpm.sumValue = 0, "", _xlpm.sumValue)
)</f>
        <v/>
      </c>
      <c r="V81" s="31" t="str">
        <f>_xlfn.LET(
    _xlpm.sumValue, SUMIFS(
        PNS_data[Value],
        PNS_data[Country], FR_data[[#This Row],[Country]],
        PNS_data[National Society name], selected,
        PNS_data[Attribute], "SP3",
        PNS_data[Year], "2028"
    ),
    IF(_xlpm.sumValue = 0, "", _xlpm.sumValue)
)</f>
        <v/>
      </c>
      <c r="W81" s="31" t="str">
        <f>_xlfn.LET(
    _xlpm.sumValue, SUMIFS(
        PNS_data[Value],
        PNS_data[Country], FR_data[[#This Row],[Country]],
        PNS_data[National Society name], selected,
        PNS_data[Attribute], "SP4",
        PNS_data[Year], "2028"
    ),
    IF(_xlpm.sumValue = 0, "", _xlpm.sumValue)
)</f>
        <v/>
      </c>
      <c r="X81" s="31" t="str">
        <f>_xlfn.LET(
    _xlpm.sumValue, SUMIFS(
        PNS_data[Value],
        PNS_data[Country], FR_data[[#This Row],[Country]],
        PNS_data[National Society name], selected,
        PNS_data[Attribute], "SP5",
        PNS_data[Year], "2028"
    ),
    IF(_xlpm.sumValue = 0, "", _xlpm.sumValue)
)</f>
        <v/>
      </c>
      <c r="Y81" s="31" t="str">
        <f>_xlfn.LET(
    _xlpm.sumValue, SUMIFS(
        PNS_data[Value],
        PNS_data[Country], FR_data[[#This Row],[Country]],
        PNS_data[National Society name], selected,
        PNS_data[Attribute], "EFs",
        PNS_data[Year], "2028"
    ),
    IF(_xlpm.sumValue = 0, "", _xlpm.sumValue)
)</f>
        <v/>
      </c>
      <c r="Z81" s="32" t="str">
        <f>IF(SUM(FR_data[[#This Row],[Response - Disasters and Crises  ]:[Enabling Functions  ]])=0,"",SUM(FR_data[[#This Row],[Response - Disasters and Crises  ]:[Enabling Functions  ]]))</f>
        <v/>
      </c>
      <c r="AA81" s="41"/>
    </row>
    <row r="82" spans="1:27" x14ac:dyDescent="0.3">
      <c r="A82" s="11" t="s">
        <v>287</v>
      </c>
      <c r="B82" s="11" t="s">
        <v>106</v>
      </c>
      <c r="C82" s="11" t="s">
        <v>288</v>
      </c>
      <c r="D82" s="30" t="str">
        <f>_xlfn.LET(
    _xlpm.sumValue, SUMIFS(
        PNS_data[Value],
        PNS_data[Country], FR_data[[#This Row],[Country]],
        PNS_data[National Society name], selected,
        PNS_data[Attribute], "SP1",
        PNS_data[Year], "2026"
    ),
    IF(_xlpm.sumValue = 0, "", _xlpm.sumValue)
)</f>
        <v/>
      </c>
      <c r="E82" s="31" t="str">
        <f>_xlfn.LET(
    _xlpm.sumValue, SUMIFS(
        PNS_data[Value],
        PNS_data[Country], FR_data[[#This Row],[Country]],
        PNS_data[National Society name], selected,
        PNS_data[Attribute], "SP2",
        PNS_data[Year], "2026"
    ),
    IF(_xlpm.sumValue = 0, "", _xlpm.sumValue)
)</f>
        <v/>
      </c>
      <c r="F82" s="31" t="str">
        <f>_xlfn.LET(
    _xlpm.sumValue, SUMIFS(
        PNS_data[Value],
        PNS_data[Country], FR_data[[#This Row],[Country]],
        PNS_data[National Society name], selected,
        PNS_data[Attribute], "SP3",
        PNS_data[Year], "2026"
    ),
    IF(_xlpm.sumValue = 0, "", _xlpm.sumValue)
)</f>
        <v/>
      </c>
      <c r="G82" s="31" t="str">
        <f>_xlfn.LET(
    _xlpm.sumValue, SUMIFS(
        PNS_data[Value],
        PNS_data[Country], FR_data[[#This Row],[Country]],
        PNS_data[National Society name], selected,
        PNS_data[Attribute], "SP4",
        PNS_data[Year], "2026"
    ),
    IF(_xlpm.sumValue = 0, "", _xlpm.sumValue)
)</f>
        <v/>
      </c>
      <c r="H82" s="31" t="str">
        <f>_xlfn.LET(
    _xlpm.sumValue, SUMIFS(
        PNS_data[Value],
        PNS_data[Country], FR_data[[#This Row],[Country]],
        PNS_data[National Society name], selected,
        PNS_data[Attribute], "SP5",
        PNS_data[Year], "2026"
    ),
    IF(_xlpm.sumValue = 0, "", _xlpm.sumValue)
)</f>
        <v/>
      </c>
      <c r="I82" s="31" t="str">
        <f>_xlfn.LET(
    _xlpm.sumValue, SUMIFS(
        PNS_data[Value],
        PNS_data[Country], FR_data[[#This Row],[Country]],
        PNS_data[National Society name], selected,
        PNS_data[Attribute], "EFs",
        PNS_data[Year], "2026"
    ),
    IF(_xlpm.sumValue = 0, "", _xlpm.sumValue)
)</f>
        <v/>
      </c>
      <c r="J82" s="32" t="str">
        <f>IF(SUM(FR_data[[#This Row],[Response - Disasters and Crises]:[Enabling Functions]])=0,"",SUM(FR_data[[#This Row],[Response - Disasters and Crises]:[Enabling Functions]]))</f>
        <v/>
      </c>
      <c r="K82" s="39"/>
      <c r="L82" s="30" t="str">
        <f>_xlfn.LET(
    _xlpm.sumValue, SUMIFS(
        PNS_data[Value],
        PNS_data[Country], FR_data[[#This Row],[Country]],
        PNS_data[National Society name], selected,
        PNS_data[Attribute], "SP1",
        PNS_data[Year], "2027"
    ),
    IF(_xlpm.sumValue = 0, "", _xlpm.sumValue)
)</f>
        <v/>
      </c>
      <c r="M82" s="31" t="str">
        <f>_xlfn.LET(
    _xlpm.sumValue, SUMIFS(
        PNS_data[Value],
        PNS_data[Country], FR_data[[#This Row],[Country]],
        PNS_data[National Society name], selected,
        PNS_data[Attribute], "SP2",
        PNS_data[Year], "2027"
    ),
    IF(_xlpm.sumValue = 0, "", _xlpm.sumValue)
)</f>
        <v/>
      </c>
      <c r="N82" s="31" t="str">
        <f>_xlfn.LET(
    _xlpm.sumValue, SUMIFS(
        PNS_data[Value],
        PNS_data[Country], FR_data[[#This Row],[Country]],
        PNS_data[National Society name], selected,
        PNS_data[Attribute], "SP3",
        PNS_data[Year], "2027"
    ),
    IF(_xlpm.sumValue = 0, "", _xlpm.sumValue)
)</f>
        <v/>
      </c>
      <c r="O82" s="31" t="str">
        <f>_xlfn.LET(
    _xlpm.sumValue, SUMIFS(
        PNS_data[Value],
        PNS_data[Country], FR_data[[#This Row],[Country]],
        PNS_data[National Society name], selected,
        PNS_data[Attribute], "SP4",
        PNS_data[Year], "2027"
    ),
    IF(_xlpm.sumValue = 0, "", _xlpm.sumValue)
)</f>
        <v/>
      </c>
      <c r="P82" s="31" t="str">
        <f>_xlfn.LET(
    _xlpm.sumValue, SUMIFS(
        PNS_data[Value],
        PNS_data[Country], FR_data[[#This Row],[Country]],
        PNS_data[National Society name], selected,
        PNS_data[Attribute], "SP5",
        PNS_data[Year], "2027"
    ),
    IF(_xlpm.sumValue = 0, "", _xlpm.sumValue)
)</f>
        <v/>
      </c>
      <c r="Q82" s="31" t="str">
        <f>_xlfn.LET(
    _xlpm.sumValue, SUMIFS(
        PNS_data[Value],
        PNS_data[Country], FR_data[[#This Row],[Country]],
        PNS_data[National Society name], selected,
        PNS_data[Attribute], "EFs",
        PNS_data[Year], "2027"
    ),
    IF(_xlpm.sumValue = 0, "", _xlpm.sumValue)
)</f>
        <v/>
      </c>
      <c r="R82" s="32" t="str">
        <f>IF(SUM(FR_data[[#This Row],[Response - Disasters and Crises ]:[Enabling Functions ]])=0,"",SUM(FR_data[[#This Row],[Response - Disasters and Crises ]:[Enabling Functions ]]))</f>
        <v/>
      </c>
      <c r="S82" s="39"/>
      <c r="T82" s="30" t="str">
        <f>_xlfn.LET(
    _xlpm.sumValue, SUMIFS(
        PNS_data[Value],
        PNS_data[Country], FR_data[[#This Row],[Country]],
        PNS_data[National Society name], selected,
        PNS_data[Attribute], "SP1",
        PNS_data[Year], "2028"
    ),
    IF(_xlpm.sumValue = 0, "", _xlpm.sumValue)
)</f>
        <v/>
      </c>
      <c r="U82" s="31" t="str">
        <f>_xlfn.LET(
    _xlpm.sumValue, SUMIFS(
        PNS_data[Value],
        PNS_data[Country], FR_data[[#This Row],[Country]],
        PNS_data[National Society name], selected,
        PNS_data[Attribute], "SP2",
        PNS_data[Year], "2028"
    ),
    IF(_xlpm.sumValue = 0, "", _xlpm.sumValue)
)</f>
        <v/>
      </c>
      <c r="V82" s="31" t="str">
        <f>_xlfn.LET(
    _xlpm.sumValue, SUMIFS(
        PNS_data[Value],
        PNS_data[Country], FR_data[[#This Row],[Country]],
        PNS_data[National Society name], selected,
        PNS_data[Attribute], "SP3",
        PNS_data[Year], "2028"
    ),
    IF(_xlpm.sumValue = 0, "", _xlpm.sumValue)
)</f>
        <v/>
      </c>
      <c r="W82" s="31" t="str">
        <f>_xlfn.LET(
    _xlpm.sumValue, SUMIFS(
        PNS_data[Value],
        PNS_data[Country], FR_data[[#This Row],[Country]],
        PNS_data[National Society name], selected,
        PNS_data[Attribute], "SP4",
        PNS_data[Year], "2028"
    ),
    IF(_xlpm.sumValue = 0, "", _xlpm.sumValue)
)</f>
        <v/>
      </c>
      <c r="X82" s="31" t="str">
        <f>_xlfn.LET(
    _xlpm.sumValue, SUMIFS(
        PNS_data[Value],
        PNS_data[Country], FR_data[[#This Row],[Country]],
        PNS_data[National Society name], selected,
        PNS_data[Attribute], "SP5",
        PNS_data[Year], "2028"
    ),
    IF(_xlpm.sumValue = 0, "", _xlpm.sumValue)
)</f>
        <v/>
      </c>
      <c r="Y82" s="31" t="str">
        <f>_xlfn.LET(
    _xlpm.sumValue, SUMIFS(
        PNS_data[Value],
        PNS_data[Country], FR_data[[#This Row],[Country]],
        PNS_data[National Society name], selected,
        PNS_data[Attribute], "EFs",
        PNS_data[Year], "2028"
    ),
    IF(_xlpm.sumValue = 0, "", _xlpm.sumValue)
)</f>
        <v/>
      </c>
      <c r="Z82" s="32" t="str">
        <f>IF(SUM(FR_data[[#This Row],[Response - Disasters and Crises  ]:[Enabling Functions  ]])=0,"",SUM(FR_data[[#This Row],[Response - Disasters and Crises  ]:[Enabling Functions  ]]))</f>
        <v/>
      </c>
      <c r="AA82" s="41"/>
    </row>
    <row r="83" spans="1:27" x14ac:dyDescent="0.3">
      <c r="A83" s="11" t="s">
        <v>272</v>
      </c>
      <c r="B83" s="11" t="s">
        <v>106</v>
      </c>
      <c r="C83" s="11" t="s">
        <v>273</v>
      </c>
      <c r="D83" s="30" t="str">
        <f>_xlfn.LET(
    _xlpm.sumValue, SUMIFS(
        PNS_data[Value],
        PNS_data[Country], FR_data[[#This Row],[Country]],
        PNS_data[National Society name], selected,
        PNS_data[Attribute], "SP1",
        PNS_data[Year], "2026"
    ),
    IF(_xlpm.sumValue = 0, "", _xlpm.sumValue)
)</f>
        <v/>
      </c>
      <c r="E83" s="31" t="str">
        <f>_xlfn.LET(
    _xlpm.sumValue, SUMIFS(
        PNS_data[Value],
        PNS_data[Country], FR_data[[#This Row],[Country]],
        PNS_data[National Society name], selected,
        PNS_data[Attribute], "SP2",
        PNS_data[Year], "2026"
    ),
    IF(_xlpm.sumValue = 0, "", _xlpm.sumValue)
)</f>
        <v/>
      </c>
      <c r="F83" s="31" t="str">
        <f>_xlfn.LET(
    _xlpm.sumValue, SUMIFS(
        PNS_data[Value],
        PNS_data[Country], FR_data[[#This Row],[Country]],
        PNS_data[National Society name], selected,
        PNS_data[Attribute], "SP3",
        PNS_data[Year], "2026"
    ),
    IF(_xlpm.sumValue = 0, "", _xlpm.sumValue)
)</f>
        <v/>
      </c>
      <c r="G83" s="31" t="str">
        <f>_xlfn.LET(
    _xlpm.sumValue, SUMIFS(
        PNS_data[Value],
        PNS_data[Country], FR_data[[#This Row],[Country]],
        PNS_data[National Society name], selected,
        PNS_data[Attribute], "SP4",
        PNS_data[Year], "2026"
    ),
    IF(_xlpm.sumValue = 0, "", _xlpm.sumValue)
)</f>
        <v/>
      </c>
      <c r="H83" s="31" t="str">
        <f>_xlfn.LET(
    _xlpm.sumValue, SUMIFS(
        PNS_data[Value],
        PNS_data[Country], FR_data[[#This Row],[Country]],
        PNS_data[National Society name], selected,
        PNS_data[Attribute], "SP5",
        PNS_data[Year], "2026"
    ),
    IF(_xlpm.sumValue = 0, "", _xlpm.sumValue)
)</f>
        <v/>
      </c>
      <c r="I83" s="31" t="str">
        <f>_xlfn.LET(
    _xlpm.sumValue, SUMIFS(
        PNS_data[Value],
        PNS_data[Country], FR_data[[#This Row],[Country]],
        PNS_data[National Society name], selected,
        PNS_data[Attribute], "EFs",
        PNS_data[Year], "2026"
    ),
    IF(_xlpm.sumValue = 0, "", _xlpm.sumValue)
)</f>
        <v/>
      </c>
      <c r="J83" s="32" t="str">
        <f>IF(SUM(FR_data[[#This Row],[Response - Disasters and Crises]:[Enabling Functions]])=0,"",SUM(FR_data[[#This Row],[Response - Disasters and Crises]:[Enabling Functions]]))</f>
        <v/>
      </c>
      <c r="K83" s="39"/>
      <c r="L83" s="30" t="str">
        <f>_xlfn.LET(
    _xlpm.sumValue, SUMIFS(
        PNS_data[Value],
        PNS_data[Country], FR_data[[#This Row],[Country]],
        PNS_data[National Society name], selected,
        PNS_data[Attribute], "SP1",
        PNS_data[Year], "2027"
    ),
    IF(_xlpm.sumValue = 0, "", _xlpm.sumValue)
)</f>
        <v/>
      </c>
      <c r="M83" s="31" t="str">
        <f>_xlfn.LET(
    _xlpm.sumValue, SUMIFS(
        PNS_data[Value],
        PNS_data[Country], FR_data[[#This Row],[Country]],
        PNS_data[National Society name], selected,
        PNS_data[Attribute], "SP2",
        PNS_data[Year], "2027"
    ),
    IF(_xlpm.sumValue = 0, "", _xlpm.sumValue)
)</f>
        <v/>
      </c>
      <c r="N83" s="31" t="str">
        <f>_xlfn.LET(
    _xlpm.sumValue, SUMIFS(
        PNS_data[Value],
        PNS_data[Country], FR_data[[#This Row],[Country]],
        PNS_data[National Society name], selected,
        PNS_data[Attribute], "SP3",
        PNS_data[Year], "2027"
    ),
    IF(_xlpm.sumValue = 0, "", _xlpm.sumValue)
)</f>
        <v/>
      </c>
      <c r="O83" s="31" t="str">
        <f>_xlfn.LET(
    _xlpm.sumValue, SUMIFS(
        PNS_data[Value],
        PNS_data[Country], FR_data[[#This Row],[Country]],
        PNS_data[National Society name], selected,
        PNS_data[Attribute], "SP4",
        PNS_data[Year], "2027"
    ),
    IF(_xlpm.sumValue = 0, "", _xlpm.sumValue)
)</f>
        <v/>
      </c>
      <c r="P83" s="31" t="str">
        <f>_xlfn.LET(
    _xlpm.sumValue, SUMIFS(
        PNS_data[Value],
        PNS_data[Country], FR_data[[#This Row],[Country]],
        PNS_data[National Society name], selected,
        PNS_data[Attribute], "SP5",
        PNS_data[Year], "2027"
    ),
    IF(_xlpm.sumValue = 0, "", _xlpm.sumValue)
)</f>
        <v/>
      </c>
      <c r="Q83" s="31" t="str">
        <f>_xlfn.LET(
    _xlpm.sumValue, SUMIFS(
        PNS_data[Value],
        PNS_data[Country], FR_data[[#This Row],[Country]],
        PNS_data[National Society name], selected,
        PNS_data[Attribute], "EFs",
        PNS_data[Year], "2027"
    ),
    IF(_xlpm.sumValue = 0, "", _xlpm.sumValue)
)</f>
        <v/>
      </c>
      <c r="R83" s="32" t="str">
        <f>IF(SUM(FR_data[[#This Row],[Response - Disasters and Crises ]:[Enabling Functions ]])=0,"",SUM(FR_data[[#This Row],[Response - Disasters and Crises ]:[Enabling Functions ]]))</f>
        <v/>
      </c>
      <c r="S83" s="39"/>
      <c r="T83" s="30" t="str">
        <f>_xlfn.LET(
    _xlpm.sumValue, SUMIFS(
        PNS_data[Value],
        PNS_data[Country], FR_data[[#This Row],[Country]],
        PNS_data[National Society name], selected,
        PNS_data[Attribute], "SP1",
        PNS_data[Year], "2028"
    ),
    IF(_xlpm.sumValue = 0, "", _xlpm.sumValue)
)</f>
        <v/>
      </c>
      <c r="U83" s="31" t="str">
        <f>_xlfn.LET(
    _xlpm.sumValue, SUMIFS(
        PNS_data[Value],
        PNS_data[Country], FR_data[[#This Row],[Country]],
        PNS_data[National Society name], selected,
        PNS_data[Attribute], "SP2",
        PNS_data[Year], "2028"
    ),
    IF(_xlpm.sumValue = 0, "", _xlpm.sumValue)
)</f>
        <v/>
      </c>
      <c r="V83" s="31" t="str">
        <f>_xlfn.LET(
    _xlpm.sumValue, SUMIFS(
        PNS_data[Value],
        PNS_data[Country], FR_data[[#This Row],[Country]],
        PNS_data[National Society name], selected,
        PNS_data[Attribute], "SP3",
        PNS_data[Year], "2028"
    ),
    IF(_xlpm.sumValue = 0, "", _xlpm.sumValue)
)</f>
        <v/>
      </c>
      <c r="W83" s="31" t="str">
        <f>_xlfn.LET(
    _xlpm.sumValue, SUMIFS(
        PNS_data[Value],
        PNS_data[Country], FR_data[[#This Row],[Country]],
        PNS_data[National Society name], selected,
        PNS_data[Attribute], "SP4",
        PNS_data[Year], "2028"
    ),
    IF(_xlpm.sumValue = 0, "", _xlpm.sumValue)
)</f>
        <v/>
      </c>
      <c r="X83" s="31" t="str">
        <f>_xlfn.LET(
    _xlpm.sumValue, SUMIFS(
        PNS_data[Value],
        PNS_data[Country], FR_data[[#This Row],[Country]],
        PNS_data[National Society name], selected,
        PNS_data[Attribute], "SP5",
        PNS_data[Year], "2028"
    ),
    IF(_xlpm.sumValue = 0, "", _xlpm.sumValue)
)</f>
        <v/>
      </c>
      <c r="Y83" s="31" t="str">
        <f>_xlfn.LET(
    _xlpm.sumValue, SUMIFS(
        PNS_data[Value],
        PNS_data[Country], FR_data[[#This Row],[Country]],
        PNS_data[National Society name], selected,
        PNS_data[Attribute], "EFs",
        PNS_data[Year], "2028"
    ),
    IF(_xlpm.sumValue = 0, "", _xlpm.sumValue)
)</f>
        <v/>
      </c>
      <c r="Z83" s="32" t="str">
        <f>IF(SUM(FR_data[[#This Row],[Response - Disasters and Crises  ]:[Enabling Functions  ]])=0,"",SUM(FR_data[[#This Row],[Response - Disasters and Crises  ]:[Enabling Functions  ]]))</f>
        <v/>
      </c>
      <c r="AA83" s="41"/>
    </row>
    <row r="84" spans="1:27" x14ac:dyDescent="0.3">
      <c r="A84" s="11" t="s">
        <v>328</v>
      </c>
      <c r="B84" s="11" t="s">
        <v>106</v>
      </c>
      <c r="C84" s="11" t="s">
        <v>90</v>
      </c>
      <c r="D84" s="30" t="str">
        <f>_xlfn.LET(
    _xlpm.sumValue, SUMIFS(
        PNS_data[Value],
        PNS_data[Country], FR_data[[#This Row],[Country]],
        PNS_data[National Society name], selected,
        PNS_data[Attribute], "SP1",
        PNS_data[Year], "2026"
    ),
    IF(_xlpm.sumValue = 0, "", _xlpm.sumValue)
)</f>
        <v/>
      </c>
      <c r="E84" s="31" t="str">
        <f>_xlfn.LET(
    _xlpm.sumValue, SUMIFS(
        PNS_data[Value],
        PNS_data[Country], FR_data[[#This Row],[Country]],
        PNS_data[National Society name], selected,
        PNS_data[Attribute], "SP2",
        PNS_data[Year], "2026"
    ),
    IF(_xlpm.sumValue = 0, "", _xlpm.sumValue)
)</f>
        <v/>
      </c>
      <c r="F84" s="31" t="str">
        <f>_xlfn.LET(
    _xlpm.sumValue, SUMIFS(
        PNS_data[Value],
        PNS_data[Country], FR_data[[#This Row],[Country]],
        PNS_data[National Society name], selected,
        PNS_data[Attribute], "SP3",
        PNS_data[Year], "2026"
    ),
    IF(_xlpm.sumValue = 0, "", _xlpm.sumValue)
)</f>
        <v/>
      </c>
      <c r="G84" s="31" t="str">
        <f>_xlfn.LET(
    _xlpm.sumValue, SUMIFS(
        PNS_data[Value],
        PNS_data[Country], FR_data[[#This Row],[Country]],
        PNS_data[National Society name], selected,
        PNS_data[Attribute], "SP4",
        PNS_data[Year], "2026"
    ),
    IF(_xlpm.sumValue = 0, "", _xlpm.sumValue)
)</f>
        <v/>
      </c>
      <c r="H84" s="31" t="str">
        <f>_xlfn.LET(
    _xlpm.sumValue, SUMIFS(
        PNS_data[Value],
        PNS_data[Country], FR_data[[#This Row],[Country]],
        PNS_data[National Society name], selected,
        PNS_data[Attribute], "SP5",
        PNS_data[Year], "2026"
    ),
    IF(_xlpm.sumValue = 0, "", _xlpm.sumValue)
)</f>
        <v/>
      </c>
      <c r="I84" s="31" t="str">
        <f>_xlfn.LET(
    _xlpm.sumValue, SUMIFS(
        PNS_data[Value],
        PNS_data[Country], FR_data[[#This Row],[Country]],
        PNS_data[National Society name], selected,
        PNS_data[Attribute], "EFs",
        PNS_data[Year], "2026"
    ),
    IF(_xlpm.sumValue = 0, "", _xlpm.sumValue)
)</f>
        <v/>
      </c>
      <c r="J84" s="32" t="str">
        <f>IF(SUM(FR_data[[#This Row],[Response - Disasters and Crises]:[Enabling Functions]])=0,"",SUM(FR_data[[#This Row],[Response - Disasters and Crises]:[Enabling Functions]]))</f>
        <v/>
      </c>
      <c r="K84" s="39"/>
      <c r="L84" s="30" t="str">
        <f>_xlfn.LET(
    _xlpm.sumValue, SUMIFS(
        PNS_data[Value],
        PNS_data[Country], FR_data[[#This Row],[Country]],
        PNS_data[National Society name], selected,
        PNS_data[Attribute], "SP1",
        PNS_data[Year], "2027"
    ),
    IF(_xlpm.sumValue = 0, "", _xlpm.sumValue)
)</f>
        <v/>
      </c>
      <c r="M84" s="31" t="str">
        <f>_xlfn.LET(
    _xlpm.sumValue, SUMIFS(
        PNS_data[Value],
        PNS_data[Country], FR_data[[#This Row],[Country]],
        PNS_data[National Society name], selected,
        PNS_data[Attribute], "SP2",
        PNS_data[Year], "2027"
    ),
    IF(_xlpm.sumValue = 0, "", _xlpm.sumValue)
)</f>
        <v/>
      </c>
      <c r="N84" s="31" t="str">
        <f>_xlfn.LET(
    _xlpm.sumValue, SUMIFS(
        PNS_data[Value],
        PNS_data[Country], FR_data[[#This Row],[Country]],
        PNS_data[National Society name], selected,
        PNS_data[Attribute], "SP3",
        PNS_data[Year], "2027"
    ),
    IF(_xlpm.sumValue = 0, "", _xlpm.sumValue)
)</f>
        <v/>
      </c>
      <c r="O84" s="31" t="str">
        <f>_xlfn.LET(
    _xlpm.sumValue, SUMIFS(
        PNS_data[Value],
        PNS_data[Country], FR_data[[#This Row],[Country]],
        PNS_data[National Society name], selected,
        PNS_data[Attribute], "SP4",
        PNS_data[Year], "2027"
    ),
    IF(_xlpm.sumValue = 0, "", _xlpm.sumValue)
)</f>
        <v/>
      </c>
      <c r="P84" s="31" t="str">
        <f>_xlfn.LET(
    _xlpm.sumValue, SUMIFS(
        PNS_data[Value],
        PNS_data[Country], FR_data[[#This Row],[Country]],
        PNS_data[National Society name], selected,
        PNS_data[Attribute], "SP5",
        PNS_data[Year], "2027"
    ),
    IF(_xlpm.sumValue = 0, "", _xlpm.sumValue)
)</f>
        <v/>
      </c>
      <c r="Q84" s="31" t="str">
        <f>_xlfn.LET(
    _xlpm.sumValue, SUMIFS(
        PNS_data[Value],
        PNS_data[Country], FR_data[[#This Row],[Country]],
        PNS_data[National Society name], selected,
        PNS_data[Attribute], "EFs",
        PNS_data[Year], "2027"
    ),
    IF(_xlpm.sumValue = 0, "", _xlpm.sumValue)
)</f>
        <v/>
      </c>
      <c r="R84" s="32" t="str">
        <f>IF(SUM(FR_data[[#This Row],[Response - Disasters and Crises ]:[Enabling Functions ]])=0,"",SUM(FR_data[[#This Row],[Response - Disasters and Crises ]:[Enabling Functions ]]))</f>
        <v/>
      </c>
      <c r="S84" s="39"/>
      <c r="T84" s="30" t="str">
        <f>_xlfn.LET(
    _xlpm.sumValue, SUMIFS(
        PNS_data[Value],
        PNS_data[Country], FR_data[[#This Row],[Country]],
        PNS_data[National Society name], selected,
        PNS_data[Attribute], "SP1",
        PNS_data[Year], "2028"
    ),
    IF(_xlpm.sumValue = 0, "", _xlpm.sumValue)
)</f>
        <v/>
      </c>
      <c r="U84" s="31" t="str">
        <f>_xlfn.LET(
    _xlpm.sumValue, SUMIFS(
        PNS_data[Value],
        PNS_data[Country], FR_data[[#This Row],[Country]],
        PNS_data[National Society name], selected,
        PNS_data[Attribute], "SP2",
        PNS_data[Year], "2028"
    ),
    IF(_xlpm.sumValue = 0, "", _xlpm.sumValue)
)</f>
        <v/>
      </c>
      <c r="V84" s="31" t="str">
        <f>_xlfn.LET(
    _xlpm.sumValue, SUMIFS(
        PNS_data[Value],
        PNS_data[Country], FR_data[[#This Row],[Country]],
        PNS_data[National Society name], selected,
        PNS_data[Attribute], "SP3",
        PNS_data[Year], "2028"
    ),
    IF(_xlpm.sumValue = 0, "", _xlpm.sumValue)
)</f>
        <v/>
      </c>
      <c r="W84" s="31" t="str">
        <f>_xlfn.LET(
    _xlpm.sumValue, SUMIFS(
        PNS_data[Value],
        PNS_data[Country], FR_data[[#This Row],[Country]],
        PNS_data[National Society name], selected,
        PNS_data[Attribute], "SP4",
        PNS_data[Year], "2028"
    ),
    IF(_xlpm.sumValue = 0, "", _xlpm.sumValue)
)</f>
        <v/>
      </c>
      <c r="X84" s="31" t="str">
        <f>_xlfn.LET(
    _xlpm.sumValue, SUMIFS(
        PNS_data[Value],
        PNS_data[Country], FR_data[[#This Row],[Country]],
        PNS_data[National Society name], selected,
        PNS_data[Attribute], "SP5",
        PNS_data[Year], "2028"
    ),
    IF(_xlpm.sumValue = 0, "", _xlpm.sumValue)
)</f>
        <v/>
      </c>
      <c r="Y84" s="31" t="str">
        <f>_xlfn.LET(
    _xlpm.sumValue, SUMIFS(
        PNS_data[Value],
        PNS_data[Country], FR_data[[#This Row],[Country]],
        PNS_data[National Society name], selected,
        PNS_data[Attribute], "EFs",
        PNS_data[Year], "2028"
    ),
    IF(_xlpm.sumValue = 0, "", _xlpm.sumValue)
)</f>
        <v/>
      </c>
      <c r="Z84" s="32" t="str">
        <f>IF(SUM(FR_data[[#This Row],[Response - Disasters and Crises  ]:[Enabling Functions  ]])=0,"",SUM(FR_data[[#This Row],[Response - Disasters and Crises  ]:[Enabling Functions  ]]))</f>
        <v/>
      </c>
      <c r="AA84" s="41"/>
    </row>
    <row r="85" spans="1:27" x14ac:dyDescent="0.3">
      <c r="A85" s="11" t="s">
        <v>307</v>
      </c>
      <c r="B85" s="11" t="s">
        <v>106</v>
      </c>
      <c r="C85" s="11" t="s">
        <v>42</v>
      </c>
      <c r="D85" s="30" t="str">
        <f>_xlfn.LET(
    _xlpm.sumValue, SUMIFS(
        PNS_data[Value],
        PNS_data[Country], FR_data[[#This Row],[Country]],
        PNS_data[National Society name], selected,
        PNS_data[Attribute], "SP1",
        PNS_data[Year], "2026"
    ),
    IF(_xlpm.sumValue = 0, "", _xlpm.sumValue)
)</f>
        <v/>
      </c>
      <c r="E85" s="31" t="str">
        <f>_xlfn.LET(
    _xlpm.sumValue, SUMIFS(
        PNS_data[Value],
        PNS_data[Country], FR_data[[#This Row],[Country]],
        PNS_data[National Society name], selected,
        PNS_data[Attribute], "SP2",
        PNS_data[Year], "2026"
    ),
    IF(_xlpm.sumValue = 0, "", _xlpm.sumValue)
)</f>
        <v/>
      </c>
      <c r="F85" s="31" t="str">
        <f>_xlfn.LET(
    _xlpm.sumValue, SUMIFS(
        PNS_data[Value],
        PNS_data[Country], FR_data[[#This Row],[Country]],
        PNS_data[National Society name], selected,
        PNS_data[Attribute], "SP3",
        PNS_data[Year], "2026"
    ),
    IF(_xlpm.sumValue = 0, "", _xlpm.sumValue)
)</f>
        <v/>
      </c>
      <c r="G85" s="31" t="str">
        <f>_xlfn.LET(
    _xlpm.sumValue, SUMIFS(
        PNS_data[Value],
        PNS_data[Country], FR_data[[#This Row],[Country]],
        PNS_data[National Society name], selected,
        PNS_data[Attribute], "SP4",
        PNS_data[Year], "2026"
    ),
    IF(_xlpm.sumValue = 0, "", _xlpm.sumValue)
)</f>
        <v/>
      </c>
      <c r="H85" s="31" t="str">
        <f>_xlfn.LET(
    _xlpm.sumValue, SUMIFS(
        PNS_data[Value],
        PNS_data[Country], FR_data[[#This Row],[Country]],
        PNS_data[National Society name], selected,
        PNS_data[Attribute], "SP5",
        PNS_data[Year], "2026"
    ),
    IF(_xlpm.sumValue = 0, "", _xlpm.sumValue)
)</f>
        <v/>
      </c>
      <c r="I85" s="31" t="str">
        <f>_xlfn.LET(
    _xlpm.sumValue, SUMIFS(
        PNS_data[Value],
        PNS_data[Country], FR_data[[#This Row],[Country]],
        PNS_data[National Society name], selected,
        PNS_data[Attribute], "EFs",
        PNS_data[Year], "2026"
    ),
    IF(_xlpm.sumValue = 0, "", _xlpm.sumValue)
)</f>
        <v/>
      </c>
      <c r="J85" s="32" t="str">
        <f>IF(SUM(FR_data[[#This Row],[Response - Disasters and Crises]:[Enabling Functions]])=0,"",SUM(FR_data[[#This Row],[Response - Disasters and Crises]:[Enabling Functions]]))</f>
        <v/>
      </c>
      <c r="K85" s="39"/>
      <c r="L85" s="30" t="str">
        <f>_xlfn.LET(
    _xlpm.sumValue, SUMIFS(
        PNS_data[Value],
        PNS_data[Country], FR_data[[#This Row],[Country]],
        PNS_data[National Society name], selected,
        PNS_data[Attribute], "SP1",
        PNS_data[Year], "2027"
    ),
    IF(_xlpm.sumValue = 0, "", _xlpm.sumValue)
)</f>
        <v/>
      </c>
      <c r="M85" s="31" t="str">
        <f>_xlfn.LET(
    _xlpm.sumValue, SUMIFS(
        PNS_data[Value],
        PNS_data[Country], FR_data[[#This Row],[Country]],
        PNS_data[National Society name], selected,
        PNS_data[Attribute], "SP2",
        PNS_data[Year], "2027"
    ),
    IF(_xlpm.sumValue = 0, "", _xlpm.sumValue)
)</f>
        <v/>
      </c>
      <c r="N85" s="31" t="str">
        <f>_xlfn.LET(
    _xlpm.sumValue, SUMIFS(
        PNS_data[Value],
        PNS_data[Country], FR_data[[#This Row],[Country]],
        PNS_data[National Society name], selected,
        PNS_data[Attribute], "SP3",
        PNS_data[Year], "2027"
    ),
    IF(_xlpm.sumValue = 0, "", _xlpm.sumValue)
)</f>
        <v/>
      </c>
      <c r="O85" s="31" t="str">
        <f>_xlfn.LET(
    _xlpm.sumValue, SUMIFS(
        PNS_data[Value],
        PNS_data[Country], FR_data[[#This Row],[Country]],
        PNS_data[National Society name], selected,
        PNS_data[Attribute], "SP4",
        PNS_data[Year], "2027"
    ),
    IF(_xlpm.sumValue = 0, "", _xlpm.sumValue)
)</f>
        <v/>
      </c>
      <c r="P85" s="31" t="str">
        <f>_xlfn.LET(
    _xlpm.sumValue, SUMIFS(
        PNS_data[Value],
        PNS_data[Country], FR_data[[#This Row],[Country]],
        PNS_data[National Society name], selected,
        PNS_data[Attribute], "SP5",
        PNS_data[Year], "2027"
    ),
    IF(_xlpm.sumValue = 0, "", _xlpm.sumValue)
)</f>
        <v/>
      </c>
      <c r="Q85" s="31" t="str">
        <f>_xlfn.LET(
    _xlpm.sumValue, SUMIFS(
        PNS_data[Value],
        PNS_data[Country], FR_data[[#This Row],[Country]],
        PNS_data[National Society name], selected,
        PNS_data[Attribute], "EFs",
        PNS_data[Year], "2027"
    ),
    IF(_xlpm.sumValue = 0, "", _xlpm.sumValue)
)</f>
        <v/>
      </c>
      <c r="R85" s="32" t="str">
        <f>IF(SUM(FR_data[[#This Row],[Response - Disasters and Crises ]:[Enabling Functions ]])=0,"",SUM(FR_data[[#This Row],[Response - Disasters and Crises ]:[Enabling Functions ]]))</f>
        <v/>
      </c>
      <c r="S85" s="39"/>
      <c r="T85" s="30" t="str">
        <f>_xlfn.LET(
    _xlpm.sumValue, SUMIFS(
        PNS_data[Value],
        PNS_data[Country], FR_data[[#This Row],[Country]],
        PNS_data[National Society name], selected,
        PNS_data[Attribute], "SP1",
        PNS_data[Year], "2028"
    ),
    IF(_xlpm.sumValue = 0, "", _xlpm.sumValue)
)</f>
        <v/>
      </c>
      <c r="U85" s="31" t="str">
        <f>_xlfn.LET(
    _xlpm.sumValue, SUMIFS(
        PNS_data[Value],
        PNS_data[Country], FR_data[[#This Row],[Country]],
        PNS_data[National Society name], selected,
        PNS_data[Attribute], "SP2",
        PNS_data[Year], "2028"
    ),
    IF(_xlpm.sumValue = 0, "", _xlpm.sumValue)
)</f>
        <v/>
      </c>
      <c r="V85" s="31" t="str">
        <f>_xlfn.LET(
    _xlpm.sumValue, SUMIFS(
        PNS_data[Value],
        PNS_data[Country], FR_data[[#This Row],[Country]],
        PNS_data[National Society name], selected,
        PNS_data[Attribute], "SP3",
        PNS_data[Year], "2028"
    ),
    IF(_xlpm.sumValue = 0, "", _xlpm.sumValue)
)</f>
        <v/>
      </c>
      <c r="W85" s="31" t="str">
        <f>_xlfn.LET(
    _xlpm.sumValue, SUMIFS(
        PNS_data[Value],
        PNS_data[Country], FR_data[[#This Row],[Country]],
        PNS_data[National Society name], selected,
        PNS_data[Attribute], "SP4",
        PNS_data[Year], "2028"
    ),
    IF(_xlpm.sumValue = 0, "", _xlpm.sumValue)
)</f>
        <v/>
      </c>
      <c r="X85" s="31" t="str">
        <f>_xlfn.LET(
    _xlpm.sumValue, SUMIFS(
        PNS_data[Value],
        PNS_data[Country], FR_data[[#This Row],[Country]],
        PNS_data[National Society name], selected,
        PNS_data[Attribute], "SP5",
        PNS_data[Year], "2028"
    ),
    IF(_xlpm.sumValue = 0, "", _xlpm.sumValue)
)</f>
        <v/>
      </c>
      <c r="Y85" s="31" t="str">
        <f>_xlfn.LET(
    _xlpm.sumValue, SUMIFS(
        PNS_data[Value],
        PNS_data[Country], FR_data[[#This Row],[Country]],
        PNS_data[National Society name], selected,
        PNS_data[Attribute], "EFs",
        PNS_data[Year], "2028"
    ),
    IF(_xlpm.sumValue = 0, "", _xlpm.sumValue)
)</f>
        <v/>
      </c>
      <c r="Z85" s="32" t="str">
        <f>IF(SUM(FR_data[[#This Row],[Response - Disasters and Crises  ]:[Enabling Functions  ]])=0,"",SUM(FR_data[[#This Row],[Response - Disasters and Crises  ]:[Enabling Functions  ]]))</f>
        <v/>
      </c>
      <c r="AA85" s="41"/>
    </row>
    <row r="86" spans="1:27" x14ac:dyDescent="0.3">
      <c r="A86" s="11" t="s">
        <v>308</v>
      </c>
      <c r="B86" s="11" t="s">
        <v>106</v>
      </c>
      <c r="C86" s="11" t="s">
        <v>309</v>
      </c>
      <c r="D86" s="30" t="str">
        <f>_xlfn.LET(
    _xlpm.sumValue, SUMIFS(
        PNS_data[Value],
        PNS_data[Country], FR_data[[#This Row],[Country]],
        PNS_data[National Society name], selected,
        PNS_data[Attribute], "SP1",
        PNS_data[Year], "2026"
    ),
    IF(_xlpm.sumValue = 0, "", _xlpm.sumValue)
)</f>
        <v/>
      </c>
      <c r="E86" s="31" t="str">
        <f>_xlfn.LET(
    _xlpm.sumValue, SUMIFS(
        PNS_data[Value],
        PNS_data[Country], FR_data[[#This Row],[Country]],
        PNS_data[National Society name], selected,
        PNS_data[Attribute], "SP2",
        PNS_data[Year], "2026"
    ),
    IF(_xlpm.sumValue = 0, "", _xlpm.sumValue)
)</f>
        <v/>
      </c>
      <c r="F86" s="31" t="str">
        <f>_xlfn.LET(
    _xlpm.sumValue, SUMIFS(
        PNS_data[Value],
        PNS_data[Country], FR_data[[#This Row],[Country]],
        PNS_data[National Society name], selected,
        PNS_data[Attribute], "SP3",
        PNS_data[Year], "2026"
    ),
    IF(_xlpm.sumValue = 0, "", _xlpm.sumValue)
)</f>
        <v/>
      </c>
      <c r="G86" s="31" t="str">
        <f>_xlfn.LET(
    _xlpm.sumValue, SUMIFS(
        PNS_data[Value],
        PNS_data[Country], FR_data[[#This Row],[Country]],
        PNS_data[National Society name], selected,
        PNS_data[Attribute], "SP4",
        PNS_data[Year], "2026"
    ),
    IF(_xlpm.sumValue = 0, "", _xlpm.sumValue)
)</f>
        <v/>
      </c>
      <c r="H86" s="31" t="str">
        <f>_xlfn.LET(
    _xlpm.sumValue, SUMIFS(
        PNS_data[Value],
        PNS_data[Country], FR_data[[#This Row],[Country]],
        PNS_data[National Society name], selected,
        PNS_data[Attribute], "SP5",
        PNS_data[Year], "2026"
    ),
    IF(_xlpm.sumValue = 0, "", _xlpm.sumValue)
)</f>
        <v/>
      </c>
      <c r="I86" s="31" t="str">
        <f>_xlfn.LET(
    _xlpm.sumValue, SUMIFS(
        PNS_data[Value],
        PNS_data[Country], FR_data[[#This Row],[Country]],
        PNS_data[National Society name], selected,
        PNS_data[Attribute], "EFs",
        PNS_data[Year], "2026"
    ),
    IF(_xlpm.sumValue = 0, "", _xlpm.sumValue)
)</f>
        <v/>
      </c>
      <c r="J86" s="32" t="str">
        <f>IF(SUM(FR_data[[#This Row],[Response - Disasters and Crises]:[Enabling Functions]])=0,"",SUM(FR_data[[#This Row],[Response - Disasters and Crises]:[Enabling Functions]]))</f>
        <v/>
      </c>
      <c r="K86" s="39"/>
      <c r="L86" s="30" t="str">
        <f>_xlfn.LET(
    _xlpm.sumValue, SUMIFS(
        PNS_data[Value],
        PNS_data[Country], FR_data[[#This Row],[Country]],
        PNS_data[National Society name], selected,
        PNS_data[Attribute], "SP1",
        PNS_data[Year], "2027"
    ),
    IF(_xlpm.sumValue = 0, "", _xlpm.sumValue)
)</f>
        <v/>
      </c>
      <c r="M86" s="31" t="str">
        <f>_xlfn.LET(
    _xlpm.sumValue, SUMIFS(
        PNS_data[Value],
        PNS_data[Country], FR_data[[#This Row],[Country]],
        PNS_data[National Society name], selected,
        PNS_data[Attribute], "SP2",
        PNS_data[Year], "2027"
    ),
    IF(_xlpm.sumValue = 0, "", _xlpm.sumValue)
)</f>
        <v/>
      </c>
      <c r="N86" s="31" t="str">
        <f>_xlfn.LET(
    _xlpm.sumValue, SUMIFS(
        PNS_data[Value],
        PNS_data[Country], FR_data[[#This Row],[Country]],
        PNS_data[National Society name], selected,
        PNS_data[Attribute], "SP3",
        PNS_data[Year], "2027"
    ),
    IF(_xlpm.sumValue = 0, "", _xlpm.sumValue)
)</f>
        <v/>
      </c>
      <c r="O86" s="31" t="str">
        <f>_xlfn.LET(
    _xlpm.sumValue, SUMIFS(
        PNS_data[Value],
        PNS_data[Country], FR_data[[#This Row],[Country]],
        PNS_data[National Society name], selected,
        PNS_data[Attribute], "SP4",
        PNS_data[Year], "2027"
    ),
    IF(_xlpm.sumValue = 0, "", _xlpm.sumValue)
)</f>
        <v/>
      </c>
      <c r="P86" s="31" t="str">
        <f>_xlfn.LET(
    _xlpm.sumValue, SUMIFS(
        PNS_data[Value],
        PNS_data[Country], FR_data[[#This Row],[Country]],
        PNS_data[National Society name], selected,
        PNS_data[Attribute], "SP5",
        PNS_data[Year], "2027"
    ),
    IF(_xlpm.sumValue = 0, "", _xlpm.sumValue)
)</f>
        <v/>
      </c>
      <c r="Q86" s="31" t="str">
        <f>_xlfn.LET(
    _xlpm.sumValue, SUMIFS(
        PNS_data[Value],
        PNS_data[Country], FR_data[[#This Row],[Country]],
        PNS_data[National Society name], selected,
        PNS_data[Attribute], "EFs",
        PNS_data[Year], "2027"
    ),
    IF(_xlpm.sumValue = 0, "", _xlpm.sumValue)
)</f>
        <v/>
      </c>
      <c r="R86" s="32" t="str">
        <f>IF(SUM(FR_data[[#This Row],[Response - Disasters and Crises ]:[Enabling Functions ]])=0,"",SUM(FR_data[[#This Row],[Response - Disasters and Crises ]:[Enabling Functions ]]))</f>
        <v/>
      </c>
      <c r="S86" s="39"/>
      <c r="T86" s="30" t="str">
        <f>_xlfn.LET(
    _xlpm.sumValue, SUMIFS(
        PNS_data[Value],
        PNS_data[Country], FR_data[[#This Row],[Country]],
        PNS_data[National Society name], selected,
        PNS_data[Attribute], "SP1",
        PNS_data[Year], "2028"
    ),
    IF(_xlpm.sumValue = 0, "", _xlpm.sumValue)
)</f>
        <v/>
      </c>
      <c r="U86" s="31" t="str">
        <f>_xlfn.LET(
    _xlpm.sumValue, SUMIFS(
        PNS_data[Value],
        PNS_data[Country], FR_data[[#This Row],[Country]],
        PNS_data[National Society name], selected,
        PNS_data[Attribute], "SP2",
        PNS_data[Year], "2028"
    ),
    IF(_xlpm.sumValue = 0, "", _xlpm.sumValue)
)</f>
        <v/>
      </c>
      <c r="V86" s="31" t="str">
        <f>_xlfn.LET(
    _xlpm.sumValue, SUMIFS(
        PNS_data[Value],
        PNS_data[Country], FR_data[[#This Row],[Country]],
        PNS_data[National Society name], selected,
        PNS_data[Attribute], "SP3",
        PNS_data[Year], "2028"
    ),
    IF(_xlpm.sumValue = 0, "", _xlpm.sumValue)
)</f>
        <v/>
      </c>
      <c r="W86" s="31" t="str">
        <f>_xlfn.LET(
    _xlpm.sumValue, SUMIFS(
        PNS_data[Value],
        PNS_data[Country], FR_data[[#This Row],[Country]],
        PNS_data[National Society name], selected,
        PNS_data[Attribute], "SP4",
        PNS_data[Year], "2028"
    ),
    IF(_xlpm.sumValue = 0, "", _xlpm.sumValue)
)</f>
        <v/>
      </c>
      <c r="X86" s="31" t="str">
        <f>_xlfn.LET(
    _xlpm.sumValue, SUMIFS(
        PNS_data[Value],
        PNS_data[Country], FR_data[[#This Row],[Country]],
        PNS_data[National Society name], selected,
        PNS_data[Attribute], "SP5",
        PNS_data[Year], "2028"
    ),
    IF(_xlpm.sumValue = 0, "", _xlpm.sumValue)
)</f>
        <v/>
      </c>
      <c r="Y86" s="31" t="str">
        <f>_xlfn.LET(
    _xlpm.sumValue, SUMIFS(
        PNS_data[Value],
        PNS_data[Country], FR_data[[#This Row],[Country]],
        PNS_data[National Society name], selected,
        PNS_data[Attribute], "EFs",
        PNS_data[Year], "2028"
    ),
    IF(_xlpm.sumValue = 0, "", _xlpm.sumValue)
)</f>
        <v/>
      </c>
      <c r="Z86" s="32" t="str">
        <f>IF(SUM(FR_data[[#This Row],[Response - Disasters and Crises  ]:[Enabling Functions  ]])=0,"",SUM(FR_data[[#This Row],[Response - Disasters and Crises  ]:[Enabling Functions  ]]))</f>
        <v/>
      </c>
      <c r="AA86" s="41"/>
    </row>
    <row r="87" spans="1:27" x14ac:dyDescent="0.3">
      <c r="A87" s="11" t="s">
        <v>302</v>
      </c>
      <c r="B87" s="11" t="s">
        <v>106</v>
      </c>
      <c r="C87" s="11" t="s">
        <v>303</v>
      </c>
      <c r="D87" s="30" t="str">
        <f>_xlfn.LET(
    _xlpm.sumValue, SUMIFS(
        PNS_data[Value],
        PNS_data[Country], FR_data[[#This Row],[Country]],
        PNS_data[National Society name], selected,
        PNS_data[Attribute], "SP1",
        PNS_data[Year], "2026"
    ),
    IF(_xlpm.sumValue = 0, "", _xlpm.sumValue)
)</f>
        <v/>
      </c>
      <c r="E87" s="31" t="str">
        <f>_xlfn.LET(
    _xlpm.sumValue, SUMIFS(
        PNS_data[Value],
        PNS_data[Country], FR_data[[#This Row],[Country]],
        PNS_data[National Society name], selected,
        PNS_data[Attribute], "SP2",
        PNS_data[Year], "2026"
    ),
    IF(_xlpm.sumValue = 0, "", _xlpm.sumValue)
)</f>
        <v/>
      </c>
      <c r="F87" s="31" t="str">
        <f>_xlfn.LET(
    _xlpm.sumValue, SUMIFS(
        PNS_data[Value],
        PNS_data[Country], FR_data[[#This Row],[Country]],
        PNS_data[National Society name], selected,
        PNS_data[Attribute], "SP3",
        PNS_data[Year], "2026"
    ),
    IF(_xlpm.sumValue = 0, "", _xlpm.sumValue)
)</f>
        <v/>
      </c>
      <c r="G87" s="31" t="str">
        <f>_xlfn.LET(
    _xlpm.sumValue, SUMIFS(
        PNS_data[Value],
        PNS_data[Country], FR_data[[#This Row],[Country]],
        PNS_data[National Society name], selected,
        PNS_data[Attribute], "SP4",
        PNS_data[Year], "2026"
    ),
    IF(_xlpm.sumValue = 0, "", _xlpm.sumValue)
)</f>
        <v/>
      </c>
      <c r="H87" s="31" t="str">
        <f>_xlfn.LET(
    _xlpm.sumValue, SUMIFS(
        PNS_data[Value],
        PNS_data[Country], FR_data[[#This Row],[Country]],
        PNS_data[National Society name], selected,
        PNS_data[Attribute], "SP5",
        PNS_data[Year], "2026"
    ),
    IF(_xlpm.sumValue = 0, "", _xlpm.sumValue)
)</f>
        <v/>
      </c>
      <c r="I87" s="31" t="str">
        <f>_xlfn.LET(
    _xlpm.sumValue, SUMIFS(
        PNS_data[Value],
        PNS_data[Country], FR_data[[#This Row],[Country]],
        PNS_data[National Society name], selected,
        PNS_data[Attribute], "EFs",
        PNS_data[Year], "2026"
    ),
    IF(_xlpm.sumValue = 0, "", _xlpm.sumValue)
)</f>
        <v/>
      </c>
      <c r="J87" s="32" t="str">
        <f>IF(SUM(FR_data[[#This Row],[Response - Disasters and Crises]:[Enabling Functions]])=0,"",SUM(FR_data[[#This Row],[Response - Disasters and Crises]:[Enabling Functions]]))</f>
        <v/>
      </c>
      <c r="K87" s="39"/>
      <c r="L87" s="30" t="str">
        <f>_xlfn.LET(
    _xlpm.sumValue, SUMIFS(
        PNS_data[Value],
        PNS_data[Country], FR_data[[#This Row],[Country]],
        PNS_data[National Society name], selected,
        PNS_data[Attribute], "SP1",
        PNS_data[Year], "2027"
    ),
    IF(_xlpm.sumValue = 0, "", _xlpm.sumValue)
)</f>
        <v/>
      </c>
      <c r="M87" s="31" t="str">
        <f>_xlfn.LET(
    _xlpm.sumValue, SUMIFS(
        PNS_data[Value],
        PNS_data[Country], FR_data[[#This Row],[Country]],
        PNS_data[National Society name], selected,
        PNS_data[Attribute], "SP2",
        PNS_data[Year], "2027"
    ),
    IF(_xlpm.sumValue = 0, "", _xlpm.sumValue)
)</f>
        <v/>
      </c>
      <c r="N87" s="31" t="str">
        <f>_xlfn.LET(
    _xlpm.sumValue, SUMIFS(
        PNS_data[Value],
        PNS_data[Country], FR_data[[#This Row],[Country]],
        PNS_data[National Society name], selected,
        PNS_data[Attribute], "SP3",
        PNS_data[Year], "2027"
    ),
    IF(_xlpm.sumValue = 0, "", _xlpm.sumValue)
)</f>
        <v/>
      </c>
      <c r="O87" s="31" t="str">
        <f>_xlfn.LET(
    _xlpm.sumValue, SUMIFS(
        PNS_data[Value],
        PNS_data[Country], FR_data[[#This Row],[Country]],
        PNS_data[National Society name], selected,
        PNS_data[Attribute], "SP4",
        PNS_data[Year], "2027"
    ),
    IF(_xlpm.sumValue = 0, "", _xlpm.sumValue)
)</f>
        <v/>
      </c>
      <c r="P87" s="31" t="str">
        <f>_xlfn.LET(
    _xlpm.sumValue, SUMIFS(
        PNS_data[Value],
        PNS_data[Country], FR_data[[#This Row],[Country]],
        PNS_data[National Society name], selected,
        PNS_data[Attribute], "SP5",
        PNS_data[Year], "2027"
    ),
    IF(_xlpm.sumValue = 0, "", _xlpm.sumValue)
)</f>
        <v/>
      </c>
      <c r="Q87" s="31" t="str">
        <f>_xlfn.LET(
    _xlpm.sumValue, SUMIFS(
        PNS_data[Value],
        PNS_data[Country], FR_data[[#This Row],[Country]],
        PNS_data[National Society name], selected,
        PNS_data[Attribute], "EFs",
        PNS_data[Year], "2027"
    ),
    IF(_xlpm.sumValue = 0, "", _xlpm.sumValue)
)</f>
        <v/>
      </c>
      <c r="R87" s="32" t="str">
        <f>IF(SUM(FR_data[[#This Row],[Response - Disasters and Crises ]:[Enabling Functions ]])=0,"",SUM(FR_data[[#This Row],[Response - Disasters and Crises ]:[Enabling Functions ]]))</f>
        <v/>
      </c>
      <c r="S87" s="39"/>
      <c r="T87" s="30" t="str">
        <f>_xlfn.LET(
    _xlpm.sumValue, SUMIFS(
        PNS_data[Value],
        PNS_data[Country], FR_data[[#This Row],[Country]],
        PNS_data[National Society name], selected,
        PNS_data[Attribute], "SP1",
        PNS_data[Year], "2028"
    ),
    IF(_xlpm.sumValue = 0, "", _xlpm.sumValue)
)</f>
        <v/>
      </c>
      <c r="U87" s="31" t="str">
        <f>_xlfn.LET(
    _xlpm.sumValue, SUMIFS(
        PNS_data[Value],
        PNS_data[Country], FR_data[[#This Row],[Country]],
        PNS_data[National Society name], selected,
        PNS_data[Attribute], "SP2",
        PNS_data[Year], "2028"
    ),
    IF(_xlpm.sumValue = 0, "", _xlpm.sumValue)
)</f>
        <v/>
      </c>
      <c r="V87" s="31" t="str">
        <f>_xlfn.LET(
    _xlpm.sumValue, SUMIFS(
        PNS_data[Value],
        PNS_data[Country], FR_data[[#This Row],[Country]],
        PNS_data[National Society name], selected,
        PNS_data[Attribute], "SP3",
        PNS_data[Year], "2028"
    ),
    IF(_xlpm.sumValue = 0, "", _xlpm.sumValue)
)</f>
        <v/>
      </c>
      <c r="W87" s="31" t="str">
        <f>_xlfn.LET(
    _xlpm.sumValue, SUMIFS(
        PNS_data[Value],
        PNS_data[Country], FR_data[[#This Row],[Country]],
        PNS_data[National Society name], selected,
        PNS_data[Attribute], "SP4",
        PNS_data[Year], "2028"
    ),
    IF(_xlpm.sumValue = 0, "", _xlpm.sumValue)
)</f>
        <v/>
      </c>
      <c r="X87" s="31" t="str">
        <f>_xlfn.LET(
    _xlpm.sumValue, SUMIFS(
        PNS_data[Value],
        PNS_data[Country], FR_data[[#This Row],[Country]],
        PNS_data[National Society name], selected,
        PNS_data[Attribute], "SP5",
        PNS_data[Year], "2028"
    ),
    IF(_xlpm.sumValue = 0, "", _xlpm.sumValue)
)</f>
        <v/>
      </c>
      <c r="Y87" s="31" t="str">
        <f>_xlfn.LET(
    _xlpm.sumValue, SUMIFS(
        PNS_data[Value],
        PNS_data[Country], FR_data[[#This Row],[Country]],
        PNS_data[National Society name], selected,
        PNS_data[Attribute], "EFs",
        PNS_data[Year], "2028"
    ),
    IF(_xlpm.sumValue = 0, "", _xlpm.sumValue)
)</f>
        <v/>
      </c>
      <c r="Z87" s="32" t="str">
        <f>IF(SUM(FR_data[[#This Row],[Response - Disasters and Crises  ]:[Enabling Functions  ]])=0,"",SUM(FR_data[[#This Row],[Response - Disasters and Crises  ]:[Enabling Functions  ]]))</f>
        <v/>
      </c>
      <c r="AA87" s="41"/>
    </row>
    <row r="88" spans="1:27" x14ac:dyDescent="0.3">
      <c r="A88" s="11" t="s">
        <v>329</v>
      </c>
      <c r="B88" s="11" t="s">
        <v>106</v>
      </c>
      <c r="C88" s="11" t="s">
        <v>330</v>
      </c>
      <c r="D88" s="30" t="str">
        <f>_xlfn.LET(
    _xlpm.sumValue, SUMIFS(
        PNS_data[Value],
        PNS_data[Country], FR_data[[#This Row],[Country]],
        PNS_data[National Society name], selected,
        PNS_data[Attribute], "SP1",
        PNS_data[Year], "2026"
    ),
    IF(_xlpm.sumValue = 0, "", _xlpm.sumValue)
)</f>
        <v/>
      </c>
      <c r="E88" s="31" t="str">
        <f>_xlfn.LET(
    _xlpm.sumValue, SUMIFS(
        PNS_data[Value],
        PNS_data[Country], FR_data[[#This Row],[Country]],
        PNS_data[National Society name], selected,
        PNS_data[Attribute], "SP2",
        PNS_data[Year], "2026"
    ),
    IF(_xlpm.sumValue = 0, "", _xlpm.sumValue)
)</f>
        <v/>
      </c>
      <c r="F88" s="31" t="str">
        <f>_xlfn.LET(
    _xlpm.sumValue, SUMIFS(
        PNS_data[Value],
        PNS_data[Country], FR_data[[#This Row],[Country]],
        PNS_data[National Society name], selected,
        PNS_data[Attribute], "SP3",
        PNS_data[Year], "2026"
    ),
    IF(_xlpm.sumValue = 0, "", _xlpm.sumValue)
)</f>
        <v/>
      </c>
      <c r="G88" s="31" t="str">
        <f>_xlfn.LET(
    _xlpm.sumValue, SUMIFS(
        PNS_data[Value],
        PNS_data[Country], FR_data[[#This Row],[Country]],
        PNS_data[National Society name], selected,
        PNS_data[Attribute], "SP4",
        PNS_data[Year], "2026"
    ),
    IF(_xlpm.sumValue = 0, "", _xlpm.sumValue)
)</f>
        <v/>
      </c>
      <c r="H88" s="31" t="str">
        <f>_xlfn.LET(
    _xlpm.sumValue, SUMIFS(
        PNS_data[Value],
        PNS_data[Country], FR_data[[#This Row],[Country]],
        PNS_data[National Society name], selected,
        PNS_data[Attribute], "SP5",
        PNS_data[Year], "2026"
    ),
    IF(_xlpm.sumValue = 0, "", _xlpm.sumValue)
)</f>
        <v/>
      </c>
      <c r="I88" s="31" t="str">
        <f>_xlfn.LET(
    _xlpm.sumValue, SUMIFS(
        PNS_data[Value],
        PNS_data[Country], FR_data[[#This Row],[Country]],
        PNS_data[National Society name], selected,
        PNS_data[Attribute], "EFs",
        PNS_data[Year], "2026"
    ),
    IF(_xlpm.sumValue = 0, "", _xlpm.sumValue)
)</f>
        <v/>
      </c>
      <c r="J88" s="32" t="str">
        <f>IF(SUM(FR_data[[#This Row],[Response - Disasters and Crises]:[Enabling Functions]])=0,"",SUM(FR_data[[#This Row],[Response - Disasters and Crises]:[Enabling Functions]]))</f>
        <v/>
      </c>
      <c r="K88" s="39"/>
      <c r="L88" s="30" t="str">
        <f>_xlfn.LET(
    _xlpm.sumValue, SUMIFS(
        PNS_data[Value],
        PNS_data[Country], FR_data[[#This Row],[Country]],
        PNS_data[National Society name], selected,
        PNS_data[Attribute], "SP1",
        PNS_data[Year], "2027"
    ),
    IF(_xlpm.sumValue = 0, "", _xlpm.sumValue)
)</f>
        <v/>
      </c>
      <c r="M88" s="31" t="str">
        <f>_xlfn.LET(
    _xlpm.sumValue, SUMIFS(
        PNS_data[Value],
        PNS_data[Country], FR_data[[#This Row],[Country]],
        PNS_data[National Society name], selected,
        PNS_data[Attribute], "SP2",
        PNS_data[Year], "2027"
    ),
    IF(_xlpm.sumValue = 0, "", _xlpm.sumValue)
)</f>
        <v/>
      </c>
      <c r="N88" s="31" t="str">
        <f>_xlfn.LET(
    _xlpm.sumValue, SUMIFS(
        PNS_data[Value],
        PNS_data[Country], FR_data[[#This Row],[Country]],
        PNS_data[National Society name], selected,
        PNS_data[Attribute], "SP3",
        PNS_data[Year], "2027"
    ),
    IF(_xlpm.sumValue = 0, "", _xlpm.sumValue)
)</f>
        <v/>
      </c>
      <c r="O88" s="31" t="str">
        <f>_xlfn.LET(
    _xlpm.sumValue, SUMIFS(
        PNS_data[Value],
        PNS_data[Country], FR_data[[#This Row],[Country]],
        PNS_data[National Society name], selected,
        PNS_data[Attribute], "SP4",
        PNS_data[Year], "2027"
    ),
    IF(_xlpm.sumValue = 0, "", _xlpm.sumValue)
)</f>
        <v/>
      </c>
      <c r="P88" s="31" t="str">
        <f>_xlfn.LET(
    _xlpm.sumValue, SUMIFS(
        PNS_data[Value],
        PNS_data[Country], FR_data[[#This Row],[Country]],
        PNS_data[National Society name], selected,
        PNS_data[Attribute], "SP5",
        PNS_data[Year], "2027"
    ),
    IF(_xlpm.sumValue = 0, "", _xlpm.sumValue)
)</f>
        <v/>
      </c>
      <c r="Q88" s="31" t="str">
        <f>_xlfn.LET(
    _xlpm.sumValue, SUMIFS(
        PNS_data[Value],
        PNS_data[Country], FR_data[[#This Row],[Country]],
        PNS_data[National Society name], selected,
        PNS_data[Attribute], "EFs",
        PNS_data[Year], "2027"
    ),
    IF(_xlpm.sumValue = 0, "", _xlpm.sumValue)
)</f>
        <v/>
      </c>
      <c r="R88" s="32" t="str">
        <f>IF(SUM(FR_data[[#This Row],[Response - Disasters and Crises ]:[Enabling Functions ]])=0,"",SUM(FR_data[[#This Row],[Response - Disasters and Crises ]:[Enabling Functions ]]))</f>
        <v/>
      </c>
      <c r="S88" s="39"/>
      <c r="T88" s="30" t="str">
        <f>_xlfn.LET(
    _xlpm.sumValue, SUMIFS(
        PNS_data[Value],
        PNS_data[Country], FR_data[[#This Row],[Country]],
        PNS_data[National Society name], selected,
        PNS_data[Attribute], "SP1",
        PNS_data[Year], "2028"
    ),
    IF(_xlpm.sumValue = 0, "", _xlpm.sumValue)
)</f>
        <v/>
      </c>
      <c r="U88" s="31" t="str">
        <f>_xlfn.LET(
    _xlpm.sumValue, SUMIFS(
        PNS_data[Value],
        PNS_data[Country], FR_data[[#This Row],[Country]],
        PNS_data[National Society name], selected,
        PNS_data[Attribute], "SP2",
        PNS_data[Year], "2028"
    ),
    IF(_xlpm.sumValue = 0, "", _xlpm.sumValue)
)</f>
        <v/>
      </c>
      <c r="V88" s="31" t="str">
        <f>_xlfn.LET(
    _xlpm.sumValue, SUMIFS(
        PNS_data[Value],
        PNS_data[Country], FR_data[[#This Row],[Country]],
        PNS_data[National Society name], selected,
        PNS_data[Attribute], "SP3",
        PNS_data[Year], "2028"
    ),
    IF(_xlpm.sumValue = 0, "", _xlpm.sumValue)
)</f>
        <v/>
      </c>
      <c r="W88" s="31" t="str">
        <f>_xlfn.LET(
    _xlpm.sumValue, SUMIFS(
        PNS_data[Value],
        PNS_data[Country], FR_data[[#This Row],[Country]],
        PNS_data[National Society name], selected,
        PNS_data[Attribute], "SP4",
        PNS_data[Year], "2028"
    ),
    IF(_xlpm.sumValue = 0, "", _xlpm.sumValue)
)</f>
        <v/>
      </c>
      <c r="X88" s="31" t="str">
        <f>_xlfn.LET(
    _xlpm.sumValue, SUMIFS(
        PNS_data[Value],
        PNS_data[Country], FR_data[[#This Row],[Country]],
        PNS_data[National Society name], selected,
        PNS_data[Attribute], "SP5",
        PNS_data[Year], "2028"
    ),
    IF(_xlpm.sumValue = 0, "", _xlpm.sumValue)
)</f>
        <v/>
      </c>
      <c r="Y88" s="31" t="str">
        <f>_xlfn.LET(
    _xlpm.sumValue, SUMIFS(
        PNS_data[Value],
        PNS_data[Country], FR_data[[#This Row],[Country]],
        PNS_data[National Society name], selected,
        PNS_data[Attribute], "EFs",
        PNS_data[Year], "2028"
    ),
    IF(_xlpm.sumValue = 0, "", _xlpm.sumValue)
)</f>
        <v/>
      </c>
      <c r="Z88" s="32" t="str">
        <f>IF(SUM(FR_data[[#This Row],[Response - Disasters and Crises  ]:[Enabling Functions  ]])=0,"",SUM(FR_data[[#This Row],[Response - Disasters and Crises  ]:[Enabling Functions  ]]))</f>
        <v/>
      </c>
      <c r="AA88" s="41"/>
    </row>
    <row r="89" spans="1:27" x14ac:dyDescent="0.3">
      <c r="A89" s="11" t="s">
        <v>392</v>
      </c>
      <c r="B89" s="11" t="s">
        <v>106</v>
      </c>
      <c r="C89" s="11" t="s">
        <v>393</v>
      </c>
      <c r="D89" s="30" t="str">
        <f>_xlfn.LET(
    _xlpm.sumValue, SUMIFS(
        PNS_data[Value],
        PNS_data[Country], FR_data[[#This Row],[Country]],
        PNS_data[National Society name], selected,
        PNS_data[Attribute], "SP1",
        PNS_data[Year], "2026"
    ),
    IF(_xlpm.sumValue = 0, "", _xlpm.sumValue)
)</f>
        <v/>
      </c>
      <c r="E89" s="31" t="str">
        <f>_xlfn.LET(
    _xlpm.sumValue, SUMIFS(
        PNS_data[Value],
        PNS_data[Country], FR_data[[#This Row],[Country]],
        PNS_data[National Society name], selected,
        PNS_data[Attribute], "SP2",
        PNS_data[Year], "2026"
    ),
    IF(_xlpm.sumValue = 0, "", _xlpm.sumValue)
)</f>
        <v/>
      </c>
      <c r="F89" s="31" t="str">
        <f>_xlfn.LET(
    _xlpm.sumValue, SUMIFS(
        PNS_data[Value],
        PNS_data[Country], FR_data[[#This Row],[Country]],
        PNS_data[National Society name], selected,
        PNS_data[Attribute], "SP3",
        PNS_data[Year], "2026"
    ),
    IF(_xlpm.sumValue = 0, "", _xlpm.sumValue)
)</f>
        <v/>
      </c>
      <c r="G89" s="31" t="str">
        <f>_xlfn.LET(
    _xlpm.sumValue, SUMIFS(
        PNS_data[Value],
        PNS_data[Country], FR_data[[#This Row],[Country]],
        PNS_data[National Society name], selected,
        PNS_data[Attribute], "SP4",
        PNS_data[Year], "2026"
    ),
    IF(_xlpm.sumValue = 0, "", _xlpm.sumValue)
)</f>
        <v/>
      </c>
      <c r="H89" s="31" t="str">
        <f>_xlfn.LET(
    _xlpm.sumValue, SUMIFS(
        PNS_data[Value],
        PNS_data[Country], FR_data[[#This Row],[Country]],
        PNS_data[National Society name], selected,
        PNS_data[Attribute], "SP5",
        PNS_data[Year], "2026"
    ),
    IF(_xlpm.sumValue = 0, "", _xlpm.sumValue)
)</f>
        <v/>
      </c>
      <c r="I89" s="31" t="str">
        <f>_xlfn.LET(
    _xlpm.sumValue, SUMIFS(
        PNS_data[Value],
        PNS_data[Country], FR_data[[#This Row],[Country]],
        PNS_data[National Society name], selected,
        PNS_data[Attribute], "EFs",
        PNS_data[Year], "2026"
    ),
    IF(_xlpm.sumValue = 0, "", _xlpm.sumValue)
)</f>
        <v/>
      </c>
      <c r="J89" s="32" t="str">
        <f>IF(SUM(FR_data[[#This Row],[Response - Disasters and Crises]:[Enabling Functions]])=0,"",SUM(FR_data[[#This Row],[Response - Disasters and Crises]:[Enabling Functions]]))</f>
        <v/>
      </c>
      <c r="K89" s="39"/>
      <c r="L89" s="30" t="str">
        <f>_xlfn.LET(
    _xlpm.sumValue, SUMIFS(
        PNS_data[Value],
        PNS_data[Country], FR_data[[#This Row],[Country]],
        PNS_data[National Society name], selected,
        PNS_data[Attribute], "SP1",
        PNS_data[Year], "2027"
    ),
    IF(_xlpm.sumValue = 0, "", _xlpm.sumValue)
)</f>
        <v/>
      </c>
      <c r="M89" s="31" t="str">
        <f>_xlfn.LET(
    _xlpm.sumValue, SUMIFS(
        PNS_data[Value],
        PNS_data[Country], FR_data[[#This Row],[Country]],
        PNS_data[National Society name], selected,
        PNS_data[Attribute], "SP2",
        PNS_data[Year], "2027"
    ),
    IF(_xlpm.sumValue = 0, "", _xlpm.sumValue)
)</f>
        <v/>
      </c>
      <c r="N89" s="31" t="str">
        <f>_xlfn.LET(
    _xlpm.sumValue, SUMIFS(
        PNS_data[Value],
        PNS_data[Country], FR_data[[#This Row],[Country]],
        PNS_data[National Society name], selected,
        PNS_data[Attribute], "SP3",
        PNS_data[Year], "2027"
    ),
    IF(_xlpm.sumValue = 0, "", _xlpm.sumValue)
)</f>
        <v/>
      </c>
      <c r="O89" s="31" t="str">
        <f>_xlfn.LET(
    _xlpm.sumValue, SUMIFS(
        PNS_data[Value],
        PNS_data[Country], FR_data[[#This Row],[Country]],
        PNS_data[National Society name], selected,
        PNS_data[Attribute], "SP4",
        PNS_data[Year], "2027"
    ),
    IF(_xlpm.sumValue = 0, "", _xlpm.sumValue)
)</f>
        <v/>
      </c>
      <c r="P89" s="31" t="str">
        <f>_xlfn.LET(
    _xlpm.sumValue, SUMIFS(
        PNS_data[Value],
        PNS_data[Country], FR_data[[#This Row],[Country]],
        PNS_data[National Society name], selected,
        PNS_data[Attribute], "SP5",
        PNS_data[Year], "2027"
    ),
    IF(_xlpm.sumValue = 0, "", _xlpm.sumValue)
)</f>
        <v/>
      </c>
      <c r="Q89" s="31" t="str">
        <f>_xlfn.LET(
    _xlpm.sumValue, SUMIFS(
        PNS_data[Value],
        PNS_data[Country], FR_data[[#This Row],[Country]],
        PNS_data[National Society name], selected,
        PNS_data[Attribute], "EFs",
        PNS_data[Year], "2027"
    ),
    IF(_xlpm.sumValue = 0, "", _xlpm.sumValue)
)</f>
        <v/>
      </c>
      <c r="R89" s="32" t="str">
        <f>IF(SUM(FR_data[[#This Row],[Response - Disasters and Crises ]:[Enabling Functions ]])=0,"",SUM(FR_data[[#This Row],[Response - Disasters and Crises ]:[Enabling Functions ]]))</f>
        <v/>
      </c>
      <c r="S89" s="39"/>
      <c r="T89" s="30" t="str">
        <f>_xlfn.LET(
    _xlpm.sumValue, SUMIFS(
        PNS_data[Value],
        PNS_data[Country], FR_data[[#This Row],[Country]],
        PNS_data[National Society name], selected,
        PNS_data[Attribute], "SP1",
        PNS_data[Year], "2028"
    ),
    IF(_xlpm.sumValue = 0, "", _xlpm.sumValue)
)</f>
        <v/>
      </c>
      <c r="U89" s="31" t="str">
        <f>_xlfn.LET(
    _xlpm.sumValue, SUMIFS(
        PNS_data[Value],
        PNS_data[Country], FR_data[[#This Row],[Country]],
        PNS_data[National Society name], selected,
        PNS_data[Attribute], "SP2",
        PNS_data[Year], "2028"
    ),
    IF(_xlpm.sumValue = 0, "", _xlpm.sumValue)
)</f>
        <v/>
      </c>
      <c r="V89" s="31" t="str">
        <f>_xlfn.LET(
    _xlpm.sumValue, SUMIFS(
        PNS_data[Value],
        PNS_data[Country], FR_data[[#This Row],[Country]],
        PNS_data[National Society name], selected,
        PNS_data[Attribute], "SP3",
        PNS_data[Year], "2028"
    ),
    IF(_xlpm.sumValue = 0, "", _xlpm.sumValue)
)</f>
        <v/>
      </c>
      <c r="W89" s="31" t="str">
        <f>_xlfn.LET(
    _xlpm.sumValue, SUMIFS(
        PNS_data[Value],
        PNS_data[Country], FR_data[[#This Row],[Country]],
        PNS_data[National Society name], selected,
        PNS_data[Attribute], "SP4",
        PNS_data[Year], "2028"
    ),
    IF(_xlpm.sumValue = 0, "", _xlpm.sumValue)
)</f>
        <v/>
      </c>
      <c r="X89" s="31" t="str">
        <f>_xlfn.LET(
    _xlpm.sumValue, SUMIFS(
        PNS_data[Value],
        PNS_data[Country], FR_data[[#This Row],[Country]],
        PNS_data[National Society name], selected,
        PNS_data[Attribute], "SP5",
        PNS_data[Year], "2028"
    ),
    IF(_xlpm.sumValue = 0, "", _xlpm.sumValue)
)</f>
        <v/>
      </c>
      <c r="Y89" s="31" t="str">
        <f>_xlfn.LET(
    _xlpm.sumValue, SUMIFS(
        PNS_data[Value],
        PNS_data[Country], FR_data[[#This Row],[Country]],
        PNS_data[National Society name], selected,
        PNS_data[Attribute], "EFs",
        PNS_data[Year], "2028"
    ),
    IF(_xlpm.sumValue = 0, "", _xlpm.sumValue)
)</f>
        <v/>
      </c>
      <c r="Z89" s="32" t="str">
        <f>IF(SUM(FR_data[[#This Row],[Response - Disasters and Crises  ]:[Enabling Functions  ]])=0,"",SUM(FR_data[[#This Row],[Response - Disasters and Crises  ]:[Enabling Functions  ]]))</f>
        <v/>
      </c>
      <c r="AA89" s="41"/>
    </row>
    <row r="90" spans="1:27" x14ac:dyDescent="0.3">
      <c r="A90" s="11" t="s">
        <v>356</v>
      </c>
      <c r="B90" s="11" t="s">
        <v>106</v>
      </c>
      <c r="C90" s="11" t="s">
        <v>357</v>
      </c>
      <c r="D90" s="30" t="str">
        <f>_xlfn.LET(
    _xlpm.sumValue, SUMIFS(
        PNS_data[Value],
        PNS_data[Country], FR_data[[#This Row],[Country]],
        PNS_data[National Society name], selected,
        PNS_data[Attribute], "SP1",
        PNS_data[Year], "2026"
    ),
    IF(_xlpm.sumValue = 0, "", _xlpm.sumValue)
)</f>
        <v/>
      </c>
      <c r="E90" s="31" t="str">
        <f>_xlfn.LET(
    _xlpm.sumValue, SUMIFS(
        PNS_data[Value],
        PNS_data[Country], FR_data[[#This Row],[Country]],
        PNS_data[National Society name], selected,
        PNS_data[Attribute], "SP2",
        PNS_data[Year], "2026"
    ),
    IF(_xlpm.sumValue = 0, "", _xlpm.sumValue)
)</f>
        <v/>
      </c>
      <c r="F90" s="31" t="str">
        <f>_xlfn.LET(
    _xlpm.sumValue, SUMIFS(
        PNS_data[Value],
        PNS_data[Country], FR_data[[#This Row],[Country]],
        PNS_data[National Society name], selected,
        PNS_data[Attribute], "SP3",
        PNS_data[Year], "2026"
    ),
    IF(_xlpm.sumValue = 0, "", _xlpm.sumValue)
)</f>
        <v/>
      </c>
      <c r="G90" s="31" t="str">
        <f>_xlfn.LET(
    _xlpm.sumValue, SUMIFS(
        PNS_data[Value],
        PNS_data[Country], FR_data[[#This Row],[Country]],
        PNS_data[National Society name], selected,
        PNS_data[Attribute], "SP4",
        PNS_data[Year], "2026"
    ),
    IF(_xlpm.sumValue = 0, "", _xlpm.sumValue)
)</f>
        <v/>
      </c>
      <c r="H90" s="31" t="str">
        <f>_xlfn.LET(
    _xlpm.sumValue, SUMIFS(
        PNS_data[Value],
        PNS_data[Country], FR_data[[#This Row],[Country]],
        PNS_data[National Society name], selected,
        PNS_data[Attribute], "SP5",
        PNS_data[Year], "2026"
    ),
    IF(_xlpm.sumValue = 0, "", _xlpm.sumValue)
)</f>
        <v/>
      </c>
      <c r="I90" s="31" t="str">
        <f>_xlfn.LET(
    _xlpm.sumValue, SUMIFS(
        PNS_data[Value],
        PNS_data[Country], FR_data[[#This Row],[Country]],
        PNS_data[National Society name], selected,
        PNS_data[Attribute], "EFs",
        PNS_data[Year], "2026"
    ),
    IF(_xlpm.sumValue = 0, "", _xlpm.sumValue)
)</f>
        <v/>
      </c>
      <c r="J90" s="32" t="str">
        <f>IF(SUM(FR_data[[#This Row],[Response - Disasters and Crises]:[Enabling Functions]])=0,"",SUM(FR_data[[#This Row],[Response - Disasters and Crises]:[Enabling Functions]]))</f>
        <v/>
      </c>
      <c r="K90" s="39"/>
      <c r="L90" s="30" t="str">
        <f>_xlfn.LET(
    _xlpm.sumValue, SUMIFS(
        PNS_data[Value],
        PNS_data[Country], FR_data[[#This Row],[Country]],
        PNS_data[National Society name], selected,
        PNS_data[Attribute], "SP1",
        PNS_data[Year], "2027"
    ),
    IF(_xlpm.sumValue = 0, "", _xlpm.sumValue)
)</f>
        <v/>
      </c>
      <c r="M90" s="31" t="str">
        <f>_xlfn.LET(
    _xlpm.sumValue, SUMIFS(
        PNS_data[Value],
        PNS_data[Country], FR_data[[#This Row],[Country]],
        PNS_data[National Society name], selected,
        PNS_data[Attribute], "SP2",
        PNS_data[Year], "2027"
    ),
    IF(_xlpm.sumValue = 0, "", _xlpm.sumValue)
)</f>
        <v/>
      </c>
      <c r="N90" s="31" t="str">
        <f>_xlfn.LET(
    _xlpm.sumValue, SUMIFS(
        PNS_data[Value],
        PNS_data[Country], FR_data[[#This Row],[Country]],
        PNS_data[National Society name], selected,
        PNS_data[Attribute], "SP3",
        PNS_data[Year], "2027"
    ),
    IF(_xlpm.sumValue = 0, "", _xlpm.sumValue)
)</f>
        <v/>
      </c>
      <c r="O90" s="31" t="str">
        <f>_xlfn.LET(
    _xlpm.sumValue, SUMIFS(
        PNS_data[Value],
        PNS_data[Country], FR_data[[#This Row],[Country]],
        PNS_data[National Society name], selected,
        PNS_data[Attribute], "SP4",
        PNS_data[Year], "2027"
    ),
    IF(_xlpm.sumValue = 0, "", _xlpm.sumValue)
)</f>
        <v/>
      </c>
      <c r="P90" s="31" t="str">
        <f>_xlfn.LET(
    _xlpm.sumValue, SUMIFS(
        PNS_data[Value],
        PNS_data[Country], FR_data[[#This Row],[Country]],
        PNS_data[National Society name], selected,
        PNS_data[Attribute], "SP5",
        PNS_data[Year], "2027"
    ),
    IF(_xlpm.sumValue = 0, "", _xlpm.sumValue)
)</f>
        <v/>
      </c>
      <c r="Q90" s="31" t="str">
        <f>_xlfn.LET(
    _xlpm.sumValue, SUMIFS(
        PNS_data[Value],
        PNS_data[Country], FR_data[[#This Row],[Country]],
        PNS_data[National Society name], selected,
        PNS_data[Attribute], "EFs",
        PNS_data[Year], "2027"
    ),
    IF(_xlpm.sumValue = 0, "", _xlpm.sumValue)
)</f>
        <v/>
      </c>
      <c r="R90" s="32" t="str">
        <f>IF(SUM(FR_data[[#This Row],[Response - Disasters and Crises ]:[Enabling Functions ]])=0,"",SUM(FR_data[[#This Row],[Response - Disasters and Crises ]:[Enabling Functions ]]))</f>
        <v/>
      </c>
      <c r="S90" s="39"/>
      <c r="T90" s="30" t="str">
        <f>_xlfn.LET(
    _xlpm.sumValue, SUMIFS(
        PNS_data[Value],
        PNS_data[Country], FR_data[[#This Row],[Country]],
        PNS_data[National Society name], selected,
        PNS_data[Attribute], "SP1",
        PNS_data[Year], "2028"
    ),
    IF(_xlpm.sumValue = 0, "", _xlpm.sumValue)
)</f>
        <v/>
      </c>
      <c r="U90" s="31" t="str">
        <f>_xlfn.LET(
    _xlpm.sumValue, SUMIFS(
        PNS_data[Value],
        PNS_data[Country], FR_data[[#This Row],[Country]],
        PNS_data[National Society name], selected,
        PNS_data[Attribute], "SP2",
        PNS_data[Year], "2028"
    ),
    IF(_xlpm.sumValue = 0, "", _xlpm.sumValue)
)</f>
        <v/>
      </c>
      <c r="V90" s="31" t="str">
        <f>_xlfn.LET(
    _xlpm.sumValue, SUMIFS(
        PNS_data[Value],
        PNS_data[Country], FR_data[[#This Row],[Country]],
        PNS_data[National Society name], selected,
        PNS_data[Attribute], "SP3",
        PNS_data[Year], "2028"
    ),
    IF(_xlpm.sumValue = 0, "", _xlpm.sumValue)
)</f>
        <v/>
      </c>
      <c r="W90" s="31" t="str">
        <f>_xlfn.LET(
    _xlpm.sumValue, SUMIFS(
        PNS_data[Value],
        PNS_data[Country], FR_data[[#This Row],[Country]],
        PNS_data[National Society name], selected,
        PNS_data[Attribute], "SP4",
        PNS_data[Year], "2028"
    ),
    IF(_xlpm.sumValue = 0, "", _xlpm.sumValue)
)</f>
        <v/>
      </c>
      <c r="X90" s="31" t="str">
        <f>_xlfn.LET(
    _xlpm.sumValue, SUMIFS(
        PNS_data[Value],
        PNS_data[Country], FR_data[[#This Row],[Country]],
        PNS_data[National Society name], selected,
        PNS_data[Attribute], "SP5",
        PNS_data[Year], "2028"
    ),
    IF(_xlpm.sumValue = 0, "", _xlpm.sumValue)
)</f>
        <v/>
      </c>
      <c r="Y90" s="31" t="str">
        <f>_xlfn.LET(
    _xlpm.sumValue, SUMIFS(
        PNS_data[Value],
        PNS_data[Country], FR_data[[#This Row],[Country]],
        PNS_data[National Society name], selected,
        PNS_data[Attribute], "EFs",
        PNS_data[Year], "2028"
    ),
    IF(_xlpm.sumValue = 0, "", _xlpm.sumValue)
)</f>
        <v/>
      </c>
      <c r="Z90" s="32" t="str">
        <f>IF(SUM(FR_data[[#This Row],[Response - Disasters and Crises  ]:[Enabling Functions  ]])=0,"",SUM(FR_data[[#This Row],[Response - Disasters and Crises  ]:[Enabling Functions  ]]))</f>
        <v/>
      </c>
      <c r="AA90" s="41"/>
    </row>
    <row r="91" spans="1:27" x14ac:dyDescent="0.3">
      <c r="A91" s="11" t="s">
        <v>380</v>
      </c>
      <c r="B91" s="11" t="s">
        <v>106</v>
      </c>
      <c r="C91" s="11" t="s">
        <v>381</v>
      </c>
      <c r="D91" s="30" t="str">
        <f>_xlfn.LET(
    _xlpm.sumValue, SUMIFS(
        PNS_data[Value],
        PNS_data[Country], FR_data[[#This Row],[Country]],
        PNS_data[National Society name], selected,
        PNS_data[Attribute], "SP1",
        PNS_data[Year], "2026"
    ),
    IF(_xlpm.sumValue = 0, "", _xlpm.sumValue)
)</f>
        <v/>
      </c>
      <c r="E91" s="31" t="str">
        <f>_xlfn.LET(
    _xlpm.sumValue, SUMIFS(
        PNS_data[Value],
        PNS_data[Country], FR_data[[#This Row],[Country]],
        PNS_data[National Society name], selected,
        PNS_data[Attribute], "SP2",
        PNS_data[Year], "2026"
    ),
    IF(_xlpm.sumValue = 0, "", _xlpm.sumValue)
)</f>
        <v/>
      </c>
      <c r="F91" s="31" t="str">
        <f>_xlfn.LET(
    _xlpm.sumValue, SUMIFS(
        PNS_data[Value],
        PNS_data[Country], FR_data[[#This Row],[Country]],
        PNS_data[National Society name], selected,
        PNS_data[Attribute], "SP3",
        PNS_data[Year], "2026"
    ),
    IF(_xlpm.sumValue = 0, "", _xlpm.sumValue)
)</f>
        <v/>
      </c>
      <c r="G91" s="31" t="str">
        <f>_xlfn.LET(
    _xlpm.sumValue, SUMIFS(
        PNS_data[Value],
        PNS_data[Country], FR_data[[#This Row],[Country]],
        PNS_data[National Society name], selected,
        PNS_data[Attribute], "SP4",
        PNS_data[Year], "2026"
    ),
    IF(_xlpm.sumValue = 0, "", _xlpm.sumValue)
)</f>
        <v/>
      </c>
      <c r="H91" s="31" t="str">
        <f>_xlfn.LET(
    _xlpm.sumValue, SUMIFS(
        PNS_data[Value],
        PNS_data[Country], FR_data[[#This Row],[Country]],
        PNS_data[National Society name], selected,
        PNS_data[Attribute], "SP5",
        PNS_data[Year], "2026"
    ),
    IF(_xlpm.sumValue = 0, "", _xlpm.sumValue)
)</f>
        <v/>
      </c>
      <c r="I91" s="31" t="str">
        <f>_xlfn.LET(
    _xlpm.sumValue, SUMIFS(
        PNS_data[Value],
        PNS_data[Country], FR_data[[#This Row],[Country]],
        PNS_data[National Society name], selected,
        PNS_data[Attribute], "EFs",
        PNS_data[Year], "2026"
    ),
    IF(_xlpm.sumValue = 0, "", _xlpm.sumValue)
)</f>
        <v/>
      </c>
      <c r="J91" s="32" t="str">
        <f>IF(SUM(FR_data[[#This Row],[Response - Disasters and Crises]:[Enabling Functions]])=0,"",SUM(FR_data[[#This Row],[Response - Disasters and Crises]:[Enabling Functions]]))</f>
        <v/>
      </c>
      <c r="K91" s="39"/>
      <c r="L91" s="30" t="str">
        <f>_xlfn.LET(
    _xlpm.sumValue, SUMIFS(
        PNS_data[Value],
        PNS_data[Country], FR_data[[#This Row],[Country]],
        PNS_data[National Society name], selected,
        PNS_data[Attribute], "SP1",
        PNS_data[Year], "2027"
    ),
    IF(_xlpm.sumValue = 0, "", _xlpm.sumValue)
)</f>
        <v/>
      </c>
      <c r="M91" s="31" t="str">
        <f>_xlfn.LET(
    _xlpm.sumValue, SUMIFS(
        PNS_data[Value],
        PNS_data[Country], FR_data[[#This Row],[Country]],
        PNS_data[National Society name], selected,
        PNS_data[Attribute], "SP2",
        PNS_data[Year], "2027"
    ),
    IF(_xlpm.sumValue = 0, "", _xlpm.sumValue)
)</f>
        <v/>
      </c>
      <c r="N91" s="31" t="str">
        <f>_xlfn.LET(
    _xlpm.sumValue, SUMIFS(
        PNS_data[Value],
        PNS_data[Country], FR_data[[#This Row],[Country]],
        PNS_data[National Society name], selected,
        PNS_data[Attribute], "SP3",
        PNS_data[Year], "2027"
    ),
    IF(_xlpm.sumValue = 0, "", _xlpm.sumValue)
)</f>
        <v/>
      </c>
      <c r="O91" s="31" t="str">
        <f>_xlfn.LET(
    _xlpm.sumValue, SUMIFS(
        PNS_data[Value],
        PNS_data[Country], FR_data[[#This Row],[Country]],
        PNS_data[National Society name], selected,
        PNS_data[Attribute], "SP4",
        PNS_data[Year], "2027"
    ),
    IF(_xlpm.sumValue = 0, "", _xlpm.sumValue)
)</f>
        <v/>
      </c>
      <c r="P91" s="31" t="str">
        <f>_xlfn.LET(
    _xlpm.sumValue, SUMIFS(
        PNS_data[Value],
        PNS_data[Country], FR_data[[#This Row],[Country]],
        PNS_data[National Society name], selected,
        PNS_data[Attribute], "SP5",
        PNS_data[Year], "2027"
    ),
    IF(_xlpm.sumValue = 0, "", _xlpm.sumValue)
)</f>
        <v/>
      </c>
      <c r="Q91" s="31" t="str">
        <f>_xlfn.LET(
    _xlpm.sumValue, SUMIFS(
        PNS_data[Value],
        PNS_data[Country], FR_data[[#This Row],[Country]],
        PNS_data[National Society name], selected,
        PNS_data[Attribute], "EFs",
        PNS_data[Year], "2027"
    ),
    IF(_xlpm.sumValue = 0, "", _xlpm.sumValue)
)</f>
        <v/>
      </c>
      <c r="R91" s="32" t="str">
        <f>IF(SUM(FR_data[[#This Row],[Response - Disasters and Crises ]:[Enabling Functions ]])=0,"",SUM(FR_data[[#This Row],[Response - Disasters and Crises ]:[Enabling Functions ]]))</f>
        <v/>
      </c>
      <c r="S91" s="39"/>
      <c r="T91" s="30" t="str">
        <f>_xlfn.LET(
    _xlpm.sumValue, SUMIFS(
        PNS_data[Value],
        PNS_data[Country], FR_data[[#This Row],[Country]],
        PNS_data[National Society name], selected,
        PNS_data[Attribute], "SP1",
        PNS_data[Year], "2028"
    ),
    IF(_xlpm.sumValue = 0, "", _xlpm.sumValue)
)</f>
        <v/>
      </c>
      <c r="U91" s="31" t="str">
        <f>_xlfn.LET(
    _xlpm.sumValue, SUMIFS(
        PNS_data[Value],
        PNS_data[Country], FR_data[[#This Row],[Country]],
        PNS_data[National Society name], selected,
        PNS_data[Attribute], "SP2",
        PNS_data[Year], "2028"
    ),
    IF(_xlpm.sumValue = 0, "", _xlpm.sumValue)
)</f>
        <v/>
      </c>
      <c r="V91" s="31" t="str">
        <f>_xlfn.LET(
    _xlpm.sumValue, SUMIFS(
        PNS_data[Value],
        PNS_data[Country], FR_data[[#This Row],[Country]],
        PNS_data[National Society name], selected,
        PNS_data[Attribute], "SP3",
        PNS_data[Year], "2028"
    ),
    IF(_xlpm.sumValue = 0, "", _xlpm.sumValue)
)</f>
        <v/>
      </c>
      <c r="W91" s="31" t="str">
        <f>_xlfn.LET(
    _xlpm.sumValue, SUMIFS(
        PNS_data[Value],
        PNS_data[Country], FR_data[[#This Row],[Country]],
        PNS_data[National Society name], selected,
        PNS_data[Attribute], "SP4",
        PNS_data[Year], "2028"
    ),
    IF(_xlpm.sumValue = 0, "", _xlpm.sumValue)
)</f>
        <v/>
      </c>
      <c r="X91" s="31" t="str">
        <f>_xlfn.LET(
    _xlpm.sumValue, SUMIFS(
        PNS_data[Value],
        PNS_data[Country], FR_data[[#This Row],[Country]],
        PNS_data[National Society name], selected,
        PNS_data[Attribute], "SP5",
        PNS_data[Year], "2028"
    ),
    IF(_xlpm.sumValue = 0, "", _xlpm.sumValue)
)</f>
        <v/>
      </c>
      <c r="Y91" s="31" t="str">
        <f>_xlfn.LET(
    _xlpm.sumValue, SUMIFS(
        PNS_data[Value],
        PNS_data[Country], FR_data[[#This Row],[Country]],
        PNS_data[National Society name], selected,
        PNS_data[Attribute], "EFs",
        PNS_data[Year], "2028"
    ),
    IF(_xlpm.sumValue = 0, "", _xlpm.sumValue)
)</f>
        <v/>
      </c>
      <c r="Z91" s="32" t="str">
        <f>IF(SUM(FR_data[[#This Row],[Response - Disasters and Crises  ]:[Enabling Functions  ]])=0,"",SUM(FR_data[[#This Row],[Response - Disasters and Crises  ]:[Enabling Functions  ]]))</f>
        <v/>
      </c>
      <c r="AA91" s="41"/>
    </row>
    <row r="92" spans="1:27" x14ac:dyDescent="0.3">
      <c r="A92" s="11" t="s">
        <v>388</v>
      </c>
      <c r="B92" s="11" t="s">
        <v>106</v>
      </c>
      <c r="C92" s="11" t="s">
        <v>389</v>
      </c>
      <c r="D92" s="30" t="str">
        <f>_xlfn.LET(
    _xlpm.sumValue, SUMIFS(
        PNS_data[Value],
        PNS_data[Country], FR_data[[#This Row],[Country]],
        PNS_data[National Society name], selected,
        PNS_data[Attribute], "SP1",
        PNS_data[Year], "2026"
    ),
    IF(_xlpm.sumValue = 0, "", _xlpm.sumValue)
)</f>
        <v/>
      </c>
      <c r="E92" s="31" t="str">
        <f>_xlfn.LET(
    _xlpm.sumValue, SUMIFS(
        PNS_data[Value],
        PNS_data[Country], FR_data[[#This Row],[Country]],
        PNS_data[National Society name], selected,
        PNS_data[Attribute], "SP2",
        PNS_data[Year], "2026"
    ),
    IF(_xlpm.sumValue = 0, "", _xlpm.sumValue)
)</f>
        <v/>
      </c>
      <c r="F92" s="31" t="str">
        <f>_xlfn.LET(
    _xlpm.sumValue, SUMIFS(
        PNS_data[Value],
        PNS_data[Country], FR_data[[#This Row],[Country]],
        PNS_data[National Society name], selected,
        PNS_data[Attribute], "SP3",
        PNS_data[Year], "2026"
    ),
    IF(_xlpm.sumValue = 0, "", _xlpm.sumValue)
)</f>
        <v/>
      </c>
      <c r="G92" s="31" t="str">
        <f>_xlfn.LET(
    _xlpm.sumValue, SUMIFS(
        PNS_data[Value],
        PNS_data[Country], FR_data[[#This Row],[Country]],
        PNS_data[National Society name], selected,
        PNS_data[Attribute], "SP4",
        PNS_data[Year], "2026"
    ),
    IF(_xlpm.sumValue = 0, "", _xlpm.sumValue)
)</f>
        <v/>
      </c>
      <c r="H92" s="31" t="str">
        <f>_xlfn.LET(
    _xlpm.sumValue, SUMIFS(
        PNS_data[Value],
        PNS_data[Country], FR_data[[#This Row],[Country]],
        PNS_data[National Society name], selected,
        PNS_data[Attribute], "SP5",
        PNS_data[Year], "2026"
    ),
    IF(_xlpm.sumValue = 0, "", _xlpm.sumValue)
)</f>
        <v/>
      </c>
      <c r="I92" s="31" t="str">
        <f>_xlfn.LET(
    _xlpm.sumValue, SUMIFS(
        PNS_data[Value],
        PNS_data[Country], FR_data[[#This Row],[Country]],
        PNS_data[National Society name], selected,
        PNS_data[Attribute], "EFs",
        PNS_data[Year], "2026"
    ),
    IF(_xlpm.sumValue = 0, "", _xlpm.sumValue)
)</f>
        <v/>
      </c>
      <c r="J92" s="32" t="str">
        <f>IF(SUM(FR_data[[#This Row],[Response - Disasters and Crises]:[Enabling Functions]])=0,"",SUM(FR_data[[#This Row],[Response - Disasters and Crises]:[Enabling Functions]]))</f>
        <v/>
      </c>
      <c r="K92" s="39"/>
      <c r="L92" s="30" t="str">
        <f>_xlfn.LET(
    _xlpm.sumValue, SUMIFS(
        PNS_data[Value],
        PNS_data[Country], FR_data[[#This Row],[Country]],
        PNS_data[National Society name], selected,
        PNS_data[Attribute], "SP1",
        PNS_data[Year], "2027"
    ),
    IF(_xlpm.sumValue = 0, "", _xlpm.sumValue)
)</f>
        <v/>
      </c>
      <c r="M92" s="31" t="str">
        <f>_xlfn.LET(
    _xlpm.sumValue, SUMIFS(
        PNS_data[Value],
        PNS_data[Country], FR_data[[#This Row],[Country]],
        PNS_data[National Society name], selected,
        PNS_data[Attribute], "SP2",
        PNS_data[Year], "2027"
    ),
    IF(_xlpm.sumValue = 0, "", _xlpm.sumValue)
)</f>
        <v/>
      </c>
      <c r="N92" s="31" t="str">
        <f>_xlfn.LET(
    _xlpm.sumValue, SUMIFS(
        PNS_data[Value],
        PNS_data[Country], FR_data[[#This Row],[Country]],
        PNS_data[National Society name], selected,
        PNS_data[Attribute], "SP3",
        PNS_data[Year], "2027"
    ),
    IF(_xlpm.sumValue = 0, "", _xlpm.sumValue)
)</f>
        <v/>
      </c>
      <c r="O92" s="31" t="str">
        <f>_xlfn.LET(
    _xlpm.sumValue, SUMIFS(
        PNS_data[Value],
        PNS_data[Country], FR_data[[#This Row],[Country]],
        PNS_data[National Society name], selected,
        PNS_data[Attribute], "SP4",
        PNS_data[Year], "2027"
    ),
    IF(_xlpm.sumValue = 0, "", _xlpm.sumValue)
)</f>
        <v/>
      </c>
      <c r="P92" s="31" t="str">
        <f>_xlfn.LET(
    _xlpm.sumValue, SUMIFS(
        PNS_data[Value],
        PNS_data[Country], FR_data[[#This Row],[Country]],
        PNS_data[National Society name], selected,
        PNS_data[Attribute], "SP5",
        PNS_data[Year], "2027"
    ),
    IF(_xlpm.sumValue = 0, "", _xlpm.sumValue)
)</f>
        <v/>
      </c>
      <c r="Q92" s="31" t="str">
        <f>_xlfn.LET(
    _xlpm.sumValue, SUMIFS(
        PNS_data[Value],
        PNS_data[Country], FR_data[[#This Row],[Country]],
        PNS_data[National Society name], selected,
        PNS_data[Attribute], "EFs",
        PNS_data[Year], "2027"
    ),
    IF(_xlpm.sumValue = 0, "", _xlpm.sumValue)
)</f>
        <v/>
      </c>
      <c r="R92" s="32" t="str">
        <f>IF(SUM(FR_data[[#This Row],[Response - Disasters and Crises ]:[Enabling Functions ]])=0,"",SUM(FR_data[[#This Row],[Response - Disasters and Crises ]:[Enabling Functions ]]))</f>
        <v/>
      </c>
      <c r="S92" s="39"/>
      <c r="T92" s="30" t="str">
        <f>_xlfn.LET(
    _xlpm.sumValue, SUMIFS(
        PNS_data[Value],
        PNS_data[Country], FR_data[[#This Row],[Country]],
        PNS_data[National Society name], selected,
        PNS_data[Attribute], "SP1",
        PNS_data[Year], "2028"
    ),
    IF(_xlpm.sumValue = 0, "", _xlpm.sumValue)
)</f>
        <v/>
      </c>
      <c r="U92" s="31" t="str">
        <f>_xlfn.LET(
    _xlpm.sumValue, SUMIFS(
        PNS_data[Value],
        PNS_data[Country], FR_data[[#This Row],[Country]],
        PNS_data[National Society name], selected,
        PNS_data[Attribute], "SP2",
        PNS_data[Year], "2028"
    ),
    IF(_xlpm.sumValue = 0, "", _xlpm.sumValue)
)</f>
        <v/>
      </c>
      <c r="V92" s="31" t="str">
        <f>_xlfn.LET(
    _xlpm.sumValue, SUMIFS(
        PNS_data[Value],
        PNS_data[Country], FR_data[[#This Row],[Country]],
        PNS_data[National Society name], selected,
        PNS_data[Attribute], "SP3",
        PNS_data[Year], "2028"
    ),
    IF(_xlpm.sumValue = 0, "", _xlpm.sumValue)
)</f>
        <v/>
      </c>
      <c r="W92" s="31" t="str">
        <f>_xlfn.LET(
    _xlpm.sumValue, SUMIFS(
        PNS_data[Value],
        PNS_data[Country], FR_data[[#This Row],[Country]],
        PNS_data[National Society name], selected,
        PNS_data[Attribute], "SP4",
        PNS_data[Year], "2028"
    ),
    IF(_xlpm.sumValue = 0, "", _xlpm.sumValue)
)</f>
        <v/>
      </c>
      <c r="X92" s="31" t="str">
        <f>_xlfn.LET(
    _xlpm.sumValue, SUMIFS(
        PNS_data[Value],
        PNS_data[Country], FR_data[[#This Row],[Country]],
        PNS_data[National Society name], selected,
        PNS_data[Attribute], "SP5",
        PNS_data[Year], "2028"
    ),
    IF(_xlpm.sumValue = 0, "", _xlpm.sumValue)
)</f>
        <v/>
      </c>
      <c r="Y92" s="31" t="str">
        <f>_xlfn.LET(
    _xlpm.sumValue, SUMIFS(
        PNS_data[Value],
        PNS_data[Country], FR_data[[#This Row],[Country]],
        PNS_data[National Society name], selected,
        PNS_data[Attribute], "EFs",
        PNS_data[Year], "2028"
    ),
    IF(_xlpm.sumValue = 0, "", _xlpm.sumValue)
)</f>
        <v/>
      </c>
      <c r="Z92" s="32" t="str">
        <f>IF(SUM(FR_data[[#This Row],[Response - Disasters and Crises  ]:[Enabling Functions  ]])=0,"",SUM(FR_data[[#This Row],[Response - Disasters and Crises  ]:[Enabling Functions  ]]))</f>
        <v/>
      </c>
      <c r="AA92" s="41"/>
    </row>
    <row r="93" spans="1:27" x14ac:dyDescent="0.3">
      <c r="A93" s="11" t="s">
        <v>424</v>
      </c>
      <c r="B93" s="11" t="s">
        <v>106</v>
      </c>
      <c r="C93" s="11" t="s">
        <v>43</v>
      </c>
      <c r="D93" s="30" t="str">
        <f>_xlfn.LET(
    _xlpm.sumValue, SUMIFS(
        PNS_data[Value],
        PNS_data[Country], FR_data[[#This Row],[Country]],
        PNS_data[National Society name], selected,
        PNS_data[Attribute], "SP1",
        PNS_data[Year], "2026"
    ),
    IF(_xlpm.sumValue = 0, "", _xlpm.sumValue)
)</f>
        <v/>
      </c>
      <c r="E93" s="31" t="str">
        <f>_xlfn.LET(
    _xlpm.sumValue, SUMIFS(
        PNS_data[Value],
        PNS_data[Country], FR_data[[#This Row],[Country]],
        PNS_data[National Society name], selected,
        PNS_data[Attribute], "SP2",
        PNS_data[Year], "2026"
    ),
    IF(_xlpm.sumValue = 0, "", _xlpm.sumValue)
)</f>
        <v/>
      </c>
      <c r="F93" s="31" t="str">
        <f>_xlfn.LET(
    _xlpm.sumValue, SUMIFS(
        PNS_data[Value],
        PNS_data[Country], FR_data[[#This Row],[Country]],
        PNS_data[National Society name], selected,
        PNS_data[Attribute], "SP3",
        PNS_data[Year], "2026"
    ),
    IF(_xlpm.sumValue = 0, "", _xlpm.sumValue)
)</f>
        <v/>
      </c>
      <c r="G93" s="31" t="str">
        <f>_xlfn.LET(
    _xlpm.sumValue, SUMIFS(
        PNS_data[Value],
        PNS_data[Country], FR_data[[#This Row],[Country]],
        PNS_data[National Society name], selected,
        PNS_data[Attribute], "SP4",
        PNS_data[Year], "2026"
    ),
    IF(_xlpm.sumValue = 0, "", _xlpm.sumValue)
)</f>
        <v/>
      </c>
      <c r="H93" s="31" t="str">
        <f>_xlfn.LET(
    _xlpm.sumValue, SUMIFS(
        PNS_data[Value],
        PNS_data[Country], FR_data[[#This Row],[Country]],
        PNS_data[National Society name], selected,
        PNS_data[Attribute], "SP5",
        PNS_data[Year], "2026"
    ),
    IF(_xlpm.sumValue = 0, "", _xlpm.sumValue)
)</f>
        <v/>
      </c>
      <c r="I93" s="31" t="str">
        <f>_xlfn.LET(
    _xlpm.sumValue, SUMIFS(
        PNS_data[Value],
        PNS_data[Country], FR_data[[#This Row],[Country]],
        PNS_data[National Society name], selected,
        PNS_data[Attribute], "EFs",
        PNS_data[Year], "2026"
    ),
    IF(_xlpm.sumValue = 0, "", _xlpm.sumValue)
)</f>
        <v/>
      </c>
      <c r="J93" s="32" t="str">
        <f>IF(SUM(FR_data[[#This Row],[Response - Disasters and Crises]:[Enabling Functions]])=0,"",SUM(FR_data[[#This Row],[Response - Disasters and Crises]:[Enabling Functions]]))</f>
        <v/>
      </c>
      <c r="K93" s="39"/>
      <c r="L93" s="30" t="str">
        <f>_xlfn.LET(
    _xlpm.sumValue, SUMIFS(
        PNS_data[Value],
        PNS_data[Country], FR_data[[#This Row],[Country]],
        PNS_data[National Society name], selected,
        PNS_data[Attribute], "SP1",
        PNS_data[Year], "2027"
    ),
    IF(_xlpm.sumValue = 0, "", _xlpm.sumValue)
)</f>
        <v/>
      </c>
      <c r="M93" s="31" t="str">
        <f>_xlfn.LET(
    _xlpm.sumValue, SUMIFS(
        PNS_data[Value],
        PNS_data[Country], FR_data[[#This Row],[Country]],
        PNS_data[National Society name], selected,
        PNS_data[Attribute], "SP2",
        PNS_data[Year], "2027"
    ),
    IF(_xlpm.sumValue = 0, "", _xlpm.sumValue)
)</f>
        <v/>
      </c>
      <c r="N93" s="31" t="str">
        <f>_xlfn.LET(
    _xlpm.sumValue, SUMIFS(
        PNS_data[Value],
        PNS_data[Country], FR_data[[#This Row],[Country]],
        PNS_data[National Society name], selected,
        PNS_data[Attribute], "SP3",
        PNS_data[Year], "2027"
    ),
    IF(_xlpm.sumValue = 0, "", _xlpm.sumValue)
)</f>
        <v/>
      </c>
      <c r="O93" s="31" t="str">
        <f>_xlfn.LET(
    _xlpm.sumValue, SUMIFS(
        PNS_data[Value],
        PNS_data[Country], FR_data[[#This Row],[Country]],
        PNS_data[National Society name], selected,
        PNS_data[Attribute], "SP4",
        PNS_data[Year], "2027"
    ),
    IF(_xlpm.sumValue = 0, "", _xlpm.sumValue)
)</f>
        <v/>
      </c>
      <c r="P93" s="31" t="str">
        <f>_xlfn.LET(
    _xlpm.sumValue, SUMIFS(
        PNS_data[Value],
        PNS_data[Country], FR_data[[#This Row],[Country]],
        PNS_data[National Society name], selected,
        PNS_data[Attribute], "SP5",
        PNS_data[Year], "2027"
    ),
    IF(_xlpm.sumValue = 0, "", _xlpm.sumValue)
)</f>
        <v/>
      </c>
      <c r="Q93" s="31" t="str">
        <f>_xlfn.LET(
    _xlpm.sumValue, SUMIFS(
        PNS_data[Value],
        PNS_data[Country], FR_data[[#This Row],[Country]],
        PNS_data[National Society name], selected,
        PNS_data[Attribute], "EFs",
        PNS_data[Year], "2027"
    ),
    IF(_xlpm.sumValue = 0, "", _xlpm.sumValue)
)</f>
        <v/>
      </c>
      <c r="R93" s="32" t="str">
        <f>IF(SUM(FR_data[[#This Row],[Response - Disasters and Crises ]:[Enabling Functions ]])=0,"",SUM(FR_data[[#This Row],[Response - Disasters and Crises ]:[Enabling Functions ]]))</f>
        <v/>
      </c>
      <c r="S93" s="39"/>
      <c r="T93" s="30" t="str">
        <f>_xlfn.LET(
    _xlpm.sumValue, SUMIFS(
        PNS_data[Value],
        PNS_data[Country], FR_data[[#This Row],[Country]],
        PNS_data[National Society name], selected,
        PNS_data[Attribute], "SP1",
        PNS_data[Year], "2028"
    ),
    IF(_xlpm.sumValue = 0, "", _xlpm.sumValue)
)</f>
        <v/>
      </c>
      <c r="U93" s="31" t="str">
        <f>_xlfn.LET(
    _xlpm.sumValue, SUMIFS(
        PNS_data[Value],
        PNS_data[Country], FR_data[[#This Row],[Country]],
        PNS_data[National Society name], selected,
        PNS_data[Attribute], "SP2",
        PNS_data[Year], "2028"
    ),
    IF(_xlpm.sumValue = 0, "", _xlpm.sumValue)
)</f>
        <v/>
      </c>
      <c r="V93" s="31" t="str">
        <f>_xlfn.LET(
    _xlpm.sumValue, SUMIFS(
        PNS_data[Value],
        PNS_data[Country], FR_data[[#This Row],[Country]],
        PNS_data[National Society name], selected,
        PNS_data[Attribute], "SP3",
        PNS_data[Year], "2028"
    ),
    IF(_xlpm.sumValue = 0, "", _xlpm.sumValue)
)</f>
        <v/>
      </c>
      <c r="W93" s="31" t="str">
        <f>_xlfn.LET(
    _xlpm.sumValue, SUMIFS(
        PNS_data[Value],
        PNS_data[Country], FR_data[[#This Row],[Country]],
        PNS_data[National Society name], selected,
        PNS_data[Attribute], "SP4",
        PNS_data[Year], "2028"
    ),
    IF(_xlpm.sumValue = 0, "", _xlpm.sumValue)
)</f>
        <v/>
      </c>
      <c r="X93" s="31" t="str">
        <f>_xlfn.LET(
    _xlpm.sumValue, SUMIFS(
        PNS_data[Value],
        PNS_data[Country], FR_data[[#This Row],[Country]],
        PNS_data[National Society name], selected,
        PNS_data[Attribute], "SP5",
        PNS_data[Year], "2028"
    ),
    IF(_xlpm.sumValue = 0, "", _xlpm.sumValue)
)</f>
        <v/>
      </c>
      <c r="Y93" s="31" t="str">
        <f>_xlfn.LET(
    _xlpm.sumValue, SUMIFS(
        PNS_data[Value],
        PNS_data[Country], FR_data[[#This Row],[Country]],
        PNS_data[National Society name], selected,
        PNS_data[Attribute], "EFs",
        PNS_data[Year], "2028"
    ),
    IF(_xlpm.sumValue = 0, "", _xlpm.sumValue)
)</f>
        <v/>
      </c>
      <c r="Z93" s="32" t="str">
        <f>IF(SUM(FR_data[[#This Row],[Response - Disasters and Crises  ]:[Enabling Functions  ]])=0,"",SUM(FR_data[[#This Row],[Response - Disasters and Crises  ]:[Enabling Functions  ]]))</f>
        <v/>
      </c>
      <c r="AA93" s="41"/>
    </row>
    <row r="94" spans="1:27" x14ac:dyDescent="0.3">
      <c r="A94" s="11" t="s">
        <v>394</v>
      </c>
      <c r="B94" s="11" t="s">
        <v>106</v>
      </c>
      <c r="C94" s="11" t="s">
        <v>395</v>
      </c>
      <c r="D94" s="30" t="str">
        <f>_xlfn.LET(
    _xlpm.sumValue, SUMIFS(
        PNS_data[Value],
        PNS_data[Country], FR_data[[#This Row],[Country]],
        PNS_data[National Society name], selected,
        PNS_data[Attribute], "SP1",
        PNS_data[Year], "2026"
    ),
    IF(_xlpm.sumValue = 0, "", _xlpm.sumValue)
)</f>
        <v/>
      </c>
      <c r="E94" s="31" t="str">
        <f>_xlfn.LET(
    _xlpm.sumValue, SUMIFS(
        PNS_data[Value],
        PNS_data[Country], FR_data[[#This Row],[Country]],
        PNS_data[National Society name], selected,
        PNS_data[Attribute], "SP2",
        PNS_data[Year], "2026"
    ),
    IF(_xlpm.sumValue = 0, "", _xlpm.sumValue)
)</f>
        <v/>
      </c>
      <c r="F94" s="31" t="str">
        <f>_xlfn.LET(
    _xlpm.sumValue, SUMIFS(
        PNS_data[Value],
        PNS_data[Country], FR_data[[#This Row],[Country]],
        PNS_data[National Society name], selected,
        PNS_data[Attribute], "SP3",
        PNS_data[Year], "2026"
    ),
    IF(_xlpm.sumValue = 0, "", _xlpm.sumValue)
)</f>
        <v/>
      </c>
      <c r="G94" s="31" t="str">
        <f>_xlfn.LET(
    _xlpm.sumValue, SUMIFS(
        PNS_data[Value],
        PNS_data[Country], FR_data[[#This Row],[Country]],
        PNS_data[National Society name], selected,
        PNS_data[Attribute], "SP4",
        PNS_data[Year], "2026"
    ),
    IF(_xlpm.sumValue = 0, "", _xlpm.sumValue)
)</f>
        <v/>
      </c>
      <c r="H94" s="31" t="str">
        <f>_xlfn.LET(
    _xlpm.sumValue, SUMIFS(
        PNS_data[Value],
        PNS_data[Country], FR_data[[#This Row],[Country]],
        PNS_data[National Society name], selected,
        PNS_data[Attribute], "SP5",
        PNS_data[Year], "2026"
    ),
    IF(_xlpm.sumValue = 0, "", _xlpm.sumValue)
)</f>
        <v/>
      </c>
      <c r="I94" s="31" t="str">
        <f>_xlfn.LET(
    _xlpm.sumValue, SUMIFS(
        PNS_data[Value],
        PNS_data[Country], FR_data[[#This Row],[Country]],
        PNS_data[National Society name], selected,
        PNS_data[Attribute], "EFs",
        PNS_data[Year], "2026"
    ),
    IF(_xlpm.sumValue = 0, "", _xlpm.sumValue)
)</f>
        <v/>
      </c>
      <c r="J94" s="32" t="str">
        <f>IF(SUM(FR_data[[#This Row],[Response - Disasters and Crises]:[Enabling Functions]])=0,"",SUM(FR_data[[#This Row],[Response - Disasters and Crises]:[Enabling Functions]]))</f>
        <v/>
      </c>
      <c r="K94" s="39"/>
      <c r="L94" s="30" t="str">
        <f>_xlfn.LET(
    _xlpm.sumValue, SUMIFS(
        PNS_data[Value],
        PNS_data[Country], FR_data[[#This Row],[Country]],
        PNS_data[National Society name], selected,
        PNS_data[Attribute], "SP1",
        PNS_data[Year], "2027"
    ),
    IF(_xlpm.sumValue = 0, "", _xlpm.sumValue)
)</f>
        <v/>
      </c>
      <c r="M94" s="31" t="str">
        <f>_xlfn.LET(
    _xlpm.sumValue, SUMIFS(
        PNS_data[Value],
        PNS_data[Country], FR_data[[#This Row],[Country]],
        PNS_data[National Society name], selected,
        PNS_data[Attribute], "SP2",
        PNS_data[Year], "2027"
    ),
    IF(_xlpm.sumValue = 0, "", _xlpm.sumValue)
)</f>
        <v/>
      </c>
      <c r="N94" s="31" t="str">
        <f>_xlfn.LET(
    _xlpm.sumValue, SUMIFS(
        PNS_data[Value],
        PNS_data[Country], FR_data[[#This Row],[Country]],
        PNS_data[National Society name], selected,
        PNS_data[Attribute], "SP3",
        PNS_data[Year], "2027"
    ),
    IF(_xlpm.sumValue = 0, "", _xlpm.sumValue)
)</f>
        <v/>
      </c>
      <c r="O94" s="31" t="str">
        <f>_xlfn.LET(
    _xlpm.sumValue, SUMIFS(
        PNS_data[Value],
        PNS_data[Country], FR_data[[#This Row],[Country]],
        PNS_data[National Society name], selected,
        PNS_data[Attribute], "SP4",
        PNS_data[Year], "2027"
    ),
    IF(_xlpm.sumValue = 0, "", _xlpm.sumValue)
)</f>
        <v/>
      </c>
      <c r="P94" s="31" t="str">
        <f>_xlfn.LET(
    _xlpm.sumValue, SUMIFS(
        PNS_data[Value],
        PNS_data[Country], FR_data[[#This Row],[Country]],
        PNS_data[National Society name], selected,
        PNS_data[Attribute], "SP5",
        PNS_data[Year], "2027"
    ),
    IF(_xlpm.sumValue = 0, "", _xlpm.sumValue)
)</f>
        <v/>
      </c>
      <c r="Q94" s="31" t="str">
        <f>_xlfn.LET(
    _xlpm.sumValue, SUMIFS(
        PNS_data[Value],
        PNS_data[Country], FR_data[[#This Row],[Country]],
        PNS_data[National Society name], selected,
        PNS_data[Attribute], "EFs",
        PNS_data[Year], "2027"
    ),
    IF(_xlpm.sumValue = 0, "", _xlpm.sumValue)
)</f>
        <v/>
      </c>
      <c r="R94" s="32" t="str">
        <f>IF(SUM(FR_data[[#This Row],[Response - Disasters and Crises ]:[Enabling Functions ]])=0,"",SUM(FR_data[[#This Row],[Response - Disasters and Crises ]:[Enabling Functions ]]))</f>
        <v/>
      </c>
      <c r="S94" s="39"/>
      <c r="T94" s="30" t="str">
        <f>_xlfn.LET(
    _xlpm.sumValue, SUMIFS(
        PNS_data[Value],
        PNS_data[Country], FR_data[[#This Row],[Country]],
        PNS_data[National Society name], selected,
        PNS_data[Attribute], "SP1",
        PNS_data[Year], "2028"
    ),
    IF(_xlpm.sumValue = 0, "", _xlpm.sumValue)
)</f>
        <v/>
      </c>
      <c r="U94" s="31" t="str">
        <f>_xlfn.LET(
    _xlpm.sumValue, SUMIFS(
        PNS_data[Value],
        PNS_data[Country], FR_data[[#This Row],[Country]],
        PNS_data[National Society name], selected,
        PNS_data[Attribute], "SP2",
        PNS_data[Year], "2028"
    ),
    IF(_xlpm.sumValue = 0, "", _xlpm.sumValue)
)</f>
        <v/>
      </c>
      <c r="V94" s="31" t="str">
        <f>_xlfn.LET(
    _xlpm.sumValue, SUMIFS(
        PNS_data[Value],
        PNS_data[Country], FR_data[[#This Row],[Country]],
        PNS_data[National Society name], selected,
        PNS_data[Attribute], "SP3",
        PNS_data[Year], "2028"
    ),
    IF(_xlpm.sumValue = 0, "", _xlpm.sumValue)
)</f>
        <v/>
      </c>
      <c r="W94" s="31" t="str">
        <f>_xlfn.LET(
    _xlpm.sumValue, SUMIFS(
        PNS_data[Value],
        PNS_data[Country], FR_data[[#This Row],[Country]],
        PNS_data[National Society name], selected,
        PNS_data[Attribute], "SP4",
        PNS_data[Year], "2028"
    ),
    IF(_xlpm.sumValue = 0, "", _xlpm.sumValue)
)</f>
        <v/>
      </c>
      <c r="X94" s="31" t="str">
        <f>_xlfn.LET(
    _xlpm.sumValue, SUMIFS(
        PNS_data[Value],
        PNS_data[Country], FR_data[[#This Row],[Country]],
        PNS_data[National Society name], selected,
        PNS_data[Attribute], "SP5",
        PNS_data[Year], "2028"
    ),
    IF(_xlpm.sumValue = 0, "", _xlpm.sumValue)
)</f>
        <v/>
      </c>
      <c r="Y94" s="31" t="str">
        <f>_xlfn.LET(
    _xlpm.sumValue, SUMIFS(
        PNS_data[Value],
        PNS_data[Country], FR_data[[#This Row],[Country]],
        PNS_data[National Society name], selected,
        PNS_data[Attribute], "EFs",
        PNS_data[Year], "2028"
    ),
    IF(_xlpm.sumValue = 0, "", _xlpm.sumValue)
)</f>
        <v/>
      </c>
      <c r="Z94" s="32" t="str">
        <f>IF(SUM(FR_data[[#This Row],[Response - Disasters and Crises  ]:[Enabling Functions  ]])=0,"",SUM(FR_data[[#This Row],[Response - Disasters and Crises  ]:[Enabling Functions  ]]))</f>
        <v/>
      </c>
      <c r="AA94" s="41"/>
    </row>
    <row r="95" spans="1:27" x14ac:dyDescent="0.3">
      <c r="A95" s="11" t="s">
        <v>99</v>
      </c>
      <c r="B95" s="11" t="s">
        <v>98</v>
      </c>
      <c r="C95" s="11" t="s">
        <v>83</v>
      </c>
      <c r="D95" s="30" t="str">
        <f>_xlfn.LET(
    _xlpm.sumValue, SUMIFS(
        PNS_data[Value],
        PNS_data[Country], FR_data[[#This Row],[Country]],
        PNS_data[National Society name], selected,
        PNS_data[Attribute], "SP1",
        PNS_data[Year], "2026"
    ),
    IF(_xlpm.sumValue = 0, "", _xlpm.sumValue)
)</f>
        <v/>
      </c>
      <c r="E95" s="31" t="str">
        <f>_xlfn.LET(
    _xlpm.sumValue, SUMIFS(
        PNS_data[Value],
        PNS_data[Country], FR_data[[#This Row],[Country]],
        PNS_data[National Society name], selected,
        PNS_data[Attribute], "SP2",
        PNS_data[Year], "2026"
    ),
    IF(_xlpm.sumValue = 0, "", _xlpm.sumValue)
)</f>
        <v/>
      </c>
      <c r="F95" s="31" t="str">
        <f>_xlfn.LET(
    _xlpm.sumValue, SUMIFS(
        PNS_data[Value],
        PNS_data[Country], FR_data[[#This Row],[Country]],
        PNS_data[National Society name], selected,
        PNS_data[Attribute], "SP3",
        PNS_data[Year], "2026"
    ),
    IF(_xlpm.sumValue = 0, "", _xlpm.sumValue)
)</f>
        <v/>
      </c>
      <c r="G95" s="31" t="str">
        <f>_xlfn.LET(
    _xlpm.sumValue, SUMIFS(
        PNS_data[Value],
        PNS_data[Country], FR_data[[#This Row],[Country]],
        PNS_data[National Society name], selected,
        PNS_data[Attribute], "SP4",
        PNS_data[Year], "2026"
    ),
    IF(_xlpm.sumValue = 0, "", _xlpm.sumValue)
)</f>
        <v/>
      </c>
      <c r="H95" s="31" t="str">
        <f>_xlfn.LET(
    _xlpm.sumValue, SUMIFS(
        PNS_data[Value],
        PNS_data[Country], FR_data[[#This Row],[Country]],
        PNS_data[National Society name], selected,
        PNS_data[Attribute], "SP5",
        PNS_data[Year], "2026"
    ),
    IF(_xlpm.sumValue = 0, "", _xlpm.sumValue)
)</f>
        <v/>
      </c>
      <c r="I95" s="31" t="str">
        <f>_xlfn.LET(
    _xlpm.sumValue, SUMIFS(
        PNS_data[Value],
        PNS_data[Country], FR_data[[#This Row],[Country]],
        PNS_data[National Society name], selected,
        PNS_data[Attribute], "EFs",
        PNS_data[Year], "2026"
    ),
    IF(_xlpm.sumValue = 0, "", _xlpm.sumValue)
)</f>
        <v/>
      </c>
      <c r="J95" s="32" t="str">
        <f>IF(SUM(FR_data[[#This Row],[Response - Disasters and Crises]:[Enabling Functions]])=0,"",SUM(FR_data[[#This Row],[Response - Disasters and Crises]:[Enabling Functions]]))</f>
        <v/>
      </c>
      <c r="K95" s="39"/>
      <c r="L95" s="30" t="str">
        <f>_xlfn.LET(
    _xlpm.sumValue, SUMIFS(
        PNS_data[Value],
        PNS_data[Country], FR_data[[#This Row],[Country]],
        PNS_data[National Society name], selected,
        PNS_data[Attribute], "SP1",
        PNS_data[Year], "2027"
    ),
    IF(_xlpm.sumValue = 0, "", _xlpm.sumValue)
)</f>
        <v/>
      </c>
      <c r="M95" s="31" t="str">
        <f>_xlfn.LET(
    _xlpm.sumValue, SUMIFS(
        PNS_data[Value],
        PNS_data[Country], FR_data[[#This Row],[Country]],
        PNS_data[National Society name], selected,
        PNS_data[Attribute], "SP2",
        PNS_data[Year], "2027"
    ),
    IF(_xlpm.sumValue = 0, "", _xlpm.sumValue)
)</f>
        <v/>
      </c>
      <c r="N95" s="31" t="str">
        <f>_xlfn.LET(
    _xlpm.sumValue, SUMIFS(
        PNS_data[Value],
        PNS_data[Country], FR_data[[#This Row],[Country]],
        PNS_data[National Society name], selected,
        PNS_data[Attribute], "SP3",
        PNS_data[Year], "2027"
    ),
    IF(_xlpm.sumValue = 0, "", _xlpm.sumValue)
)</f>
        <v/>
      </c>
      <c r="O95" s="31" t="str">
        <f>_xlfn.LET(
    _xlpm.sumValue, SUMIFS(
        PNS_data[Value],
        PNS_data[Country], FR_data[[#This Row],[Country]],
        PNS_data[National Society name], selected,
        PNS_data[Attribute], "SP4",
        PNS_data[Year], "2027"
    ),
    IF(_xlpm.sumValue = 0, "", _xlpm.sumValue)
)</f>
        <v/>
      </c>
      <c r="P95" s="31" t="str">
        <f>_xlfn.LET(
    _xlpm.sumValue, SUMIFS(
        PNS_data[Value],
        PNS_data[Country], FR_data[[#This Row],[Country]],
        PNS_data[National Society name], selected,
        PNS_data[Attribute], "SP5",
        PNS_data[Year], "2027"
    ),
    IF(_xlpm.sumValue = 0, "", _xlpm.sumValue)
)</f>
        <v/>
      </c>
      <c r="Q95" s="31" t="str">
        <f>_xlfn.LET(
    _xlpm.sumValue, SUMIFS(
        PNS_data[Value],
        PNS_data[Country], FR_data[[#This Row],[Country]],
        PNS_data[National Society name], selected,
        PNS_data[Attribute], "EFs",
        PNS_data[Year], "2027"
    ),
    IF(_xlpm.sumValue = 0, "", _xlpm.sumValue)
)</f>
        <v/>
      </c>
      <c r="R95" s="32" t="str">
        <f>IF(SUM(FR_data[[#This Row],[Response - Disasters and Crises ]:[Enabling Functions ]])=0,"",SUM(FR_data[[#This Row],[Response - Disasters and Crises ]:[Enabling Functions ]]))</f>
        <v/>
      </c>
      <c r="S95" s="39"/>
      <c r="T95" s="30" t="str">
        <f>_xlfn.LET(
    _xlpm.sumValue, SUMIFS(
        PNS_data[Value],
        PNS_data[Country], FR_data[[#This Row],[Country]],
        PNS_data[National Society name], selected,
        PNS_data[Attribute], "SP1",
        PNS_data[Year], "2028"
    ),
    IF(_xlpm.sumValue = 0, "", _xlpm.sumValue)
)</f>
        <v/>
      </c>
      <c r="U95" s="31" t="str">
        <f>_xlfn.LET(
    _xlpm.sumValue, SUMIFS(
        PNS_data[Value],
        PNS_data[Country], FR_data[[#This Row],[Country]],
        PNS_data[National Society name], selected,
        PNS_data[Attribute], "SP2",
        PNS_data[Year], "2028"
    ),
    IF(_xlpm.sumValue = 0, "", _xlpm.sumValue)
)</f>
        <v/>
      </c>
      <c r="V95" s="31" t="str">
        <f>_xlfn.LET(
    _xlpm.sumValue, SUMIFS(
        PNS_data[Value],
        PNS_data[Country], FR_data[[#This Row],[Country]],
        PNS_data[National Society name], selected,
        PNS_data[Attribute], "SP3",
        PNS_data[Year], "2028"
    ),
    IF(_xlpm.sumValue = 0, "", _xlpm.sumValue)
)</f>
        <v/>
      </c>
      <c r="W95" s="31" t="str">
        <f>_xlfn.LET(
    _xlpm.sumValue, SUMIFS(
        PNS_data[Value],
        PNS_data[Country], FR_data[[#This Row],[Country]],
        PNS_data[National Society name], selected,
        PNS_data[Attribute], "SP4",
        PNS_data[Year], "2028"
    ),
    IF(_xlpm.sumValue = 0, "", _xlpm.sumValue)
)</f>
        <v/>
      </c>
      <c r="X95" s="31" t="str">
        <f>_xlfn.LET(
    _xlpm.sumValue, SUMIFS(
        PNS_data[Value],
        PNS_data[Country], FR_data[[#This Row],[Country]],
        PNS_data[National Society name], selected,
        PNS_data[Attribute], "SP5",
        PNS_data[Year], "2028"
    ),
    IF(_xlpm.sumValue = 0, "", _xlpm.sumValue)
)</f>
        <v/>
      </c>
      <c r="Y95" s="31" t="str">
        <f>_xlfn.LET(
    _xlpm.sumValue, SUMIFS(
        PNS_data[Value],
        PNS_data[Country], FR_data[[#This Row],[Country]],
        PNS_data[National Society name], selected,
        PNS_data[Attribute], "EFs",
        PNS_data[Year], "2028"
    ),
    IF(_xlpm.sumValue = 0, "", _xlpm.sumValue)
)</f>
        <v/>
      </c>
      <c r="Z95" s="32" t="str">
        <f>IF(SUM(FR_data[[#This Row],[Response - Disasters and Crises  ]:[Enabling Functions  ]])=0,"",SUM(FR_data[[#This Row],[Response - Disasters and Crises  ]:[Enabling Functions  ]]))</f>
        <v/>
      </c>
      <c r="AA95" s="41"/>
    </row>
    <row r="96" spans="1:27" x14ac:dyDescent="0.3">
      <c r="A96" s="11" t="s">
        <v>113</v>
      </c>
      <c r="B96" s="11" t="s">
        <v>98</v>
      </c>
      <c r="C96" s="11" t="s">
        <v>114</v>
      </c>
      <c r="D96" s="30" t="str">
        <f>_xlfn.LET(
    _xlpm.sumValue, SUMIFS(
        PNS_data[Value],
        PNS_data[Country], FR_data[[#This Row],[Country]],
        PNS_data[National Society name], selected,
        PNS_data[Attribute], "SP1",
        PNS_data[Year], "2026"
    ),
    IF(_xlpm.sumValue = 0, "", _xlpm.sumValue)
)</f>
        <v/>
      </c>
      <c r="E96" s="31" t="str">
        <f>_xlfn.LET(
    _xlpm.sumValue, SUMIFS(
        PNS_data[Value],
        PNS_data[Country], FR_data[[#This Row],[Country]],
        PNS_data[National Society name], selected,
        PNS_data[Attribute], "SP2",
        PNS_data[Year], "2026"
    ),
    IF(_xlpm.sumValue = 0, "", _xlpm.sumValue)
)</f>
        <v/>
      </c>
      <c r="F96" s="31" t="str">
        <f>_xlfn.LET(
    _xlpm.sumValue, SUMIFS(
        PNS_data[Value],
        PNS_data[Country], FR_data[[#This Row],[Country]],
        PNS_data[National Society name], selected,
        PNS_data[Attribute], "SP3",
        PNS_data[Year], "2026"
    ),
    IF(_xlpm.sumValue = 0, "", _xlpm.sumValue)
)</f>
        <v/>
      </c>
      <c r="G96" s="31" t="str">
        <f>_xlfn.LET(
    _xlpm.sumValue, SUMIFS(
        PNS_data[Value],
        PNS_data[Country], FR_data[[#This Row],[Country]],
        PNS_data[National Society name], selected,
        PNS_data[Attribute], "SP4",
        PNS_data[Year], "2026"
    ),
    IF(_xlpm.sumValue = 0, "", _xlpm.sumValue)
)</f>
        <v/>
      </c>
      <c r="H96" s="31" t="str">
        <f>_xlfn.LET(
    _xlpm.sumValue, SUMIFS(
        PNS_data[Value],
        PNS_data[Country], FR_data[[#This Row],[Country]],
        PNS_data[National Society name], selected,
        PNS_data[Attribute], "SP5",
        PNS_data[Year], "2026"
    ),
    IF(_xlpm.sumValue = 0, "", _xlpm.sumValue)
)</f>
        <v/>
      </c>
      <c r="I96" s="31" t="str">
        <f>_xlfn.LET(
    _xlpm.sumValue, SUMIFS(
        PNS_data[Value],
        PNS_data[Country], FR_data[[#This Row],[Country]],
        PNS_data[National Society name], selected,
        PNS_data[Attribute], "EFs",
        PNS_data[Year], "2026"
    ),
    IF(_xlpm.sumValue = 0, "", _xlpm.sumValue)
)</f>
        <v/>
      </c>
      <c r="J96" s="32" t="str">
        <f>IF(SUM(FR_data[[#This Row],[Response - Disasters and Crises]:[Enabling Functions]])=0,"",SUM(FR_data[[#This Row],[Response - Disasters and Crises]:[Enabling Functions]]))</f>
        <v/>
      </c>
      <c r="K96" s="39"/>
      <c r="L96" s="30" t="str">
        <f>_xlfn.LET(
    _xlpm.sumValue, SUMIFS(
        PNS_data[Value],
        PNS_data[Country], FR_data[[#This Row],[Country]],
        PNS_data[National Society name], selected,
        PNS_data[Attribute], "SP1",
        PNS_data[Year], "2027"
    ),
    IF(_xlpm.sumValue = 0, "", _xlpm.sumValue)
)</f>
        <v/>
      </c>
      <c r="M96" s="31" t="str">
        <f>_xlfn.LET(
    _xlpm.sumValue, SUMIFS(
        PNS_data[Value],
        PNS_data[Country], FR_data[[#This Row],[Country]],
        PNS_data[National Society name], selected,
        PNS_data[Attribute], "SP2",
        PNS_data[Year], "2027"
    ),
    IF(_xlpm.sumValue = 0, "", _xlpm.sumValue)
)</f>
        <v/>
      </c>
      <c r="N96" s="31" t="str">
        <f>_xlfn.LET(
    _xlpm.sumValue, SUMIFS(
        PNS_data[Value],
        PNS_data[Country], FR_data[[#This Row],[Country]],
        PNS_data[National Society name], selected,
        PNS_data[Attribute], "SP3",
        PNS_data[Year], "2027"
    ),
    IF(_xlpm.sumValue = 0, "", _xlpm.sumValue)
)</f>
        <v/>
      </c>
      <c r="O96" s="31" t="str">
        <f>_xlfn.LET(
    _xlpm.sumValue, SUMIFS(
        PNS_data[Value],
        PNS_data[Country], FR_data[[#This Row],[Country]],
        PNS_data[National Society name], selected,
        PNS_data[Attribute], "SP4",
        PNS_data[Year], "2027"
    ),
    IF(_xlpm.sumValue = 0, "", _xlpm.sumValue)
)</f>
        <v/>
      </c>
      <c r="P96" s="31" t="str">
        <f>_xlfn.LET(
    _xlpm.sumValue, SUMIFS(
        PNS_data[Value],
        PNS_data[Country], FR_data[[#This Row],[Country]],
        PNS_data[National Society name], selected,
        PNS_data[Attribute], "SP5",
        PNS_data[Year], "2027"
    ),
    IF(_xlpm.sumValue = 0, "", _xlpm.sumValue)
)</f>
        <v/>
      </c>
      <c r="Q96" s="31" t="str">
        <f>_xlfn.LET(
    _xlpm.sumValue, SUMIFS(
        PNS_data[Value],
        PNS_data[Country], FR_data[[#This Row],[Country]],
        PNS_data[National Society name], selected,
        PNS_data[Attribute], "EFs",
        PNS_data[Year], "2027"
    ),
    IF(_xlpm.sumValue = 0, "", _xlpm.sumValue)
)</f>
        <v/>
      </c>
      <c r="R96" s="32" t="str">
        <f>IF(SUM(FR_data[[#This Row],[Response - Disasters and Crises ]:[Enabling Functions ]])=0,"",SUM(FR_data[[#This Row],[Response - Disasters and Crises ]:[Enabling Functions ]]))</f>
        <v/>
      </c>
      <c r="S96" s="39"/>
      <c r="T96" s="30" t="str">
        <f>_xlfn.LET(
    _xlpm.sumValue, SUMIFS(
        PNS_data[Value],
        PNS_data[Country], FR_data[[#This Row],[Country]],
        PNS_data[National Society name], selected,
        PNS_data[Attribute], "SP1",
        PNS_data[Year], "2028"
    ),
    IF(_xlpm.sumValue = 0, "", _xlpm.sumValue)
)</f>
        <v/>
      </c>
      <c r="U96" s="31" t="str">
        <f>_xlfn.LET(
    _xlpm.sumValue, SUMIFS(
        PNS_data[Value],
        PNS_data[Country], FR_data[[#This Row],[Country]],
        PNS_data[National Society name], selected,
        PNS_data[Attribute], "SP2",
        PNS_data[Year], "2028"
    ),
    IF(_xlpm.sumValue = 0, "", _xlpm.sumValue)
)</f>
        <v/>
      </c>
      <c r="V96" s="31" t="str">
        <f>_xlfn.LET(
    _xlpm.sumValue, SUMIFS(
        PNS_data[Value],
        PNS_data[Country], FR_data[[#This Row],[Country]],
        PNS_data[National Society name], selected,
        PNS_data[Attribute], "SP3",
        PNS_data[Year], "2028"
    ),
    IF(_xlpm.sumValue = 0, "", _xlpm.sumValue)
)</f>
        <v/>
      </c>
      <c r="W96" s="31" t="str">
        <f>_xlfn.LET(
    _xlpm.sumValue, SUMIFS(
        PNS_data[Value],
        PNS_data[Country], FR_data[[#This Row],[Country]],
        PNS_data[National Society name], selected,
        PNS_data[Attribute], "SP4",
        PNS_data[Year], "2028"
    ),
    IF(_xlpm.sumValue = 0, "", _xlpm.sumValue)
)</f>
        <v/>
      </c>
      <c r="X96" s="31" t="str">
        <f>_xlfn.LET(
    _xlpm.sumValue, SUMIFS(
        PNS_data[Value],
        PNS_data[Country], FR_data[[#This Row],[Country]],
        PNS_data[National Society name], selected,
        PNS_data[Attribute], "SP5",
        PNS_data[Year], "2028"
    ),
    IF(_xlpm.sumValue = 0, "", _xlpm.sumValue)
)</f>
        <v/>
      </c>
      <c r="Y96" s="31" t="str">
        <f>_xlfn.LET(
    _xlpm.sumValue, SUMIFS(
        PNS_data[Value],
        PNS_data[Country], FR_data[[#This Row],[Country]],
        PNS_data[National Society name], selected,
        PNS_data[Attribute], "EFs",
        PNS_data[Year], "2028"
    ),
    IF(_xlpm.sumValue = 0, "", _xlpm.sumValue)
)</f>
        <v/>
      </c>
      <c r="Z96" s="32" t="str">
        <f>IF(SUM(FR_data[[#This Row],[Response - Disasters and Crises  ]:[Enabling Functions  ]])=0,"",SUM(FR_data[[#This Row],[Response - Disasters and Crises  ]:[Enabling Functions  ]]))</f>
        <v/>
      </c>
      <c r="AA96" s="41"/>
    </row>
    <row r="97" spans="1:27" x14ac:dyDescent="0.3">
      <c r="A97" s="11" t="s">
        <v>123</v>
      </c>
      <c r="B97" s="11" t="s">
        <v>98</v>
      </c>
      <c r="C97" s="11" t="s">
        <v>17</v>
      </c>
      <c r="D97" s="30">
        <f>_xlfn.LET(
    _xlpm.sumValue, SUMIFS(
        PNS_data[Value],
        PNS_data[Country], FR_data[[#This Row],[Country]],
        PNS_data[National Society name], selected,
        PNS_data[Attribute], "SP1",
        PNS_data[Year], "2026"
    ),
    IF(_xlpm.sumValue = 0, "", _xlpm.sumValue)
)</f>
        <v>1022291</v>
      </c>
      <c r="E97" s="31">
        <f>_xlfn.LET(
    _xlpm.sumValue, SUMIFS(
        PNS_data[Value],
        PNS_data[Country], FR_data[[#This Row],[Country]],
        PNS_data[National Society name], selected,
        PNS_data[Attribute], "SP2",
        PNS_data[Year], "2026"
    ),
    IF(_xlpm.sumValue = 0, "", _xlpm.sumValue)
)</f>
        <v>108020</v>
      </c>
      <c r="F97" s="31" t="str">
        <f>_xlfn.LET(
    _xlpm.sumValue, SUMIFS(
        PNS_data[Value],
        PNS_data[Country], FR_data[[#This Row],[Country]],
        PNS_data[National Society name], selected,
        PNS_data[Attribute], "SP3",
        PNS_data[Year], "2026"
    ),
    IF(_xlpm.sumValue = 0, "", _xlpm.sumValue)
)</f>
        <v/>
      </c>
      <c r="G97" s="31" t="str">
        <f>_xlfn.LET(
    _xlpm.sumValue, SUMIFS(
        PNS_data[Value],
        PNS_data[Country], FR_data[[#This Row],[Country]],
        PNS_data[National Society name], selected,
        PNS_data[Attribute], "SP4",
        PNS_data[Year], "2026"
    ),
    IF(_xlpm.sumValue = 0, "", _xlpm.sumValue)
)</f>
        <v/>
      </c>
      <c r="H97" s="31" t="str">
        <f>_xlfn.LET(
    _xlpm.sumValue, SUMIFS(
        PNS_data[Value],
        PNS_data[Country], FR_data[[#This Row],[Country]],
        PNS_data[National Society name], selected,
        PNS_data[Attribute], "SP5",
        PNS_data[Year], "2026"
    ),
    IF(_xlpm.sumValue = 0, "", _xlpm.sumValue)
)</f>
        <v/>
      </c>
      <c r="I97" s="31">
        <f>_xlfn.LET(
    _xlpm.sumValue, SUMIFS(
        PNS_data[Value],
        PNS_data[Country], FR_data[[#This Row],[Country]],
        PNS_data[National Society name], selected,
        PNS_data[Attribute], "EFs",
        PNS_data[Year], "2026"
    ),
    IF(_xlpm.sumValue = 0, "", _xlpm.sumValue)
)</f>
        <v>307936</v>
      </c>
      <c r="J97" s="32">
        <f>IF(SUM(FR_data[[#This Row],[Response - Disasters and Crises]:[Enabling Functions]])=0,"",SUM(FR_data[[#This Row],[Response - Disasters and Crises]:[Enabling Functions]]))</f>
        <v>1438247</v>
      </c>
      <c r="K97" s="39"/>
      <c r="L97" s="30">
        <f>_xlfn.LET(
    _xlpm.sumValue, SUMIFS(
        PNS_data[Value],
        PNS_data[Country], FR_data[[#This Row],[Country]],
        PNS_data[National Society name], selected,
        PNS_data[Attribute], "SP1",
        PNS_data[Year], "2027"
    ),
    IF(_xlpm.sumValue = 0, "", _xlpm.sumValue)
)</f>
        <v>552737</v>
      </c>
      <c r="M97" s="31">
        <f>_xlfn.LET(
    _xlpm.sumValue, SUMIFS(
        PNS_data[Value],
        PNS_data[Country], FR_data[[#This Row],[Country]],
        PNS_data[National Society name], selected,
        PNS_data[Attribute], "SP2",
        PNS_data[Year], "2027"
    ),
    IF(_xlpm.sumValue = 0, "", _xlpm.sumValue)
)</f>
        <v>81015</v>
      </c>
      <c r="N97" s="31" t="str">
        <f>_xlfn.LET(
    _xlpm.sumValue, SUMIFS(
        PNS_data[Value],
        PNS_data[Country], FR_data[[#This Row],[Country]],
        PNS_data[National Society name], selected,
        PNS_data[Attribute], "SP3",
        PNS_data[Year], "2027"
    ),
    IF(_xlpm.sumValue = 0, "", _xlpm.sumValue)
)</f>
        <v/>
      </c>
      <c r="O97" s="31" t="str">
        <f>_xlfn.LET(
    _xlpm.sumValue, SUMIFS(
        PNS_data[Value],
        PNS_data[Country], FR_data[[#This Row],[Country]],
        PNS_data[National Society name], selected,
        PNS_data[Attribute], "SP4",
        PNS_data[Year], "2027"
    ),
    IF(_xlpm.sumValue = 0, "", _xlpm.sumValue)
)</f>
        <v/>
      </c>
      <c r="P97" s="31" t="str">
        <f>_xlfn.LET(
    _xlpm.sumValue, SUMIFS(
        PNS_data[Value],
        PNS_data[Country], FR_data[[#This Row],[Country]],
        PNS_data[National Society name], selected,
        PNS_data[Attribute], "SP5",
        PNS_data[Year], "2027"
    ),
    IF(_xlpm.sumValue = 0, "", _xlpm.sumValue)
)</f>
        <v/>
      </c>
      <c r="Q97" s="31">
        <f>_xlfn.LET(
    _xlpm.sumValue, SUMIFS(
        PNS_data[Value],
        PNS_data[Country], FR_data[[#This Row],[Country]],
        PNS_data[National Society name], selected,
        PNS_data[Attribute], "EFs",
        PNS_data[Year], "2027"
    ),
    IF(_xlpm.sumValue = 0, "", _xlpm.sumValue)
)</f>
        <v>214216</v>
      </c>
      <c r="R97" s="32">
        <f>IF(SUM(FR_data[[#This Row],[Response - Disasters and Crises ]:[Enabling Functions ]])=0,"",SUM(FR_data[[#This Row],[Response - Disasters and Crises ]:[Enabling Functions ]]))</f>
        <v>847968</v>
      </c>
      <c r="S97" s="39"/>
      <c r="T97" s="30">
        <f>_xlfn.LET(
    _xlpm.sumValue, SUMIFS(
        PNS_data[Value],
        PNS_data[Country], FR_data[[#This Row],[Country]],
        PNS_data[National Society name], selected,
        PNS_data[Attribute], "SP1",
        PNS_data[Year], "2028"
    ),
    IF(_xlpm.sumValue = 0, "", _xlpm.sumValue)
)</f>
        <v>524401</v>
      </c>
      <c r="U97" s="31">
        <f>_xlfn.LET(
    _xlpm.sumValue, SUMIFS(
        PNS_data[Value],
        PNS_data[Country], FR_data[[#This Row],[Country]],
        PNS_data[National Society name], selected,
        PNS_data[Attribute], "SP2",
        PNS_data[Year], "2028"
    ),
    IF(_xlpm.sumValue = 0, "", _xlpm.sumValue)
)</f>
        <v>216040</v>
      </c>
      <c r="V97" s="31" t="str">
        <f>_xlfn.LET(
    _xlpm.sumValue, SUMIFS(
        PNS_data[Value],
        PNS_data[Country], FR_data[[#This Row],[Country]],
        PNS_data[National Society name], selected,
        PNS_data[Attribute], "SP3",
        PNS_data[Year], "2028"
    ),
    IF(_xlpm.sumValue = 0, "", _xlpm.sumValue)
)</f>
        <v/>
      </c>
      <c r="W97" s="31" t="str">
        <f>_xlfn.LET(
    _xlpm.sumValue, SUMIFS(
        PNS_data[Value],
        PNS_data[Country], FR_data[[#This Row],[Country]],
        PNS_data[National Society name], selected,
        PNS_data[Attribute], "SP4",
        PNS_data[Year], "2028"
    ),
    IF(_xlpm.sumValue = 0, "", _xlpm.sumValue)
)</f>
        <v/>
      </c>
      <c r="X97" s="31" t="str">
        <f>_xlfn.LET(
    _xlpm.sumValue, SUMIFS(
        PNS_data[Value],
        PNS_data[Country], FR_data[[#This Row],[Country]],
        PNS_data[National Society name], selected,
        PNS_data[Attribute], "SP5",
        PNS_data[Year], "2028"
    ),
    IF(_xlpm.sumValue = 0, "", _xlpm.sumValue)
)</f>
        <v/>
      </c>
      <c r="Y97" s="31">
        <f>_xlfn.LET(
    _xlpm.sumValue, SUMIFS(
        PNS_data[Value],
        PNS_data[Country], FR_data[[#This Row],[Country]],
        PNS_data[National Society name], selected,
        PNS_data[Attribute], "EFs",
        PNS_data[Year], "2028"
    ),
    IF(_xlpm.sumValue = 0, "", _xlpm.sumValue)
)</f>
        <v>214216</v>
      </c>
      <c r="Z97" s="32">
        <f>IF(SUM(FR_data[[#This Row],[Response - Disasters and Crises  ]:[Enabling Functions  ]])=0,"",SUM(FR_data[[#This Row],[Response - Disasters and Crises  ]:[Enabling Functions  ]]))</f>
        <v>954657</v>
      </c>
      <c r="AA97" s="41"/>
    </row>
    <row r="98" spans="1:27" x14ac:dyDescent="0.3">
      <c r="A98" s="11" t="s">
        <v>132</v>
      </c>
      <c r="B98" s="11" t="s">
        <v>98</v>
      </c>
      <c r="C98" s="11" t="s">
        <v>133</v>
      </c>
      <c r="D98" s="30" t="str">
        <f>_xlfn.LET(
    _xlpm.sumValue, SUMIFS(
        PNS_data[Value],
        PNS_data[Country], FR_data[[#This Row],[Country]],
        PNS_data[National Society name], selected,
        PNS_data[Attribute], "SP1",
        PNS_data[Year], "2026"
    ),
    IF(_xlpm.sumValue = 0, "", _xlpm.sumValue)
)</f>
        <v/>
      </c>
      <c r="E98" s="31" t="str">
        <f>_xlfn.LET(
    _xlpm.sumValue, SUMIFS(
        PNS_data[Value],
        PNS_data[Country], FR_data[[#This Row],[Country]],
        PNS_data[National Society name], selected,
        PNS_data[Attribute], "SP2",
        PNS_data[Year], "2026"
    ),
    IF(_xlpm.sumValue = 0, "", _xlpm.sumValue)
)</f>
        <v/>
      </c>
      <c r="F98" s="31" t="str">
        <f>_xlfn.LET(
    _xlpm.sumValue, SUMIFS(
        PNS_data[Value],
        PNS_data[Country], FR_data[[#This Row],[Country]],
        PNS_data[National Society name], selected,
        PNS_data[Attribute], "SP3",
        PNS_data[Year], "2026"
    ),
    IF(_xlpm.sumValue = 0, "", _xlpm.sumValue)
)</f>
        <v/>
      </c>
      <c r="G98" s="31" t="str">
        <f>_xlfn.LET(
    _xlpm.sumValue, SUMIFS(
        PNS_data[Value],
        PNS_data[Country], FR_data[[#This Row],[Country]],
        PNS_data[National Society name], selected,
        PNS_data[Attribute], "SP4",
        PNS_data[Year], "2026"
    ),
    IF(_xlpm.sumValue = 0, "", _xlpm.sumValue)
)</f>
        <v/>
      </c>
      <c r="H98" s="31" t="str">
        <f>_xlfn.LET(
    _xlpm.sumValue, SUMIFS(
        PNS_data[Value],
        PNS_data[Country], FR_data[[#This Row],[Country]],
        PNS_data[National Society name], selected,
        PNS_data[Attribute], "SP5",
        PNS_data[Year], "2026"
    ),
    IF(_xlpm.sumValue = 0, "", _xlpm.sumValue)
)</f>
        <v/>
      </c>
      <c r="I98" s="31" t="str">
        <f>_xlfn.LET(
    _xlpm.sumValue, SUMIFS(
        PNS_data[Value],
        PNS_data[Country], FR_data[[#This Row],[Country]],
        PNS_data[National Society name], selected,
        PNS_data[Attribute], "EFs",
        PNS_data[Year], "2026"
    ),
    IF(_xlpm.sumValue = 0, "", _xlpm.sumValue)
)</f>
        <v/>
      </c>
      <c r="J98" s="32" t="str">
        <f>IF(SUM(FR_data[[#This Row],[Response - Disasters and Crises]:[Enabling Functions]])=0,"",SUM(FR_data[[#This Row],[Response - Disasters and Crises]:[Enabling Functions]]))</f>
        <v/>
      </c>
      <c r="K98" s="39"/>
      <c r="L98" s="30" t="str">
        <f>_xlfn.LET(
    _xlpm.sumValue, SUMIFS(
        PNS_data[Value],
        PNS_data[Country], FR_data[[#This Row],[Country]],
        PNS_data[National Society name], selected,
        PNS_data[Attribute], "SP1",
        PNS_data[Year], "2027"
    ),
    IF(_xlpm.sumValue = 0, "", _xlpm.sumValue)
)</f>
        <v/>
      </c>
      <c r="M98" s="31" t="str">
        <f>_xlfn.LET(
    _xlpm.sumValue, SUMIFS(
        PNS_data[Value],
        PNS_data[Country], FR_data[[#This Row],[Country]],
        PNS_data[National Society name], selected,
        PNS_data[Attribute], "SP2",
        PNS_data[Year], "2027"
    ),
    IF(_xlpm.sumValue = 0, "", _xlpm.sumValue)
)</f>
        <v/>
      </c>
      <c r="N98" s="31" t="str">
        <f>_xlfn.LET(
    _xlpm.sumValue, SUMIFS(
        PNS_data[Value],
        PNS_data[Country], FR_data[[#This Row],[Country]],
        PNS_data[National Society name], selected,
        PNS_data[Attribute], "SP3",
        PNS_data[Year], "2027"
    ),
    IF(_xlpm.sumValue = 0, "", _xlpm.sumValue)
)</f>
        <v/>
      </c>
      <c r="O98" s="31" t="str">
        <f>_xlfn.LET(
    _xlpm.sumValue, SUMIFS(
        PNS_data[Value],
        PNS_data[Country], FR_data[[#This Row],[Country]],
        PNS_data[National Society name], selected,
        PNS_data[Attribute], "SP4",
        PNS_data[Year], "2027"
    ),
    IF(_xlpm.sumValue = 0, "", _xlpm.sumValue)
)</f>
        <v/>
      </c>
      <c r="P98" s="31" t="str">
        <f>_xlfn.LET(
    _xlpm.sumValue, SUMIFS(
        PNS_data[Value],
        PNS_data[Country], FR_data[[#This Row],[Country]],
        PNS_data[National Society name], selected,
        PNS_data[Attribute], "SP5",
        PNS_data[Year], "2027"
    ),
    IF(_xlpm.sumValue = 0, "", _xlpm.sumValue)
)</f>
        <v/>
      </c>
      <c r="Q98" s="31" t="str">
        <f>_xlfn.LET(
    _xlpm.sumValue, SUMIFS(
        PNS_data[Value],
        PNS_data[Country], FR_data[[#This Row],[Country]],
        PNS_data[National Society name], selected,
        PNS_data[Attribute], "EFs",
        PNS_data[Year], "2027"
    ),
    IF(_xlpm.sumValue = 0, "", _xlpm.sumValue)
)</f>
        <v/>
      </c>
      <c r="R98" s="32" t="str">
        <f>IF(SUM(FR_data[[#This Row],[Response - Disasters and Crises ]:[Enabling Functions ]])=0,"",SUM(FR_data[[#This Row],[Response - Disasters and Crises ]:[Enabling Functions ]]))</f>
        <v/>
      </c>
      <c r="S98" s="39"/>
      <c r="T98" s="30" t="str">
        <f>_xlfn.LET(
    _xlpm.sumValue, SUMIFS(
        PNS_data[Value],
        PNS_data[Country], FR_data[[#This Row],[Country]],
        PNS_data[National Society name], selected,
        PNS_data[Attribute], "SP1",
        PNS_data[Year], "2028"
    ),
    IF(_xlpm.sumValue = 0, "", _xlpm.sumValue)
)</f>
        <v/>
      </c>
      <c r="U98" s="31" t="str">
        <f>_xlfn.LET(
    _xlpm.sumValue, SUMIFS(
        PNS_data[Value],
        PNS_data[Country], FR_data[[#This Row],[Country]],
        PNS_data[National Society name], selected,
        PNS_data[Attribute], "SP2",
        PNS_data[Year], "2028"
    ),
    IF(_xlpm.sumValue = 0, "", _xlpm.sumValue)
)</f>
        <v/>
      </c>
      <c r="V98" s="31" t="str">
        <f>_xlfn.LET(
    _xlpm.sumValue, SUMIFS(
        PNS_data[Value],
        PNS_data[Country], FR_data[[#This Row],[Country]],
        PNS_data[National Society name], selected,
        PNS_data[Attribute], "SP3",
        PNS_data[Year], "2028"
    ),
    IF(_xlpm.sumValue = 0, "", _xlpm.sumValue)
)</f>
        <v/>
      </c>
      <c r="W98" s="31" t="str">
        <f>_xlfn.LET(
    _xlpm.sumValue, SUMIFS(
        PNS_data[Value],
        PNS_data[Country], FR_data[[#This Row],[Country]],
        PNS_data[National Society name], selected,
        PNS_data[Attribute], "SP4",
        PNS_data[Year], "2028"
    ),
    IF(_xlpm.sumValue = 0, "", _xlpm.sumValue)
)</f>
        <v/>
      </c>
      <c r="X98" s="31" t="str">
        <f>_xlfn.LET(
    _xlpm.sumValue, SUMIFS(
        PNS_data[Value],
        PNS_data[Country], FR_data[[#This Row],[Country]],
        PNS_data[National Society name], selected,
        PNS_data[Attribute], "SP5",
        PNS_data[Year], "2028"
    ),
    IF(_xlpm.sumValue = 0, "", _xlpm.sumValue)
)</f>
        <v/>
      </c>
      <c r="Y98" s="31" t="str">
        <f>_xlfn.LET(
    _xlpm.sumValue, SUMIFS(
        PNS_data[Value],
        PNS_data[Country], FR_data[[#This Row],[Country]],
        PNS_data[National Society name], selected,
        PNS_data[Attribute], "EFs",
        PNS_data[Year], "2028"
    ),
    IF(_xlpm.sumValue = 0, "", _xlpm.sumValue)
)</f>
        <v/>
      </c>
      <c r="Z98" s="32" t="str">
        <f>IF(SUM(FR_data[[#This Row],[Response - Disasters and Crises  ]:[Enabling Functions  ]])=0,"",SUM(FR_data[[#This Row],[Response - Disasters and Crises  ]:[Enabling Functions  ]]))</f>
        <v/>
      </c>
      <c r="AA98" s="41"/>
    </row>
    <row r="99" spans="1:27" x14ac:dyDescent="0.3">
      <c r="A99" s="11" t="s">
        <v>145</v>
      </c>
      <c r="B99" s="11" t="s">
        <v>98</v>
      </c>
      <c r="C99" s="11" t="s">
        <v>146</v>
      </c>
      <c r="D99" s="30" t="str">
        <f>_xlfn.LET(
    _xlpm.sumValue, SUMIFS(
        PNS_data[Value],
        PNS_data[Country], FR_data[[#This Row],[Country]],
        PNS_data[National Society name], selected,
        PNS_data[Attribute], "SP1",
        PNS_data[Year], "2026"
    ),
    IF(_xlpm.sumValue = 0, "", _xlpm.sumValue)
)</f>
        <v/>
      </c>
      <c r="E99" s="31" t="str">
        <f>_xlfn.LET(
    _xlpm.sumValue, SUMIFS(
        PNS_data[Value],
        PNS_data[Country], FR_data[[#This Row],[Country]],
        PNS_data[National Society name], selected,
        PNS_data[Attribute], "SP2",
        PNS_data[Year], "2026"
    ),
    IF(_xlpm.sumValue = 0, "", _xlpm.sumValue)
)</f>
        <v/>
      </c>
      <c r="F99" s="31" t="str">
        <f>_xlfn.LET(
    _xlpm.sumValue, SUMIFS(
        PNS_data[Value],
        PNS_data[Country], FR_data[[#This Row],[Country]],
        PNS_data[National Society name], selected,
        PNS_data[Attribute], "SP3",
        PNS_data[Year], "2026"
    ),
    IF(_xlpm.sumValue = 0, "", _xlpm.sumValue)
)</f>
        <v/>
      </c>
      <c r="G99" s="31" t="str">
        <f>_xlfn.LET(
    _xlpm.sumValue, SUMIFS(
        PNS_data[Value],
        PNS_data[Country], FR_data[[#This Row],[Country]],
        PNS_data[National Society name], selected,
        PNS_data[Attribute], "SP4",
        PNS_data[Year], "2026"
    ),
    IF(_xlpm.sumValue = 0, "", _xlpm.sumValue)
)</f>
        <v/>
      </c>
      <c r="H99" s="31" t="str">
        <f>_xlfn.LET(
    _xlpm.sumValue, SUMIFS(
        PNS_data[Value],
        PNS_data[Country], FR_data[[#This Row],[Country]],
        PNS_data[National Society name], selected,
        PNS_data[Attribute], "SP5",
        PNS_data[Year], "2026"
    ),
    IF(_xlpm.sumValue = 0, "", _xlpm.sumValue)
)</f>
        <v/>
      </c>
      <c r="I99" s="31" t="str">
        <f>_xlfn.LET(
    _xlpm.sumValue, SUMIFS(
        PNS_data[Value],
        PNS_data[Country], FR_data[[#This Row],[Country]],
        PNS_data[National Society name], selected,
        PNS_data[Attribute], "EFs",
        PNS_data[Year], "2026"
    ),
    IF(_xlpm.sumValue = 0, "", _xlpm.sumValue)
)</f>
        <v/>
      </c>
      <c r="J99" s="32" t="str">
        <f>IF(SUM(FR_data[[#This Row],[Response - Disasters and Crises]:[Enabling Functions]])=0,"",SUM(FR_data[[#This Row],[Response - Disasters and Crises]:[Enabling Functions]]))</f>
        <v/>
      </c>
      <c r="K99" s="39"/>
      <c r="L99" s="30" t="str">
        <f>_xlfn.LET(
    _xlpm.sumValue, SUMIFS(
        PNS_data[Value],
        PNS_data[Country], FR_data[[#This Row],[Country]],
        PNS_data[National Society name], selected,
        PNS_data[Attribute], "SP1",
        PNS_data[Year], "2027"
    ),
    IF(_xlpm.sumValue = 0, "", _xlpm.sumValue)
)</f>
        <v/>
      </c>
      <c r="M99" s="31" t="str">
        <f>_xlfn.LET(
    _xlpm.sumValue, SUMIFS(
        PNS_data[Value],
        PNS_data[Country], FR_data[[#This Row],[Country]],
        PNS_data[National Society name], selected,
        PNS_data[Attribute], "SP2",
        PNS_data[Year], "2027"
    ),
    IF(_xlpm.sumValue = 0, "", _xlpm.sumValue)
)</f>
        <v/>
      </c>
      <c r="N99" s="31" t="str">
        <f>_xlfn.LET(
    _xlpm.sumValue, SUMIFS(
        PNS_data[Value],
        PNS_data[Country], FR_data[[#This Row],[Country]],
        PNS_data[National Society name], selected,
        PNS_data[Attribute], "SP3",
        PNS_data[Year], "2027"
    ),
    IF(_xlpm.sumValue = 0, "", _xlpm.sumValue)
)</f>
        <v/>
      </c>
      <c r="O99" s="31" t="str">
        <f>_xlfn.LET(
    _xlpm.sumValue, SUMIFS(
        PNS_data[Value],
        PNS_data[Country], FR_data[[#This Row],[Country]],
        PNS_data[National Society name], selected,
        PNS_data[Attribute], "SP4",
        PNS_data[Year], "2027"
    ),
    IF(_xlpm.sumValue = 0, "", _xlpm.sumValue)
)</f>
        <v/>
      </c>
      <c r="P99" s="31" t="str">
        <f>_xlfn.LET(
    _xlpm.sumValue, SUMIFS(
        PNS_data[Value],
        PNS_data[Country], FR_data[[#This Row],[Country]],
        PNS_data[National Society name], selected,
        PNS_data[Attribute], "SP5",
        PNS_data[Year], "2027"
    ),
    IF(_xlpm.sumValue = 0, "", _xlpm.sumValue)
)</f>
        <v/>
      </c>
      <c r="Q99" s="31" t="str">
        <f>_xlfn.LET(
    _xlpm.sumValue, SUMIFS(
        PNS_data[Value],
        PNS_data[Country], FR_data[[#This Row],[Country]],
        PNS_data[National Society name], selected,
        PNS_data[Attribute], "EFs",
        PNS_data[Year], "2027"
    ),
    IF(_xlpm.sumValue = 0, "", _xlpm.sumValue)
)</f>
        <v/>
      </c>
      <c r="R99" s="32" t="str">
        <f>IF(SUM(FR_data[[#This Row],[Response - Disasters and Crises ]:[Enabling Functions ]])=0,"",SUM(FR_data[[#This Row],[Response - Disasters and Crises ]:[Enabling Functions ]]))</f>
        <v/>
      </c>
      <c r="S99" s="39"/>
      <c r="T99" s="30" t="str">
        <f>_xlfn.LET(
    _xlpm.sumValue, SUMIFS(
        PNS_data[Value],
        PNS_data[Country], FR_data[[#This Row],[Country]],
        PNS_data[National Society name], selected,
        PNS_data[Attribute], "SP1",
        PNS_data[Year], "2028"
    ),
    IF(_xlpm.sumValue = 0, "", _xlpm.sumValue)
)</f>
        <v/>
      </c>
      <c r="U99" s="31" t="str">
        <f>_xlfn.LET(
    _xlpm.sumValue, SUMIFS(
        PNS_data[Value],
        PNS_data[Country], FR_data[[#This Row],[Country]],
        PNS_data[National Society name], selected,
        PNS_data[Attribute], "SP2",
        PNS_data[Year], "2028"
    ),
    IF(_xlpm.sumValue = 0, "", _xlpm.sumValue)
)</f>
        <v/>
      </c>
      <c r="V99" s="31" t="str">
        <f>_xlfn.LET(
    _xlpm.sumValue, SUMIFS(
        PNS_data[Value],
        PNS_data[Country], FR_data[[#This Row],[Country]],
        PNS_data[National Society name], selected,
        PNS_data[Attribute], "SP3",
        PNS_data[Year], "2028"
    ),
    IF(_xlpm.sumValue = 0, "", _xlpm.sumValue)
)</f>
        <v/>
      </c>
      <c r="W99" s="31" t="str">
        <f>_xlfn.LET(
    _xlpm.sumValue, SUMIFS(
        PNS_data[Value],
        PNS_data[Country], FR_data[[#This Row],[Country]],
        PNS_data[National Society name], selected,
        PNS_data[Attribute], "SP4",
        PNS_data[Year], "2028"
    ),
    IF(_xlpm.sumValue = 0, "", _xlpm.sumValue)
)</f>
        <v/>
      </c>
      <c r="X99" s="31" t="str">
        <f>_xlfn.LET(
    _xlpm.sumValue, SUMIFS(
        PNS_data[Value],
        PNS_data[Country], FR_data[[#This Row],[Country]],
        PNS_data[National Society name], selected,
        PNS_data[Attribute], "SP5",
        PNS_data[Year], "2028"
    ),
    IF(_xlpm.sumValue = 0, "", _xlpm.sumValue)
)</f>
        <v/>
      </c>
      <c r="Y99" s="31" t="str">
        <f>_xlfn.LET(
    _xlpm.sumValue, SUMIFS(
        PNS_data[Value],
        PNS_data[Country], FR_data[[#This Row],[Country]],
        PNS_data[National Society name], selected,
        PNS_data[Attribute], "EFs",
        PNS_data[Year], "2028"
    ),
    IF(_xlpm.sumValue = 0, "", _xlpm.sumValue)
)</f>
        <v/>
      </c>
      <c r="Z99" s="32" t="str">
        <f>IF(SUM(FR_data[[#This Row],[Response - Disasters and Crises  ]:[Enabling Functions  ]])=0,"",SUM(FR_data[[#This Row],[Response - Disasters and Crises  ]:[Enabling Functions  ]]))</f>
        <v/>
      </c>
      <c r="AA99" s="41"/>
    </row>
    <row r="100" spans="1:27" x14ac:dyDescent="0.3">
      <c r="A100" s="11" t="s">
        <v>147</v>
      </c>
      <c r="B100" s="11" t="s">
        <v>98</v>
      </c>
      <c r="C100" s="11" t="s">
        <v>11</v>
      </c>
      <c r="D100" s="30" t="str">
        <f>_xlfn.LET(
    _xlpm.sumValue, SUMIFS(
        PNS_data[Value],
        PNS_data[Country], FR_data[[#This Row],[Country]],
        PNS_data[National Society name], selected,
        PNS_data[Attribute], "SP1",
        PNS_data[Year], "2026"
    ),
    IF(_xlpm.sumValue = 0, "", _xlpm.sumValue)
)</f>
        <v/>
      </c>
      <c r="E100" s="31" t="str">
        <f>_xlfn.LET(
    _xlpm.sumValue, SUMIFS(
        PNS_data[Value],
        PNS_data[Country], FR_data[[#This Row],[Country]],
        PNS_data[National Society name], selected,
        PNS_data[Attribute], "SP2",
        PNS_data[Year], "2026"
    ),
    IF(_xlpm.sumValue = 0, "", _xlpm.sumValue)
)</f>
        <v/>
      </c>
      <c r="F100" s="31" t="str">
        <f>_xlfn.LET(
    _xlpm.sumValue, SUMIFS(
        PNS_data[Value],
        PNS_data[Country], FR_data[[#This Row],[Country]],
        PNS_data[National Society name], selected,
        PNS_data[Attribute], "SP3",
        PNS_data[Year], "2026"
    ),
    IF(_xlpm.sumValue = 0, "", _xlpm.sumValue)
)</f>
        <v/>
      </c>
      <c r="G100" s="31" t="str">
        <f>_xlfn.LET(
    _xlpm.sumValue, SUMIFS(
        PNS_data[Value],
        PNS_data[Country], FR_data[[#This Row],[Country]],
        PNS_data[National Society name], selected,
        PNS_data[Attribute], "SP4",
        PNS_data[Year], "2026"
    ),
    IF(_xlpm.sumValue = 0, "", _xlpm.sumValue)
)</f>
        <v/>
      </c>
      <c r="H100" s="31" t="str">
        <f>_xlfn.LET(
    _xlpm.sumValue, SUMIFS(
        PNS_data[Value],
        PNS_data[Country], FR_data[[#This Row],[Country]],
        PNS_data[National Society name], selected,
        PNS_data[Attribute], "SP5",
        PNS_data[Year], "2026"
    ),
    IF(_xlpm.sumValue = 0, "", _xlpm.sumValue)
)</f>
        <v/>
      </c>
      <c r="I100" s="31" t="str">
        <f>_xlfn.LET(
    _xlpm.sumValue, SUMIFS(
        PNS_data[Value],
        PNS_data[Country], FR_data[[#This Row],[Country]],
        PNS_data[National Society name], selected,
        PNS_data[Attribute], "EFs",
        PNS_data[Year], "2026"
    ),
    IF(_xlpm.sumValue = 0, "", _xlpm.sumValue)
)</f>
        <v/>
      </c>
      <c r="J100" s="32" t="str">
        <f>IF(SUM(FR_data[[#This Row],[Response - Disasters and Crises]:[Enabling Functions]])=0,"",SUM(FR_data[[#This Row],[Response - Disasters and Crises]:[Enabling Functions]]))</f>
        <v/>
      </c>
      <c r="K100" s="39"/>
      <c r="L100" s="30" t="str">
        <f>_xlfn.LET(
    _xlpm.sumValue, SUMIFS(
        PNS_data[Value],
        PNS_data[Country], FR_data[[#This Row],[Country]],
        PNS_data[National Society name], selected,
        PNS_data[Attribute], "SP1",
        PNS_data[Year], "2027"
    ),
    IF(_xlpm.sumValue = 0, "", _xlpm.sumValue)
)</f>
        <v/>
      </c>
      <c r="M100" s="31" t="str">
        <f>_xlfn.LET(
    _xlpm.sumValue, SUMIFS(
        PNS_data[Value],
        PNS_data[Country], FR_data[[#This Row],[Country]],
        PNS_data[National Society name], selected,
        PNS_data[Attribute], "SP2",
        PNS_data[Year], "2027"
    ),
    IF(_xlpm.sumValue = 0, "", _xlpm.sumValue)
)</f>
        <v/>
      </c>
      <c r="N100" s="31" t="str">
        <f>_xlfn.LET(
    _xlpm.sumValue, SUMIFS(
        PNS_data[Value],
        PNS_data[Country], FR_data[[#This Row],[Country]],
        PNS_data[National Society name], selected,
        PNS_data[Attribute], "SP3",
        PNS_data[Year], "2027"
    ),
    IF(_xlpm.sumValue = 0, "", _xlpm.sumValue)
)</f>
        <v/>
      </c>
      <c r="O100" s="31" t="str">
        <f>_xlfn.LET(
    _xlpm.sumValue, SUMIFS(
        PNS_data[Value],
        PNS_data[Country], FR_data[[#This Row],[Country]],
        PNS_data[National Society name], selected,
        PNS_data[Attribute], "SP4",
        PNS_data[Year], "2027"
    ),
    IF(_xlpm.sumValue = 0, "", _xlpm.sumValue)
)</f>
        <v/>
      </c>
      <c r="P100" s="31" t="str">
        <f>_xlfn.LET(
    _xlpm.sumValue, SUMIFS(
        PNS_data[Value],
        PNS_data[Country], FR_data[[#This Row],[Country]],
        PNS_data[National Society name], selected,
        PNS_data[Attribute], "SP5",
        PNS_data[Year], "2027"
    ),
    IF(_xlpm.sumValue = 0, "", _xlpm.sumValue)
)</f>
        <v/>
      </c>
      <c r="Q100" s="31" t="str">
        <f>_xlfn.LET(
    _xlpm.sumValue, SUMIFS(
        PNS_data[Value],
        PNS_data[Country], FR_data[[#This Row],[Country]],
        PNS_data[National Society name], selected,
        PNS_data[Attribute], "EFs",
        PNS_data[Year], "2027"
    ),
    IF(_xlpm.sumValue = 0, "", _xlpm.sumValue)
)</f>
        <v/>
      </c>
      <c r="R100" s="32" t="str">
        <f>IF(SUM(FR_data[[#This Row],[Response - Disasters and Crises ]:[Enabling Functions ]])=0,"",SUM(FR_data[[#This Row],[Response - Disasters and Crises ]:[Enabling Functions ]]))</f>
        <v/>
      </c>
      <c r="S100" s="39"/>
      <c r="T100" s="30" t="str">
        <f>_xlfn.LET(
    _xlpm.sumValue, SUMIFS(
        PNS_data[Value],
        PNS_data[Country], FR_data[[#This Row],[Country]],
        PNS_data[National Society name], selected,
        PNS_data[Attribute], "SP1",
        PNS_data[Year], "2028"
    ),
    IF(_xlpm.sumValue = 0, "", _xlpm.sumValue)
)</f>
        <v/>
      </c>
      <c r="U100" s="31" t="str">
        <f>_xlfn.LET(
    _xlpm.sumValue, SUMIFS(
        PNS_data[Value],
        PNS_data[Country], FR_data[[#This Row],[Country]],
        PNS_data[National Society name], selected,
        PNS_data[Attribute], "SP2",
        PNS_data[Year], "2028"
    ),
    IF(_xlpm.sumValue = 0, "", _xlpm.sumValue)
)</f>
        <v/>
      </c>
      <c r="V100" s="31" t="str">
        <f>_xlfn.LET(
    _xlpm.sumValue, SUMIFS(
        PNS_data[Value],
        PNS_data[Country], FR_data[[#This Row],[Country]],
        PNS_data[National Society name], selected,
        PNS_data[Attribute], "SP3",
        PNS_data[Year], "2028"
    ),
    IF(_xlpm.sumValue = 0, "", _xlpm.sumValue)
)</f>
        <v/>
      </c>
      <c r="W100" s="31" t="str">
        <f>_xlfn.LET(
    _xlpm.sumValue, SUMIFS(
        PNS_data[Value],
        PNS_data[Country], FR_data[[#This Row],[Country]],
        PNS_data[National Society name], selected,
        PNS_data[Attribute], "SP4",
        PNS_data[Year], "2028"
    ),
    IF(_xlpm.sumValue = 0, "", _xlpm.sumValue)
)</f>
        <v/>
      </c>
      <c r="X100" s="31" t="str">
        <f>_xlfn.LET(
    _xlpm.sumValue, SUMIFS(
        PNS_data[Value],
        PNS_data[Country], FR_data[[#This Row],[Country]],
        PNS_data[National Society name], selected,
        PNS_data[Attribute], "SP5",
        PNS_data[Year], "2028"
    ),
    IF(_xlpm.sumValue = 0, "", _xlpm.sumValue)
)</f>
        <v/>
      </c>
      <c r="Y100" s="31" t="str">
        <f>_xlfn.LET(
    _xlpm.sumValue, SUMIFS(
        PNS_data[Value],
        PNS_data[Country], FR_data[[#This Row],[Country]],
        PNS_data[National Society name], selected,
        PNS_data[Attribute], "EFs",
        PNS_data[Year], "2028"
    ),
    IF(_xlpm.sumValue = 0, "", _xlpm.sumValue)
)</f>
        <v/>
      </c>
      <c r="Z100" s="32" t="str">
        <f>IF(SUM(FR_data[[#This Row],[Response - Disasters and Crises  ]:[Enabling Functions  ]])=0,"",SUM(FR_data[[#This Row],[Response - Disasters and Crises  ]:[Enabling Functions  ]]))</f>
        <v/>
      </c>
      <c r="AA100" s="41"/>
    </row>
    <row r="101" spans="1:27" x14ac:dyDescent="0.3">
      <c r="A101" s="11" t="s">
        <v>173</v>
      </c>
      <c r="B101" s="11" t="s">
        <v>98</v>
      </c>
      <c r="C101" s="11" t="s">
        <v>174</v>
      </c>
      <c r="D101" s="30" t="str">
        <f>_xlfn.LET(
    _xlpm.sumValue, SUMIFS(
        PNS_data[Value],
        PNS_data[Country], FR_data[[#This Row],[Country]],
        PNS_data[National Society name], selected,
        PNS_data[Attribute], "SP1",
        PNS_data[Year], "2026"
    ),
    IF(_xlpm.sumValue = 0, "", _xlpm.sumValue)
)</f>
        <v/>
      </c>
      <c r="E101" s="31" t="str">
        <f>_xlfn.LET(
    _xlpm.sumValue, SUMIFS(
        PNS_data[Value],
        PNS_data[Country], FR_data[[#This Row],[Country]],
        PNS_data[National Society name], selected,
        PNS_data[Attribute], "SP2",
        PNS_data[Year], "2026"
    ),
    IF(_xlpm.sumValue = 0, "", _xlpm.sumValue)
)</f>
        <v/>
      </c>
      <c r="F101" s="31" t="str">
        <f>_xlfn.LET(
    _xlpm.sumValue, SUMIFS(
        PNS_data[Value],
        PNS_data[Country], FR_data[[#This Row],[Country]],
        PNS_data[National Society name], selected,
        PNS_data[Attribute], "SP3",
        PNS_data[Year], "2026"
    ),
    IF(_xlpm.sumValue = 0, "", _xlpm.sumValue)
)</f>
        <v/>
      </c>
      <c r="G101" s="31" t="str">
        <f>_xlfn.LET(
    _xlpm.sumValue, SUMIFS(
        PNS_data[Value],
        PNS_data[Country], FR_data[[#This Row],[Country]],
        PNS_data[National Society name], selected,
        PNS_data[Attribute], "SP4",
        PNS_data[Year], "2026"
    ),
    IF(_xlpm.sumValue = 0, "", _xlpm.sumValue)
)</f>
        <v/>
      </c>
      <c r="H101" s="31" t="str">
        <f>_xlfn.LET(
    _xlpm.sumValue, SUMIFS(
        PNS_data[Value],
        PNS_data[Country], FR_data[[#This Row],[Country]],
        PNS_data[National Society name], selected,
        PNS_data[Attribute], "SP5",
        PNS_data[Year], "2026"
    ),
    IF(_xlpm.sumValue = 0, "", _xlpm.sumValue)
)</f>
        <v/>
      </c>
      <c r="I101" s="31" t="str">
        <f>_xlfn.LET(
    _xlpm.sumValue, SUMIFS(
        PNS_data[Value],
        PNS_data[Country], FR_data[[#This Row],[Country]],
        PNS_data[National Society name], selected,
        PNS_data[Attribute], "EFs",
        PNS_data[Year], "2026"
    ),
    IF(_xlpm.sumValue = 0, "", _xlpm.sumValue)
)</f>
        <v/>
      </c>
      <c r="J101" s="32" t="str">
        <f>IF(SUM(FR_data[[#This Row],[Response - Disasters and Crises]:[Enabling Functions]])=0,"",SUM(FR_data[[#This Row],[Response - Disasters and Crises]:[Enabling Functions]]))</f>
        <v/>
      </c>
      <c r="K101" s="39"/>
      <c r="L101" s="30" t="str">
        <f>_xlfn.LET(
    _xlpm.sumValue, SUMIFS(
        PNS_data[Value],
        PNS_data[Country], FR_data[[#This Row],[Country]],
        PNS_data[National Society name], selected,
        PNS_data[Attribute], "SP1",
        PNS_data[Year], "2027"
    ),
    IF(_xlpm.sumValue = 0, "", _xlpm.sumValue)
)</f>
        <v/>
      </c>
      <c r="M101" s="31" t="str">
        <f>_xlfn.LET(
    _xlpm.sumValue, SUMIFS(
        PNS_data[Value],
        PNS_data[Country], FR_data[[#This Row],[Country]],
        PNS_data[National Society name], selected,
        PNS_data[Attribute], "SP2",
        PNS_data[Year], "2027"
    ),
    IF(_xlpm.sumValue = 0, "", _xlpm.sumValue)
)</f>
        <v/>
      </c>
      <c r="N101" s="31" t="str">
        <f>_xlfn.LET(
    _xlpm.sumValue, SUMIFS(
        PNS_data[Value],
        PNS_data[Country], FR_data[[#This Row],[Country]],
        PNS_data[National Society name], selected,
        PNS_data[Attribute], "SP3",
        PNS_data[Year], "2027"
    ),
    IF(_xlpm.sumValue = 0, "", _xlpm.sumValue)
)</f>
        <v/>
      </c>
      <c r="O101" s="31" t="str">
        <f>_xlfn.LET(
    _xlpm.sumValue, SUMIFS(
        PNS_data[Value],
        PNS_data[Country], FR_data[[#This Row],[Country]],
        PNS_data[National Society name], selected,
        PNS_data[Attribute], "SP4",
        PNS_data[Year], "2027"
    ),
    IF(_xlpm.sumValue = 0, "", _xlpm.sumValue)
)</f>
        <v/>
      </c>
      <c r="P101" s="31" t="str">
        <f>_xlfn.LET(
    _xlpm.sumValue, SUMIFS(
        PNS_data[Value],
        PNS_data[Country], FR_data[[#This Row],[Country]],
        PNS_data[National Society name], selected,
        PNS_data[Attribute], "SP5",
        PNS_data[Year], "2027"
    ),
    IF(_xlpm.sumValue = 0, "", _xlpm.sumValue)
)</f>
        <v/>
      </c>
      <c r="Q101" s="31" t="str">
        <f>_xlfn.LET(
    _xlpm.sumValue, SUMIFS(
        PNS_data[Value],
        PNS_data[Country], FR_data[[#This Row],[Country]],
        PNS_data[National Society name], selected,
        PNS_data[Attribute], "EFs",
        PNS_data[Year], "2027"
    ),
    IF(_xlpm.sumValue = 0, "", _xlpm.sumValue)
)</f>
        <v/>
      </c>
      <c r="R101" s="32" t="str">
        <f>IF(SUM(FR_data[[#This Row],[Response - Disasters and Crises ]:[Enabling Functions ]])=0,"",SUM(FR_data[[#This Row],[Response - Disasters and Crises ]:[Enabling Functions ]]))</f>
        <v/>
      </c>
      <c r="S101" s="39"/>
      <c r="T101" s="30" t="str">
        <f>_xlfn.LET(
    _xlpm.sumValue, SUMIFS(
        PNS_data[Value],
        PNS_data[Country], FR_data[[#This Row],[Country]],
        PNS_data[National Society name], selected,
        PNS_data[Attribute], "SP1",
        PNS_data[Year], "2028"
    ),
    IF(_xlpm.sumValue = 0, "", _xlpm.sumValue)
)</f>
        <v/>
      </c>
      <c r="U101" s="31" t="str">
        <f>_xlfn.LET(
    _xlpm.sumValue, SUMIFS(
        PNS_data[Value],
        PNS_data[Country], FR_data[[#This Row],[Country]],
        PNS_data[National Society name], selected,
        PNS_data[Attribute], "SP2",
        PNS_data[Year], "2028"
    ),
    IF(_xlpm.sumValue = 0, "", _xlpm.sumValue)
)</f>
        <v/>
      </c>
      <c r="V101" s="31" t="str">
        <f>_xlfn.LET(
    _xlpm.sumValue, SUMIFS(
        PNS_data[Value],
        PNS_data[Country], FR_data[[#This Row],[Country]],
        PNS_data[National Society name], selected,
        PNS_data[Attribute], "SP3",
        PNS_data[Year], "2028"
    ),
    IF(_xlpm.sumValue = 0, "", _xlpm.sumValue)
)</f>
        <v/>
      </c>
      <c r="W101" s="31" t="str">
        <f>_xlfn.LET(
    _xlpm.sumValue, SUMIFS(
        PNS_data[Value],
        PNS_data[Country], FR_data[[#This Row],[Country]],
        PNS_data[National Society name], selected,
        PNS_data[Attribute], "SP4",
        PNS_data[Year], "2028"
    ),
    IF(_xlpm.sumValue = 0, "", _xlpm.sumValue)
)</f>
        <v/>
      </c>
      <c r="X101" s="31" t="str">
        <f>_xlfn.LET(
    _xlpm.sumValue, SUMIFS(
        PNS_data[Value],
        PNS_data[Country], FR_data[[#This Row],[Country]],
        PNS_data[National Society name], selected,
        PNS_data[Attribute], "SP5",
        PNS_data[Year], "2028"
    ),
    IF(_xlpm.sumValue = 0, "", _xlpm.sumValue)
)</f>
        <v/>
      </c>
      <c r="Y101" s="31" t="str">
        <f>_xlfn.LET(
    _xlpm.sumValue, SUMIFS(
        PNS_data[Value],
        PNS_data[Country], FR_data[[#This Row],[Country]],
        PNS_data[National Society name], selected,
        PNS_data[Attribute], "EFs",
        PNS_data[Year], "2028"
    ),
    IF(_xlpm.sumValue = 0, "", _xlpm.sumValue)
)</f>
        <v/>
      </c>
      <c r="Z101" s="32" t="str">
        <f>IF(SUM(FR_data[[#This Row],[Response - Disasters and Crises  ]:[Enabling Functions  ]])=0,"",SUM(FR_data[[#This Row],[Response - Disasters and Crises  ]:[Enabling Functions  ]]))</f>
        <v/>
      </c>
      <c r="AA101" s="41"/>
    </row>
    <row r="102" spans="1:27" x14ac:dyDescent="0.3">
      <c r="A102" s="11" t="s">
        <v>166</v>
      </c>
      <c r="B102" s="11" t="s">
        <v>98</v>
      </c>
      <c r="C102" s="11" t="s">
        <v>167</v>
      </c>
      <c r="D102" s="30" t="str">
        <f>_xlfn.LET(
    _xlpm.sumValue, SUMIFS(
        PNS_data[Value],
        PNS_data[Country], FR_data[[#This Row],[Country]],
        PNS_data[National Society name], selected,
        PNS_data[Attribute], "SP1",
        PNS_data[Year], "2026"
    ),
    IF(_xlpm.sumValue = 0, "", _xlpm.sumValue)
)</f>
        <v/>
      </c>
      <c r="E102" s="31" t="str">
        <f>_xlfn.LET(
    _xlpm.sumValue, SUMIFS(
        PNS_data[Value],
        PNS_data[Country], FR_data[[#This Row],[Country]],
        PNS_data[National Society name], selected,
        PNS_data[Attribute], "SP2",
        PNS_data[Year], "2026"
    ),
    IF(_xlpm.sumValue = 0, "", _xlpm.sumValue)
)</f>
        <v/>
      </c>
      <c r="F102" s="31" t="str">
        <f>_xlfn.LET(
    _xlpm.sumValue, SUMIFS(
        PNS_data[Value],
        PNS_data[Country], FR_data[[#This Row],[Country]],
        PNS_data[National Society name], selected,
        PNS_data[Attribute], "SP3",
        PNS_data[Year], "2026"
    ),
    IF(_xlpm.sumValue = 0, "", _xlpm.sumValue)
)</f>
        <v/>
      </c>
      <c r="G102" s="31" t="str">
        <f>_xlfn.LET(
    _xlpm.sumValue, SUMIFS(
        PNS_data[Value],
        PNS_data[Country], FR_data[[#This Row],[Country]],
        PNS_data[National Society name], selected,
        PNS_data[Attribute], "SP4",
        PNS_data[Year], "2026"
    ),
    IF(_xlpm.sumValue = 0, "", _xlpm.sumValue)
)</f>
        <v/>
      </c>
      <c r="H102" s="31" t="str">
        <f>_xlfn.LET(
    _xlpm.sumValue, SUMIFS(
        PNS_data[Value],
        PNS_data[Country], FR_data[[#This Row],[Country]],
        PNS_data[National Society name], selected,
        PNS_data[Attribute], "SP5",
        PNS_data[Year], "2026"
    ),
    IF(_xlpm.sumValue = 0, "", _xlpm.sumValue)
)</f>
        <v/>
      </c>
      <c r="I102" s="31" t="str">
        <f>_xlfn.LET(
    _xlpm.sumValue, SUMIFS(
        PNS_data[Value],
        PNS_data[Country], FR_data[[#This Row],[Country]],
        PNS_data[National Society name], selected,
        PNS_data[Attribute], "EFs",
        PNS_data[Year], "2026"
    ),
    IF(_xlpm.sumValue = 0, "", _xlpm.sumValue)
)</f>
        <v/>
      </c>
      <c r="J102" s="32" t="str">
        <f>IF(SUM(FR_data[[#This Row],[Response - Disasters and Crises]:[Enabling Functions]])=0,"",SUM(FR_data[[#This Row],[Response - Disasters and Crises]:[Enabling Functions]]))</f>
        <v/>
      </c>
      <c r="K102" s="39"/>
      <c r="L102" s="30" t="str">
        <f>_xlfn.LET(
    _xlpm.sumValue, SUMIFS(
        PNS_data[Value],
        PNS_data[Country], FR_data[[#This Row],[Country]],
        PNS_data[National Society name], selected,
        PNS_data[Attribute], "SP1",
        PNS_data[Year], "2027"
    ),
    IF(_xlpm.sumValue = 0, "", _xlpm.sumValue)
)</f>
        <v/>
      </c>
      <c r="M102" s="31" t="str">
        <f>_xlfn.LET(
    _xlpm.sumValue, SUMIFS(
        PNS_data[Value],
        PNS_data[Country], FR_data[[#This Row],[Country]],
        PNS_data[National Society name], selected,
        PNS_data[Attribute], "SP2",
        PNS_data[Year], "2027"
    ),
    IF(_xlpm.sumValue = 0, "", _xlpm.sumValue)
)</f>
        <v/>
      </c>
      <c r="N102" s="31" t="str">
        <f>_xlfn.LET(
    _xlpm.sumValue, SUMIFS(
        PNS_data[Value],
        PNS_data[Country], FR_data[[#This Row],[Country]],
        PNS_data[National Society name], selected,
        PNS_data[Attribute], "SP3",
        PNS_data[Year], "2027"
    ),
    IF(_xlpm.sumValue = 0, "", _xlpm.sumValue)
)</f>
        <v/>
      </c>
      <c r="O102" s="31" t="str">
        <f>_xlfn.LET(
    _xlpm.sumValue, SUMIFS(
        PNS_data[Value],
        PNS_data[Country], FR_data[[#This Row],[Country]],
        PNS_data[National Society name], selected,
        PNS_data[Attribute], "SP4",
        PNS_data[Year], "2027"
    ),
    IF(_xlpm.sumValue = 0, "", _xlpm.sumValue)
)</f>
        <v/>
      </c>
      <c r="P102" s="31" t="str">
        <f>_xlfn.LET(
    _xlpm.sumValue, SUMIFS(
        PNS_data[Value],
        PNS_data[Country], FR_data[[#This Row],[Country]],
        PNS_data[National Society name], selected,
        PNS_data[Attribute], "SP5",
        PNS_data[Year], "2027"
    ),
    IF(_xlpm.sumValue = 0, "", _xlpm.sumValue)
)</f>
        <v/>
      </c>
      <c r="Q102" s="31" t="str">
        <f>_xlfn.LET(
    _xlpm.sumValue, SUMIFS(
        PNS_data[Value],
        PNS_data[Country], FR_data[[#This Row],[Country]],
        PNS_data[National Society name], selected,
        PNS_data[Attribute], "EFs",
        PNS_data[Year], "2027"
    ),
    IF(_xlpm.sumValue = 0, "", _xlpm.sumValue)
)</f>
        <v/>
      </c>
      <c r="R102" s="32" t="str">
        <f>IF(SUM(FR_data[[#This Row],[Response - Disasters and Crises ]:[Enabling Functions ]])=0,"",SUM(FR_data[[#This Row],[Response - Disasters and Crises ]:[Enabling Functions ]]))</f>
        <v/>
      </c>
      <c r="S102" s="39"/>
      <c r="T102" s="30" t="str">
        <f>_xlfn.LET(
    _xlpm.sumValue, SUMIFS(
        PNS_data[Value],
        PNS_data[Country], FR_data[[#This Row],[Country]],
        PNS_data[National Society name], selected,
        PNS_data[Attribute], "SP1",
        PNS_data[Year], "2028"
    ),
    IF(_xlpm.sumValue = 0, "", _xlpm.sumValue)
)</f>
        <v/>
      </c>
      <c r="U102" s="31" t="str">
        <f>_xlfn.LET(
    _xlpm.sumValue, SUMIFS(
        PNS_data[Value],
        PNS_data[Country], FR_data[[#This Row],[Country]],
        PNS_data[National Society name], selected,
        PNS_data[Attribute], "SP2",
        PNS_data[Year], "2028"
    ),
    IF(_xlpm.sumValue = 0, "", _xlpm.sumValue)
)</f>
        <v/>
      </c>
      <c r="V102" s="31" t="str">
        <f>_xlfn.LET(
    _xlpm.sumValue, SUMIFS(
        PNS_data[Value],
        PNS_data[Country], FR_data[[#This Row],[Country]],
        PNS_data[National Society name], selected,
        PNS_data[Attribute], "SP3",
        PNS_data[Year], "2028"
    ),
    IF(_xlpm.sumValue = 0, "", _xlpm.sumValue)
)</f>
        <v/>
      </c>
      <c r="W102" s="31" t="str">
        <f>_xlfn.LET(
    _xlpm.sumValue, SUMIFS(
        PNS_data[Value],
        PNS_data[Country], FR_data[[#This Row],[Country]],
        PNS_data[National Society name], selected,
        PNS_data[Attribute], "SP4",
        PNS_data[Year], "2028"
    ),
    IF(_xlpm.sumValue = 0, "", _xlpm.sumValue)
)</f>
        <v/>
      </c>
      <c r="X102" s="31" t="str">
        <f>_xlfn.LET(
    _xlpm.sumValue, SUMIFS(
        PNS_data[Value],
        PNS_data[Country], FR_data[[#This Row],[Country]],
        PNS_data[National Society name], selected,
        PNS_data[Attribute], "SP5",
        PNS_data[Year], "2028"
    ),
    IF(_xlpm.sumValue = 0, "", _xlpm.sumValue)
)</f>
        <v/>
      </c>
      <c r="Y102" s="31" t="str">
        <f>_xlfn.LET(
    _xlpm.sumValue, SUMIFS(
        PNS_data[Value],
        PNS_data[Country], FR_data[[#This Row],[Country]],
        PNS_data[National Society name], selected,
        PNS_data[Attribute], "EFs",
        PNS_data[Year], "2028"
    ),
    IF(_xlpm.sumValue = 0, "", _xlpm.sumValue)
)</f>
        <v/>
      </c>
      <c r="Z102" s="32" t="str">
        <f>IF(SUM(FR_data[[#This Row],[Response - Disasters and Crises  ]:[Enabling Functions  ]])=0,"",SUM(FR_data[[#This Row],[Response - Disasters and Crises  ]:[Enabling Functions  ]]))</f>
        <v/>
      </c>
      <c r="AA102" s="41"/>
    </row>
    <row r="103" spans="1:27" x14ac:dyDescent="0.3">
      <c r="A103" s="11" t="s">
        <v>196</v>
      </c>
      <c r="B103" s="11" t="s">
        <v>98</v>
      </c>
      <c r="C103" s="11" t="s">
        <v>197</v>
      </c>
      <c r="D103" s="30" t="str">
        <f>_xlfn.LET(
    _xlpm.sumValue, SUMIFS(
        PNS_data[Value],
        PNS_data[Country], FR_data[[#This Row],[Country]],
        PNS_data[National Society name], selected,
        PNS_data[Attribute], "SP1",
        PNS_data[Year], "2026"
    ),
    IF(_xlpm.sumValue = 0, "", _xlpm.sumValue)
)</f>
        <v/>
      </c>
      <c r="E103" s="31" t="str">
        <f>_xlfn.LET(
    _xlpm.sumValue, SUMIFS(
        PNS_data[Value],
        PNS_data[Country], FR_data[[#This Row],[Country]],
        PNS_data[National Society name], selected,
        PNS_data[Attribute], "SP2",
        PNS_data[Year], "2026"
    ),
    IF(_xlpm.sumValue = 0, "", _xlpm.sumValue)
)</f>
        <v/>
      </c>
      <c r="F103" s="31" t="str">
        <f>_xlfn.LET(
    _xlpm.sumValue, SUMIFS(
        PNS_data[Value],
        PNS_data[Country], FR_data[[#This Row],[Country]],
        PNS_data[National Society name], selected,
        PNS_data[Attribute], "SP3",
        PNS_data[Year], "2026"
    ),
    IF(_xlpm.sumValue = 0, "", _xlpm.sumValue)
)</f>
        <v/>
      </c>
      <c r="G103" s="31" t="str">
        <f>_xlfn.LET(
    _xlpm.sumValue, SUMIFS(
        PNS_data[Value],
        PNS_data[Country], FR_data[[#This Row],[Country]],
        PNS_data[National Society name], selected,
        PNS_data[Attribute], "SP4",
        PNS_data[Year], "2026"
    ),
    IF(_xlpm.sumValue = 0, "", _xlpm.sumValue)
)</f>
        <v/>
      </c>
      <c r="H103" s="31" t="str">
        <f>_xlfn.LET(
    _xlpm.sumValue, SUMIFS(
        PNS_data[Value],
        PNS_data[Country], FR_data[[#This Row],[Country]],
        PNS_data[National Society name], selected,
        PNS_data[Attribute], "SP5",
        PNS_data[Year], "2026"
    ),
    IF(_xlpm.sumValue = 0, "", _xlpm.sumValue)
)</f>
        <v/>
      </c>
      <c r="I103" s="31" t="str">
        <f>_xlfn.LET(
    _xlpm.sumValue, SUMIFS(
        PNS_data[Value],
        PNS_data[Country], FR_data[[#This Row],[Country]],
        PNS_data[National Society name], selected,
        PNS_data[Attribute], "EFs",
        PNS_data[Year], "2026"
    ),
    IF(_xlpm.sumValue = 0, "", _xlpm.sumValue)
)</f>
        <v/>
      </c>
      <c r="J103" s="32" t="str">
        <f>IF(SUM(FR_data[[#This Row],[Response - Disasters and Crises]:[Enabling Functions]])=0,"",SUM(FR_data[[#This Row],[Response - Disasters and Crises]:[Enabling Functions]]))</f>
        <v/>
      </c>
      <c r="K103" s="39"/>
      <c r="L103" s="30" t="str">
        <f>_xlfn.LET(
    _xlpm.sumValue, SUMIFS(
        PNS_data[Value],
        PNS_data[Country], FR_data[[#This Row],[Country]],
        PNS_data[National Society name], selected,
        PNS_data[Attribute], "SP1",
        PNS_data[Year], "2027"
    ),
    IF(_xlpm.sumValue = 0, "", _xlpm.sumValue)
)</f>
        <v/>
      </c>
      <c r="M103" s="31" t="str">
        <f>_xlfn.LET(
    _xlpm.sumValue, SUMIFS(
        PNS_data[Value],
        PNS_data[Country], FR_data[[#This Row],[Country]],
        PNS_data[National Society name], selected,
        PNS_data[Attribute], "SP2",
        PNS_data[Year], "2027"
    ),
    IF(_xlpm.sumValue = 0, "", _xlpm.sumValue)
)</f>
        <v/>
      </c>
      <c r="N103" s="31" t="str">
        <f>_xlfn.LET(
    _xlpm.sumValue, SUMIFS(
        PNS_data[Value],
        PNS_data[Country], FR_data[[#This Row],[Country]],
        PNS_data[National Society name], selected,
        PNS_data[Attribute], "SP3",
        PNS_data[Year], "2027"
    ),
    IF(_xlpm.sumValue = 0, "", _xlpm.sumValue)
)</f>
        <v/>
      </c>
      <c r="O103" s="31" t="str">
        <f>_xlfn.LET(
    _xlpm.sumValue, SUMIFS(
        PNS_data[Value],
        PNS_data[Country], FR_data[[#This Row],[Country]],
        PNS_data[National Society name], selected,
        PNS_data[Attribute], "SP4",
        PNS_data[Year], "2027"
    ),
    IF(_xlpm.sumValue = 0, "", _xlpm.sumValue)
)</f>
        <v/>
      </c>
      <c r="P103" s="31" t="str">
        <f>_xlfn.LET(
    _xlpm.sumValue, SUMIFS(
        PNS_data[Value],
        PNS_data[Country], FR_data[[#This Row],[Country]],
        PNS_data[National Society name], selected,
        PNS_data[Attribute], "SP5",
        PNS_data[Year], "2027"
    ),
    IF(_xlpm.sumValue = 0, "", _xlpm.sumValue)
)</f>
        <v/>
      </c>
      <c r="Q103" s="31" t="str">
        <f>_xlfn.LET(
    _xlpm.sumValue, SUMIFS(
        PNS_data[Value],
        PNS_data[Country], FR_data[[#This Row],[Country]],
        PNS_data[National Society name], selected,
        PNS_data[Attribute], "EFs",
        PNS_data[Year], "2027"
    ),
    IF(_xlpm.sumValue = 0, "", _xlpm.sumValue)
)</f>
        <v/>
      </c>
      <c r="R103" s="32" t="str">
        <f>IF(SUM(FR_data[[#This Row],[Response - Disasters and Crises ]:[Enabling Functions ]])=0,"",SUM(FR_data[[#This Row],[Response - Disasters and Crises ]:[Enabling Functions ]]))</f>
        <v/>
      </c>
      <c r="S103" s="39"/>
      <c r="T103" s="30" t="str">
        <f>_xlfn.LET(
    _xlpm.sumValue, SUMIFS(
        PNS_data[Value],
        PNS_data[Country], FR_data[[#This Row],[Country]],
        PNS_data[National Society name], selected,
        PNS_data[Attribute], "SP1",
        PNS_data[Year], "2028"
    ),
    IF(_xlpm.sumValue = 0, "", _xlpm.sumValue)
)</f>
        <v/>
      </c>
      <c r="U103" s="31" t="str">
        <f>_xlfn.LET(
    _xlpm.sumValue, SUMIFS(
        PNS_data[Value],
        PNS_data[Country], FR_data[[#This Row],[Country]],
        PNS_data[National Society name], selected,
        PNS_data[Attribute], "SP2",
        PNS_data[Year], "2028"
    ),
    IF(_xlpm.sumValue = 0, "", _xlpm.sumValue)
)</f>
        <v/>
      </c>
      <c r="V103" s="31" t="str">
        <f>_xlfn.LET(
    _xlpm.sumValue, SUMIFS(
        PNS_data[Value],
        PNS_data[Country], FR_data[[#This Row],[Country]],
        PNS_data[National Society name], selected,
        PNS_data[Attribute], "SP3",
        PNS_data[Year], "2028"
    ),
    IF(_xlpm.sumValue = 0, "", _xlpm.sumValue)
)</f>
        <v/>
      </c>
      <c r="W103" s="31" t="str">
        <f>_xlfn.LET(
    _xlpm.sumValue, SUMIFS(
        PNS_data[Value],
        PNS_data[Country], FR_data[[#This Row],[Country]],
        PNS_data[National Society name], selected,
        PNS_data[Attribute], "SP4",
        PNS_data[Year], "2028"
    ),
    IF(_xlpm.sumValue = 0, "", _xlpm.sumValue)
)</f>
        <v/>
      </c>
      <c r="X103" s="31" t="str">
        <f>_xlfn.LET(
    _xlpm.sumValue, SUMIFS(
        PNS_data[Value],
        PNS_data[Country], FR_data[[#This Row],[Country]],
        PNS_data[National Society name], selected,
        PNS_data[Attribute], "SP5",
        PNS_data[Year], "2028"
    ),
    IF(_xlpm.sumValue = 0, "", _xlpm.sumValue)
)</f>
        <v/>
      </c>
      <c r="Y103" s="31" t="str">
        <f>_xlfn.LET(
    _xlpm.sumValue, SUMIFS(
        PNS_data[Value],
        PNS_data[Country], FR_data[[#This Row],[Country]],
        PNS_data[National Society name], selected,
        PNS_data[Attribute], "EFs",
        PNS_data[Year], "2028"
    ),
    IF(_xlpm.sumValue = 0, "", _xlpm.sumValue)
)</f>
        <v/>
      </c>
      <c r="Z103" s="32" t="str">
        <f>IF(SUM(FR_data[[#This Row],[Response - Disasters and Crises  ]:[Enabling Functions  ]])=0,"",SUM(FR_data[[#This Row],[Response - Disasters and Crises  ]:[Enabling Functions  ]]))</f>
        <v/>
      </c>
      <c r="AA103" s="41"/>
    </row>
    <row r="104" spans="1:27" x14ac:dyDescent="0.3">
      <c r="A104" s="11" t="s">
        <v>227</v>
      </c>
      <c r="B104" s="11" t="s">
        <v>98</v>
      </c>
      <c r="C104" s="11" t="s">
        <v>45</v>
      </c>
      <c r="D104" s="30" t="str">
        <f>_xlfn.LET(
    _xlpm.sumValue, SUMIFS(
        PNS_data[Value],
        PNS_data[Country], FR_data[[#This Row],[Country]],
        PNS_data[National Society name], selected,
        PNS_data[Attribute], "SP1",
        PNS_data[Year], "2026"
    ),
    IF(_xlpm.sumValue = 0, "", _xlpm.sumValue)
)</f>
        <v/>
      </c>
      <c r="E104" s="31" t="str">
        <f>_xlfn.LET(
    _xlpm.sumValue, SUMIFS(
        PNS_data[Value],
        PNS_data[Country], FR_data[[#This Row],[Country]],
        PNS_data[National Society name], selected,
        PNS_data[Attribute], "SP2",
        PNS_data[Year], "2026"
    ),
    IF(_xlpm.sumValue = 0, "", _xlpm.sumValue)
)</f>
        <v/>
      </c>
      <c r="F104" s="31" t="str">
        <f>_xlfn.LET(
    _xlpm.sumValue, SUMIFS(
        PNS_data[Value],
        PNS_data[Country], FR_data[[#This Row],[Country]],
        PNS_data[National Society name], selected,
        PNS_data[Attribute], "SP3",
        PNS_data[Year], "2026"
    ),
    IF(_xlpm.sumValue = 0, "", _xlpm.sumValue)
)</f>
        <v/>
      </c>
      <c r="G104" s="31" t="str">
        <f>_xlfn.LET(
    _xlpm.sumValue, SUMIFS(
        PNS_data[Value],
        PNS_data[Country], FR_data[[#This Row],[Country]],
        PNS_data[National Society name], selected,
        PNS_data[Attribute], "SP4",
        PNS_data[Year], "2026"
    ),
    IF(_xlpm.sumValue = 0, "", _xlpm.sumValue)
)</f>
        <v/>
      </c>
      <c r="H104" s="31" t="str">
        <f>_xlfn.LET(
    _xlpm.sumValue, SUMIFS(
        PNS_data[Value],
        PNS_data[Country], FR_data[[#This Row],[Country]],
        PNS_data[National Society name], selected,
        PNS_data[Attribute], "SP5",
        PNS_data[Year], "2026"
    ),
    IF(_xlpm.sumValue = 0, "", _xlpm.sumValue)
)</f>
        <v/>
      </c>
      <c r="I104" s="31" t="str">
        <f>_xlfn.LET(
    _xlpm.sumValue, SUMIFS(
        PNS_data[Value],
        PNS_data[Country], FR_data[[#This Row],[Country]],
        PNS_data[National Society name], selected,
        PNS_data[Attribute], "EFs",
        PNS_data[Year], "2026"
    ),
    IF(_xlpm.sumValue = 0, "", _xlpm.sumValue)
)</f>
        <v/>
      </c>
      <c r="J104" s="32" t="str">
        <f>IF(SUM(FR_data[[#This Row],[Response - Disasters and Crises]:[Enabling Functions]])=0,"",SUM(FR_data[[#This Row],[Response - Disasters and Crises]:[Enabling Functions]]))</f>
        <v/>
      </c>
      <c r="K104" s="39"/>
      <c r="L104" s="30" t="str">
        <f>_xlfn.LET(
    _xlpm.sumValue, SUMIFS(
        PNS_data[Value],
        PNS_data[Country], FR_data[[#This Row],[Country]],
        PNS_data[National Society name], selected,
        PNS_data[Attribute], "SP1",
        PNS_data[Year], "2027"
    ),
    IF(_xlpm.sumValue = 0, "", _xlpm.sumValue)
)</f>
        <v/>
      </c>
      <c r="M104" s="31" t="str">
        <f>_xlfn.LET(
    _xlpm.sumValue, SUMIFS(
        PNS_data[Value],
        PNS_data[Country], FR_data[[#This Row],[Country]],
        PNS_data[National Society name], selected,
        PNS_data[Attribute], "SP2",
        PNS_data[Year], "2027"
    ),
    IF(_xlpm.sumValue = 0, "", _xlpm.sumValue)
)</f>
        <v/>
      </c>
      <c r="N104" s="31" t="str">
        <f>_xlfn.LET(
    _xlpm.sumValue, SUMIFS(
        PNS_data[Value],
        PNS_data[Country], FR_data[[#This Row],[Country]],
        PNS_data[National Society name], selected,
        PNS_data[Attribute], "SP3",
        PNS_data[Year], "2027"
    ),
    IF(_xlpm.sumValue = 0, "", _xlpm.sumValue)
)</f>
        <v/>
      </c>
      <c r="O104" s="31" t="str">
        <f>_xlfn.LET(
    _xlpm.sumValue, SUMIFS(
        PNS_data[Value],
        PNS_data[Country], FR_data[[#This Row],[Country]],
        PNS_data[National Society name], selected,
        PNS_data[Attribute], "SP4",
        PNS_data[Year], "2027"
    ),
    IF(_xlpm.sumValue = 0, "", _xlpm.sumValue)
)</f>
        <v/>
      </c>
      <c r="P104" s="31" t="str">
        <f>_xlfn.LET(
    _xlpm.sumValue, SUMIFS(
        PNS_data[Value],
        PNS_data[Country], FR_data[[#This Row],[Country]],
        PNS_data[National Society name], selected,
        PNS_data[Attribute], "SP5",
        PNS_data[Year], "2027"
    ),
    IF(_xlpm.sumValue = 0, "", _xlpm.sumValue)
)</f>
        <v/>
      </c>
      <c r="Q104" s="31" t="str">
        <f>_xlfn.LET(
    _xlpm.sumValue, SUMIFS(
        PNS_data[Value],
        PNS_data[Country], FR_data[[#This Row],[Country]],
        PNS_data[National Society name], selected,
        PNS_data[Attribute], "EFs",
        PNS_data[Year], "2027"
    ),
    IF(_xlpm.sumValue = 0, "", _xlpm.sumValue)
)</f>
        <v/>
      </c>
      <c r="R104" s="32" t="str">
        <f>IF(SUM(FR_data[[#This Row],[Response - Disasters and Crises ]:[Enabling Functions ]])=0,"",SUM(FR_data[[#This Row],[Response - Disasters and Crises ]:[Enabling Functions ]]))</f>
        <v/>
      </c>
      <c r="S104" s="39"/>
      <c r="T104" s="30" t="str">
        <f>_xlfn.LET(
    _xlpm.sumValue, SUMIFS(
        PNS_data[Value],
        PNS_data[Country], FR_data[[#This Row],[Country]],
        PNS_data[National Society name], selected,
        PNS_data[Attribute], "SP1",
        PNS_data[Year], "2028"
    ),
    IF(_xlpm.sumValue = 0, "", _xlpm.sumValue)
)</f>
        <v/>
      </c>
      <c r="U104" s="31" t="str">
        <f>_xlfn.LET(
    _xlpm.sumValue, SUMIFS(
        PNS_data[Value],
        PNS_data[Country], FR_data[[#This Row],[Country]],
        PNS_data[National Society name], selected,
        PNS_data[Attribute], "SP2",
        PNS_data[Year], "2028"
    ),
    IF(_xlpm.sumValue = 0, "", _xlpm.sumValue)
)</f>
        <v/>
      </c>
      <c r="V104" s="31" t="str">
        <f>_xlfn.LET(
    _xlpm.sumValue, SUMIFS(
        PNS_data[Value],
        PNS_data[Country], FR_data[[#This Row],[Country]],
        PNS_data[National Society name], selected,
        PNS_data[Attribute], "SP3",
        PNS_data[Year], "2028"
    ),
    IF(_xlpm.sumValue = 0, "", _xlpm.sumValue)
)</f>
        <v/>
      </c>
      <c r="W104" s="31" t="str">
        <f>_xlfn.LET(
    _xlpm.sumValue, SUMIFS(
        PNS_data[Value],
        PNS_data[Country], FR_data[[#This Row],[Country]],
        PNS_data[National Society name], selected,
        PNS_data[Attribute], "SP4",
        PNS_data[Year], "2028"
    ),
    IF(_xlpm.sumValue = 0, "", _xlpm.sumValue)
)</f>
        <v/>
      </c>
      <c r="X104" s="31" t="str">
        <f>_xlfn.LET(
    _xlpm.sumValue, SUMIFS(
        PNS_data[Value],
        PNS_data[Country], FR_data[[#This Row],[Country]],
        PNS_data[National Society name], selected,
        PNS_data[Attribute], "SP5",
        PNS_data[Year], "2028"
    ),
    IF(_xlpm.sumValue = 0, "", _xlpm.sumValue)
)</f>
        <v/>
      </c>
      <c r="Y104" s="31" t="str">
        <f>_xlfn.LET(
    _xlpm.sumValue, SUMIFS(
        PNS_data[Value],
        PNS_data[Country], FR_data[[#This Row],[Country]],
        PNS_data[National Society name], selected,
        PNS_data[Attribute], "EFs",
        PNS_data[Year], "2028"
    ),
    IF(_xlpm.sumValue = 0, "", _xlpm.sumValue)
)</f>
        <v/>
      </c>
      <c r="Z104" s="32" t="str">
        <f>IF(SUM(FR_data[[#This Row],[Response - Disasters and Crises  ]:[Enabling Functions  ]])=0,"",SUM(FR_data[[#This Row],[Response - Disasters and Crises  ]:[Enabling Functions  ]]))</f>
        <v/>
      </c>
      <c r="AA104" s="41"/>
    </row>
    <row r="105" spans="1:27" x14ac:dyDescent="0.3">
      <c r="A105" s="11" t="s">
        <v>228</v>
      </c>
      <c r="B105" s="11" t="s">
        <v>98</v>
      </c>
      <c r="C105" s="11" t="s">
        <v>229</v>
      </c>
      <c r="D105" s="30" t="str">
        <f>_xlfn.LET(
    _xlpm.sumValue, SUMIFS(
        PNS_data[Value],
        PNS_data[Country], FR_data[[#This Row],[Country]],
        PNS_data[National Society name], selected,
        PNS_data[Attribute], "SP1",
        PNS_data[Year], "2026"
    ),
    IF(_xlpm.sumValue = 0, "", _xlpm.sumValue)
)</f>
        <v/>
      </c>
      <c r="E105" s="31" t="str">
        <f>_xlfn.LET(
    _xlpm.sumValue, SUMIFS(
        PNS_data[Value],
        PNS_data[Country], FR_data[[#This Row],[Country]],
        PNS_data[National Society name], selected,
        PNS_data[Attribute], "SP2",
        PNS_data[Year], "2026"
    ),
    IF(_xlpm.sumValue = 0, "", _xlpm.sumValue)
)</f>
        <v/>
      </c>
      <c r="F105" s="31" t="str">
        <f>_xlfn.LET(
    _xlpm.sumValue, SUMIFS(
        PNS_data[Value],
        PNS_data[Country], FR_data[[#This Row],[Country]],
        PNS_data[National Society name], selected,
        PNS_data[Attribute], "SP3",
        PNS_data[Year], "2026"
    ),
    IF(_xlpm.sumValue = 0, "", _xlpm.sumValue)
)</f>
        <v/>
      </c>
      <c r="G105" s="31" t="str">
        <f>_xlfn.LET(
    _xlpm.sumValue, SUMIFS(
        PNS_data[Value],
        PNS_data[Country], FR_data[[#This Row],[Country]],
        PNS_data[National Society name], selected,
        PNS_data[Attribute], "SP4",
        PNS_data[Year], "2026"
    ),
    IF(_xlpm.sumValue = 0, "", _xlpm.sumValue)
)</f>
        <v/>
      </c>
      <c r="H105" s="31" t="str">
        <f>_xlfn.LET(
    _xlpm.sumValue, SUMIFS(
        PNS_data[Value],
        PNS_data[Country], FR_data[[#This Row],[Country]],
        PNS_data[National Society name], selected,
        PNS_data[Attribute], "SP5",
        PNS_data[Year], "2026"
    ),
    IF(_xlpm.sumValue = 0, "", _xlpm.sumValue)
)</f>
        <v/>
      </c>
      <c r="I105" s="31" t="str">
        <f>_xlfn.LET(
    _xlpm.sumValue, SUMIFS(
        PNS_data[Value],
        PNS_data[Country], FR_data[[#This Row],[Country]],
        PNS_data[National Society name], selected,
        PNS_data[Attribute], "EFs",
        PNS_data[Year], "2026"
    ),
    IF(_xlpm.sumValue = 0, "", _xlpm.sumValue)
)</f>
        <v/>
      </c>
      <c r="J105" s="32" t="str">
        <f>IF(SUM(FR_data[[#This Row],[Response - Disasters and Crises]:[Enabling Functions]])=0,"",SUM(FR_data[[#This Row],[Response - Disasters and Crises]:[Enabling Functions]]))</f>
        <v/>
      </c>
      <c r="K105" s="39"/>
      <c r="L105" s="30" t="str">
        <f>_xlfn.LET(
    _xlpm.sumValue, SUMIFS(
        PNS_data[Value],
        PNS_data[Country], FR_data[[#This Row],[Country]],
        PNS_data[National Society name], selected,
        PNS_data[Attribute], "SP1",
        PNS_data[Year], "2027"
    ),
    IF(_xlpm.sumValue = 0, "", _xlpm.sumValue)
)</f>
        <v/>
      </c>
      <c r="M105" s="31" t="str">
        <f>_xlfn.LET(
    _xlpm.sumValue, SUMIFS(
        PNS_data[Value],
        PNS_data[Country], FR_data[[#This Row],[Country]],
        PNS_data[National Society name], selected,
        PNS_data[Attribute], "SP2",
        PNS_data[Year], "2027"
    ),
    IF(_xlpm.sumValue = 0, "", _xlpm.sumValue)
)</f>
        <v/>
      </c>
      <c r="N105" s="31" t="str">
        <f>_xlfn.LET(
    _xlpm.sumValue, SUMIFS(
        PNS_data[Value],
        PNS_data[Country], FR_data[[#This Row],[Country]],
        PNS_data[National Society name], selected,
        PNS_data[Attribute], "SP3",
        PNS_data[Year], "2027"
    ),
    IF(_xlpm.sumValue = 0, "", _xlpm.sumValue)
)</f>
        <v/>
      </c>
      <c r="O105" s="31" t="str">
        <f>_xlfn.LET(
    _xlpm.sumValue, SUMIFS(
        PNS_data[Value],
        PNS_data[Country], FR_data[[#This Row],[Country]],
        PNS_data[National Society name], selected,
        PNS_data[Attribute], "SP4",
        PNS_data[Year], "2027"
    ),
    IF(_xlpm.sumValue = 0, "", _xlpm.sumValue)
)</f>
        <v/>
      </c>
      <c r="P105" s="31" t="str">
        <f>_xlfn.LET(
    _xlpm.sumValue, SUMIFS(
        PNS_data[Value],
        PNS_data[Country], FR_data[[#This Row],[Country]],
        PNS_data[National Society name], selected,
        PNS_data[Attribute], "SP5",
        PNS_data[Year], "2027"
    ),
    IF(_xlpm.sumValue = 0, "", _xlpm.sumValue)
)</f>
        <v/>
      </c>
      <c r="Q105" s="31" t="str">
        <f>_xlfn.LET(
    _xlpm.sumValue, SUMIFS(
        PNS_data[Value],
        PNS_data[Country], FR_data[[#This Row],[Country]],
        PNS_data[National Society name], selected,
        PNS_data[Attribute], "EFs",
        PNS_data[Year], "2027"
    ),
    IF(_xlpm.sumValue = 0, "", _xlpm.sumValue)
)</f>
        <v/>
      </c>
      <c r="R105" s="32" t="str">
        <f>IF(SUM(FR_data[[#This Row],[Response - Disasters and Crises ]:[Enabling Functions ]])=0,"",SUM(FR_data[[#This Row],[Response - Disasters and Crises ]:[Enabling Functions ]]))</f>
        <v/>
      </c>
      <c r="S105" s="39"/>
      <c r="T105" s="30" t="str">
        <f>_xlfn.LET(
    _xlpm.sumValue, SUMIFS(
        PNS_data[Value],
        PNS_data[Country], FR_data[[#This Row],[Country]],
        PNS_data[National Society name], selected,
        PNS_data[Attribute], "SP1",
        PNS_data[Year], "2028"
    ),
    IF(_xlpm.sumValue = 0, "", _xlpm.sumValue)
)</f>
        <v/>
      </c>
      <c r="U105" s="31" t="str">
        <f>_xlfn.LET(
    _xlpm.sumValue, SUMIFS(
        PNS_data[Value],
        PNS_data[Country], FR_data[[#This Row],[Country]],
        PNS_data[National Society name], selected,
        PNS_data[Attribute], "SP2",
        PNS_data[Year], "2028"
    ),
    IF(_xlpm.sumValue = 0, "", _xlpm.sumValue)
)</f>
        <v/>
      </c>
      <c r="V105" s="31" t="str">
        <f>_xlfn.LET(
    _xlpm.sumValue, SUMIFS(
        PNS_data[Value],
        PNS_data[Country], FR_data[[#This Row],[Country]],
        PNS_data[National Society name], selected,
        PNS_data[Attribute], "SP3",
        PNS_data[Year], "2028"
    ),
    IF(_xlpm.sumValue = 0, "", _xlpm.sumValue)
)</f>
        <v/>
      </c>
      <c r="W105" s="31" t="str">
        <f>_xlfn.LET(
    _xlpm.sumValue, SUMIFS(
        PNS_data[Value],
        PNS_data[Country], FR_data[[#This Row],[Country]],
        PNS_data[National Society name], selected,
        PNS_data[Attribute], "SP4",
        PNS_data[Year], "2028"
    ),
    IF(_xlpm.sumValue = 0, "", _xlpm.sumValue)
)</f>
        <v/>
      </c>
      <c r="X105" s="31" t="str">
        <f>_xlfn.LET(
    _xlpm.sumValue, SUMIFS(
        PNS_data[Value],
        PNS_data[Country], FR_data[[#This Row],[Country]],
        PNS_data[National Society name], selected,
        PNS_data[Attribute], "SP5",
        PNS_data[Year], "2028"
    ),
    IF(_xlpm.sumValue = 0, "", _xlpm.sumValue)
)</f>
        <v/>
      </c>
      <c r="Y105" s="31" t="str">
        <f>_xlfn.LET(
    _xlpm.sumValue, SUMIFS(
        PNS_data[Value],
        PNS_data[Country], FR_data[[#This Row],[Country]],
        PNS_data[National Society name], selected,
        PNS_data[Attribute], "EFs",
        PNS_data[Year], "2028"
    ),
    IF(_xlpm.sumValue = 0, "", _xlpm.sumValue)
)</f>
        <v/>
      </c>
      <c r="Z105" s="32" t="str">
        <f>IF(SUM(FR_data[[#This Row],[Response - Disasters and Crises  ]:[Enabling Functions  ]])=0,"",SUM(FR_data[[#This Row],[Response - Disasters and Crises  ]:[Enabling Functions  ]]))</f>
        <v/>
      </c>
      <c r="AA105" s="41"/>
    </row>
    <row r="106" spans="1:27" x14ac:dyDescent="0.3">
      <c r="A106" s="11" t="s">
        <v>216</v>
      </c>
      <c r="B106" s="11" t="s">
        <v>98</v>
      </c>
      <c r="C106" s="11" t="s">
        <v>217</v>
      </c>
      <c r="D106" s="30" t="str">
        <f>_xlfn.LET(
    _xlpm.sumValue, SUMIFS(
        PNS_data[Value],
        PNS_data[Country], FR_data[[#This Row],[Country]],
        PNS_data[National Society name], selected,
        PNS_data[Attribute], "SP1",
        PNS_data[Year], "2026"
    ),
    IF(_xlpm.sumValue = 0, "", _xlpm.sumValue)
)</f>
        <v/>
      </c>
      <c r="E106" s="31" t="str">
        <f>_xlfn.LET(
    _xlpm.sumValue, SUMIFS(
        PNS_data[Value],
        PNS_data[Country], FR_data[[#This Row],[Country]],
        PNS_data[National Society name], selected,
        PNS_data[Attribute], "SP2",
        PNS_data[Year], "2026"
    ),
    IF(_xlpm.sumValue = 0, "", _xlpm.sumValue)
)</f>
        <v/>
      </c>
      <c r="F106" s="31" t="str">
        <f>_xlfn.LET(
    _xlpm.sumValue, SUMIFS(
        PNS_data[Value],
        PNS_data[Country], FR_data[[#This Row],[Country]],
        PNS_data[National Society name], selected,
        PNS_data[Attribute], "SP3",
        PNS_data[Year], "2026"
    ),
    IF(_xlpm.sumValue = 0, "", _xlpm.sumValue)
)</f>
        <v/>
      </c>
      <c r="G106" s="31" t="str">
        <f>_xlfn.LET(
    _xlpm.sumValue, SUMIFS(
        PNS_data[Value],
        PNS_data[Country], FR_data[[#This Row],[Country]],
        PNS_data[National Society name], selected,
        PNS_data[Attribute], "SP4",
        PNS_data[Year], "2026"
    ),
    IF(_xlpm.sumValue = 0, "", _xlpm.sumValue)
)</f>
        <v/>
      </c>
      <c r="H106" s="31" t="str">
        <f>_xlfn.LET(
    _xlpm.sumValue, SUMIFS(
        PNS_data[Value],
        PNS_data[Country], FR_data[[#This Row],[Country]],
        PNS_data[National Society name], selected,
        PNS_data[Attribute], "SP5",
        PNS_data[Year], "2026"
    ),
    IF(_xlpm.sumValue = 0, "", _xlpm.sumValue)
)</f>
        <v/>
      </c>
      <c r="I106" s="31" t="str">
        <f>_xlfn.LET(
    _xlpm.sumValue, SUMIFS(
        PNS_data[Value],
        PNS_data[Country], FR_data[[#This Row],[Country]],
        PNS_data[National Society name], selected,
        PNS_data[Attribute], "EFs",
        PNS_data[Year], "2026"
    ),
    IF(_xlpm.sumValue = 0, "", _xlpm.sumValue)
)</f>
        <v/>
      </c>
      <c r="J106" s="32" t="str">
        <f>IF(SUM(FR_data[[#This Row],[Response - Disasters and Crises]:[Enabling Functions]])=0,"",SUM(FR_data[[#This Row],[Response - Disasters and Crises]:[Enabling Functions]]))</f>
        <v/>
      </c>
      <c r="K106" s="39"/>
      <c r="L106" s="30" t="str">
        <f>_xlfn.LET(
    _xlpm.sumValue, SUMIFS(
        PNS_data[Value],
        PNS_data[Country], FR_data[[#This Row],[Country]],
        PNS_data[National Society name], selected,
        PNS_data[Attribute], "SP1",
        PNS_data[Year], "2027"
    ),
    IF(_xlpm.sumValue = 0, "", _xlpm.sumValue)
)</f>
        <v/>
      </c>
      <c r="M106" s="31" t="str">
        <f>_xlfn.LET(
    _xlpm.sumValue, SUMIFS(
        PNS_data[Value],
        PNS_data[Country], FR_data[[#This Row],[Country]],
        PNS_data[National Society name], selected,
        PNS_data[Attribute], "SP2",
        PNS_data[Year], "2027"
    ),
    IF(_xlpm.sumValue = 0, "", _xlpm.sumValue)
)</f>
        <v/>
      </c>
      <c r="N106" s="31" t="str">
        <f>_xlfn.LET(
    _xlpm.sumValue, SUMIFS(
        PNS_data[Value],
        PNS_data[Country], FR_data[[#This Row],[Country]],
        PNS_data[National Society name], selected,
        PNS_data[Attribute], "SP3",
        PNS_data[Year], "2027"
    ),
    IF(_xlpm.sumValue = 0, "", _xlpm.sumValue)
)</f>
        <v/>
      </c>
      <c r="O106" s="31" t="str">
        <f>_xlfn.LET(
    _xlpm.sumValue, SUMIFS(
        PNS_data[Value],
        PNS_data[Country], FR_data[[#This Row],[Country]],
        PNS_data[National Society name], selected,
        PNS_data[Attribute], "SP4",
        PNS_data[Year], "2027"
    ),
    IF(_xlpm.sumValue = 0, "", _xlpm.sumValue)
)</f>
        <v/>
      </c>
      <c r="P106" s="31" t="str">
        <f>_xlfn.LET(
    _xlpm.sumValue, SUMIFS(
        PNS_data[Value],
        PNS_data[Country], FR_data[[#This Row],[Country]],
        PNS_data[National Society name], selected,
        PNS_data[Attribute], "SP5",
        PNS_data[Year], "2027"
    ),
    IF(_xlpm.sumValue = 0, "", _xlpm.sumValue)
)</f>
        <v/>
      </c>
      <c r="Q106" s="31" t="str">
        <f>_xlfn.LET(
    _xlpm.sumValue, SUMIFS(
        PNS_data[Value],
        PNS_data[Country], FR_data[[#This Row],[Country]],
        PNS_data[National Society name], selected,
        PNS_data[Attribute], "EFs",
        PNS_data[Year], "2027"
    ),
    IF(_xlpm.sumValue = 0, "", _xlpm.sumValue)
)</f>
        <v/>
      </c>
      <c r="R106" s="32" t="str">
        <f>IF(SUM(FR_data[[#This Row],[Response - Disasters and Crises ]:[Enabling Functions ]])=0,"",SUM(FR_data[[#This Row],[Response - Disasters and Crises ]:[Enabling Functions ]]))</f>
        <v/>
      </c>
      <c r="S106" s="39"/>
      <c r="T106" s="30" t="str">
        <f>_xlfn.LET(
    _xlpm.sumValue, SUMIFS(
        PNS_data[Value],
        PNS_data[Country], FR_data[[#This Row],[Country]],
        PNS_data[National Society name], selected,
        PNS_data[Attribute], "SP1",
        PNS_data[Year], "2028"
    ),
    IF(_xlpm.sumValue = 0, "", _xlpm.sumValue)
)</f>
        <v/>
      </c>
      <c r="U106" s="31" t="str">
        <f>_xlfn.LET(
    _xlpm.sumValue, SUMIFS(
        PNS_data[Value],
        PNS_data[Country], FR_data[[#This Row],[Country]],
        PNS_data[National Society name], selected,
        PNS_data[Attribute], "SP2",
        PNS_data[Year], "2028"
    ),
    IF(_xlpm.sumValue = 0, "", _xlpm.sumValue)
)</f>
        <v/>
      </c>
      <c r="V106" s="31" t="str">
        <f>_xlfn.LET(
    _xlpm.sumValue, SUMIFS(
        PNS_data[Value],
        PNS_data[Country], FR_data[[#This Row],[Country]],
        PNS_data[National Society name], selected,
        PNS_data[Attribute], "SP3",
        PNS_data[Year], "2028"
    ),
    IF(_xlpm.sumValue = 0, "", _xlpm.sumValue)
)</f>
        <v/>
      </c>
      <c r="W106" s="31" t="str">
        <f>_xlfn.LET(
    _xlpm.sumValue, SUMIFS(
        PNS_data[Value],
        PNS_data[Country], FR_data[[#This Row],[Country]],
        PNS_data[National Society name], selected,
        PNS_data[Attribute], "SP4",
        PNS_data[Year], "2028"
    ),
    IF(_xlpm.sumValue = 0, "", _xlpm.sumValue)
)</f>
        <v/>
      </c>
      <c r="X106" s="31" t="str">
        <f>_xlfn.LET(
    _xlpm.sumValue, SUMIFS(
        PNS_data[Value],
        PNS_data[Country], FR_data[[#This Row],[Country]],
        PNS_data[National Society name], selected,
        PNS_data[Attribute], "SP5",
        PNS_data[Year], "2028"
    ),
    IF(_xlpm.sumValue = 0, "", _xlpm.sumValue)
)</f>
        <v/>
      </c>
      <c r="Y106" s="31" t="str">
        <f>_xlfn.LET(
    _xlpm.sumValue, SUMIFS(
        PNS_data[Value],
        PNS_data[Country], FR_data[[#This Row],[Country]],
        PNS_data[National Society name], selected,
        PNS_data[Attribute], "EFs",
        PNS_data[Year], "2028"
    ),
    IF(_xlpm.sumValue = 0, "", _xlpm.sumValue)
)</f>
        <v/>
      </c>
      <c r="Z106" s="32" t="str">
        <f>IF(SUM(FR_data[[#This Row],[Response - Disasters and Crises  ]:[Enabling Functions  ]])=0,"",SUM(FR_data[[#This Row],[Response - Disasters and Crises  ]:[Enabling Functions  ]]))</f>
        <v/>
      </c>
      <c r="AA106" s="41"/>
    </row>
    <row r="107" spans="1:27" x14ac:dyDescent="0.3">
      <c r="A107" s="11" t="s">
        <v>223</v>
      </c>
      <c r="B107" s="11" t="s">
        <v>98</v>
      </c>
      <c r="C107" s="11" t="s">
        <v>224</v>
      </c>
      <c r="D107" s="30" t="str">
        <f>_xlfn.LET(
    _xlpm.sumValue, SUMIFS(
        PNS_data[Value],
        PNS_data[Country], FR_data[[#This Row],[Country]],
        PNS_data[National Society name], selected,
        PNS_data[Attribute], "SP1",
        PNS_data[Year], "2026"
    ),
    IF(_xlpm.sumValue = 0, "", _xlpm.sumValue)
)</f>
        <v/>
      </c>
      <c r="E107" s="31" t="str">
        <f>_xlfn.LET(
    _xlpm.sumValue, SUMIFS(
        PNS_data[Value],
        PNS_data[Country], FR_data[[#This Row],[Country]],
        PNS_data[National Society name], selected,
        PNS_data[Attribute], "SP2",
        PNS_data[Year], "2026"
    ),
    IF(_xlpm.sumValue = 0, "", _xlpm.sumValue)
)</f>
        <v/>
      </c>
      <c r="F107" s="31" t="str">
        <f>_xlfn.LET(
    _xlpm.sumValue, SUMIFS(
        PNS_data[Value],
        PNS_data[Country], FR_data[[#This Row],[Country]],
        PNS_data[National Society name], selected,
        PNS_data[Attribute], "SP3",
        PNS_data[Year], "2026"
    ),
    IF(_xlpm.sumValue = 0, "", _xlpm.sumValue)
)</f>
        <v/>
      </c>
      <c r="G107" s="31" t="str">
        <f>_xlfn.LET(
    _xlpm.sumValue, SUMIFS(
        PNS_data[Value],
        PNS_data[Country], FR_data[[#This Row],[Country]],
        PNS_data[National Society name], selected,
        PNS_data[Attribute], "SP4",
        PNS_data[Year], "2026"
    ),
    IF(_xlpm.sumValue = 0, "", _xlpm.sumValue)
)</f>
        <v/>
      </c>
      <c r="H107" s="31" t="str">
        <f>_xlfn.LET(
    _xlpm.sumValue, SUMIFS(
        PNS_data[Value],
        PNS_data[Country], FR_data[[#This Row],[Country]],
        PNS_data[National Society name], selected,
        PNS_data[Attribute], "SP5",
        PNS_data[Year], "2026"
    ),
    IF(_xlpm.sumValue = 0, "", _xlpm.sumValue)
)</f>
        <v/>
      </c>
      <c r="I107" s="31" t="str">
        <f>_xlfn.LET(
    _xlpm.sumValue, SUMIFS(
        PNS_data[Value],
        PNS_data[Country], FR_data[[#This Row],[Country]],
        PNS_data[National Society name], selected,
        PNS_data[Attribute], "EFs",
        PNS_data[Year], "2026"
    ),
    IF(_xlpm.sumValue = 0, "", _xlpm.sumValue)
)</f>
        <v/>
      </c>
      <c r="J107" s="32" t="str">
        <f>IF(SUM(FR_data[[#This Row],[Response - Disasters and Crises]:[Enabling Functions]])=0,"",SUM(FR_data[[#This Row],[Response - Disasters and Crises]:[Enabling Functions]]))</f>
        <v/>
      </c>
      <c r="K107" s="39"/>
      <c r="L107" s="30" t="str">
        <f>_xlfn.LET(
    _xlpm.sumValue, SUMIFS(
        PNS_data[Value],
        PNS_data[Country], FR_data[[#This Row],[Country]],
        PNS_data[National Society name], selected,
        PNS_data[Attribute], "SP1",
        PNS_data[Year], "2027"
    ),
    IF(_xlpm.sumValue = 0, "", _xlpm.sumValue)
)</f>
        <v/>
      </c>
      <c r="M107" s="31" t="str">
        <f>_xlfn.LET(
    _xlpm.sumValue, SUMIFS(
        PNS_data[Value],
        PNS_data[Country], FR_data[[#This Row],[Country]],
        PNS_data[National Society name], selected,
        PNS_data[Attribute], "SP2",
        PNS_data[Year], "2027"
    ),
    IF(_xlpm.sumValue = 0, "", _xlpm.sumValue)
)</f>
        <v/>
      </c>
      <c r="N107" s="31" t="str">
        <f>_xlfn.LET(
    _xlpm.sumValue, SUMIFS(
        PNS_data[Value],
        PNS_data[Country], FR_data[[#This Row],[Country]],
        PNS_data[National Society name], selected,
        PNS_data[Attribute], "SP3",
        PNS_data[Year], "2027"
    ),
    IF(_xlpm.sumValue = 0, "", _xlpm.sumValue)
)</f>
        <v/>
      </c>
      <c r="O107" s="31" t="str">
        <f>_xlfn.LET(
    _xlpm.sumValue, SUMIFS(
        PNS_data[Value],
        PNS_data[Country], FR_data[[#This Row],[Country]],
        PNS_data[National Society name], selected,
        PNS_data[Attribute], "SP4",
        PNS_data[Year], "2027"
    ),
    IF(_xlpm.sumValue = 0, "", _xlpm.sumValue)
)</f>
        <v/>
      </c>
      <c r="P107" s="31" t="str">
        <f>_xlfn.LET(
    _xlpm.sumValue, SUMIFS(
        PNS_data[Value],
        PNS_data[Country], FR_data[[#This Row],[Country]],
        PNS_data[National Society name], selected,
        PNS_data[Attribute], "SP5",
        PNS_data[Year], "2027"
    ),
    IF(_xlpm.sumValue = 0, "", _xlpm.sumValue)
)</f>
        <v/>
      </c>
      <c r="Q107" s="31" t="str">
        <f>_xlfn.LET(
    _xlpm.sumValue, SUMIFS(
        PNS_data[Value],
        PNS_data[Country], FR_data[[#This Row],[Country]],
        PNS_data[National Society name], selected,
        PNS_data[Attribute], "EFs",
        PNS_data[Year], "2027"
    ),
    IF(_xlpm.sumValue = 0, "", _xlpm.sumValue)
)</f>
        <v/>
      </c>
      <c r="R107" s="32" t="str">
        <f>IF(SUM(FR_data[[#This Row],[Response - Disasters and Crises ]:[Enabling Functions ]])=0,"",SUM(FR_data[[#This Row],[Response - Disasters and Crises ]:[Enabling Functions ]]))</f>
        <v/>
      </c>
      <c r="S107" s="39"/>
      <c r="T107" s="30" t="str">
        <f>_xlfn.LET(
    _xlpm.sumValue, SUMIFS(
        PNS_data[Value],
        PNS_data[Country], FR_data[[#This Row],[Country]],
        PNS_data[National Society name], selected,
        PNS_data[Attribute], "SP1",
        PNS_data[Year], "2028"
    ),
    IF(_xlpm.sumValue = 0, "", _xlpm.sumValue)
)</f>
        <v/>
      </c>
      <c r="U107" s="31" t="str">
        <f>_xlfn.LET(
    _xlpm.sumValue, SUMIFS(
        PNS_data[Value],
        PNS_data[Country], FR_data[[#This Row],[Country]],
        PNS_data[National Society name], selected,
        PNS_data[Attribute], "SP2",
        PNS_data[Year], "2028"
    ),
    IF(_xlpm.sumValue = 0, "", _xlpm.sumValue)
)</f>
        <v/>
      </c>
      <c r="V107" s="31" t="str">
        <f>_xlfn.LET(
    _xlpm.sumValue, SUMIFS(
        PNS_data[Value],
        PNS_data[Country], FR_data[[#This Row],[Country]],
        PNS_data[National Society name], selected,
        PNS_data[Attribute], "SP3",
        PNS_data[Year], "2028"
    ),
    IF(_xlpm.sumValue = 0, "", _xlpm.sumValue)
)</f>
        <v/>
      </c>
      <c r="W107" s="31" t="str">
        <f>_xlfn.LET(
    _xlpm.sumValue, SUMIFS(
        PNS_data[Value],
        PNS_data[Country], FR_data[[#This Row],[Country]],
        PNS_data[National Society name], selected,
        PNS_data[Attribute], "SP4",
        PNS_data[Year], "2028"
    ),
    IF(_xlpm.sumValue = 0, "", _xlpm.sumValue)
)</f>
        <v/>
      </c>
      <c r="X107" s="31" t="str">
        <f>_xlfn.LET(
    _xlpm.sumValue, SUMIFS(
        PNS_data[Value],
        PNS_data[Country], FR_data[[#This Row],[Country]],
        PNS_data[National Society name], selected,
        PNS_data[Attribute], "SP5",
        PNS_data[Year], "2028"
    ),
    IF(_xlpm.sumValue = 0, "", _xlpm.sumValue)
)</f>
        <v/>
      </c>
      <c r="Y107" s="31" t="str">
        <f>_xlfn.LET(
    _xlpm.sumValue, SUMIFS(
        PNS_data[Value],
        PNS_data[Country], FR_data[[#This Row],[Country]],
        PNS_data[National Society name], selected,
        PNS_data[Attribute], "EFs",
        PNS_data[Year], "2028"
    ),
    IF(_xlpm.sumValue = 0, "", _xlpm.sumValue)
)</f>
        <v/>
      </c>
      <c r="Z107" s="32" t="str">
        <f>IF(SUM(FR_data[[#This Row],[Response - Disasters and Crises  ]:[Enabling Functions  ]])=0,"",SUM(FR_data[[#This Row],[Response - Disasters and Crises  ]:[Enabling Functions  ]]))</f>
        <v/>
      </c>
      <c r="AA107" s="41"/>
    </row>
    <row r="108" spans="1:27" x14ac:dyDescent="0.3">
      <c r="A108" s="11" t="s">
        <v>200</v>
      </c>
      <c r="B108" s="11" t="s">
        <v>98</v>
      </c>
      <c r="C108" s="11" t="s">
        <v>201</v>
      </c>
      <c r="D108" s="30" t="str">
        <f>_xlfn.LET(
    _xlpm.sumValue, SUMIFS(
        PNS_data[Value],
        PNS_data[Country], FR_data[[#This Row],[Country]],
        PNS_data[National Society name], selected,
        PNS_data[Attribute], "SP1",
        PNS_data[Year], "2026"
    ),
    IF(_xlpm.sumValue = 0, "", _xlpm.sumValue)
)</f>
        <v/>
      </c>
      <c r="E108" s="31" t="str">
        <f>_xlfn.LET(
    _xlpm.sumValue, SUMIFS(
        PNS_data[Value],
        PNS_data[Country], FR_data[[#This Row],[Country]],
        PNS_data[National Society name], selected,
        PNS_data[Attribute], "SP2",
        PNS_data[Year], "2026"
    ),
    IF(_xlpm.sumValue = 0, "", _xlpm.sumValue)
)</f>
        <v/>
      </c>
      <c r="F108" s="31" t="str">
        <f>_xlfn.LET(
    _xlpm.sumValue, SUMIFS(
        PNS_data[Value],
        PNS_data[Country], FR_data[[#This Row],[Country]],
        PNS_data[National Society name], selected,
        PNS_data[Attribute], "SP3",
        PNS_data[Year], "2026"
    ),
    IF(_xlpm.sumValue = 0, "", _xlpm.sumValue)
)</f>
        <v/>
      </c>
      <c r="G108" s="31" t="str">
        <f>_xlfn.LET(
    _xlpm.sumValue, SUMIFS(
        PNS_data[Value],
        PNS_data[Country], FR_data[[#This Row],[Country]],
        PNS_data[National Society name], selected,
        PNS_data[Attribute], "SP4",
        PNS_data[Year], "2026"
    ),
    IF(_xlpm.sumValue = 0, "", _xlpm.sumValue)
)</f>
        <v/>
      </c>
      <c r="H108" s="31" t="str">
        <f>_xlfn.LET(
    _xlpm.sumValue, SUMIFS(
        PNS_data[Value],
        PNS_data[Country], FR_data[[#This Row],[Country]],
        PNS_data[National Society name], selected,
        PNS_data[Attribute], "SP5",
        PNS_data[Year], "2026"
    ),
    IF(_xlpm.sumValue = 0, "", _xlpm.sumValue)
)</f>
        <v/>
      </c>
      <c r="I108" s="31" t="str">
        <f>_xlfn.LET(
    _xlpm.sumValue, SUMIFS(
        PNS_data[Value],
        PNS_data[Country], FR_data[[#This Row],[Country]],
        PNS_data[National Society name], selected,
        PNS_data[Attribute], "EFs",
        PNS_data[Year], "2026"
    ),
    IF(_xlpm.sumValue = 0, "", _xlpm.sumValue)
)</f>
        <v/>
      </c>
      <c r="J108" s="32" t="str">
        <f>IF(SUM(FR_data[[#This Row],[Response - Disasters and Crises]:[Enabling Functions]])=0,"",SUM(FR_data[[#This Row],[Response - Disasters and Crises]:[Enabling Functions]]))</f>
        <v/>
      </c>
      <c r="K108" s="39"/>
      <c r="L108" s="30" t="str">
        <f>_xlfn.LET(
    _xlpm.sumValue, SUMIFS(
        PNS_data[Value],
        PNS_data[Country], FR_data[[#This Row],[Country]],
        PNS_data[National Society name], selected,
        PNS_data[Attribute], "SP1",
        PNS_data[Year], "2027"
    ),
    IF(_xlpm.sumValue = 0, "", _xlpm.sumValue)
)</f>
        <v/>
      </c>
      <c r="M108" s="31" t="str">
        <f>_xlfn.LET(
    _xlpm.sumValue, SUMIFS(
        PNS_data[Value],
        PNS_data[Country], FR_data[[#This Row],[Country]],
        PNS_data[National Society name], selected,
        PNS_data[Attribute], "SP2",
        PNS_data[Year], "2027"
    ),
    IF(_xlpm.sumValue = 0, "", _xlpm.sumValue)
)</f>
        <v/>
      </c>
      <c r="N108" s="31" t="str">
        <f>_xlfn.LET(
    _xlpm.sumValue, SUMIFS(
        PNS_data[Value],
        PNS_data[Country], FR_data[[#This Row],[Country]],
        PNS_data[National Society name], selected,
        PNS_data[Attribute], "SP3",
        PNS_data[Year], "2027"
    ),
    IF(_xlpm.sumValue = 0, "", _xlpm.sumValue)
)</f>
        <v/>
      </c>
      <c r="O108" s="31" t="str">
        <f>_xlfn.LET(
    _xlpm.sumValue, SUMIFS(
        PNS_data[Value],
        PNS_data[Country], FR_data[[#This Row],[Country]],
        PNS_data[National Society name], selected,
        PNS_data[Attribute], "SP4",
        PNS_data[Year], "2027"
    ),
    IF(_xlpm.sumValue = 0, "", _xlpm.sumValue)
)</f>
        <v/>
      </c>
      <c r="P108" s="31" t="str">
        <f>_xlfn.LET(
    _xlpm.sumValue, SUMIFS(
        PNS_data[Value],
        PNS_data[Country], FR_data[[#This Row],[Country]],
        PNS_data[National Society name], selected,
        PNS_data[Attribute], "SP5",
        PNS_data[Year], "2027"
    ),
    IF(_xlpm.sumValue = 0, "", _xlpm.sumValue)
)</f>
        <v/>
      </c>
      <c r="Q108" s="31" t="str">
        <f>_xlfn.LET(
    _xlpm.sumValue, SUMIFS(
        PNS_data[Value],
        PNS_data[Country], FR_data[[#This Row],[Country]],
        PNS_data[National Society name], selected,
        PNS_data[Attribute], "EFs",
        PNS_data[Year], "2027"
    ),
    IF(_xlpm.sumValue = 0, "", _xlpm.sumValue)
)</f>
        <v/>
      </c>
      <c r="R108" s="32" t="str">
        <f>IF(SUM(FR_data[[#This Row],[Response - Disasters and Crises ]:[Enabling Functions ]])=0,"",SUM(FR_data[[#This Row],[Response - Disasters and Crises ]:[Enabling Functions ]]))</f>
        <v/>
      </c>
      <c r="S108" s="39"/>
      <c r="T108" s="30" t="str">
        <f>_xlfn.LET(
    _xlpm.sumValue, SUMIFS(
        PNS_data[Value],
        PNS_data[Country], FR_data[[#This Row],[Country]],
        PNS_data[National Society name], selected,
        PNS_data[Attribute], "SP1",
        PNS_data[Year], "2028"
    ),
    IF(_xlpm.sumValue = 0, "", _xlpm.sumValue)
)</f>
        <v/>
      </c>
      <c r="U108" s="31" t="str">
        <f>_xlfn.LET(
    _xlpm.sumValue, SUMIFS(
        PNS_data[Value],
        PNS_data[Country], FR_data[[#This Row],[Country]],
        PNS_data[National Society name], selected,
        PNS_data[Attribute], "SP2",
        PNS_data[Year], "2028"
    ),
    IF(_xlpm.sumValue = 0, "", _xlpm.sumValue)
)</f>
        <v/>
      </c>
      <c r="V108" s="31" t="str">
        <f>_xlfn.LET(
    _xlpm.sumValue, SUMIFS(
        PNS_data[Value],
        PNS_data[Country], FR_data[[#This Row],[Country]],
        PNS_data[National Society name], selected,
        PNS_data[Attribute], "SP3",
        PNS_data[Year], "2028"
    ),
    IF(_xlpm.sumValue = 0, "", _xlpm.sumValue)
)</f>
        <v/>
      </c>
      <c r="W108" s="31" t="str">
        <f>_xlfn.LET(
    _xlpm.sumValue, SUMIFS(
        PNS_data[Value],
        PNS_data[Country], FR_data[[#This Row],[Country]],
        PNS_data[National Society name], selected,
        PNS_data[Attribute], "SP4",
        PNS_data[Year], "2028"
    ),
    IF(_xlpm.sumValue = 0, "", _xlpm.sumValue)
)</f>
        <v/>
      </c>
      <c r="X108" s="31" t="str">
        <f>_xlfn.LET(
    _xlpm.sumValue, SUMIFS(
        PNS_data[Value],
        PNS_data[Country], FR_data[[#This Row],[Country]],
        PNS_data[National Society name], selected,
        PNS_data[Attribute], "SP5",
        PNS_data[Year], "2028"
    ),
    IF(_xlpm.sumValue = 0, "", _xlpm.sumValue)
)</f>
        <v/>
      </c>
      <c r="Y108" s="31" t="str">
        <f>_xlfn.LET(
    _xlpm.sumValue, SUMIFS(
        PNS_data[Value],
        PNS_data[Country], FR_data[[#This Row],[Country]],
        PNS_data[National Society name], selected,
        PNS_data[Attribute], "EFs",
        PNS_data[Year], "2028"
    ),
    IF(_xlpm.sumValue = 0, "", _xlpm.sumValue)
)</f>
        <v/>
      </c>
      <c r="Z108" s="32" t="str">
        <f>IF(SUM(FR_data[[#This Row],[Response - Disasters and Crises  ]:[Enabling Functions  ]])=0,"",SUM(FR_data[[#This Row],[Response - Disasters and Crises  ]:[Enabling Functions  ]]))</f>
        <v/>
      </c>
      <c r="AA108" s="41"/>
    </row>
    <row r="109" spans="1:27" x14ac:dyDescent="0.3">
      <c r="A109" s="11" t="s">
        <v>305</v>
      </c>
      <c r="B109" s="11" t="s">
        <v>98</v>
      </c>
      <c r="C109" s="11" t="s">
        <v>306</v>
      </c>
      <c r="D109" s="30" t="str">
        <f>_xlfn.LET(
    _xlpm.sumValue, SUMIFS(
        PNS_data[Value],
        PNS_data[Country], FR_data[[#This Row],[Country]],
        PNS_data[National Society name], selected,
        PNS_data[Attribute], "SP1",
        PNS_data[Year], "2026"
    ),
    IF(_xlpm.sumValue = 0, "", _xlpm.sumValue)
)</f>
        <v/>
      </c>
      <c r="E109" s="31" t="str">
        <f>_xlfn.LET(
    _xlpm.sumValue, SUMIFS(
        PNS_data[Value],
        PNS_data[Country], FR_data[[#This Row],[Country]],
        PNS_data[National Society name], selected,
        PNS_data[Attribute], "SP2",
        PNS_data[Year], "2026"
    ),
    IF(_xlpm.sumValue = 0, "", _xlpm.sumValue)
)</f>
        <v/>
      </c>
      <c r="F109" s="31" t="str">
        <f>_xlfn.LET(
    _xlpm.sumValue, SUMIFS(
        PNS_data[Value],
        PNS_data[Country], FR_data[[#This Row],[Country]],
        PNS_data[National Society name], selected,
        PNS_data[Attribute], "SP3",
        PNS_data[Year], "2026"
    ),
    IF(_xlpm.sumValue = 0, "", _xlpm.sumValue)
)</f>
        <v/>
      </c>
      <c r="G109" s="31" t="str">
        <f>_xlfn.LET(
    _xlpm.sumValue, SUMIFS(
        PNS_data[Value],
        PNS_data[Country], FR_data[[#This Row],[Country]],
        PNS_data[National Society name], selected,
        PNS_data[Attribute], "SP4",
        PNS_data[Year], "2026"
    ),
    IF(_xlpm.sumValue = 0, "", _xlpm.sumValue)
)</f>
        <v/>
      </c>
      <c r="H109" s="31" t="str">
        <f>_xlfn.LET(
    _xlpm.sumValue, SUMIFS(
        PNS_data[Value],
        PNS_data[Country], FR_data[[#This Row],[Country]],
        PNS_data[National Society name], selected,
        PNS_data[Attribute], "SP5",
        PNS_data[Year], "2026"
    ),
    IF(_xlpm.sumValue = 0, "", _xlpm.sumValue)
)</f>
        <v/>
      </c>
      <c r="I109" s="31" t="str">
        <f>_xlfn.LET(
    _xlpm.sumValue, SUMIFS(
        PNS_data[Value],
        PNS_data[Country], FR_data[[#This Row],[Country]],
        PNS_data[National Society name], selected,
        PNS_data[Attribute], "EFs",
        PNS_data[Year], "2026"
    ),
    IF(_xlpm.sumValue = 0, "", _xlpm.sumValue)
)</f>
        <v/>
      </c>
      <c r="J109" s="32" t="str">
        <f>IF(SUM(FR_data[[#This Row],[Response - Disasters and Crises]:[Enabling Functions]])=0,"",SUM(FR_data[[#This Row],[Response - Disasters and Crises]:[Enabling Functions]]))</f>
        <v/>
      </c>
      <c r="K109" s="39"/>
      <c r="L109" s="30" t="str">
        <f>_xlfn.LET(
    _xlpm.sumValue, SUMIFS(
        PNS_data[Value],
        PNS_data[Country], FR_data[[#This Row],[Country]],
        PNS_data[National Society name], selected,
        PNS_data[Attribute], "SP1",
        PNS_data[Year], "2027"
    ),
    IF(_xlpm.sumValue = 0, "", _xlpm.sumValue)
)</f>
        <v/>
      </c>
      <c r="M109" s="31" t="str">
        <f>_xlfn.LET(
    _xlpm.sumValue, SUMIFS(
        PNS_data[Value],
        PNS_data[Country], FR_data[[#This Row],[Country]],
        PNS_data[National Society name], selected,
        PNS_data[Attribute], "SP2",
        PNS_data[Year], "2027"
    ),
    IF(_xlpm.sumValue = 0, "", _xlpm.sumValue)
)</f>
        <v/>
      </c>
      <c r="N109" s="31" t="str">
        <f>_xlfn.LET(
    _xlpm.sumValue, SUMIFS(
        PNS_data[Value],
        PNS_data[Country], FR_data[[#This Row],[Country]],
        PNS_data[National Society name], selected,
        PNS_data[Attribute], "SP3",
        PNS_data[Year], "2027"
    ),
    IF(_xlpm.sumValue = 0, "", _xlpm.sumValue)
)</f>
        <v/>
      </c>
      <c r="O109" s="31" t="str">
        <f>_xlfn.LET(
    _xlpm.sumValue, SUMIFS(
        PNS_data[Value],
        PNS_data[Country], FR_data[[#This Row],[Country]],
        PNS_data[National Society name], selected,
        PNS_data[Attribute], "SP4",
        PNS_data[Year], "2027"
    ),
    IF(_xlpm.sumValue = 0, "", _xlpm.sumValue)
)</f>
        <v/>
      </c>
      <c r="P109" s="31" t="str">
        <f>_xlfn.LET(
    _xlpm.sumValue, SUMIFS(
        PNS_data[Value],
        PNS_data[Country], FR_data[[#This Row],[Country]],
        PNS_data[National Society name], selected,
        PNS_data[Attribute], "SP5",
        PNS_data[Year], "2027"
    ),
    IF(_xlpm.sumValue = 0, "", _xlpm.sumValue)
)</f>
        <v/>
      </c>
      <c r="Q109" s="31" t="str">
        <f>_xlfn.LET(
    _xlpm.sumValue, SUMIFS(
        PNS_data[Value],
        PNS_data[Country], FR_data[[#This Row],[Country]],
        PNS_data[National Society name], selected,
        PNS_data[Attribute], "EFs",
        PNS_data[Year], "2027"
    ),
    IF(_xlpm.sumValue = 0, "", _xlpm.sumValue)
)</f>
        <v/>
      </c>
      <c r="R109" s="32" t="str">
        <f>IF(SUM(FR_data[[#This Row],[Response - Disasters and Crises ]:[Enabling Functions ]])=0,"",SUM(FR_data[[#This Row],[Response - Disasters and Crises ]:[Enabling Functions ]]))</f>
        <v/>
      </c>
      <c r="S109" s="39"/>
      <c r="T109" s="30" t="str">
        <f>_xlfn.LET(
    _xlpm.sumValue, SUMIFS(
        PNS_data[Value],
        PNS_data[Country], FR_data[[#This Row],[Country]],
        PNS_data[National Society name], selected,
        PNS_data[Attribute], "SP1",
        PNS_data[Year], "2028"
    ),
    IF(_xlpm.sumValue = 0, "", _xlpm.sumValue)
)</f>
        <v/>
      </c>
      <c r="U109" s="31" t="str">
        <f>_xlfn.LET(
    _xlpm.sumValue, SUMIFS(
        PNS_data[Value],
        PNS_data[Country], FR_data[[#This Row],[Country]],
        PNS_data[National Society name], selected,
        PNS_data[Attribute], "SP2",
        PNS_data[Year], "2028"
    ),
    IF(_xlpm.sumValue = 0, "", _xlpm.sumValue)
)</f>
        <v/>
      </c>
      <c r="V109" s="31" t="str">
        <f>_xlfn.LET(
    _xlpm.sumValue, SUMIFS(
        PNS_data[Value],
        PNS_data[Country], FR_data[[#This Row],[Country]],
        PNS_data[National Society name], selected,
        PNS_data[Attribute], "SP3",
        PNS_data[Year], "2028"
    ),
    IF(_xlpm.sumValue = 0, "", _xlpm.sumValue)
)</f>
        <v/>
      </c>
      <c r="W109" s="31" t="str">
        <f>_xlfn.LET(
    _xlpm.sumValue, SUMIFS(
        PNS_data[Value],
        PNS_data[Country], FR_data[[#This Row],[Country]],
        PNS_data[National Society name], selected,
        PNS_data[Attribute], "SP4",
        PNS_data[Year], "2028"
    ),
    IF(_xlpm.sumValue = 0, "", _xlpm.sumValue)
)</f>
        <v/>
      </c>
      <c r="X109" s="31" t="str">
        <f>_xlfn.LET(
    _xlpm.sumValue, SUMIFS(
        PNS_data[Value],
        PNS_data[Country], FR_data[[#This Row],[Country]],
        PNS_data[National Society name], selected,
        PNS_data[Attribute], "SP5",
        PNS_data[Year], "2028"
    ),
    IF(_xlpm.sumValue = 0, "", _xlpm.sumValue)
)</f>
        <v/>
      </c>
      <c r="Y109" s="31" t="str">
        <f>_xlfn.LET(
    _xlpm.sumValue, SUMIFS(
        PNS_data[Value],
        PNS_data[Country], FR_data[[#This Row],[Country]],
        PNS_data[National Society name], selected,
        PNS_data[Attribute], "EFs",
        PNS_data[Year], "2028"
    ),
    IF(_xlpm.sumValue = 0, "", _xlpm.sumValue)
)</f>
        <v/>
      </c>
      <c r="Z109" s="32" t="str">
        <f>IF(SUM(FR_data[[#This Row],[Response - Disasters and Crises  ]:[Enabling Functions  ]])=0,"",SUM(FR_data[[#This Row],[Response - Disasters and Crises  ]:[Enabling Functions  ]]))</f>
        <v/>
      </c>
      <c r="AA109" s="41"/>
    </row>
    <row r="110" spans="1:27" x14ac:dyDescent="0.3">
      <c r="A110" s="11" t="s">
        <v>249</v>
      </c>
      <c r="B110" s="11" t="s">
        <v>98</v>
      </c>
      <c r="C110" s="11" t="s">
        <v>9</v>
      </c>
      <c r="D110" s="30" t="str">
        <f>_xlfn.LET(
    _xlpm.sumValue, SUMIFS(
        PNS_data[Value],
        PNS_data[Country], FR_data[[#This Row],[Country]],
        PNS_data[National Society name], selected,
        PNS_data[Attribute], "SP1",
        PNS_data[Year], "2026"
    ),
    IF(_xlpm.sumValue = 0, "", _xlpm.sumValue)
)</f>
        <v/>
      </c>
      <c r="E110" s="31" t="str">
        <f>_xlfn.LET(
    _xlpm.sumValue, SUMIFS(
        PNS_data[Value],
        PNS_data[Country], FR_data[[#This Row],[Country]],
        PNS_data[National Society name], selected,
        PNS_data[Attribute], "SP2",
        PNS_data[Year], "2026"
    ),
    IF(_xlpm.sumValue = 0, "", _xlpm.sumValue)
)</f>
        <v/>
      </c>
      <c r="F110" s="31" t="str">
        <f>_xlfn.LET(
    _xlpm.sumValue, SUMIFS(
        PNS_data[Value],
        PNS_data[Country], FR_data[[#This Row],[Country]],
        PNS_data[National Society name], selected,
        PNS_data[Attribute], "SP3",
        PNS_data[Year], "2026"
    ),
    IF(_xlpm.sumValue = 0, "", _xlpm.sumValue)
)</f>
        <v/>
      </c>
      <c r="G110" s="31" t="str">
        <f>_xlfn.LET(
    _xlpm.sumValue, SUMIFS(
        PNS_data[Value],
        PNS_data[Country], FR_data[[#This Row],[Country]],
        PNS_data[National Society name], selected,
        PNS_data[Attribute], "SP4",
        PNS_data[Year], "2026"
    ),
    IF(_xlpm.sumValue = 0, "", _xlpm.sumValue)
)</f>
        <v/>
      </c>
      <c r="H110" s="31" t="str">
        <f>_xlfn.LET(
    _xlpm.sumValue, SUMIFS(
        PNS_data[Value],
        PNS_data[Country], FR_data[[#This Row],[Country]],
        PNS_data[National Society name], selected,
        PNS_data[Attribute], "SP5",
        PNS_data[Year], "2026"
    ),
    IF(_xlpm.sumValue = 0, "", _xlpm.sumValue)
)</f>
        <v/>
      </c>
      <c r="I110" s="31" t="str">
        <f>_xlfn.LET(
    _xlpm.sumValue, SUMIFS(
        PNS_data[Value],
        PNS_data[Country], FR_data[[#This Row],[Country]],
        PNS_data[National Society name], selected,
        PNS_data[Attribute], "EFs",
        PNS_data[Year], "2026"
    ),
    IF(_xlpm.sumValue = 0, "", _xlpm.sumValue)
)</f>
        <v/>
      </c>
      <c r="J110" s="32" t="str">
        <f>IF(SUM(FR_data[[#This Row],[Response - Disasters and Crises]:[Enabling Functions]])=0,"",SUM(FR_data[[#This Row],[Response - Disasters and Crises]:[Enabling Functions]]))</f>
        <v/>
      </c>
      <c r="K110" s="39"/>
      <c r="L110" s="30" t="str">
        <f>_xlfn.LET(
    _xlpm.sumValue, SUMIFS(
        PNS_data[Value],
        PNS_data[Country], FR_data[[#This Row],[Country]],
        PNS_data[National Society name], selected,
        PNS_data[Attribute], "SP1",
        PNS_data[Year], "2027"
    ),
    IF(_xlpm.sumValue = 0, "", _xlpm.sumValue)
)</f>
        <v/>
      </c>
      <c r="M110" s="31" t="str">
        <f>_xlfn.LET(
    _xlpm.sumValue, SUMIFS(
        PNS_data[Value],
        PNS_data[Country], FR_data[[#This Row],[Country]],
        PNS_data[National Society name], selected,
        PNS_data[Attribute], "SP2",
        PNS_data[Year], "2027"
    ),
    IF(_xlpm.sumValue = 0, "", _xlpm.sumValue)
)</f>
        <v/>
      </c>
      <c r="N110" s="31" t="str">
        <f>_xlfn.LET(
    _xlpm.sumValue, SUMIFS(
        PNS_data[Value],
        PNS_data[Country], FR_data[[#This Row],[Country]],
        PNS_data[National Society name], selected,
        PNS_data[Attribute], "SP3",
        PNS_data[Year], "2027"
    ),
    IF(_xlpm.sumValue = 0, "", _xlpm.sumValue)
)</f>
        <v/>
      </c>
      <c r="O110" s="31" t="str">
        <f>_xlfn.LET(
    _xlpm.sumValue, SUMIFS(
        PNS_data[Value],
        PNS_data[Country], FR_data[[#This Row],[Country]],
        PNS_data[National Society name], selected,
        PNS_data[Attribute], "SP4",
        PNS_data[Year], "2027"
    ),
    IF(_xlpm.sumValue = 0, "", _xlpm.sumValue)
)</f>
        <v/>
      </c>
      <c r="P110" s="31" t="str">
        <f>_xlfn.LET(
    _xlpm.sumValue, SUMIFS(
        PNS_data[Value],
        PNS_data[Country], FR_data[[#This Row],[Country]],
        PNS_data[National Society name], selected,
        PNS_data[Attribute], "SP5",
        PNS_data[Year], "2027"
    ),
    IF(_xlpm.sumValue = 0, "", _xlpm.sumValue)
)</f>
        <v/>
      </c>
      <c r="Q110" s="31" t="str">
        <f>_xlfn.LET(
    _xlpm.sumValue, SUMIFS(
        PNS_data[Value],
        PNS_data[Country], FR_data[[#This Row],[Country]],
        PNS_data[National Society name], selected,
        PNS_data[Attribute], "EFs",
        PNS_data[Year], "2027"
    ),
    IF(_xlpm.sumValue = 0, "", _xlpm.sumValue)
)</f>
        <v/>
      </c>
      <c r="R110" s="32" t="str">
        <f>IF(SUM(FR_data[[#This Row],[Response - Disasters and Crises ]:[Enabling Functions ]])=0,"",SUM(FR_data[[#This Row],[Response - Disasters and Crises ]:[Enabling Functions ]]))</f>
        <v/>
      </c>
      <c r="S110" s="39"/>
      <c r="T110" s="30" t="str">
        <f>_xlfn.LET(
    _xlpm.sumValue, SUMIFS(
        PNS_data[Value],
        PNS_data[Country], FR_data[[#This Row],[Country]],
        PNS_data[National Society name], selected,
        PNS_data[Attribute], "SP1",
        PNS_data[Year], "2028"
    ),
    IF(_xlpm.sumValue = 0, "", _xlpm.sumValue)
)</f>
        <v/>
      </c>
      <c r="U110" s="31" t="str">
        <f>_xlfn.LET(
    _xlpm.sumValue, SUMIFS(
        PNS_data[Value],
        PNS_data[Country], FR_data[[#This Row],[Country]],
        PNS_data[National Society name], selected,
        PNS_data[Attribute], "SP2",
        PNS_data[Year], "2028"
    ),
    IF(_xlpm.sumValue = 0, "", _xlpm.sumValue)
)</f>
        <v/>
      </c>
      <c r="V110" s="31" t="str">
        <f>_xlfn.LET(
    _xlpm.sumValue, SUMIFS(
        PNS_data[Value],
        PNS_data[Country], FR_data[[#This Row],[Country]],
        PNS_data[National Society name], selected,
        PNS_data[Attribute], "SP3",
        PNS_data[Year], "2028"
    ),
    IF(_xlpm.sumValue = 0, "", _xlpm.sumValue)
)</f>
        <v/>
      </c>
      <c r="W110" s="31" t="str">
        <f>_xlfn.LET(
    _xlpm.sumValue, SUMIFS(
        PNS_data[Value],
        PNS_data[Country], FR_data[[#This Row],[Country]],
        PNS_data[National Society name], selected,
        PNS_data[Attribute], "SP4",
        PNS_data[Year], "2028"
    ),
    IF(_xlpm.sumValue = 0, "", _xlpm.sumValue)
)</f>
        <v/>
      </c>
      <c r="X110" s="31" t="str">
        <f>_xlfn.LET(
    _xlpm.sumValue, SUMIFS(
        PNS_data[Value],
        PNS_data[Country], FR_data[[#This Row],[Country]],
        PNS_data[National Society name], selected,
        PNS_data[Attribute], "SP5",
        PNS_data[Year], "2028"
    ),
    IF(_xlpm.sumValue = 0, "", _xlpm.sumValue)
)</f>
        <v/>
      </c>
      <c r="Y110" s="31" t="str">
        <f>_xlfn.LET(
    _xlpm.sumValue, SUMIFS(
        PNS_data[Value],
        PNS_data[Country], FR_data[[#This Row],[Country]],
        PNS_data[National Society name], selected,
        PNS_data[Attribute], "EFs",
        PNS_data[Year], "2028"
    ),
    IF(_xlpm.sumValue = 0, "", _xlpm.sumValue)
)</f>
        <v/>
      </c>
      <c r="Z110" s="32" t="str">
        <f>IF(SUM(FR_data[[#This Row],[Response - Disasters and Crises  ]:[Enabling Functions  ]])=0,"",SUM(FR_data[[#This Row],[Response - Disasters and Crises  ]:[Enabling Functions  ]]))</f>
        <v/>
      </c>
      <c r="AA110" s="41"/>
    </row>
    <row r="111" spans="1:27" x14ac:dyDescent="0.3">
      <c r="A111" s="11" t="s">
        <v>270</v>
      </c>
      <c r="B111" s="11" t="s">
        <v>98</v>
      </c>
      <c r="C111" s="11" t="s">
        <v>47</v>
      </c>
      <c r="D111" s="30" t="str">
        <f>_xlfn.LET(
    _xlpm.sumValue, SUMIFS(
        PNS_data[Value],
        PNS_data[Country], FR_data[[#This Row],[Country]],
        PNS_data[National Society name], selected,
        PNS_data[Attribute], "SP1",
        PNS_data[Year], "2026"
    ),
    IF(_xlpm.sumValue = 0, "", _xlpm.sumValue)
)</f>
        <v/>
      </c>
      <c r="E111" s="31" t="str">
        <f>_xlfn.LET(
    _xlpm.sumValue, SUMIFS(
        PNS_data[Value],
        PNS_data[Country], FR_data[[#This Row],[Country]],
        PNS_data[National Society name], selected,
        PNS_data[Attribute], "SP2",
        PNS_data[Year], "2026"
    ),
    IF(_xlpm.sumValue = 0, "", _xlpm.sumValue)
)</f>
        <v/>
      </c>
      <c r="F111" s="31" t="str">
        <f>_xlfn.LET(
    _xlpm.sumValue, SUMIFS(
        PNS_data[Value],
        PNS_data[Country], FR_data[[#This Row],[Country]],
        PNS_data[National Society name], selected,
        PNS_data[Attribute], "SP3",
        PNS_data[Year], "2026"
    ),
    IF(_xlpm.sumValue = 0, "", _xlpm.sumValue)
)</f>
        <v/>
      </c>
      <c r="G111" s="31" t="str">
        <f>_xlfn.LET(
    _xlpm.sumValue, SUMIFS(
        PNS_data[Value],
        PNS_data[Country], FR_data[[#This Row],[Country]],
        PNS_data[National Society name], selected,
        PNS_data[Attribute], "SP4",
        PNS_data[Year], "2026"
    ),
    IF(_xlpm.sumValue = 0, "", _xlpm.sumValue)
)</f>
        <v/>
      </c>
      <c r="H111" s="31" t="str">
        <f>_xlfn.LET(
    _xlpm.sumValue, SUMIFS(
        PNS_data[Value],
        PNS_data[Country], FR_data[[#This Row],[Country]],
        PNS_data[National Society name], selected,
        PNS_data[Attribute], "SP5",
        PNS_data[Year], "2026"
    ),
    IF(_xlpm.sumValue = 0, "", _xlpm.sumValue)
)</f>
        <v/>
      </c>
      <c r="I111" s="31" t="str">
        <f>_xlfn.LET(
    _xlpm.sumValue, SUMIFS(
        PNS_data[Value],
        PNS_data[Country], FR_data[[#This Row],[Country]],
        PNS_data[National Society name], selected,
        PNS_data[Attribute], "EFs",
        PNS_data[Year], "2026"
    ),
    IF(_xlpm.sumValue = 0, "", _xlpm.sumValue)
)</f>
        <v/>
      </c>
      <c r="J111" s="32" t="str">
        <f>IF(SUM(FR_data[[#This Row],[Response - Disasters and Crises]:[Enabling Functions]])=0,"",SUM(FR_data[[#This Row],[Response - Disasters and Crises]:[Enabling Functions]]))</f>
        <v/>
      </c>
      <c r="K111" s="39"/>
      <c r="L111" s="30" t="str">
        <f>_xlfn.LET(
    _xlpm.sumValue, SUMIFS(
        PNS_data[Value],
        PNS_data[Country], FR_data[[#This Row],[Country]],
        PNS_data[National Society name], selected,
        PNS_data[Attribute], "SP1",
        PNS_data[Year], "2027"
    ),
    IF(_xlpm.sumValue = 0, "", _xlpm.sumValue)
)</f>
        <v/>
      </c>
      <c r="M111" s="31" t="str">
        <f>_xlfn.LET(
    _xlpm.sumValue, SUMIFS(
        PNS_data[Value],
        PNS_data[Country], FR_data[[#This Row],[Country]],
        PNS_data[National Society name], selected,
        PNS_data[Attribute], "SP2",
        PNS_data[Year], "2027"
    ),
    IF(_xlpm.sumValue = 0, "", _xlpm.sumValue)
)</f>
        <v/>
      </c>
      <c r="N111" s="31" t="str">
        <f>_xlfn.LET(
    _xlpm.sumValue, SUMIFS(
        PNS_data[Value],
        PNS_data[Country], FR_data[[#This Row],[Country]],
        PNS_data[National Society name], selected,
        PNS_data[Attribute], "SP3",
        PNS_data[Year], "2027"
    ),
    IF(_xlpm.sumValue = 0, "", _xlpm.sumValue)
)</f>
        <v/>
      </c>
      <c r="O111" s="31" t="str">
        <f>_xlfn.LET(
    _xlpm.sumValue, SUMIFS(
        PNS_data[Value],
        PNS_data[Country], FR_data[[#This Row],[Country]],
        PNS_data[National Society name], selected,
        PNS_data[Attribute], "SP4",
        PNS_data[Year], "2027"
    ),
    IF(_xlpm.sumValue = 0, "", _xlpm.sumValue)
)</f>
        <v/>
      </c>
      <c r="P111" s="31" t="str">
        <f>_xlfn.LET(
    _xlpm.sumValue, SUMIFS(
        PNS_data[Value],
        PNS_data[Country], FR_data[[#This Row],[Country]],
        PNS_data[National Society name], selected,
        PNS_data[Attribute], "SP5",
        PNS_data[Year], "2027"
    ),
    IF(_xlpm.sumValue = 0, "", _xlpm.sumValue)
)</f>
        <v/>
      </c>
      <c r="Q111" s="31" t="str">
        <f>_xlfn.LET(
    _xlpm.sumValue, SUMIFS(
        PNS_data[Value],
        PNS_data[Country], FR_data[[#This Row],[Country]],
        PNS_data[National Society name], selected,
        PNS_data[Attribute], "EFs",
        PNS_data[Year], "2027"
    ),
    IF(_xlpm.sumValue = 0, "", _xlpm.sumValue)
)</f>
        <v/>
      </c>
      <c r="R111" s="32" t="str">
        <f>IF(SUM(FR_data[[#This Row],[Response - Disasters and Crises ]:[Enabling Functions ]])=0,"",SUM(FR_data[[#This Row],[Response - Disasters and Crises ]:[Enabling Functions ]]))</f>
        <v/>
      </c>
      <c r="S111" s="39"/>
      <c r="T111" s="30" t="str">
        <f>_xlfn.LET(
    _xlpm.sumValue, SUMIFS(
        PNS_data[Value],
        PNS_data[Country], FR_data[[#This Row],[Country]],
        PNS_data[National Society name], selected,
        PNS_data[Attribute], "SP1",
        PNS_data[Year], "2028"
    ),
    IF(_xlpm.sumValue = 0, "", _xlpm.sumValue)
)</f>
        <v/>
      </c>
      <c r="U111" s="31" t="str">
        <f>_xlfn.LET(
    _xlpm.sumValue, SUMIFS(
        PNS_data[Value],
        PNS_data[Country], FR_data[[#This Row],[Country]],
        PNS_data[National Society name], selected,
        PNS_data[Attribute], "SP2",
        PNS_data[Year], "2028"
    ),
    IF(_xlpm.sumValue = 0, "", _xlpm.sumValue)
)</f>
        <v/>
      </c>
      <c r="V111" s="31" t="str">
        <f>_xlfn.LET(
    _xlpm.sumValue, SUMIFS(
        PNS_data[Value],
        PNS_data[Country], FR_data[[#This Row],[Country]],
        PNS_data[National Society name], selected,
        PNS_data[Attribute], "SP3",
        PNS_data[Year], "2028"
    ),
    IF(_xlpm.sumValue = 0, "", _xlpm.sumValue)
)</f>
        <v/>
      </c>
      <c r="W111" s="31" t="str">
        <f>_xlfn.LET(
    _xlpm.sumValue, SUMIFS(
        PNS_data[Value],
        PNS_data[Country], FR_data[[#This Row],[Country]],
        PNS_data[National Society name], selected,
        PNS_data[Attribute], "SP4",
        PNS_data[Year], "2028"
    ),
    IF(_xlpm.sumValue = 0, "", _xlpm.sumValue)
)</f>
        <v/>
      </c>
      <c r="X111" s="31" t="str">
        <f>_xlfn.LET(
    _xlpm.sumValue, SUMIFS(
        PNS_data[Value],
        PNS_data[Country], FR_data[[#This Row],[Country]],
        PNS_data[National Society name], selected,
        PNS_data[Attribute], "SP5",
        PNS_data[Year], "2028"
    ),
    IF(_xlpm.sumValue = 0, "", _xlpm.sumValue)
)</f>
        <v/>
      </c>
      <c r="Y111" s="31" t="str">
        <f>_xlfn.LET(
    _xlpm.sumValue, SUMIFS(
        PNS_data[Value],
        PNS_data[Country], FR_data[[#This Row],[Country]],
        PNS_data[National Society name], selected,
        PNS_data[Attribute], "EFs",
        PNS_data[Year], "2028"
    ),
    IF(_xlpm.sumValue = 0, "", _xlpm.sumValue)
)</f>
        <v/>
      </c>
      <c r="Z111" s="32" t="str">
        <f>IF(SUM(FR_data[[#This Row],[Response - Disasters and Crises  ]:[Enabling Functions  ]])=0,"",SUM(FR_data[[#This Row],[Response - Disasters and Crises  ]:[Enabling Functions  ]]))</f>
        <v/>
      </c>
      <c r="AA111" s="41"/>
    </row>
    <row r="112" spans="1:27" x14ac:dyDescent="0.3">
      <c r="A112" s="11" t="s">
        <v>419</v>
      </c>
      <c r="B112" s="11" t="s">
        <v>98</v>
      </c>
      <c r="C112" s="11" t="s">
        <v>420</v>
      </c>
      <c r="D112" s="30" t="str">
        <f>_xlfn.LET(
    _xlpm.sumValue, SUMIFS(
        PNS_data[Value],
        PNS_data[Country], FR_data[[#This Row],[Country]],
        PNS_data[National Society name], selected,
        PNS_data[Attribute], "SP1",
        PNS_data[Year], "2026"
    ),
    IF(_xlpm.sumValue = 0, "", _xlpm.sumValue)
)</f>
        <v/>
      </c>
      <c r="E112" s="31" t="str">
        <f>_xlfn.LET(
    _xlpm.sumValue, SUMIFS(
        PNS_data[Value],
        PNS_data[Country], FR_data[[#This Row],[Country]],
        PNS_data[National Society name], selected,
        PNS_data[Attribute], "SP2",
        PNS_data[Year], "2026"
    ),
    IF(_xlpm.sumValue = 0, "", _xlpm.sumValue)
)</f>
        <v/>
      </c>
      <c r="F112" s="31" t="str">
        <f>_xlfn.LET(
    _xlpm.sumValue, SUMIFS(
        PNS_data[Value],
        PNS_data[Country], FR_data[[#This Row],[Country]],
        PNS_data[National Society name], selected,
        PNS_data[Attribute], "SP3",
        PNS_data[Year], "2026"
    ),
    IF(_xlpm.sumValue = 0, "", _xlpm.sumValue)
)</f>
        <v/>
      </c>
      <c r="G112" s="31" t="str">
        <f>_xlfn.LET(
    _xlpm.sumValue, SUMIFS(
        PNS_data[Value],
        PNS_data[Country], FR_data[[#This Row],[Country]],
        PNS_data[National Society name], selected,
        PNS_data[Attribute], "SP4",
        PNS_data[Year], "2026"
    ),
    IF(_xlpm.sumValue = 0, "", _xlpm.sumValue)
)</f>
        <v/>
      </c>
      <c r="H112" s="31" t="str">
        <f>_xlfn.LET(
    _xlpm.sumValue, SUMIFS(
        PNS_data[Value],
        PNS_data[Country], FR_data[[#This Row],[Country]],
        PNS_data[National Society name], selected,
        PNS_data[Attribute], "SP5",
        PNS_data[Year], "2026"
    ),
    IF(_xlpm.sumValue = 0, "", _xlpm.sumValue)
)</f>
        <v/>
      </c>
      <c r="I112" s="31" t="str">
        <f>_xlfn.LET(
    _xlpm.sumValue, SUMIFS(
        PNS_data[Value],
        PNS_data[Country], FR_data[[#This Row],[Country]],
        PNS_data[National Society name], selected,
        PNS_data[Attribute], "EFs",
        PNS_data[Year], "2026"
    ),
    IF(_xlpm.sumValue = 0, "", _xlpm.sumValue)
)</f>
        <v/>
      </c>
      <c r="J112" s="32" t="str">
        <f>IF(SUM(FR_data[[#This Row],[Response - Disasters and Crises]:[Enabling Functions]])=0,"",SUM(FR_data[[#This Row],[Response - Disasters and Crises]:[Enabling Functions]]))</f>
        <v/>
      </c>
      <c r="K112" s="39"/>
      <c r="L112" s="30" t="str">
        <f>_xlfn.LET(
    _xlpm.sumValue, SUMIFS(
        PNS_data[Value],
        PNS_data[Country], FR_data[[#This Row],[Country]],
        PNS_data[National Society name], selected,
        PNS_data[Attribute], "SP1",
        PNS_data[Year], "2027"
    ),
    IF(_xlpm.sumValue = 0, "", _xlpm.sumValue)
)</f>
        <v/>
      </c>
      <c r="M112" s="31" t="str">
        <f>_xlfn.LET(
    _xlpm.sumValue, SUMIFS(
        PNS_data[Value],
        PNS_data[Country], FR_data[[#This Row],[Country]],
        PNS_data[National Society name], selected,
        PNS_data[Attribute], "SP2",
        PNS_data[Year], "2027"
    ),
    IF(_xlpm.sumValue = 0, "", _xlpm.sumValue)
)</f>
        <v/>
      </c>
      <c r="N112" s="31" t="str">
        <f>_xlfn.LET(
    _xlpm.sumValue, SUMIFS(
        PNS_data[Value],
        PNS_data[Country], FR_data[[#This Row],[Country]],
        PNS_data[National Society name], selected,
        PNS_data[Attribute], "SP3",
        PNS_data[Year], "2027"
    ),
    IF(_xlpm.sumValue = 0, "", _xlpm.sumValue)
)</f>
        <v/>
      </c>
      <c r="O112" s="31" t="str">
        <f>_xlfn.LET(
    _xlpm.sumValue, SUMIFS(
        PNS_data[Value],
        PNS_data[Country], FR_data[[#This Row],[Country]],
        PNS_data[National Society name], selected,
        PNS_data[Attribute], "SP4",
        PNS_data[Year], "2027"
    ),
    IF(_xlpm.sumValue = 0, "", _xlpm.sumValue)
)</f>
        <v/>
      </c>
      <c r="P112" s="31" t="str">
        <f>_xlfn.LET(
    _xlpm.sumValue, SUMIFS(
        PNS_data[Value],
        PNS_data[Country], FR_data[[#This Row],[Country]],
        PNS_data[National Society name], selected,
        PNS_data[Attribute], "SP5",
        PNS_data[Year], "2027"
    ),
    IF(_xlpm.sumValue = 0, "", _xlpm.sumValue)
)</f>
        <v/>
      </c>
      <c r="Q112" s="31" t="str">
        <f>_xlfn.LET(
    _xlpm.sumValue, SUMIFS(
        PNS_data[Value],
        PNS_data[Country], FR_data[[#This Row],[Country]],
        PNS_data[National Society name], selected,
        PNS_data[Attribute], "EFs",
        PNS_data[Year], "2027"
    ),
    IF(_xlpm.sumValue = 0, "", _xlpm.sumValue)
)</f>
        <v/>
      </c>
      <c r="R112" s="32" t="str">
        <f>IF(SUM(FR_data[[#This Row],[Response - Disasters and Crises ]:[Enabling Functions ]])=0,"",SUM(FR_data[[#This Row],[Response - Disasters and Crises ]:[Enabling Functions ]]))</f>
        <v/>
      </c>
      <c r="S112" s="39"/>
      <c r="T112" s="30" t="str">
        <f>_xlfn.LET(
    _xlpm.sumValue, SUMIFS(
        PNS_data[Value],
        PNS_data[Country], FR_data[[#This Row],[Country]],
        PNS_data[National Society name], selected,
        PNS_data[Attribute], "SP1",
        PNS_data[Year], "2028"
    ),
    IF(_xlpm.sumValue = 0, "", _xlpm.sumValue)
)</f>
        <v/>
      </c>
      <c r="U112" s="31" t="str">
        <f>_xlfn.LET(
    _xlpm.sumValue, SUMIFS(
        PNS_data[Value],
        PNS_data[Country], FR_data[[#This Row],[Country]],
        PNS_data[National Society name], selected,
        PNS_data[Attribute], "SP2",
        PNS_data[Year], "2028"
    ),
    IF(_xlpm.sumValue = 0, "", _xlpm.sumValue)
)</f>
        <v/>
      </c>
      <c r="V112" s="31" t="str">
        <f>_xlfn.LET(
    _xlpm.sumValue, SUMIFS(
        PNS_data[Value],
        PNS_data[Country], FR_data[[#This Row],[Country]],
        PNS_data[National Society name], selected,
        PNS_data[Attribute], "SP3",
        PNS_data[Year], "2028"
    ),
    IF(_xlpm.sumValue = 0, "", _xlpm.sumValue)
)</f>
        <v/>
      </c>
      <c r="W112" s="31" t="str">
        <f>_xlfn.LET(
    _xlpm.sumValue, SUMIFS(
        PNS_data[Value],
        PNS_data[Country], FR_data[[#This Row],[Country]],
        PNS_data[National Society name], selected,
        PNS_data[Attribute], "SP4",
        PNS_data[Year], "2028"
    ),
    IF(_xlpm.sumValue = 0, "", _xlpm.sumValue)
)</f>
        <v/>
      </c>
      <c r="X112" s="31" t="str">
        <f>_xlfn.LET(
    _xlpm.sumValue, SUMIFS(
        PNS_data[Value],
        PNS_data[Country], FR_data[[#This Row],[Country]],
        PNS_data[National Society name], selected,
        PNS_data[Attribute], "SP5",
        PNS_data[Year], "2028"
    ),
    IF(_xlpm.sumValue = 0, "", _xlpm.sumValue)
)</f>
        <v/>
      </c>
      <c r="Y112" s="31" t="str">
        <f>_xlfn.LET(
    _xlpm.sumValue, SUMIFS(
        PNS_data[Value],
        PNS_data[Country], FR_data[[#This Row],[Country]],
        PNS_data[National Society name], selected,
        PNS_data[Attribute], "EFs",
        PNS_data[Year], "2028"
    ),
    IF(_xlpm.sumValue = 0, "", _xlpm.sumValue)
)</f>
        <v/>
      </c>
      <c r="Z112" s="32" t="str">
        <f>IF(SUM(FR_data[[#This Row],[Response - Disasters and Crises  ]:[Enabling Functions  ]])=0,"",SUM(FR_data[[#This Row],[Response - Disasters and Crises  ]:[Enabling Functions  ]]))</f>
        <v/>
      </c>
      <c r="AA112" s="41"/>
    </row>
    <row r="113" spans="1:27" x14ac:dyDescent="0.3">
      <c r="A113" s="11" t="s">
        <v>281</v>
      </c>
      <c r="B113" s="11" t="s">
        <v>98</v>
      </c>
      <c r="C113" s="11" t="s">
        <v>282</v>
      </c>
      <c r="D113" s="30" t="str">
        <f>_xlfn.LET(
    _xlpm.sumValue, SUMIFS(
        PNS_data[Value],
        PNS_data[Country], FR_data[[#This Row],[Country]],
        PNS_data[National Society name], selected,
        PNS_data[Attribute], "SP1",
        PNS_data[Year], "2026"
    ),
    IF(_xlpm.sumValue = 0, "", _xlpm.sumValue)
)</f>
        <v/>
      </c>
      <c r="E113" s="31" t="str">
        <f>_xlfn.LET(
    _xlpm.sumValue, SUMIFS(
        PNS_data[Value],
        PNS_data[Country], FR_data[[#This Row],[Country]],
        PNS_data[National Society name], selected,
        PNS_data[Attribute], "SP2",
        PNS_data[Year], "2026"
    ),
    IF(_xlpm.sumValue = 0, "", _xlpm.sumValue)
)</f>
        <v/>
      </c>
      <c r="F113" s="31" t="str">
        <f>_xlfn.LET(
    _xlpm.sumValue, SUMIFS(
        PNS_data[Value],
        PNS_data[Country], FR_data[[#This Row],[Country]],
        PNS_data[National Society name], selected,
        PNS_data[Attribute], "SP3",
        PNS_data[Year], "2026"
    ),
    IF(_xlpm.sumValue = 0, "", _xlpm.sumValue)
)</f>
        <v/>
      </c>
      <c r="G113" s="31" t="str">
        <f>_xlfn.LET(
    _xlpm.sumValue, SUMIFS(
        PNS_data[Value],
        PNS_data[Country], FR_data[[#This Row],[Country]],
        PNS_data[National Society name], selected,
        PNS_data[Attribute], "SP4",
        PNS_data[Year], "2026"
    ),
    IF(_xlpm.sumValue = 0, "", _xlpm.sumValue)
)</f>
        <v/>
      </c>
      <c r="H113" s="31" t="str">
        <f>_xlfn.LET(
    _xlpm.sumValue, SUMIFS(
        PNS_data[Value],
        PNS_data[Country], FR_data[[#This Row],[Country]],
        PNS_data[National Society name], selected,
        PNS_data[Attribute], "SP5",
        PNS_data[Year], "2026"
    ),
    IF(_xlpm.sumValue = 0, "", _xlpm.sumValue)
)</f>
        <v/>
      </c>
      <c r="I113" s="31" t="str">
        <f>_xlfn.LET(
    _xlpm.sumValue, SUMIFS(
        PNS_data[Value],
        PNS_data[Country], FR_data[[#This Row],[Country]],
        PNS_data[National Society name], selected,
        PNS_data[Attribute], "EFs",
        PNS_data[Year], "2026"
    ),
    IF(_xlpm.sumValue = 0, "", _xlpm.sumValue)
)</f>
        <v/>
      </c>
      <c r="J113" s="32" t="str">
        <f>IF(SUM(FR_data[[#This Row],[Response - Disasters and Crises]:[Enabling Functions]])=0,"",SUM(FR_data[[#This Row],[Response - Disasters and Crises]:[Enabling Functions]]))</f>
        <v/>
      </c>
      <c r="K113" s="39"/>
      <c r="L113" s="30" t="str">
        <f>_xlfn.LET(
    _xlpm.sumValue, SUMIFS(
        PNS_data[Value],
        PNS_data[Country], FR_data[[#This Row],[Country]],
        PNS_data[National Society name], selected,
        PNS_data[Attribute], "SP1",
        PNS_data[Year], "2027"
    ),
    IF(_xlpm.sumValue = 0, "", _xlpm.sumValue)
)</f>
        <v/>
      </c>
      <c r="M113" s="31" t="str">
        <f>_xlfn.LET(
    _xlpm.sumValue, SUMIFS(
        PNS_data[Value],
        PNS_data[Country], FR_data[[#This Row],[Country]],
        PNS_data[National Society name], selected,
        PNS_data[Attribute], "SP2",
        PNS_data[Year], "2027"
    ),
    IF(_xlpm.sumValue = 0, "", _xlpm.sumValue)
)</f>
        <v/>
      </c>
      <c r="N113" s="31" t="str">
        <f>_xlfn.LET(
    _xlpm.sumValue, SUMIFS(
        PNS_data[Value],
        PNS_data[Country], FR_data[[#This Row],[Country]],
        PNS_data[National Society name], selected,
        PNS_data[Attribute], "SP3",
        PNS_data[Year], "2027"
    ),
    IF(_xlpm.sumValue = 0, "", _xlpm.sumValue)
)</f>
        <v/>
      </c>
      <c r="O113" s="31" t="str">
        <f>_xlfn.LET(
    _xlpm.sumValue, SUMIFS(
        PNS_data[Value],
        PNS_data[Country], FR_data[[#This Row],[Country]],
        PNS_data[National Society name], selected,
        PNS_data[Attribute], "SP4",
        PNS_data[Year], "2027"
    ),
    IF(_xlpm.sumValue = 0, "", _xlpm.sumValue)
)</f>
        <v/>
      </c>
      <c r="P113" s="31" t="str">
        <f>_xlfn.LET(
    _xlpm.sumValue, SUMIFS(
        PNS_data[Value],
        PNS_data[Country], FR_data[[#This Row],[Country]],
        PNS_data[National Society name], selected,
        PNS_data[Attribute], "SP5",
        PNS_data[Year], "2027"
    ),
    IF(_xlpm.sumValue = 0, "", _xlpm.sumValue)
)</f>
        <v/>
      </c>
      <c r="Q113" s="31" t="str">
        <f>_xlfn.LET(
    _xlpm.sumValue, SUMIFS(
        PNS_data[Value],
        PNS_data[Country], FR_data[[#This Row],[Country]],
        PNS_data[National Society name], selected,
        PNS_data[Attribute], "EFs",
        PNS_data[Year], "2027"
    ),
    IF(_xlpm.sumValue = 0, "", _xlpm.sumValue)
)</f>
        <v/>
      </c>
      <c r="R113" s="32" t="str">
        <f>IF(SUM(FR_data[[#This Row],[Response - Disasters and Crises ]:[Enabling Functions ]])=0,"",SUM(FR_data[[#This Row],[Response - Disasters and Crises ]:[Enabling Functions ]]))</f>
        <v/>
      </c>
      <c r="S113" s="39"/>
      <c r="T113" s="30" t="str">
        <f>_xlfn.LET(
    _xlpm.sumValue, SUMIFS(
        PNS_data[Value],
        PNS_data[Country], FR_data[[#This Row],[Country]],
        PNS_data[National Society name], selected,
        PNS_data[Attribute], "SP1",
        PNS_data[Year], "2028"
    ),
    IF(_xlpm.sumValue = 0, "", _xlpm.sumValue)
)</f>
        <v/>
      </c>
      <c r="U113" s="31" t="str">
        <f>_xlfn.LET(
    _xlpm.sumValue, SUMIFS(
        PNS_data[Value],
        PNS_data[Country], FR_data[[#This Row],[Country]],
        PNS_data[National Society name], selected,
        PNS_data[Attribute], "SP2",
        PNS_data[Year], "2028"
    ),
    IF(_xlpm.sumValue = 0, "", _xlpm.sumValue)
)</f>
        <v/>
      </c>
      <c r="V113" s="31" t="str">
        <f>_xlfn.LET(
    _xlpm.sumValue, SUMIFS(
        PNS_data[Value],
        PNS_data[Country], FR_data[[#This Row],[Country]],
        PNS_data[National Society name], selected,
        PNS_data[Attribute], "SP3",
        PNS_data[Year], "2028"
    ),
    IF(_xlpm.sumValue = 0, "", _xlpm.sumValue)
)</f>
        <v/>
      </c>
      <c r="W113" s="31" t="str">
        <f>_xlfn.LET(
    _xlpm.sumValue, SUMIFS(
        PNS_data[Value],
        PNS_data[Country], FR_data[[#This Row],[Country]],
        PNS_data[National Society name], selected,
        PNS_data[Attribute], "SP4",
        PNS_data[Year], "2028"
    ),
    IF(_xlpm.sumValue = 0, "", _xlpm.sumValue)
)</f>
        <v/>
      </c>
      <c r="X113" s="31" t="str">
        <f>_xlfn.LET(
    _xlpm.sumValue, SUMIFS(
        PNS_data[Value],
        PNS_data[Country], FR_data[[#This Row],[Country]],
        PNS_data[National Society name], selected,
        PNS_data[Attribute], "SP5",
        PNS_data[Year], "2028"
    ),
    IF(_xlpm.sumValue = 0, "", _xlpm.sumValue)
)</f>
        <v/>
      </c>
      <c r="Y113" s="31" t="str">
        <f>_xlfn.LET(
    _xlpm.sumValue, SUMIFS(
        PNS_data[Value],
        PNS_data[Country], FR_data[[#This Row],[Country]],
        PNS_data[National Society name], selected,
        PNS_data[Attribute], "EFs",
        PNS_data[Year], "2028"
    ),
    IF(_xlpm.sumValue = 0, "", _xlpm.sumValue)
)</f>
        <v/>
      </c>
      <c r="Z113" s="32" t="str">
        <f>IF(SUM(FR_data[[#This Row],[Response - Disasters and Crises  ]:[Enabling Functions  ]])=0,"",SUM(FR_data[[#This Row],[Response - Disasters and Crises  ]:[Enabling Functions  ]]))</f>
        <v/>
      </c>
      <c r="AA113" s="41"/>
    </row>
    <row r="114" spans="1:27" x14ac:dyDescent="0.3">
      <c r="A114" s="11" t="s">
        <v>243</v>
      </c>
      <c r="B114" s="11" t="s">
        <v>98</v>
      </c>
      <c r="C114" s="11" t="s">
        <v>244</v>
      </c>
      <c r="D114" s="30" t="str">
        <f>_xlfn.LET(
    _xlpm.sumValue, SUMIFS(
        PNS_data[Value],
        PNS_data[Country], FR_data[[#This Row],[Country]],
        PNS_data[National Society name], selected,
        PNS_data[Attribute], "SP1",
        PNS_data[Year], "2026"
    ),
    IF(_xlpm.sumValue = 0, "", _xlpm.sumValue)
)</f>
        <v/>
      </c>
      <c r="E114" s="31" t="str">
        <f>_xlfn.LET(
    _xlpm.sumValue, SUMIFS(
        PNS_data[Value],
        PNS_data[Country], FR_data[[#This Row],[Country]],
        PNS_data[National Society name], selected,
        PNS_data[Attribute], "SP2",
        PNS_data[Year], "2026"
    ),
    IF(_xlpm.sumValue = 0, "", _xlpm.sumValue)
)</f>
        <v/>
      </c>
      <c r="F114" s="31" t="str">
        <f>_xlfn.LET(
    _xlpm.sumValue, SUMIFS(
        PNS_data[Value],
        PNS_data[Country], FR_data[[#This Row],[Country]],
        PNS_data[National Society name], selected,
        PNS_data[Attribute], "SP3",
        PNS_data[Year], "2026"
    ),
    IF(_xlpm.sumValue = 0, "", _xlpm.sumValue)
)</f>
        <v/>
      </c>
      <c r="G114" s="31" t="str">
        <f>_xlfn.LET(
    _xlpm.sumValue, SUMIFS(
        PNS_data[Value],
        PNS_data[Country], FR_data[[#This Row],[Country]],
        PNS_data[National Society name], selected,
        PNS_data[Attribute], "SP4",
        PNS_data[Year], "2026"
    ),
    IF(_xlpm.sumValue = 0, "", _xlpm.sumValue)
)</f>
        <v/>
      </c>
      <c r="H114" s="31" t="str">
        <f>_xlfn.LET(
    _xlpm.sumValue, SUMIFS(
        PNS_data[Value],
        PNS_data[Country], FR_data[[#This Row],[Country]],
        PNS_data[National Society name], selected,
        PNS_data[Attribute], "SP5",
        PNS_data[Year], "2026"
    ),
    IF(_xlpm.sumValue = 0, "", _xlpm.sumValue)
)</f>
        <v/>
      </c>
      <c r="I114" s="31" t="str">
        <f>_xlfn.LET(
    _xlpm.sumValue, SUMIFS(
        PNS_data[Value],
        PNS_data[Country], FR_data[[#This Row],[Country]],
        PNS_data[National Society name], selected,
        PNS_data[Attribute], "EFs",
        PNS_data[Year], "2026"
    ),
    IF(_xlpm.sumValue = 0, "", _xlpm.sumValue)
)</f>
        <v/>
      </c>
      <c r="J114" s="32" t="str">
        <f>IF(SUM(FR_data[[#This Row],[Response - Disasters and Crises]:[Enabling Functions]])=0,"",SUM(FR_data[[#This Row],[Response - Disasters and Crises]:[Enabling Functions]]))</f>
        <v/>
      </c>
      <c r="K114" s="39"/>
      <c r="L114" s="30" t="str">
        <f>_xlfn.LET(
    _xlpm.sumValue, SUMIFS(
        PNS_data[Value],
        PNS_data[Country], FR_data[[#This Row],[Country]],
        PNS_data[National Society name], selected,
        PNS_data[Attribute], "SP1",
        PNS_data[Year], "2027"
    ),
    IF(_xlpm.sumValue = 0, "", _xlpm.sumValue)
)</f>
        <v/>
      </c>
      <c r="M114" s="31" t="str">
        <f>_xlfn.LET(
    _xlpm.sumValue, SUMIFS(
        PNS_data[Value],
        PNS_data[Country], FR_data[[#This Row],[Country]],
        PNS_data[National Society name], selected,
        PNS_data[Attribute], "SP2",
        PNS_data[Year], "2027"
    ),
    IF(_xlpm.sumValue = 0, "", _xlpm.sumValue)
)</f>
        <v/>
      </c>
      <c r="N114" s="31" t="str">
        <f>_xlfn.LET(
    _xlpm.sumValue, SUMIFS(
        PNS_data[Value],
        PNS_data[Country], FR_data[[#This Row],[Country]],
        PNS_data[National Society name], selected,
        PNS_data[Attribute], "SP3",
        PNS_data[Year], "2027"
    ),
    IF(_xlpm.sumValue = 0, "", _xlpm.sumValue)
)</f>
        <v/>
      </c>
      <c r="O114" s="31" t="str">
        <f>_xlfn.LET(
    _xlpm.sumValue, SUMIFS(
        PNS_data[Value],
        PNS_data[Country], FR_data[[#This Row],[Country]],
        PNS_data[National Society name], selected,
        PNS_data[Attribute], "SP4",
        PNS_data[Year], "2027"
    ),
    IF(_xlpm.sumValue = 0, "", _xlpm.sumValue)
)</f>
        <v/>
      </c>
      <c r="P114" s="31" t="str">
        <f>_xlfn.LET(
    _xlpm.sumValue, SUMIFS(
        PNS_data[Value],
        PNS_data[Country], FR_data[[#This Row],[Country]],
        PNS_data[National Society name], selected,
        PNS_data[Attribute], "SP5",
        PNS_data[Year], "2027"
    ),
    IF(_xlpm.sumValue = 0, "", _xlpm.sumValue)
)</f>
        <v/>
      </c>
      <c r="Q114" s="31" t="str">
        <f>_xlfn.LET(
    _xlpm.sumValue, SUMIFS(
        PNS_data[Value],
        PNS_data[Country], FR_data[[#This Row],[Country]],
        PNS_data[National Society name], selected,
        PNS_data[Attribute], "EFs",
        PNS_data[Year], "2027"
    ),
    IF(_xlpm.sumValue = 0, "", _xlpm.sumValue)
)</f>
        <v/>
      </c>
      <c r="R114" s="32" t="str">
        <f>IF(SUM(FR_data[[#This Row],[Response - Disasters and Crises ]:[Enabling Functions ]])=0,"",SUM(FR_data[[#This Row],[Response - Disasters and Crises ]:[Enabling Functions ]]))</f>
        <v/>
      </c>
      <c r="S114" s="39"/>
      <c r="T114" s="30" t="str">
        <f>_xlfn.LET(
    _xlpm.sumValue, SUMIFS(
        PNS_data[Value],
        PNS_data[Country], FR_data[[#This Row],[Country]],
        PNS_data[National Society name], selected,
        PNS_data[Attribute], "SP1",
        PNS_data[Year], "2028"
    ),
    IF(_xlpm.sumValue = 0, "", _xlpm.sumValue)
)</f>
        <v/>
      </c>
      <c r="U114" s="31" t="str">
        <f>_xlfn.LET(
    _xlpm.sumValue, SUMIFS(
        PNS_data[Value],
        PNS_data[Country], FR_data[[#This Row],[Country]],
        PNS_data[National Society name], selected,
        PNS_data[Attribute], "SP2",
        PNS_data[Year], "2028"
    ),
    IF(_xlpm.sumValue = 0, "", _xlpm.sumValue)
)</f>
        <v/>
      </c>
      <c r="V114" s="31" t="str">
        <f>_xlfn.LET(
    _xlpm.sumValue, SUMIFS(
        PNS_data[Value],
        PNS_data[Country], FR_data[[#This Row],[Country]],
        PNS_data[National Society name], selected,
        PNS_data[Attribute], "SP3",
        PNS_data[Year], "2028"
    ),
    IF(_xlpm.sumValue = 0, "", _xlpm.sumValue)
)</f>
        <v/>
      </c>
      <c r="W114" s="31" t="str">
        <f>_xlfn.LET(
    _xlpm.sumValue, SUMIFS(
        PNS_data[Value],
        PNS_data[Country], FR_data[[#This Row],[Country]],
        PNS_data[National Society name], selected,
        PNS_data[Attribute], "SP4",
        PNS_data[Year], "2028"
    ),
    IF(_xlpm.sumValue = 0, "", _xlpm.sumValue)
)</f>
        <v/>
      </c>
      <c r="X114" s="31" t="str">
        <f>_xlfn.LET(
    _xlpm.sumValue, SUMIFS(
        PNS_data[Value],
        PNS_data[Country], FR_data[[#This Row],[Country]],
        PNS_data[National Society name], selected,
        PNS_data[Attribute], "SP5",
        PNS_data[Year], "2028"
    ),
    IF(_xlpm.sumValue = 0, "", _xlpm.sumValue)
)</f>
        <v/>
      </c>
      <c r="Y114" s="31" t="str">
        <f>_xlfn.LET(
    _xlpm.sumValue, SUMIFS(
        PNS_data[Value],
        PNS_data[Country], FR_data[[#This Row],[Country]],
        PNS_data[National Society name], selected,
        PNS_data[Attribute], "EFs",
        PNS_data[Year], "2028"
    ),
    IF(_xlpm.sumValue = 0, "", _xlpm.sumValue)
)</f>
        <v/>
      </c>
      <c r="Z114" s="32" t="str">
        <f>IF(SUM(FR_data[[#This Row],[Response - Disasters and Crises  ]:[Enabling Functions  ]])=0,"",SUM(FR_data[[#This Row],[Response - Disasters and Crises  ]:[Enabling Functions  ]]))</f>
        <v/>
      </c>
      <c r="AA114" s="41"/>
    </row>
    <row r="115" spans="1:27" x14ac:dyDescent="0.3">
      <c r="A115" s="11" t="s">
        <v>289</v>
      </c>
      <c r="B115" s="11" t="s">
        <v>98</v>
      </c>
      <c r="C115" s="11" t="s">
        <v>290</v>
      </c>
      <c r="D115" s="30" t="str">
        <f>_xlfn.LET(
    _xlpm.sumValue, SUMIFS(
        PNS_data[Value],
        PNS_data[Country], FR_data[[#This Row],[Country]],
        PNS_data[National Society name], selected,
        PNS_data[Attribute], "SP1",
        PNS_data[Year], "2026"
    ),
    IF(_xlpm.sumValue = 0, "", _xlpm.sumValue)
)</f>
        <v/>
      </c>
      <c r="E115" s="31" t="str">
        <f>_xlfn.LET(
    _xlpm.sumValue, SUMIFS(
        PNS_data[Value],
        PNS_data[Country], FR_data[[#This Row],[Country]],
        PNS_data[National Society name], selected,
        PNS_data[Attribute], "SP2",
        PNS_data[Year], "2026"
    ),
    IF(_xlpm.sumValue = 0, "", _xlpm.sumValue)
)</f>
        <v/>
      </c>
      <c r="F115" s="31" t="str">
        <f>_xlfn.LET(
    _xlpm.sumValue, SUMIFS(
        PNS_data[Value],
        PNS_data[Country], FR_data[[#This Row],[Country]],
        PNS_data[National Society name], selected,
        PNS_data[Attribute], "SP3",
        PNS_data[Year], "2026"
    ),
    IF(_xlpm.sumValue = 0, "", _xlpm.sumValue)
)</f>
        <v/>
      </c>
      <c r="G115" s="31" t="str">
        <f>_xlfn.LET(
    _xlpm.sumValue, SUMIFS(
        PNS_data[Value],
        PNS_data[Country], FR_data[[#This Row],[Country]],
        PNS_data[National Society name], selected,
        PNS_data[Attribute], "SP4",
        PNS_data[Year], "2026"
    ),
    IF(_xlpm.sumValue = 0, "", _xlpm.sumValue)
)</f>
        <v/>
      </c>
      <c r="H115" s="31" t="str">
        <f>_xlfn.LET(
    _xlpm.sumValue, SUMIFS(
        PNS_data[Value],
        PNS_data[Country], FR_data[[#This Row],[Country]],
        PNS_data[National Society name], selected,
        PNS_data[Attribute], "SP5",
        PNS_data[Year], "2026"
    ),
    IF(_xlpm.sumValue = 0, "", _xlpm.sumValue)
)</f>
        <v/>
      </c>
      <c r="I115" s="31" t="str">
        <f>_xlfn.LET(
    _xlpm.sumValue, SUMIFS(
        PNS_data[Value],
        PNS_data[Country], FR_data[[#This Row],[Country]],
        PNS_data[National Society name], selected,
        PNS_data[Attribute], "EFs",
        PNS_data[Year], "2026"
    ),
    IF(_xlpm.sumValue = 0, "", _xlpm.sumValue)
)</f>
        <v/>
      </c>
      <c r="J115" s="32" t="str">
        <f>IF(SUM(FR_data[[#This Row],[Response - Disasters and Crises]:[Enabling Functions]])=0,"",SUM(FR_data[[#This Row],[Response - Disasters and Crises]:[Enabling Functions]]))</f>
        <v/>
      </c>
      <c r="K115" s="39"/>
      <c r="L115" s="30" t="str">
        <f>_xlfn.LET(
    _xlpm.sumValue, SUMIFS(
        PNS_data[Value],
        PNS_data[Country], FR_data[[#This Row],[Country]],
        PNS_data[National Society name], selected,
        PNS_data[Attribute], "SP1",
        PNS_data[Year], "2027"
    ),
    IF(_xlpm.sumValue = 0, "", _xlpm.sumValue)
)</f>
        <v/>
      </c>
      <c r="M115" s="31" t="str">
        <f>_xlfn.LET(
    _xlpm.sumValue, SUMIFS(
        PNS_data[Value],
        PNS_data[Country], FR_data[[#This Row],[Country]],
        PNS_data[National Society name], selected,
        PNS_data[Attribute], "SP2",
        PNS_data[Year], "2027"
    ),
    IF(_xlpm.sumValue = 0, "", _xlpm.sumValue)
)</f>
        <v/>
      </c>
      <c r="N115" s="31" t="str">
        <f>_xlfn.LET(
    _xlpm.sumValue, SUMIFS(
        PNS_data[Value],
        PNS_data[Country], FR_data[[#This Row],[Country]],
        PNS_data[National Society name], selected,
        PNS_data[Attribute], "SP3",
        PNS_data[Year], "2027"
    ),
    IF(_xlpm.sumValue = 0, "", _xlpm.sumValue)
)</f>
        <v/>
      </c>
      <c r="O115" s="31" t="str">
        <f>_xlfn.LET(
    _xlpm.sumValue, SUMIFS(
        PNS_data[Value],
        PNS_data[Country], FR_data[[#This Row],[Country]],
        PNS_data[National Society name], selected,
        PNS_data[Attribute], "SP4",
        PNS_data[Year], "2027"
    ),
    IF(_xlpm.sumValue = 0, "", _xlpm.sumValue)
)</f>
        <v/>
      </c>
      <c r="P115" s="31" t="str">
        <f>_xlfn.LET(
    _xlpm.sumValue, SUMIFS(
        PNS_data[Value],
        PNS_data[Country], FR_data[[#This Row],[Country]],
        PNS_data[National Society name], selected,
        PNS_data[Attribute], "SP5",
        PNS_data[Year], "2027"
    ),
    IF(_xlpm.sumValue = 0, "", _xlpm.sumValue)
)</f>
        <v/>
      </c>
      <c r="Q115" s="31" t="str">
        <f>_xlfn.LET(
    _xlpm.sumValue, SUMIFS(
        PNS_data[Value],
        PNS_data[Country], FR_data[[#This Row],[Country]],
        PNS_data[National Society name], selected,
        PNS_data[Attribute], "EFs",
        PNS_data[Year], "2027"
    ),
    IF(_xlpm.sumValue = 0, "", _xlpm.sumValue)
)</f>
        <v/>
      </c>
      <c r="R115" s="32" t="str">
        <f>IF(SUM(FR_data[[#This Row],[Response - Disasters and Crises ]:[Enabling Functions ]])=0,"",SUM(FR_data[[#This Row],[Response - Disasters and Crises ]:[Enabling Functions ]]))</f>
        <v/>
      </c>
      <c r="S115" s="39"/>
      <c r="T115" s="30" t="str">
        <f>_xlfn.LET(
    _xlpm.sumValue, SUMIFS(
        PNS_data[Value],
        PNS_data[Country], FR_data[[#This Row],[Country]],
        PNS_data[National Society name], selected,
        PNS_data[Attribute], "SP1",
        PNS_data[Year], "2028"
    ),
    IF(_xlpm.sumValue = 0, "", _xlpm.sumValue)
)</f>
        <v/>
      </c>
      <c r="U115" s="31" t="str">
        <f>_xlfn.LET(
    _xlpm.sumValue, SUMIFS(
        PNS_data[Value],
        PNS_data[Country], FR_data[[#This Row],[Country]],
        PNS_data[National Society name], selected,
        PNS_data[Attribute], "SP2",
        PNS_data[Year], "2028"
    ),
    IF(_xlpm.sumValue = 0, "", _xlpm.sumValue)
)</f>
        <v/>
      </c>
      <c r="V115" s="31" t="str">
        <f>_xlfn.LET(
    _xlpm.sumValue, SUMIFS(
        PNS_data[Value],
        PNS_data[Country], FR_data[[#This Row],[Country]],
        PNS_data[National Society name], selected,
        PNS_data[Attribute], "SP3",
        PNS_data[Year], "2028"
    ),
    IF(_xlpm.sumValue = 0, "", _xlpm.sumValue)
)</f>
        <v/>
      </c>
      <c r="W115" s="31" t="str">
        <f>_xlfn.LET(
    _xlpm.sumValue, SUMIFS(
        PNS_data[Value],
        PNS_data[Country], FR_data[[#This Row],[Country]],
        PNS_data[National Society name], selected,
        PNS_data[Attribute], "SP4",
        PNS_data[Year], "2028"
    ),
    IF(_xlpm.sumValue = 0, "", _xlpm.sumValue)
)</f>
        <v/>
      </c>
      <c r="X115" s="31" t="str">
        <f>_xlfn.LET(
    _xlpm.sumValue, SUMIFS(
        PNS_data[Value],
        PNS_data[Country], FR_data[[#This Row],[Country]],
        PNS_data[National Society name], selected,
        PNS_data[Attribute], "SP5",
        PNS_data[Year], "2028"
    ),
    IF(_xlpm.sumValue = 0, "", _xlpm.sumValue)
)</f>
        <v/>
      </c>
      <c r="Y115" s="31" t="str">
        <f>_xlfn.LET(
    _xlpm.sumValue, SUMIFS(
        PNS_data[Value],
        PNS_data[Country], FR_data[[#This Row],[Country]],
        PNS_data[National Society name], selected,
        PNS_data[Attribute], "EFs",
        PNS_data[Year], "2028"
    ),
    IF(_xlpm.sumValue = 0, "", _xlpm.sumValue)
)</f>
        <v/>
      </c>
      <c r="Z115" s="32" t="str">
        <f>IF(SUM(FR_data[[#This Row],[Response - Disasters and Crises  ]:[Enabling Functions  ]])=0,"",SUM(FR_data[[#This Row],[Response - Disasters and Crises  ]:[Enabling Functions  ]]))</f>
        <v/>
      </c>
      <c r="AA115" s="41"/>
    </row>
    <row r="116" spans="1:27" x14ac:dyDescent="0.3">
      <c r="A116" s="11" t="s">
        <v>296</v>
      </c>
      <c r="B116" s="11" t="s">
        <v>98</v>
      </c>
      <c r="C116" s="11" t="s">
        <v>69</v>
      </c>
      <c r="D116" s="30" t="str">
        <f>_xlfn.LET(
    _xlpm.sumValue, SUMIFS(
        PNS_data[Value],
        PNS_data[Country], FR_data[[#This Row],[Country]],
        PNS_data[National Society name], selected,
        PNS_data[Attribute], "SP1",
        PNS_data[Year], "2026"
    ),
    IF(_xlpm.sumValue = 0, "", _xlpm.sumValue)
)</f>
        <v/>
      </c>
      <c r="E116" s="31" t="str">
        <f>_xlfn.LET(
    _xlpm.sumValue, SUMIFS(
        PNS_data[Value],
        PNS_data[Country], FR_data[[#This Row],[Country]],
        PNS_data[National Society name], selected,
        PNS_data[Attribute], "SP2",
        PNS_data[Year], "2026"
    ),
    IF(_xlpm.sumValue = 0, "", _xlpm.sumValue)
)</f>
        <v/>
      </c>
      <c r="F116" s="31" t="str">
        <f>_xlfn.LET(
    _xlpm.sumValue, SUMIFS(
        PNS_data[Value],
        PNS_data[Country], FR_data[[#This Row],[Country]],
        PNS_data[National Society name], selected,
        PNS_data[Attribute], "SP3",
        PNS_data[Year], "2026"
    ),
    IF(_xlpm.sumValue = 0, "", _xlpm.sumValue)
)</f>
        <v/>
      </c>
      <c r="G116" s="31" t="str">
        <f>_xlfn.LET(
    _xlpm.sumValue, SUMIFS(
        PNS_data[Value],
        PNS_data[Country], FR_data[[#This Row],[Country]],
        PNS_data[National Society name], selected,
        PNS_data[Attribute], "SP4",
        PNS_data[Year], "2026"
    ),
    IF(_xlpm.sumValue = 0, "", _xlpm.sumValue)
)</f>
        <v/>
      </c>
      <c r="H116" s="31" t="str">
        <f>_xlfn.LET(
    _xlpm.sumValue, SUMIFS(
        PNS_data[Value],
        PNS_data[Country], FR_data[[#This Row],[Country]],
        PNS_data[National Society name], selected,
        PNS_data[Attribute], "SP5",
        PNS_data[Year], "2026"
    ),
    IF(_xlpm.sumValue = 0, "", _xlpm.sumValue)
)</f>
        <v/>
      </c>
      <c r="I116" s="31" t="str">
        <f>_xlfn.LET(
    _xlpm.sumValue, SUMIFS(
        PNS_data[Value],
        PNS_data[Country], FR_data[[#This Row],[Country]],
        PNS_data[National Society name], selected,
        PNS_data[Attribute], "EFs",
        PNS_data[Year], "2026"
    ),
    IF(_xlpm.sumValue = 0, "", _xlpm.sumValue)
)</f>
        <v/>
      </c>
      <c r="J116" s="32" t="str">
        <f>IF(SUM(FR_data[[#This Row],[Response - Disasters and Crises]:[Enabling Functions]])=0,"",SUM(FR_data[[#This Row],[Response - Disasters and Crises]:[Enabling Functions]]))</f>
        <v/>
      </c>
      <c r="K116" s="39"/>
      <c r="L116" s="30" t="str">
        <f>_xlfn.LET(
    _xlpm.sumValue, SUMIFS(
        PNS_data[Value],
        PNS_data[Country], FR_data[[#This Row],[Country]],
        PNS_data[National Society name], selected,
        PNS_data[Attribute], "SP1",
        PNS_data[Year], "2027"
    ),
    IF(_xlpm.sumValue = 0, "", _xlpm.sumValue)
)</f>
        <v/>
      </c>
      <c r="M116" s="31" t="str">
        <f>_xlfn.LET(
    _xlpm.sumValue, SUMIFS(
        PNS_data[Value],
        PNS_data[Country], FR_data[[#This Row],[Country]],
        PNS_data[National Society name], selected,
        PNS_data[Attribute], "SP2",
        PNS_data[Year], "2027"
    ),
    IF(_xlpm.sumValue = 0, "", _xlpm.sumValue)
)</f>
        <v/>
      </c>
      <c r="N116" s="31" t="str">
        <f>_xlfn.LET(
    _xlpm.sumValue, SUMIFS(
        PNS_data[Value],
        PNS_data[Country], FR_data[[#This Row],[Country]],
        PNS_data[National Society name], selected,
        PNS_data[Attribute], "SP3",
        PNS_data[Year], "2027"
    ),
    IF(_xlpm.sumValue = 0, "", _xlpm.sumValue)
)</f>
        <v/>
      </c>
      <c r="O116" s="31" t="str">
        <f>_xlfn.LET(
    _xlpm.sumValue, SUMIFS(
        PNS_data[Value],
        PNS_data[Country], FR_data[[#This Row],[Country]],
        PNS_data[National Society name], selected,
        PNS_data[Attribute], "SP4",
        PNS_data[Year], "2027"
    ),
    IF(_xlpm.sumValue = 0, "", _xlpm.sumValue)
)</f>
        <v/>
      </c>
      <c r="P116" s="31" t="str">
        <f>_xlfn.LET(
    _xlpm.sumValue, SUMIFS(
        PNS_data[Value],
        PNS_data[Country], FR_data[[#This Row],[Country]],
        PNS_data[National Society name], selected,
        PNS_data[Attribute], "SP5",
        PNS_data[Year], "2027"
    ),
    IF(_xlpm.sumValue = 0, "", _xlpm.sumValue)
)</f>
        <v/>
      </c>
      <c r="Q116" s="31" t="str">
        <f>_xlfn.LET(
    _xlpm.sumValue, SUMIFS(
        PNS_data[Value],
        PNS_data[Country], FR_data[[#This Row],[Country]],
        PNS_data[National Society name], selected,
        PNS_data[Attribute], "EFs",
        PNS_data[Year], "2027"
    ),
    IF(_xlpm.sumValue = 0, "", _xlpm.sumValue)
)</f>
        <v/>
      </c>
      <c r="R116" s="32" t="str">
        <f>IF(SUM(FR_data[[#This Row],[Response - Disasters and Crises ]:[Enabling Functions ]])=0,"",SUM(FR_data[[#This Row],[Response - Disasters and Crises ]:[Enabling Functions ]]))</f>
        <v/>
      </c>
      <c r="S116" s="39"/>
      <c r="T116" s="30" t="str">
        <f>_xlfn.LET(
    _xlpm.sumValue, SUMIFS(
        PNS_data[Value],
        PNS_data[Country], FR_data[[#This Row],[Country]],
        PNS_data[National Society name], selected,
        PNS_data[Attribute], "SP1",
        PNS_data[Year], "2028"
    ),
    IF(_xlpm.sumValue = 0, "", _xlpm.sumValue)
)</f>
        <v/>
      </c>
      <c r="U116" s="31" t="str">
        <f>_xlfn.LET(
    _xlpm.sumValue, SUMIFS(
        PNS_data[Value],
        PNS_data[Country], FR_data[[#This Row],[Country]],
        PNS_data[National Society name], selected,
        PNS_data[Attribute], "SP2",
        PNS_data[Year], "2028"
    ),
    IF(_xlpm.sumValue = 0, "", _xlpm.sumValue)
)</f>
        <v/>
      </c>
      <c r="V116" s="31" t="str">
        <f>_xlfn.LET(
    _xlpm.sumValue, SUMIFS(
        PNS_data[Value],
        PNS_data[Country], FR_data[[#This Row],[Country]],
        PNS_data[National Society name], selected,
        PNS_data[Attribute], "SP3",
        PNS_data[Year], "2028"
    ),
    IF(_xlpm.sumValue = 0, "", _xlpm.sumValue)
)</f>
        <v/>
      </c>
      <c r="W116" s="31" t="str">
        <f>_xlfn.LET(
    _xlpm.sumValue, SUMIFS(
        PNS_data[Value],
        PNS_data[Country], FR_data[[#This Row],[Country]],
        PNS_data[National Society name], selected,
        PNS_data[Attribute], "SP4",
        PNS_data[Year], "2028"
    ),
    IF(_xlpm.sumValue = 0, "", _xlpm.sumValue)
)</f>
        <v/>
      </c>
      <c r="X116" s="31" t="str">
        <f>_xlfn.LET(
    _xlpm.sumValue, SUMIFS(
        PNS_data[Value],
        PNS_data[Country], FR_data[[#This Row],[Country]],
        PNS_data[National Society name], selected,
        PNS_data[Attribute], "SP5",
        PNS_data[Year], "2028"
    ),
    IF(_xlpm.sumValue = 0, "", _xlpm.sumValue)
)</f>
        <v/>
      </c>
      <c r="Y116" s="31" t="str">
        <f>_xlfn.LET(
    _xlpm.sumValue, SUMIFS(
        PNS_data[Value],
        PNS_data[Country], FR_data[[#This Row],[Country]],
        PNS_data[National Society name], selected,
        PNS_data[Attribute], "EFs",
        PNS_data[Year], "2028"
    ),
    IF(_xlpm.sumValue = 0, "", _xlpm.sumValue)
)</f>
        <v/>
      </c>
      <c r="Z116" s="32" t="str">
        <f>IF(SUM(FR_data[[#This Row],[Response - Disasters and Crises  ]:[Enabling Functions  ]])=0,"",SUM(FR_data[[#This Row],[Response - Disasters and Crises  ]:[Enabling Functions  ]]))</f>
        <v/>
      </c>
      <c r="AA116" s="41"/>
    </row>
    <row r="117" spans="1:27" x14ac:dyDescent="0.3">
      <c r="A117" s="11" t="s">
        <v>295</v>
      </c>
      <c r="B117" s="11" t="s">
        <v>98</v>
      </c>
      <c r="C117" s="11" t="s">
        <v>67</v>
      </c>
      <c r="D117" s="30" t="str">
        <f>_xlfn.LET(
    _xlpm.sumValue, SUMIFS(
        PNS_data[Value],
        PNS_data[Country], FR_data[[#This Row],[Country]],
        PNS_data[National Society name], selected,
        PNS_data[Attribute], "SP1",
        PNS_data[Year], "2026"
    ),
    IF(_xlpm.sumValue = 0, "", _xlpm.sumValue)
)</f>
        <v/>
      </c>
      <c r="E117" s="31">
        <f>_xlfn.LET(
    _xlpm.sumValue, SUMIFS(
        PNS_data[Value],
        PNS_data[Country], FR_data[[#This Row],[Country]],
        PNS_data[National Society name], selected,
        PNS_data[Attribute], "SP2",
        PNS_data[Year], "2026"
    ),
    IF(_xlpm.sumValue = 0, "", _xlpm.sumValue)
)</f>
        <v>444015</v>
      </c>
      <c r="F117" s="31" t="str">
        <f>_xlfn.LET(
    _xlpm.sumValue, SUMIFS(
        PNS_data[Value],
        PNS_data[Country], FR_data[[#This Row],[Country]],
        PNS_data[National Society name], selected,
        PNS_data[Attribute], "SP3",
        PNS_data[Year], "2026"
    ),
    IF(_xlpm.sumValue = 0, "", _xlpm.sumValue)
)</f>
        <v/>
      </c>
      <c r="G117" s="31" t="str">
        <f>_xlfn.LET(
    _xlpm.sumValue, SUMIFS(
        PNS_data[Value],
        PNS_data[Country], FR_data[[#This Row],[Country]],
        PNS_data[National Society name], selected,
        PNS_data[Attribute], "SP4",
        PNS_data[Year], "2026"
    ),
    IF(_xlpm.sumValue = 0, "", _xlpm.sumValue)
)</f>
        <v/>
      </c>
      <c r="H117" s="31" t="str">
        <f>_xlfn.LET(
    _xlpm.sumValue, SUMIFS(
        PNS_data[Value],
        PNS_data[Country], FR_data[[#This Row],[Country]],
        PNS_data[National Society name], selected,
        PNS_data[Attribute], "SP5",
        PNS_data[Year], "2026"
    ),
    IF(_xlpm.sumValue = 0, "", _xlpm.sumValue)
)</f>
        <v/>
      </c>
      <c r="I117" s="31" t="str">
        <f>_xlfn.LET(
    _xlpm.sumValue, SUMIFS(
        PNS_data[Value],
        PNS_data[Country], FR_data[[#This Row],[Country]],
        PNS_data[National Society name], selected,
        PNS_data[Attribute], "EFs",
        PNS_data[Year], "2026"
    ),
    IF(_xlpm.sumValue = 0, "", _xlpm.sumValue)
)</f>
        <v/>
      </c>
      <c r="J117" s="32">
        <f>IF(SUM(FR_data[[#This Row],[Response - Disasters and Crises]:[Enabling Functions]])=0,"",SUM(FR_data[[#This Row],[Response - Disasters and Crises]:[Enabling Functions]]))</f>
        <v>444015</v>
      </c>
      <c r="K117" s="39"/>
      <c r="L117" s="30" t="str">
        <f>_xlfn.LET(
    _xlpm.sumValue, SUMIFS(
        PNS_data[Value],
        PNS_data[Country], FR_data[[#This Row],[Country]],
        PNS_data[National Society name], selected,
        PNS_data[Attribute], "SP1",
        PNS_data[Year], "2027"
    ),
    IF(_xlpm.sumValue = 0, "", _xlpm.sumValue)
)</f>
        <v/>
      </c>
      <c r="M117" s="31" t="str">
        <f>_xlfn.LET(
    _xlpm.sumValue, SUMIFS(
        PNS_data[Value],
        PNS_data[Country], FR_data[[#This Row],[Country]],
        PNS_data[National Society name], selected,
        PNS_data[Attribute], "SP2",
        PNS_data[Year], "2027"
    ),
    IF(_xlpm.sumValue = 0, "", _xlpm.sumValue)
)</f>
        <v/>
      </c>
      <c r="N117" s="31" t="str">
        <f>_xlfn.LET(
    _xlpm.sumValue, SUMIFS(
        PNS_data[Value],
        PNS_data[Country], FR_data[[#This Row],[Country]],
        PNS_data[National Society name], selected,
        PNS_data[Attribute], "SP3",
        PNS_data[Year], "2027"
    ),
    IF(_xlpm.sumValue = 0, "", _xlpm.sumValue)
)</f>
        <v/>
      </c>
      <c r="O117" s="31" t="str">
        <f>_xlfn.LET(
    _xlpm.sumValue, SUMIFS(
        PNS_data[Value],
        PNS_data[Country], FR_data[[#This Row],[Country]],
        PNS_data[National Society name], selected,
        PNS_data[Attribute], "SP4",
        PNS_data[Year], "2027"
    ),
    IF(_xlpm.sumValue = 0, "", _xlpm.sumValue)
)</f>
        <v/>
      </c>
      <c r="P117" s="31" t="str">
        <f>_xlfn.LET(
    _xlpm.sumValue, SUMIFS(
        PNS_data[Value],
        PNS_data[Country], FR_data[[#This Row],[Country]],
        PNS_data[National Society name], selected,
        PNS_data[Attribute], "SP5",
        PNS_data[Year], "2027"
    ),
    IF(_xlpm.sumValue = 0, "", _xlpm.sumValue)
)</f>
        <v/>
      </c>
      <c r="Q117" s="31" t="str">
        <f>_xlfn.LET(
    _xlpm.sumValue, SUMIFS(
        PNS_data[Value],
        PNS_data[Country], FR_data[[#This Row],[Country]],
        PNS_data[National Society name], selected,
        PNS_data[Attribute], "EFs",
        PNS_data[Year], "2027"
    ),
    IF(_xlpm.sumValue = 0, "", _xlpm.sumValue)
)</f>
        <v/>
      </c>
      <c r="R117" s="32" t="str">
        <f>IF(SUM(FR_data[[#This Row],[Response - Disasters and Crises ]:[Enabling Functions ]])=0,"",SUM(FR_data[[#This Row],[Response - Disasters and Crises ]:[Enabling Functions ]]))</f>
        <v/>
      </c>
      <c r="S117" s="39"/>
      <c r="T117" s="30" t="str">
        <f>_xlfn.LET(
    _xlpm.sumValue, SUMIFS(
        PNS_data[Value],
        PNS_data[Country], FR_data[[#This Row],[Country]],
        PNS_data[National Society name], selected,
        PNS_data[Attribute], "SP1",
        PNS_data[Year], "2028"
    ),
    IF(_xlpm.sumValue = 0, "", _xlpm.sumValue)
)</f>
        <v/>
      </c>
      <c r="U117" s="31" t="str">
        <f>_xlfn.LET(
    _xlpm.sumValue, SUMIFS(
        PNS_data[Value],
        PNS_data[Country], FR_data[[#This Row],[Country]],
        PNS_data[National Society name], selected,
        PNS_data[Attribute], "SP2",
        PNS_data[Year], "2028"
    ),
    IF(_xlpm.sumValue = 0, "", _xlpm.sumValue)
)</f>
        <v/>
      </c>
      <c r="V117" s="31" t="str">
        <f>_xlfn.LET(
    _xlpm.sumValue, SUMIFS(
        PNS_data[Value],
        PNS_data[Country], FR_data[[#This Row],[Country]],
        PNS_data[National Society name], selected,
        PNS_data[Attribute], "SP3",
        PNS_data[Year], "2028"
    ),
    IF(_xlpm.sumValue = 0, "", _xlpm.sumValue)
)</f>
        <v/>
      </c>
      <c r="W117" s="31" t="str">
        <f>_xlfn.LET(
    _xlpm.sumValue, SUMIFS(
        PNS_data[Value],
        PNS_data[Country], FR_data[[#This Row],[Country]],
        PNS_data[National Society name], selected,
        PNS_data[Attribute], "SP4",
        PNS_data[Year], "2028"
    ),
    IF(_xlpm.sumValue = 0, "", _xlpm.sumValue)
)</f>
        <v/>
      </c>
      <c r="X117" s="31" t="str">
        <f>_xlfn.LET(
    _xlpm.sumValue, SUMIFS(
        PNS_data[Value],
        PNS_data[Country], FR_data[[#This Row],[Country]],
        PNS_data[National Society name], selected,
        PNS_data[Attribute], "SP5",
        PNS_data[Year], "2028"
    ),
    IF(_xlpm.sumValue = 0, "", _xlpm.sumValue)
)</f>
        <v/>
      </c>
      <c r="Y117" s="31" t="str">
        <f>_xlfn.LET(
    _xlpm.sumValue, SUMIFS(
        PNS_data[Value],
        PNS_data[Country], FR_data[[#This Row],[Country]],
        PNS_data[National Society name], selected,
        PNS_data[Attribute], "EFs",
        PNS_data[Year], "2028"
    ),
    IF(_xlpm.sumValue = 0, "", _xlpm.sumValue)
)</f>
        <v/>
      </c>
      <c r="Z117" s="32" t="str">
        <f>IF(SUM(FR_data[[#This Row],[Response - Disasters and Crises  ]:[Enabling Functions  ]])=0,"",SUM(FR_data[[#This Row],[Response - Disasters and Crises  ]:[Enabling Functions  ]]))</f>
        <v/>
      </c>
      <c r="AA117" s="41"/>
    </row>
    <row r="118" spans="1:27" x14ac:dyDescent="0.3">
      <c r="A118" s="11" t="s">
        <v>299</v>
      </c>
      <c r="B118" s="11" t="s">
        <v>98</v>
      </c>
      <c r="C118" s="11" t="s">
        <v>300</v>
      </c>
      <c r="D118" s="30" t="str">
        <f>_xlfn.LET(
    _xlpm.sumValue, SUMIFS(
        PNS_data[Value],
        PNS_data[Country], FR_data[[#This Row],[Country]],
        PNS_data[National Society name], selected,
        PNS_data[Attribute], "SP1",
        PNS_data[Year], "2026"
    ),
    IF(_xlpm.sumValue = 0, "", _xlpm.sumValue)
)</f>
        <v/>
      </c>
      <c r="E118" s="31" t="str">
        <f>_xlfn.LET(
    _xlpm.sumValue, SUMIFS(
        PNS_data[Value],
        PNS_data[Country], FR_data[[#This Row],[Country]],
        PNS_data[National Society name], selected,
        PNS_data[Attribute], "SP2",
        PNS_data[Year], "2026"
    ),
    IF(_xlpm.sumValue = 0, "", _xlpm.sumValue)
)</f>
        <v/>
      </c>
      <c r="F118" s="31" t="str">
        <f>_xlfn.LET(
    _xlpm.sumValue, SUMIFS(
        PNS_data[Value],
        PNS_data[Country], FR_data[[#This Row],[Country]],
        PNS_data[National Society name], selected,
        PNS_data[Attribute], "SP3",
        PNS_data[Year], "2026"
    ),
    IF(_xlpm.sumValue = 0, "", _xlpm.sumValue)
)</f>
        <v/>
      </c>
      <c r="G118" s="31" t="str">
        <f>_xlfn.LET(
    _xlpm.sumValue, SUMIFS(
        PNS_data[Value],
        PNS_data[Country], FR_data[[#This Row],[Country]],
        PNS_data[National Society name], selected,
        PNS_data[Attribute], "SP4",
        PNS_data[Year], "2026"
    ),
    IF(_xlpm.sumValue = 0, "", _xlpm.sumValue)
)</f>
        <v/>
      </c>
      <c r="H118" s="31" t="str">
        <f>_xlfn.LET(
    _xlpm.sumValue, SUMIFS(
        PNS_data[Value],
        PNS_data[Country], FR_data[[#This Row],[Country]],
        PNS_data[National Society name], selected,
        PNS_data[Attribute], "SP5",
        PNS_data[Year], "2026"
    ),
    IF(_xlpm.sumValue = 0, "", _xlpm.sumValue)
)</f>
        <v/>
      </c>
      <c r="I118" s="31" t="str">
        <f>_xlfn.LET(
    _xlpm.sumValue, SUMIFS(
        PNS_data[Value],
        PNS_data[Country], FR_data[[#This Row],[Country]],
        PNS_data[National Society name], selected,
        PNS_data[Attribute], "EFs",
        PNS_data[Year], "2026"
    ),
    IF(_xlpm.sumValue = 0, "", _xlpm.sumValue)
)</f>
        <v/>
      </c>
      <c r="J118" s="32" t="str">
        <f>IF(SUM(FR_data[[#This Row],[Response - Disasters and Crises]:[Enabling Functions]])=0,"",SUM(FR_data[[#This Row],[Response - Disasters and Crises]:[Enabling Functions]]))</f>
        <v/>
      </c>
      <c r="K118" s="39"/>
      <c r="L118" s="30" t="str">
        <f>_xlfn.LET(
    _xlpm.sumValue, SUMIFS(
        PNS_data[Value],
        PNS_data[Country], FR_data[[#This Row],[Country]],
        PNS_data[National Society name], selected,
        PNS_data[Attribute], "SP1",
        PNS_data[Year], "2027"
    ),
    IF(_xlpm.sumValue = 0, "", _xlpm.sumValue)
)</f>
        <v/>
      </c>
      <c r="M118" s="31" t="str">
        <f>_xlfn.LET(
    _xlpm.sumValue, SUMIFS(
        PNS_data[Value],
        PNS_data[Country], FR_data[[#This Row],[Country]],
        PNS_data[National Society name], selected,
        PNS_data[Attribute], "SP2",
        PNS_data[Year], "2027"
    ),
    IF(_xlpm.sumValue = 0, "", _xlpm.sumValue)
)</f>
        <v/>
      </c>
      <c r="N118" s="31" t="str">
        <f>_xlfn.LET(
    _xlpm.sumValue, SUMIFS(
        PNS_data[Value],
        PNS_data[Country], FR_data[[#This Row],[Country]],
        PNS_data[National Society name], selected,
        PNS_data[Attribute], "SP3",
        PNS_data[Year], "2027"
    ),
    IF(_xlpm.sumValue = 0, "", _xlpm.sumValue)
)</f>
        <v/>
      </c>
      <c r="O118" s="31" t="str">
        <f>_xlfn.LET(
    _xlpm.sumValue, SUMIFS(
        PNS_data[Value],
        PNS_data[Country], FR_data[[#This Row],[Country]],
        PNS_data[National Society name], selected,
        PNS_data[Attribute], "SP4",
        PNS_data[Year], "2027"
    ),
    IF(_xlpm.sumValue = 0, "", _xlpm.sumValue)
)</f>
        <v/>
      </c>
      <c r="P118" s="31" t="str">
        <f>_xlfn.LET(
    _xlpm.sumValue, SUMIFS(
        PNS_data[Value],
        PNS_data[Country], FR_data[[#This Row],[Country]],
        PNS_data[National Society name], selected,
        PNS_data[Attribute], "SP5",
        PNS_data[Year], "2027"
    ),
    IF(_xlpm.sumValue = 0, "", _xlpm.sumValue)
)</f>
        <v/>
      </c>
      <c r="Q118" s="31" t="str">
        <f>_xlfn.LET(
    _xlpm.sumValue, SUMIFS(
        PNS_data[Value],
        PNS_data[Country], FR_data[[#This Row],[Country]],
        PNS_data[National Society name], selected,
        PNS_data[Attribute], "EFs",
        PNS_data[Year], "2027"
    ),
    IF(_xlpm.sumValue = 0, "", _xlpm.sumValue)
)</f>
        <v/>
      </c>
      <c r="R118" s="32" t="str">
        <f>IF(SUM(FR_data[[#This Row],[Response - Disasters and Crises ]:[Enabling Functions ]])=0,"",SUM(FR_data[[#This Row],[Response - Disasters and Crises ]:[Enabling Functions ]]))</f>
        <v/>
      </c>
      <c r="S118" s="39"/>
      <c r="T118" s="30" t="str">
        <f>_xlfn.LET(
    _xlpm.sumValue, SUMIFS(
        PNS_data[Value],
        PNS_data[Country], FR_data[[#This Row],[Country]],
        PNS_data[National Society name], selected,
        PNS_data[Attribute], "SP1",
        PNS_data[Year], "2028"
    ),
    IF(_xlpm.sumValue = 0, "", _xlpm.sumValue)
)</f>
        <v/>
      </c>
      <c r="U118" s="31" t="str">
        <f>_xlfn.LET(
    _xlpm.sumValue, SUMIFS(
        PNS_data[Value],
        PNS_data[Country], FR_data[[#This Row],[Country]],
        PNS_data[National Society name], selected,
        PNS_data[Attribute], "SP2",
        PNS_data[Year], "2028"
    ),
    IF(_xlpm.sumValue = 0, "", _xlpm.sumValue)
)</f>
        <v/>
      </c>
      <c r="V118" s="31" t="str">
        <f>_xlfn.LET(
    _xlpm.sumValue, SUMIFS(
        PNS_data[Value],
        PNS_data[Country], FR_data[[#This Row],[Country]],
        PNS_data[National Society name], selected,
        PNS_data[Attribute], "SP3",
        PNS_data[Year], "2028"
    ),
    IF(_xlpm.sumValue = 0, "", _xlpm.sumValue)
)</f>
        <v/>
      </c>
      <c r="W118" s="31" t="str">
        <f>_xlfn.LET(
    _xlpm.sumValue, SUMIFS(
        PNS_data[Value],
        PNS_data[Country], FR_data[[#This Row],[Country]],
        PNS_data[National Society name], selected,
        PNS_data[Attribute], "SP4",
        PNS_data[Year], "2028"
    ),
    IF(_xlpm.sumValue = 0, "", _xlpm.sumValue)
)</f>
        <v/>
      </c>
      <c r="X118" s="31" t="str">
        <f>_xlfn.LET(
    _xlpm.sumValue, SUMIFS(
        PNS_data[Value],
        PNS_data[Country], FR_data[[#This Row],[Country]],
        PNS_data[National Society name], selected,
        PNS_data[Attribute], "SP5",
        PNS_data[Year], "2028"
    ),
    IF(_xlpm.sumValue = 0, "", _xlpm.sumValue)
)</f>
        <v/>
      </c>
      <c r="Y118" s="31" t="str">
        <f>_xlfn.LET(
    _xlpm.sumValue, SUMIFS(
        PNS_data[Value],
        PNS_data[Country], FR_data[[#This Row],[Country]],
        PNS_data[National Society name], selected,
        PNS_data[Attribute], "EFs",
        PNS_data[Year], "2028"
    ),
    IF(_xlpm.sumValue = 0, "", _xlpm.sumValue)
)</f>
        <v/>
      </c>
      <c r="Z118" s="32" t="str">
        <f>IF(SUM(FR_data[[#This Row],[Response - Disasters and Crises  ]:[Enabling Functions  ]])=0,"",SUM(FR_data[[#This Row],[Response - Disasters and Crises  ]:[Enabling Functions  ]]))</f>
        <v/>
      </c>
      <c r="AA118" s="41"/>
    </row>
    <row r="119" spans="1:27" x14ac:dyDescent="0.3">
      <c r="A119" s="11" t="s">
        <v>301</v>
      </c>
      <c r="B119" s="11" t="s">
        <v>98</v>
      </c>
      <c r="C119" s="11" t="s">
        <v>33</v>
      </c>
      <c r="D119" s="30" t="str">
        <f>_xlfn.LET(
    _xlpm.sumValue, SUMIFS(
        PNS_data[Value],
        PNS_data[Country], FR_data[[#This Row],[Country]],
        PNS_data[National Society name], selected,
        PNS_data[Attribute], "SP1",
        PNS_data[Year], "2026"
    ),
    IF(_xlpm.sumValue = 0, "", _xlpm.sumValue)
)</f>
        <v/>
      </c>
      <c r="E119" s="31" t="str">
        <f>_xlfn.LET(
    _xlpm.sumValue, SUMIFS(
        PNS_data[Value],
        PNS_data[Country], FR_data[[#This Row],[Country]],
        PNS_data[National Society name], selected,
        PNS_data[Attribute], "SP2",
        PNS_data[Year], "2026"
    ),
    IF(_xlpm.sumValue = 0, "", _xlpm.sumValue)
)</f>
        <v/>
      </c>
      <c r="F119" s="31" t="str">
        <f>_xlfn.LET(
    _xlpm.sumValue, SUMIFS(
        PNS_data[Value],
        PNS_data[Country], FR_data[[#This Row],[Country]],
        PNS_data[National Society name], selected,
        PNS_data[Attribute], "SP3",
        PNS_data[Year], "2026"
    ),
    IF(_xlpm.sumValue = 0, "", _xlpm.sumValue)
)</f>
        <v/>
      </c>
      <c r="G119" s="31" t="str">
        <f>_xlfn.LET(
    _xlpm.sumValue, SUMIFS(
        PNS_data[Value],
        PNS_data[Country], FR_data[[#This Row],[Country]],
        PNS_data[National Society name], selected,
        PNS_data[Attribute], "SP4",
        PNS_data[Year], "2026"
    ),
    IF(_xlpm.sumValue = 0, "", _xlpm.sumValue)
)</f>
        <v/>
      </c>
      <c r="H119" s="31" t="str">
        <f>_xlfn.LET(
    _xlpm.sumValue, SUMIFS(
        PNS_data[Value],
        PNS_data[Country], FR_data[[#This Row],[Country]],
        PNS_data[National Society name], selected,
        PNS_data[Attribute], "SP5",
        PNS_data[Year], "2026"
    ),
    IF(_xlpm.sumValue = 0, "", _xlpm.sumValue)
)</f>
        <v/>
      </c>
      <c r="I119" s="31" t="str">
        <f>_xlfn.LET(
    _xlpm.sumValue, SUMIFS(
        PNS_data[Value],
        PNS_data[Country], FR_data[[#This Row],[Country]],
        PNS_data[National Society name], selected,
        PNS_data[Attribute], "EFs",
        PNS_data[Year], "2026"
    ),
    IF(_xlpm.sumValue = 0, "", _xlpm.sumValue)
)</f>
        <v/>
      </c>
      <c r="J119" s="32" t="str">
        <f>IF(SUM(FR_data[[#This Row],[Response - Disasters and Crises]:[Enabling Functions]])=0,"",SUM(FR_data[[#This Row],[Response - Disasters and Crises]:[Enabling Functions]]))</f>
        <v/>
      </c>
      <c r="K119" s="39"/>
      <c r="L119" s="30" t="str">
        <f>_xlfn.LET(
    _xlpm.sumValue, SUMIFS(
        PNS_data[Value],
        PNS_data[Country], FR_data[[#This Row],[Country]],
        PNS_data[National Society name], selected,
        PNS_data[Attribute], "SP1",
        PNS_data[Year], "2027"
    ),
    IF(_xlpm.sumValue = 0, "", _xlpm.sumValue)
)</f>
        <v/>
      </c>
      <c r="M119" s="31" t="str">
        <f>_xlfn.LET(
    _xlpm.sumValue, SUMIFS(
        PNS_data[Value],
        PNS_data[Country], FR_data[[#This Row],[Country]],
        PNS_data[National Society name], selected,
        PNS_data[Attribute], "SP2",
        PNS_data[Year], "2027"
    ),
    IF(_xlpm.sumValue = 0, "", _xlpm.sumValue)
)</f>
        <v/>
      </c>
      <c r="N119" s="31" t="str">
        <f>_xlfn.LET(
    _xlpm.sumValue, SUMIFS(
        PNS_data[Value],
        PNS_data[Country], FR_data[[#This Row],[Country]],
        PNS_data[National Society name], selected,
        PNS_data[Attribute], "SP3",
        PNS_data[Year], "2027"
    ),
    IF(_xlpm.sumValue = 0, "", _xlpm.sumValue)
)</f>
        <v/>
      </c>
      <c r="O119" s="31" t="str">
        <f>_xlfn.LET(
    _xlpm.sumValue, SUMIFS(
        PNS_data[Value],
        PNS_data[Country], FR_data[[#This Row],[Country]],
        PNS_data[National Society name], selected,
        PNS_data[Attribute], "SP4",
        PNS_data[Year], "2027"
    ),
    IF(_xlpm.sumValue = 0, "", _xlpm.sumValue)
)</f>
        <v/>
      </c>
      <c r="P119" s="31" t="str">
        <f>_xlfn.LET(
    _xlpm.sumValue, SUMIFS(
        PNS_data[Value],
        PNS_data[Country], FR_data[[#This Row],[Country]],
        PNS_data[National Society name], selected,
        PNS_data[Attribute], "SP5",
        PNS_data[Year], "2027"
    ),
    IF(_xlpm.sumValue = 0, "", _xlpm.sumValue)
)</f>
        <v/>
      </c>
      <c r="Q119" s="31" t="str">
        <f>_xlfn.LET(
    _xlpm.sumValue, SUMIFS(
        PNS_data[Value],
        PNS_data[Country], FR_data[[#This Row],[Country]],
        PNS_data[National Society name], selected,
        PNS_data[Attribute], "EFs",
        PNS_data[Year], "2027"
    ),
    IF(_xlpm.sumValue = 0, "", _xlpm.sumValue)
)</f>
        <v/>
      </c>
      <c r="R119" s="32" t="str">
        <f>IF(SUM(FR_data[[#This Row],[Response - Disasters and Crises ]:[Enabling Functions ]])=0,"",SUM(FR_data[[#This Row],[Response - Disasters and Crises ]:[Enabling Functions ]]))</f>
        <v/>
      </c>
      <c r="S119" s="39"/>
      <c r="T119" s="30" t="str">
        <f>_xlfn.LET(
    _xlpm.sumValue, SUMIFS(
        PNS_data[Value],
        PNS_data[Country], FR_data[[#This Row],[Country]],
        PNS_data[National Society name], selected,
        PNS_data[Attribute], "SP1",
        PNS_data[Year], "2028"
    ),
    IF(_xlpm.sumValue = 0, "", _xlpm.sumValue)
)</f>
        <v/>
      </c>
      <c r="U119" s="31" t="str">
        <f>_xlfn.LET(
    _xlpm.sumValue, SUMIFS(
        PNS_data[Value],
        PNS_data[Country], FR_data[[#This Row],[Country]],
        PNS_data[National Society name], selected,
        PNS_data[Attribute], "SP2",
        PNS_data[Year], "2028"
    ),
    IF(_xlpm.sumValue = 0, "", _xlpm.sumValue)
)</f>
        <v/>
      </c>
      <c r="V119" s="31" t="str">
        <f>_xlfn.LET(
    _xlpm.sumValue, SUMIFS(
        PNS_data[Value],
        PNS_data[Country], FR_data[[#This Row],[Country]],
        PNS_data[National Society name], selected,
        PNS_data[Attribute], "SP3",
        PNS_data[Year], "2028"
    ),
    IF(_xlpm.sumValue = 0, "", _xlpm.sumValue)
)</f>
        <v/>
      </c>
      <c r="W119" s="31" t="str">
        <f>_xlfn.LET(
    _xlpm.sumValue, SUMIFS(
        PNS_data[Value],
        PNS_data[Country], FR_data[[#This Row],[Country]],
        PNS_data[National Society name], selected,
        PNS_data[Attribute], "SP4",
        PNS_data[Year], "2028"
    ),
    IF(_xlpm.sumValue = 0, "", _xlpm.sumValue)
)</f>
        <v/>
      </c>
      <c r="X119" s="31" t="str">
        <f>_xlfn.LET(
    _xlpm.sumValue, SUMIFS(
        PNS_data[Value],
        PNS_data[Country], FR_data[[#This Row],[Country]],
        PNS_data[National Society name], selected,
        PNS_data[Attribute], "SP5",
        PNS_data[Year], "2028"
    ),
    IF(_xlpm.sumValue = 0, "", _xlpm.sumValue)
)</f>
        <v/>
      </c>
      <c r="Y119" s="31" t="str">
        <f>_xlfn.LET(
    _xlpm.sumValue, SUMIFS(
        PNS_data[Value],
        PNS_data[Country], FR_data[[#This Row],[Country]],
        PNS_data[National Society name], selected,
        PNS_data[Attribute], "EFs",
        PNS_data[Year], "2028"
    ),
    IF(_xlpm.sumValue = 0, "", _xlpm.sumValue)
)</f>
        <v/>
      </c>
      <c r="Z119" s="32" t="str">
        <f>IF(SUM(FR_data[[#This Row],[Response - Disasters and Crises  ]:[Enabling Functions  ]])=0,"",SUM(FR_data[[#This Row],[Response - Disasters and Crises  ]:[Enabling Functions  ]]))</f>
        <v/>
      </c>
      <c r="AA119" s="41"/>
    </row>
    <row r="120" spans="1:27" x14ac:dyDescent="0.3">
      <c r="A120" s="11" t="s">
        <v>421</v>
      </c>
      <c r="B120" s="11" t="s">
        <v>98</v>
      </c>
      <c r="C120" s="11" t="s">
        <v>422</v>
      </c>
      <c r="D120" s="30" t="str">
        <f>_xlfn.LET(
    _xlpm.sumValue, SUMIFS(
        PNS_data[Value],
        PNS_data[Country], FR_data[[#This Row],[Country]],
        PNS_data[National Society name], selected,
        PNS_data[Attribute], "SP1",
        PNS_data[Year], "2026"
    ),
    IF(_xlpm.sumValue = 0, "", _xlpm.sumValue)
)</f>
        <v/>
      </c>
      <c r="E120" s="31" t="str">
        <f>_xlfn.LET(
    _xlpm.sumValue, SUMIFS(
        PNS_data[Value],
        PNS_data[Country], FR_data[[#This Row],[Country]],
        PNS_data[National Society name], selected,
        PNS_data[Attribute], "SP2",
        PNS_data[Year], "2026"
    ),
    IF(_xlpm.sumValue = 0, "", _xlpm.sumValue)
)</f>
        <v/>
      </c>
      <c r="F120" s="31" t="str">
        <f>_xlfn.LET(
    _xlpm.sumValue, SUMIFS(
        PNS_data[Value],
        PNS_data[Country], FR_data[[#This Row],[Country]],
        PNS_data[National Society name], selected,
        PNS_data[Attribute], "SP3",
        PNS_data[Year], "2026"
    ),
    IF(_xlpm.sumValue = 0, "", _xlpm.sumValue)
)</f>
        <v/>
      </c>
      <c r="G120" s="31" t="str">
        <f>_xlfn.LET(
    _xlpm.sumValue, SUMIFS(
        PNS_data[Value],
        PNS_data[Country], FR_data[[#This Row],[Country]],
        PNS_data[National Society name], selected,
        PNS_data[Attribute], "SP4",
        PNS_data[Year], "2026"
    ),
    IF(_xlpm.sumValue = 0, "", _xlpm.sumValue)
)</f>
        <v/>
      </c>
      <c r="H120" s="31" t="str">
        <f>_xlfn.LET(
    _xlpm.sumValue, SUMIFS(
        PNS_data[Value],
        PNS_data[Country], FR_data[[#This Row],[Country]],
        PNS_data[National Society name], selected,
        PNS_data[Attribute], "SP5",
        PNS_data[Year], "2026"
    ),
    IF(_xlpm.sumValue = 0, "", _xlpm.sumValue)
)</f>
        <v/>
      </c>
      <c r="I120" s="31" t="str">
        <f>_xlfn.LET(
    _xlpm.sumValue, SUMIFS(
        PNS_data[Value],
        PNS_data[Country], FR_data[[#This Row],[Country]],
        PNS_data[National Society name], selected,
        PNS_data[Attribute], "EFs",
        PNS_data[Year], "2026"
    ),
    IF(_xlpm.sumValue = 0, "", _xlpm.sumValue)
)</f>
        <v/>
      </c>
      <c r="J120" s="32" t="str">
        <f>IF(SUM(FR_data[[#This Row],[Response - Disasters and Crises]:[Enabling Functions]])=0,"",SUM(FR_data[[#This Row],[Response - Disasters and Crises]:[Enabling Functions]]))</f>
        <v/>
      </c>
      <c r="K120" s="39"/>
      <c r="L120" s="30" t="str">
        <f>_xlfn.LET(
    _xlpm.sumValue, SUMIFS(
        PNS_data[Value],
        PNS_data[Country], FR_data[[#This Row],[Country]],
        PNS_data[National Society name], selected,
        PNS_data[Attribute], "SP1",
        PNS_data[Year], "2027"
    ),
    IF(_xlpm.sumValue = 0, "", _xlpm.sumValue)
)</f>
        <v/>
      </c>
      <c r="M120" s="31" t="str">
        <f>_xlfn.LET(
    _xlpm.sumValue, SUMIFS(
        PNS_data[Value],
        PNS_data[Country], FR_data[[#This Row],[Country]],
        PNS_data[National Society name], selected,
        PNS_data[Attribute], "SP2",
        PNS_data[Year], "2027"
    ),
    IF(_xlpm.sumValue = 0, "", _xlpm.sumValue)
)</f>
        <v/>
      </c>
      <c r="N120" s="31" t="str">
        <f>_xlfn.LET(
    _xlpm.sumValue, SUMIFS(
        PNS_data[Value],
        PNS_data[Country], FR_data[[#This Row],[Country]],
        PNS_data[National Society name], selected,
        PNS_data[Attribute], "SP3",
        PNS_data[Year], "2027"
    ),
    IF(_xlpm.sumValue = 0, "", _xlpm.sumValue)
)</f>
        <v/>
      </c>
      <c r="O120" s="31" t="str">
        <f>_xlfn.LET(
    _xlpm.sumValue, SUMIFS(
        PNS_data[Value],
        PNS_data[Country], FR_data[[#This Row],[Country]],
        PNS_data[National Society name], selected,
        PNS_data[Attribute], "SP4",
        PNS_data[Year], "2027"
    ),
    IF(_xlpm.sumValue = 0, "", _xlpm.sumValue)
)</f>
        <v/>
      </c>
      <c r="P120" s="31" t="str">
        <f>_xlfn.LET(
    _xlpm.sumValue, SUMIFS(
        PNS_data[Value],
        PNS_data[Country], FR_data[[#This Row],[Country]],
        PNS_data[National Society name], selected,
        PNS_data[Attribute], "SP5",
        PNS_data[Year], "2027"
    ),
    IF(_xlpm.sumValue = 0, "", _xlpm.sumValue)
)</f>
        <v/>
      </c>
      <c r="Q120" s="31" t="str">
        <f>_xlfn.LET(
    _xlpm.sumValue, SUMIFS(
        PNS_data[Value],
        PNS_data[Country], FR_data[[#This Row],[Country]],
        PNS_data[National Society name], selected,
        PNS_data[Attribute], "EFs",
        PNS_data[Year], "2027"
    ),
    IF(_xlpm.sumValue = 0, "", _xlpm.sumValue)
)</f>
        <v/>
      </c>
      <c r="R120" s="32" t="str">
        <f>IF(SUM(FR_data[[#This Row],[Response - Disasters and Crises ]:[Enabling Functions ]])=0,"",SUM(FR_data[[#This Row],[Response - Disasters and Crises ]:[Enabling Functions ]]))</f>
        <v/>
      </c>
      <c r="S120" s="39"/>
      <c r="T120" s="30" t="str">
        <f>_xlfn.LET(
    _xlpm.sumValue, SUMIFS(
        PNS_data[Value],
        PNS_data[Country], FR_data[[#This Row],[Country]],
        PNS_data[National Society name], selected,
        PNS_data[Attribute], "SP1",
        PNS_data[Year], "2028"
    ),
    IF(_xlpm.sumValue = 0, "", _xlpm.sumValue)
)</f>
        <v/>
      </c>
      <c r="U120" s="31" t="str">
        <f>_xlfn.LET(
    _xlpm.sumValue, SUMIFS(
        PNS_data[Value],
        PNS_data[Country], FR_data[[#This Row],[Country]],
        PNS_data[National Society name], selected,
        PNS_data[Attribute], "SP2",
        PNS_data[Year], "2028"
    ),
    IF(_xlpm.sumValue = 0, "", _xlpm.sumValue)
)</f>
        <v/>
      </c>
      <c r="V120" s="31" t="str">
        <f>_xlfn.LET(
    _xlpm.sumValue, SUMIFS(
        PNS_data[Value],
        PNS_data[Country], FR_data[[#This Row],[Country]],
        PNS_data[National Society name], selected,
        PNS_data[Attribute], "SP3",
        PNS_data[Year], "2028"
    ),
    IF(_xlpm.sumValue = 0, "", _xlpm.sumValue)
)</f>
        <v/>
      </c>
      <c r="W120" s="31" t="str">
        <f>_xlfn.LET(
    _xlpm.sumValue, SUMIFS(
        PNS_data[Value],
        PNS_data[Country], FR_data[[#This Row],[Country]],
        PNS_data[National Society name], selected,
        PNS_data[Attribute], "SP4",
        PNS_data[Year], "2028"
    ),
    IF(_xlpm.sumValue = 0, "", _xlpm.sumValue)
)</f>
        <v/>
      </c>
      <c r="X120" s="31" t="str">
        <f>_xlfn.LET(
    _xlpm.sumValue, SUMIFS(
        PNS_data[Value],
        PNS_data[Country], FR_data[[#This Row],[Country]],
        PNS_data[National Society name], selected,
        PNS_data[Attribute], "SP5",
        PNS_data[Year], "2028"
    ),
    IF(_xlpm.sumValue = 0, "", _xlpm.sumValue)
)</f>
        <v/>
      </c>
      <c r="Y120" s="31" t="str">
        <f>_xlfn.LET(
    _xlpm.sumValue, SUMIFS(
        PNS_data[Value],
        PNS_data[Country], FR_data[[#This Row],[Country]],
        PNS_data[National Society name], selected,
        PNS_data[Attribute], "EFs",
        PNS_data[Year], "2028"
    ),
    IF(_xlpm.sumValue = 0, "", _xlpm.sumValue)
)</f>
        <v/>
      </c>
      <c r="Z120" s="32" t="str">
        <f>IF(SUM(FR_data[[#This Row],[Response - Disasters and Crises  ]:[Enabling Functions  ]])=0,"",SUM(FR_data[[#This Row],[Response - Disasters and Crises  ]:[Enabling Functions  ]]))</f>
        <v/>
      </c>
      <c r="AA120" s="41"/>
    </row>
    <row r="121" spans="1:27" x14ac:dyDescent="0.3">
      <c r="A121" s="11" t="s">
        <v>304</v>
      </c>
      <c r="B121" s="11" t="s">
        <v>98</v>
      </c>
      <c r="C121" s="11" t="s">
        <v>7</v>
      </c>
      <c r="D121" s="30" t="str">
        <f>_xlfn.LET(
    _xlpm.sumValue, SUMIFS(
        PNS_data[Value],
        PNS_data[Country], FR_data[[#This Row],[Country]],
        PNS_data[National Society name], selected,
        PNS_data[Attribute], "SP1",
        PNS_data[Year], "2026"
    ),
    IF(_xlpm.sumValue = 0, "", _xlpm.sumValue)
)</f>
        <v/>
      </c>
      <c r="E121" s="31" t="str">
        <f>_xlfn.LET(
    _xlpm.sumValue, SUMIFS(
        PNS_data[Value],
        PNS_data[Country], FR_data[[#This Row],[Country]],
        PNS_data[National Society name], selected,
        PNS_data[Attribute], "SP2",
        PNS_data[Year], "2026"
    ),
    IF(_xlpm.sumValue = 0, "", _xlpm.sumValue)
)</f>
        <v/>
      </c>
      <c r="F121" s="31" t="str">
        <f>_xlfn.LET(
    _xlpm.sumValue, SUMIFS(
        PNS_data[Value],
        PNS_data[Country], FR_data[[#This Row],[Country]],
        PNS_data[National Society name], selected,
        PNS_data[Attribute], "SP3",
        PNS_data[Year], "2026"
    ),
    IF(_xlpm.sumValue = 0, "", _xlpm.sumValue)
)</f>
        <v/>
      </c>
      <c r="G121" s="31" t="str">
        <f>_xlfn.LET(
    _xlpm.sumValue, SUMIFS(
        PNS_data[Value],
        PNS_data[Country], FR_data[[#This Row],[Country]],
        PNS_data[National Society name], selected,
        PNS_data[Attribute], "SP4",
        PNS_data[Year], "2026"
    ),
    IF(_xlpm.sumValue = 0, "", _xlpm.sumValue)
)</f>
        <v/>
      </c>
      <c r="H121" s="31" t="str">
        <f>_xlfn.LET(
    _xlpm.sumValue, SUMIFS(
        PNS_data[Value],
        PNS_data[Country], FR_data[[#This Row],[Country]],
        PNS_data[National Society name], selected,
        PNS_data[Attribute], "SP5",
        PNS_data[Year], "2026"
    ),
    IF(_xlpm.sumValue = 0, "", _xlpm.sumValue)
)</f>
        <v/>
      </c>
      <c r="I121" s="31" t="str">
        <f>_xlfn.LET(
    _xlpm.sumValue, SUMIFS(
        PNS_data[Value],
        PNS_data[Country], FR_data[[#This Row],[Country]],
        PNS_data[National Society name], selected,
        PNS_data[Attribute], "EFs",
        PNS_data[Year], "2026"
    ),
    IF(_xlpm.sumValue = 0, "", _xlpm.sumValue)
)</f>
        <v/>
      </c>
      <c r="J121" s="32" t="str">
        <f>IF(SUM(FR_data[[#This Row],[Response - Disasters and Crises]:[Enabling Functions]])=0,"",SUM(FR_data[[#This Row],[Response - Disasters and Crises]:[Enabling Functions]]))</f>
        <v/>
      </c>
      <c r="K121" s="39"/>
      <c r="L121" s="30" t="str">
        <f>_xlfn.LET(
    _xlpm.sumValue, SUMIFS(
        PNS_data[Value],
        PNS_data[Country], FR_data[[#This Row],[Country]],
        PNS_data[National Society name], selected,
        PNS_data[Attribute], "SP1",
        PNS_data[Year], "2027"
    ),
    IF(_xlpm.sumValue = 0, "", _xlpm.sumValue)
)</f>
        <v/>
      </c>
      <c r="M121" s="31" t="str">
        <f>_xlfn.LET(
    _xlpm.sumValue, SUMIFS(
        PNS_data[Value],
        PNS_data[Country], FR_data[[#This Row],[Country]],
        PNS_data[National Society name], selected,
        PNS_data[Attribute], "SP2",
        PNS_data[Year], "2027"
    ),
    IF(_xlpm.sumValue = 0, "", _xlpm.sumValue)
)</f>
        <v/>
      </c>
      <c r="N121" s="31" t="str">
        <f>_xlfn.LET(
    _xlpm.sumValue, SUMIFS(
        PNS_data[Value],
        PNS_data[Country], FR_data[[#This Row],[Country]],
        PNS_data[National Society name], selected,
        PNS_data[Attribute], "SP3",
        PNS_data[Year], "2027"
    ),
    IF(_xlpm.sumValue = 0, "", _xlpm.sumValue)
)</f>
        <v/>
      </c>
      <c r="O121" s="31" t="str">
        <f>_xlfn.LET(
    _xlpm.sumValue, SUMIFS(
        PNS_data[Value],
        PNS_data[Country], FR_data[[#This Row],[Country]],
        PNS_data[National Society name], selected,
        PNS_data[Attribute], "SP4",
        PNS_data[Year], "2027"
    ),
    IF(_xlpm.sumValue = 0, "", _xlpm.sumValue)
)</f>
        <v/>
      </c>
      <c r="P121" s="31" t="str">
        <f>_xlfn.LET(
    _xlpm.sumValue, SUMIFS(
        PNS_data[Value],
        PNS_data[Country], FR_data[[#This Row],[Country]],
        PNS_data[National Society name], selected,
        PNS_data[Attribute], "SP5",
        PNS_data[Year], "2027"
    ),
    IF(_xlpm.sumValue = 0, "", _xlpm.sumValue)
)</f>
        <v/>
      </c>
      <c r="Q121" s="31" t="str">
        <f>_xlfn.LET(
    _xlpm.sumValue, SUMIFS(
        PNS_data[Value],
        PNS_data[Country], FR_data[[#This Row],[Country]],
        PNS_data[National Society name], selected,
        PNS_data[Attribute], "EFs",
        PNS_data[Year], "2027"
    ),
    IF(_xlpm.sumValue = 0, "", _xlpm.sumValue)
)</f>
        <v/>
      </c>
      <c r="R121" s="32" t="str">
        <f>IF(SUM(FR_data[[#This Row],[Response - Disasters and Crises ]:[Enabling Functions ]])=0,"",SUM(FR_data[[#This Row],[Response - Disasters and Crises ]:[Enabling Functions ]]))</f>
        <v/>
      </c>
      <c r="S121" s="39"/>
      <c r="T121" s="30" t="str">
        <f>_xlfn.LET(
    _xlpm.sumValue, SUMIFS(
        PNS_data[Value],
        PNS_data[Country], FR_data[[#This Row],[Country]],
        PNS_data[National Society name], selected,
        PNS_data[Attribute], "SP1",
        PNS_data[Year], "2028"
    ),
    IF(_xlpm.sumValue = 0, "", _xlpm.sumValue)
)</f>
        <v/>
      </c>
      <c r="U121" s="31" t="str">
        <f>_xlfn.LET(
    _xlpm.sumValue, SUMIFS(
        PNS_data[Value],
        PNS_data[Country], FR_data[[#This Row],[Country]],
        PNS_data[National Society name], selected,
        PNS_data[Attribute], "SP2",
        PNS_data[Year], "2028"
    ),
    IF(_xlpm.sumValue = 0, "", _xlpm.sumValue)
)</f>
        <v/>
      </c>
      <c r="V121" s="31" t="str">
        <f>_xlfn.LET(
    _xlpm.sumValue, SUMIFS(
        PNS_data[Value],
        PNS_data[Country], FR_data[[#This Row],[Country]],
        PNS_data[National Society name], selected,
        PNS_data[Attribute], "SP3",
        PNS_data[Year], "2028"
    ),
    IF(_xlpm.sumValue = 0, "", _xlpm.sumValue)
)</f>
        <v/>
      </c>
      <c r="W121" s="31" t="str">
        <f>_xlfn.LET(
    _xlpm.sumValue, SUMIFS(
        PNS_data[Value],
        PNS_data[Country], FR_data[[#This Row],[Country]],
        PNS_data[National Society name], selected,
        PNS_data[Attribute], "SP4",
        PNS_data[Year], "2028"
    ),
    IF(_xlpm.sumValue = 0, "", _xlpm.sumValue)
)</f>
        <v/>
      </c>
      <c r="X121" s="31" t="str">
        <f>_xlfn.LET(
    _xlpm.sumValue, SUMIFS(
        PNS_data[Value],
        PNS_data[Country], FR_data[[#This Row],[Country]],
        PNS_data[National Society name], selected,
        PNS_data[Attribute], "SP5",
        PNS_data[Year], "2028"
    ),
    IF(_xlpm.sumValue = 0, "", _xlpm.sumValue)
)</f>
        <v/>
      </c>
      <c r="Y121" s="31" t="str">
        <f>_xlfn.LET(
    _xlpm.sumValue, SUMIFS(
        PNS_data[Value],
        PNS_data[Country], FR_data[[#This Row],[Country]],
        PNS_data[National Society name], selected,
        PNS_data[Attribute], "EFs",
        PNS_data[Year], "2028"
    ),
    IF(_xlpm.sumValue = 0, "", _xlpm.sumValue)
)</f>
        <v/>
      </c>
      <c r="Z121" s="32" t="str">
        <f>IF(SUM(FR_data[[#This Row],[Response - Disasters and Crises  ]:[Enabling Functions  ]])=0,"",SUM(FR_data[[#This Row],[Response - Disasters and Crises  ]:[Enabling Functions  ]]))</f>
        <v/>
      </c>
      <c r="AA121" s="41"/>
    </row>
    <row r="122" spans="1:27" x14ac:dyDescent="0.3">
      <c r="A122" s="11" t="s">
        <v>310</v>
      </c>
      <c r="B122" s="11" t="s">
        <v>98</v>
      </c>
      <c r="C122" s="11" t="s">
        <v>44</v>
      </c>
      <c r="D122" s="30" t="str">
        <f>_xlfn.LET(
    _xlpm.sumValue, SUMIFS(
        PNS_data[Value],
        PNS_data[Country], FR_data[[#This Row],[Country]],
        PNS_data[National Society name], selected,
        PNS_data[Attribute], "SP1",
        PNS_data[Year], "2026"
    ),
    IF(_xlpm.sumValue = 0, "", _xlpm.sumValue)
)</f>
        <v/>
      </c>
      <c r="E122" s="31" t="str">
        <f>_xlfn.LET(
    _xlpm.sumValue, SUMIFS(
        PNS_data[Value],
        PNS_data[Country], FR_data[[#This Row],[Country]],
        PNS_data[National Society name], selected,
        PNS_data[Attribute], "SP2",
        PNS_data[Year], "2026"
    ),
    IF(_xlpm.sumValue = 0, "", _xlpm.sumValue)
)</f>
        <v/>
      </c>
      <c r="F122" s="31" t="str">
        <f>_xlfn.LET(
    _xlpm.sumValue, SUMIFS(
        PNS_data[Value],
        PNS_data[Country], FR_data[[#This Row],[Country]],
        PNS_data[National Society name], selected,
        PNS_data[Attribute], "SP3",
        PNS_data[Year], "2026"
    ),
    IF(_xlpm.sumValue = 0, "", _xlpm.sumValue)
)</f>
        <v/>
      </c>
      <c r="G122" s="31" t="str">
        <f>_xlfn.LET(
    _xlpm.sumValue, SUMIFS(
        PNS_data[Value],
        PNS_data[Country], FR_data[[#This Row],[Country]],
        PNS_data[National Society name], selected,
        PNS_data[Attribute], "SP4",
        PNS_data[Year], "2026"
    ),
    IF(_xlpm.sumValue = 0, "", _xlpm.sumValue)
)</f>
        <v/>
      </c>
      <c r="H122" s="31" t="str">
        <f>_xlfn.LET(
    _xlpm.sumValue, SUMIFS(
        PNS_data[Value],
        PNS_data[Country], FR_data[[#This Row],[Country]],
        PNS_data[National Society name], selected,
        PNS_data[Attribute], "SP5",
        PNS_data[Year], "2026"
    ),
    IF(_xlpm.sumValue = 0, "", _xlpm.sumValue)
)</f>
        <v/>
      </c>
      <c r="I122" s="31" t="str">
        <f>_xlfn.LET(
    _xlpm.sumValue, SUMIFS(
        PNS_data[Value],
        PNS_data[Country], FR_data[[#This Row],[Country]],
        PNS_data[National Society name], selected,
        PNS_data[Attribute], "EFs",
        PNS_data[Year], "2026"
    ),
    IF(_xlpm.sumValue = 0, "", _xlpm.sumValue)
)</f>
        <v/>
      </c>
      <c r="J122" s="32" t="str">
        <f>IF(SUM(FR_data[[#This Row],[Response - Disasters and Crises]:[Enabling Functions]])=0,"",SUM(FR_data[[#This Row],[Response - Disasters and Crises]:[Enabling Functions]]))</f>
        <v/>
      </c>
      <c r="K122" s="39"/>
      <c r="L122" s="30" t="str">
        <f>_xlfn.LET(
    _xlpm.sumValue, SUMIFS(
        PNS_data[Value],
        PNS_data[Country], FR_data[[#This Row],[Country]],
        PNS_data[National Society name], selected,
        PNS_data[Attribute], "SP1",
        PNS_data[Year], "2027"
    ),
    IF(_xlpm.sumValue = 0, "", _xlpm.sumValue)
)</f>
        <v/>
      </c>
      <c r="M122" s="31" t="str">
        <f>_xlfn.LET(
    _xlpm.sumValue, SUMIFS(
        PNS_data[Value],
        PNS_data[Country], FR_data[[#This Row],[Country]],
        PNS_data[National Society name], selected,
        PNS_data[Attribute], "SP2",
        PNS_data[Year], "2027"
    ),
    IF(_xlpm.sumValue = 0, "", _xlpm.sumValue)
)</f>
        <v/>
      </c>
      <c r="N122" s="31" t="str">
        <f>_xlfn.LET(
    _xlpm.sumValue, SUMIFS(
        PNS_data[Value],
        PNS_data[Country], FR_data[[#This Row],[Country]],
        PNS_data[National Society name], selected,
        PNS_data[Attribute], "SP3",
        PNS_data[Year], "2027"
    ),
    IF(_xlpm.sumValue = 0, "", _xlpm.sumValue)
)</f>
        <v/>
      </c>
      <c r="O122" s="31" t="str">
        <f>_xlfn.LET(
    _xlpm.sumValue, SUMIFS(
        PNS_data[Value],
        PNS_data[Country], FR_data[[#This Row],[Country]],
        PNS_data[National Society name], selected,
        PNS_data[Attribute], "SP4",
        PNS_data[Year], "2027"
    ),
    IF(_xlpm.sumValue = 0, "", _xlpm.sumValue)
)</f>
        <v/>
      </c>
      <c r="P122" s="31" t="str">
        <f>_xlfn.LET(
    _xlpm.sumValue, SUMIFS(
        PNS_data[Value],
        PNS_data[Country], FR_data[[#This Row],[Country]],
        PNS_data[National Society name], selected,
        PNS_data[Attribute], "SP5",
        PNS_data[Year], "2027"
    ),
    IF(_xlpm.sumValue = 0, "", _xlpm.sumValue)
)</f>
        <v/>
      </c>
      <c r="Q122" s="31" t="str">
        <f>_xlfn.LET(
    _xlpm.sumValue, SUMIFS(
        PNS_data[Value],
        PNS_data[Country], FR_data[[#This Row],[Country]],
        PNS_data[National Society name], selected,
        PNS_data[Attribute], "EFs",
        PNS_data[Year], "2027"
    ),
    IF(_xlpm.sumValue = 0, "", _xlpm.sumValue)
)</f>
        <v/>
      </c>
      <c r="R122" s="32" t="str">
        <f>IF(SUM(FR_data[[#This Row],[Response - Disasters and Crises ]:[Enabling Functions ]])=0,"",SUM(FR_data[[#This Row],[Response - Disasters and Crises ]:[Enabling Functions ]]))</f>
        <v/>
      </c>
      <c r="S122" s="39"/>
      <c r="T122" s="30" t="str">
        <f>_xlfn.LET(
    _xlpm.sumValue, SUMIFS(
        PNS_data[Value],
        PNS_data[Country], FR_data[[#This Row],[Country]],
        PNS_data[National Society name], selected,
        PNS_data[Attribute], "SP1",
        PNS_data[Year], "2028"
    ),
    IF(_xlpm.sumValue = 0, "", _xlpm.sumValue)
)</f>
        <v/>
      </c>
      <c r="U122" s="31" t="str">
        <f>_xlfn.LET(
    _xlpm.sumValue, SUMIFS(
        PNS_data[Value],
        PNS_data[Country], FR_data[[#This Row],[Country]],
        PNS_data[National Society name], selected,
        PNS_data[Attribute], "SP2",
        PNS_data[Year], "2028"
    ),
    IF(_xlpm.sumValue = 0, "", _xlpm.sumValue)
)</f>
        <v/>
      </c>
      <c r="V122" s="31" t="str">
        <f>_xlfn.LET(
    _xlpm.sumValue, SUMIFS(
        PNS_data[Value],
        PNS_data[Country], FR_data[[#This Row],[Country]],
        PNS_data[National Society name], selected,
        PNS_data[Attribute], "SP3",
        PNS_data[Year], "2028"
    ),
    IF(_xlpm.sumValue = 0, "", _xlpm.sumValue)
)</f>
        <v/>
      </c>
      <c r="W122" s="31" t="str">
        <f>_xlfn.LET(
    _xlpm.sumValue, SUMIFS(
        PNS_data[Value],
        PNS_data[Country], FR_data[[#This Row],[Country]],
        PNS_data[National Society name], selected,
        PNS_data[Attribute], "SP4",
        PNS_data[Year], "2028"
    ),
    IF(_xlpm.sumValue = 0, "", _xlpm.sumValue)
)</f>
        <v/>
      </c>
      <c r="X122" s="31" t="str">
        <f>_xlfn.LET(
    _xlpm.sumValue, SUMIFS(
        PNS_data[Value],
        PNS_data[Country], FR_data[[#This Row],[Country]],
        PNS_data[National Society name], selected,
        PNS_data[Attribute], "SP5",
        PNS_data[Year], "2028"
    ),
    IF(_xlpm.sumValue = 0, "", _xlpm.sumValue)
)</f>
        <v/>
      </c>
      <c r="Y122" s="31" t="str">
        <f>_xlfn.LET(
    _xlpm.sumValue, SUMIFS(
        PNS_data[Value],
        PNS_data[Country], FR_data[[#This Row],[Country]],
        PNS_data[National Society name], selected,
        PNS_data[Attribute], "EFs",
        PNS_data[Year], "2028"
    ),
    IF(_xlpm.sumValue = 0, "", _xlpm.sumValue)
)</f>
        <v/>
      </c>
      <c r="Z122" s="32" t="str">
        <f>IF(SUM(FR_data[[#This Row],[Response - Disasters and Crises  ]:[Enabling Functions  ]])=0,"",SUM(FR_data[[#This Row],[Response - Disasters and Crises  ]:[Enabling Functions  ]]))</f>
        <v/>
      </c>
      <c r="AA122" s="41"/>
    </row>
    <row r="123" spans="1:27" x14ac:dyDescent="0.3">
      <c r="A123" s="11" t="s">
        <v>399</v>
      </c>
      <c r="B123" s="11" t="s">
        <v>98</v>
      </c>
      <c r="C123" s="11" t="s">
        <v>400</v>
      </c>
      <c r="D123" s="30" t="str">
        <f>_xlfn.LET(
    _xlpm.sumValue, SUMIFS(
        PNS_data[Value],
        PNS_data[Country], FR_data[[#This Row],[Country]],
        PNS_data[National Society name], selected,
        PNS_data[Attribute], "SP1",
        PNS_data[Year], "2026"
    ),
    IF(_xlpm.sumValue = 0, "", _xlpm.sumValue)
)</f>
        <v/>
      </c>
      <c r="E123" s="31" t="str">
        <f>_xlfn.LET(
    _xlpm.sumValue, SUMIFS(
        PNS_data[Value],
        PNS_data[Country], FR_data[[#This Row],[Country]],
        PNS_data[National Society name], selected,
        PNS_data[Attribute], "SP2",
        PNS_data[Year], "2026"
    ),
    IF(_xlpm.sumValue = 0, "", _xlpm.sumValue)
)</f>
        <v/>
      </c>
      <c r="F123" s="31" t="str">
        <f>_xlfn.LET(
    _xlpm.sumValue, SUMIFS(
        PNS_data[Value],
        PNS_data[Country], FR_data[[#This Row],[Country]],
        PNS_data[National Society name], selected,
        PNS_data[Attribute], "SP3",
        PNS_data[Year], "2026"
    ),
    IF(_xlpm.sumValue = 0, "", _xlpm.sumValue)
)</f>
        <v/>
      </c>
      <c r="G123" s="31" t="str">
        <f>_xlfn.LET(
    _xlpm.sumValue, SUMIFS(
        PNS_data[Value],
        PNS_data[Country], FR_data[[#This Row],[Country]],
        PNS_data[National Society name], selected,
        PNS_data[Attribute], "SP4",
        PNS_data[Year], "2026"
    ),
    IF(_xlpm.sumValue = 0, "", _xlpm.sumValue)
)</f>
        <v/>
      </c>
      <c r="H123" s="31" t="str">
        <f>_xlfn.LET(
    _xlpm.sumValue, SUMIFS(
        PNS_data[Value],
        PNS_data[Country], FR_data[[#This Row],[Country]],
        PNS_data[National Society name], selected,
        PNS_data[Attribute], "SP5",
        PNS_data[Year], "2026"
    ),
    IF(_xlpm.sumValue = 0, "", _xlpm.sumValue)
)</f>
        <v/>
      </c>
      <c r="I123" s="31" t="str">
        <f>_xlfn.LET(
    _xlpm.sumValue, SUMIFS(
        PNS_data[Value],
        PNS_data[Country], FR_data[[#This Row],[Country]],
        PNS_data[National Society name], selected,
        PNS_data[Attribute], "EFs",
        PNS_data[Year], "2026"
    ),
    IF(_xlpm.sumValue = 0, "", _xlpm.sumValue)
)</f>
        <v/>
      </c>
      <c r="J123" s="32" t="str">
        <f>IF(SUM(FR_data[[#This Row],[Response - Disasters and Crises]:[Enabling Functions]])=0,"",SUM(FR_data[[#This Row],[Response - Disasters and Crises]:[Enabling Functions]]))</f>
        <v/>
      </c>
      <c r="K123" s="39"/>
      <c r="L123" s="30" t="str">
        <f>_xlfn.LET(
    _xlpm.sumValue, SUMIFS(
        PNS_data[Value],
        PNS_data[Country], FR_data[[#This Row],[Country]],
        PNS_data[National Society name], selected,
        PNS_data[Attribute], "SP1",
        PNS_data[Year], "2027"
    ),
    IF(_xlpm.sumValue = 0, "", _xlpm.sumValue)
)</f>
        <v/>
      </c>
      <c r="M123" s="31" t="str">
        <f>_xlfn.LET(
    _xlpm.sumValue, SUMIFS(
        PNS_data[Value],
        PNS_data[Country], FR_data[[#This Row],[Country]],
        PNS_data[National Society name], selected,
        PNS_data[Attribute], "SP2",
        PNS_data[Year], "2027"
    ),
    IF(_xlpm.sumValue = 0, "", _xlpm.sumValue)
)</f>
        <v/>
      </c>
      <c r="N123" s="31" t="str">
        <f>_xlfn.LET(
    _xlpm.sumValue, SUMIFS(
        PNS_data[Value],
        PNS_data[Country], FR_data[[#This Row],[Country]],
        PNS_data[National Society name], selected,
        PNS_data[Attribute], "SP3",
        PNS_data[Year], "2027"
    ),
    IF(_xlpm.sumValue = 0, "", _xlpm.sumValue)
)</f>
        <v/>
      </c>
      <c r="O123" s="31" t="str">
        <f>_xlfn.LET(
    _xlpm.sumValue, SUMIFS(
        PNS_data[Value],
        PNS_data[Country], FR_data[[#This Row],[Country]],
        PNS_data[National Society name], selected,
        PNS_data[Attribute], "SP4",
        PNS_data[Year], "2027"
    ),
    IF(_xlpm.sumValue = 0, "", _xlpm.sumValue)
)</f>
        <v/>
      </c>
      <c r="P123" s="31" t="str">
        <f>_xlfn.LET(
    _xlpm.sumValue, SUMIFS(
        PNS_data[Value],
        PNS_data[Country], FR_data[[#This Row],[Country]],
        PNS_data[National Society name], selected,
        PNS_data[Attribute], "SP5",
        PNS_data[Year], "2027"
    ),
    IF(_xlpm.sumValue = 0, "", _xlpm.sumValue)
)</f>
        <v/>
      </c>
      <c r="Q123" s="31" t="str">
        <f>_xlfn.LET(
    _xlpm.sumValue, SUMIFS(
        PNS_data[Value],
        PNS_data[Country], FR_data[[#This Row],[Country]],
        PNS_data[National Society name], selected,
        PNS_data[Attribute], "EFs",
        PNS_data[Year], "2027"
    ),
    IF(_xlpm.sumValue = 0, "", _xlpm.sumValue)
)</f>
        <v/>
      </c>
      <c r="R123" s="32" t="str">
        <f>IF(SUM(FR_data[[#This Row],[Response - Disasters and Crises ]:[Enabling Functions ]])=0,"",SUM(FR_data[[#This Row],[Response - Disasters and Crises ]:[Enabling Functions ]]))</f>
        <v/>
      </c>
      <c r="S123" s="39"/>
      <c r="T123" s="30" t="str">
        <f>_xlfn.LET(
    _xlpm.sumValue, SUMIFS(
        PNS_data[Value],
        PNS_data[Country], FR_data[[#This Row],[Country]],
        PNS_data[National Society name], selected,
        PNS_data[Attribute], "SP1",
        PNS_data[Year], "2028"
    ),
    IF(_xlpm.sumValue = 0, "", _xlpm.sumValue)
)</f>
        <v/>
      </c>
      <c r="U123" s="31" t="str">
        <f>_xlfn.LET(
    _xlpm.sumValue, SUMIFS(
        PNS_data[Value],
        PNS_data[Country], FR_data[[#This Row],[Country]],
        PNS_data[National Society name], selected,
        PNS_data[Attribute], "SP2",
        PNS_data[Year], "2028"
    ),
    IF(_xlpm.sumValue = 0, "", _xlpm.sumValue)
)</f>
        <v/>
      </c>
      <c r="V123" s="31" t="str">
        <f>_xlfn.LET(
    _xlpm.sumValue, SUMIFS(
        PNS_data[Value],
        PNS_data[Country], FR_data[[#This Row],[Country]],
        PNS_data[National Society name], selected,
        PNS_data[Attribute], "SP3",
        PNS_data[Year], "2028"
    ),
    IF(_xlpm.sumValue = 0, "", _xlpm.sumValue)
)</f>
        <v/>
      </c>
      <c r="W123" s="31" t="str">
        <f>_xlfn.LET(
    _xlpm.sumValue, SUMIFS(
        PNS_data[Value],
        PNS_data[Country], FR_data[[#This Row],[Country]],
        PNS_data[National Society name], selected,
        PNS_data[Attribute], "SP4",
        PNS_data[Year], "2028"
    ),
    IF(_xlpm.sumValue = 0, "", _xlpm.sumValue)
)</f>
        <v/>
      </c>
      <c r="X123" s="31" t="str">
        <f>_xlfn.LET(
    _xlpm.sumValue, SUMIFS(
        PNS_data[Value],
        PNS_data[Country], FR_data[[#This Row],[Country]],
        PNS_data[National Society name], selected,
        PNS_data[Attribute], "SP5",
        PNS_data[Year], "2028"
    ),
    IF(_xlpm.sumValue = 0, "", _xlpm.sumValue)
)</f>
        <v/>
      </c>
      <c r="Y123" s="31" t="str">
        <f>_xlfn.LET(
    _xlpm.sumValue, SUMIFS(
        PNS_data[Value],
        PNS_data[Country], FR_data[[#This Row],[Country]],
        PNS_data[National Society name], selected,
        PNS_data[Attribute], "EFs",
        PNS_data[Year], "2028"
    ),
    IF(_xlpm.sumValue = 0, "", _xlpm.sumValue)
)</f>
        <v/>
      </c>
      <c r="Z123" s="32" t="str">
        <f>IF(SUM(FR_data[[#This Row],[Response - Disasters and Crises  ]:[Enabling Functions  ]])=0,"",SUM(FR_data[[#This Row],[Response - Disasters and Crises  ]:[Enabling Functions  ]]))</f>
        <v/>
      </c>
      <c r="AA123" s="41"/>
    </row>
    <row r="124" spans="1:27" x14ac:dyDescent="0.3">
      <c r="A124" s="11" t="s">
        <v>345</v>
      </c>
      <c r="B124" s="11" t="s">
        <v>98</v>
      </c>
      <c r="C124" s="11" t="s">
        <v>346</v>
      </c>
      <c r="D124" s="30" t="str">
        <f>_xlfn.LET(
    _xlpm.sumValue, SUMIFS(
        PNS_data[Value],
        PNS_data[Country], FR_data[[#This Row],[Country]],
        PNS_data[National Society name], selected,
        PNS_data[Attribute], "SP1",
        PNS_data[Year], "2026"
    ),
    IF(_xlpm.sumValue = 0, "", _xlpm.sumValue)
)</f>
        <v/>
      </c>
      <c r="E124" s="31" t="str">
        <f>_xlfn.LET(
    _xlpm.sumValue, SUMIFS(
        PNS_data[Value],
        PNS_data[Country], FR_data[[#This Row],[Country]],
        PNS_data[National Society name], selected,
        PNS_data[Attribute], "SP2",
        PNS_data[Year], "2026"
    ),
    IF(_xlpm.sumValue = 0, "", _xlpm.sumValue)
)</f>
        <v/>
      </c>
      <c r="F124" s="31" t="str">
        <f>_xlfn.LET(
    _xlpm.sumValue, SUMIFS(
        PNS_data[Value],
        PNS_data[Country], FR_data[[#This Row],[Country]],
        PNS_data[National Society name], selected,
        PNS_data[Attribute], "SP3",
        PNS_data[Year], "2026"
    ),
    IF(_xlpm.sumValue = 0, "", _xlpm.sumValue)
)</f>
        <v/>
      </c>
      <c r="G124" s="31" t="str">
        <f>_xlfn.LET(
    _xlpm.sumValue, SUMIFS(
        PNS_data[Value],
        PNS_data[Country], FR_data[[#This Row],[Country]],
        PNS_data[National Society name], selected,
        PNS_data[Attribute], "SP4",
        PNS_data[Year], "2026"
    ),
    IF(_xlpm.sumValue = 0, "", _xlpm.sumValue)
)</f>
        <v/>
      </c>
      <c r="H124" s="31" t="str">
        <f>_xlfn.LET(
    _xlpm.sumValue, SUMIFS(
        PNS_data[Value],
        PNS_data[Country], FR_data[[#This Row],[Country]],
        PNS_data[National Society name], selected,
        PNS_data[Attribute], "SP5",
        PNS_data[Year], "2026"
    ),
    IF(_xlpm.sumValue = 0, "", _xlpm.sumValue)
)</f>
        <v/>
      </c>
      <c r="I124" s="31" t="str">
        <f>_xlfn.LET(
    _xlpm.sumValue, SUMIFS(
        PNS_data[Value],
        PNS_data[Country], FR_data[[#This Row],[Country]],
        PNS_data[National Society name], selected,
        PNS_data[Attribute], "EFs",
        PNS_data[Year], "2026"
    ),
    IF(_xlpm.sumValue = 0, "", _xlpm.sumValue)
)</f>
        <v/>
      </c>
      <c r="J124" s="32" t="str">
        <f>IF(SUM(FR_data[[#This Row],[Response - Disasters and Crises]:[Enabling Functions]])=0,"",SUM(FR_data[[#This Row],[Response - Disasters and Crises]:[Enabling Functions]]))</f>
        <v/>
      </c>
      <c r="K124" s="39"/>
      <c r="L124" s="30" t="str">
        <f>_xlfn.LET(
    _xlpm.sumValue, SUMIFS(
        PNS_data[Value],
        PNS_data[Country], FR_data[[#This Row],[Country]],
        PNS_data[National Society name], selected,
        PNS_data[Attribute], "SP1",
        PNS_data[Year], "2027"
    ),
    IF(_xlpm.sumValue = 0, "", _xlpm.sumValue)
)</f>
        <v/>
      </c>
      <c r="M124" s="31" t="str">
        <f>_xlfn.LET(
    _xlpm.sumValue, SUMIFS(
        PNS_data[Value],
        PNS_data[Country], FR_data[[#This Row],[Country]],
        PNS_data[National Society name], selected,
        PNS_data[Attribute], "SP2",
        PNS_data[Year], "2027"
    ),
    IF(_xlpm.sumValue = 0, "", _xlpm.sumValue)
)</f>
        <v/>
      </c>
      <c r="N124" s="31" t="str">
        <f>_xlfn.LET(
    _xlpm.sumValue, SUMIFS(
        PNS_data[Value],
        PNS_data[Country], FR_data[[#This Row],[Country]],
        PNS_data[National Society name], selected,
        PNS_data[Attribute], "SP3",
        PNS_data[Year], "2027"
    ),
    IF(_xlpm.sumValue = 0, "", _xlpm.sumValue)
)</f>
        <v/>
      </c>
      <c r="O124" s="31" t="str">
        <f>_xlfn.LET(
    _xlpm.sumValue, SUMIFS(
        PNS_data[Value],
        PNS_data[Country], FR_data[[#This Row],[Country]],
        PNS_data[National Society name], selected,
        PNS_data[Attribute], "SP4",
        PNS_data[Year], "2027"
    ),
    IF(_xlpm.sumValue = 0, "", _xlpm.sumValue)
)</f>
        <v/>
      </c>
      <c r="P124" s="31" t="str">
        <f>_xlfn.LET(
    _xlpm.sumValue, SUMIFS(
        PNS_data[Value],
        PNS_data[Country], FR_data[[#This Row],[Country]],
        PNS_data[National Society name], selected,
        PNS_data[Attribute], "SP5",
        PNS_data[Year], "2027"
    ),
    IF(_xlpm.sumValue = 0, "", _xlpm.sumValue)
)</f>
        <v/>
      </c>
      <c r="Q124" s="31" t="str">
        <f>_xlfn.LET(
    _xlpm.sumValue, SUMIFS(
        PNS_data[Value],
        PNS_data[Country], FR_data[[#This Row],[Country]],
        PNS_data[National Society name], selected,
        PNS_data[Attribute], "EFs",
        PNS_data[Year], "2027"
    ),
    IF(_xlpm.sumValue = 0, "", _xlpm.sumValue)
)</f>
        <v/>
      </c>
      <c r="R124" s="32" t="str">
        <f>IF(SUM(FR_data[[#This Row],[Response - Disasters and Crises ]:[Enabling Functions ]])=0,"",SUM(FR_data[[#This Row],[Response - Disasters and Crises ]:[Enabling Functions ]]))</f>
        <v/>
      </c>
      <c r="S124" s="39"/>
      <c r="T124" s="30" t="str">
        <f>_xlfn.LET(
    _xlpm.sumValue, SUMIFS(
        PNS_data[Value],
        PNS_data[Country], FR_data[[#This Row],[Country]],
        PNS_data[National Society name], selected,
        PNS_data[Attribute], "SP1",
        PNS_data[Year], "2028"
    ),
    IF(_xlpm.sumValue = 0, "", _xlpm.sumValue)
)</f>
        <v/>
      </c>
      <c r="U124" s="31" t="str">
        <f>_xlfn.LET(
    _xlpm.sumValue, SUMIFS(
        PNS_data[Value],
        PNS_data[Country], FR_data[[#This Row],[Country]],
        PNS_data[National Society name], selected,
        PNS_data[Attribute], "SP2",
        PNS_data[Year], "2028"
    ),
    IF(_xlpm.sumValue = 0, "", _xlpm.sumValue)
)</f>
        <v/>
      </c>
      <c r="V124" s="31" t="str">
        <f>_xlfn.LET(
    _xlpm.sumValue, SUMIFS(
        PNS_data[Value],
        PNS_data[Country], FR_data[[#This Row],[Country]],
        PNS_data[National Society name], selected,
        PNS_data[Attribute], "SP3",
        PNS_data[Year], "2028"
    ),
    IF(_xlpm.sumValue = 0, "", _xlpm.sumValue)
)</f>
        <v/>
      </c>
      <c r="W124" s="31" t="str">
        <f>_xlfn.LET(
    _xlpm.sumValue, SUMIFS(
        PNS_data[Value],
        PNS_data[Country], FR_data[[#This Row],[Country]],
        PNS_data[National Society name], selected,
        PNS_data[Attribute], "SP4",
        PNS_data[Year], "2028"
    ),
    IF(_xlpm.sumValue = 0, "", _xlpm.sumValue)
)</f>
        <v/>
      </c>
      <c r="X124" s="31" t="str">
        <f>_xlfn.LET(
    _xlpm.sumValue, SUMIFS(
        PNS_data[Value],
        PNS_data[Country], FR_data[[#This Row],[Country]],
        PNS_data[National Society name], selected,
        PNS_data[Attribute], "SP5",
        PNS_data[Year], "2028"
    ),
    IF(_xlpm.sumValue = 0, "", _xlpm.sumValue)
)</f>
        <v/>
      </c>
      <c r="Y124" s="31" t="str">
        <f>_xlfn.LET(
    _xlpm.sumValue, SUMIFS(
        PNS_data[Value],
        PNS_data[Country], FR_data[[#This Row],[Country]],
        PNS_data[National Society name], selected,
        PNS_data[Attribute], "EFs",
        PNS_data[Year], "2028"
    ),
    IF(_xlpm.sumValue = 0, "", _xlpm.sumValue)
)</f>
        <v/>
      </c>
      <c r="Z124" s="32" t="str">
        <f>IF(SUM(FR_data[[#This Row],[Response - Disasters and Crises  ]:[Enabling Functions  ]])=0,"",SUM(FR_data[[#This Row],[Response - Disasters and Crises  ]:[Enabling Functions  ]]))</f>
        <v/>
      </c>
      <c r="AA124" s="41"/>
    </row>
    <row r="125" spans="1:27" x14ac:dyDescent="0.3">
      <c r="A125" s="11" t="s">
        <v>338</v>
      </c>
      <c r="B125" s="11" t="s">
        <v>98</v>
      </c>
      <c r="C125" s="11" t="s">
        <v>339</v>
      </c>
      <c r="D125" s="30" t="str">
        <f>_xlfn.LET(
    _xlpm.sumValue, SUMIFS(
        PNS_data[Value],
        PNS_data[Country], FR_data[[#This Row],[Country]],
        PNS_data[National Society name], selected,
        PNS_data[Attribute], "SP1",
        PNS_data[Year], "2026"
    ),
    IF(_xlpm.sumValue = 0, "", _xlpm.sumValue)
)</f>
        <v/>
      </c>
      <c r="E125" s="31" t="str">
        <f>_xlfn.LET(
    _xlpm.sumValue, SUMIFS(
        PNS_data[Value],
        PNS_data[Country], FR_data[[#This Row],[Country]],
        PNS_data[National Society name], selected,
        PNS_data[Attribute], "SP2",
        PNS_data[Year], "2026"
    ),
    IF(_xlpm.sumValue = 0, "", _xlpm.sumValue)
)</f>
        <v/>
      </c>
      <c r="F125" s="31" t="str">
        <f>_xlfn.LET(
    _xlpm.sumValue, SUMIFS(
        PNS_data[Value],
        PNS_data[Country], FR_data[[#This Row],[Country]],
        PNS_data[National Society name], selected,
        PNS_data[Attribute], "SP3",
        PNS_data[Year], "2026"
    ),
    IF(_xlpm.sumValue = 0, "", _xlpm.sumValue)
)</f>
        <v/>
      </c>
      <c r="G125" s="31" t="str">
        <f>_xlfn.LET(
    _xlpm.sumValue, SUMIFS(
        PNS_data[Value],
        PNS_data[Country], FR_data[[#This Row],[Country]],
        PNS_data[National Society name], selected,
        PNS_data[Attribute], "SP4",
        PNS_data[Year], "2026"
    ),
    IF(_xlpm.sumValue = 0, "", _xlpm.sumValue)
)</f>
        <v/>
      </c>
      <c r="H125" s="31" t="str">
        <f>_xlfn.LET(
    _xlpm.sumValue, SUMIFS(
        PNS_data[Value],
        PNS_data[Country], FR_data[[#This Row],[Country]],
        PNS_data[National Society name], selected,
        PNS_data[Attribute], "SP5",
        PNS_data[Year], "2026"
    ),
    IF(_xlpm.sumValue = 0, "", _xlpm.sumValue)
)</f>
        <v/>
      </c>
      <c r="I125" s="31" t="str">
        <f>_xlfn.LET(
    _xlpm.sumValue, SUMIFS(
        PNS_data[Value],
        PNS_data[Country], FR_data[[#This Row],[Country]],
        PNS_data[National Society name], selected,
        PNS_data[Attribute], "EFs",
        PNS_data[Year], "2026"
    ),
    IF(_xlpm.sumValue = 0, "", _xlpm.sumValue)
)</f>
        <v/>
      </c>
      <c r="J125" s="32" t="str">
        <f>IF(SUM(FR_data[[#This Row],[Response - Disasters and Crises]:[Enabling Functions]])=0,"",SUM(FR_data[[#This Row],[Response - Disasters and Crises]:[Enabling Functions]]))</f>
        <v/>
      </c>
      <c r="K125" s="39"/>
      <c r="L125" s="30" t="str">
        <f>_xlfn.LET(
    _xlpm.sumValue, SUMIFS(
        PNS_data[Value],
        PNS_data[Country], FR_data[[#This Row],[Country]],
        PNS_data[National Society name], selected,
        PNS_data[Attribute], "SP1",
        PNS_data[Year], "2027"
    ),
    IF(_xlpm.sumValue = 0, "", _xlpm.sumValue)
)</f>
        <v/>
      </c>
      <c r="M125" s="31" t="str">
        <f>_xlfn.LET(
    _xlpm.sumValue, SUMIFS(
        PNS_data[Value],
        PNS_data[Country], FR_data[[#This Row],[Country]],
        PNS_data[National Society name], selected,
        PNS_data[Attribute], "SP2",
        PNS_data[Year], "2027"
    ),
    IF(_xlpm.sumValue = 0, "", _xlpm.sumValue)
)</f>
        <v/>
      </c>
      <c r="N125" s="31" t="str">
        <f>_xlfn.LET(
    _xlpm.sumValue, SUMIFS(
        PNS_data[Value],
        PNS_data[Country], FR_data[[#This Row],[Country]],
        PNS_data[National Society name], selected,
        PNS_data[Attribute], "SP3",
        PNS_data[Year], "2027"
    ),
    IF(_xlpm.sumValue = 0, "", _xlpm.sumValue)
)</f>
        <v/>
      </c>
      <c r="O125" s="31" t="str">
        <f>_xlfn.LET(
    _xlpm.sumValue, SUMIFS(
        PNS_data[Value],
        PNS_data[Country], FR_data[[#This Row],[Country]],
        PNS_data[National Society name], selected,
        PNS_data[Attribute], "SP4",
        PNS_data[Year], "2027"
    ),
    IF(_xlpm.sumValue = 0, "", _xlpm.sumValue)
)</f>
        <v/>
      </c>
      <c r="P125" s="31" t="str">
        <f>_xlfn.LET(
    _xlpm.sumValue, SUMIFS(
        PNS_data[Value],
        PNS_data[Country], FR_data[[#This Row],[Country]],
        PNS_data[National Society name], selected,
        PNS_data[Attribute], "SP5",
        PNS_data[Year], "2027"
    ),
    IF(_xlpm.sumValue = 0, "", _xlpm.sumValue)
)</f>
        <v/>
      </c>
      <c r="Q125" s="31" t="str">
        <f>_xlfn.LET(
    _xlpm.sumValue, SUMIFS(
        PNS_data[Value],
        PNS_data[Country], FR_data[[#This Row],[Country]],
        PNS_data[National Society name], selected,
        PNS_data[Attribute], "EFs",
        PNS_data[Year], "2027"
    ),
    IF(_xlpm.sumValue = 0, "", _xlpm.sumValue)
)</f>
        <v/>
      </c>
      <c r="R125" s="32" t="str">
        <f>IF(SUM(FR_data[[#This Row],[Response - Disasters and Crises ]:[Enabling Functions ]])=0,"",SUM(FR_data[[#This Row],[Response - Disasters and Crises ]:[Enabling Functions ]]))</f>
        <v/>
      </c>
      <c r="S125" s="39"/>
      <c r="T125" s="30" t="str">
        <f>_xlfn.LET(
    _xlpm.sumValue, SUMIFS(
        PNS_data[Value],
        PNS_data[Country], FR_data[[#This Row],[Country]],
        PNS_data[National Society name], selected,
        PNS_data[Attribute], "SP1",
        PNS_data[Year], "2028"
    ),
    IF(_xlpm.sumValue = 0, "", _xlpm.sumValue)
)</f>
        <v/>
      </c>
      <c r="U125" s="31" t="str">
        <f>_xlfn.LET(
    _xlpm.sumValue, SUMIFS(
        PNS_data[Value],
        PNS_data[Country], FR_data[[#This Row],[Country]],
        PNS_data[National Society name], selected,
        PNS_data[Attribute], "SP2",
        PNS_data[Year], "2028"
    ),
    IF(_xlpm.sumValue = 0, "", _xlpm.sumValue)
)</f>
        <v/>
      </c>
      <c r="V125" s="31" t="str">
        <f>_xlfn.LET(
    _xlpm.sumValue, SUMIFS(
        PNS_data[Value],
        PNS_data[Country], FR_data[[#This Row],[Country]],
        PNS_data[National Society name], selected,
        PNS_data[Attribute], "SP3",
        PNS_data[Year], "2028"
    ),
    IF(_xlpm.sumValue = 0, "", _xlpm.sumValue)
)</f>
        <v/>
      </c>
      <c r="W125" s="31" t="str">
        <f>_xlfn.LET(
    _xlpm.sumValue, SUMIFS(
        PNS_data[Value],
        PNS_data[Country], FR_data[[#This Row],[Country]],
        PNS_data[National Society name], selected,
        PNS_data[Attribute], "SP4",
        PNS_data[Year], "2028"
    ),
    IF(_xlpm.sumValue = 0, "", _xlpm.sumValue)
)</f>
        <v/>
      </c>
      <c r="X125" s="31" t="str">
        <f>_xlfn.LET(
    _xlpm.sumValue, SUMIFS(
        PNS_data[Value],
        PNS_data[Country], FR_data[[#This Row],[Country]],
        PNS_data[National Society name], selected,
        PNS_data[Attribute], "SP5",
        PNS_data[Year], "2028"
    ),
    IF(_xlpm.sumValue = 0, "", _xlpm.sumValue)
)</f>
        <v/>
      </c>
      <c r="Y125" s="31" t="str">
        <f>_xlfn.LET(
    _xlpm.sumValue, SUMIFS(
        PNS_data[Value],
        PNS_data[Country], FR_data[[#This Row],[Country]],
        PNS_data[National Society name], selected,
        PNS_data[Attribute], "EFs",
        PNS_data[Year], "2028"
    ),
    IF(_xlpm.sumValue = 0, "", _xlpm.sumValue)
)</f>
        <v/>
      </c>
      <c r="Z125" s="32" t="str">
        <f>IF(SUM(FR_data[[#This Row],[Response - Disasters and Crises  ]:[Enabling Functions  ]])=0,"",SUM(FR_data[[#This Row],[Response - Disasters and Crises  ]:[Enabling Functions  ]]))</f>
        <v/>
      </c>
      <c r="AA125" s="41"/>
    </row>
    <row r="126" spans="1:27" x14ac:dyDescent="0.3">
      <c r="A126" s="11" t="s">
        <v>311</v>
      </c>
      <c r="B126" s="11" t="s">
        <v>98</v>
      </c>
      <c r="C126" s="11" t="s">
        <v>312</v>
      </c>
      <c r="D126" s="30" t="str">
        <f>_xlfn.LET(
    _xlpm.sumValue, SUMIFS(
        PNS_data[Value],
        PNS_data[Country], FR_data[[#This Row],[Country]],
        PNS_data[National Society name], selected,
        PNS_data[Attribute], "SP1",
        PNS_data[Year], "2026"
    ),
    IF(_xlpm.sumValue = 0, "", _xlpm.sumValue)
)</f>
        <v/>
      </c>
      <c r="E126" s="31" t="str">
        <f>_xlfn.LET(
    _xlpm.sumValue, SUMIFS(
        PNS_data[Value],
        PNS_data[Country], FR_data[[#This Row],[Country]],
        PNS_data[National Society name], selected,
        PNS_data[Attribute], "SP2",
        PNS_data[Year], "2026"
    ),
    IF(_xlpm.sumValue = 0, "", _xlpm.sumValue)
)</f>
        <v/>
      </c>
      <c r="F126" s="31" t="str">
        <f>_xlfn.LET(
    _xlpm.sumValue, SUMIFS(
        PNS_data[Value],
        PNS_data[Country], FR_data[[#This Row],[Country]],
        PNS_data[National Society name], selected,
        PNS_data[Attribute], "SP3",
        PNS_data[Year], "2026"
    ),
    IF(_xlpm.sumValue = 0, "", _xlpm.sumValue)
)</f>
        <v/>
      </c>
      <c r="G126" s="31" t="str">
        <f>_xlfn.LET(
    _xlpm.sumValue, SUMIFS(
        PNS_data[Value],
        PNS_data[Country], FR_data[[#This Row],[Country]],
        PNS_data[National Society name], selected,
        PNS_data[Attribute], "SP4",
        PNS_data[Year], "2026"
    ),
    IF(_xlpm.sumValue = 0, "", _xlpm.sumValue)
)</f>
        <v/>
      </c>
      <c r="H126" s="31" t="str">
        <f>_xlfn.LET(
    _xlpm.sumValue, SUMIFS(
        PNS_data[Value],
        PNS_data[Country], FR_data[[#This Row],[Country]],
        PNS_data[National Society name], selected,
        PNS_data[Attribute], "SP5",
        PNS_data[Year], "2026"
    ),
    IF(_xlpm.sumValue = 0, "", _xlpm.sumValue)
)</f>
        <v/>
      </c>
      <c r="I126" s="31" t="str">
        <f>_xlfn.LET(
    _xlpm.sumValue, SUMIFS(
        PNS_data[Value],
        PNS_data[Country], FR_data[[#This Row],[Country]],
        PNS_data[National Society name], selected,
        PNS_data[Attribute], "EFs",
        PNS_data[Year], "2026"
    ),
    IF(_xlpm.sumValue = 0, "", _xlpm.sumValue)
)</f>
        <v/>
      </c>
      <c r="J126" s="32" t="str">
        <f>IF(SUM(FR_data[[#This Row],[Response - Disasters and Crises]:[Enabling Functions]])=0,"",SUM(FR_data[[#This Row],[Response - Disasters and Crises]:[Enabling Functions]]))</f>
        <v/>
      </c>
      <c r="K126" s="39"/>
      <c r="L126" s="30" t="str">
        <f>_xlfn.LET(
    _xlpm.sumValue, SUMIFS(
        PNS_data[Value],
        PNS_data[Country], FR_data[[#This Row],[Country]],
        PNS_data[National Society name], selected,
        PNS_data[Attribute], "SP1",
        PNS_data[Year], "2027"
    ),
    IF(_xlpm.sumValue = 0, "", _xlpm.sumValue)
)</f>
        <v/>
      </c>
      <c r="M126" s="31" t="str">
        <f>_xlfn.LET(
    _xlpm.sumValue, SUMIFS(
        PNS_data[Value],
        PNS_data[Country], FR_data[[#This Row],[Country]],
        PNS_data[National Society name], selected,
        PNS_data[Attribute], "SP2",
        PNS_data[Year], "2027"
    ),
    IF(_xlpm.sumValue = 0, "", _xlpm.sumValue)
)</f>
        <v/>
      </c>
      <c r="N126" s="31" t="str">
        <f>_xlfn.LET(
    _xlpm.sumValue, SUMIFS(
        PNS_data[Value],
        PNS_data[Country], FR_data[[#This Row],[Country]],
        PNS_data[National Society name], selected,
        PNS_data[Attribute], "SP3",
        PNS_data[Year], "2027"
    ),
    IF(_xlpm.sumValue = 0, "", _xlpm.sumValue)
)</f>
        <v/>
      </c>
      <c r="O126" s="31" t="str">
        <f>_xlfn.LET(
    _xlpm.sumValue, SUMIFS(
        PNS_data[Value],
        PNS_data[Country], FR_data[[#This Row],[Country]],
        PNS_data[National Society name], selected,
        PNS_data[Attribute], "SP4",
        PNS_data[Year], "2027"
    ),
    IF(_xlpm.sumValue = 0, "", _xlpm.sumValue)
)</f>
        <v/>
      </c>
      <c r="P126" s="31" t="str">
        <f>_xlfn.LET(
    _xlpm.sumValue, SUMIFS(
        PNS_data[Value],
        PNS_data[Country], FR_data[[#This Row],[Country]],
        PNS_data[National Society name], selected,
        PNS_data[Attribute], "SP5",
        PNS_data[Year], "2027"
    ),
    IF(_xlpm.sumValue = 0, "", _xlpm.sumValue)
)</f>
        <v/>
      </c>
      <c r="Q126" s="31" t="str">
        <f>_xlfn.LET(
    _xlpm.sumValue, SUMIFS(
        PNS_data[Value],
        PNS_data[Country], FR_data[[#This Row],[Country]],
        PNS_data[National Society name], selected,
        PNS_data[Attribute], "EFs",
        PNS_data[Year], "2027"
    ),
    IF(_xlpm.sumValue = 0, "", _xlpm.sumValue)
)</f>
        <v/>
      </c>
      <c r="R126" s="32" t="str">
        <f>IF(SUM(FR_data[[#This Row],[Response - Disasters and Crises ]:[Enabling Functions ]])=0,"",SUM(FR_data[[#This Row],[Response - Disasters and Crises ]:[Enabling Functions ]]))</f>
        <v/>
      </c>
      <c r="S126" s="39"/>
      <c r="T126" s="30" t="str">
        <f>_xlfn.LET(
    _xlpm.sumValue, SUMIFS(
        PNS_data[Value],
        PNS_data[Country], FR_data[[#This Row],[Country]],
        PNS_data[National Society name], selected,
        PNS_data[Attribute], "SP1",
        PNS_data[Year], "2028"
    ),
    IF(_xlpm.sumValue = 0, "", _xlpm.sumValue)
)</f>
        <v/>
      </c>
      <c r="U126" s="31" t="str">
        <f>_xlfn.LET(
    _xlpm.sumValue, SUMIFS(
        PNS_data[Value],
        PNS_data[Country], FR_data[[#This Row],[Country]],
        PNS_data[National Society name], selected,
        PNS_data[Attribute], "SP2",
        PNS_data[Year], "2028"
    ),
    IF(_xlpm.sumValue = 0, "", _xlpm.sumValue)
)</f>
        <v/>
      </c>
      <c r="V126" s="31" t="str">
        <f>_xlfn.LET(
    _xlpm.sumValue, SUMIFS(
        PNS_data[Value],
        PNS_data[Country], FR_data[[#This Row],[Country]],
        PNS_data[National Society name], selected,
        PNS_data[Attribute], "SP3",
        PNS_data[Year], "2028"
    ),
    IF(_xlpm.sumValue = 0, "", _xlpm.sumValue)
)</f>
        <v/>
      </c>
      <c r="W126" s="31" t="str">
        <f>_xlfn.LET(
    _xlpm.sumValue, SUMIFS(
        PNS_data[Value],
        PNS_data[Country], FR_data[[#This Row],[Country]],
        PNS_data[National Society name], selected,
        PNS_data[Attribute], "SP4",
        PNS_data[Year], "2028"
    ),
    IF(_xlpm.sumValue = 0, "", _xlpm.sumValue)
)</f>
        <v/>
      </c>
      <c r="X126" s="31" t="str">
        <f>_xlfn.LET(
    _xlpm.sumValue, SUMIFS(
        PNS_data[Value],
        PNS_data[Country], FR_data[[#This Row],[Country]],
        PNS_data[National Society name], selected,
        PNS_data[Attribute], "SP5",
        PNS_data[Year], "2028"
    ),
    IF(_xlpm.sumValue = 0, "", _xlpm.sumValue)
)</f>
        <v/>
      </c>
      <c r="Y126" s="31" t="str">
        <f>_xlfn.LET(
    _xlpm.sumValue, SUMIFS(
        PNS_data[Value],
        PNS_data[Country], FR_data[[#This Row],[Country]],
        PNS_data[National Society name], selected,
        PNS_data[Attribute], "EFs",
        PNS_data[Year], "2028"
    ),
    IF(_xlpm.sumValue = 0, "", _xlpm.sumValue)
)</f>
        <v/>
      </c>
      <c r="Z126" s="32" t="str">
        <f>IF(SUM(FR_data[[#This Row],[Response - Disasters and Crises  ]:[Enabling Functions  ]])=0,"",SUM(FR_data[[#This Row],[Response - Disasters and Crises  ]:[Enabling Functions  ]]))</f>
        <v/>
      </c>
      <c r="AA126" s="41"/>
    </row>
    <row r="127" spans="1:27" x14ac:dyDescent="0.3">
      <c r="A127" s="11" t="s">
        <v>368</v>
      </c>
      <c r="B127" s="11" t="s">
        <v>98</v>
      </c>
      <c r="C127" s="11" t="s">
        <v>8</v>
      </c>
      <c r="D127" s="30" t="str">
        <f>_xlfn.LET(
    _xlpm.sumValue, SUMIFS(
        PNS_data[Value],
        PNS_data[Country], FR_data[[#This Row],[Country]],
        PNS_data[National Society name], selected,
        PNS_data[Attribute], "SP1",
        PNS_data[Year], "2026"
    ),
    IF(_xlpm.sumValue = 0, "", _xlpm.sumValue)
)</f>
        <v/>
      </c>
      <c r="E127" s="31" t="str">
        <f>_xlfn.LET(
    _xlpm.sumValue, SUMIFS(
        PNS_data[Value],
        PNS_data[Country], FR_data[[#This Row],[Country]],
        PNS_data[National Society name], selected,
        PNS_data[Attribute], "SP2",
        PNS_data[Year], "2026"
    ),
    IF(_xlpm.sumValue = 0, "", _xlpm.sumValue)
)</f>
        <v/>
      </c>
      <c r="F127" s="31" t="str">
        <f>_xlfn.LET(
    _xlpm.sumValue, SUMIFS(
        PNS_data[Value],
        PNS_data[Country], FR_data[[#This Row],[Country]],
        PNS_data[National Society name], selected,
        PNS_data[Attribute], "SP3",
        PNS_data[Year], "2026"
    ),
    IF(_xlpm.sumValue = 0, "", _xlpm.sumValue)
)</f>
        <v/>
      </c>
      <c r="G127" s="31" t="str">
        <f>_xlfn.LET(
    _xlpm.sumValue, SUMIFS(
        PNS_data[Value],
        PNS_data[Country], FR_data[[#This Row],[Country]],
        PNS_data[National Society name], selected,
        PNS_data[Attribute], "SP4",
        PNS_data[Year], "2026"
    ),
    IF(_xlpm.sumValue = 0, "", _xlpm.sumValue)
)</f>
        <v/>
      </c>
      <c r="H127" s="31" t="str">
        <f>_xlfn.LET(
    _xlpm.sumValue, SUMIFS(
        PNS_data[Value],
        PNS_data[Country], FR_data[[#This Row],[Country]],
        PNS_data[National Society name], selected,
        PNS_data[Attribute], "SP5",
        PNS_data[Year], "2026"
    ),
    IF(_xlpm.sumValue = 0, "", _xlpm.sumValue)
)</f>
        <v/>
      </c>
      <c r="I127" s="31" t="str">
        <f>_xlfn.LET(
    _xlpm.sumValue, SUMIFS(
        PNS_data[Value],
        PNS_data[Country], FR_data[[#This Row],[Country]],
        PNS_data[National Society name], selected,
        PNS_data[Attribute], "EFs",
        PNS_data[Year], "2026"
    ),
    IF(_xlpm.sumValue = 0, "", _xlpm.sumValue)
)</f>
        <v/>
      </c>
      <c r="J127" s="32" t="str">
        <f>IF(SUM(FR_data[[#This Row],[Response - Disasters and Crises]:[Enabling Functions]])=0,"",SUM(FR_data[[#This Row],[Response - Disasters and Crises]:[Enabling Functions]]))</f>
        <v/>
      </c>
      <c r="K127" s="39"/>
      <c r="L127" s="30" t="str">
        <f>_xlfn.LET(
    _xlpm.sumValue, SUMIFS(
        PNS_data[Value],
        PNS_data[Country], FR_data[[#This Row],[Country]],
        PNS_data[National Society name], selected,
        PNS_data[Attribute], "SP1",
        PNS_data[Year], "2027"
    ),
    IF(_xlpm.sumValue = 0, "", _xlpm.sumValue)
)</f>
        <v/>
      </c>
      <c r="M127" s="31" t="str">
        <f>_xlfn.LET(
    _xlpm.sumValue, SUMIFS(
        PNS_data[Value],
        PNS_data[Country], FR_data[[#This Row],[Country]],
        PNS_data[National Society name], selected,
        PNS_data[Attribute], "SP2",
        PNS_data[Year], "2027"
    ),
    IF(_xlpm.sumValue = 0, "", _xlpm.sumValue)
)</f>
        <v/>
      </c>
      <c r="N127" s="31" t="str">
        <f>_xlfn.LET(
    _xlpm.sumValue, SUMIFS(
        PNS_data[Value],
        PNS_data[Country], FR_data[[#This Row],[Country]],
        PNS_data[National Society name], selected,
        PNS_data[Attribute], "SP3",
        PNS_data[Year], "2027"
    ),
    IF(_xlpm.sumValue = 0, "", _xlpm.sumValue)
)</f>
        <v/>
      </c>
      <c r="O127" s="31" t="str">
        <f>_xlfn.LET(
    _xlpm.sumValue, SUMIFS(
        PNS_data[Value],
        PNS_data[Country], FR_data[[#This Row],[Country]],
        PNS_data[National Society name], selected,
        PNS_data[Attribute], "SP4",
        PNS_data[Year], "2027"
    ),
    IF(_xlpm.sumValue = 0, "", _xlpm.sumValue)
)</f>
        <v/>
      </c>
      <c r="P127" s="31" t="str">
        <f>_xlfn.LET(
    _xlpm.sumValue, SUMIFS(
        PNS_data[Value],
        PNS_data[Country], FR_data[[#This Row],[Country]],
        PNS_data[National Society name], selected,
        PNS_data[Attribute], "SP5",
        PNS_data[Year], "2027"
    ),
    IF(_xlpm.sumValue = 0, "", _xlpm.sumValue)
)</f>
        <v/>
      </c>
      <c r="Q127" s="31" t="str">
        <f>_xlfn.LET(
    _xlpm.sumValue, SUMIFS(
        PNS_data[Value],
        PNS_data[Country], FR_data[[#This Row],[Country]],
        PNS_data[National Society name], selected,
        PNS_data[Attribute], "EFs",
        PNS_data[Year], "2027"
    ),
    IF(_xlpm.sumValue = 0, "", _xlpm.sumValue)
)</f>
        <v/>
      </c>
      <c r="R127" s="32" t="str">
        <f>IF(SUM(FR_data[[#This Row],[Response - Disasters and Crises ]:[Enabling Functions ]])=0,"",SUM(FR_data[[#This Row],[Response - Disasters and Crises ]:[Enabling Functions ]]))</f>
        <v/>
      </c>
      <c r="S127" s="39"/>
      <c r="T127" s="30" t="str">
        <f>_xlfn.LET(
    _xlpm.sumValue, SUMIFS(
        PNS_data[Value],
        PNS_data[Country], FR_data[[#This Row],[Country]],
        PNS_data[National Society name], selected,
        PNS_data[Attribute], "SP1",
        PNS_data[Year], "2028"
    ),
    IF(_xlpm.sumValue = 0, "", _xlpm.sumValue)
)</f>
        <v/>
      </c>
      <c r="U127" s="31" t="str">
        <f>_xlfn.LET(
    _xlpm.sumValue, SUMIFS(
        PNS_data[Value],
        PNS_data[Country], FR_data[[#This Row],[Country]],
        PNS_data[National Society name], selected,
        PNS_data[Attribute], "SP2",
        PNS_data[Year], "2028"
    ),
    IF(_xlpm.sumValue = 0, "", _xlpm.sumValue)
)</f>
        <v/>
      </c>
      <c r="V127" s="31" t="str">
        <f>_xlfn.LET(
    _xlpm.sumValue, SUMIFS(
        PNS_data[Value],
        PNS_data[Country], FR_data[[#This Row],[Country]],
        PNS_data[National Society name], selected,
        PNS_data[Attribute], "SP3",
        PNS_data[Year], "2028"
    ),
    IF(_xlpm.sumValue = 0, "", _xlpm.sumValue)
)</f>
        <v/>
      </c>
      <c r="W127" s="31" t="str">
        <f>_xlfn.LET(
    _xlpm.sumValue, SUMIFS(
        PNS_data[Value],
        PNS_data[Country], FR_data[[#This Row],[Country]],
        PNS_data[National Society name], selected,
        PNS_data[Attribute], "SP4",
        PNS_data[Year], "2028"
    ),
    IF(_xlpm.sumValue = 0, "", _xlpm.sumValue)
)</f>
        <v/>
      </c>
      <c r="X127" s="31" t="str">
        <f>_xlfn.LET(
    _xlpm.sumValue, SUMIFS(
        PNS_data[Value],
        PNS_data[Country], FR_data[[#This Row],[Country]],
        PNS_data[National Society name], selected,
        PNS_data[Attribute], "SP5",
        PNS_data[Year], "2028"
    ),
    IF(_xlpm.sumValue = 0, "", _xlpm.sumValue)
)</f>
        <v/>
      </c>
      <c r="Y127" s="31" t="str">
        <f>_xlfn.LET(
    _xlpm.sumValue, SUMIFS(
        PNS_data[Value],
        PNS_data[Country], FR_data[[#This Row],[Country]],
        PNS_data[National Society name], selected,
        PNS_data[Attribute], "EFs",
        PNS_data[Year], "2028"
    ),
    IF(_xlpm.sumValue = 0, "", _xlpm.sumValue)
)</f>
        <v/>
      </c>
      <c r="Z127" s="32" t="str">
        <f>IF(SUM(FR_data[[#This Row],[Response - Disasters and Crises  ]:[Enabling Functions  ]])=0,"",SUM(FR_data[[#This Row],[Response - Disasters and Crises  ]:[Enabling Functions  ]]))</f>
        <v/>
      </c>
      <c r="AA127" s="41"/>
    </row>
    <row r="128" spans="1:27" x14ac:dyDescent="0.3">
      <c r="A128" s="11" t="s">
        <v>371</v>
      </c>
      <c r="B128" s="11" t="s">
        <v>98</v>
      </c>
      <c r="C128" s="11" t="s">
        <v>372</v>
      </c>
      <c r="D128" s="30" t="str">
        <f>_xlfn.LET(
    _xlpm.sumValue, SUMIFS(
        PNS_data[Value],
        PNS_data[Country], FR_data[[#This Row],[Country]],
        PNS_data[National Society name], selected,
        PNS_data[Attribute], "SP1",
        PNS_data[Year], "2026"
    ),
    IF(_xlpm.sumValue = 0, "", _xlpm.sumValue)
)</f>
        <v/>
      </c>
      <c r="E128" s="31" t="str">
        <f>_xlfn.LET(
    _xlpm.sumValue, SUMIFS(
        PNS_data[Value],
        PNS_data[Country], FR_data[[#This Row],[Country]],
        PNS_data[National Society name], selected,
        PNS_data[Attribute], "SP2",
        PNS_data[Year], "2026"
    ),
    IF(_xlpm.sumValue = 0, "", _xlpm.sumValue)
)</f>
        <v/>
      </c>
      <c r="F128" s="31" t="str">
        <f>_xlfn.LET(
    _xlpm.sumValue, SUMIFS(
        PNS_data[Value],
        PNS_data[Country], FR_data[[#This Row],[Country]],
        PNS_data[National Society name], selected,
        PNS_data[Attribute], "SP3",
        PNS_data[Year], "2026"
    ),
    IF(_xlpm.sumValue = 0, "", _xlpm.sumValue)
)</f>
        <v/>
      </c>
      <c r="G128" s="31" t="str">
        <f>_xlfn.LET(
    _xlpm.sumValue, SUMIFS(
        PNS_data[Value],
        PNS_data[Country], FR_data[[#This Row],[Country]],
        PNS_data[National Society name], selected,
        PNS_data[Attribute], "SP4",
        PNS_data[Year], "2026"
    ),
    IF(_xlpm.sumValue = 0, "", _xlpm.sumValue)
)</f>
        <v/>
      </c>
      <c r="H128" s="31" t="str">
        <f>_xlfn.LET(
    _xlpm.sumValue, SUMIFS(
        PNS_data[Value],
        PNS_data[Country], FR_data[[#This Row],[Country]],
        PNS_data[National Society name], selected,
        PNS_data[Attribute], "SP5",
        PNS_data[Year], "2026"
    ),
    IF(_xlpm.sumValue = 0, "", _xlpm.sumValue)
)</f>
        <v/>
      </c>
      <c r="I128" s="31" t="str">
        <f>_xlfn.LET(
    _xlpm.sumValue, SUMIFS(
        PNS_data[Value],
        PNS_data[Country], FR_data[[#This Row],[Country]],
        PNS_data[National Society name], selected,
        PNS_data[Attribute], "EFs",
        PNS_data[Year], "2026"
    ),
    IF(_xlpm.sumValue = 0, "", _xlpm.sumValue)
)</f>
        <v/>
      </c>
      <c r="J128" s="32" t="str">
        <f>IF(SUM(FR_data[[#This Row],[Response - Disasters and Crises]:[Enabling Functions]])=0,"",SUM(FR_data[[#This Row],[Response - Disasters and Crises]:[Enabling Functions]]))</f>
        <v/>
      </c>
      <c r="K128" s="39"/>
      <c r="L128" s="30" t="str">
        <f>_xlfn.LET(
    _xlpm.sumValue, SUMIFS(
        PNS_data[Value],
        PNS_data[Country], FR_data[[#This Row],[Country]],
        PNS_data[National Society name], selected,
        PNS_data[Attribute], "SP1",
        PNS_data[Year], "2027"
    ),
    IF(_xlpm.sumValue = 0, "", _xlpm.sumValue)
)</f>
        <v/>
      </c>
      <c r="M128" s="31" t="str">
        <f>_xlfn.LET(
    _xlpm.sumValue, SUMIFS(
        PNS_data[Value],
        PNS_data[Country], FR_data[[#This Row],[Country]],
        PNS_data[National Society name], selected,
        PNS_data[Attribute], "SP2",
        PNS_data[Year], "2027"
    ),
    IF(_xlpm.sumValue = 0, "", _xlpm.sumValue)
)</f>
        <v/>
      </c>
      <c r="N128" s="31" t="str">
        <f>_xlfn.LET(
    _xlpm.sumValue, SUMIFS(
        PNS_data[Value],
        PNS_data[Country], FR_data[[#This Row],[Country]],
        PNS_data[National Society name], selected,
        PNS_data[Attribute], "SP3",
        PNS_data[Year], "2027"
    ),
    IF(_xlpm.sumValue = 0, "", _xlpm.sumValue)
)</f>
        <v/>
      </c>
      <c r="O128" s="31" t="str">
        <f>_xlfn.LET(
    _xlpm.sumValue, SUMIFS(
        PNS_data[Value],
        PNS_data[Country], FR_data[[#This Row],[Country]],
        PNS_data[National Society name], selected,
        PNS_data[Attribute], "SP4",
        PNS_data[Year], "2027"
    ),
    IF(_xlpm.sumValue = 0, "", _xlpm.sumValue)
)</f>
        <v/>
      </c>
      <c r="P128" s="31" t="str">
        <f>_xlfn.LET(
    _xlpm.sumValue, SUMIFS(
        PNS_data[Value],
        PNS_data[Country], FR_data[[#This Row],[Country]],
        PNS_data[National Society name], selected,
        PNS_data[Attribute], "SP5",
        PNS_data[Year], "2027"
    ),
    IF(_xlpm.sumValue = 0, "", _xlpm.sumValue)
)</f>
        <v/>
      </c>
      <c r="Q128" s="31" t="str">
        <f>_xlfn.LET(
    _xlpm.sumValue, SUMIFS(
        PNS_data[Value],
        PNS_data[Country], FR_data[[#This Row],[Country]],
        PNS_data[National Society name], selected,
        PNS_data[Attribute], "EFs",
        PNS_data[Year], "2027"
    ),
    IF(_xlpm.sumValue = 0, "", _xlpm.sumValue)
)</f>
        <v/>
      </c>
      <c r="R128" s="32" t="str">
        <f>IF(SUM(FR_data[[#This Row],[Response - Disasters and Crises ]:[Enabling Functions ]])=0,"",SUM(FR_data[[#This Row],[Response - Disasters and Crises ]:[Enabling Functions ]]))</f>
        <v/>
      </c>
      <c r="S128" s="39"/>
      <c r="T128" s="30" t="str">
        <f>_xlfn.LET(
    _xlpm.sumValue, SUMIFS(
        PNS_data[Value],
        PNS_data[Country], FR_data[[#This Row],[Country]],
        PNS_data[National Society name], selected,
        PNS_data[Attribute], "SP1",
        PNS_data[Year], "2028"
    ),
    IF(_xlpm.sumValue = 0, "", _xlpm.sumValue)
)</f>
        <v/>
      </c>
      <c r="U128" s="31" t="str">
        <f>_xlfn.LET(
    _xlpm.sumValue, SUMIFS(
        PNS_data[Value],
        PNS_data[Country], FR_data[[#This Row],[Country]],
        PNS_data[National Society name], selected,
        PNS_data[Attribute], "SP2",
        PNS_data[Year], "2028"
    ),
    IF(_xlpm.sumValue = 0, "", _xlpm.sumValue)
)</f>
        <v/>
      </c>
      <c r="V128" s="31" t="str">
        <f>_xlfn.LET(
    _xlpm.sumValue, SUMIFS(
        PNS_data[Value],
        PNS_data[Country], FR_data[[#This Row],[Country]],
        PNS_data[National Society name], selected,
        PNS_data[Attribute], "SP3",
        PNS_data[Year], "2028"
    ),
    IF(_xlpm.sumValue = 0, "", _xlpm.sumValue)
)</f>
        <v/>
      </c>
      <c r="W128" s="31" t="str">
        <f>_xlfn.LET(
    _xlpm.sumValue, SUMIFS(
        PNS_data[Value],
        PNS_data[Country], FR_data[[#This Row],[Country]],
        PNS_data[National Society name], selected,
        PNS_data[Attribute], "SP4",
        PNS_data[Year], "2028"
    ),
    IF(_xlpm.sumValue = 0, "", _xlpm.sumValue)
)</f>
        <v/>
      </c>
      <c r="X128" s="31" t="str">
        <f>_xlfn.LET(
    _xlpm.sumValue, SUMIFS(
        PNS_data[Value],
        PNS_data[Country], FR_data[[#This Row],[Country]],
        PNS_data[National Society name], selected,
        PNS_data[Attribute], "SP5",
        PNS_data[Year], "2028"
    ),
    IF(_xlpm.sumValue = 0, "", _xlpm.sumValue)
)</f>
        <v/>
      </c>
      <c r="Y128" s="31" t="str">
        <f>_xlfn.LET(
    _xlpm.sumValue, SUMIFS(
        PNS_data[Value],
        PNS_data[Country], FR_data[[#This Row],[Country]],
        PNS_data[National Society name], selected,
        PNS_data[Attribute], "EFs",
        PNS_data[Year], "2028"
    ),
    IF(_xlpm.sumValue = 0, "", _xlpm.sumValue)
)</f>
        <v/>
      </c>
      <c r="Z128" s="32" t="str">
        <f>IF(SUM(FR_data[[#This Row],[Response - Disasters and Crises  ]:[Enabling Functions  ]])=0,"",SUM(FR_data[[#This Row],[Response - Disasters and Crises  ]:[Enabling Functions  ]]))</f>
        <v/>
      </c>
      <c r="AA128" s="41"/>
    </row>
    <row r="129" spans="1:27" x14ac:dyDescent="0.3">
      <c r="A129" s="11" t="s">
        <v>377</v>
      </c>
      <c r="B129" s="11" t="s">
        <v>98</v>
      </c>
      <c r="C129" s="11" t="s">
        <v>378</v>
      </c>
      <c r="D129" s="30" t="str">
        <f>_xlfn.LET(
    _xlpm.sumValue, SUMIFS(
        PNS_data[Value],
        PNS_data[Country], FR_data[[#This Row],[Country]],
        PNS_data[National Society name], selected,
        PNS_data[Attribute], "SP1",
        PNS_data[Year], "2026"
    ),
    IF(_xlpm.sumValue = 0, "", _xlpm.sumValue)
)</f>
        <v/>
      </c>
      <c r="E129" s="31" t="str">
        <f>_xlfn.LET(
    _xlpm.sumValue, SUMIFS(
        PNS_data[Value],
        PNS_data[Country], FR_data[[#This Row],[Country]],
        PNS_data[National Society name], selected,
        PNS_data[Attribute], "SP2",
        PNS_data[Year], "2026"
    ),
    IF(_xlpm.sumValue = 0, "", _xlpm.sumValue)
)</f>
        <v/>
      </c>
      <c r="F129" s="31" t="str">
        <f>_xlfn.LET(
    _xlpm.sumValue, SUMIFS(
        PNS_data[Value],
        PNS_data[Country], FR_data[[#This Row],[Country]],
        PNS_data[National Society name], selected,
        PNS_data[Attribute], "SP3",
        PNS_data[Year], "2026"
    ),
    IF(_xlpm.sumValue = 0, "", _xlpm.sumValue)
)</f>
        <v/>
      </c>
      <c r="G129" s="31" t="str">
        <f>_xlfn.LET(
    _xlpm.sumValue, SUMIFS(
        PNS_data[Value],
        PNS_data[Country], FR_data[[#This Row],[Country]],
        PNS_data[National Society name], selected,
        PNS_data[Attribute], "SP4",
        PNS_data[Year], "2026"
    ),
    IF(_xlpm.sumValue = 0, "", _xlpm.sumValue)
)</f>
        <v/>
      </c>
      <c r="H129" s="31" t="str">
        <f>_xlfn.LET(
    _xlpm.sumValue, SUMIFS(
        PNS_data[Value],
        PNS_data[Country], FR_data[[#This Row],[Country]],
        PNS_data[National Society name], selected,
        PNS_data[Attribute], "SP5",
        PNS_data[Year], "2026"
    ),
    IF(_xlpm.sumValue = 0, "", _xlpm.sumValue)
)</f>
        <v/>
      </c>
      <c r="I129" s="31" t="str">
        <f>_xlfn.LET(
    _xlpm.sumValue, SUMIFS(
        PNS_data[Value],
        PNS_data[Country], FR_data[[#This Row],[Country]],
        PNS_data[National Society name], selected,
        PNS_data[Attribute], "EFs",
        PNS_data[Year], "2026"
    ),
    IF(_xlpm.sumValue = 0, "", _xlpm.sumValue)
)</f>
        <v/>
      </c>
      <c r="J129" s="32" t="str">
        <f>IF(SUM(FR_data[[#This Row],[Response - Disasters and Crises]:[Enabling Functions]])=0,"",SUM(FR_data[[#This Row],[Response - Disasters and Crises]:[Enabling Functions]]))</f>
        <v/>
      </c>
      <c r="K129" s="39"/>
      <c r="L129" s="30" t="str">
        <f>_xlfn.LET(
    _xlpm.sumValue, SUMIFS(
        PNS_data[Value],
        PNS_data[Country], FR_data[[#This Row],[Country]],
        PNS_data[National Society name], selected,
        PNS_data[Attribute], "SP1",
        PNS_data[Year], "2027"
    ),
    IF(_xlpm.sumValue = 0, "", _xlpm.sumValue)
)</f>
        <v/>
      </c>
      <c r="M129" s="31" t="str">
        <f>_xlfn.LET(
    _xlpm.sumValue, SUMIFS(
        PNS_data[Value],
        PNS_data[Country], FR_data[[#This Row],[Country]],
        PNS_data[National Society name], selected,
        PNS_data[Attribute], "SP2",
        PNS_data[Year], "2027"
    ),
    IF(_xlpm.sumValue = 0, "", _xlpm.sumValue)
)</f>
        <v/>
      </c>
      <c r="N129" s="31" t="str">
        <f>_xlfn.LET(
    _xlpm.sumValue, SUMIFS(
        PNS_data[Value],
        PNS_data[Country], FR_data[[#This Row],[Country]],
        PNS_data[National Society name], selected,
        PNS_data[Attribute], "SP3",
        PNS_data[Year], "2027"
    ),
    IF(_xlpm.sumValue = 0, "", _xlpm.sumValue)
)</f>
        <v/>
      </c>
      <c r="O129" s="31" t="str">
        <f>_xlfn.LET(
    _xlpm.sumValue, SUMIFS(
        PNS_data[Value],
        PNS_data[Country], FR_data[[#This Row],[Country]],
        PNS_data[National Society name], selected,
        PNS_data[Attribute], "SP4",
        PNS_data[Year], "2027"
    ),
    IF(_xlpm.sumValue = 0, "", _xlpm.sumValue)
)</f>
        <v/>
      </c>
      <c r="P129" s="31" t="str">
        <f>_xlfn.LET(
    _xlpm.sumValue, SUMIFS(
        PNS_data[Value],
        PNS_data[Country], FR_data[[#This Row],[Country]],
        PNS_data[National Society name], selected,
        PNS_data[Attribute], "SP5",
        PNS_data[Year], "2027"
    ),
    IF(_xlpm.sumValue = 0, "", _xlpm.sumValue)
)</f>
        <v/>
      </c>
      <c r="Q129" s="31" t="str">
        <f>_xlfn.LET(
    _xlpm.sumValue, SUMIFS(
        PNS_data[Value],
        PNS_data[Country], FR_data[[#This Row],[Country]],
        PNS_data[National Society name], selected,
        PNS_data[Attribute], "EFs",
        PNS_data[Year], "2027"
    ),
    IF(_xlpm.sumValue = 0, "", _xlpm.sumValue)
)</f>
        <v/>
      </c>
      <c r="R129" s="32" t="str">
        <f>IF(SUM(FR_data[[#This Row],[Response - Disasters and Crises ]:[Enabling Functions ]])=0,"",SUM(FR_data[[#This Row],[Response - Disasters and Crises ]:[Enabling Functions ]]))</f>
        <v/>
      </c>
      <c r="S129" s="39"/>
      <c r="T129" s="30" t="str">
        <f>_xlfn.LET(
    _xlpm.sumValue, SUMIFS(
        PNS_data[Value],
        PNS_data[Country], FR_data[[#This Row],[Country]],
        PNS_data[National Society name], selected,
        PNS_data[Attribute], "SP1",
        PNS_data[Year], "2028"
    ),
    IF(_xlpm.sumValue = 0, "", _xlpm.sumValue)
)</f>
        <v/>
      </c>
      <c r="U129" s="31" t="str">
        <f>_xlfn.LET(
    _xlpm.sumValue, SUMIFS(
        PNS_data[Value],
        PNS_data[Country], FR_data[[#This Row],[Country]],
        PNS_data[National Society name], selected,
        PNS_data[Attribute], "SP2",
        PNS_data[Year], "2028"
    ),
    IF(_xlpm.sumValue = 0, "", _xlpm.sumValue)
)</f>
        <v/>
      </c>
      <c r="V129" s="31" t="str">
        <f>_xlfn.LET(
    _xlpm.sumValue, SUMIFS(
        PNS_data[Value],
        PNS_data[Country], FR_data[[#This Row],[Country]],
        PNS_data[National Society name], selected,
        PNS_data[Attribute], "SP3",
        PNS_data[Year], "2028"
    ),
    IF(_xlpm.sumValue = 0, "", _xlpm.sumValue)
)</f>
        <v/>
      </c>
      <c r="W129" s="31" t="str">
        <f>_xlfn.LET(
    _xlpm.sumValue, SUMIFS(
        PNS_data[Value],
        PNS_data[Country], FR_data[[#This Row],[Country]],
        PNS_data[National Society name], selected,
        PNS_data[Attribute], "SP4",
        PNS_data[Year], "2028"
    ),
    IF(_xlpm.sumValue = 0, "", _xlpm.sumValue)
)</f>
        <v/>
      </c>
      <c r="X129" s="31" t="str">
        <f>_xlfn.LET(
    _xlpm.sumValue, SUMIFS(
        PNS_data[Value],
        PNS_data[Country], FR_data[[#This Row],[Country]],
        PNS_data[National Society name], selected,
        PNS_data[Attribute], "SP5",
        PNS_data[Year], "2028"
    ),
    IF(_xlpm.sumValue = 0, "", _xlpm.sumValue)
)</f>
        <v/>
      </c>
      <c r="Y129" s="31" t="str">
        <f>_xlfn.LET(
    _xlpm.sumValue, SUMIFS(
        PNS_data[Value],
        PNS_data[Country], FR_data[[#This Row],[Country]],
        PNS_data[National Society name], selected,
        PNS_data[Attribute], "EFs",
        PNS_data[Year], "2028"
    ),
    IF(_xlpm.sumValue = 0, "", _xlpm.sumValue)
)</f>
        <v/>
      </c>
      <c r="Z129" s="32" t="str">
        <f>IF(SUM(FR_data[[#This Row],[Response - Disasters and Crises  ]:[Enabling Functions  ]])=0,"",SUM(FR_data[[#This Row],[Response - Disasters and Crises  ]:[Enabling Functions  ]]))</f>
        <v/>
      </c>
      <c r="AA129" s="41"/>
    </row>
    <row r="130" spans="1:27" x14ac:dyDescent="0.3">
      <c r="A130" s="11" t="s">
        <v>382</v>
      </c>
      <c r="B130" s="11" t="s">
        <v>98</v>
      </c>
      <c r="C130" s="11" t="s">
        <v>383</v>
      </c>
      <c r="D130" s="30" t="str">
        <f>_xlfn.LET(
    _xlpm.sumValue, SUMIFS(
        PNS_data[Value],
        PNS_data[Country], FR_data[[#This Row],[Country]],
        PNS_data[National Society name], selected,
        PNS_data[Attribute], "SP1",
        PNS_data[Year], "2026"
    ),
    IF(_xlpm.sumValue = 0, "", _xlpm.sumValue)
)</f>
        <v/>
      </c>
      <c r="E130" s="31" t="str">
        <f>_xlfn.LET(
    _xlpm.sumValue, SUMIFS(
        PNS_data[Value],
        PNS_data[Country], FR_data[[#This Row],[Country]],
        PNS_data[National Society name], selected,
        PNS_data[Attribute], "SP2",
        PNS_data[Year], "2026"
    ),
    IF(_xlpm.sumValue = 0, "", _xlpm.sumValue)
)</f>
        <v/>
      </c>
      <c r="F130" s="31" t="str">
        <f>_xlfn.LET(
    _xlpm.sumValue, SUMIFS(
        PNS_data[Value],
        PNS_data[Country], FR_data[[#This Row],[Country]],
        PNS_data[National Society name], selected,
        PNS_data[Attribute], "SP3",
        PNS_data[Year], "2026"
    ),
    IF(_xlpm.sumValue = 0, "", _xlpm.sumValue)
)</f>
        <v/>
      </c>
      <c r="G130" s="31" t="str">
        <f>_xlfn.LET(
    _xlpm.sumValue, SUMIFS(
        PNS_data[Value],
        PNS_data[Country], FR_data[[#This Row],[Country]],
        PNS_data[National Society name], selected,
        PNS_data[Attribute], "SP4",
        PNS_data[Year], "2026"
    ),
    IF(_xlpm.sumValue = 0, "", _xlpm.sumValue)
)</f>
        <v/>
      </c>
      <c r="H130" s="31" t="str">
        <f>_xlfn.LET(
    _xlpm.sumValue, SUMIFS(
        PNS_data[Value],
        PNS_data[Country], FR_data[[#This Row],[Country]],
        PNS_data[National Society name], selected,
        PNS_data[Attribute], "SP5",
        PNS_data[Year], "2026"
    ),
    IF(_xlpm.sumValue = 0, "", _xlpm.sumValue)
)</f>
        <v/>
      </c>
      <c r="I130" s="31" t="str">
        <f>_xlfn.LET(
    _xlpm.sumValue, SUMIFS(
        PNS_data[Value],
        PNS_data[Country], FR_data[[#This Row],[Country]],
        PNS_data[National Society name], selected,
        PNS_data[Attribute], "EFs",
        PNS_data[Year], "2026"
    ),
    IF(_xlpm.sumValue = 0, "", _xlpm.sumValue)
)</f>
        <v/>
      </c>
      <c r="J130" s="32" t="str">
        <f>IF(SUM(FR_data[[#This Row],[Response - Disasters and Crises]:[Enabling Functions]])=0,"",SUM(FR_data[[#This Row],[Response - Disasters and Crises]:[Enabling Functions]]))</f>
        <v/>
      </c>
      <c r="K130" s="39"/>
      <c r="L130" s="30" t="str">
        <f>_xlfn.LET(
    _xlpm.sumValue, SUMIFS(
        PNS_data[Value],
        PNS_data[Country], FR_data[[#This Row],[Country]],
        PNS_data[National Society name], selected,
        PNS_data[Attribute], "SP1",
        PNS_data[Year], "2027"
    ),
    IF(_xlpm.sumValue = 0, "", _xlpm.sumValue)
)</f>
        <v/>
      </c>
      <c r="M130" s="31" t="str">
        <f>_xlfn.LET(
    _xlpm.sumValue, SUMIFS(
        PNS_data[Value],
        PNS_data[Country], FR_data[[#This Row],[Country]],
        PNS_data[National Society name], selected,
        PNS_data[Attribute], "SP2",
        PNS_data[Year], "2027"
    ),
    IF(_xlpm.sumValue = 0, "", _xlpm.sumValue)
)</f>
        <v/>
      </c>
      <c r="N130" s="31" t="str">
        <f>_xlfn.LET(
    _xlpm.sumValue, SUMIFS(
        PNS_data[Value],
        PNS_data[Country], FR_data[[#This Row],[Country]],
        PNS_data[National Society name], selected,
        PNS_data[Attribute], "SP3",
        PNS_data[Year], "2027"
    ),
    IF(_xlpm.sumValue = 0, "", _xlpm.sumValue)
)</f>
        <v/>
      </c>
      <c r="O130" s="31" t="str">
        <f>_xlfn.LET(
    _xlpm.sumValue, SUMIFS(
        PNS_data[Value],
        PNS_data[Country], FR_data[[#This Row],[Country]],
        PNS_data[National Society name], selected,
        PNS_data[Attribute], "SP4",
        PNS_data[Year], "2027"
    ),
    IF(_xlpm.sumValue = 0, "", _xlpm.sumValue)
)</f>
        <v/>
      </c>
      <c r="P130" s="31" t="str">
        <f>_xlfn.LET(
    _xlpm.sumValue, SUMIFS(
        PNS_data[Value],
        PNS_data[Country], FR_data[[#This Row],[Country]],
        PNS_data[National Society name], selected,
        PNS_data[Attribute], "SP5",
        PNS_data[Year], "2027"
    ),
    IF(_xlpm.sumValue = 0, "", _xlpm.sumValue)
)</f>
        <v/>
      </c>
      <c r="Q130" s="31" t="str">
        <f>_xlfn.LET(
    _xlpm.sumValue, SUMIFS(
        PNS_data[Value],
        PNS_data[Country], FR_data[[#This Row],[Country]],
        PNS_data[National Society name], selected,
        PNS_data[Attribute], "EFs",
        PNS_data[Year], "2027"
    ),
    IF(_xlpm.sumValue = 0, "", _xlpm.sumValue)
)</f>
        <v/>
      </c>
      <c r="R130" s="32" t="str">
        <f>IF(SUM(FR_data[[#This Row],[Response - Disasters and Crises ]:[Enabling Functions ]])=0,"",SUM(FR_data[[#This Row],[Response - Disasters and Crises ]:[Enabling Functions ]]))</f>
        <v/>
      </c>
      <c r="S130" s="39"/>
      <c r="T130" s="30" t="str">
        <f>_xlfn.LET(
    _xlpm.sumValue, SUMIFS(
        PNS_data[Value],
        PNS_data[Country], FR_data[[#This Row],[Country]],
        PNS_data[National Society name], selected,
        PNS_data[Attribute], "SP1",
        PNS_data[Year], "2028"
    ),
    IF(_xlpm.sumValue = 0, "", _xlpm.sumValue)
)</f>
        <v/>
      </c>
      <c r="U130" s="31" t="str">
        <f>_xlfn.LET(
    _xlpm.sumValue, SUMIFS(
        PNS_data[Value],
        PNS_data[Country], FR_data[[#This Row],[Country]],
        PNS_data[National Society name], selected,
        PNS_data[Attribute], "SP2",
        PNS_data[Year], "2028"
    ),
    IF(_xlpm.sumValue = 0, "", _xlpm.sumValue)
)</f>
        <v/>
      </c>
      <c r="V130" s="31" t="str">
        <f>_xlfn.LET(
    _xlpm.sumValue, SUMIFS(
        PNS_data[Value],
        PNS_data[Country], FR_data[[#This Row],[Country]],
        PNS_data[National Society name], selected,
        PNS_data[Attribute], "SP3",
        PNS_data[Year], "2028"
    ),
    IF(_xlpm.sumValue = 0, "", _xlpm.sumValue)
)</f>
        <v/>
      </c>
      <c r="W130" s="31" t="str">
        <f>_xlfn.LET(
    _xlpm.sumValue, SUMIFS(
        PNS_data[Value],
        PNS_data[Country], FR_data[[#This Row],[Country]],
        PNS_data[National Society name], selected,
        PNS_data[Attribute], "SP4",
        PNS_data[Year], "2028"
    ),
    IF(_xlpm.sumValue = 0, "", _xlpm.sumValue)
)</f>
        <v/>
      </c>
      <c r="X130" s="31" t="str">
        <f>_xlfn.LET(
    _xlpm.sumValue, SUMIFS(
        PNS_data[Value],
        PNS_data[Country], FR_data[[#This Row],[Country]],
        PNS_data[National Society name], selected,
        PNS_data[Attribute], "SP5",
        PNS_data[Year], "2028"
    ),
    IF(_xlpm.sumValue = 0, "", _xlpm.sumValue)
)</f>
        <v/>
      </c>
      <c r="Y130" s="31" t="str">
        <f>_xlfn.LET(
    _xlpm.sumValue, SUMIFS(
        PNS_data[Value],
        PNS_data[Country], FR_data[[#This Row],[Country]],
        PNS_data[National Society name], selected,
        PNS_data[Attribute], "EFs",
        PNS_data[Year], "2028"
    ),
    IF(_xlpm.sumValue = 0, "", _xlpm.sumValue)
)</f>
        <v/>
      </c>
      <c r="Z130" s="32" t="str">
        <f>IF(SUM(FR_data[[#This Row],[Response - Disasters and Crises  ]:[Enabling Functions  ]])=0,"",SUM(FR_data[[#This Row],[Response - Disasters and Crises  ]:[Enabling Functions  ]]))</f>
        <v/>
      </c>
      <c r="AA130" s="41"/>
    </row>
    <row r="131" spans="1:27" x14ac:dyDescent="0.3">
      <c r="A131" s="11" t="s">
        <v>397</v>
      </c>
      <c r="B131" s="11" t="s">
        <v>98</v>
      </c>
      <c r="C131" s="11" t="s">
        <v>398</v>
      </c>
      <c r="D131" s="30" t="str">
        <f>_xlfn.LET(
    _xlpm.sumValue, SUMIFS(
        PNS_data[Value],
        PNS_data[Country], FR_data[[#This Row],[Country]],
        PNS_data[National Society name], selected,
        PNS_data[Attribute], "SP1",
        PNS_data[Year], "2026"
    ),
    IF(_xlpm.sumValue = 0, "", _xlpm.sumValue)
)</f>
        <v/>
      </c>
      <c r="E131" s="31" t="str">
        <f>_xlfn.LET(
    _xlpm.sumValue, SUMIFS(
        PNS_data[Value],
        PNS_data[Country], FR_data[[#This Row],[Country]],
        PNS_data[National Society name], selected,
        PNS_data[Attribute], "SP2",
        PNS_data[Year], "2026"
    ),
    IF(_xlpm.sumValue = 0, "", _xlpm.sumValue)
)</f>
        <v/>
      </c>
      <c r="F131" s="31" t="str">
        <f>_xlfn.LET(
    _xlpm.sumValue, SUMIFS(
        PNS_data[Value],
        PNS_data[Country], FR_data[[#This Row],[Country]],
        PNS_data[National Society name], selected,
        PNS_data[Attribute], "SP3",
        PNS_data[Year], "2026"
    ),
    IF(_xlpm.sumValue = 0, "", _xlpm.sumValue)
)</f>
        <v/>
      </c>
      <c r="G131" s="31" t="str">
        <f>_xlfn.LET(
    _xlpm.sumValue, SUMIFS(
        PNS_data[Value],
        PNS_data[Country], FR_data[[#This Row],[Country]],
        PNS_data[National Society name], selected,
        PNS_data[Attribute], "SP4",
        PNS_data[Year], "2026"
    ),
    IF(_xlpm.sumValue = 0, "", _xlpm.sumValue)
)</f>
        <v/>
      </c>
      <c r="H131" s="31" t="str">
        <f>_xlfn.LET(
    _xlpm.sumValue, SUMIFS(
        PNS_data[Value],
        PNS_data[Country], FR_data[[#This Row],[Country]],
        PNS_data[National Society name], selected,
        PNS_data[Attribute], "SP5",
        PNS_data[Year], "2026"
    ),
    IF(_xlpm.sumValue = 0, "", _xlpm.sumValue)
)</f>
        <v/>
      </c>
      <c r="I131" s="31" t="str">
        <f>_xlfn.LET(
    _xlpm.sumValue, SUMIFS(
        PNS_data[Value],
        PNS_data[Country], FR_data[[#This Row],[Country]],
        PNS_data[National Society name], selected,
        PNS_data[Attribute], "EFs",
        PNS_data[Year], "2026"
    ),
    IF(_xlpm.sumValue = 0, "", _xlpm.sumValue)
)</f>
        <v/>
      </c>
      <c r="J131" s="32" t="str">
        <f>IF(SUM(FR_data[[#This Row],[Response - Disasters and Crises]:[Enabling Functions]])=0,"",SUM(FR_data[[#This Row],[Response - Disasters and Crises]:[Enabling Functions]]))</f>
        <v/>
      </c>
      <c r="K131" s="39"/>
      <c r="L131" s="30" t="str">
        <f>_xlfn.LET(
    _xlpm.sumValue, SUMIFS(
        PNS_data[Value],
        PNS_data[Country], FR_data[[#This Row],[Country]],
        PNS_data[National Society name], selected,
        PNS_data[Attribute], "SP1",
        PNS_data[Year], "2027"
    ),
    IF(_xlpm.sumValue = 0, "", _xlpm.sumValue)
)</f>
        <v/>
      </c>
      <c r="M131" s="31" t="str">
        <f>_xlfn.LET(
    _xlpm.sumValue, SUMIFS(
        PNS_data[Value],
        PNS_data[Country], FR_data[[#This Row],[Country]],
        PNS_data[National Society name], selected,
        PNS_data[Attribute], "SP2",
        PNS_data[Year], "2027"
    ),
    IF(_xlpm.sumValue = 0, "", _xlpm.sumValue)
)</f>
        <v/>
      </c>
      <c r="N131" s="31" t="str">
        <f>_xlfn.LET(
    _xlpm.sumValue, SUMIFS(
        PNS_data[Value],
        PNS_data[Country], FR_data[[#This Row],[Country]],
        PNS_data[National Society name], selected,
        PNS_data[Attribute], "SP3",
        PNS_data[Year], "2027"
    ),
    IF(_xlpm.sumValue = 0, "", _xlpm.sumValue)
)</f>
        <v/>
      </c>
      <c r="O131" s="31" t="str">
        <f>_xlfn.LET(
    _xlpm.sumValue, SUMIFS(
        PNS_data[Value],
        PNS_data[Country], FR_data[[#This Row],[Country]],
        PNS_data[National Society name], selected,
        PNS_data[Attribute], "SP4",
        PNS_data[Year], "2027"
    ),
    IF(_xlpm.sumValue = 0, "", _xlpm.sumValue)
)</f>
        <v/>
      </c>
      <c r="P131" s="31" t="str">
        <f>_xlfn.LET(
    _xlpm.sumValue, SUMIFS(
        PNS_data[Value],
        PNS_data[Country], FR_data[[#This Row],[Country]],
        PNS_data[National Society name], selected,
        PNS_data[Attribute], "SP5",
        PNS_data[Year], "2027"
    ),
    IF(_xlpm.sumValue = 0, "", _xlpm.sumValue)
)</f>
        <v/>
      </c>
      <c r="Q131" s="31" t="str">
        <f>_xlfn.LET(
    _xlpm.sumValue, SUMIFS(
        PNS_data[Value],
        PNS_data[Country], FR_data[[#This Row],[Country]],
        PNS_data[National Society name], selected,
        PNS_data[Attribute], "EFs",
        PNS_data[Year], "2027"
    ),
    IF(_xlpm.sumValue = 0, "", _xlpm.sumValue)
)</f>
        <v/>
      </c>
      <c r="R131" s="32" t="str">
        <f>IF(SUM(FR_data[[#This Row],[Response - Disasters and Crises ]:[Enabling Functions ]])=0,"",SUM(FR_data[[#This Row],[Response - Disasters and Crises ]:[Enabling Functions ]]))</f>
        <v/>
      </c>
      <c r="S131" s="39"/>
      <c r="T131" s="30" t="str">
        <f>_xlfn.LET(
    _xlpm.sumValue, SUMIFS(
        PNS_data[Value],
        PNS_data[Country], FR_data[[#This Row],[Country]],
        PNS_data[National Society name], selected,
        PNS_data[Attribute], "SP1",
        PNS_data[Year], "2028"
    ),
    IF(_xlpm.sumValue = 0, "", _xlpm.sumValue)
)</f>
        <v/>
      </c>
      <c r="U131" s="31" t="str">
        <f>_xlfn.LET(
    _xlpm.sumValue, SUMIFS(
        PNS_data[Value],
        PNS_data[Country], FR_data[[#This Row],[Country]],
        PNS_data[National Society name], selected,
        PNS_data[Attribute], "SP2",
        PNS_data[Year], "2028"
    ),
    IF(_xlpm.sumValue = 0, "", _xlpm.sumValue)
)</f>
        <v/>
      </c>
      <c r="V131" s="31" t="str">
        <f>_xlfn.LET(
    _xlpm.sumValue, SUMIFS(
        PNS_data[Value],
        PNS_data[Country], FR_data[[#This Row],[Country]],
        PNS_data[National Society name], selected,
        PNS_data[Attribute], "SP3",
        PNS_data[Year], "2028"
    ),
    IF(_xlpm.sumValue = 0, "", _xlpm.sumValue)
)</f>
        <v/>
      </c>
      <c r="W131" s="31" t="str">
        <f>_xlfn.LET(
    _xlpm.sumValue, SUMIFS(
        PNS_data[Value],
        PNS_data[Country], FR_data[[#This Row],[Country]],
        PNS_data[National Society name], selected,
        PNS_data[Attribute], "SP4",
        PNS_data[Year], "2028"
    ),
    IF(_xlpm.sumValue = 0, "", _xlpm.sumValue)
)</f>
        <v/>
      </c>
      <c r="X131" s="31" t="str">
        <f>_xlfn.LET(
    _xlpm.sumValue, SUMIFS(
        PNS_data[Value],
        PNS_data[Country], FR_data[[#This Row],[Country]],
        PNS_data[National Society name], selected,
        PNS_data[Attribute], "SP5",
        PNS_data[Year], "2028"
    ),
    IF(_xlpm.sumValue = 0, "", _xlpm.sumValue)
)</f>
        <v/>
      </c>
      <c r="Y131" s="31" t="str">
        <f>_xlfn.LET(
    _xlpm.sumValue, SUMIFS(
        PNS_data[Value],
        PNS_data[Country], FR_data[[#This Row],[Country]],
        PNS_data[National Society name], selected,
        PNS_data[Attribute], "EFs",
        PNS_data[Year], "2028"
    ),
    IF(_xlpm.sumValue = 0, "", _xlpm.sumValue)
)</f>
        <v/>
      </c>
      <c r="Z131" s="32" t="str">
        <f>IF(SUM(FR_data[[#This Row],[Response - Disasters and Crises  ]:[Enabling Functions  ]])=0,"",SUM(FR_data[[#This Row],[Response - Disasters and Crises  ]:[Enabling Functions  ]]))</f>
        <v/>
      </c>
      <c r="AA131" s="41"/>
    </row>
    <row r="132" spans="1:27" x14ac:dyDescent="0.3">
      <c r="A132" s="11" t="s">
        <v>396</v>
      </c>
      <c r="B132" s="11" t="s">
        <v>98</v>
      </c>
      <c r="C132" s="11" t="s">
        <v>12</v>
      </c>
      <c r="D132" s="30" t="str">
        <f>_xlfn.LET(
    _xlpm.sumValue, SUMIFS(
        PNS_data[Value],
        PNS_data[Country], FR_data[[#This Row],[Country]],
        PNS_data[National Society name], selected,
        PNS_data[Attribute], "SP1",
        PNS_data[Year], "2026"
    ),
    IF(_xlpm.sumValue = 0, "", _xlpm.sumValue)
)</f>
        <v/>
      </c>
      <c r="E132" s="31" t="str">
        <f>_xlfn.LET(
    _xlpm.sumValue, SUMIFS(
        PNS_data[Value],
        PNS_data[Country], FR_data[[#This Row],[Country]],
        PNS_data[National Society name], selected,
        PNS_data[Attribute], "SP2",
        PNS_data[Year], "2026"
    ),
    IF(_xlpm.sumValue = 0, "", _xlpm.sumValue)
)</f>
        <v/>
      </c>
      <c r="F132" s="31" t="str">
        <f>_xlfn.LET(
    _xlpm.sumValue, SUMIFS(
        PNS_data[Value],
        PNS_data[Country], FR_data[[#This Row],[Country]],
        PNS_data[National Society name], selected,
        PNS_data[Attribute], "SP3",
        PNS_data[Year], "2026"
    ),
    IF(_xlpm.sumValue = 0, "", _xlpm.sumValue)
)</f>
        <v/>
      </c>
      <c r="G132" s="31" t="str">
        <f>_xlfn.LET(
    _xlpm.sumValue, SUMIFS(
        PNS_data[Value],
        PNS_data[Country], FR_data[[#This Row],[Country]],
        PNS_data[National Society name], selected,
        PNS_data[Attribute], "SP4",
        PNS_data[Year], "2026"
    ),
    IF(_xlpm.sumValue = 0, "", _xlpm.sumValue)
)</f>
        <v/>
      </c>
      <c r="H132" s="31" t="str">
        <f>_xlfn.LET(
    _xlpm.sumValue, SUMIFS(
        PNS_data[Value],
        PNS_data[Country], FR_data[[#This Row],[Country]],
        PNS_data[National Society name], selected,
        PNS_data[Attribute], "SP5",
        PNS_data[Year], "2026"
    ),
    IF(_xlpm.sumValue = 0, "", _xlpm.sumValue)
)</f>
        <v/>
      </c>
      <c r="I132" s="31" t="str">
        <f>_xlfn.LET(
    _xlpm.sumValue, SUMIFS(
        PNS_data[Value],
        PNS_data[Country], FR_data[[#This Row],[Country]],
        PNS_data[National Society name], selected,
        PNS_data[Attribute], "EFs",
        PNS_data[Year], "2026"
    ),
    IF(_xlpm.sumValue = 0, "", _xlpm.sumValue)
)</f>
        <v/>
      </c>
      <c r="J132" s="32" t="str">
        <f>IF(SUM(FR_data[[#This Row],[Response - Disasters and Crises]:[Enabling Functions]])=0,"",SUM(FR_data[[#This Row],[Response - Disasters and Crises]:[Enabling Functions]]))</f>
        <v/>
      </c>
      <c r="K132" s="39"/>
      <c r="L132" s="30" t="str">
        <f>_xlfn.LET(
    _xlpm.sumValue, SUMIFS(
        PNS_data[Value],
        PNS_data[Country], FR_data[[#This Row],[Country]],
        PNS_data[National Society name], selected,
        PNS_data[Attribute], "SP1",
        PNS_data[Year], "2027"
    ),
    IF(_xlpm.sumValue = 0, "", _xlpm.sumValue)
)</f>
        <v/>
      </c>
      <c r="M132" s="31" t="str">
        <f>_xlfn.LET(
    _xlpm.sumValue, SUMIFS(
        PNS_data[Value],
        PNS_data[Country], FR_data[[#This Row],[Country]],
        PNS_data[National Society name], selected,
        PNS_data[Attribute], "SP2",
        PNS_data[Year], "2027"
    ),
    IF(_xlpm.sumValue = 0, "", _xlpm.sumValue)
)</f>
        <v/>
      </c>
      <c r="N132" s="31" t="str">
        <f>_xlfn.LET(
    _xlpm.sumValue, SUMIFS(
        PNS_data[Value],
        PNS_data[Country], FR_data[[#This Row],[Country]],
        PNS_data[National Society name], selected,
        PNS_data[Attribute], "SP3",
        PNS_data[Year], "2027"
    ),
    IF(_xlpm.sumValue = 0, "", _xlpm.sumValue)
)</f>
        <v/>
      </c>
      <c r="O132" s="31" t="str">
        <f>_xlfn.LET(
    _xlpm.sumValue, SUMIFS(
        PNS_data[Value],
        PNS_data[Country], FR_data[[#This Row],[Country]],
        PNS_data[National Society name], selected,
        PNS_data[Attribute], "SP4",
        PNS_data[Year], "2027"
    ),
    IF(_xlpm.sumValue = 0, "", _xlpm.sumValue)
)</f>
        <v/>
      </c>
      <c r="P132" s="31" t="str">
        <f>_xlfn.LET(
    _xlpm.sumValue, SUMIFS(
        PNS_data[Value],
        PNS_data[Country], FR_data[[#This Row],[Country]],
        PNS_data[National Society name], selected,
        PNS_data[Attribute], "SP5",
        PNS_data[Year], "2027"
    ),
    IF(_xlpm.sumValue = 0, "", _xlpm.sumValue)
)</f>
        <v/>
      </c>
      <c r="Q132" s="31" t="str">
        <f>_xlfn.LET(
    _xlpm.sumValue, SUMIFS(
        PNS_data[Value],
        PNS_data[Country], FR_data[[#This Row],[Country]],
        PNS_data[National Society name], selected,
        PNS_data[Attribute], "EFs",
        PNS_data[Year], "2027"
    ),
    IF(_xlpm.sumValue = 0, "", _xlpm.sumValue)
)</f>
        <v/>
      </c>
      <c r="R132" s="32" t="str">
        <f>IF(SUM(FR_data[[#This Row],[Response - Disasters and Crises ]:[Enabling Functions ]])=0,"",SUM(FR_data[[#This Row],[Response - Disasters and Crises ]:[Enabling Functions ]]))</f>
        <v/>
      </c>
      <c r="S132" s="39"/>
      <c r="T132" s="30" t="str">
        <f>_xlfn.LET(
    _xlpm.sumValue, SUMIFS(
        PNS_data[Value],
        PNS_data[Country], FR_data[[#This Row],[Country]],
        PNS_data[National Society name], selected,
        PNS_data[Attribute], "SP1",
        PNS_data[Year], "2028"
    ),
    IF(_xlpm.sumValue = 0, "", _xlpm.sumValue)
)</f>
        <v/>
      </c>
      <c r="U132" s="31" t="str">
        <f>_xlfn.LET(
    _xlpm.sumValue, SUMIFS(
        PNS_data[Value],
        PNS_data[Country], FR_data[[#This Row],[Country]],
        PNS_data[National Society name], selected,
        PNS_data[Attribute], "SP2",
        PNS_data[Year], "2028"
    ),
    IF(_xlpm.sumValue = 0, "", _xlpm.sumValue)
)</f>
        <v/>
      </c>
      <c r="V132" s="31" t="str">
        <f>_xlfn.LET(
    _xlpm.sumValue, SUMIFS(
        PNS_data[Value],
        PNS_data[Country], FR_data[[#This Row],[Country]],
        PNS_data[National Society name], selected,
        PNS_data[Attribute], "SP3",
        PNS_data[Year], "2028"
    ),
    IF(_xlpm.sumValue = 0, "", _xlpm.sumValue)
)</f>
        <v/>
      </c>
      <c r="W132" s="31" t="str">
        <f>_xlfn.LET(
    _xlpm.sumValue, SUMIFS(
        PNS_data[Value],
        PNS_data[Country], FR_data[[#This Row],[Country]],
        PNS_data[National Society name], selected,
        PNS_data[Attribute], "SP4",
        PNS_data[Year], "2028"
    ),
    IF(_xlpm.sumValue = 0, "", _xlpm.sumValue)
)</f>
        <v/>
      </c>
      <c r="X132" s="31" t="str">
        <f>_xlfn.LET(
    _xlpm.sumValue, SUMIFS(
        PNS_data[Value],
        PNS_data[Country], FR_data[[#This Row],[Country]],
        PNS_data[National Society name], selected,
        PNS_data[Attribute], "SP5",
        PNS_data[Year], "2028"
    ),
    IF(_xlpm.sumValue = 0, "", _xlpm.sumValue)
)</f>
        <v/>
      </c>
      <c r="Y132" s="31" t="str">
        <f>_xlfn.LET(
    _xlpm.sumValue, SUMIFS(
        PNS_data[Value],
        PNS_data[Country], FR_data[[#This Row],[Country]],
        PNS_data[National Society name], selected,
        PNS_data[Attribute], "EFs",
        PNS_data[Year], "2028"
    ),
    IF(_xlpm.sumValue = 0, "", _xlpm.sumValue)
)</f>
        <v/>
      </c>
      <c r="Z132" s="32" t="str">
        <f>IF(SUM(FR_data[[#This Row],[Response - Disasters and Crises  ]:[Enabling Functions  ]])=0,"",SUM(FR_data[[#This Row],[Response - Disasters and Crises  ]:[Enabling Functions  ]]))</f>
        <v/>
      </c>
      <c r="AA132" s="41"/>
    </row>
    <row r="133" spans="1:27" x14ac:dyDescent="0.3">
      <c r="A133" s="11" t="s">
        <v>101</v>
      </c>
      <c r="B133" s="11" t="s">
        <v>100</v>
      </c>
      <c r="C133" s="11" t="s">
        <v>13</v>
      </c>
      <c r="D133" s="30" t="str">
        <f>_xlfn.LET(
    _xlpm.sumValue, SUMIFS(
        PNS_data[Value],
        PNS_data[Country], FR_data[[#This Row],[Country]],
        PNS_data[National Society name], selected,
        PNS_data[Attribute], "SP1",
        PNS_data[Year], "2026"
    ),
    IF(_xlpm.sumValue = 0, "", _xlpm.sumValue)
)</f>
        <v/>
      </c>
      <c r="E133" s="31" t="str">
        <f>_xlfn.LET(
    _xlpm.sumValue, SUMIFS(
        PNS_data[Value],
        PNS_data[Country], FR_data[[#This Row],[Country]],
        PNS_data[National Society name], selected,
        PNS_data[Attribute], "SP2",
        PNS_data[Year], "2026"
    ),
    IF(_xlpm.sumValue = 0, "", _xlpm.sumValue)
)</f>
        <v/>
      </c>
      <c r="F133" s="31" t="str">
        <f>_xlfn.LET(
    _xlpm.sumValue, SUMIFS(
        PNS_data[Value],
        PNS_data[Country], FR_data[[#This Row],[Country]],
        PNS_data[National Society name], selected,
        PNS_data[Attribute], "SP3",
        PNS_data[Year], "2026"
    ),
    IF(_xlpm.sumValue = 0, "", _xlpm.sumValue)
)</f>
        <v/>
      </c>
      <c r="G133" s="31" t="str">
        <f>_xlfn.LET(
    _xlpm.sumValue, SUMIFS(
        PNS_data[Value],
        PNS_data[Country], FR_data[[#This Row],[Country]],
        PNS_data[National Society name], selected,
        PNS_data[Attribute], "SP4",
        PNS_data[Year], "2026"
    ),
    IF(_xlpm.sumValue = 0, "", _xlpm.sumValue)
)</f>
        <v/>
      </c>
      <c r="H133" s="31" t="str">
        <f>_xlfn.LET(
    _xlpm.sumValue, SUMIFS(
        PNS_data[Value],
        PNS_data[Country], FR_data[[#This Row],[Country]],
        PNS_data[National Society name], selected,
        PNS_data[Attribute], "SP5",
        PNS_data[Year], "2026"
    ),
    IF(_xlpm.sumValue = 0, "", _xlpm.sumValue)
)</f>
        <v/>
      </c>
      <c r="I133" s="31" t="str">
        <f>_xlfn.LET(
    _xlpm.sumValue, SUMIFS(
        PNS_data[Value],
        PNS_data[Country], FR_data[[#This Row],[Country]],
        PNS_data[National Society name], selected,
        PNS_data[Attribute], "EFs",
        PNS_data[Year], "2026"
    ),
    IF(_xlpm.sumValue = 0, "", _xlpm.sumValue)
)</f>
        <v/>
      </c>
      <c r="J133" s="32" t="str">
        <f>IF(SUM(FR_data[[#This Row],[Response - Disasters and Crises]:[Enabling Functions]])=0,"",SUM(FR_data[[#This Row],[Response - Disasters and Crises]:[Enabling Functions]]))</f>
        <v/>
      </c>
      <c r="K133" s="39"/>
      <c r="L133" s="30" t="str">
        <f>_xlfn.LET(
    _xlpm.sumValue, SUMIFS(
        PNS_data[Value],
        PNS_data[Country], FR_data[[#This Row],[Country]],
        PNS_data[National Society name], selected,
        PNS_data[Attribute], "SP1",
        PNS_data[Year], "2027"
    ),
    IF(_xlpm.sumValue = 0, "", _xlpm.sumValue)
)</f>
        <v/>
      </c>
      <c r="M133" s="31" t="str">
        <f>_xlfn.LET(
    _xlpm.sumValue, SUMIFS(
        PNS_data[Value],
        PNS_data[Country], FR_data[[#This Row],[Country]],
        PNS_data[National Society name], selected,
        PNS_data[Attribute], "SP2",
        PNS_data[Year], "2027"
    ),
    IF(_xlpm.sumValue = 0, "", _xlpm.sumValue)
)</f>
        <v/>
      </c>
      <c r="N133" s="31" t="str">
        <f>_xlfn.LET(
    _xlpm.sumValue, SUMIFS(
        PNS_data[Value],
        PNS_data[Country], FR_data[[#This Row],[Country]],
        PNS_data[National Society name], selected,
        PNS_data[Attribute], "SP3",
        PNS_data[Year], "2027"
    ),
    IF(_xlpm.sumValue = 0, "", _xlpm.sumValue)
)</f>
        <v/>
      </c>
      <c r="O133" s="31" t="str">
        <f>_xlfn.LET(
    _xlpm.sumValue, SUMIFS(
        PNS_data[Value],
        PNS_data[Country], FR_data[[#This Row],[Country]],
        PNS_data[National Society name], selected,
        PNS_data[Attribute], "SP4",
        PNS_data[Year], "2027"
    ),
    IF(_xlpm.sumValue = 0, "", _xlpm.sumValue)
)</f>
        <v/>
      </c>
      <c r="P133" s="31" t="str">
        <f>_xlfn.LET(
    _xlpm.sumValue, SUMIFS(
        PNS_data[Value],
        PNS_data[Country], FR_data[[#This Row],[Country]],
        PNS_data[National Society name], selected,
        PNS_data[Attribute], "SP5",
        PNS_data[Year], "2027"
    ),
    IF(_xlpm.sumValue = 0, "", _xlpm.sumValue)
)</f>
        <v/>
      </c>
      <c r="Q133" s="31" t="str">
        <f>_xlfn.LET(
    _xlpm.sumValue, SUMIFS(
        PNS_data[Value],
        PNS_data[Country], FR_data[[#This Row],[Country]],
        PNS_data[National Society name], selected,
        PNS_data[Attribute], "EFs",
        PNS_data[Year], "2027"
    ),
    IF(_xlpm.sumValue = 0, "", _xlpm.sumValue)
)</f>
        <v/>
      </c>
      <c r="R133" s="32" t="str">
        <f>IF(SUM(FR_data[[#This Row],[Response - Disasters and Crises ]:[Enabling Functions ]])=0,"",SUM(FR_data[[#This Row],[Response - Disasters and Crises ]:[Enabling Functions ]]))</f>
        <v/>
      </c>
      <c r="S133" s="39"/>
      <c r="T133" s="30" t="str">
        <f>_xlfn.LET(
    _xlpm.sumValue, SUMIFS(
        PNS_data[Value],
        PNS_data[Country], FR_data[[#This Row],[Country]],
        PNS_data[National Society name], selected,
        PNS_data[Attribute], "SP1",
        PNS_data[Year], "2028"
    ),
    IF(_xlpm.sumValue = 0, "", _xlpm.sumValue)
)</f>
        <v/>
      </c>
      <c r="U133" s="31" t="str">
        <f>_xlfn.LET(
    _xlpm.sumValue, SUMIFS(
        PNS_data[Value],
        PNS_data[Country], FR_data[[#This Row],[Country]],
        PNS_data[National Society name], selected,
        PNS_data[Attribute], "SP2",
        PNS_data[Year], "2028"
    ),
    IF(_xlpm.sumValue = 0, "", _xlpm.sumValue)
)</f>
        <v/>
      </c>
      <c r="V133" s="31" t="str">
        <f>_xlfn.LET(
    _xlpm.sumValue, SUMIFS(
        PNS_data[Value],
        PNS_data[Country], FR_data[[#This Row],[Country]],
        PNS_data[National Society name], selected,
        PNS_data[Attribute], "SP3",
        PNS_data[Year], "2028"
    ),
    IF(_xlpm.sumValue = 0, "", _xlpm.sumValue)
)</f>
        <v/>
      </c>
      <c r="W133" s="31" t="str">
        <f>_xlfn.LET(
    _xlpm.sumValue, SUMIFS(
        PNS_data[Value],
        PNS_data[Country], FR_data[[#This Row],[Country]],
        PNS_data[National Society name], selected,
        PNS_data[Attribute], "SP4",
        PNS_data[Year], "2028"
    ),
    IF(_xlpm.sumValue = 0, "", _xlpm.sumValue)
)</f>
        <v/>
      </c>
      <c r="X133" s="31" t="str">
        <f>_xlfn.LET(
    _xlpm.sumValue, SUMIFS(
        PNS_data[Value],
        PNS_data[Country], FR_data[[#This Row],[Country]],
        PNS_data[National Society name], selected,
        PNS_data[Attribute], "SP5",
        PNS_data[Year], "2028"
    ),
    IF(_xlpm.sumValue = 0, "", _xlpm.sumValue)
)</f>
        <v/>
      </c>
      <c r="Y133" s="31" t="str">
        <f>_xlfn.LET(
    _xlpm.sumValue, SUMIFS(
        PNS_data[Value],
        PNS_data[Country], FR_data[[#This Row],[Country]],
        PNS_data[National Society name], selected,
        PNS_data[Attribute], "EFs",
        PNS_data[Year], "2028"
    ),
    IF(_xlpm.sumValue = 0, "", _xlpm.sumValue)
)</f>
        <v/>
      </c>
      <c r="Z133" s="32" t="str">
        <f>IF(SUM(FR_data[[#This Row],[Response - Disasters and Crises  ]:[Enabling Functions  ]])=0,"",SUM(FR_data[[#This Row],[Response - Disasters and Crises  ]:[Enabling Functions  ]]))</f>
        <v/>
      </c>
      <c r="AA133" s="41"/>
    </row>
    <row r="134" spans="1:27" x14ac:dyDescent="0.3">
      <c r="A134" s="11" t="s">
        <v>102</v>
      </c>
      <c r="B134" s="11" t="s">
        <v>100</v>
      </c>
      <c r="C134" s="11" t="s">
        <v>103</v>
      </c>
      <c r="D134" s="30" t="str">
        <f>_xlfn.LET(
    _xlpm.sumValue, SUMIFS(
        PNS_data[Value],
        PNS_data[Country], FR_data[[#This Row],[Country]],
        PNS_data[National Society name], selected,
        PNS_data[Attribute], "SP1",
        PNS_data[Year], "2026"
    ),
    IF(_xlpm.sumValue = 0, "", _xlpm.sumValue)
)</f>
        <v/>
      </c>
      <c r="E134" s="31" t="str">
        <f>_xlfn.LET(
    _xlpm.sumValue, SUMIFS(
        PNS_data[Value],
        PNS_data[Country], FR_data[[#This Row],[Country]],
        PNS_data[National Society name], selected,
        PNS_data[Attribute], "SP2",
        PNS_data[Year], "2026"
    ),
    IF(_xlpm.sumValue = 0, "", _xlpm.sumValue)
)</f>
        <v/>
      </c>
      <c r="F134" s="31" t="str">
        <f>_xlfn.LET(
    _xlpm.sumValue, SUMIFS(
        PNS_data[Value],
        PNS_data[Country], FR_data[[#This Row],[Country]],
        PNS_data[National Society name], selected,
        PNS_data[Attribute], "SP3",
        PNS_data[Year], "2026"
    ),
    IF(_xlpm.sumValue = 0, "", _xlpm.sumValue)
)</f>
        <v/>
      </c>
      <c r="G134" s="31" t="str">
        <f>_xlfn.LET(
    _xlpm.sumValue, SUMIFS(
        PNS_data[Value],
        PNS_data[Country], FR_data[[#This Row],[Country]],
        PNS_data[National Society name], selected,
        PNS_data[Attribute], "SP4",
        PNS_data[Year], "2026"
    ),
    IF(_xlpm.sumValue = 0, "", _xlpm.sumValue)
)</f>
        <v/>
      </c>
      <c r="H134" s="31" t="str">
        <f>_xlfn.LET(
    _xlpm.sumValue, SUMIFS(
        PNS_data[Value],
        PNS_data[Country], FR_data[[#This Row],[Country]],
        PNS_data[National Society name], selected,
        PNS_data[Attribute], "SP5",
        PNS_data[Year], "2026"
    ),
    IF(_xlpm.sumValue = 0, "", _xlpm.sumValue)
)</f>
        <v/>
      </c>
      <c r="I134" s="31" t="str">
        <f>_xlfn.LET(
    _xlpm.sumValue, SUMIFS(
        PNS_data[Value],
        PNS_data[Country], FR_data[[#This Row],[Country]],
        PNS_data[National Society name], selected,
        PNS_data[Attribute], "EFs",
        PNS_data[Year], "2026"
    ),
    IF(_xlpm.sumValue = 0, "", _xlpm.sumValue)
)</f>
        <v/>
      </c>
      <c r="J134" s="32" t="str">
        <f>IF(SUM(FR_data[[#This Row],[Response - Disasters and Crises]:[Enabling Functions]])=0,"",SUM(FR_data[[#This Row],[Response - Disasters and Crises]:[Enabling Functions]]))</f>
        <v/>
      </c>
      <c r="K134" s="39"/>
      <c r="L134" s="30" t="str">
        <f>_xlfn.LET(
    _xlpm.sumValue, SUMIFS(
        PNS_data[Value],
        PNS_data[Country], FR_data[[#This Row],[Country]],
        PNS_data[National Society name], selected,
        PNS_data[Attribute], "SP1",
        PNS_data[Year], "2027"
    ),
    IF(_xlpm.sumValue = 0, "", _xlpm.sumValue)
)</f>
        <v/>
      </c>
      <c r="M134" s="31" t="str">
        <f>_xlfn.LET(
    _xlpm.sumValue, SUMIFS(
        PNS_data[Value],
        PNS_data[Country], FR_data[[#This Row],[Country]],
        PNS_data[National Society name], selected,
        PNS_data[Attribute], "SP2",
        PNS_data[Year], "2027"
    ),
    IF(_xlpm.sumValue = 0, "", _xlpm.sumValue)
)</f>
        <v/>
      </c>
      <c r="N134" s="31" t="str">
        <f>_xlfn.LET(
    _xlpm.sumValue, SUMIFS(
        PNS_data[Value],
        PNS_data[Country], FR_data[[#This Row],[Country]],
        PNS_data[National Society name], selected,
        PNS_data[Attribute], "SP3",
        PNS_data[Year], "2027"
    ),
    IF(_xlpm.sumValue = 0, "", _xlpm.sumValue)
)</f>
        <v/>
      </c>
      <c r="O134" s="31" t="str">
        <f>_xlfn.LET(
    _xlpm.sumValue, SUMIFS(
        PNS_data[Value],
        PNS_data[Country], FR_data[[#This Row],[Country]],
        PNS_data[National Society name], selected,
        PNS_data[Attribute], "SP4",
        PNS_data[Year], "2027"
    ),
    IF(_xlpm.sumValue = 0, "", _xlpm.sumValue)
)</f>
        <v/>
      </c>
      <c r="P134" s="31" t="str">
        <f>_xlfn.LET(
    _xlpm.sumValue, SUMIFS(
        PNS_data[Value],
        PNS_data[Country], FR_data[[#This Row],[Country]],
        PNS_data[National Society name], selected,
        PNS_data[Attribute], "SP5",
        PNS_data[Year], "2027"
    ),
    IF(_xlpm.sumValue = 0, "", _xlpm.sumValue)
)</f>
        <v/>
      </c>
      <c r="Q134" s="31" t="str">
        <f>_xlfn.LET(
    _xlpm.sumValue, SUMIFS(
        PNS_data[Value],
        PNS_data[Country], FR_data[[#This Row],[Country]],
        PNS_data[National Society name], selected,
        PNS_data[Attribute], "EFs",
        PNS_data[Year], "2027"
    ),
    IF(_xlpm.sumValue = 0, "", _xlpm.sumValue)
)</f>
        <v/>
      </c>
      <c r="R134" s="32" t="str">
        <f>IF(SUM(FR_data[[#This Row],[Response - Disasters and Crises ]:[Enabling Functions ]])=0,"",SUM(FR_data[[#This Row],[Response - Disasters and Crises ]:[Enabling Functions ]]))</f>
        <v/>
      </c>
      <c r="S134" s="39"/>
      <c r="T134" s="30" t="str">
        <f>_xlfn.LET(
    _xlpm.sumValue, SUMIFS(
        PNS_data[Value],
        PNS_data[Country], FR_data[[#This Row],[Country]],
        PNS_data[National Society name], selected,
        PNS_data[Attribute], "SP1",
        PNS_data[Year], "2028"
    ),
    IF(_xlpm.sumValue = 0, "", _xlpm.sumValue)
)</f>
        <v/>
      </c>
      <c r="U134" s="31" t="str">
        <f>_xlfn.LET(
    _xlpm.sumValue, SUMIFS(
        PNS_data[Value],
        PNS_data[Country], FR_data[[#This Row],[Country]],
        PNS_data[National Society name], selected,
        PNS_data[Attribute], "SP2",
        PNS_data[Year], "2028"
    ),
    IF(_xlpm.sumValue = 0, "", _xlpm.sumValue)
)</f>
        <v/>
      </c>
      <c r="V134" s="31" t="str">
        <f>_xlfn.LET(
    _xlpm.sumValue, SUMIFS(
        PNS_data[Value],
        PNS_data[Country], FR_data[[#This Row],[Country]],
        PNS_data[National Society name], selected,
        PNS_data[Attribute], "SP3",
        PNS_data[Year], "2028"
    ),
    IF(_xlpm.sumValue = 0, "", _xlpm.sumValue)
)</f>
        <v/>
      </c>
      <c r="W134" s="31" t="str">
        <f>_xlfn.LET(
    _xlpm.sumValue, SUMIFS(
        PNS_data[Value],
        PNS_data[Country], FR_data[[#This Row],[Country]],
        PNS_data[National Society name], selected,
        PNS_data[Attribute], "SP4",
        PNS_data[Year], "2028"
    ),
    IF(_xlpm.sumValue = 0, "", _xlpm.sumValue)
)</f>
        <v/>
      </c>
      <c r="X134" s="31" t="str">
        <f>_xlfn.LET(
    _xlpm.sumValue, SUMIFS(
        PNS_data[Value],
        PNS_data[Country], FR_data[[#This Row],[Country]],
        PNS_data[National Society name], selected,
        PNS_data[Attribute], "SP5",
        PNS_data[Year], "2028"
    ),
    IF(_xlpm.sumValue = 0, "", _xlpm.sumValue)
)</f>
        <v/>
      </c>
      <c r="Y134" s="31" t="str">
        <f>_xlfn.LET(
    _xlpm.sumValue, SUMIFS(
        PNS_data[Value],
        PNS_data[Country], FR_data[[#This Row],[Country]],
        PNS_data[National Society name], selected,
        PNS_data[Attribute], "EFs",
        PNS_data[Year], "2028"
    ),
    IF(_xlpm.sumValue = 0, "", _xlpm.sumValue)
)</f>
        <v/>
      </c>
      <c r="Z134" s="32" t="str">
        <f>IF(SUM(FR_data[[#This Row],[Response - Disasters and Crises  ]:[Enabling Functions  ]])=0,"",SUM(FR_data[[#This Row],[Response - Disasters and Crises  ]:[Enabling Functions  ]]))</f>
        <v/>
      </c>
      <c r="AA134" s="41"/>
    </row>
    <row r="135" spans="1:27" x14ac:dyDescent="0.3">
      <c r="A135" s="11" t="s">
        <v>112</v>
      </c>
      <c r="B135" s="11" t="s">
        <v>100</v>
      </c>
      <c r="C135" s="11" t="s">
        <v>16</v>
      </c>
      <c r="D135" s="30" t="str">
        <f>_xlfn.LET(
    _xlpm.sumValue, SUMIFS(
        PNS_data[Value],
        PNS_data[Country], FR_data[[#This Row],[Country]],
        PNS_data[National Society name], selected,
        PNS_data[Attribute], "SP1",
        PNS_data[Year], "2026"
    ),
    IF(_xlpm.sumValue = 0, "", _xlpm.sumValue)
)</f>
        <v/>
      </c>
      <c r="E135" s="31" t="str">
        <f>_xlfn.LET(
    _xlpm.sumValue, SUMIFS(
        PNS_data[Value],
        PNS_data[Country], FR_data[[#This Row],[Country]],
        PNS_data[National Society name], selected,
        PNS_data[Attribute], "SP2",
        PNS_data[Year], "2026"
    ),
    IF(_xlpm.sumValue = 0, "", _xlpm.sumValue)
)</f>
        <v/>
      </c>
      <c r="F135" s="31" t="str">
        <f>_xlfn.LET(
    _xlpm.sumValue, SUMIFS(
        PNS_data[Value],
        PNS_data[Country], FR_data[[#This Row],[Country]],
        PNS_data[National Society name], selected,
        PNS_data[Attribute], "SP3",
        PNS_data[Year], "2026"
    ),
    IF(_xlpm.sumValue = 0, "", _xlpm.sumValue)
)</f>
        <v/>
      </c>
      <c r="G135" s="31" t="str">
        <f>_xlfn.LET(
    _xlpm.sumValue, SUMIFS(
        PNS_data[Value],
        PNS_data[Country], FR_data[[#This Row],[Country]],
        PNS_data[National Society name], selected,
        PNS_data[Attribute], "SP4",
        PNS_data[Year], "2026"
    ),
    IF(_xlpm.sumValue = 0, "", _xlpm.sumValue)
)</f>
        <v/>
      </c>
      <c r="H135" s="31" t="str">
        <f>_xlfn.LET(
    _xlpm.sumValue, SUMIFS(
        PNS_data[Value],
        PNS_data[Country], FR_data[[#This Row],[Country]],
        PNS_data[National Society name], selected,
        PNS_data[Attribute], "SP5",
        PNS_data[Year], "2026"
    ),
    IF(_xlpm.sumValue = 0, "", _xlpm.sumValue)
)</f>
        <v/>
      </c>
      <c r="I135" s="31" t="str">
        <f>_xlfn.LET(
    _xlpm.sumValue, SUMIFS(
        PNS_data[Value],
        PNS_data[Country], FR_data[[#This Row],[Country]],
        PNS_data[National Society name], selected,
        PNS_data[Attribute], "EFs",
        PNS_data[Year], "2026"
    ),
    IF(_xlpm.sumValue = 0, "", _xlpm.sumValue)
)</f>
        <v/>
      </c>
      <c r="J135" s="32" t="str">
        <f>IF(SUM(FR_data[[#This Row],[Response - Disasters and Crises]:[Enabling Functions]])=0,"",SUM(FR_data[[#This Row],[Response - Disasters and Crises]:[Enabling Functions]]))</f>
        <v/>
      </c>
      <c r="K135" s="39"/>
      <c r="L135" s="30" t="str">
        <f>_xlfn.LET(
    _xlpm.sumValue, SUMIFS(
        PNS_data[Value],
        PNS_data[Country], FR_data[[#This Row],[Country]],
        PNS_data[National Society name], selected,
        PNS_data[Attribute], "SP1",
        PNS_data[Year], "2027"
    ),
    IF(_xlpm.sumValue = 0, "", _xlpm.sumValue)
)</f>
        <v/>
      </c>
      <c r="M135" s="31" t="str">
        <f>_xlfn.LET(
    _xlpm.sumValue, SUMIFS(
        PNS_data[Value],
        PNS_data[Country], FR_data[[#This Row],[Country]],
        PNS_data[National Society name], selected,
        PNS_data[Attribute], "SP2",
        PNS_data[Year], "2027"
    ),
    IF(_xlpm.sumValue = 0, "", _xlpm.sumValue)
)</f>
        <v/>
      </c>
      <c r="N135" s="31" t="str">
        <f>_xlfn.LET(
    _xlpm.sumValue, SUMIFS(
        PNS_data[Value],
        PNS_data[Country], FR_data[[#This Row],[Country]],
        PNS_data[National Society name], selected,
        PNS_data[Attribute], "SP3",
        PNS_data[Year], "2027"
    ),
    IF(_xlpm.sumValue = 0, "", _xlpm.sumValue)
)</f>
        <v/>
      </c>
      <c r="O135" s="31" t="str">
        <f>_xlfn.LET(
    _xlpm.sumValue, SUMIFS(
        PNS_data[Value],
        PNS_data[Country], FR_data[[#This Row],[Country]],
        PNS_data[National Society name], selected,
        PNS_data[Attribute], "SP4",
        PNS_data[Year], "2027"
    ),
    IF(_xlpm.sumValue = 0, "", _xlpm.sumValue)
)</f>
        <v/>
      </c>
      <c r="P135" s="31" t="str">
        <f>_xlfn.LET(
    _xlpm.sumValue, SUMIFS(
        PNS_data[Value],
        PNS_data[Country], FR_data[[#This Row],[Country]],
        PNS_data[National Society name], selected,
        PNS_data[Attribute], "SP5",
        PNS_data[Year], "2027"
    ),
    IF(_xlpm.sumValue = 0, "", _xlpm.sumValue)
)</f>
        <v/>
      </c>
      <c r="Q135" s="31" t="str">
        <f>_xlfn.LET(
    _xlpm.sumValue, SUMIFS(
        PNS_data[Value],
        PNS_data[Country], FR_data[[#This Row],[Country]],
        PNS_data[National Society name], selected,
        PNS_data[Attribute], "EFs",
        PNS_data[Year], "2027"
    ),
    IF(_xlpm.sumValue = 0, "", _xlpm.sumValue)
)</f>
        <v/>
      </c>
      <c r="R135" s="32" t="str">
        <f>IF(SUM(FR_data[[#This Row],[Response - Disasters and Crises ]:[Enabling Functions ]])=0,"",SUM(FR_data[[#This Row],[Response - Disasters and Crises ]:[Enabling Functions ]]))</f>
        <v/>
      </c>
      <c r="S135" s="39"/>
      <c r="T135" s="30" t="str">
        <f>_xlfn.LET(
    _xlpm.sumValue, SUMIFS(
        PNS_data[Value],
        PNS_data[Country], FR_data[[#This Row],[Country]],
        PNS_data[National Society name], selected,
        PNS_data[Attribute], "SP1",
        PNS_data[Year], "2028"
    ),
    IF(_xlpm.sumValue = 0, "", _xlpm.sumValue)
)</f>
        <v/>
      </c>
      <c r="U135" s="31" t="str">
        <f>_xlfn.LET(
    _xlpm.sumValue, SUMIFS(
        PNS_data[Value],
        PNS_data[Country], FR_data[[#This Row],[Country]],
        PNS_data[National Society name], selected,
        PNS_data[Attribute], "SP2",
        PNS_data[Year], "2028"
    ),
    IF(_xlpm.sumValue = 0, "", _xlpm.sumValue)
)</f>
        <v/>
      </c>
      <c r="V135" s="31" t="str">
        <f>_xlfn.LET(
    _xlpm.sumValue, SUMIFS(
        PNS_data[Value],
        PNS_data[Country], FR_data[[#This Row],[Country]],
        PNS_data[National Society name], selected,
        PNS_data[Attribute], "SP3",
        PNS_data[Year], "2028"
    ),
    IF(_xlpm.sumValue = 0, "", _xlpm.sumValue)
)</f>
        <v/>
      </c>
      <c r="W135" s="31" t="str">
        <f>_xlfn.LET(
    _xlpm.sumValue, SUMIFS(
        PNS_data[Value],
        PNS_data[Country], FR_data[[#This Row],[Country]],
        PNS_data[National Society name], selected,
        PNS_data[Attribute], "SP4",
        PNS_data[Year], "2028"
    ),
    IF(_xlpm.sumValue = 0, "", _xlpm.sumValue)
)</f>
        <v/>
      </c>
      <c r="X135" s="31" t="str">
        <f>_xlfn.LET(
    _xlpm.sumValue, SUMIFS(
        PNS_data[Value],
        PNS_data[Country], FR_data[[#This Row],[Country]],
        PNS_data[National Society name], selected,
        PNS_data[Attribute], "SP5",
        PNS_data[Year], "2028"
    ),
    IF(_xlpm.sumValue = 0, "", _xlpm.sumValue)
)</f>
        <v/>
      </c>
      <c r="Y135" s="31" t="str">
        <f>_xlfn.LET(
    _xlpm.sumValue, SUMIFS(
        PNS_data[Value],
        PNS_data[Country], FR_data[[#This Row],[Country]],
        PNS_data[National Society name], selected,
        PNS_data[Attribute], "EFs",
        PNS_data[Year], "2028"
    ),
    IF(_xlpm.sumValue = 0, "", _xlpm.sumValue)
)</f>
        <v/>
      </c>
      <c r="Z135" s="32" t="str">
        <f>IF(SUM(FR_data[[#This Row],[Response - Disasters and Crises  ]:[Enabling Functions  ]])=0,"",SUM(FR_data[[#This Row],[Response - Disasters and Crises  ]:[Enabling Functions  ]]))</f>
        <v/>
      </c>
      <c r="AA135" s="41"/>
    </row>
    <row r="136" spans="1:27" x14ac:dyDescent="0.3">
      <c r="A136" s="11" t="s">
        <v>115</v>
      </c>
      <c r="B136" s="11" t="s">
        <v>100</v>
      </c>
      <c r="C136" s="11" t="s">
        <v>116</v>
      </c>
      <c r="D136" s="30" t="str">
        <f>_xlfn.LET(
    _xlpm.sumValue, SUMIFS(
        PNS_data[Value],
        PNS_data[Country], FR_data[[#This Row],[Country]],
        PNS_data[National Society name], selected,
        PNS_data[Attribute], "SP1",
        PNS_data[Year], "2026"
    ),
    IF(_xlpm.sumValue = 0, "", _xlpm.sumValue)
)</f>
        <v/>
      </c>
      <c r="E136" s="31" t="str">
        <f>_xlfn.LET(
    _xlpm.sumValue, SUMIFS(
        PNS_data[Value],
        PNS_data[Country], FR_data[[#This Row],[Country]],
        PNS_data[National Society name], selected,
        PNS_data[Attribute], "SP2",
        PNS_data[Year], "2026"
    ),
    IF(_xlpm.sumValue = 0, "", _xlpm.sumValue)
)</f>
        <v/>
      </c>
      <c r="F136" s="31" t="str">
        <f>_xlfn.LET(
    _xlpm.sumValue, SUMIFS(
        PNS_data[Value],
        PNS_data[Country], FR_data[[#This Row],[Country]],
        PNS_data[National Society name], selected,
        PNS_data[Attribute], "SP3",
        PNS_data[Year], "2026"
    ),
    IF(_xlpm.sumValue = 0, "", _xlpm.sumValue)
)</f>
        <v/>
      </c>
      <c r="G136" s="31" t="str">
        <f>_xlfn.LET(
    _xlpm.sumValue, SUMIFS(
        PNS_data[Value],
        PNS_data[Country], FR_data[[#This Row],[Country]],
        PNS_data[National Society name], selected,
        PNS_data[Attribute], "SP4",
        PNS_data[Year], "2026"
    ),
    IF(_xlpm.sumValue = 0, "", _xlpm.sumValue)
)</f>
        <v/>
      </c>
      <c r="H136" s="31" t="str">
        <f>_xlfn.LET(
    _xlpm.sumValue, SUMIFS(
        PNS_data[Value],
        PNS_data[Country], FR_data[[#This Row],[Country]],
        PNS_data[National Society name], selected,
        PNS_data[Attribute], "SP5",
        PNS_data[Year], "2026"
    ),
    IF(_xlpm.sumValue = 0, "", _xlpm.sumValue)
)</f>
        <v/>
      </c>
      <c r="I136" s="31" t="str">
        <f>_xlfn.LET(
    _xlpm.sumValue, SUMIFS(
        PNS_data[Value],
        PNS_data[Country], FR_data[[#This Row],[Country]],
        PNS_data[National Society name], selected,
        PNS_data[Attribute], "EFs",
        PNS_data[Year], "2026"
    ),
    IF(_xlpm.sumValue = 0, "", _xlpm.sumValue)
)</f>
        <v/>
      </c>
      <c r="J136" s="32" t="str">
        <f>IF(SUM(FR_data[[#This Row],[Response - Disasters and Crises]:[Enabling Functions]])=0,"",SUM(FR_data[[#This Row],[Response - Disasters and Crises]:[Enabling Functions]]))</f>
        <v/>
      </c>
      <c r="K136" s="39"/>
      <c r="L136" s="30" t="str">
        <f>_xlfn.LET(
    _xlpm.sumValue, SUMIFS(
        PNS_data[Value],
        PNS_data[Country], FR_data[[#This Row],[Country]],
        PNS_data[National Society name], selected,
        PNS_data[Attribute], "SP1",
        PNS_data[Year], "2027"
    ),
    IF(_xlpm.sumValue = 0, "", _xlpm.sumValue)
)</f>
        <v/>
      </c>
      <c r="M136" s="31" t="str">
        <f>_xlfn.LET(
    _xlpm.sumValue, SUMIFS(
        PNS_data[Value],
        PNS_data[Country], FR_data[[#This Row],[Country]],
        PNS_data[National Society name], selected,
        PNS_data[Attribute], "SP2",
        PNS_data[Year], "2027"
    ),
    IF(_xlpm.sumValue = 0, "", _xlpm.sumValue)
)</f>
        <v/>
      </c>
      <c r="N136" s="31" t="str">
        <f>_xlfn.LET(
    _xlpm.sumValue, SUMIFS(
        PNS_data[Value],
        PNS_data[Country], FR_data[[#This Row],[Country]],
        PNS_data[National Society name], selected,
        PNS_data[Attribute], "SP3",
        PNS_data[Year], "2027"
    ),
    IF(_xlpm.sumValue = 0, "", _xlpm.sumValue)
)</f>
        <v/>
      </c>
      <c r="O136" s="31" t="str">
        <f>_xlfn.LET(
    _xlpm.sumValue, SUMIFS(
        PNS_data[Value],
        PNS_data[Country], FR_data[[#This Row],[Country]],
        PNS_data[National Society name], selected,
        PNS_data[Attribute], "SP4",
        PNS_data[Year], "2027"
    ),
    IF(_xlpm.sumValue = 0, "", _xlpm.sumValue)
)</f>
        <v/>
      </c>
      <c r="P136" s="31" t="str">
        <f>_xlfn.LET(
    _xlpm.sumValue, SUMIFS(
        PNS_data[Value],
        PNS_data[Country], FR_data[[#This Row],[Country]],
        PNS_data[National Society name], selected,
        PNS_data[Attribute], "SP5",
        PNS_data[Year], "2027"
    ),
    IF(_xlpm.sumValue = 0, "", _xlpm.sumValue)
)</f>
        <v/>
      </c>
      <c r="Q136" s="31" t="str">
        <f>_xlfn.LET(
    _xlpm.sumValue, SUMIFS(
        PNS_data[Value],
        PNS_data[Country], FR_data[[#This Row],[Country]],
        PNS_data[National Society name], selected,
        PNS_data[Attribute], "EFs",
        PNS_data[Year], "2027"
    ),
    IF(_xlpm.sumValue = 0, "", _xlpm.sumValue)
)</f>
        <v/>
      </c>
      <c r="R136" s="32" t="str">
        <f>IF(SUM(FR_data[[#This Row],[Response - Disasters and Crises ]:[Enabling Functions ]])=0,"",SUM(FR_data[[#This Row],[Response - Disasters and Crises ]:[Enabling Functions ]]))</f>
        <v/>
      </c>
      <c r="S136" s="39"/>
      <c r="T136" s="30" t="str">
        <f>_xlfn.LET(
    _xlpm.sumValue, SUMIFS(
        PNS_data[Value],
        PNS_data[Country], FR_data[[#This Row],[Country]],
        PNS_data[National Society name], selected,
        PNS_data[Attribute], "SP1",
        PNS_data[Year], "2028"
    ),
    IF(_xlpm.sumValue = 0, "", _xlpm.sumValue)
)</f>
        <v/>
      </c>
      <c r="U136" s="31" t="str">
        <f>_xlfn.LET(
    _xlpm.sumValue, SUMIFS(
        PNS_data[Value],
        PNS_data[Country], FR_data[[#This Row],[Country]],
        PNS_data[National Society name], selected,
        PNS_data[Attribute], "SP2",
        PNS_data[Year], "2028"
    ),
    IF(_xlpm.sumValue = 0, "", _xlpm.sumValue)
)</f>
        <v/>
      </c>
      <c r="V136" s="31" t="str">
        <f>_xlfn.LET(
    _xlpm.sumValue, SUMIFS(
        PNS_data[Value],
        PNS_data[Country], FR_data[[#This Row],[Country]],
        PNS_data[National Society name], selected,
        PNS_data[Attribute], "SP3",
        PNS_data[Year], "2028"
    ),
    IF(_xlpm.sumValue = 0, "", _xlpm.sumValue)
)</f>
        <v/>
      </c>
      <c r="W136" s="31" t="str">
        <f>_xlfn.LET(
    _xlpm.sumValue, SUMIFS(
        PNS_data[Value],
        PNS_data[Country], FR_data[[#This Row],[Country]],
        PNS_data[National Society name], selected,
        PNS_data[Attribute], "SP4",
        PNS_data[Year], "2028"
    ),
    IF(_xlpm.sumValue = 0, "", _xlpm.sumValue)
)</f>
        <v/>
      </c>
      <c r="X136" s="31" t="str">
        <f>_xlfn.LET(
    _xlpm.sumValue, SUMIFS(
        PNS_data[Value],
        PNS_data[Country], FR_data[[#This Row],[Country]],
        PNS_data[National Society name], selected,
        PNS_data[Attribute], "SP5",
        PNS_data[Year], "2028"
    ),
    IF(_xlpm.sumValue = 0, "", _xlpm.sumValue)
)</f>
        <v/>
      </c>
      <c r="Y136" s="31" t="str">
        <f>_xlfn.LET(
    _xlpm.sumValue, SUMIFS(
        PNS_data[Value],
        PNS_data[Country], FR_data[[#This Row],[Country]],
        PNS_data[National Society name], selected,
        PNS_data[Attribute], "EFs",
        PNS_data[Year], "2028"
    ),
    IF(_xlpm.sumValue = 0, "", _xlpm.sumValue)
)</f>
        <v/>
      </c>
      <c r="Z136" s="32" t="str">
        <f>IF(SUM(FR_data[[#This Row],[Response - Disasters and Crises  ]:[Enabling Functions  ]])=0,"",SUM(FR_data[[#This Row],[Response - Disasters and Crises  ]:[Enabling Functions  ]]))</f>
        <v/>
      </c>
      <c r="AA136" s="41"/>
    </row>
    <row r="137" spans="1:27" x14ac:dyDescent="0.3">
      <c r="A137" s="11" t="s">
        <v>117</v>
      </c>
      <c r="B137" s="11" t="s">
        <v>100</v>
      </c>
      <c r="C137" s="11" t="s">
        <v>118</v>
      </c>
      <c r="D137" s="30" t="str">
        <f>_xlfn.LET(
    _xlpm.sumValue, SUMIFS(
        PNS_data[Value],
        PNS_data[Country], FR_data[[#This Row],[Country]],
        PNS_data[National Society name], selected,
        PNS_data[Attribute], "SP1",
        PNS_data[Year], "2026"
    ),
    IF(_xlpm.sumValue = 0, "", _xlpm.sumValue)
)</f>
        <v/>
      </c>
      <c r="E137" s="31" t="str">
        <f>_xlfn.LET(
    _xlpm.sumValue, SUMIFS(
        PNS_data[Value],
        PNS_data[Country], FR_data[[#This Row],[Country]],
        PNS_data[National Society name], selected,
        PNS_data[Attribute], "SP2",
        PNS_data[Year], "2026"
    ),
    IF(_xlpm.sumValue = 0, "", _xlpm.sumValue)
)</f>
        <v/>
      </c>
      <c r="F137" s="31" t="str">
        <f>_xlfn.LET(
    _xlpm.sumValue, SUMIFS(
        PNS_data[Value],
        PNS_data[Country], FR_data[[#This Row],[Country]],
        PNS_data[National Society name], selected,
        PNS_data[Attribute], "SP3",
        PNS_data[Year], "2026"
    ),
    IF(_xlpm.sumValue = 0, "", _xlpm.sumValue)
)</f>
        <v/>
      </c>
      <c r="G137" s="31" t="str">
        <f>_xlfn.LET(
    _xlpm.sumValue, SUMIFS(
        PNS_data[Value],
        PNS_data[Country], FR_data[[#This Row],[Country]],
        PNS_data[National Society name], selected,
        PNS_data[Attribute], "SP4",
        PNS_data[Year], "2026"
    ),
    IF(_xlpm.sumValue = 0, "", _xlpm.sumValue)
)</f>
        <v/>
      </c>
      <c r="H137" s="31" t="str">
        <f>_xlfn.LET(
    _xlpm.sumValue, SUMIFS(
        PNS_data[Value],
        PNS_data[Country], FR_data[[#This Row],[Country]],
        PNS_data[National Society name], selected,
        PNS_data[Attribute], "SP5",
        PNS_data[Year], "2026"
    ),
    IF(_xlpm.sumValue = 0, "", _xlpm.sumValue)
)</f>
        <v/>
      </c>
      <c r="I137" s="31" t="str">
        <f>_xlfn.LET(
    _xlpm.sumValue, SUMIFS(
        PNS_data[Value],
        PNS_data[Country], FR_data[[#This Row],[Country]],
        PNS_data[National Society name], selected,
        PNS_data[Attribute], "EFs",
        PNS_data[Year], "2026"
    ),
    IF(_xlpm.sumValue = 0, "", _xlpm.sumValue)
)</f>
        <v/>
      </c>
      <c r="J137" s="32" t="str">
        <f>IF(SUM(FR_data[[#This Row],[Response - Disasters and Crises]:[Enabling Functions]])=0,"",SUM(FR_data[[#This Row],[Response - Disasters and Crises]:[Enabling Functions]]))</f>
        <v/>
      </c>
      <c r="K137" s="39"/>
      <c r="L137" s="30" t="str">
        <f>_xlfn.LET(
    _xlpm.sumValue, SUMIFS(
        PNS_data[Value],
        PNS_data[Country], FR_data[[#This Row],[Country]],
        PNS_data[National Society name], selected,
        PNS_data[Attribute], "SP1",
        PNS_data[Year], "2027"
    ),
    IF(_xlpm.sumValue = 0, "", _xlpm.sumValue)
)</f>
        <v/>
      </c>
      <c r="M137" s="31" t="str">
        <f>_xlfn.LET(
    _xlpm.sumValue, SUMIFS(
        PNS_data[Value],
        PNS_data[Country], FR_data[[#This Row],[Country]],
        PNS_data[National Society name], selected,
        PNS_data[Attribute], "SP2",
        PNS_data[Year], "2027"
    ),
    IF(_xlpm.sumValue = 0, "", _xlpm.sumValue)
)</f>
        <v/>
      </c>
      <c r="N137" s="31" t="str">
        <f>_xlfn.LET(
    _xlpm.sumValue, SUMIFS(
        PNS_data[Value],
        PNS_data[Country], FR_data[[#This Row],[Country]],
        PNS_data[National Society name], selected,
        PNS_data[Attribute], "SP3",
        PNS_data[Year], "2027"
    ),
    IF(_xlpm.sumValue = 0, "", _xlpm.sumValue)
)</f>
        <v/>
      </c>
      <c r="O137" s="31" t="str">
        <f>_xlfn.LET(
    _xlpm.sumValue, SUMIFS(
        PNS_data[Value],
        PNS_data[Country], FR_data[[#This Row],[Country]],
        PNS_data[National Society name], selected,
        PNS_data[Attribute], "SP4",
        PNS_data[Year], "2027"
    ),
    IF(_xlpm.sumValue = 0, "", _xlpm.sumValue)
)</f>
        <v/>
      </c>
      <c r="P137" s="31" t="str">
        <f>_xlfn.LET(
    _xlpm.sumValue, SUMIFS(
        PNS_data[Value],
        PNS_data[Country], FR_data[[#This Row],[Country]],
        PNS_data[National Society name], selected,
        PNS_data[Attribute], "SP5",
        PNS_data[Year], "2027"
    ),
    IF(_xlpm.sumValue = 0, "", _xlpm.sumValue)
)</f>
        <v/>
      </c>
      <c r="Q137" s="31" t="str">
        <f>_xlfn.LET(
    _xlpm.sumValue, SUMIFS(
        PNS_data[Value],
        PNS_data[Country], FR_data[[#This Row],[Country]],
        PNS_data[National Society name], selected,
        PNS_data[Attribute], "EFs",
        PNS_data[Year], "2027"
    ),
    IF(_xlpm.sumValue = 0, "", _xlpm.sumValue)
)</f>
        <v/>
      </c>
      <c r="R137" s="32" t="str">
        <f>IF(SUM(FR_data[[#This Row],[Response - Disasters and Crises ]:[Enabling Functions ]])=0,"",SUM(FR_data[[#This Row],[Response - Disasters and Crises ]:[Enabling Functions ]]))</f>
        <v/>
      </c>
      <c r="S137" s="39"/>
      <c r="T137" s="30" t="str">
        <f>_xlfn.LET(
    _xlpm.sumValue, SUMIFS(
        PNS_data[Value],
        PNS_data[Country], FR_data[[#This Row],[Country]],
        PNS_data[National Society name], selected,
        PNS_data[Attribute], "SP1",
        PNS_data[Year], "2028"
    ),
    IF(_xlpm.sumValue = 0, "", _xlpm.sumValue)
)</f>
        <v/>
      </c>
      <c r="U137" s="31" t="str">
        <f>_xlfn.LET(
    _xlpm.sumValue, SUMIFS(
        PNS_data[Value],
        PNS_data[Country], FR_data[[#This Row],[Country]],
        PNS_data[National Society name], selected,
        PNS_data[Attribute], "SP2",
        PNS_data[Year], "2028"
    ),
    IF(_xlpm.sumValue = 0, "", _xlpm.sumValue)
)</f>
        <v/>
      </c>
      <c r="V137" s="31" t="str">
        <f>_xlfn.LET(
    _xlpm.sumValue, SUMIFS(
        PNS_data[Value],
        PNS_data[Country], FR_data[[#This Row],[Country]],
        PNS_data[National Society name], selected,
        PNS_data[Attribute], "SP3",
        PNS_data[Year], "2028"
    ),
    IF(_xlpm.sumValue = 0, "", _xlpm.sumValue)
)</f>
        <v/>
      </c>
      <c r="W137" s="31" t="str">
        <f>_xlfn.LET(
    _xlpm.sumValue, SUMIFS(
        PNS_data[Value],
        PNS_data[Country], FR_data[[#This Row],[Country]],
        PNS_data[National Society name], selected,
        PNS_data[Attribute], "SP4",
        PNS_data[Year], "2028"
    ),
    IF(_xlpm.sumValue = 0, "", _xlpm.sumValue)
)</f>
        <v/>
      </c>
      <c r="X137" s="31" t="str">
        <f>_xlfn.LET(
    _xlpm.sumValue, SUMIFS(
        PNS_data[Value],
        PNS_data[Country], FR_data[[#This Row],[Country]],
        PNS_data[National Society name], selected,
        PNS_data[Attribute], "SP5",
        PNS_data[Year], "2028"
    ),
    IF(_xlpm.sumValue = 0, "", _xlpm.sumValue)
)</f>
        <v/>
      </c>
      <c r="Y137" s="31" t="str">
        <f>_xlfn.LET(
    _xlpm.sumValue, SUMIFS(
        PNS_data[Value],
        PNS_data[Country], FR_data[[#This Row],[Country]],
        PNS_data[National Society name], selected,
        PNS_data[Attribute], "EFs",
        PNS_data[Year], "2028"
    ),
    IF(_xlpm.sumValue = 0, "", _xlpm.sumValue)
)</f>
        <v/>
      </c>
      <c r="Z137" s="32" t="str">
        <f>IF(SUM(FR_data[[#This Row],[Response - Disasters and Crises  ]:[Enabling Functions  ]])=0,"",SUM(FR_data[[#This Row],[Response - Disasters and Crises  ]:[Enabling Functions  ]]))</f>
        <v/>
      </c>
      <c r="AA137" s="41"/>
    </row>
    <row r="138" spans="1:27" x14ac:dyDescent="0.3">
      <c r="A138" s="11" t="s">
        <v>124</v>
      </c>
      <c r="B138" s="11" t="s">
        <v>100</v>
      </c>
      <c r="C138" s="11" t="s">
        <v>30</v>
      </c>
      <c r="D138" s="30" t="str">
        <f>_xlfn.LET(
    _xlpm.sumValue, SUMIFS(
        PNS_data[Value],
        PNS_data[Country], FR_data[[#This Row],[Country]],
        PNS_data[National Society name], selected,
        PNS_data[Attribute], "SP1",
        PNS_data[Year], "2026"
    ),
    IF(_xlpm.sumValue = 0, "", _xlpm.sumValue)
)</f>
        <v/>
      </c>
      <c r="E138" s="31" t="str">
        <f>_xlfn.LET(
    _xlpm.sumValue, SUMIFS(
        PNS_data[Value],
        PNS_data[Country], FR_data[[#This Row],[Country]],
        PNS_data[National Society name], selected,
        PNS_data[Attribute], "SP2",
        PNS_data[Year], "2026"
    ),
    IF(_xlpm.sumValue = 0, "", _xlpm.sumValue)
)</f>
        <v/>
      </c>
      <c r="F138" s="31" t="str">
        <f>_xlfn.LET(
    _xlpm.sumValue, SUMIFS(
        PNS_data[Value],
        PNS_data[Country], FR_data[[#This Row],[Country]],
        PNS_data[National Society name], selected,
        PNS_data[Attribute], "SP3",
        PNS_data[Year], "2026"
    ),
    IF(_xlpm.sumValue = 0, "", _xlpm.sumValue)
)</f>
        <v/>
      </c>
      <c r="G138" s="31" t="str">
        <f>_xlfn.LET(
    _xlpm.sumValue, SUMIFS(
        PNS_data[Value],
        PNS_data[Country], FR_data[[#This Row],[Country]],
        PNS_data[National Society name], selected,
        PNS_data[Attribute], "SP4",
        PNS_data[Year], "2026"
    ),
    IF(_xlpm.sumValue = 0, "", _xlpm.sumValue)
)</f>
        <v/>
      </c>
      <c r="H138" s="31" t="str">
        <f>_xlfn.LET(
    _xlpm.sumValue, SUMIFS(
        PNS_data[Value],
        PNS_data[Country], FR_data[[#This Row],[Country]],
        PNS_data[National Society name], selected,
        PNS_data[Attribute], "SP5",
        PNS_data[Year], "2026"
    ),
    IF(_xlpm.sumValue = 0, "", _xlpm.sumValue)
)</f>
        <v/>
      </c>
      <c r="I138" s="31" t="str">
        <f>_xlfn.LET(
    _xlpm.sumValue, SUMIFS(
        PNS_data[Value],
        PNS_data[Country], FR_data[[#This Row],[Country]],
        PNS_data[National Society name], selected,
        PNS_data[Attribute], "EFs",
        PNS_data[Year], "2026"
    ),
    IF(_xlpm.sumValue = 0, "", _xlpm.sumValue)
)</f>
        <v/>
      </c>
      <c r="J138" s="32" t="str">
        <f>IF(SUM(FR_data[[#This Row],[Response - Disasters and Crises]:[Enabling Functions]])=0,"",SUM(FR_data[[#This Row],[Response - Disasters and Crises]:[Enabling Functions]]))</f>
        <v/>
      </c>
      <c r="K138" s="39"/>
      <c r="L138" s="30" t="str">
        <f>_xlfn.LET(
    _xlpm.sumValue, SUMIFS(
        PNS_data[Value],
        PNS_data[Country], FR_data[[#This Row],[Country]],
        PNS_data[National Society name], selected,
        PNS_data[Attribute], "SP1",
        PNS_data[Year], "2027"
    ),
    IF(_xlpm.sumValue = 0, "", _xlpm.sumValue)
)</f>
        <v/>
      </c>
      <c r="M138" s="31" t="str">
        <f>_xlfn.LET(
    _xlpm.sumValue, SUMIFS(
        PNS_data[Value],
        PNS_data[Country], FR_data[[#This Row],[Country]],
        PNS_data[National Society name], selected,
        PNS_data[Attribute], "SP2",
        PNS_data[Year], "2027"
    ),
    IF(_xlpm.sumValue = 0, "", _xlpm.sumValue)
)</f>
        <v/>
      </c>
      <c r="N138" s="31" t="str">
        <f>_xlfn.LET(
    _xlpm.sumValue, SUMIFS(
        PNS_data[Value],
        PNS_data[Country], FR_data[[#This Row],[Country]],
        PNS_data[National Society name], selected,
        PNS_data[Attribute], "SP3",
        PNS_data[Year], "2027"
    ),
    IF(_xlpm.sumValue = 0, "", _xlpm.sumValue)
)</f>
        <v/>
      </c>
      <c r="O138" s="31" t="str">
        <f>_xlfn.LET(
    _xlpm.sumValue, SUMIFS(
        PNS_data[Value],
        PNS_data[Country], FR_data[[#This Row],[Country]],
        PNS_data[National Society name], selected,
        PNS_data[Attribute], "SP4",
        PNS_data[Year], "2027"
    ),
    IF(_xlpm.sumValue = 0, "", _xlpm.sumValue)
)</f>
        <v/>
      </c>
      <c r="P138" s="31" t="str">
        <f>_xlfn.LET(
    _xlpm.sumValue, SUMIFS(
        PNS_data[Value],
        PNS_data[Country], FR_data[[#This Row],[Country]],
        PNS_data[National Society name], selected,
        PNS_data[Attribute], "SP5",
        PNS_data[Year], "2027"
    ),
    IF(_xlpm.sumValue = 0, "", _xlpm.sumValue)
)</f>
        <v/>
      </c>
      <c r="Q138" s="31" t="str">
        <f>_xlfn.LET(
    _xlpm.sumValue, SUMIFS(
        PNS_data[Value],
        PNS_data[Country], FR_data[[#This Row],[Country]],
        PNS_data[National Society name], selected,
        PNS_data[Attribute], "EFs",
        PNS_data[Year], "2027"
    ),
    IF(_xlpm.sumValue = 0, "", _xlpm.sumValue)
)</f>
        <v/>
      </c>
      <c r="R138" s="32" t="str">
        <f>IF(SUM(FR_data[[#This Row],[Response - Disasters and Crises ]:[Enabling Functions ]])=0,"",SUM(FR_data[[#This Row],[Response - Disasters and Crises ]:[Enabling Functions ]]))</f>
        <v/>
      </c>
      <c r="S138" s="39"/>
      <c r="T138" s="30" t="str">
        <f>_xlfn.LET(
    _xlpm.sumValue, SUMIFS(
        PNS_data[Value],
        PNS_data[Country], FR_data[[#This Row],[Country]],
        PNS_data[National Society name], selected,
        PNS_data[Attribute], "SP1",
        PNS_data[Year], "2028"
    ),
    IF(_xlpm.sumValue = 0, "", _xlpm.sumValue)
)</f>
        <v/>
      </c>
      <c r="U138" s="31" t="str">
        <f>_xlfn.LET(
    _xlpm.sumValue, SUMIFS(
        PNS_data[Value],
        PNS_data[Country], FR_data[[#This Row],[Country]],
        PNS_data[National Society name], selected,
        PNS_data[Attribute], "SP2",
        PNS_data[Year], "2028"
    ),
    IF(_xlpm.sumValue = 0, "", _xlpm.sumValue)
)</f>
        <v/>
      </c>
      <c r="V138" s="31" t="str">
        <f>_xlfn.LET(
    _xlpm.sumValue, SUMIFS(
        PNS_data[Value],
        PNS_data[Country], FR_data[[#This Row],[Country]],
        PNS_data[National Society name], selected,
        PNS_data[Attribute], "SP3",
        PNS_data[Year], "2028"
    ),
    IF(_xlpm.sumValue = 0, "", _xlpm.sumValue)
)</f>
        <v/>
      </c>
      <c r="W138" s="31" t="str">
        <f>_xlfn.LET(
    _xlpm.sumValue, SUMIFS(
        PNS_data[Value],
        PNS_data[Country], FR_data[[#This Row],[Country]],
        PNS_data[National Society name], selected,
        PNS_data[Attribute], "SP4",
        PNS_data[Year], "2028"
    ),
    IF(_xlpm.sumValue = 0, "", _xlpm.sumValue)
)</f>
        <v/>
      </c>
      <c r="X138" s="31" t="str">
        <f>_xlfn.LET(
    _xlpm.sumValue, SUMIFS(
        PNS_data[Value],
        PNS_data[Country], FR_data[[#This Row],[Country]],
        PNS_data[National Society name], selected,
        PNS_data[Attribute], "SP5",
        PNS_data[Year], "2028"
    ),
    IF(_xlpm.sumValue = 0, "", _xlpm.sumValue)
)</f>
        <v/>
      </c>
      <c r="Y138" s="31" t="str">
        <f>_xlfn.LET(
    _xlpm.sumValue, SUMIFS(
        PNS_data[Value],
        PNS_data[Country], FR_data[[#This Row],[Country]],
        PNS_data[National Society name], selected,
        PNS_data[Attribute], "EFs",
        PNS_data[Year], "2028"
    ),
    IF(_xlpm.sumValue = 0, "", _xlpm.sumValue)
)</f>
        <v/>
      </c>
      <c r="Z138" s="32" t="str">
        <f>IF(SUM(FR_data[[#This Row],[Response - Disasters and Crises  ]:[Enabling Functions  ]])=0,"",SUM(FR_data[[#This Row],[Response - Disasters and Crises  ]:[Enabling Functions  ]]))</f>
        <v/>
      </c>
      <c r="AA138" s="41"/>
    </row>
    <row r="139" spans="1:27" x14ac:dyDescent="0.3">
      <c r="A139" s="11" t="s">
        <v>128</v>
      </c>
      <c r="B139" s="11" t="s">
        <v>100</v>
      </c>
      <c r="C139" s="11" t="s">
        <v>129</v>
      </c>
      <c r="D139" s="30" t="str">
        <f>_xlfn.LET(
    _xlpm.sumValue, SUMIFS(
        PNS_data[Value],
        PNS_data[Country], FR_data[[#This Row],[Country]],
        PNS_data[National Society name], selected,
        PNS_data[Attribute], "SP1",
        PNS_data[Year], "2026"
    ),
    IF(_xlpm.sumValue = 0, "", _xlpm.sumValue)
)</f>
        <v/>
      </c>
      <c r="E139" s="31" t="str">
        <f>_xlfn.LET(
    _xlpm.sumValue, SUMIFS(
        PNS_data[Value],
        PNS_data[Country], FR_data[[#This Row],[Country]],
        PNS_data[National Society name], selected,
        PNS_data[Attribute], "SP2",
        PNS_data[Year], "2026"
    ),
    IF(_xlpm.sumValue = 0, "", _xlpm.sumValue)
)</f>
        <v/>
      </c>
      <c r="F139" s="31" t="str">
        <f>_xlfn.LET(
    _xlpm.sumValue, SUMIFS(
        PNS_data[Value],
        PNS_data[Country], FR_data[[#This Row],[Country]],
        PNS_data[National Society name], selected,
        PNS_data[Attribute], "SP3",
        PNS_data[Year], "2026"
    ),
    IF(_xlpm.sumValue = 0, "", _xlpm.sumValue)
)</f>
        <v/>
      </c>
      <c r="G139" s="31" t="str">
        <f>_xlfn.LET(
    _xlpm.sumValue, SUMIFS(
        PNS_data[Value],
        PNS_data[Country], FR_data[[#This Row],[Country]],
        PNS_data[National Society name], selected,
        PNS_data[Attribute], "SP4",
        PNS_data[Year], "2026"
    ),
    IF(_xlpm.sumValue = 0, "", _xlpm.sumValue)
)</f>
        <v/>
      </c>
      <c r="H139" s="31" t="str">
        <f>_xlfn.LET(
    _xlpm.sumValue, SUMIFS(
        PNS_data[Value],
        PNS_data[Country], FR_data[[#This Row],[Country]],
        PNS_data[National Society name], selected,
        PNS_data[Attribute], "SP5",
        PNS_data[Year], "2026"
    ),
    IF(_xlpm.sumValue = 0, "", _xlpm.sumValue)
)</f>
        <v/>
      </c>
      <c r="I139" s="31" t="str">
        <f>_xlfn.LET(
    _xlpm.sumValue, SUMIFS(
        PNS_data[Value],
        PNS_data[Country], FR_data[[#This Row],[Country]],
        PNS_data[National Society name], selected,
        PNS_data[Attribute], "EFs",
        PNS_data[Year], "2026"
    ),
    IF(_xlpm.sumValue = 0, "", _xlpm.sumValue)
)</f>
        <v/>
      </c>
      <c r="J139" s="32" t="str">
        <f>IF(SUM(FR_data[[#This Row],[Response - Disasters and Crises]:[Enabling Functions]])=0,"",SUM(FR_data[[#This Row],[Response - Disasters and Crises]:[Enabling Functions]]))</f>
        <v/>
      </c>
      <c r="K139" s="39"/>
      <c r="L139" s="30" t="str">
        <f>_xlfn.LET(
    _xlpm.sumValue, SUMIFS(
        PNS_data[Value],
        PNS_data[Country], FR_data[[#This Row],[Country]],
        PNS_data[National Society name], selected,
        PNS_data[Attribute], "SP1",
        PNS_data[Year], "2027"
    ),
    IF(_xlpm.sumValue = 0, "", _xlpm.sumValue)
)</f>
        <v/>
      </c>
      <c r="M139" s="31" t="str">
        <f>_xlfn.LET(
    _xlpm.sumValue, SUMIFS(
        PNS_data[Value],
        PNS_data[Country], FR_data[[#This Row],[Country]],
        PNS_data[National Society name], selected,
        PNS_data[Attribute], "SP2",
        PNS_data[Year], "2027"
    ),
    IF(_xlpm.sumValue = 0, "", _xlpm.sumValue)
)</f>
        <v/>
      </c>
      <c r="N139" s="31" t="str">
        <f>_xlfn.LET(
    _xlpm.sumValue, SUMIFS(
        PNS_data[Value],
        PNS_data[Country], FR_data[[#This Row],[Country]],
        PNS_data[National Society name], selected,
        PNS_data[Attribute], "SP3",
        PNS_data[Year], "2027"
    ),
    IF(_xlpm.sumValue = 0, "", _xlpm.sumValue)
)</f>
        <v/>
      </c>
      <c r="O139" s="31" t="str">
        <f>_xlfn.LET(
    _xlpm.sumValue, SUMIFS(
        PNS_data[Value],
        PNS_data[Country], FR_data[[#This Row],[Country]],
        PNS_data[National Society name], selected,
        PNS_data[Attribute], "SP4",
        PNS_data[Year], "2027"
    ),
    IF(_xlpm.sumValue = 0, "", _xlpm.sumValue)
)</f>
        <v/>
      </c>
      <c r="P139" s="31" t="str">
        <f>_xlfn.LET(
    _xlpm.sumValue, SUMIFS(
        PNS_data[Value],
        PNS_data[Country], FR_data[[#This Row],[Country]],
        PNS_data[National Society name], selected,
        PNS_data[Attribute], "SP5",
        PNS_data[Year], "2027"
    ),
    IF(_xlpm.sumValue = 0, "", _xlpm.sumValue)
)</f>
        <v/>
      </c>
      <c r="Q139" s="31" t="str">
        <f>_xlfn.LET(
    _xlpm.sumValue, SUMIFS(
        PNS_data[Value],
        PNS_data[Country], FR_data[[#This Row],[Country]],
        PNS_data[National Society name], selected,
        PNS_data[Attribute], "EFs",
        PNS_data[Year], "2027"
    ),
    IF(_xlpm.sumValue = 0, "", _xlpm.sumValue)
)</f>
        <v/>
      </c>
      <c r="R139" s="32" t="str">
        <f>IF(SUM(FR_data[[#This Row],[Response - Disasters and Crises ]:[Enabling Functions ]])=0,"",SUM(FR_data[[#This Row],[Response - Disasters and Crises ]:[Enabling Functions ]]))</f>
        <v/>
      </c>
      <c r="S139" s="39"/>
      <c r="T139" s="30" t="str">
        <f>_xlfn.LET(
    _xlpm.sumValue, SUMIFS(
        PNS_data[Value],
        PNS_data[Country], FR_data[[#This Row],[Country]],
        PNS_data[National Society name], selected,
        PNS_data[Attribute], "SP1",
        PNS_data[Year], "2028"
    ),
    IF(_xlpm.sumValue = 0, "", _xlpm.sumValue)
)</f>
        <v/>
      </c>
      <c r="U139" s="31" t="str">
        <f>_xlfn.LET(
    _xlpm.sumValue, SUMIFS(
        PNS_data[Value],
        PNS_data[Country], FR_data[[#This Row],[Country]],
        PNS_data[National Society name], selected,
        PNS_data[Attribute], "SP2",
        PNS_data[Year], "2028"
    ),
    IF(_xlpm.sumValue = 0, "", _xlpm.sumValue)
)</f>
        <v/>
      </c>
      <c r="V139" s="31" t="str">
        <f>_xlfn.LET(
    _xlpm.sumValue, SUMIFS(
        PNS_data[Value],
        PNS_data[Country], FR_data[[#This Row],[Country]],
        PNS_data[National Society name], selected,
        PNS_data[Attribute], "SP3",
        PNS_data[Year], "2028"
    ),
    IF(_xlpm.sumValue = 0, "", _xlpm.sumValue)
)</f>
        <v/>
      </c>
      <c r="W139" s="31" t="str">
        <f>_xlfn.LET(
    _xlpm.sumValue, SUMIFS(
        PNS_data[Value],
        PNS_data[Country], FR_data[[#This Row],[Country]],
        PNS_data[National Society name], selected,
        PNS_data[Attribute], "SP4",
        PNS_data[Year], "2028"
    ),
    IF(_xlpm.sumValue = 0, "", _xlpm.sumValue)
)</f>
        <v/>
      </c>
      <c r="X139" s="31" t="str">
        <f>_xlfn.LET(
    _xlpm.sumValue, SUMIFS(
        PNS_data[Value],
        PNS_data[Country], FR_data[[#This Row],[Country]],
        PNS_data[National Society name], selected,
        PNS_data[Attribute], "SP5",
        PNS_data[Year], "2028"
    ),
    IF(_xlpm.sumValue = 0, "", _xlpm.sumValue)
)</f>
        <v/>
      </c>
      <c r="Y139" s="31" t="str">
        <f>_xlfn.LET(
    _xlpm.sumValue, SUMIFS(
        PNS_data[Value],
        PNS_data[Country], FR_data[[#This Row],[Country]],
        PNS_data[National Society name], selected,
        PNS_data[Attribute], "EFs",
        PNS_data[Year], "2028"
    ),
    IF(_xlpm.sumValue = 0, "", _xlpm.sumValue)
)</f>
        <v/>
      </c>
      <c r="Z139" s="32" t="str">
        <f>IF(SUM(FR_data[[#This Row],[Response - Disasters and Crises  ]:[Enabling Functions  ]])=0,"",SUM(FR_data[[#This Row],[Response - Disasters and Crises  ]:[Enabling Functions  ]]))</f>
        <v/>
      </c>
      <c r="AA139" s="41"/>
    </row>
    <row r="140" spans="1:27" x14ac:dyDescent="0.3">
      <c r="A140" s="11" t="s">
        <v>125</v>
      </c>
      <c r="B140" s="11" t="s">
        <v>100</v>
      </c>
      <c r="C140" s="11" t="s">
        <v>58</v>
      </c>
      <c r="D140" s="30" t="str">
        <f>_xlfn.LET(
    _xlpm.sumValue, SUMIFS(
        PNS_data[Value],
        PNS_data[Country], FR_data[[#This Row],[Country]],
        PNS_data[National Society name], selected,
        PNS_data[Attribute], "SP1",
        PNS_data[Year], "2026"
    ),
    IF(_xlpm.sumValue = 0, "", _xlpm.sumValue)
)</f>
        <v/>
      </c>
      <c r="E140" s="31" t="str">
        <f>_xlfn.LET(
    _xlpm.sumValue, SUMIFS(
        PNS_data[Value],
        PNS_data[Country], FR_data[[#This Row],[Country]],
        PNS_data[National Society name], selected,
        PNS_data[Attribute], "SP2",
        PNS_data[Year], "2026"
    ),
    IF(_xlpm.sumValue = 0, "", _xlpm.sumValue)
)</f>
        <v/>
      </c>
      <c r="F140" s="31" t="str">
        <f>_xlfn.LET(
    _xlpm.sumValue, SUMIFS(
        PNS_data[Value],
        PNS_data[Country], FR_data[[#This Row],[Country]],
        PNS_data[National Society name], selected,
        PNS_data[Attribute], "SP3",
        PNS_data[Year], "2026"
    ),
    IF(_xlpm.sumValue = 0, "", _xlpm.sumValue)
)</f>
        <v/>
      </c>
      <c r="G140" s="31" t="str">
        <f>_xlfn.LET(
    _xlpm.sumValue, SUMIFS(
        PNS_data[Value],
        PNS_data[Country], FR_data[[#This Row],[Country]],
        PNS_data[National Society name], selected,
        PNS_data[Attribute], "SP4",
        PNS_data[Year], "2026"
    ),
    IF(_xlpm.sumValue = 0, "", _xlpm.sumValue)
)</f>
        <v/>
      </c>
      <c r="H140" s="31" t="str">
        <f>_xlfn.LET(
    _xlpm.sumValue, SUMIFS(
        PNS_data[Value],
        PNS_data[Country], FR_data[[#This Row],[Country]],
        PNS_data[National Society name], selected,
        PNS_data[Attribute], "SP5",
        PNS_data[Year], "2026"
    ),
    IF(_xlpm.sumValue = 0, "", _xlpm.sumValue)
)</f>
        <v/>
      </c>
      <c r="I140" s="31" t="str">
        <f>_xlfn.LET(
    _xlpm.sumValue, SUMIFS(
        PNS_data[Value],
        PNS_data[Country], FR_data[[#This Row],[Country]],
        PNS_data[National Society name], selected,
        PNS_data[Attribute], "EFs",
        PNS_data[Year], "2026"
    ),
    IF(_xlpm.sumValue = 0, "", _xlpm.sumValue)
)</f>
        <v/>
      </c>
      <c r="J140" s="32" t="str">
        <f>IF(SUM(FR_data[[#This Row],[Response - Disasters and Crises]:[Enabling Functions]])=0,"",SUM(FR_data[[#This Row],[Response - Disasters and Crises]:[Enabling Functions]]))</f>
        <v/>
      </c>
      <c r="K140" s="39"/>
      <c r="L140" s="30" t="str">
        <f>_xlfn.LET(
    _xlpm.sumValue, SUMIFS(
        PNS_data[Value],
        PNS_data[Country], FR_data[[#This Row],[Country]],
        PNS_data[National Society name], selected,
        PNS_data[Attribute], "SP1",
        PNS_data[Year], "2027"
    ),
    IF(_xlpm.sumValue = 0, "", _xlpm.sumValue)
)</f>
        <v/>
      </c>
      <c r="M140" s="31" t="str">
        <f>_xlfn.LET(
    _xlpm.sumValue, SUMIFS(
        PNS_data[Value],
        PNS_data[Country], FR_data[[#This Row],[Country]],
        PNS_data[National Society name], selected,
        PNS_data[Attribute], "SP2",
        PNS_data[Year], "2027"
    ),
    IF(_xlpm.sumValue = 0, "", _xlpm.sumValue)
)</f>
        <v/>
      </c>
      <c r="N140" s="31" t="str">
        <f>_xlfn.LET(
    _xlpm.sumValue, SUMIFS(
        PNS_data[Value],
        PNS_data[Country], FR_data[[#This Row],[Country]],
        PNS_data[National Society name], selected,
        PNS_data[Attribute], "SP3",
        PNS_data[Year], "2027"
    ),
    IF(_xlpm.sumValue = 0, "", _xlpm.sumValue)
)</f>
        <v/>
      </c>
      <c r="O140" s="31" t="str">
        <f>_xlfn.LET(
    _xlpm.sumValue, SUMIFS(
        PNS_data[Value],
        PNS_data[Country], FR_data[[#This Row],[Country]],
        PNS_data[National Society name], selected,
        PNS_data[Attribute], "SP4",
        PNS_data[Year], "2027"
    ),
    IF(_xlpm.sumValue = 0, "", _xlpm.sumValue)
)</f>
        <v/>
      </c>
      <c r="P140" s="31" t="str">
        <f>_xlfn.LET(
    _xlpm.sumValue, SUMIFS(
        PNS_data[Value],
        PNS_data[Country], FR_data[[#This Row],[Country]],
        PNS_data[National Society name], selected,
        PNS_data[Attribute], "SP5",
        PNS_data[Year], "2027"
    ),
    IF(_xlpm.sumValue = 0, "", _xlpm.sumValue)
)</f>
        <v/>
      </c>
      <c r="Q140" s="31" t="str">
        <f>_xlfn.LET(
    _xlpm.sumValue, SUMIFS(
        PNS_data[Value],
        PNS_data[Country], FR_data[[#This Row],[Country]],
        PNS_data[National Society name], selected,
        PNS_data[Attribute], "EFs",
        PNS_data[Year], "2027"
    ),
    IF(_xlpm.sumValue = 0, "", _xlpm.sumValue)
)</f>
        <v/>
      </c>
      <c r="R140" s="32" t="str">
        <f>IF(SUM(FR_data[[#This Row],[Response - Disasters and Crises ]:[Enabling Functions ]])=0,"",SUM(FR_data[[#This Row],[Response - Disasters and Crises ]:[Enabling Functions ]]))</f>
        <v/>
      </c>
      <c r="S140" s="39"/>
      <c r="T140" s="30" t="str">
        <f>_xlfn.LET(
    _xlpm.sumValue, SUMIFS(
        PNS_data[Value],
        PNS_data[Country], FR_data[[#This Row],[Country]],
        PNS_data[National Society name], selected,
        PNS_data[Attribute], "SP1",
        PNS_data[Year], "2028"
    ),
    IF(_xlpm.sumValue = 0, "", _xlpm.sumValue)
)</f>
        <v/>
      </c>
      <c r="U140" s="31" t="str">
        <f>_xlfn.LET(
    _xlpm.sumValue, SUMIFS(
        PNS_data[Value],
        PNS_data[Country], FR_data[[#This Row],[Country]],
        PNS_data[National Society name], selected,
        PNS_data[Attribute], "SP2",
        PNS_data[Year], "2028"
    ),
    IF(_xlpm.sumValue = 0, "", _xlpm.sumValue)
)</f>
        <v/>
      </c>
      <c r="V140" s="31" t="str">
        <f>_xlfn.LET(
    _xlpm.sumValue, SUMIFS(
        PNS_data[Value],
        PNS_data[Country], FR_data[[#This Row],[Country]],
        PNS_data[National Society name], selected,
        PNS_data[Attribute], "SP3",
        PNS_data[Year], "2028"
    ),
    IF(_xlpm.sumValue = 0, "", _xlpm.sumValue)
)</f>
        <v/>
      </c>
      <c r="W140" s="31" t="str">
        <f>_xlfn.LET(
    _xlpm.sumValue, SUMIFS(
        PNS_data[Value],
        PNS_data[Country], FR_data[[#This Row],[Country]],
        PNS_data[National Society name], selected,
        PNS_data[Attribute], "SP4",
        PNS_data[Year], "2028"
    ),
    IF(_xlpm.sumValue = 0, "", _xlpm.sumValue)
)</f>
        <v/>
      </c>
      <c r="X140" s="31" t="str">
        <f>_xlfn.LET(
    _xlpm.sumValue, SUMIFS(
        PNS_data[Value],
        PNS_data[Country], FR_data[[#This Row],[Country]],
        PNS_data[National Society name], selected,
        PNS_data[Attribute], "SP5",
        PNS_data[Year], "2028"
    ),
    IF(_xlpm.sumValue = 0, "", _xlpm.sumValue)
)</f>
        <v/>
      </c>
      <c r="Y140" s="31" t="str">
        <f>_xlfn.LET(
    _xlpm.sumValue, SUMIFS(
        PNS_data[Value],
        PNS_data[Country], FR_data[[#This Row],[Country]],
        PNS_data[National Society name], selected,
        PNS_data[Attribute], "EFs",
        PNS_data[Year], "2028"
    ),
    IF(_xlpm.sumValue = 0, "", _xlpm.sumValue)
)</f>
        <v/>
      </c>
      <c r="Z140" s="32" t="str">
        <f>IF(SUM(FR_data[[#This Row],[Response - Disasters and Crises  ]:[Enabling Functions  ]])=0,"",SUM(FR_data[[#This Row],[Response - Disasters and Crises  ]:[Enabling Functions  ]]))</f>
        <v/>
      </c>
      <c r="AA140" s="41"/>
    </row>
    <row r="141" spans="1:27" x14ac:dyDescent="0.3">
      <c r="A141" s="11" t="s">
        <v>137</v>
      </c>
      <c r="B141" s="11" t="s">
        <v>100</v>
      </c>
      <c r="C141" s="11" t="s">
        <v>24</v>
      </c>
      <c r="D141" s="30" t="str">
        <f>_xlfn.LET(
    _xlpm.sumValue, SUMIFS(
        PNS_data[Value],
        PNS_data[Country], FR_data[[#This Row],[Country]],
        PNS_data[National Society name], selected,
        PNS_data[Attribute], "SP1",
        PNS_data[Year], "2026"
    ),
    IF(_xlpm.sumValue = 0, "", _xlpm.sumValue)
)</f>
        <v/>
      </c>
      <c r="E141" s="31" t="str">
        <f>_xlfn.LET(
    _xlpm.sumValue, SUMIFS(
        PNS_data[Value],
        PNS_data[Country], FR_data[[#This Row],[Country]],
        PNS_data[National Society name], selected,
        PNS_data[Attribute], "SP2",
        PNS_data[Year], "2026"
    ),
    IF(_xlpm.sumValue = 0, "", _xlpm.sumValue)
)</f>
        <v/>
      </c>
      <c r="F141" s="31" t="str">
        <f>_xlfn.LET(
    _xlpm.sumValue, SUMIFS(
        PNS_data[Value],
        PNS_data[Country], FR_data[[#This Row],[Country]],
        PNS_data[National Society name], selected,
        PNS_data[Attribute], "SP3",
        PNS_data[Year], "2026"
    ),
    IF(_xlpm.sumValue = 0, "", _xlpm.sumValue)
)</f>
        <v/>
      </c>
      <c r="G141" s="31" t="str">
        <f>_xlfn.LET(
    _xlpm.sumValue, SUMIFS(
        PNS_data[Value],
        PNS_data[Country], FR_data[[#This Row],[Country]],
        PNS_data[National Society name], selected,
        PNS_data[Attribute], "SP4",
        PNS_data[Year], "2026"
    ),
    IF(_xlpm.sumValue = 0, "", _xlpm.sumValue)
)</f>
        <v/>
      </c>
      <c r="H141" s="31" t="str">
        <f>_xlfn.LET(
    _xlpm.sumValue, SUMIFS(
        PNS_data[Value],
        PNS_data[Country], FR_data[[#This Row],[Country]],
        PNS_data[National Society name], selected,
        PNS_data[Attribute], "SP5",
        PNS_data[Year], "2026"
    ),
    IF(_xlpm.sumValue = 0, "", _xlpm.sumValue)
)</f>
        <v/>
      </c>
      <c r="I141" s="31" t="str">
        <f>_xlfn.LET(
    _xlpm.sumValue, SUMIFS(
        PNS_data[Value],
        PNS_data[Country], FR_data[[#This Row],[Country]],
        PNS_data[National Society name], selected,
        PNS_data[Attribute], "EFs",
        PNS_data[Year], "2026"
    ),
    IF(_xlpm.sumValue = 0, "", _xlpm.sumValue)
)</f>
        <v/>
      </c>
      <c r="J141" s="32" t="str">
        <f>IF(SUM(FR_data[[#This Row],[Response - Disasters and Crises]:[Enabling Functions]])=0,"",SUM(FR_data[[#This Row],[Response - Disasters and Crises]:[Enabling Functions]]))</f>
        <v/>
      </c>
      <c r="K141" s="39"/>
      <c r="L141" s="30" t="str">
        <f>_xlfn.LET(
    _xlpm.sumValue, SUMIFS(
        PNS_data[Value],
        PNS_data[Country], FR_data[[#This Row],[Country]],
        PNS_data[National Society name], selected,
        PNS_data[Attribute], "SP1",
        PNS_data[Year], "2027"
    ),
    IF(_xlpm.sumValue = 0, "", _xlpm.sumValue)
)</f>
        <v/>
      </c>
      <c r="M141" s="31" t="str">
        <f>_xlfn.LET(
    _xlpm.sumValue, SUMIFS(
        PNS_data[Value],
        PNS_data[Country], FR_data[[#This Row],[Country]],
        PNS_data[National Society name], selected,
        PNS_data[Attribute], "SP2",
        PNS_data[Year], "2027"
    ),
    IF(_xlpm.sumValue = 0, "", _xlpm.sumValue)
)</f>
        <v/>
      </c>
      <c r="N141" s="31" t="str">
        <f>_xlfn.LET(
    _xlpm.sumValue, SUMIFS(
        PNS_data[Value],
        PNS_data[Country], FR_data[[#This Row],[Country]],
        PNS_data[National Society name], selected,
        PNS_data[Attribute], "SP3",
        PNS_data[Year], "2027"
    ),
    IF(_xlpm.sumValue = 0, "", _xlpm.sumValue)
)</f>
        <v/>
      </c>
      <c r="O141" s="31" t="str">
        <f>_xlfn.LET(
    _xlpm.sumValue, SUMIFS(
        PNS_data[Value],
        PNS_data[Country], FR_data[[#This Row],[Country]],
        PNS_data[National Society name], selected,
        PNS_data[Attribute], "SP4",
        PNS_data[Year], "2027"
    ),
    IF(_xlpm.sumValue = 0, "", _xlpm.sumValue)
)</f>
        <v/>
      </c>
      <c r="P141" s="31" t="str">
        <f>_xlfn.LET(
    _xlpm.sumValue, SUMIFS(
        PNS_data[Value],
        PNS_data[Country], FR_data[[#This Row],[Country]],
        PNS_data[National Society name], selected,
        PNS_data[Attribute], "SP5",
        PNS_data[Year], "2027"
    ),
    IF(_xlpm.sumValue = 0, "", _xlpm.sumValue)
)</f>
        <v/>
      </c>
      <c r="Q141" s="31" t="str">
        <f>_xlfn.LET(
    _xlpm.sumValue, SUMIFS(
        PNS_data[Value],
        PNS_data[Country], FR_data[[#This Row],[Country]],
        PNS_data[National Society name], selected,
        PNS_data[Attribute], "EFs",
        PNS_data[Year], "2027"
    ),
    IF(_xlpm.sumValue = 0, "", _xlpm.sumValue)
)</f>
        <v/>
      </c>
      <c r="R141" s="32" t="str">
        <f>IF(SUM(FR_data[[#This Row],[Response - Disasters and Crises ]:[Enabling Functions ]])=0,"",SUM(FR_data[[#This Row],[Response - Disasters and Crises ]:[Enabling Functions ]]))</f>
        <v/>
      </c>
      <c r="S141" s="39"/>
      <c r="T141" s="30" t="str">
        <f>_xlfn.LET(
    _xlpm.sumValue, SUMIFS(
        PNS_data[Value],
        PNS_data[Country], FR_data[[#This Row],[Country]],
        PNS_data[National Society name], selected,
        PNS_data[Attribute], "SP1",
        PNS_data[Year], "2028"
    ),
    IF(_xlpm.sumValue = 0, "", _xlpm.sumValue)
)</f>
        <v/>
      </c>
      <c r="U141" s="31" t="str">
        <f>_xlfn.LET(
    _xlpm.sumValue, SUMIFS(
        PNS_data[Value],
        PNS_data[Country], FR_data[[#This Row],[Country]],
        PNS_data[National Society name], selected,
        PNS_data[Attribute], "SP2",
        PNS_data[Year], "2028"
    ),
    IF(_xlpm.sumValue = 0, "", _xlpm.sumValue)
)</f>
        <v/>
      </c>
      <c r="V141" s="31" t="str">
        <f>_xlfn.LET(
    _xlpm.sumValue, SUMIFS(
        PNS_data[Value],
        PNS_data[Country], FR_data[[#This Row],[Country]],
        PNS_data[National Society name], selected,
        PNS_data[Attribute], "SP3",
        PNS_data[Year], "2028"
    ),
    IF(_xlpm.sumValue = 0, "", _xlpm.sumValue)
)</f>
        <v/>
      </c>
      <c r="W141" s="31" t="str">
        <f>_xlfn.LET(
    _xlpm.sumValue, SUMIFS(
        PNS_data[Value],
        PNS_data[Country], FR_data[[#This Row],[Country]],
        PNS_data[National Society name], selected,
        PNS_data[Attribute], "SP4",
        PNS_data[Year], "2028"
    ),
    IF(_xlpm.sumValue = 0, "", _xlpm.sumValue)
)</f>
        <v/>
      </c>
      <c r="X141" s="31" t="str">
        <f>_xlfn.LET(
    _xlpm.sumValue, SUMIFS(
        PNS_data[Value],
        PNS_data[Country], FR_data[[#This Row],[Country]],
        PNS_data[National Society name], selected,
        PNS_data[Attribute], "SP5",
        PNS_data[Year], "2028"
    ),
    IF(_xlpm.sumValue = 0, "", _xlpm.sumValue)
)</f>
        <v/>
      </c>
      <c r="Y141" s="31" t="str">
        <f>_xlfn.LET(
    _xlpm.sumValue, SUMIFS(
        PNS_data[Value],
        PNS_data[Country], FR_data[[#This Row],[Country]],
        PNS_data[National Society name], selected,
        PNS_data[Attribute], "EFs",
        PNS_data[Year], "2028"
    ),
    IF(_xlpm.sumValue = 0, "", _xlpm.sumValue)
)</f>
        <v/>
      </c>
      <c r="Z141" s="32" t="str">
        <f>IF(SUM(FR_data[[#This Row],[Response - Disasters and Crises  ]:[Enabling Functions  ]])=0,"",SUM(FR_data[[#This Row],[Response - Disasters and Crises  ]:[Enabling Functions  ]]))</f>
        <v/>
      </c>
      <c r="AA141" s="41"/>
    </row>
    <row r="142" spans="1:27" x14ac:dyDescent="0.3">
      <c r="A142" s="11" t="s">
        <v>410</v>
      </c>
      <c r="B142" s="11" t="s">
        <v>100</v>
      </c>
      <c r="C142" s="11" t="s">
        <v>60</v>
      </c>
      <c r="D142" s="30" t="str">
        <f>_xlfn.LET(
    _xlpm.sumValue, SUMIFS(
        PNS_data[Value],
        PNS_data[Country], FR_data[[#This Row],[Country]],
        PNS_data[National Society name], selected,
        PNS_data[Attribute], "SP1",
        PNS_data[Year], "2026"
    ),
    IF(_xlpm.sumValue = 0, "", _xlpm.sumValue)
)</f>
        <v/>
      </c>
      <c r="E142" s="31" t="str">
        <f>_xlfn.LET(
    _xlpm.sumValue, SUMIFS(
        PNS_data[Value],
        PNS_data[Country], FR_data[[#This Row],[Country]],
        PNS_data[National Society name], selected,
        PNS_data[Attribute], "SP2",
        PNS_data[Year], "2026"
    ),
    IF(_xlpm.sumValue = 0, "", _xlpm.sumValue)
)</f>
        <v/>
      </c>
      <c r="F142" s="31" t="str">
        <f>_xlfn.LET(
    _xlpm.sumValue, SUMIFS(
        PNS_data[Value],
        PNS_data[Country], FR_data[[#This Row],[Country]],
        PNS_data[National Society name], selected,
        PNS_data[Attribute], "SP3",
        PNS_data[Year], "2026"
    ),
    IF(_xlpm.sumValue = 0, "", _xlpm.sumValue)
)</f>
        <v/>
      </c>
      <c r="G142" s="31" t="str">
        <f>_xlfn.LET(
    _xlpm.sumValue, SUMIFS(
        PNS_data[Value],
        PNS_data[Country], FR_data[[#This Row],[Country]],
        PNS_data[National Society name], selected,
        PNS_data[Attribute], "SP4",
        PNS_data[Year], "2026"
    ),
    IF(_xlpm.sumValue = 0, "", _xlpm.sumValue)
)</f>
        <v/>
      </c>
      <c r="H142" s="31" t="str">
        <f>_xlfn.LET(
    _xlpm.sumValue, SUMIFS(
        PNS_data[Value],
        PNS_data[Country], FR_data[[#This Row],[Country]],
        PNS_data[National Society name], selected,
        PNS_data[Attribute], "SP5",
        PNS_data[Year], "2026"
    ),
    IF(_xlpm.sumValue = 0, "", _xlpm.sumValue)
)</f>
        <v/>
      </c>
      <c r="I142" s="31" t="str">
        <f>_xlfn.LET(
    _xlpm.sumValue, SUMIFS(
        PNS_data[Value],
        PNS_data[Country], FR_data[[#This Row],[Country]],
        PNS_data[National Society name], selected,
        PNS_data[Attribute], "EFs",
        PNS_data[Year], "2026"
    ),
    IF(_xlpm.sumValue = 0, "", _xlpm.sumValue)
)</f>
        <v/>
      </c>
      <c r="J142" s="32" t="str">
        <f>IF(SUM(FR_data[[#This Row],[Response - Disasters and Crises]:[Enabling Functions]])=0,"",SUM(FR_data[[#This Row],[Response - Disasters and Crises]:[Enabling Functions]]))</f>
        <v/>
      </c>
      <c r="K142" s="39"/>
      <c r="L142" s="30" t="str">
        <f>_xlfn.LET(
    _xlpm.sumValue, SUMIFS(
        PNS_data[Value],
        PNS_data[Country], FR_data[[#This Row],[Country]],
        PNS_data[National Society name], selected,
        PNS_data[Attribute], "SP1",
        PNS_data[Year], "2027"
    ),
    IF(_xlpm.sumValue = 0, "", _xlpm.sumValue)
)</f>
        <v/>
      </c>
      <c r="M142" s="31" t="str">
        <f>_xlfn.LET(
    _xlpm.sumValue, SUMIFS(
        PNS_data[Value],
        PNS_data[Country], FR_data[[#This Row],[Country]],
        PNS_data[National Society name], selected,
        PNS_data[Attribute], "SP2",
        PNS_data[Year], "2027"
    ),
    IF(_xlpm.sumValue = 0, "", _xlpm.sumValue)
)</f>
        <v/>
      </c>
      <c r="N142" s="31" t="str">
        <f>_xlfn.LET(
    _xlpm.sumValue, SUMIFS(
        PNS_data[Value],
        PNS_data[Country], FR_data[[#This Row],[Country]],
        PNS_data[National Society name], selected,
        PNS_data[Attribute], "SP3",
        PNS_data[Year], "2027"
    ),
    IF(_xlpm.sumValue = 0, "", _xlpm.sumValue)
)</f>
        <v/>
      </c>
      <c r="O142" s="31" t="str">
        <f>_xlfn.LET(
    _xlpm.sumValue, SUMIFS(
        PNS_data[Value],
        PNS_data[Country], FR_data[[#This Row],[Country]],
        PNS_data[National Society name], selected,
        PNS_data[Attribute], "SP4",
        PNS_data[Year], "2027"
    ),
    IF(_xlpm.sumValue = 0, "", _xlpm.sumValue)
)</f>
        <v/>
      </c>
      <c r="P142" s="31" t="str">
        <f>_xlfn.LET(
    _xlpm.sumValue, SUMIFS(
        PNS_data[Value],
        PNS_data[Country], FR_data[[#This Row],[Country]],
        PNS_data[National Society name], selected,
        PNS_data[Attribute], "SP5",
        PNS_data[Year], "2027"
    ),
    IF(_xlpm.sumValue = 0, "", _xlpm.sumValue)
)</f>
        <v/>
      </c>
      <c r="Q142" s="31" t="str">
        <f>_xlfn.LET(
    _xlpm.sumValue, SUMIFS(
        PNS_data[Value],
        PNS_data[Country], FR_data[[#This Row],[Country]],
        PNS_data[National Society name], selected,
        PNS_data[Attribute], "EFs",
        PNS_data[Year], "2027"
    ),
    IF(_xlpm.sumValue = 0, "", _xlpm.sumValue)
)</f>
        <v/>
      </c>
      <c r="R142" s="32" t="str">
        <f>IF(SUM(FR_data[[#This Row],[Response - Disasters and Crises ]:[Enabling Functions ]])=0,"",SUM(FR_data[[#This Row],[Response - Disasters and Crises ]:[Enabling Functions ]]))</f>
        <v/>
      </c>
      <c r="S142" s="39"/>
      <c r="T142" s="30" t="str">
        <f>_xlfn.LET(
    _xlpm.sumValue, SUMIFS(
        PNS_data[Value],
        PNS_data[Country], FR_data[[#This Row],[Country]],
        PNS_data[National Society name], selected,
        PNS_data[Attribute], "SP1",
        PNS_data[Year], "2028"
    ),
    IF(_xlpm.sumValue = 0, "", _xlpm.sumValue)
)</f>
        <v/>
      </c>
      <c r="U142" s="31" t="str">
        <f>_xlfn.LET(
    _xlpm.sumValue, SUMIFS(
        PNS_data[Value],
        PNS_data[Country], FR_data[[#This Row],[Country]],
        PNS_data[National Society name], selected,
        PNS_data[Attribute], "SP2",
        PNS_data[Year], "2028"
    ),
    IF(_xlpm.sumValue = 0, "", _xlpm.sumValue)
)</f>
        <v/>
      </c>
      <c r="V142" s="31" t="str">
        <f>_xlfn.LET(
    _xlpm.sumValue, SUMIFS(
        PNS_data[Value],
        PNS_data[Country], FR_data[[#This Row],[Country]],
        PNS_data[National Society name], selected,
        PNS_data[Attribute], "SP3",
        PNS_data[Year], "2028"
    ),
    IF(_xlpm.sumValue = 0, "", _xlpm.sumValue)
)</f>
        <v/>
      </c>
      <c r="W142" s="31" t="str">
        <f>_xlfn.LET(
    _xlpm.sumValue, SUMIFS(
        PNS_data[Value],
        PNS_data[Country], FR_data[[#This Row],[Country]],
        PNS_data[National Society name], selected,
        PNS_data[Attribute], "SP4",
        PNS_data[Year], "2028"
    ),
    IF(_xlpm.sumValue = 0, "", _xlpm.sumValue)
)</f>
        <v/>
      </c>
      <c r="X142" s="31" t="str">
        <f>_xlfn.LET(
    _xlpm.sumValue, SUMIFS(
        PNS_data[Value],
        PNS_data[Country], FR_data[[#This Row],[Country]],
        PNS_data[National Society name], selected,
        PNS_data[Attribute], "SP5",
        PNS_data[Year], "2028"
    ),
    IF(_xlpm.sumValue = 0, "", _xlpm.sumValue)
)</f>
        <v/>
      </c>
      <c r="Y142" s="31" t="str">
        <f>_xlfn.LET(
    _xlpm.sumValue, SUMIFS(
        PNS_data[Value],
        PNS_data[Country], FR_data[[#This Row],[Country]],
        PNS_data[National Society name], selected,
        PNS_data[Attribute], "EFs",
        PNS_data[Year], "2028"
    ),
    IF(_xlpm.sumValue = 0, "", _xlpm.sumValue)
)</f>
        <v/>
      </c>
      <c r="Z142" s="32" t="str">
        <f>IF(SUM(FR_data[[#This Row],[Response - Disasters and Crises  ]:[Enabling Functions  ]])=0,"",SUM(FR_data[[#This Row],[Response - Disasters and Crises  ]:[Enabling Functions  ]]))</f>
        <v/>
      </c>
      <c r="AA142" s="41"/>
    </row>
    <row r="143" spans="1:27" x14ac:dyDescent="0.3">
      <c r="A143" s="11" t="s">
        <v>175</v>
      </c>
      <c r="B143" s="11" t="s">
        <v>100</v>
      </c>
      <c r="C143" s="11" t="s">
        <v>176</v>
      </c>
      <c r="D143" s="30" t="str">
        <f>_xlfn.LET(
    _xlpm.sumValue, SUMIFS(
        PNS_data[Value],
        PNS_data[Country], FR_data[[#This Row],[Country]],
        PNS_data[National Society name], selected,
        PNS_data[Attribute], "SP1",
        PNS_data[Year], "2026"
    ),
    IF(_xlpm.sumValue = 0, "", _xlpm.sumValue)
)</f>
        <v/>
      </c>
      <c r="E143" s="31" t="str">
        <f>_xlfn.LET(
    _xlpm.sumValue, SUMIFS(
        PNS_data[Value],
        PNS_data[Country], FR_data[[#This Row],[Country]],
        PNS_data[National Society name], selected,
        PNS_data[Attribute], "SP2",
        PNS_data[Year], "2026"
    ),
    IF(_xlpm.sumValue = 0, "", _xlpm.sumValue)
)</f>
        <v/>
      </c>
      <c r="F143" s="31" t="str">
        <f>_xlfn.LET(
    _xlpm.sumValue, SUMIFS(
        PNS_data[Value],
        PNS_data[Country], FR_data[[#This Row],[Country]],
        PNS_data[National Society name], selected,
        PNS_data[Attribute], "SP3",
        PNS_data[Year], "2026"
    ),
    IF(_xlpm.sumValue = 0, "", _xlpm.sumValue)
)</f>
        <v/>
      </c>
      <c r="G143" s="31" t="str">
        <f>_xlfn.LET(
    _xlpm.sumValue, SUMIFS(
        PNS_data[Value],
        PNS_data[Country], FR_data[[#This Row],[Country]],
        PNS_data[National Society name], selected,
        PNS_data[Attribute], "SP4",
        PNS_data[Year], "2026"
    ),
    IF(_xlpm.sumValue = 0, "", _xlpm.sumValue)
)</f>
        <v/>
      </c>
      <c r="H143" s="31" t="str">
        <f>_xlfn.LET(
    _xlpm.sumValue, SUMIFS(
        PNS_data[Value],
        PNS_data[Country], FR_data[[#This Row],[Country]],
        PNS_data[National Society name], selected,
        PNS_data[Attribute], "SP5",
        PNS_data[Year], "2026"
    ),
    IF(_xlpm.sumValue = 0, "", _xlpm.sumValue)
)</f>
        <v/>
      </c>
      <c r="I143" s="31" t="str">
        <f>_xlfn.LET(
    _xlpm.sumValue, SUMIFS(
        PNS_data[Value],
        PNS_data[Country], FR_data[[#This Row],[Country]],
        PNS_data[National Society name], selected,
        PNS_data[Attribute], "EFs",
        PNS_data[Year], "2026"
    ),
    IF(_xlpm.sumValue = 0, "", _xlpm.sumValue)
)</f>
        <v/>
      </c>
      <c r="J143" s="32" t="str">
        <f>IF(SUM(FR_data[[#This Row],[Response - Disasters and Crises]:[Enabling Functions]])=0,"",SUM(FR_data[[#This Row],[Response - Disasters and Crises]:[Enabling Functions]]))</f>
        <v/>
      </c>
      <c r="K143" s="39"/>
      <c r="L143" s="30" t="str">
        <f>_xlfn.LET(
    _xlpm.sumValue, SUMIFS(
        PNS_data[Value],
        PNS_data[Country], FR_data[[#This Row],[Country]],
        PNS_data[National Society name], selected,
        PNS_data[Attribute], "SP1",
        PNS_data[Year], "2027"
    ),
    IF(_xlpm.sumValue = 0, "", _xlpm.sumValue)
)</f>
        <v/>
      </c>
      <c r="M143" s="31" t="str">
        <f>_xlfn.LET(
    _xlpm.sumValue, SUMIFS(
        PNS_data[Value],
        PNS_data[Country], FR_data[[#This Row],[Country]],
        PNS_data[National Society name], selected,
        PNS_data[Attribute], "SP2",
        PNS_data[Year], "2027"
    ),
    IF(_xlpm.sumValue = 0, "", _xlpm.sumValue)
)</f>
        <v/>
      </c>
      <c r="N143" s="31" t="str">
        <f>_xlfn.LET(
    _xlpm.sumValue, SUMIFS(
        PNS_data[Value],
        PNS_data[Country], FR_data[[#This Row],[Country]],
        PNS_data[National Society name], selected,
        PNS_data[Attribute], "SP3",
        PNS_data[Year], "2027"
    ),
    IF(_xlpm.sumValue = 0, "", _xlpm.sumValue)
)</f>
        <v/>
      </c>
      <c r="O143" s="31" t="str">
        <f>_xlfn.LET(
    _xlpm.sumValue, SUMIFS(
        PNS_data[Value],
        PNS_data[Country], FR_data[[#This Row],[Country]],
        PNS_data[National Society name], selected,
        PNS_data[Attribute], "SP4",
        PNS_data[Year], "2027"
    ),
    IF(_xlpm.sumValue = 0, "", _xlpm.sumValue)
)</f>
        <v/>
      </c>
      <c r="P143" s="31" t="str">
        <f>_xlfn.LET(
    _xlpm.sumValue, SUMIFS(
        PNS_data[Value],
        PNS_data[Country], FR_data[[#This Row],[Country]],
        PNS_data[National Society name], selected,
        PNS_data[Attribute], "SP5",
        PNS_data[Year], "2027"
    ),
    IF(_xlpm.sumValue = 0, "", _xlpm.sumValue)
)</f>
        <v/>
      </c>
      <c r="Q143" s="31" t="str">
        <f>_xlfn.LET(
    _xlpm.sumValue, SUMIFS(
        PNS_data[Value],
        PNS_data[Country], FR_data[[#This Row],[Country]],
        PNS_data[National Society name], selected,
        PNS_data[Attribute], "EFs",
        PNS_data[Year], "2027"
    ),
    IF(_xlpm.sumValue = 0, "", _xlpm.sumValue)
)</f>
        <v/>
      </c>
      <c r="R143" s="32" t="str">
        <f>IF(SUM(FR_data[[#This Row],[Response - Disasters and Crises ]:[Enabling Functions ]])=0,"",SUM(FR_data[[#This Row],[Response - Disasters and Crises ]:[Enabling Functions ]]))</f>
        <v/>
      </c>
      <c r="S143" s="39"/>
      <c r="T143" s="30" t="str">
        <f>_xlfn.LET(
    _xlpm.sumValue, SUMIFS(
        PNS_data[Value],
        PNS_data[Country], FR_data[[#This Row],[Country]],
        PNS_data[National Society name], selected,
        PNS_data[Attribute], "SP1",
        PNS_data[Year], "2028"
    ),
    IF(_xlpm.sumValue = 0, "", _xlpm.sumValue)
)</f>
        <v/>
      </c>
      <c r="U143" s="31" t="str">
        <f>_xlfn.LET(
    _xlpm.sumValue, SUMIFS(
        PNS_data[Value],
        PNS_data[Country], FR_data[[#This Row],[Country]],
        PNS_data[National Society name], selected,
        PNS_data[Attribute], "SP2",
        PNS_data[Year], "2028"
    ),
    IF(_xlpm.sumValue = 0, "", _xlpm.sumValue)
)</f>
        <v/>
      </c>
      <c r="V143" s="31" t="str">
        <f>_xlfn.LET(
    _xlpm.sumValue, SUMIFS(
        PNS_data[Value],
        PNS_data[Country], FR_data[[#This Row],[Country]],
        PNS_data[National Society name], selected,
        PNS_data[Attribute], "SP3",
        PNS_data[Year], "2028"
    ),
    IF(_xlpm.sumValue = 0, "", _xlpm.sumValue)
)</f>
        <v/>
      </c>
      <c r="W143" s="31" t="str">
        <f>_xlfn.LET(
    _xlpm.sumValue, SUMIFS(
        PNS_data[Value],
        PNS_data[Country], FR_data[[#This Row],[Country]],
        PNS_data[National Society name], selected,
        PNS_data[Attribute], "SP4",
        PNS_data[Year], "2028"
    ),
    IF(_xlpm.sumValue = 0, "", _xlpm.sumValue)
)</f>
        <v/>
      </c>
      <c r="X143" s="31" t="str">
        <f>_xlfn.LET(
    _xlpm.sumValue, SUMIFS(
        PNS_data[Value],
        PNS_data[Country], FR_data[[#This Row],[Country]],
        PNS_data[National Society name], selected,
        PNS_data[Attribute], "SP5",
        PNS_data[Year], "2028"
    ),
    IF(_xlpm.sumValue = 0, "", _xlpm.sumValue)
)</f>
        <v/>
      </c>
      <c r="Y143" s="31" t="str">
        <f>_xlfn.LET(
    _xlpm.sumValue, SUMIFS(
        PNS_data[Value],
        PNS_data[Country], FR_data[[#This Row],[Country]],
        PNS_data[National Society name], selected,
        PNS_data[Attribute], "EFs",
        PNS_data[Year], "2028"
    ),
    IF(_xlpm.sumValue = 0, "", _xlpm.sumValue)
)</f>
        <v/>
      </c>
      <c r="Z143" s="32" t="str">
        <f>IF(SUM(FR_data[[#This Row],[Response - Disasters and Crises  ]:[Enabling Functions  ]])=0,"",SUM(FR_data[[#This Row],[Response - Disasters and Crises  ]:[Enabling Functions  ]]))</f>
        <v/>
      </c>
      <c r="AA143" s="41"/>
    </row>
    <row r="144" spans="1:27" x14ac:dyDescent="0.3">
      <c r="A144" s="11" t="s">
        <v>177</v>
      </c>
      <c r="B144" s="11" t="s">
        <v>100</v>
      </c>
      <c r="C144" s="11" t="s">
        <v>178</v>
      </c>
      <c r="D144" s="30" t="str">
        <f>_xlfn.LET(
    _xlpm.sumValue, SUMIFS(
        PNS_data[Value],
        PNS_data[Country], FR_data[[#This Row],[Country]],
        PNS_data[National Society name], selected,
        PNS_data[Attribute], "SP1",
        PNS_data[Year], "2026"
    ),
    IF(_xlpm.sumValue = 0, "", _xlpm.sumValue)
)</f>
        <v/>
      </c>
      <c r="E144" s="31" t="str">
        <f>_xlfn.LET(
    _xlpm.sumValue, SUMIFS(
        PNS_data[Value],
        PNS_data[Country], FR_data[[#This Row],[Country]],
        PNS_data[National Society name], selected,
        PNS_data[Attribute], "SP2",
        PNS_data[Year], "2026"
    ),
    IF(_xlpm.sumValue = 0, "", _xlpm.sumValue)
)</f>
        <v/>
      </c>
      <c r="F144" s="31" t="str">
        <f>_xlfn.LET(
    _xlpm.sumValue, SUMIFS(
        PNS_data[Value],
        PNS_data[Country], FR_data[[#This Row],[Country]],
        PNS_data[National Society name], selected,
        PNS_data[Attribute], "SP3",
        PNS_data[Year], "2026"
    ),
    IF(_xlpm.sumValue = 0, "", _xlpm.sumValue)
)</f>
        <v/>
      </c>
      <c r="G144" s="31" t="str">
        <f>_xlfn.LET(
    _xlpm.sumValue, SUMIFS(
        PNS_data[Value],
        PNS_data[Country], FR_data[[#This Row],[Country]],
        PNS_data[National Society name], selected,
        PNS_data[Attribute], "SP4",
        PNS_data[Year], "2026"
    ),
    IF(_xlpm.sumValue = 0, "", _xlpm.sumValue)
)</f>
        <v/>
      </c>
      <c r="H144" s="31" t="str">
        <f>_xlfn.LET(
    _xlpm.sumValue, SUMIFS(
        PNS_data[Value],
        PNS_data[Country], FR_data[[#This Row],[Country]],
        PNS_data[National Society name], selected,
        PNS_data[Attribute], "SP5",
        PNS_data[Year], "2026"
    ),
    IF(_xlpm.sumValue = 0, "", _xlpm.sumValue)
)</f>
        <v/>
      </c>
      <c r="I144" s="31" t="str">
        <f>_xlfn.LET(
    _xlpm.sumValue, SUMIFS(
        PNS_data[Value],
        PNS_data[Country], FR_data[[#This Row],[Country]],
        PNS_data[National Society name], selected,
        PNS_data[Attribute], "EFs",
        PNS_data[Year], "2026"
    ),
    IF(_xlpm.sumValue = 0, "", _xlpm.sumValue)
)</f>
        <v/>
      </c>
      <c r="J144" s="32" t="str">
        <f>IF(SUM(FR_data[[#This Row],[Response - Disasters and Crises]:[Enabling Functions]])=0,"",SUM(FR_data[[#This Row],[Response - Disasters and Crises]:[Enabling Functions]]))</f>
        <v/>
      </c>
      <c r="K144" s="39"/>
      <c r="L144" s="30" t="str">
        <f>_xlfn.LET(
    _xlpm.sumValue, SUMIFS(
        PNS_data[Value],
        PNS_data[Country], FR_data[[#This Row],[Country]],
        PNS_data[National Society name], selected,
        PNS_data[Attribute], "SP1",
        PNS_data[Year], "2027"
    ),
    IF(_xlpm.sumValue = 0, "", _xlpm.sumValue)
)</f>
        <v/>
      </c>
      <c r="M144" s="31" t="str">
        <f>_xlfn.LET(
    _xlpm.sumValue, SUMIFS(
        PNS_data[Value],
        PNS_data[Country], FR_data[[#This Row],[Country]],
        PNS_data[National Society name], selected,
        PNS_data[Attribute], "SP2",
        PNS_data[Year], "2027"
    ),
    IF(_xlpm.sumValue = 0, "", _xlpm.sumValue)
)</f>
        <v/>
      </c>
      <c r="N144" s="31" t="str">
        <f>_xlfn.LET(
    _xlpm.sumValue, SUMIFS(
        PNS_data[Value],
        PNS_data[Country], FR_data[[#This Row],[Country]],
        PNS_data[National Society name], selected,
        PNS_data[Attribute], "SP3",
        PNS_data[Year], "2027"
    ),
    IF(_xlpm.sumValue = 0, "", _xlpm.sumValue)
)</f>
        <v/>
      </c>
      <c r="O144" s="31" t="str">
        <f>_xlfn.LET(
    _xlpm.sumValue, SUMIFS(
        PNS_data[Value],
        PNS_data[Country], FR_data[[#This Row],[Country]],
        PNS_data[National Society name], selected,
        PNS_data[Attribute], "SP4",
        PNS_data[Year], "2027"
    ),
    IF(_xlpm.sumValue = 0, "", _xlpm.sumValue)
)</f>
        <v/>
      </c>
      <c r="P144" s="31" t="str">
        <f>_xlfn.LET(
    _xlpm.sumValue, SUMIFS(
        PNS_data[Value],
        PNS_data[Country], FR_data[[#This Row],[Country]],
        PNS_data[National Society name], selected,
        PNS_data[Attribute], "SP5",
        PNS_data[Year], "2027"
    ),
    IF(_xlpm.sumValue = 0, "", _xlpm.sumValue)
)</f>
        <v/>
      </c>
      <c r="Q144" s="31" t="str">
        <f>_xlfn.LET(
    _xlpm.sumValue, SUMIFS(
        PNS_data[Value],
        PNS_data[Country], FR_data[[#This Row],[Country]],
        PNS_data[National Society name], selected,
        PNS_data[Attribute], "EFs",
        PNS_data[Year], "2027"
    ),
    IF(_xlpm.sumValue = 0, "", _xlpm.sumValue)
)</f>
        <v/>
      </c>
      <c r="R144" s="32" t="str">
        <f>IF(SUM(FR_data[[#This Row],[Response - Disasters and Crises ]:[Enabling Functions ]])=0,"",SUM(FR_data[[#This Row],[Response - Disasters and Crises ]:[Enabling Functions ]]))</f>
        <v/>
      </c>
      <c r="S144" s="39"/>
      <c r="T144" s="30" t="str">
        <f>_xlfn.LET(
    _xlpm.sumValue, SUMIFS(
        PNS_data[Value],
        PNS_data[Country], FR_data[[#This Row],[Country]],
        PNS_data[National Society name], selected,
        PNS_data[Attribute], "SP1",
        PNS_data[Year], "2028"
    ),
    IF(_xlpm.sumValue = 0, "", _xlpm.sumValue)
)</f>
        <v/>
      </c>
      <c r="U144" s="31" t="str">
        <f>_xlfn.LET(
    _xlpm.sumValue, SUMIFS(
        PNS_data[Value],
        PNS_data[Country], FR_data[[#This Row],[Country]],
        PNS_data[National Society name], selected,
        PNS_data[Attribute], "SP2",
        PNS_data[Year], "2028"
    ),
    IF(_xlpm.sumValue = 0, "", _xlpm.sumValue)
)</f>
        <v/>
      </c>
      <c r="V144" s="31" t="str">
        <f>_xlfn.LET(
    _xlpm.sumValue, SUMIFS(
        PNS_data[Value],
        PNS_data[Country], FR_data[[#This Row],[Country]],
        PNS_data[National Society name], selected,
        PNS_data[Attribute], "SP3",
        PNS_data[Year], "2028"
    ),
    IF(_xlpm.sumValue = 0, "", _xlpm.sumValue)
)</f>
        <v/>
      </c>
      <c r="W144" s="31" t="str">
        <f>_xlfn.LET(
    _xlpm.sumValue, SUMIFS(
        PNS_data[Value],
        PNS_data[Country], FR_data[[#This Row],[Country]],
        PNS_data[National Society name], selected,
        PNS_data[Attribute], "SP4",
        PNS_data[Year], "2028"
    ),
    IF(_xlpm.sumValue = 0, "", _xlpm.sumValue)
)</f>
        <v/>
      </c>
      <c r="X144" s="31" t="str">
        <f>_xlfn.LET(
    _xlpm.sumValue, SUMIFS(
        PNS_data[Value],
        PNS_data[Country], FR_data[[#This Row],[Country]],
        PNS_data[National Society name], selected,
        PNS_data[Attribute], "SP5",
        PNS_data[Year], "2028"
    ),
    IF(_xlpm.sumValue = 0, "", _xlpm.sumValue)
)</f>
        <v/>
      </c>
      <c r="Y144" s="31" t="str">
        <f>_xlfn.LET(
    _xlpm.sumValue, SUMIFS(
        PNS_data[Value],
        PNS_data[Country], FR_data[[#This Row],[Country]],
        PNS_data[National Society name], selected,
        PNS_data[Attribute], "EFs",
        PNS_data[Year], "2028"
    ),
    IF(_xlpm.sumValue = 0, "", _xlpm.sumValue)
)</f>
        <v/>
      </c>
      <c r="Z144" s="32" t="str">
        <f>IF(SUM(FR_data[[#This Row],[Response - Disasters and Crises  ]:[Enabling Functions  ]])=0,"",SUM(FR_data[[#This Row],[Response - Disasters and Crises  ]:[Enabling Functions  ]]))</f>
        <v/>
      </c>
      <c r="AA144" s="41"/>
    </row>
    <row r="145" spans="1:27" x14ac:dyDescent="0.3">
      <c r="A145" s="11" t="s">
        <v>183</v>
      </c>
      <c r="B145" s="11" t="s">
        <v>100</v>
      </c>
      <c r="C145" s="11" t="s">
        <v>184</v>
      </c>
      <c r="D145" s="30" t="str">
        <f>_xlfn.LET(
    _xlpm.sumValue, SUMIFS(
        PNS_data[Value],
        PNS_data[Country], FR_data[[#This Row],[Country]],
        PNS_data[National Society name], selected,
        PNS_data[Attribute], "SP1",
        PNS_data[Year], "2026"
    ),
    IF(_xlpm.sumValue = 0, "", _xlpm.sumValue)
)</f>
        <v/>
      </c>
      <c r="E145" s="31" t="str">
        <f>_xlfn.LET(
    _xlpm.sumValue, SUMIFS(
        PNS_data[Value],
        PNS_data[Country], FR_data[[#This Row],[Country]],
        PNS_data[National Society name], selected,
        PNS_data[Attribute], "SP2",
        PNS_data[Year], "2026"
    ),
    IF(_xlpm.sumValue = 0, "", _xlpm.sumValue)
)</f>
        <v/>
      </c>
      <c r="F145" s="31" t="str">
        <f>_xlfn.LET(
    _xlpm.sumValue, SUMIFS(
        PNS_data[Value],
        PNS_data[Country], FR_data[[#This Row],[Country]],
        PNS_data[National Society name], selected,
        PNS_data[Attribute], "SP3",
        PNS_data[Year], "2026"
    ),
    IF(_xlpm.sumValue = 0, "", _xlpm.sumValue)
)</f>
        <v/>
      </c>
      <c r="G145" s="31" t="str">
        <f>_xlfn.LET(
    _xlpm.sumValue, SUMIFS(
        PNS_data[Value],
        PNS_data[Country], FR_data[[#This Row],[Country]],
        PNS_data[National Society name], selected,
        PNS_data[Attribute], "SP4",
        PNS_data[Year], "2026"
    ),
    IF(_xlpm.sumValue = 0, "", _xlpm.sumValue)
)</f>
        <v/>
      </c>
      <c r="H145" s="31" t="str">
        <f>_xlfn.LET(
    _xlpm.sumValue, SUMIFS(
        PNS_data[Value],
        PNS_data[Country], FR_data[[#This Row],[Country]],
        PNS_data[National Society name], selected,
        PNS_data[Attribute], "SP5",
        PNS_data[Year], "2026"
    ),
    IF(_xlpm.sumValue = 0, "", _xlpm.sumValue)
)</f>
        <v/>
      </c>
      <c r="I145" s="31" t="str">
        <f>_xlfn.LET(
    _xlpm.sumValue, SUMIFS(
        PNS_data[Value],
        PNS_data[Country], FR_data[[#This Row],[Country]],
        PNS_data[National Society name], selected,
        PNS_data[Attribute], "EFs",
        PNS_data[Year], "2026"
    ),
    IF(_xlpm.sumValue = 0, "", _xlpm.sumValue)
)</f>
        <v/>
      </c>
      <c r="J145" s="32" t="str">
        <f>IF(SUM(FR_data[[#This Row],[Response - Disasters and Crises]:[Enabling Functions]])=0,"",SUM(FR_data[[#This Row],[Response - Disasters and Crises]:[Enabling Functions]]))</f>
        <v/>
      </c>
      <c r="K145" s="39"/>
      <c r="L145" s="30" t="str">
        <f>_xlfn.LET(
    _xlpm.sumValue, SUMIFS(
        PNS_data[Value],
        PNS_data[Country], FR_data[[#This Row],[Country]],
        PNS_data[National Society name], selected,
        PNS_data[Attribute], "SP1",
        PNS_data[Year], "2027"
    ),
    IF(_xlpm.sumValue = 0, "", _xlpm.sumValue)
)</f>
        <v/>
      </c>
      <c r="M145" s="31" t="str">
        <f>_xlfn.LET(
    _xlpm.sumValue, SUMIFS(
        PNS_data[Value],
        PNS_data[Country], FR_data[[#This Row],[Country]],
        PNS_data[National Society name], selected,
        PNS_data[Attribute], "SP2",
        PNS_data[Year], "2027"
    ),
    IF(_xlpm.sumValue = 0, "", _xlpm.sumValue)
)</f>
        <v/>
      </c>
      <c r="N145" s="31" t="str">
        <f>_xlfn.LET(
    _xlpm.sumValue, SUMIFS(
        PNS_data[Value],
        PNS_data[Country], FR_data[[#This Row],[Country]],
        PNS_data[National Society name], selected,
        PNS_data[Attribute], "SP3",
        PNS_data[Year], "2027"
    ),
    IF(_xlpm.sumValue = 0, "", _xlpm.sumValue)
)</f>
        <v/>
      </c>
      <c r="O145" s="31" t="str">
        <f>_xlfn.LET(
    _xlpm.sumValue, SUMIFS(
        PNS_data[Value],
        PNS_data[Country], FR_data[[#This Row],[Country]],
        PNS_data[National Society name], selected,
        PNS_data[Attribute], "SP4",
        PNS_data[Year], "2027"
    ),
    IF(_xlpm.sumValue = 0, "", _xlpm.sumValue)
)</f>
        <v/>
      </c>
      <c r="P145" s="31" t="str">
        <f>_xlfn.LET(
    _xlpm.sumValue, SUMIFS(
        PNS_data[Value],
        PNS_data[Country], FR_data[[#This Row],[Country]],
        PNS_data[National Society name], selected,
        PNS_data[Attribute], "SP5",
        PNS_data[Year], "2027"
    ),
    IF(_xlpm.sumValue = 0, "", _xlpm.sumValue)
)</f>
        <v/>
      </c>
      <c r="Q145" s="31" t="str">
        <f>_xlfn.LET(
    _xlpm.sumValue, SUMIFS(
        PNS_data[Value],
        PNS_data[Country], FR_data[[#This Row],[Country]],
        PNS_data[National Society name], selected,
        PNS_data[Attribute], "EFs",
        PNS_data[Year], "2027"
    ),
    IF(_xlpm.sumValue = 0, "", _xlpm.sumValue)
)</f>
        <v/>
      </c>
      <c r="R145" s="32" t="str">
        <f>IF(SUM(FR_data[[#This Row],[Response - Disasters and Crises ]:[Enabling Functions ]])=0,"",SUM(FR_data[[#This Row],[Response - Disasters and Crises ]:[Enabling Functions ]]))</f>
        <v/>
      </c>
      <c r="S145" s="39"/>
      <c r="T145" s="30" t="str">
        <f>_xlfn.LET(
    _xlpm.sumValue, SUMIFS(
        PNS_data[Value],
        PNS_data[Country], FR_data[[#This Row],[Country]],
        PNS_data[National Society name], selected,
        PNS_data[Attribute], "SP1",
        PNS_data[Year], "2028"
    ),
    IF(_xlpm.sumValue = 0, "", _xlpm.sumValue)
)</f>
        <v/>
      </c>
      <c r="U145" s="31" t="str">
        <f>_xlfn.LET(
    _xlpm.sumValue, SUMIFS(
        PNS_data[Value],
        PNS_data[Country], FR_data[[#This Row],[Country]],
        PNS_data[National Society name], selected,
        PNS_data[Attribute], "SP2",
        PNS_data[Year], "2028"
    ),
    IF(_xlpm.sumValue = 0, "", _xlpm.sumValue)
)</f>
        <v/>
      </c>
      <c r="V145" s="31" t="str">
        <f>_xlfn.LET(
    _xlpm.sumValue, SUMIFS(
        PNS_data[Value],
        PNS_data[Country], FR_data[[#This Row],[Country]],
        PNS_data[National Society name], selected,
        PNS_data[Attribute], "SP3",
        PNS_data[Year], "2028"
    ),
    IF(_xlpm.sumValue = 0, "", _xlpm.sumValue)
)</f>
        <v/>
      </c>
      <c r="W145" s="31" t="str">
        <f>_xlfn.LET(
    _xlpm.sumValue, SUMIFS(
        PNS_data[Value],
        PNS_data[Country], FR_data[[#This Row],[Country]],
        PNS_data[National Society name], selected,
        PNS_data[Attribute], "SP4",
        PNS_data[Year], "2028"
    ),
    IF(_xlpm.sumValue = 0, "", _xlpm.sumValue)
)</f>
        <v/>
      </c>
      <c r="X145" s="31" t="str">
        <f>_xlfn.LET(
    _xlpm.sumValue, SUMIFS(
        PNS_data[Value],
        PNS_data[Country], FR_data[[#This Row],[Country]],
        PNS_data[National Society name], selected,
        PNS_data[Attribute], "SP5",
        PNS_data[Year], "2028"
    ),
    IF(_xlpm.sumValue = 0, "", _xlpm.sumValue)
)</f>
        <v/>
      </c>
      <c r="Y145" s="31" t="str">
        <f>_xlfn.LET(
    _xlpm.sumValue, SUMIFS(
        PNS_data[Value],
        PNS_data[Country], FR_data[[#This Row],[Country]],
        PNS_data[National Society name], selected,
        PNS_data[Attribute], "EFs",
        PNS_data[Year], "2028"
    ),
    IF(_xlpm.sumValue = 0, "", _xlpm.sumValue)
)</f>
        <v/>
      </c>
      <c r="Z145" s="32" t="str">
        <f>IF(SUM(FR_data[[#This Row],[Response - Disasters and Crises  ]:[Enabling Functions  ]])=0,"",SUM(FR_data[[#This Row],[Response - Disasters and Crises  ]:[Enabling Functions  ]]))</f>
        <v/>
      </c>
      <c r="AA145" s="41"/>
    </row>
    <row r="146" spans="1:27" x14ac:dyDescent="0.3">
      <c r="A146" s="11" t="s">
        <v>193</v>
      </c>
      <c r="B146" s="11" t="s">
        <v>100</v>
      </c>
      <c r="C146" s="11" t="s">
        <v>194</v>
      </c>
      <c r="D146" s="30" t="str">
        <f>_xlfn.LET(
    _xlpm.sumValue, SUMIFS(
        PNS_data[Value],
        PNS_data[Country], FR_data[[#This Row],[Country]],
        PNS_data[National Society name], selected,
        PNS_data[Attribute], "SP1",
        PNS_data[Year], "2026"
    ),
    IF(_xlpm.sumValue = 0, "", _xlpm.sumValue)
)</f>
        <v/>
      </c>
      <c r="E146" s="31" t="str">
        <f>_xlfn.LET(
    _xlpm.sumValue, SUMIFS(
        PNS_data[Value],
        PNS_data[Country], FR_data[[#This Row],[Country]],
        PNS_data[National Society name], selected,
        PNS_data[Attribute], "SP2",
        PNS_data[Year], "2026"
    ),
    IF(_xlpm.sumValue = 0, "", _xlpm.sumValue)
)</f>
        <v/>
      </c>
      <c r="F146" s="31" t="str">
        <f>_xlfn.LET(
    _xlpm.sumValue, SUMIFS(
        PNS_data[Value],
        PNS_data[Country], FR_data[[#This Row],[Country]],
        PNS_data[National Society name], selected,
        PNS_data[Attribute], "SP3",
        PNS_data[Year], "2026"
    ),
    IF(_xlpm.sumValue = 0, "", _xlpm.sumValue)
)</f>
        <v/>
      </c>
      <c r="G146" s="31" t="str">
        <f>_xlfn.LET(
    _xlpm.sumValue, SUMIFS(
        PNS_data[Value],
        PNS_data[Country], FR_data[[#This Row],[Country]],
        PNS_data[National Society name], selected,
        PNS_data[Attribute], "SP4",
        PNS_data[Year], "2026"
    ),
    IF(_xlpm.sumValue = 0, "", _xlpm.sumValue)
)</f>
        <v/>
      </c>
      <c r="H146" s="31" t="str">
        <f>_xlfn.LET(
    _xlpm.sumValue, SUMIFS(
        PNS_data[Value],
        PNS_data[Country], FR_data[[#This Row],[Country]],
        PNS_data[National Society name], selected,
        PNS_data[Attribute], "SP5",
        PNS_data[Year], "2026"
    ),
    IF(_xlpm.sumValue = 0, "", _xlpm.sumValue)
)</f>
        <v/>
      </c>
      <c r="I146" s="31" t="str">
        <f>_xlfn.LET(
    _xlpm.sumValue, SUMIFS(
        PNS_data[Value],
        PNS_data[Country], FR_data[[#This Row],[Country]],
        PNS_data[National Society name], selected,
        PNS_data[Attribute], "EFs",
        PNS_data[Year], "2026"
    ),
    IF(_xlpm.sumValue = 0, "", _xlpm.sumValue)
)</f>
        <v/>
      </c>
      <c r="J146" s="32" t="str">
        <f>IF(SUM(FR_data[[#This Row],[Response - Disasters and Crises]:[Enabling Functions]])=0,"",SUM(FR_data[[#This Row],[Response - Disasters and Crises]:[Enabling Functions]]))</f>
        <v/>
      </c>
      <c r="K146" s="39"/>
      <c r="L146" s="30" t="str">
        <f>_xlfn.LET(
    _xlpm.sumValue, SUMIFS(
        PNS_data[Value],
        PNS_data[Country], FR_data[[#This Row],[Country]],
        PNS_data[National Society name], selected,
        PNS_data[Attribute], "SP1",
        PNS_data[Year], "2027"
    ),
    IF(_xlpm.sumValue = 0, "", _xlpm.sumValue)
)</f>
        <v/>
      </c>
      <c r="M146" s="31" t="str">
        <f>_xlfn.LET(
    _xlpm.sumValue, SUMIFS(
        PNS_data[Value],
        PNS_data[Country], FR_data[[#This Row],[Country]],
        PNS_data[National Society name], selected,
        PNS_data[Attribute], "SP2",
        PNS_data[Year], "2027"
    ),
    IF(_xlpm.sumValue = 0, "", _xlpm.sumValue)
)</f>
        <v/>
      </c>
      <c r="N146" s="31" t="str">
        <f>_xlfn.LET(
    _xlpm.sumValue, SUMIFS(
        PNS_data[Value],
        PNS_data[Country], FR_data[[#This Row],[Country]],
        PNS_data[National Society name], selected,
        PNS_data[Attribute], "SP3",
        PNS_data[Year], "2027"
    ),
    IF(_xlpm.sumValue = 0, "", _xlpm.sumValue)
)</f>
        <v/>
      </c>
      <c r="O146" s="31" t="str">
        <f>_xlfn.LET(
    _xlpm.sumValue, SUMIFS(
        PNS_data[Value],
        PNS_data[Country], FR_data[[#This Row],[Country]],
        PNS_data[National Society name], selected,
        PNS_data[Attribute], "SP4",
        PNS_data[Year], "2027"
    ),
    IF(_xlpm.sumValue = 0, "", _xlpm.sumValue)
)</f>
        <v/>
      </c>
      <c r="P146" s="31" t="str">
        <f>_xlfn.LET(
    _xlpm.sumValue, SUMIFS(
        PNS_data[Value],
        PNS_data[Country], FR_data[[#This Row],[Country]],
        PNS_data[National Society name], selected,
        PNS_data[Attribute], "SP5",
        PNS_data[Year], "2027"
    ),
    IF(_xlpm.sumValue = 0, "", _xlpm.sumValue)
)</f>
        <v/>
      </c>
      <c r="Q146" s="31" t="str">
        <f>_xlfn.LET(
    _xlpm.sumValue, SUMIFS(
        PNS_data[Value],
        PNS_data[Country], FR_data[[#This Row],[Country]],
        PNS_data[National Society name], selected,
        PNS_data[Attribute], "EFs",
        PNS_data[Year], "2027"
    ),
    IF(_xlpm.sumValue = 0, "", _xlpm.sumValue)
)</f>
        <v/>
      </c>
      <c r="R146" s="32" t="str">
        <f>IF(SUM(FR_data[[#This Row],[Response - Disasters and Crises ]:[Enabling Functions ]])=0,"",SUM(FR_data[[#This Row],[Response - Disasters and Crises ]:[Enabling Functions ]]))</f>
        <v/>
      </c>
      <c r="S146" s="39"/>
      <c r="T146" s="30" t="str">
        <f>_xlfn.LET(
    _xlpm.sumValue, SUMIFS(
        PNS_data[Value],
        PNS_data[Country], FR_data[[#This Row],[Country]],
        PNS_data[National Society name], selected,
        PNS_data[Attribute], "SP1",
        PNS_data[Year], "2028"
    ),
    IF(_xlpm.sumValue = 0, "", _xlpm.sumValue)
)</f>
        <v/>
      </c>
      <c r="U146" s="31" t="str">
        <f>_xlfn.LET(
    _xlpm.sumValue, SUMIFS(
        PNS_data[Value],
        PNS_data[Country], FR_data[[#This Row],[Country]],
        PNS_data[National Society name], selected,
        PNS_data[Attribute], "SP2",
        PNS_data[Year], "2028"
    ),
    IF(_xlpm.sumValue = 0, "", _xlpm.sumValue)
)</f>
        <v/>
      </c>
      <c r="V146" s="31" t="str">
        <f>_xlfn.LET(
    _xlpm.sumValue, SUMIFS(
        PNS_data[Value],
        PNS_data[Country], FR_data[[#This Row],[Country]],
        PNS_data[National Society name], selected,
        PNS_data[Attribute], "SP3",
        PNS_data[Year], "2028"
    ),
    IF(_xlpm.sumValue = 0, "", _xlpm.sumValue)
)</f>
        <v/>
      </c>
      <c r="W146" s="31" t="str">
        <f>_xlfn.LET(
    _xlpm.sumValue, SUMIFS(
        PNS_data[Value],
        PNS_data[Country], FR_data[[#This Row],[Country]],
        PNS_data[National Society name], selected,
        PNS_data[Attribute], "SP4",
        PNS_data[Year], "2028"
    ),
    IF(_xlpm.sumValue = 0, "", _xlpm.sumValue)
)</f>
        <v/>
      </c>
      <c r="X146" s="31" t="str">
        <f>_xlfn.LET(
    _xlpm.sumValue, SUMIFS(
        PNS_data[Value],
        PNS_data[Country], FR_data[[#This Row],[Country]],
        PNS_data[National Society name], selected,
        PNS_data[Attribute], "SP5",
        PNS_data[Year], "2028"
    ),
    IF(_xlpm.sumValue = 0, "", _xlpm.sumValue)
)</f>
        <v/>
      </c>
      <c r="Y146" s="31" t="str">
        <f>_xlfn.LET(
    _xlpm.sumValue, SUMIFS(
        PNS_data[Value],
        PNS_data[Country], FR_data[[#This Row],[Country]],
        PNS_data[National Society name], selected,
        PNS_data[Attribute], "EFs",
        PNS_data[Year], "2028"
    ),
    IF(_xlpm.sumValue = 0, "", _xlpm.sumValue)
)</f>
        <v/>
      </c>
      <c r="Z146" s="32" t="str">
        <f>IF(SUM(FR_data[[#This Row],[Response - Disasters and Crises  ]:[Enabling Functions  ]])=0,"",SUM(FR_data[[#This Row],[Response - Disasters and Crises  ]:[Enabling Functions  ]]))</f>
        <v/>
      </c>
      <c r="AA146" s="41"/>
    </row>
    <row r="147" spans="1:27" x14ac:dyDescent="0.3">
      <c r="A147" s="11" t="s">
        <v>198</v>
      </c>
      <c r="B147" s="11" t="s">
        <v>100</v>
      </c>
      <c r="C147" s="11" t="s">
        <v>199</v>
      </c>
      <c r="D147" s="30" t="str">
        <f>_xlfn.LET(
    _xlpm.sumValue, SUMIFS(
        PNS_data[Value],
        PNS_data[Country], FR_data[[#This Row],[Country]],
        PNS_data[National Society name], selected,
        PNS_data[Attribute], "SP1",
        PNS_data[Year], "2026"
    ),
    IF(_xlpm.sumValue = 0, "", _xlpm.sumValue)
)</f>
        <v/>
      </c>
      <c r="E147" s="31" t="str">
        <f>_xlfn.LET(
    _xlpm.sumValue, SUMIFS(
        PNS_data[Value],
        PNS_data[Country], FR_data[[#This Row],[Country]],
        PNS_data[National Society name], selected,
        PNS_data[Attribute], "SP2",
        PNS_data[Year], "2026"
    ),
    IF(_xlpm.sumValue = 0, "", _xlpm.sumValue)
)</f>
        <v/>
      </c>
      <c r="F147" s="31" t="str">
        <f>_xlfn.LET(
    _xlpm.sumValue, SUMIFS(
        PNS_data[Value],
        PNS_data[Country], FR_data[[#This Row],[Country]],
        PNS_data[National Society name], selected,
        PNS_data[Attribute], "SP3",
        PNS_data[Year], "2026"
    ),
    IF(_xlpm.sumValue = 0, "", _xlpm.sumValue)
)</f>
        <v/>
      </c>
      <c r="G147" s="31" t="str">
        <f>_xlfn.LET(
    _xlpm.sumValue, SUMIFS(
        PNS_data[Value],
        PNS_data[Country], FR_data[[#This Row],[Country]],
        PNS_data[National Society name], selected,
        PNS_data[Attribute], "SP4",
        PNS_data[Year], "2026"
    ),
    IF(_xlpm.sumValue = 0, "", _xlpm.sumValue)
)</f>
        <v/>
      </c>
      <c r="H147" s="31" t="str">
        <f>_xlfn.LET(
    _xlpm.sumValue, SUMIFS(
        PNS_data[Value],
        PNS_data[Country], FR_data[[#This Row],[Country]],
        PNS_data[National Society name], selected,
        PNS_data[Attribute], "SP5",
        PNS_data[Year], "2026"
    ),
    IF(_xlpm.sumValue = 0, "", _xlpm.sumValue)
)</f>
        <v/>
      </c>
      <c r="I147" s="31" t="str">
        <f>_xlfn.LET(
    _xlpm.sumValue, SUMIFS(
        PNS_data[Value],
        PNS_data[Country], FR_data[[#This Row],[Country]],
        PNS_data[National Society name], selected,
        PNS_data[Attribute], "EFs",
        PNS_data[Year], "2026"
    ),
    IF(_xlpm.sumValue = 0, "", _xlpm.sumValue)
)</f>
        <v/>
      </c>
      <c r="J147" s="32" t="str">
        <f>IF(SUM(FR_data[[#This Row],[Response - Disasters and Crises]:[Enabling Functions]])=0,"",SUM(FR_data[[#This Row],[Response - Disasters and Crises]:[Enabling Functions]]))</f>
        <v/>
      </c>
      <c r="K147" s="39"/>
      <c r="L147" s="30" t="str">
        <f>_xlfn.LET(
    _xlpm.sumValue, SUMIFS(
        PNS_data[Value],
        PNS_data[Country], FR_data[[#This Row],[Country]],
        PNS_data[National Society name], selected,
        PNS_data[Attribute], "SP1",
        PNS_data[Year], "2027"
    ),
    IF(_xlpm.sumValue = 0, "", _xlpm.sumValue)
)</f>
        <v/>
      </c>
      <c r="M147" s="31" t="str">
        <f>_xlfn.LET(
    _xlpm.sumValue, SUMIFS(
        PNS_data[Value],
        PNS_data[Country], FR_data[[#This Row],[Country]],
        PNS_data[National Society name], selected,
        PNS_data[Attribute], "SP2",
        PNS_data[Year], "2027"
    ),
    IF(_xlpm.sumValue = 0, "", _xlpm.sumValue)
)</f>
        <v/>
      </c>
      <c r="N147" s="31" t="str">
        <f>_xlfn.LET(
    _xlpm.sumValue, SUMIFS(
        PNS_data[Value],
        PNS_data[Country], FR_data[[#This Row],[Country]],
        PNS_data[National Society name], selected,
        PNS_data[Attribute], "SP3",
        PNS_data[Year], "2027"
    ),
    IF(_xlpm.sumValue = 0, "", _xlpm.sumValue)
)</f>
        <v/>
      </c>
      <c r="O147" s="31" t="str">
        <f>_xlfn.LET(
    _xlpm.sumValue, SUMIFS(
        PNS_data[Value],
        PNS_data[Country], FR_data[[#This Row],[Country]],
        PNS_data[National Society name], selected,
        PNS_data[Attribute], "SP4",
        PNS_data[Year], "2027"
    ),
    IF(_xlpm.sumValue = 0, "", _xlpm.sumValue)
)</f>
        <v/>
      </c>
      <c r="P147" s="31" t="str">
        <f>_xlfn.LET(
    _xlpm.sumValue, SUMIFS(
        PNS_data[Value],
        PNS_data[Country], FR_data[[#This Row],[Country]],
        PNS_data[National Society name], selected,
        PNS_data[Attribute], "SP5",
        PNS_data[Year], "2027"
    ),
    IF(_xlpm.sumValue = 0, "", _xlpm.sumValue)
)</f>
        <v/>
      </c>
      <c r="Q147" s="31" t="str">
        <f>_xlfn.LET(
    _xlpm.sumValue, SUMIFS(
        PNS_data[Value],
        PNS_data[Country], FR_data[[#This Row],[Country]],
        PNS_data[National Society name], selected,
        PNS_data[Attribute], "EFs",
        PNS_data[Year], "2027"
    ),
    IF(_xlpm.sumValue = 0, "", _xlpm.sumValue)
)</f>
        <v/>
      </c>
      <c r="R147" s="32" t="str">
        <f>IF(SUM(FR_data[[#This Row],[Response - Disasters and Crises ]:[Enabling Functions ]])=0,"",SUM(FR_data[[#This Row],[Response - Disasters and Crises ]:[Enabling Functions ]]))</f>
        <v/>
      </c>
      <c r="S147" s="39"/>
      <c r="T147" s="30" t="str">
        <f>_xlfn.LET(
    _xlpm.sumValue, SUMIFS(
        PNS_data[Value],
        PNS_data[Country], FR_data[[#This Row],[Country]],
        PNS_data[National Society name], selected,
        PNS_data[Attribute], "SP1",
        PNS_data[Year], "2028"
    ),
    IF(_xlpm.sumValue = 0, "", _xlpm.sumValue)
)</f>
        <v/>
      </c>
      <c r="U147" s="31" t="str">
        <f>_xlfn.LET(
    _xlpm.sumValue, SUMIFS(
        PNS_data[Value],
        PNS_data[Country], FR_data[[#This Row],[Country]],
        PNS_data[National Society name], selected,
        PNS_data[Attribute], "SP2",
        PNS_data[Year], "2028"
    ),
    IF(_xlpm.sumValue = 0, "", _xlpm.sumValue)
)</f>
        <v/>
      </c>
      <c r="V147" s="31" t="str">
        <f>_xlfn.LET(
    _xlpm.sumValue, SUMIFS(
        PNS_data[Value],
        PNS_data[Country], FR_data[[#This Row],[Country]],
        PNS_data[National Society name], selected,
        PNS_data[Attribute], "SP3",
        PNS_data[Year], "2028"
    ),
    IF(_xlpm.sumValue = 0, "", _xlpm.sumValue)
)</f>
        <v/>
      </c>
      <c r="W147" s="31" t="str">
        <f>_xlfn.LET(
    _xlpm.sumValue, SUMIFS(
        PNS_data[Value],
        PNS_data[Country], FR_data[[#This Row],[Country]],
        PNS_data[National Society name], selected,
        PNS_data[Attribute], "SP4",
        PNS_data[Year], "2028"
    ),
    IF(_xlpm.sumValue = 0, "", _xlpm.sumValue)
)</f>
        <v/>
      </c>
      <c r="X147" s="31" t="str">
        <f>_xlfn.LET(
    _xlpm.sumValue, SUMIFS(
        PNS_data[Value],
        PNS_data[Country], FR_data[[#This Row],[Country]],
        PNS_data[National Society name], selected,
        PNS_data[Attribute], "SP5",
        PNS_data[Year], "2028"
    ),
    IF(_xlpm.sumValue = 0, "", _xlpm.sumValue)
)</f>
        <v/>
      </c>
      <c r="Y147" s="31" t="str">
        <f>_xlfn.LET(
    _xlpm.sumValue, SUMIFS(
        PNS_data[Value],
        PNS_data[Country], FR_data[[#This Row],[Country]],
        PNS_data[National Society name], selected,
        PNS_data[Attribute], "EFs",
        PNS_data[Year], "2028"
    ),
    IF(_xlpm.sumValue = 0, "", _xlpm.sumValue)
)</f>
        <v/>
      </c>
      <c r="Z147" s="32" t="str">
        <f>IF(SUM(FR_data[[#This Row],[Response - Disasters and Crises  ]:[Enabling Functions  ]])=0,"",SUM(FR_data[[#This Row],[Response - Disasters and Crises  ]:[Enabling Functions  ]]))</f>
        <v/>
      </c>
      <c r="AA147" s="41"/>
    </row>
    <row r="148" spans="1:27" x14ac:dyDescent="0.3">
      <c r="A148" s="11" t="s">
        <v>411</v>
      </c>
      <c r="B148" s="11" t="s">
        <v>100</v>
      </c>
      <c r="C148" s="11" t="s">
        <v>412</v>
      </c>
      <c r="D148" s="30" t="str">
        <f>_xlfn.LET(
    _xlpm.sumValue, SUMIFS(
        PNS_data[Value],
        PNS_data[Country], FR_data[[#This Row],[Country]],
        PNS_data[National Society name], selected,
        PNS_data[Attribute], "SP1",
        PNS_data[Year], "2026"
    ),
    IF(_xlpm.sumValue = 0, "", _xlpm.sumValue)
)</f>
        <v/>
      </c>
      <c r="E148" s="31" t="str">
        <f>_xlfn.LET(
    _xlpm.sumValue, SUMIFS(
        PNS_data[Value],
        PNS_data[Country], FR_data[[#This Row],[Country]],
        PNS_data[National Society name], selected,
        PNS_data[Attribute], "SP2",
        PNS_data[Year], "2026"
    ),
    IF(_xlpm.sumValue = 0, "", _xlpm.sumValue)
)</f>
        <v/>
      </c>
      <c r="F148" s="31" t="str">
        <f>_xlfn.LET(
    _xlpm.sumValue, SUMIFS(
        PNS_data[Value],
        PNS_data[Country], FR_data[[#This Row],[Country]],
        PNS_data[National Society name], selected,
        PNS_data[Attribute], "SP3",
        PNS_data[Year], "2026"
    ),
    IF(_xlpm.sumValue = 0, "", _xlpm.sumValue)
)</f>
        <v/>
      </c>
      <c r="G148" s="31" t="str">
        <f>_xlfn.LET(
    _xlpm.sumValue, SUMIFS(
        PNS_data[Value],
        PNS_data[Country], FR_data[[#This Row],[Country]],
        PNS_data[National Society name], selected,
        PNS_data[Attribute], "SP4",
        PNS_data[Year], "2026"
    ),
    IF(_xlpm.sumValue = 0, "", _xlpm.sumValue)
)</f>
        <v/>
      </c>
      <c r="H148" s="31" t="str">
        <f>_xlfn.LET(
    _xlpm.sumValue, SUMIFS(
        PNS_data[Value],
        PNS_data[Country], FR_data[[#This Row],[Country]],
        PNS_data[National Society name], selected,
        PNS_data[Attribute], "SP5",
        PNS_data[Year], "2026"
    ),
    IF(_xlpm.sumValue = 0, "", _xlpm.sumValue)
)</f>
        <v/>
      </c>
      <c r="I148" s="31" t="str">
        <f>_xlfn.LET(
    _xlpm.sumValue, SUMIFS(
        PNS_data[Value],
        PNS_data[Country], FR_data[[#This Row],[Country]],
        PNS_data[National Society name], selected,
        PNS_data[Attribute], "EFs",
        PNS_data[Year], "2026"
    ),
    IF(_xlpm.sumValue = 0, "", _xlpm.sumValue)
)</f>
        <v/>
      </c>
      <c r="J148" s="32" t="str">
        <f>IF(SUM(FR_data[[#This Row],[Response - Disasters and Crises]:[Enabling Functions]])=0,"",SUM(FR_data[[#This Row],[Response - Disasters and Crises]:[Enabling Functions]]))</f>
        <v/>
      </c>
      <c r="K148" s="39"/>
      <c r="L148" s="30" t="str">
        <f>_xlfn.LET(
    _xlpm.sumValue, SUMIFS(
        PNS_data[Value],
        PNS_data[Country], FR_data[[#This Row],[Country]],
        PNS_data[National Society name], selected,
        PNS_data[Attribute], "SP1",
        PNS_data[Year], "2027"
    ),
    IF(_xlpm.sumValue = 0, "", _xlpm.sumValue)
)</f>
        <v/>
      </c>
      <c r="M148" s="31" t="str">
        <f>_xlfn.LET(
    _xlpm.sumValue, SUMIFS(
        PNS_data[Value],
        PNS_data[Country], FR_data[[#This Row],[Country]],
        PNS_data[National Society name], selected,
        PNS_data[Attribute], "SP2",
        PNS_data[Year], "2027"
    ),
    IF(_xlpm.sumValue = 0, "", _xlpm.sumValue)
)</f>
        <v/>
      </c>
      <c r="N148" s="31" t="str">
        <f>_xlfn.LET(
    _xlpm.sumValue, SUMIFS(
        PNS_data[Value],
        PNS_data[Country], FR_data[[#This Row],[Country]],
        PNS_data[National Society name], selected,
        PNS_data[Attribute], "SP3",
        PNS_data[Year], "2027"
    ),
    IF(_xlpm.sumValue = 0, "", _xlpm.sumValue)
)</f>
        <v/>
      </c>
      <c r="O148" s="31" t="str">
        <f>_xlfn.LET(
    _xlpm.sumValue, SUMIFS(
        PNS_data[Value],
        PNS_data[Country], FR_data[[#This Row],[Country]],
        PNS_data[National Society name], selected,
        PNS_data[Attribute], "SP4",
        PNS_data[Year], "2027"
    ),
    IF(_xlpm.sumValue = 0, "", _xlpm.sumValue)
)</f>
        <v/>
      </c>
      <c r="P148" s="31" t="str">
        <f>_xlfn.LET(
    _xlpm.sumValue, SUMIFS(
        PNS_data[Value],
        PNS_data[Country], FR_data[[#This Row],[Country]],
        PNS_data[National Society name], selected,
        PNS_data[Attribute], "SP5",
        PNS_data[Year], "2027"
    ),
    IF(_xlpm.sumValue = 0, "", _xlpm.sumValue)
)</f>
        <v/>
      </c>
      <c r="Q148" s="31" t="str">
        <f>_xlfn.LET(
    _xlpm.sumValue, SUMIFS(
        PNS_data[Value],
        PNS_data[Country], FR_data[[#This Row],[Country]],
        PNS_data[National Society name], selected,
        PNS_data[Attribute], "EFs",
        PNS_data[Year], "2027"
    ),
    IF(_xlpm.sumValue = 0, "", _xlpm.sumValue)
)</f>
        <v/>
      </c>
      <c r="R148" s="32" t="str">
        <f>IF(SUM(FR_data[[#This Row],[Response - Disasters and Crises ]:[Enabling Functions ]])=0,"",SUM(FR_data[[#This Row],[Response - Disasters and Crises ]:[Enabling Functions ]]))</f>
        <v/>
      </c>
      <c r="S148" s="39"/>
      <c r="T148" s="30" t="str">
        <f>_xlfn.LET(
    _xlpm.sumValue, SUMIFS(
        PNS_data[Value],
        PNS_data[Country], FR_data[[#This Row],[Country]],
        PNS_data[National Society name], selected,
        PNS_data[Attribute], "SP1",
        PNS_data[Year], "2028"
    ),
    IF(_xlpm.sumValue = 0, "", _xlpm.sumValue)
)</f>
        <v/>
      </c>
      <c r="U148" s="31" t="str">
        <f>_xlfn.LET(
    _xlpm.sumValue, SUMIFS(
        PNS_data[Value],
        PNS_data[Country], FR_data[[#This Row],[Country]],
        PNS_data[National Society name], selected,
        PNS_data[Attribute], "SP2",
        PNS_data[Year], "2028"
    ),
    IF(_xlpm.sumValue = 0, "", _xlpm.sumValue)
)</f>
        <v/>
      </c>
      <c r="V148" s="31" t="str">
        <f>_xlfn.LET(
    _xlpm.sumValue, SUMIFS(
        PNS_data[Value],
        PNS_data[Country], FR_data[[#This Row],[Country]],
        PNS_data[National Society name], selected,
        PNS_data[Attribute], "SP3",
        PNS_data[Year], "2028"
    ),
    IF(_xlpm.sumValue = 0, "", _xlpm.sumValue)
)</f>
        <v/>
      </c>
      <c r="W148" s="31" t="str">
        <f>_xlfn.LET(
    _xlpm.sumValue, SUMIFS(
        PNS_data[Value],
        PNS_data[Country], FR_data[[#This Row],[Country]],
        PNS_data[National Society name], selected,
        PNS_data[Attribute], "SP4",
        PNS_data[Year], "2028"
    ),
    IF(_xlpm.sumValue = 0, "", _xlpm.sumValue)
)</f>
        <v/>
      </c>
      <c r="X148" s="31" t="str">
        <f>_xlfn.LET(
    _xlpm.sumValue, SUMIFS(
        PNS_data[Value],
        PNS_data[Country], FR_data[[#This Row],[Country]],
        PNS_data[National Society name], selected,
        PNS_data[Attribute], "SP5",
        PNS_data[Year], "2028"
    ),
    IF(_xlpm.sumValue = 0, "", _xlpm.sumValue)
)</f>
        <v/>
      </c>
      <c r="Y148" s="31" t="str">
        <f>_xlfn.LET(
    _xlpm.sumValue, SUMIFS(
        PNS_data[Value],
        PNS_data[Country], FR_data[[#This Row],[Country]],
        PNS_data[National Society name], selected,
        PNS_data[Attribute], "EFs",
        PNS_data[Year], "2028"
    ),
    IF(_xlpm.sumValue = 0, "", _xlpm.sumValue)
)</f>
        <v/>
      </c>
      <c r="Z148" s="32" t="str">
        <f>IF(SUM(FR_data[[#This Row],[Response - Disasters and Crises  ]:[Enabling Functions  ]])=0,"",SUM(FR_data[[#This Row],[Response - Disasters and Crises  ]:[Enabling Functions  ]]))</f>
        <v/>
      </c>
      <c r="AA148" s="41"/>
    </row>
    <row r="149" spans="1:27" x14ac:dyDescent="0.3">
      <c r="A149" s="11" t="s">
        <v>241</v>
      </c>
      <c r="B149" s="11" t="s">
        <v>100</v>
      </c>
      <c r="C149" s="11" t="s">
        <v>242</v>
      </c>
      <c r="D149" s="30" t="str">
        <f>_xlfn.LET(
    _xlpm.sumValue, SUMIFS(
        PNS_data[Value],
        PNS_data[Country], FR_data[[#This Row],[Country]],
        PNS_data[National Society name], selected,
        PNS_data[Attribute], "SP1",
        PNS_data[Year], "2026"
    ),
    IF(_xlpm.sumValue = 0, "", _xlpm.sumValue)
)</f>
        <v/>
      </c>
      <c r="E149" s="31" t="str">
        <f>_xlfn.LET(
    _xlpm.sumValue, SUMIFS(
        PNS_data[Value],
        PNS_data[Country], FR_data[[#This Row],[Country]],
        PNS_data[National Society name], selected,
        PNS_data[Attribute], "SP2",
        PNS_data[Year], "2026"
    ),
    IF(_xlpm.sumValue = 0, "", _xlpm.sumValue)
)</f>
        <v/>
      </c>
      <c r="F149" s="31" t="str">
        <f>_xlfn.LET(
    _xlpm.sumValue, SUMIFS(
        PNS_data[Value],
        PNS_data[Country], FR_data[[#This Row],[Country]],
        PNS_data[National Society name], selected,
        PNS_data[Attribute], "SP3",
        PNS_data[Year], "2026"
    ),
    IF(_xlpm.sumValue = 0, "", _xlpm.sumValue)
)</f>
        <v/>
      </c>
      <c r="G149" s="31" t="str">
        <f>_xlfn.LET(
    _xlpm.sumValue, SUMIFS(
        PNS_data[Value],
        PNS_data[Country], FR_data[[#This Row],[Country]],
        PNS_data[National Society name], selected,
        PNS_data[Attribute], "SP4",
        PNS_data[Year], "2026"
    ),
    IF(_xlpm.sumValue = 0, "", _xlpm.sumValue)
)</f>
        <v/>
      </c>
      <c r="H149" s="31" t="str">
        <f>_xlfn.LET(
    _xlpm.sumValue, SUMIFS(
        PNS_data[Value],
        PNS_data[Country], FR_data[[#This Row],[Country]],
        PNS_data[National Society name], selected,
        PNS_data[Attribute], "SP5",
        PNS_data[Year], "2026"
    ),
    IF(_xlpm.sumValue = 0, "", _xlpm.sumValue)
)</f>
        <v/>
      </c>
      <c r="I149" s="31" t="str">
        <f>_xlfn.LET(
    _xlpm.sumValue, SUMIFS(
        PNS_data[Value],
        PNS_data[Country], FR_data[[#This Row],[Country]],
        PNS_data[National Society name], selected,
        PNS_data[Attribute], "EFs",
        PNS_data[Year], "2026"
    ),
    IF(_xlpm.sumValue = 0, "", _xlpm.sumValue)
)</f>
        <v/>
      </c>
      <c r="J149" s="32" t="str">
        <f>IF(SUM(FR_data[[#This Row],[Response - Disasters and Crises]:[Enabling Functions]])=0,"",SUM(FR_data[[#This Row],[Response - Disasters and Crises]:[Enabling Functions]]))</f>
        <v/>
      </c>
      <c r="K149" s="39"/>
      <c r="L149" s="30" t="str">
        <f>_xlfn.LET(
    _xlpm.sumValue, SUMIFS(
        PNS_data[Value],
        PNS_data[Country], FR_data[[#This Row],[Country]],
        PNS_data[National Society name], selected,
        PNS_data[Attribute], "SP1",
        PNS_data[Year], "2027"
    ),
    IF(_xlpm.sumValue = 0, "", _xlpm.sumValue)
)</f>
        <v/>
      </c>
      <c r="M149" s="31" t="str">
        <f>_xlfn.LET(
    _xlpm.sumValue, SUMIFS(
        PNS_data[Value],
        PNS_data[Country], FR_data[[#This Row],[Country]],
        PNS_data[National Society name], selected,
        PNS_data[Attribute], "SP2",
        PNS_data[Year], "2027"
    ),
    IF(_xlpm.sumValue = 0, "", _xlpm.sumValue)
)</f>
        <v/>
      </c>
      <c r="N149" s="31" t="str">
        <f>_xlfn.LET(
    _xlpm.sumValue, SUMIFS(
        PNS_data[Value],
        PNS_data[Country], FR_data[[#This Row],[Country]],
        PNS_data[National Society name], selected,
        PNS_data[Attribute], "SP3",
        PNS_data[Year], "2027"
    ),
    IF(_xlpm.sumValue = 0, "", _xlpm.sumValue)
)</f>
        <v/>
      </c>
      <c r="O149" s="31" t="str">
        <f>_xlfn.LET(
    _xlpm.sumValue, SUMIFS(
        PNS_data[Value],
        PNS_data[Country], FR_data[[#This Row],[Country]],
        PNS_data[National Society name], selected,
        PNS_data[Attribute], "SP4",
        PNS_data[Year], "2027"
    ),
    IF(_xlpm.sumValue = 0, "", _xlpm.sumValue)
)</f>
        <v/>
      </c>
      <c r="P149" s="31" t="str">
        <f>_xlfn.LET(
    _xlpm.sumValue, SUMIFS(
        PNS_data[Value],
        PNS_data[Country], FR_data[[#This Row],[Country]],
        PNS_data[National Society name], selected,
        PNS_data[Attribute], "SP5",
        PNS_data[Year], "2027"
    ),
    IF(_xlpm.sumValue = 0, "", _xlpm.sumValue)
)</f>
        <v/>
      </c>
      <c r="Q149" s="31" t="str">
        <f>_xlfn.LET(
    _xlpm.sumValue, SUMIFS(
        PNS_data[Value],
        PNS_data[Country], FR_data[[#This Row],[Country]],
        PNS_data[National Society name], selected,
        PNS_data[Attribute], "EFs",
        PNS_data[Year], "2027"
    ),
    IF(_xlpm.sumValue = 0, "", _xlpm.sumValue)
)</f>
        <v/>
      </c>
      <c r="R149" s="32" t="str">
        <f>IF(SUM(FR_data[[#This Row],[Response - Disasters and Crises ]:[Enabling Functions ]])=0,"",SUM(FR_data[[#This Row],[Response - Disasters and Crises ]:[Enabling Functions ]]))</f>
        <v/>
      </c>
      <c r="S149" s="39"/>
      <c r="T149" s="30" t="str">
        <f>_xlfn.LET(
    _xlpm.sumValue, SUMIFS(
        PNS_data[Value],
        PNS_data[Country], FR_data[[#This Row],[Country]],
        PNS_data[National Society name], selected,
        PNS_data[Attribute], "SP1",
        PNS_data[Year], "2028"
    ),
    IF(_xlpm.sumValue = 0, "", _xlpm.sumValue)
)</f>
        <v/>
      </c>
      <c r="U149" s="31" t="str">
        <f>_xlfn.LET(
    _xlpm.sumValue, SUMIFS(
        PNS_data[Value],
        PNS_data[Country], FR_data[[#This Row],[Country]],
        PNS_data[National Society name], selected,
        PNS_data[Attribute], "SP2",
        PNS_data[Year], "2028"
    ),
    IF(_xlpm.sumValue = 0, "", _xlpm.sumValue)
)</f>
        <v/>
      </c>
      <c r="V149" s="31" t="str">
        <f>_xlfn.LET(
    _xlpm.sumValue, SUMIFS(
        PNS_data[Value],
        PNS_data[Country], FR_data[[#This Row],[Country]],
        PNS_data[National Society name], selected,
        PNS_data[Attribute], "SP3",
        PNS_data[Year], "2028"
    ),
    IF(_xlpm.sumValue = 0, "", _xlpm.sumValue)
)</f>
        <v/>
      </c>
      <c r="W149" s="31" t="str">
        <f>_xlfn.LET(
    _xlpm.sumValue, SUMIFS(
        PNS_data[Value],
        PNS_data[Country], FR_data[[#This Row],[Country]],
        PNS_data[National Society name], selected,
        PNS_data[Attribute], "SP4",
        PNS_data[Year], "2028"
    ),
    IF(_xlpm.sumValue = 0, "", _xlpm.sumValue)
)</f>
        <v/>
      </c>
      <c r="X149" s="31" t="str">
        <f>_xlfn.LET(
    _xlpm.sumValue, SUMIFS(
        PNS_data[Value],
        PNS_data[Country], FR_data[[#This Row],[Country]],
        PNS_data[National Society name], selected,
        PNS_data[Attribute], "SP5",
        PNS_data[Year], "2028"
    ),
    IF(_xlpm.sumValue = 0, "", _xlpm.sumValue)
)</f>
        <v/>
      </c>
      <c r="Y149" s="31" t="str">
        <f>_xlfn.LET(
    _xlpm.sumValue, SUMIFS(
        PNS_data[Value],
        PNS_data[Country], FR_data[[#This Row],[Country]],
        PNS_data[National Society name], selected,
        PNS_data[Attribute], "EFs",
        PNS_data[Year], "2028"
    ),
    IF(_xlpm.sumValue = 0, "", _xlpm.sumValue)
)</f>
        <v/>
      </c>
      <c r="Z149" s="32" t="str">
        <f>IF(SUM(FR_data[[#This Row],[Response - Disasters and Crises  ]:[Enabling Functions  ]])=0,"",SUM(FR_data[[#This Row],[Response - Disasters and Crises  ]:[Enabling Functions  ]]))</f>
        <v/>
      </c>
      <c r="AA149" s="41"/>
    </row>
    <row r="150" spans="1:27" x14ac:dyDescent="0.3">
      <c r="A150" s="11" t="s">
        <v>204</v>
      </c>
      <c r="B150" s="11" t="s">
        <v>100</v>
      </c>
      <c r="C150" s="11" t="s">
        <v>205</v>
      </c>
      <c r="D150" s="30" t="str">
        <f>_xlfn.LET(
    _xlpm.sumValue, SUMIFS(
        PNS_data[Value],
        PNS_data[Country], FR_data[[#This Row],[Country]],
        PNS_data[National Society name], selected,
        PNS_data[Attribute], "SP1",
        PNS_data[Year], "2026"
    ),
    IF(_xlpm.sumValue = 0, "", _xlpm.sumValue)
)</f>
        <v/>
      </c>
      <c r="E150" s="31" t="str">
        <f>_xlfn.LET(
    _xlpm.sumValue, SUMIFS(
        PNS_data[Value],
        PNS_data[Country], FR_data[[#This Row],[Country]],
        PNS_data[National Society name], selected,
        PNS_data[Attribute], "SP2",
        PNS_data[Year], "2026"
    ),
    IF(_xlpm.sumValue = 0, "", _xlpm.sumValue)
)</f>
        <v/>
      </c>
      <c r="F150" s="31" t="str">
        <f>_xlfn.LET(
    _xlpm.sumValue, SUMIFS(
        PNS_data[Value],
        PNS_data[Country], FR_data[[#This Row],[Country]],
        PNS_data[National Society name], selected,
        PNS_data[Attribute], "SP3",
        PNS_data[Year], "2026"
    ),
    IF(_xlpm.sumValue = 0, "", _xlpm.sumValue)
)</f>
        <v/>
      </c>
      <c r="G150" s="31" t="str">
        <f>_xlfn.LET(
    _xlpm.sumValue, SUMIFS(
        PNS_data[Value],
        PNS_data[Country], FR_data[[#This Row],[Country]],
        PNS_data[National Society name], selected,
        PNS_data[Attribute], "SP4",
        PNS_data[Year], "2026"
    ),
    IF(_xlpm.sumValue = 0, "", _xlpm.sumValue)
)</f>
        <v/>
      </c>
      <c r="H150" s="31" t="str">
        <f>_xlfn.LET(
    _xlpm.sumValue, SUMIFS(
        PNS_data[Value],
        PNS_data[Country], FR_data[[#This Row],[Country]],
        PNS_data[National Society name], selected,
        PNS_data[Attribute], "SP5",
        PNS_data[Year], "2026"
    ),
    IF(_xlpm.sumValue = 0, "", _xlpm.sumValue)
)</f>
        <v/>
      </c>
      <c r="I150" s="31" t="str">
        <f>_xlfn.LET(
    _xlpm.sumValue, SUMIFS(
        PNS_data[Value],
        PNS_data[Country], FR_data[[#This Row],[Country]],
        PNS_data[National Society name], selected,
        PNS_data[Attribute], "EFs",
        PNS_data[Year], "2026"
    ),
    IF(_xlpm.sumValue = 0, "", _xlpm.sumValue)
)</f>
        <v/>
      </c>
      <c r="J150" s="32" t="str">
        <f>IF(SUM(FR_data[[#This Row],[Response - Disasters and Crises]:[Enabling Functions]])=0,"",SUM(FR_data[[#This Row],[Response - Disasters and Crises]:[Enabling Functions]]))</f>
        <v/>
      </c>
      <c r="K150" s="39"/>
      <c r="L150" s="30" t="str">
        <f>_xlfn.LET(
    _xlpm.sumValue, SUMIFS(
        PNS_data[Value],
        PNS_data[Country], FR_data[[#This Row],[Country]],
        PNS_data[National Society name], selected,
        PNS_data[Attribute], "SP1",
        PNS_data[Year], "2027"
    ),
    IF(_xlpm.sumValue = 0, "", _xlpm.sumValue)
)</f>
        <v/>
      </c>
      <c r="M150" s="31" t="str">
        <f>_xlfn.LET(
    _xlpm.sumValue, SUMIFS(
        PNS_data[Value],
        PNS_data[Country], FR_data[[#This Row],[Country]],
        PNS_data[National Society name], selected,
        PNS_data[Attribute], "SP2",
        PNS_data[Year], "2027"
    ),
    IF(_xlpm.sumValue = 0, "", _xlpm.sumValue)
)</f>
        <v/>
      </c>
      <c r="N150" s="31" t="str">
        <f>_xlfn.LET(
    _xlpm.sumValue, SUMIFS(
        PNS_data[Value],
        PNS_data[Country], FR_data[[#This Row],[Country]],
        PNS_data[National Society name], selected,
        PNS_data[Attribute], "SP3",
        PNS_data[Year], "2027"
    ),
    IF(_xlpm.sumValue = 0, "", _xlpm.sumValue)
)</f>
        <v/>
      </c>
      <c r="O150" s="31" t="str">
        <f>_xlfn.LET(
    _xlpm.sumValue, SUMIFS(
        PNS_data[Value],
        PNS_data[Country], FR_data[[#This Row],[Country]],
        PNS_data[National Society name], selected,
        PNS_data[Attribute], "SP4",
        PNS_data[Year], "2027"
    ),
    IF(_xlpm.sumValue = 0, "", _xlpm.sumValue)
)</f>
        <v/>
      </c>
      <c r="P150" s="31" t="str">
        <f>_xlfn.LET(
    _xlpm.sumValue, SUMIFS(
        PNS_data[Value],
        PNS_data[Country], FR_data[[#This Row],[Country]],
        PNS_data[National Society name], selected,
        PNS_data[Attribute], "SP5",
        PNS_data[Year], "2027"
    ),
    IF(_xlpm.sumValue = 0, "", _xlpm.sumValue)
)</f>
        <v/>
      </c>
      <c r="Q150" s="31" t="str">
        <f>_xlfn.LET(
    _xlpm.sumValue, SUMIFS(
        PNS_data[Value],
        PNS_data[Country], FR_data[[#This Row],[Country]],
        PNS_data[National Society name], selected,
        PNS_data[Attribute], "EFs",
        PNS_data[Year], "2027"
    ),
    IF(_xlpm.sumValue = 0, "", _xlpm.sumValue)
)</f>
        <v/>
      </c>
      <c r="R150" s="32" t="str">
        <f>IF(SUM(FR_data[[#This Row],[Response - Disasters and Crises ]:[Enabling Functions ]])=0,"",SUM(FR_data[[#This Row],[Response - Disasters and Crises ]:[Enabling Functions ]]))</f>
        <v/>
      </c>
      <c r="S150" s="39"/>
      <c r="T150" s="30" t="str">
        <f>_xlfn.LET(
    _xlpm.sumValue, SUMIFS(
        PNS_data[Value],
        PNS_data[Country], FR_data[[#This Row],[Country]],
        PNS_data[National Society name], selected,
        PNS_data[Attribute], "SP1",
        PNS_data[Year], "2028"
    ),
    IF(_xlpm.sumValue = 0, "", _xlpm.sumValue)
)</f>
        <v/>
      </c>
      <c r="U150" s="31" t="str">
        <f>_xlfn.LET(
    _xlpm.sumValue, SUMIFS(
        PNS_data[Value],
        PNS_data[Country], FR_data[[#This Row],[Country]],
        PNS_data[National Society name], selected,
        PNS_data[Attribute], "SP2",
        PNS_data[Year], "2028"
    ),
    IF(_xlpm.sumValue = 0, "", _xlpm.sumValue)
)</f>
        <v/>
      </c>
      <c r="V150" s="31" t="str">
        <f>_xlfn.LET(
    _xlpm.sumValue, SUMIFS(
        PNS_data[Value],
        PNS_data[Country], FR_data[[#This Row],[Country]],
        PNS_data[National Society name], selected,
        PNS_data[Attribute], "SP3",
        PNS_data[Year], "2028"
    ),
    IF(_xlpm.sumValue = 0, "", _xlpm.sumValue)
)</f>
        <v/>
      </c>
      <c r="W150" s="31" t="str">
        <f>_xlfn.LET(
    _xlpm.sumValue, SUMIFS(
        PNS_data[Value],
        PNS_data[Country], FR_data[[#This Row],[Country]],
        PNS_data[National Society name], selected,
        PNS_data[Attribute], "SP4",
        PNS_data[Year], "2028"
    ),
    IF(_xlpm.sumValue = 0, "", _xlpm.sumValue)
)</f>
        <v/>
      </c>
      <c r="X150" s="31" t="str">
        <f>_xlfn.LET(
    _xlpm.sumValue, SUMIFS(
        PNS_data[Value],
        PNS_data[Country], FR_data[[#This Row],[Country]],
        PNS_data[National Society name], selected,
        PNS_data[Attribute], "SP5",
        PNS_data[Year], "2028"
    ),
    IF(_xlpm.sumValue = 0, "", _xlpm.sumValue)
)</f>
        <v/>
      </c>
      <c r="Y150" s="31" t="str">
        <f>_xlfn.LET(
    _xlpm.sumValue, SUMIFS(
        PNS_data[Value],
        PNS_data[Country], FR_data[[#This Row],[Country]],
        PNS_data[National Society name], selected,
        PNS_data[Attribute], "EFs",
        PNS_data[Year], "2028"
    ),
    IF(_xlpm.sumValue = 0, "", _xlpm.sumValue)
)</f>
        <v/>
      </c>
      <c r="Z150" s="32" t="str">
        <f>IF(SUM(FR_data[[#This Row],[Response - Disasters and Crises  ]:[Enabling Functions  ]])=0,"",SUM(FR_data[[#This Row],[Response - Disasters and Crises  ]:[Enabling Functions  ]]))</f>
        <v/>
      </c>
      <c r="AA150" s="41"/>
    </row>
    <row r="151" spans="1:27" x14ac:dyDescent="0.3">
      <c r="A151" s="11" t="s">
        <v>155</v>
      </c>
      <c r="B151" s="11" t="s">
        <v>100</v>
      </c>
      <c r="C151" s="11" t="s">
        <v>156</v>
      </c>
      <c r="D151" s="30" t="str">
        <f>_xlfn.LET(
    _xlpm.sumValue, SUMIFS(
        PNS_data[Value],
        PNS_data[Country], FR_data[[#This Row],[Country]],
        PNS_data[National Society name], selected,
        PNS_data[Attribute], "SP1",
        PNS_data[Year], "2026"
    ),
    IF(_xlpm.sumValue = 0, "", _xlpm.sumValue)
)</f>
        <v/>
      </c>
      <c r="E151" s="31" t="str">
        <f>_xlfn.LET(
    _xlpm.sumValue, SUMIFS(
        PNS_data[Value],
        PNS_data[Country], FR_data[[#This Row],[Country]],
        PNS_data[National Society name], selected,
        PNS_data[Attribute], "SP2",
        PNS_data[Year], "2026"
    ),
    IF(_xlpm.sumValue = 0, "", _xlpm.sumValue)
)</f>
        <v/>
      </c>
      <c r="F151" s="31" t="str">
        <f>_xlfn.LET(
    _xlpm.sumValue, SUMIFS(
        PNS_data[Value],
        PNS_data[Country], FR_data[[#This Row],[Country]],
        PNS_data[National Society name], selected,
        PNS_data[Attribute], "SP3",
        PNS_data[Year], "2026"
    ),
    IF(_xlpm.sumValue = 0, "", _xlpm.sumValue)
)</f>
        <v/>
      </c>
      <c r="G151" s="31" t="str">
        <f>_xlfn.LET(
    _xlpm.sumValue, SUMIFS(
        PNS_data[Value],
        PNS_data[Country], FR_data[[#This Row],[Country]],
        PNS_data[National Society name], selected,
        PNS_data[Attribute], "SP4",
        PNS_data[Year], "2026"
    ),
    IF(_xlpm.sumValue = 0, "", _xlpm.sumValue)
)</f>
        <v/>
      </c>
      <c r="H151" s="31" t="str">
        <f>_xlfn.LET(
    _xlpm.sumValue, SUMIFS(
        PNS_data[Value],
        PNS_data[Country], FR_data[[#This Row],[Country]],
        PNS_data[National Society name], selected,
        PNS_data[Attribute], "SP5",
        PNS_data[Year], "2026"
    ),
    IF(_xlpm.sumValue = 0, "", _xlpm.sumValue)
)</f>
        <v/>
      </c>
      <c r="I151" s="31" t="str">
        <f>_xlfn.LET(
    _xlpm.sumValue, SUMIFS(
        PNS_data[Value],
        PNS_data[Country], FR_data[[#This Row],[Country]],
        PNS_data[National Society name], selected,
        PNS_data[Attribute], "EFs",
        PNS_data[Year], "2026"
    ),
    IF(_xlpm.sumValue = 0, "", _xlpm.sumValue)
)</f>
        <v/>
      </c>
      <c r="J151" s="32" t="str">
        <f>IF(SUM(FR_data[[#This Row],[Response - Disasters and Crises]:[Enabling Functions]])=0,"",SUM(FR_data[[#This Row],[Response - Disasters and Crises]:[Enabling Functions]]))</f>
        <v/>
      </c>
      <c r="K151" s="39"/>
      <c r="L151" s="30" t="str">
        <f>_xlfn.LET(
    _xlpm.sumValue, SUMIFS(
        PNS_data[Value],
        PNS_data[Country], FR_data[[#This Row],[Country]],
        PNS_data[National Society name], selected,
        PNS_data[Attribute], "SP1",
        PNS_data[Year], "2027"
    ),
    IF(_xlpm.sumValue = 0, "", _xlpm.sumValue)
)</f>
        <v/>
      </c>
      <c r="M151" s="31" t="str">
        <f>_xlfn.LET(
    _xlpm.sumValue, SUMIFS(
        PNS_data[Value],
        PNS_data[Country], FR_data[[#This Row],[Country]],
        PNS_data[National Society name], selected,
        PNS_data[Attribute], "SP2",
        PNS_data[Year], "2027"
    ),
    IF(_xlpm.sumValue = 0, "", _xlpm.sumValue)
)</f>
        <v/>
      </c>
      <c r="N151" s="31" t="str">
        <f>_xlfn.LET(
    _xlpm.sumValue, SUMIFS(
        PNS_data[Value],
        PNS_data[Country], FR_data[[#This Row],[Country]],
        PNS_data[National Society name], selected,
        PNS_data[Attribute], "SP3",
        PNS_data[Year], "2027"
    ),
    IF(_xlpm.sumValue = 0, "", _xlpm.sumValue)
)</f>
        <v/>
      </c>
      <c r="O151" s="31" t="str">
        <f>_xlfn.LET(
    _xlpm.sumValue, SUMIFS(
        PNS_data[Value],
        PNS_data[Country], FR_data[[#This Row],[Country]],
        PNS_data[National Society name], selected,
        PNS_data[Attribute], "SP4",
        PNS_data[Year], "2027"
    ),
    IF(_xlpm.sumValue = 0, "", _xlpm.sumValue)
)</f>
        <v/>
      </c>
      <c r="P151" s="31" t="str">
        <f>_xlfn.LET(
    _xlpm.sumValue, SUMIFS(
        PNS_data[Value],
        PNS_data[Country], FR_data[[#This Row],[Country]],
        PNS_data[National Society name], selected,
        PNS_data[Attribute], "SP5",
        PNS_data[Year], "2027"
    ),
    IF(_xlpm.sumValue = 0, "", _xlpm.sumValue)
)</f>
        <v/>
      </c>
      <c r="Q151" s="31" t="str">
        <f>_xlfn.LET(
    _xlpm.sumValue, SUMIFS(
        PNS_data[Value],
        PNS_data[Country], FR_data[[#This Row],[Country]],
        PNS_data[National Society name], selected,
        PNS_data[Attribute], "EFs",
        PNS_data[Year], "2027"
    ),
    IF(_xlpm.sumValue = 0, "", _xlpm.sumValue)
)</f>
        <v/>
      </c>
      <c r="R151" s="32" t="str">
        <f>IF(SUM(FR_data[[#This Row],[Response - Disasters and Crises ]:[Enabling Functions ]])=0,"",SUM(FR_data[[#This Row],[Response - Disasters and Crises ]:[Enabling Functions ]]))</f>
        <v/>
      </c>
      <c r="S151" s="39"/>
      <c r="T151" s="30" t="str">
        <f>_xlfn.LET(
    _xlpm.sumValue, SUMIFS(
        PNS_data[Value],
        PNS_data[Country], FR_data[[#This Row],[Country]],
        PNS_data[National Society name], selected,
        PNS_data[Attribute], "SP1",
        PNS_data[Year], "2028"
    ),
    IF(_xlpm.sumValue = 0, "", _xlpm.sumValue)
)</f>
        <v/>
      </c>
      <c r="U151" s="31" t="str">
        <f>_xlfn.LET(
    _xlpm.sumValue, SUMIFS(
        PNS_data[Value],
        PNS_data[Country], FR_data[[#This Row],[Country]],
        PNS_data[National Society name], selected,
        PNS_data[Attribute], "SP2",
        PNS_data[Year], "2028"
    ),
    IF(_xlpm.sumValue = 0, "", _xlpm.sumValue)
)</f>
        <v/>
      </c>
      <c r="V151" s="31" t="str">
        <f>_xlfn.LET(
    _xlpm.sumValue, SUMIFS(
        PNS_data[Value],
        PNS_data[Country], FR_data[[#This Row],[Country]],
        PNS_data[National Society name], selected,
        PNS_data[Attribute], "SP3",
        PNS_data[Year], "2028"
    ),
    IF(_xlpm.sumValue = 0, "", _xlpm.sumValue)
)</f>
        <v/>
      </c>
      <c r="W151" s="31" t="str">
        <f>_xlfn.LET(
    _xlpm.sumValue, SUMIFS(
        PNS_data[Value],
        PNS_data[Country], FR_data[[#This Row],[Country]],
        PNS_data[National Society name], selected,
        PNS_data[Attribute], "SP4",
        PNS_data[Year], "2028"
    ),
    IF(_xlpm.sumValue = 0, "", _xlpm.sumValue)
)</f>
        <v/>
      </c>
      <c r="X151" s="31" t="str">
        <f>_xlfn.LET(
    _xlpm.sumValue, SUMIFS(
        PNS_data[Value],
        PNS_data[Country], FR_data[[#This Row],[Country]],
        PNS_data[National Society name], selected,
        PNS_data[Attribute], "SP5",
        PNS_data[Year], "2028"
    ),
    IF(_xlpm.sumValue = 0, "", _xlpm.sumValue)
)</f>
        <v/>
      </c>
      <c r="Y151" s="31" t="str">
        <f>_xlfn.LET(
    _xlpm.sumValue, SUMIFS(
        PNS_data[Value],
        PNS_data[Country], FR_data[[#This Row],[Country]],
        PNS_data[National Society name], selected,
        PNS_data[Attribute], "EFs",
        PNS_data[Year], "2028"
    ),
    IF(_xlpm.sumValue = 0, "", _xlpm.sumValue)
)</f>
        <v/>
      </c>
      <c r="Z151" s="32" t="str">
        <f>IF(SUM(FR_data[[#This Row],[Response - Disasters and Crises  ]:[Enabling Functions  ]])=0,"",SUM(FR_data[[#This Row],[Response - Disasters and Crises  ]:[Enabling Functions  ]]))</f>
        <v/>
      </c>
      <c r="AA151" s="41"/>
    </row>
    <row r="152" spans="1:27" x14ac:dyDescent="0.3">
      <c r="A152" s="11" t="s">
        <v>225</v>
      </c>
      <c r="B152" s="11" t="s">
        <v>100</v>
      </c>
      <c r="C152" s="11" t="s">
        <v>226</v>
      </c>
      <c r="D152" s="30" t="str">
        <f>_xlfn.LET(
    _xlpm.sumValue, SUMIFS(
        PNS_data[Value],
        PNS_data[Country], FR_data[[#This Row],[Country]],
        PNS_data[National Society name], selected,
        PNS_data[Attribute], "SP1",
        PNS_data[Year], "2026"
    ),
    IF(_xlpm.sumValue = 0, "", _xlpm.sumValue)
)</f>
        <v/>
      </c>
      <c r="E152" s="31" t="str">
        <f>_xlfn.LET(
    _xlpm.sumValue, SUMIFS(
        PNS_data[Value],
        PNS_data[Country], FR_data[[#This Row],[Country]],
        PNS_data[National Society name], selected,
        PNS_data[Attribute], "SP2",
        PNS_data[Year], "2026"
    ),
    IF(_xlpm.sumValue = 0, "", _xlpm.sumValue)
)</f>
        <v/>
      </c>
      <c r="F152" s="31" t="str">
        <f>_xlfn.LET(
    _xlpm.sumValue, SUMIFS(
        PNS_data[Value],
        PNS_data[Country], FR_data[[#This Row],[Country]],
        PNS_data[National Society name], selected,
        PNS_data[Attribute], "SP3",
        PNS_data[Year], "2026"
    ),
    IF(_xlpm.sumValue = 0, "", _xlpm.sumValue)
)</f>
        <v/>
      </c>
      <c r="G152" s="31" t="str">
        <f>_xlfn.LET(
    _xlpm.sumValue, SUMIFS(
        PNS_data[Value],
        PNS_data[Country], FR_data[[#This Row],[Country]],
        PNS_data[National Society name], selected,
        PNS_data[Attribute], "SP4",
        PNS_data[Year], "2026"
    ),
    IF(_xlpm.sumValue = 0, "", _xlpm.sumValue)
)</f>
        <v/>
      </c>
      <c r="H152" s="31" t="str">
        <f>_xlfn.LET(
    _xlpm.sumValue, SUMIFS(
        PNS_data[Value],
        PNS_data[Country], FR_data[[#This Row],[Country]],
        PNS_data[National Society name], selected,
        PNS_data[Attribute], "SP5",
        PNS_data[Year], "2026"
    ),
    IF(_xlpm.sumValue = 0, "", _xlpm.sumValue)
)</f>
        <v/>
      </c>
      <c r="I152" s="31" t="str">
        <f>_xlfn.LET(
    _xlpm.sumValue, SUMIFS(
        PNS_data[Value],
        PNS_data[Country], FR_data[[#This Row],[Country]],
        PNS_data[National Society name], selected,
        PNS_data[Attribute], "EFs",
        PNS_data[Year], "2026"
    ),
    IF(_xlpm.sumValue = 0, "", _xlpm.sumValue)
)</f>
        <v/>
      </c>
      <c r="J152" s="32" t="str">
        <f>IF(SUM(FR_data[[#This Row],[Response - Disasters and Crises]:[Enabling Functions]])=0,"",SUM(FR_data[[#This Row],[Response - Disasters and Crises]:[Enabling Functions]]))</f>
        <v/>
      </c>
      <c r="K152" s="39"/>
      <c r="L152" s="30" t="str">
        <f>_xlfn.LET(
    _xlpm.sumValue, SUMIFS(
        PNS_data[Value],
        PNS_data[Country], FR_data[[#This Row],[Country]],
        PNS_data[National Society name], selected,
        PNS_data[Attribute], "SP1",
        PNS_data[Year], "2027"
    ),
    IF(_xlpm.sumValue = 0, "", _xlpm.sumValue)
)</f>
        <v/>
      </c>
      <c r="M152" s="31" t="str">
        <f>_xlfn.LET(
    _xlpm.sumValue, SUMIFS(
        PNS_data[Value],
        PNS_data[Country], FR_data[[#This Row],[Country]],
        PNS_data[National Society name], selected,
        PNS_data[Attribute], "SP2",
        PNS_data[Year], "2027"
    ),
    IF(_xlpm.sumValue = 0, "", _xlpm.sumValue)
)</f>
        <v/>
      </c>
      <c r="N152" s="31" t="str">
        <f>_xlfn.LET(
    _xlpm.sumValue, SUMIFS(
        PNS_data[Value],
        PNS_data[Country], FR_data[[#This Row],[Country]],
        PNS_data[National Society name], selected,
        PNS_data[Attribute], "SP3",
        PNS_data[Year], "2027"
    ),
    IF(_xlpm.sumValue = 0, "", _xlpm.sumValue)
)</f>
        <v/>
      </c>
      <c r="O152" s="31" t="str">
        <f>_xlfn.LET(
    _xlpm.sumValue, SUMIFS(
        PNS_data[Value],
        PNS_data[Country], FR_data[[#This Row],[Country]],
        PNS_data[National Society name], selected,
        PNS_data[Attribute], "SP4",
        PNS_data[Year], "2027"
    ),
    IF(_xlpm.sumValue = 0, "", _xlpm.sumValue)
)</f>
        <v/>
      </c>
      <c r="P152" s="31" t="str">
        <f>_xlfn.LET(
    _xlpm.sumValue, SUMIFS(
        PNS_data[Value],
        PNS_data[Country], FR_data[[#This Row],[Country]],
        PNS_data[National Society name], selected,
        PNS_data[Attribute], "SP5",
        PNS_data[Year], "2027"
    ),
    IF(_xlpm.sumValue = 0, "", _xlpm.sumValue)
)</f>
        <v/>
      </c>
      <c r="Q152" s="31" t="str">
        <f>_xlfn.LET(
    _xlpm.sumValue, SUMIFS(
        PNS_data[Value],
        PNS_data[Country], FR_data[[#This Row],[Country]],
        PNS_data[National Society name], selected,
        PNS_data[Attribute], "EFs",
        PNS_data[Year], "2027"
    ),
    IF(_xlpm.sumValue = 0, "", _xlpm.sumValue)
)</f>
        <v/>
      </c>
      <c r="R152" s="32" t="str">
        <f>IF(SUM(FR_data[[#This Row],[Response - Disasters and Crises ]:[Enabling Functions ]])=0,"",SUM(FR_data[[#This Row],[Response - Disasters and Crises ]:[Enabling Functions ]]))</f>
        <v/>
      </c>
      <c r="S152" s="39"/>
      <c r="T152" s="30" t="str">
        <f>_xlfn.LET(
    _xlpm.sumValue, SUMIFS(
        PNS_data[Value],
        PNS_data[Country], FR_data[[#This Row],[Country]],
        PNS_data[National Society name], selected,
        PNS_data[Attribute], "SP1",
        PNS_data[Year], "2028"
    ),
    IF(_xlpm.sumValue = 0, "", _xlpm.sumValue)
)</f>
        <v/>
      </c>
      <c r="U152" s="31" t="str">
        <f>_xlfn.LET(
    _xlpm.sumValue, SUMIFS(
        PNS_data[Value],
        PNS_data[Country], FR_data[[#This Row],[Country]],
        PNS_data[National Society name], selected,
        PNS_data[Attribute], "SP2",
        PNS_data[Year], "2028"
    ),
    IF(_xlpm.sumValue = 0, "", _xlpm.sumValue)
)</f>
        <v/>
      </c>
      <c r="V152" s="31" t="str">
        <f>_xlfn.LET(
    _xlpm.sumValue, SUMIFS(
        PNS_data[Value],
        PNS_data[Country], FR_data[[#This Row],[Country]],
        PNS_data[National Society name], selected,
        PNS_data[Attribute], "SP3",
        PNS_data[Year], "2028"
    ),
    IF(_xlpm.sumValue = 0, "", _xlpm.sumValue)
)</f>
        <v/>
      </c>
      <c r="W152" s="31" t="str">
        <f>_xlfn.LET(
    _xlpm.sumValue, SUMIFS(
        PNS_data[Value],
        PNS_data[Country], FR_data[[#This Row],[Country]],
        PNS_data[National Society name], selected,
        PNS_data[Attribute], "SP4",
        PNS_data[Year], "2028"
    ),
    IF(_xlpm.sumValue = 0, "", _xlpm.sumValue)
)</f>
        <v/>
      </c>
      <c r="X152" s="31" t="str">
        <f>_xlfn.LET(
    _xlpm.sumValue, SUMIFS(
        PNS_data[Value],
        PNS_data[Country], FR_data[[#This Row],[Country]],
        PNS_data[National Society name], selected,
        PNS_data[Attribute], "SP5",
        PNS_data[Year], "2028"
    ),
    IF(_xlpm.sumValue = 0, "", _xlpm.sumValue)
)</f>
        <v/>
      </c>
      <c r="Y152" s="31" t="str">
        <f>_xlfn.LET(
    _xlpm.sumValue, SUMIFS(
        PNS_data[Value],
        PNS_data[Country], FR_data[[#This Row],[Country]],
        PNS_data[National Society name], selected,
        PNS_data[Attribute], "EFs",
        PNS_data[Year], "2028"
    ),
    IF(_xlpm.sumValue = 0, "", _xlpm.sumValue)
)</f>
        <v/>
      </c>
      <c r="Z152" s="32" t="str">
        <f>IF(SUM(FR_data[[#This Row],[Response - Disasters and Crises  ]:[Enabling Functions  ]])=0,"",SUM(FR_data[[#This Row],[Response - Disasters and Crises  ]:[Enabling Functions  ]]))</f>
        <v/>
      </c>
      <c r="AA152" s="41"/>
    </row>
    <row r="153" spans="1:27" x14ac:dyDescent="0.3">
      <c r="A153" s="11" t="s">
        <v>415</v>
      </c>
      <c r="B153" s="11" t="s">
        <v>100</v>
      </c>
      <c r="C153" s="11" t="s">
        <v>416</v>
      </c>
      <c r="D153" s="30" t="str">
        <f>_xlfn.LET(
    _xlpm.sumValue, SUMIFS(
        PNS_data[Value],
        PNS_data[Country], FR_data[[#This Row],[Country]],
        PNS_data[National Society name], selected,
        PNS_data[Attribute], "SP1",
        PNS_data[Year], "2026"
    ),
    IF(_xlpm.sumValue = 0, "", _xlpm.sumValue)
)</f>
        <v/>
      </c>
      <c r="E153" s="31" t="str">
        <f>_xlfn.LET(
    _xlpm.sumValue, SUMIFS(
        PNS_data[Value],
        PNS_data[Country], FR_data[[#This Row],[Country]],
        PNS_data[National Society name], selected,
        PNS_data[Attribute], "SP2",
        PNS_data[Year], "2026"
    ),
    IF(_xlpm.sumValue = 0, "", _xlpm.sumValue)
)</f>
        <v/>
      </c>
      <c r="F153" s="31" t="str">
        <f>_xlfn.LET(
    _xlpm.sumValue, SUMIFS(
        PNS_data[Value],
        PNS_data[Country], FR_data[[#This Row],[Country]],
        PNS_data[National Society name], selected,
        PNS_data[Attribute], "SP3",
        PNS_data[Year], "2026"
    ),
    IF(_xlpm.sumValue = 0, "", _xlpm.sumValue)
)</f>
        <v/>
      </c>
      <c r="G153" s="31" t="str">
        <f>_xlfn.LET(
    _xlpm.sumValue, SUMIFS(
        PNS_data[Value],
        PNS_data[Country], FR_data[[#This Row],[Country]],
        PNS_data[National Society name], selected,
        PNS_data[Attribute], "SP4",
        PNS_data[Year], "2026"
    ),
    IF(_xlpm.sumValue = 0, "", _xlpm.sumValue)
)</f>
        <v/>
      </c>
      <c r="H153" s="31" t="str">
        <f>_xlfn.LET(
    _xlpm.sumValue, SUMIFS(
        PNS_data[Value],
        PNS_data[Country], FR_data[[#This Row],[Country]],
        PNS_data[National Society name], selected,
        PNS_data[Attribute], "SP5",
        PNS_data[Year], "2026"
    ),
    IF(_xlpm.sumValue = 0, "", _xlpm.sumValue)
)</f>
        <v/>
      </c>
      <c r="I153" s="31" t="str">
        <f>_xlfn.LET(
    _xlpm.sumValue, SUMIFS(
        PNS_data[Value],
        PNS_data[Country], FR_data[[#This Row],[Country]],
        PNS_data[National Society name], selected,
        PNS_data[Attribute], "EFs",
        PNS_data[Year], "2026"
    ),
    IF(_xlpm.sumValue = 0, "", _xlpm.sumValue)
)</f>
        <v/>
      </c>
      <c r="J153" s="32" t="str">
        <f>IF(SUM(FR_data[[#This Row],[Response - Disasters and Crises]:[Enabling Functions]])=0,"",SUM(FR_data[[#This Row],[Response - Disasters and Crises]:[Enabling Functions]]))</f>
        <v/>
      </c>
      <c r="K153" s="39"/>
      <c r="L153" s="30" t="str">
        <f>_xlfn.LET(
    _xlpm.sumValue, SUMIFS(
        PNS_data[Value],
        PNS_data[Country], FR_data[[#This Row],[Country]],
        PNS_data[National Society name], selected,
        PNS_data[Attribute], "SP1",
        PNS_data[Year], "2027"
    ),
    IF(_xlpm.sumValue = 0, "", _xlpm.sumValue)
)</f>
        <v/>
      </c>
      <c r="M153" s="31" t="str">
        <f>_xlfn.LET(
    _xlpm.sumValue, SUMIFS(
        PNS_data[Value],
        PNS_data[Country], FR_data[[#This Row],[Country]],
        PNS_data[National Society name], selected,
        PNS_data[Attribute], "SP2",
        PNS_data[Year], "2027"
    ),
    IF(_xlpm.sumValue = 0, "", _xlpm.sumValue)
)</f>
        <v/>
      </c>
      <c r="N153" s="31" t="str">
        <f>_xlfn.LET(
    _xlpm.sumValue, SUMIFS(
        PNS_data[Value],
        PNS_data[Country], FR_data[[#This Row],[Country]],
        PNS_data[National Society name], selected,
        PNS_data[Attribute], "SP3",
        PNS_data[Year], "2027"
    ),
    IF(_xlpm.sumValue = 0, "", _xlpm.sumValue)
)</f>
        <v/>
      </c>
      <c r="O153" s="31" t="str">
        <f>_xlfn.LET(
    _xlpm.sumValue, SUMIFS(
        PNS_data[Value],
        PNS_data[Country], FR_data[[#This Row],[Country]],
        PNS_data[National Society name], selected,
        PNS_data[Attribute], "SP4",
        PNS_data[Year], "2027"
    ),
    IF(_xlpm.sumValue = 0, "", _xlpm.sumValue)
)</f>
        <v/>
      </c>
      <c r="P153" s="31" t="str">
        <f>_xlfn.LET(
    _xlpm.sumValue, SUMIFS(
        PNS_data[Value],
        PNS_data[Country], FR_data[[#This Row],[Country]],
        PNS_data[National Society name], selected,
        PNS_data[Attribute], "SP5",
        PNS_data[Year], "2027"
    ),
    IF(_xlpm.sumValue = 0, "", _xlpm.sumValue)
)</f>
        <v/>
      </c>
      <c r="Q153" s="31" t="str">
        <f>_xlfn.LET(
    _xlpm.sumValue, SUMIFS(
        PNS_data[Value],
        PNS_data[Country], FR_data[[#This Row],[Country]],
        PNS_data[National Society name], selected,
        PNS_data[Attribute], "EFs",
        PNS_data[Year], "2027"
    ),
    IF(_xlpm.sumValue = 0, "", _xlpm.sumValue)
)</f>
        <v/>
      </c>
      <c r="R153" s="32" t="str">
        <f>IF(SUM(FR_data[[#This Row],[Response - Disasters and Crises ]:[Enabling Functions ]])=0,"",SUM(FR_data[[#This Row],[Response - Disasters and Crises ]:[Enabling Functions ]]))</f>
        <v/>
      </c>
      <c r="S153" s="39"/>
      <c r="T153" s="30" t="str">
        <f>_xlfn.LET(
    _xlpm.sumValue, SUMIFS(
        PNS_data[Value],
        PNS_data[Country], FR_data[[#This Row],[Country]],
        PNS_data[National Society name], selected,
        PNS_data[Attribute], "SP1",
        PNS_data[Year], "2028"
    ),
    IF(_xlpm.sumValue = 0, "", _xlpm.sumValue)
)</f>
        <v/>
      </c>
      <c r="U153" s="31" t="str">
        <f>_xlfn.LET(
    _xlpm.sumValue, SUMIFS(
        PNS_data[Value],
        PNS_data[Country], FR_data[[#This Row],[Country]],
        PNS_data[National Society name], selected,
        PNS_data[Attribute], "SP2",
        PNS_data[Year], "2028"
    ),
    IF(_xlpm.sumValue = 0, "", _xlpm.sumValue)
)</f>
        <v/>
      </c>
      <c r="V153" s="31" t="str">
        <f>_xlfn.LET(
    _xlpm.sumValue, SUMIFS(
        PNS_data[Value],
        PNS_data[Country], FR_data[[#This Row],[Country]],
        PNS_data[National Society name], selected,
        PNS_data[Attribute], "SP3",
        PNS_data[Year], "2028"
    ),
    IF(_xlpm.sumValue = 0, "", _xlpm.sumValue)
)</f>
        <v/>
      </c>
      <c r="W153" s="31" t="str">
        <f>_xlfn.LET(
    _xlpm.sumValue, SUMIFS(
        PNS_data[Value],
        PNS_data[Country], FR_data[[#This Row],[Country]],
        PNS_data[National Society name], selected,
        PNS_data[Attribute], "SP4",
        PNS_data[Year], "2028"
    ),
    IF(_xlpm.sumValue = 0, "", _xlpm.sumValue)
)</f>
        <v/>
      </c>
      <c r="X153" s="31" t="str">
        <f>_xlfn.LET(
    _xlpm.sumValue, SUMIFS(
        PNS_data[Value],
        PNS_data[Country], FR_data[[#This Row],[Country]],
        PNS_data[National Society name], selected,
        PNS_data[Attribute], "SP5",
        PNS_data[Year], "2028"
    ),
    IF(_xlpm.sumValue = 0, "", _xlpm.sumValue)
)</f>
        <v/>
      </c>
      <c r="Y153" s="31" t="str">
        <f>_xlfn.LET(
    _xlpm.sumValue, SUMIFS(
        PNS_data[Value],
        PNS_data[Country], FR_data[[#This Row],[Country]],
        PNS_data[National Society name], selected,
        PNS_data[Attribute], "EFs",
        PNS_data[Year], "2028"
    ),
    IF(_xlpm.sumValue = 0, "", _xlpm.sumValue)
)</f>
        <v/>
      </c>
      <c r="Z153" s="32" t="str">
        <f>IF(SUM(FR_data[[#This Row],[Response - Disasters and Crises  ]:[Enabling Functions  ]])=0,"",SUM(FR_data[[#This Row],[Response - Disasters and Crises  ]:[Enabling Functions  ]]))</f>
        <v/>
      </c>
      <c r="AA153" s="41"/>
    </row>
    <row r="154" spans="1:27" x14ac:dyDescent="0.3">
      <c r="A154" s="11" t="s">
        <v>231</v>
      </c>
      <c r="B154" s="11" t="s">
        <v>100</v>
      </c>
      <c r="C154" s="11" t="s">
        <v>232</v>
      </c>
      <c r="D154" s="30" t="str">
        <f>_xlfn.LET(
    _xlpm.sumValue, SUMIFS(
        PNS_data[Value],
        PNS_data[Country], FR_data[[#This Row],[Country]],
        PNS_data[National Society name], selected,
        PNS_data[Attribute], "SP1",
        PNS_data[Year], "2026"
    ),
    IF(_xlpm.sumValue = 0, "", _xlpm.sumValue)
)</f>
        <v/>
      </c>
      <c r="E154" s="31" t="str">
        <f>_xlfn.LET(
    _xlpm.sumValue, SUMIFS(
        PNS_data[Value],
        PNS_data[Country], FR_data[[#This Row],[Country]],
        PNS_data[National Society name], selected,
        PNS_data[Attribute], "SP2",
        PNS_data[Year], "2026"
    ),
    IF(_xlpm.sumValue = 0, "", _xlpm.sumValue)
)</f>
        <v/>
      </c>
      <c r="F154" s="31" t="str">
        <f>_xlfn.LET(
    _xlpm.sumValue, SUMIFS(
        PNS_data[Value],
        PNS_data[Country], FR_data[[#This Row],[Country]],
        PNS_data[National Society name], selected,
        PNS_data[Attribute], "SP3",
        PNS_data[Year], "2026"
    ),
    IF(_xlpm.sumValue = 0, "", _xlpm.sumValue)
)</f>
        <v/>
      </c>
      <c r="G154" s="31" t="str">
        <f>_xlfn.LET(
    _xlpm.sumValue, SUMIFS(
        PNS_data[Value],
        PNS_data[Country], FR_data[[#This Row],[Country]],
        PNS_data[National Society name], selected,
        PNS_data[Attribute], "SP4",
        PNS_data[Year], "2026"
    ),
    IF(_xlpm.sumValue = 0, "", _xlpm.sumValue)
)</f>
        <v/>
      </c>
      <c r="H154" s="31" t="str">
        <f>_xlfn.LET(
    _xlpm.sumValue, SUMIFS(
        PNS_data[Value],
        PNS_data[Country], FR_data[[#This Row],[Country]],
        PNS_data[National Society name], selected,
        PNS_data[Attribute], "SP5",
        PNS_data[Year], "2026"
    ),
    IF(_xlpm.sumValue = 0, "", _xlpm.sumValue)
)</f>
        <v/>
      </c>
      <c r="I154" s="31" t="str">
        <f>_xlfn.LET(
    _xlpm.sumValue, SUMIFS(
        PNS_data[Value],
        PNS_data[Country], FR_data[[#This Row],[Country]],
        PNS_data[National Society name], selected,
        PNS_data[Attribute], "EFs",
        PNS_data[Year], "2026"
    ),
    IF(_xlpm.sumValue = 0, "", _xlpm.sumValue)
)</f>
        <v/>
      </c>
      <c r="J154" s="32" t="str">
        <f>IF(SUM(FR_data[[#This Row],[Response - Disasters and Crises]:[Enabling Functions]])=0,"",SUM(FR_data[[#This Row],[Response - Disasters and Crises]:[Enabling Functions]]))</f>
        <v/>
      </c>
      <c r="K154" s="39"/>
      <c r="L154" s="30" t="str">
        <f>_xlfn.LET(
    _xlpm.sumValue, SUMIFS(
        PNS_data[Value],
        PNS_data[Country], FR_data[[#This Row],[Country]],
        PNS_data[National Society name], selected,
        PNS_data[Attribute], "SP1",
        PNS_data[Year], "2027"
    ),
    IF(_xlpm.sumValue = 0, "", _xlpm.sumValue)
)</f>
        <v/>
      </c>
      <c r="M154" s="31" t="str">
        <f>_xlfn.LET(
    _xlpm.sumValue, SUMIFS(
        PNS_data[Value],
        PNS_data[Country], FR_data[[#This Row],[Country]],
        PNS_data[National Society name], selected,
        PNS_data[Attribute], "SP2",
        PNS_data[Year], "2027"
    ),
    IF(_xlpm.sumValue = 0, "", _xlpm.sumValue)
)</f>
        <v/>
      </c>
      <c r="N154" s="31" t="str">
        <f>_xlfn.LET(
    _xlpm.sumValue, SUMIFS(
        PNS_data[Value],
        PNS_data[Country], FR_data[[#This Row],[Country]],
        PNS_data[National Society name], selected,
        PNS_data[Attribute], "SP3",
        PNS_data[Year], "2027"
    ),
    IF(_xlpm.sumValue = 0, "", _xlpm.sumValue)
)</f>
        <v/>
      </c>
      <c r="O154" s="31" t="str">
        <f>_xlfn.LET(
    _xlpm.sumValue, SUMIFS(
        PNS_data[Value],
        PNS_data[Country], FR_data[[#This Row],[Country]],
        PNS_data[National Society name], selected,
        PNS_data[Attribute], "SP4",
        PNS_data[Year], "2027"
    ),
    IF(_xlpm.sumValue = 0, "", _xlpm.sumValue)
)</f>
        <v/>
      </c>
      <c r="P154" s="31" t="str">
        <f>_xlfn.LET(
    _xlpm.sumValue, SUMIFS(
        PNS_data[Value],
        PNS_data[Country], FR_data[[#This Row],[Country]],
        PNS_data[National Society name], selected,
        PNS_data[Attribute], "SP5",
        PNS_data[Year], "2027"
    ),
    IF(_xlpm.sumValue = 0, "", _xlpm.sumValue)
)</f>
        <v/>
      </c>
      <c r="Q154" s="31" t="str">
        <f>_xlfn.LET(
    _xlpm.sumValue, SUMIFS(
        PNS_data[Value],
        PNS_data[Country], FR_data[[#This Row],[Country]],
        PNS_data[National Society name], selected,
        PNS_data[Attribute], "EFs",
        PNS_data[Year], "2027"
    ),
    IF(_xlpm.sumValue = 0, "", _xlpm.sumValue)
)</f>
        <v/>
      </c>
      <c r="R154" s="32" t="str">
        <f>IF(SUM(FR_data[[#This Row],[Response - Disasters and Crises ]:[Enabling Functions ]])=0,"",SUM(FR_data[[#This Row],[Response - Disasters and Crises ]:[Enabling Functions ]]))</f>
        <v/>
      </c>
      <c r="S154" s="39"/>
      <c r="T154" s="30" t="str">
        <f>_xlfn.LET(
    _xlpm.sumValue, SUMIFS(
        PNS_data[Value],
        PNS_data[Country], FR_data[[#This Row],[Country]],
        PNS_data[National Society name], selected,
        PNS_data[Attribute], "SP1",
        PNS_data[Year], "2028"
    ),
    IF(_xlpm.sumValue = 0, "", _xlpm.sumValue)
)</f>
        <v/>
      </c>
      <c r="U154" s="31" t="str">
        <f>_xlfn.LET(
    _xlpm.sumValue, SUMIFS(
        PNS_data[Value],
        PNS_data[Country], FR_data[[#This Row],[Country]],
        PNS_data[National Society name], selected,
        PNS_data[Attribute], "SP2",
        PNS_data[Year], "2028"
    ),
    IF(_xlpm.sumValue = 0, "", _xlpm.sumValue)
)</f>
        <v/>
      </c>
      <c r="V154" s="31" t="str">
        <f>_xlfn.LET(
    _xlpm.sumValue, SUMIFS(
        PNS_data[Value],
        PNS_data[Country], FR_data[[#This Row],[Country]],
        PNS_data[National Society name], selected,
        PNS_data[Attribute], "SP3",
        PNS_data[Year], "2028"
    ),
    IF(_xlpm.sumValue = 0, "", _xlpm.sumValue)
)</f>
        <v/>
      </c>
      <c r="W154" s="31" t="str">
        <f>_xlfn.LET(
    _xlpm.sumValue, SUMIFS(
        PNS_data[Value],
        PNS_data[Country], FR_data[[#This Row],[Country]],
        PNS_data[National Society name], selected,
        PNS_data[Attribute], "SP4",
        PNS_data[Year], "2028"
    ),
    IF(_xlpm.sumValue = 0, "", _xlpm.sumValue)
)</f>
        <v/>
      </c>
      <c r="X154" s="31" t="str">
        <f>_xlfn.LET(
    _xlpm.sumValue, SUMIFS(
        PNS_data[Value],
        PNS_data[Country], FR_data[[#This Row],[Country]],
        PNS_data[National Society name], selected,
        PNS_data[Attribute], "SP5",
        PNS_data[Year], "2028"
    ),
    IF(_xlpm.sumValue = 0, "", _xlpm.sumValue)
)</f>
        <v/>
      </c>
      <c r="Y154" s="31" t="str">
        <f>_xlfn.LET(
    _xlpm.sumValue, SUMIFS(
        PNS_data[Value],
        PNS_data[Country], FR_data[[#This Row],[Country]],
        PNS_data[National Society name], selected,
        PNS_data[Attribute], "EFs",
        PNS_data[Year], "2028"
    ),
    IF(_xlpm.sumValue = 0, "", _xlpm.sumValue)
)</f>
        <v/>
      </c>
      <c r="Z154" s="32" t="str">
        <f>IF(SUM(FR_data[[#This Row],[Response - Disasters and Crises  ]:[Enabling Functions  ]])=0,"",SUM(FR_data[[#This Row],[Response - Disasters and Crises  ]:[Enabling Functions  ]]))</f>
        <v/>
      </c>
      <c r="AA154" s="41"/>
    </row>
    <row r="155" spans="1:27" x14ac:dyDescent="0.3">
      <c r="A155" s="11" t="s">
        <v>233</v>
      </c>
      <c r="B155" s="11" t="s">
        <v>100</v>
      </c>
      <c r="C155" s="11" t="s">
        <v>234</v>
      </c>
      <c r="D155" s="30" t="str">
        <f>_xlfn.LET(
    _xlpm.sumValue, SUMIFS(
        PNS_data[Value],
        PNS_data[Country], FR_data[[#This Row],[Country]],
        PNS_data[National Society name], selected,
        PNS_data[Attribute], "SP1",
        PNS_data[Year], "2026"
    ),
    IF(_xlpm.sumValue = 0, "", _xlpm.sumValue)
)</f>
        <v/>
      </c>
      <c r="E155" s="31" t="str">
        <f>_xlfn.LET(
    _xlpm.sumValue, SUMIFS(
        PNS_data[Value],
        PNS_data[Country], FR_data[[#This Row],[Country]],
        PNS_data[National Society name], selected,
        PNS_data[Attribute], "SP2",
        PNS_data[Year], "2026"
    ),
    IF(_xlpm.sumValue = 0, "", _xlpm.sumValue)
)</f>
        <v/>
      </c>
      <c r="F155" s="31" t="str">
        <f>_xlfn.LET(
    _xlpm.sumValue, SUMIFS(
        PNS_data[Value],
        PNS_data[Country], FR_data[[#This Row],[Country]],
        PNS_data[National Society name], selected,
        PNS_data[Attribute], "SP3",
        PNS_data[Year], "2026"
    ),
    IF(_xlpm.sumValue = 0, "", _xlpm.sumValue)
)</f>
        <v/>
      </c>
      <c r="G155" s="31" t="str">
        <f>_xlfn.LET(
    _xlpm.sumValue, SUMIFS(
        PNS_data[Value],
        PNS_data[Country], FR_data[[#This Row],[Country]],
        PNS_data[National Society name], selected,
        PNS_data[Attribute], "SP4",
        PNS_data[Year], "2026"
    ),
    IF(_xlpm.sumValue = 0, "", _xlpm.sumValue)
)</f>
        <v/>
      </c>
      <c r="H155" s="31" t="str">
        <f>_xlfn.LET(
    _xlpm.sumValue, SUMIFS(
        PNS_data[Value],
        PNS_data[Country], FR_data[[#This Row],[Country]],
        PNS_data[National Society name], selected,
        PNS_data[Attribute], "SP5",
        PNS_data[Year], "2026"
    ),
    IF(_xlpm.sumValue = 0, "", _xlpm.sumValue)
)</f>
        <v/>
      </c>
      <c r="I155" s="31" t="str">
        <f>_xlfn.LET(
    _xlpm.sumValue, SUMIFS(
        PNS_data[Value],
        PNS_data[Country], FR_data[[#This Row],[Country]],
        PNS_data[National Society name], selected,
        PNS_data[Attribute], "EFs",
        PNS_data[Year], "2026"
    ),
    IF(_xlpm.sumValue = 0, "", _xlpm.sumValue)
)</f>
        <v/>
      </c>
      <c r="J155" s="32" t="str">
        <f>IF(SUM(FR_data[[#This Row],[Response - Disasters and Crises]:[Enabling Functions]])=0,"",SUM(FR_data[[#This Row],[Response - Disasters and Crises]:[Enabling Functions]]))</f>
        <v/>
      </c>
      <c r="K155" s="39"/>
      <c r="L155" s="30" t="str">
        <f>_xlfn.LET(
    _xlpm.sumValue, SUMIFS(
        PNS_data[Value],
        PNS_data[Country], FR_data[[#This Row],[Country]],
        PNS_data[National Society name], selected,
        PNS_data[Attribute], "SP1",
        PNS_data[Year], "2027"
    ),
    IF(_xlpm.sumValue = 0, "", _xlpm.sumValue)
)</f>
        <v/>
      </c>
      <c r="M155" s="31" t="str">
        <f>_xlfn.LET(
    _xlpm.sumValue, SUMIFS(
        PNS_data[Value],
        PNS_data[Country], FR_data[[#This Row],[Country]],
        PNS_data[National Society name], selected,
        PNS_data[Attribute], "SP2",
        PNS_data[Year], "2027"
    ),
    IF(_xlpm.sumValue = 0, "", _xlpm.sumValue)
)</f>
        <v/>
      </c>
      <c r="N155" s="31" t="str">
        <f>_xlfn.LET(
    _xlpm.sumValue, SUMIFS(
        PNS_data[Value],
        PNS_data[Country], FR_data[[#This Row],[Country]],
        PNS_data[National Society name], selected,
        PNS_data[Attribute], "SP3",
        PNS_data[Year], "2027"
    ),
    IF(_xlpm.sumValue = 0, "", _xlpm.sumValue)
)</f>
        <v/>
      </c>
      <c r="O155" s="31" t="str">
        <f>_xlfn.LET(
    _xlpm.sumValue, SUMIFS(
        PNS_data[Value],
        PNS_data[Country], FR_data[[#This Row],[Country]],
        PNS_data[National Society name], selected,
        PNS_data[Attribute], "SP4",
        PNS_data[Year], "2027"
    ),
    IF(_xlpm.sumValue = 0, "", _xlpm.sumValue)
)</f>
        <v/>
      </c>
      <c r="P155" s="31" t="str">
        <f>_xlfn.LET(
    _xlpm.sumValue, SUMIFS(
        PNS_data[Value],
        PNS_data[Country], FR_data[[#This Row],[Country]],
        PNS_data[National Society name], selected,
        PNS_data[Attribute], "SP5",
        PNS_data[Year], "2027"
    ),
    IF(_xlpm.sumValue = 0, "", _xlpm.sumValue)
)</f>
        <v/>
      </c>
      <c r="Q155" s="31" t="str">
        <f>_xlfn.LET(
    _xlpm.sumValue, SUMIFS(
        PNS_data[Value],
        PNS_data[Country], FR_data[[#This Row],[Country]],
        PNS_data[National Society name], selected,
        PNS_data[Attribute], "EFs",
        PNS_data[Year], "2027"
    ),
    IF(_xlpm.sumValue = 0, "", _xlpm.sumValue)
)</f>
        <v/>
      </c>
      <c r="R155" s="32" t="str">
        <f>IF(SUM(FR_data[[#This Row],[Response - Disasters and Crises ]:[Enabling Functions ]])=0,"",SUM(FR_data[[#This Row],[Response - Disasters and Crises ]:[Enabling Functions ]]))</f>
        <v/>
      </c>
      <c r="S155" s="39"/>
      <c r="T155" s="30" t="str">
        <f>_xlfn.LET(
    _xlpm.sumValue, SUMIFS(
        PNS_data[Value],
        PNS_data[Country], FR_data[[#This Row],[Country]],
        PNS_data[National Society name], selected,
        PNS_data[Attribute], "SP1",
        PNS_data[Year], "2028"
    ),
    IF(_xlpm.sumValue = 0, "", _xlpm.sumValue)
)</f>
        <v/>
      </c>
      <c r="U155" s="31" t="str">
        <f>_xlfn.LET(
    _xlpm.sumValue, SUMIFS(
        PNS_data[Value],
        PNS_data[Country], FR_data[[#This Row],[Country]],
        PNS_data[National Society name], selected,
        PNS_data[Attribute], "SP2",
        PNS_data[Year], "2028"
    ),
    IF(_xlpm.sumValue = 0, "", _xlpm.sumValue)
)</f>
        <v/>
      </c>
      <c r="V155" s="31" t="str">
        <f>_xlfn.LET(
    _xlpm.sumValue, SUMIFS(
        PNS_data[Value],
        PNS_data[Country], FR_data[[#This Row],[Country]],
        PNS_data[National Society name], selected,
        PNS_data[Attribute], "SP3",
        PNS_data[Year], "2028"
    ),
    IF(_xlpm.sumValue = 0, "", _xlpm.sumValue)
)</f>
        <v/>
      </c>
      <c r="W155" s="31" t="str">
        <f>_xlfn.LET(
    _xlpm.sumValue, SUMIFS(
        PNS_data[Value],
        PNS_data[Country], FR_data[[#This Row],[Country]],
        PNS_data[National Society name], selected,
        PNS_data[Attribute], "SP4",
        PNS_data[Year], "2028"
    ),
    IF(_xlpm.sumValue = 0, "", _xlpm.sumValue)
)</f>
        <v/>
      </c>
      <c r="X155" s="31" t="str">
        <f>_xlfn.LET(
    _xlpm.sumValue, SUMIFS(
        PNS_data[Value],
        PNS_data[Country], FR_data[[#This Row],[Country]],
        PNS_data[National Society name], selected,
        PNS_data[Attribute], "SP5",
        PNS_data[Year], "2028"
    ),
    IF(_xlpm.sumValue = 0, "", _xlpm.sumValue)
)</f>
        <v/>
      </c>
      <c r="Y155" s="31" t="str">
        <f>_xlfn.LET(
    _xlpm.sumValue, SUMIFS(
        PNS_data[Value],
        PNS_data[Country], FR_data[[#This Row],[Country]],
        PNS_data[National Society name], selected,
        PNS_data[Attribute], "EFs",
        PNS_data[Year], "2028"
    ),
    IF(_xlpm.sumValue = 0, "", _xlpm.sumValue)
)</f>
        <v/>
      </c>
      <c r="Z155" s="32" t="str">
        <f>IF(SUM(FR_data[[#This Row],[Response - Disasters and Crises  ]:[Enabling Functions  ]])=0,"",SUM(FR_data[[#This Row],[Response - Disasters and Crises  ]:[Enabling Functions  ]]))</f>
        <v/>
      </c>
      <c r="AA155" s="41"/>
    </row>
    <row r="156" spans="1:27" x14ac:dyDescent="0.3">
      <c r="A156" s="11" t="s">
        <v>235</v>
      </c>
      <c r="B156" s="11" t="s">
        <v>100</v>
      </c>
      <c r="C156" s="11" t="s">
        <v>236</v>
      </c>
      <c r="D156" s="30" t="str">
        <f>_xlfn.LET(
    _xlpm.sumValue, SUMIFS(
        PNS_data[Value],
        PNS_data[Country], FR_data[[#This Row],[Country]],
        PNS_data[National Society name], selected,
        PNS_data[Attribute], "SP1",
        PNS_data[Year], "2026"
    ),
    IF(_xlpm.sumValue = 0, "", _xlpm.sumValue)
)</f>
        <v/>
      </c>
      <c r="E156" s="31" t="str">
        <f>_xlfn.LET(
    _xlpm.sumValue, SUMIFS(
        PNS_data[Value],
        PNS_data[Country], FR_data[[#This Row],[Country]],
        PNS_data[National Society name], selected,
        PNS_data[Attribute], "SP2",
        PNS_data[Year], "2026"
    ),
    IF(_xlpm.sumValue = 0, "", _xlpm.sumValue)
)</f>
        <v/>
      </c>
      <c r="F156" s="31" t="str">
        <f>_xlfn.LET(
    _xlpm.sumValue, SUMIFS(
        PNS_data[Value],
        PNS_data[Country], FR_data[[#This Row],[Country]],
        PNS_data[National Society name], selected,
        PNS_data[Attribute], "SP3",
        PNS_data[Year], "2026"
    ),
    IF(_xlpm.sumValue = 0, "", _xlpm.sumValue)
)</f>
        <v/>
      </c>
      <c r="G156" s="31" t="str">
        <f>_xlfn.LET(
    _xlpm.sumValue, SUMIFS(
        PNS_data[Value],
        PNS_data[Country], FR_data[[#This Row],[Country]],
        PNS_data[National Society name], selected,
        PNS_data[Attribute], "SP4",
        PNS_data[Year], "2026"
    ),
    IF(_xlpm.sumValue = 0, "", _xlpm.sumValue)
)</f>
        <v/>
      </c>
      <c r="H156" s="31" t="str">
        <f>_xlfn.LET(
    _xlpm.sumValue, SUMIFS(
        PNS_data[Value],
        PNS_data[Country], FR_data[[#This Row],[Country]],
        PNS_data[National Society name], selected,
        PNS_data[Attribute], "SP5",
        PNS_data[Year], "2026"
    ),
    IF(_xlpm.sumValue = 0, "", _xlpm.sumValue)
)</f>
        <v/>
      </c>
      <c r="I156" s="31" t="str">
        <f>_xlfn.LET(
    _xlpm.sumValue, SUMIFS(
        PNS_data[Value],
        PNS_data[Country], FR_data[[#This Row],[Country]],
        PNS_data[National Society name], selected,
        PNS_data[Attribute], "EFs",
        PNS_data[Year], "2026"
    ),
    IF(_xlpm.sumValue = 0, "", _xlpm.sumValue)
)</f>
        <v/>
      </c>
      <c r="J156" s="32" t="str">
        <f>IF(SUM(FR_data[[#This Row],[Response - Disasters and Crises]:[Enabling Functions]])=0,"",SUM(FR_data[[#This Row],[Response - Disasters and Crises]:[Enabling Functions]]))</f>
        <v/>
      </c>
      <c r="K156" s="39"/>
      <c r="L156" s="30" t="str">
        <f>_xlfn.LET(
    _xlpm.sumValue, SUMIFS(
        PNS_data[Value],
        PNS_data[Country], FR_data[[#This Row],[Country]],
        PNS_data[National Society name], selected,
        PNS_data[Attribute], "SP1",
        PNS_data[Year], "2027"
    ),
    IF(_xlpm.sumValue = 0, "", _xlpm.sumValue)
)</f>
        <v/>
      </c>
      <c r="M156" s="31" t="str">
        <f>_xlfn.LET(
    _xlpm.sumValue, SUMIFS(
        PNS_data[Value],
        PNS_data[Country], FR_data[[#This Row],[Country]],
        PNS_data[National Society name], selected,
        PNS_data[Attribute], "SP2",
        PNS_data[Year], "2027"
    ),
    IF(_xlpm.sumValue = 0, "", _xlpm.sumValue)
)</f>
        <v/>
      </c>
      <c r="N156" s="31" t="str">
        <f>_xlfn.LET(
    _xlpm.sumValue, SUMIFS(
        PNS_data[Value],
        PNS_data[Country], FR_data[[#This Row],[Country]],
        PNS_data[National Society name], selected,
        PNS_data[Attribute], "SP3",
        PNS_data[Year], "2027"
    ),
    IF(_xlpm.sumValue = 0, "", _xlpm.sumValue)
)</f>
        <v/>
      </c>
      <c r="O156" s="31" t="str">
        <f>_xlfn.LET(
    _xlpm.sumValue, SUMIFS(
        PNS_data[Value],
        PNS_data[Country], FR_data[[#This Row],[Country]],
        PNS_data[National Society name], selected,
        PNS_data[Attribute], "SP4",
        PNS_data[Year], "2027"
    ),
    IF(_xlpm.sumValue = 0, "", _xlpm.sumValue)
)</f>
        <v/>
      </c>
      <c r="P156" s="31" t="str">
        <f>_xlfn.LET(
    _xlpm.sumValue, SUMIFS(
        PNS_data[Value],
        PNS_data[Country], FR_data[[#This Row],[Country]],
        PNS_data[National Society name], selected,
        PNS_data[Attribute], "SP5",
        PNS_data[Year], "2027"
    ),
    IF(_xlpm.sumValue = 0, "", _xlpm.sumValue)
)</f>
        <v/>
      </c>
      <c r="Q156" s="31" t="str">
        <f>_xlfn.LET(
    _xlpm.sumValue, SUMIFS(
        PNS_data[Value],
        PNS_data[Country], FR_data[[#This Row],[Country]],
        PNS_data[National Society name], selected,
        PNS_data[Attribute], "EFs",
        PNS_data[Year], "2027"
    ),
    IF(_xlpm.sumValue = 0, "", _xlpm.sumValue)
)</f>
        <v/>
      </c>
      <c r="R156" s="32" t="str">
        <f>IF(SUM(FR_data[[#This Row],[Response - Disasters and Crises ]:[Enabling Functions ]])=0,"",SUM(FR_data[[#This Row],[Response - Disasters and Crises ]:[Enabling Functions ]]))</f>
        <v/>
      </c>
      <c r="S156" s="39"/>
      <c r="T156" s="30" t="str">
        <f>_xlfn.LET(
    _xlpm.sumValue, SUMIFS(
        PNS_data[Value],
        PNS_data[Country], FR_data[[#This Row],[Country]],
        PNS_data[National Society name], selected,
        PNS_data[Attribute], "SP1",
        PNS_data[Year], "2028"
    ),
    IF(_xlpm.sumValue = 0, "", _xlpm.sumValue)
)</f>
        <v/>
      </c>
      <c r="U156" s="31" t="str">
        <f>_xlfn.LET(
    _xlpm.sumValue, SUMIFS(
        PNS_data[Value],
        PNS_data[Country], FR_data[[#This Row],[Country]],
        PNS_data[National Society name], selected,
        PNS_data[Attribute], "SP2",
        PNS_data[Year], "2028"
    ),
    IF(_xlpm.sumValue = 0, "", _xlpm.sumValue)
)</f>
        <v/>
      </c>
      <c r="V156" s="31" t="str">
        <f>_xlfn.LET(
    _xlpm.sumValue, SUMIFS(
        PNS_data[Value],
        PNS_data[Country], FR_data[[#This Row],[Country]],
        PNS_data[National Society name], selected,
        PNS_data[Attribute], "SP3",
        PNS_data[Year], "2028"
    ),
    IF(_xlpm.sumValue = 0, "", _xlpm.sumValue)
)</f>
        <v/>
      </c>
      <c r="W156" s="31" t="str">
        <f>_xlfn.LET(
    _xlpm.sumValue, SUMIFS(
        PNS_data[Value],
        PNS_data[Country], FR_data[[#This Row],[Country]],
        PNS_data[National Society name], selected,
        PNS_data[Attribute], "SP4",
        PNS_data[Year], "2028"
    ),
    IF(_xlpm.sumValue = 0, "", _xlpm.sumValue)
)</f>
        <v/>
      </c>
      <c r="X156" s="31" t="str">
        <f>_xlfn.LET(
    _xlpm.sumValue, SUMIFS(
        PNS_data[Value],
        PNS_data[Country], FR_data[[#This Row],[Country]],
        PNS_data[National Society name], selected,
        PNS_data[Attribute], "SP5",
        PNS_data[Year], "2028"
    ),
    IF(_xlpm.sumValue = 0, "", _xlpm.sumValue)
)</f>
        <v/>
      </c>
      <c r="Y156" s="31" t="str">
        <f>_xlfn.LET(
    _xlpm.sumValue, SUMIFS(
        PNS_data[Value],
        PNS_data[Country], FR_data[[#This Row],[Country]],
        PNS_data[National Society name], selected,
        PNS_data[Attribute], "EFs",
        PNS_data[Year], "2028"
    ),
    IF(_xlpm.sumValue = 0, "", _xlpm.sumValue)
)</f>
        <v/>
      </c>
      <c r="Z156" s="32" t="str">
        <f>IF(SUM(FR_data[[#This Row],[Response - Disasters and Crises  ]:[Enabling Functions  ]])=0,"",SUM(FR_data[[#This Row],[Response - Disasters and Crises  ]:[Enabling Functions  ]]))</f>
        <v/>
      </c>
      <c r="AA156" s="41"/>
    </row>
    <row r="157" spans="1:27" x14ac:dyDescent="0.3">
      <c r="A157" s="11" t="s">
        <v>417</v>
      </c>
      <c r="B157" s="11" t="s">
        <v>100</v>
      </c>
      <c r="C157" s="11" t="s">
        <v>418</v>
      </c>
      <c r="D157" s="30" t="str">
        <f>_xlfn.LET(
    _xlpm.sumValue, SUMIFS(
        PNS_data[Value],
        PNS_data[Country], FR_data[[#This Row],[Country]],
        PNS_data[National Society name], selected,
        PNS_data[Attribute], "SP1",
        PNS_data[Year], "2026"
    ),
    IF(_xlpm.sumValue = 0, "", _xlpm.sumValue)
)</f>
        <v/>
      </c>
      <c r="E157" s="31" t="str">
        <f>_xlfn.LET(
    _xlpm.sumValue, SUMIFS(
        PNS_data[Value],
        PNS_data[Country], FR_data[[#This Row],[Country]],
        PNS_data[National Society name], selected,
        PNS_data[Attribute], "SP2",
        PNS_data[Year], "2026"
    ),
    IF(_xlpm.sumValue = 0, "", _xlpm.sumValue)
)</f>
        <v/>
      </c>
      <c r="F157" s="31" t="str">
        <f>_xlfn.LET(
    _xlpm.sumValue, SUMIFS(
        PNS_data[Value],
        PNS_data[Country], FR_data[[#This Row],[Country]],
        PNS_data[National Society name], selected,
        PNS_data[Attribute], "SP3",
        PNS_data[Year], "2026"
    ),
    IF(_xlpm.sumValue = 0, "", _xlpm.sumValue)
)</f>
        <v/>
      </c>
      <c r="G157" s="31" t="str">
        <f>_xlfn.LET(
    _xlpm.sumValue, SUMIFS(
        PNS_data[Value],
        PNS_data[Country], FR_data[[#This Row],[Country]],
        PNS_data[National Society name], selected,
        PNS_data[Attribute], "SP4",
        PNS_data[Year], "2026"
    ),
    IF(_xlpm.sumValue = 0, "", _xlpm.sumValue)
)</f>
        <v/>
      </c>
      <c r="H157" s="31" t="str">
        <f>_xlfn.LET(
    _xlpm.sumValue, SUMIFS(
        PNS_data[Value],
        PNS_data[Country], FR_data[[#This Row],[Country]],
        PNS_data[National Society name], selected,
        PNS_data[Attribute], "SP5",
        PNS_data[Year], "2026"
    ),
    IF(_xlpm.sumValue = 0, "", _xlpm.sumValue)
)</f>
        <v/>
      </c>
      <c r="I157" s="31" t="str">
        <f>_xlfn.LET(
    _xlpm.sumValue, SUMIFS(
        PNS_data[Value],
        PNS_data[Country], FR_data[[#This Row],[Country]],
        PNS_data[National Society name], selected,
        PNS_data[Attribute], "EFs",
        PNS_data[Year], "2026"
    ),
    IF(_xlpm.sumValue = 0, "", _xlpm.sumValue)
)</f>
        <v/>
      </c>
      <c r="J157" s="32" t="str">
        <f>IF(SUM(FR_data[[#This Row],[Response - Disasters and Crises]:[Enabling Functions]])=0,"",SUM(FR_data[[#This Row],[Response - Disasters and Crises]:[Enabling Functions]]))</f>
        <v/>
      </c>
      <c r="K157" s="39"/>
      <c r="L157" s="30" t="str">
        <f>_xlfn.LET(
    _xlpm.sumValue, SUMIFS(
        PNS_data[Value],
        PNS_data[Country], FR_data[[#This Row],[Country]],
        PNS_data[National Society name], selected,
        PNS_data[Attribute], "SP1",
        PNS_data[Year], "2027"
    ),
    IF(_xlpm.sumValue = 0, "", _xlpm.sumValue)
)</f>
        <v/>
      </c>
      <c r="M157" s="31" t="str">
        <f>_xlfn.LET(
    _xlpm.sumValue, SUMIFS(
        PNS_data[Value],
        PNS_data[Country], FR_data[[#This Row],[Country]],
        PNS_data[National Society name], selected,
        PNS_data[Attribute], "SP2",
        PNS_data[Year], "2027"
    ),
    IF(_xlpm.sumValue = 0, "", _xlpm.sumValue)
)</f>
        <v/>
      </c>
      <c r="N157" s="31" t="str">
        <f>_xlfn.LET(
    _xlpm.sumValue, SUMIFS(
        PNS_data[Value],
        PNS_data[Country], FR_data[[#This Row],[Country]],
        PNS_data[National Society name], selected,
        PNS_data[Attribute], "SP3",
        PNS_data[Year], "2027"
    ),
    IF(_xlpm.sumValue = 0, "", _xlpm.sumValue)
)</f>
        <v/>
      </c>
      <c r="O157" s="31" t="str">
        <f>_xlfn.LET(
    _xlpm.sumValue, SUMIFS(
        PNS_data[Value],
        PNS_data[Country], FR_data[[#This Row],[Country]],
        PNS_data[National Society name], selected,
        PNS_data[Attribute], "SP4",
        PNS_data[Year], "2027"
    ),
    IF(_xlpm.sumValue = 0, "", _xlpm.sumValue)
)</f>
        <v/>
      </c>
      <c r="P157" s="31" t="str">
        <f>_xlfn.LET(
    _xlpm.sumValue, SUMIFS(
        PNS_data[Value],
        PNS_data[Country], FR_data[[#This Row],[Country]],
        PNS_data[National Society name], selected,
        PNS_data[Attribute], "SP5",
        PNS_data[Year], "2027"
    ),
    IF(_xlpm.sumValue = 0, "", _xlpm.sumValue)
)</f>
        <v/>
      </c>
      <c r="Q157" s="31" t="str">
        <f>_xlfn.LET(
    _xlpm.sumValue, SUMIFS(
        PNS_data[Value],
        PNS_data[Country], FR_data[[#This Row],[Country]],
        PNS_data[National Society name], selected,
        PNS_data[Attribute], "EFs",
        PNS_data[Year], "2027"
    ),
    IF(_xlpm.sumValue = 0, "", _xlpm.sumValue)
)</f>
        <v/>
      </c>
      <c r="R157" s="32" t="str">
        <f>IF(SUM(FR_data[[#This Row],[Response - Disasters and Crises ]:[Enabling Functions ]])=0,"",SUM(FR_data[[#This Row],[Response - Disasters and Crises ]:[Enabling Functions ]]))</f>
        <v/>
      </c>
      <c r="S157" s="39"/>
      <c r="T157" s="30" t="str">
        <f>_xlfn.LET(
    _xlpm.sumValue, SUMIFS(
        PNS_data[Value],
        PNS_data[Country], FR_data[[#This Row],[Country]],
        PNS_data[National Society name], selected,
        PNS_data[Attribute], "SP1",
        PNS_data[Year], "2028"
    ),
    IF(_xlpm.sumValue = 0, "", _xlpm.sumValue)
)</f>
        <v/>
      </c>
      <c r="U157" s="31" t="str">
        <f>_xlfn.LET(
    _xlpm.sumValue, SUMIFS(
        PNS_data[Value],
        PNS_data[Country], FR_data[[#This Row],[Country]],
        PNS_data[National Society name], selected,
        PNS_data[Attribute], "SP2",
        PNS_data[Year], "2028"
    ),
    IF(_xlpm.sumValue = 0, "", _xlpm.sumValue)
)</f>
        <v/>
      </c>
      <c r="V157" s="31" t="str">
        <f>_xlfn.LET(
    _xlpm.sumValue, SUMIFS(
        PNS_data[Value],
        PNS_data[Country], FR_data[[#This Row],[Country]],
        PNS_data[National Society name], selected,
        PNS_data[Attribute], "SP3",
        PNS_data[Year], "2028"
    ),
    IF(_xlpm.sumValue = 0, "", _xlpm.sumValue)
)</f>
        <v/>
      </c>
      <c r="W157" s="31" t="str">
        <f>_xlfn.LET(
    _xlpm.sumValue, SUMIFS(
        PNS_data[Value],
        PNS_data[Country], FR_data[[#This Row],[Country]],
        PNS_data[National Society name], selected,
        PNS_data[Attribute], "SP4",
        PNS_data[Year], "2028"
    ),
    IF(_xlpm.sumValue = 0, "", _xlpm.sumValue)
)</f>
        <v/>
      </c>
      <c r="X157" s="31" t="str">
        <f>_xlfn.LET(
    _xlpm.sumValue, SUMIFS(
        PNS_data[Value],
        PNS_data[Country], FR_data[[#This Row],[Country]],
        PNS_data[National Society name], selected,
        PNS_data[Attribute], "SP5",
        PNS_data[Year], "2028"
    ),
    IF(_xlpm.sumValue = 0, "", _xlpm.sumValue)
)</f>
        <v/>
      </c>
      <c r="Y157" s="31" t="str">
        <f>_xlfn.LET(
    _xlpm.sumValue, SUMIFS(
        PNS_data[Value],
        PNS_data[Country], FR_data[[#This Row],[Country]],
        PNS_data[National Society name], selected,
        PNS_data[Attribute], "EFs",
        PNS_data[Year], "2028"
    ),
    IF(_xlpm.sumValue = 0, "", _xlpm.sumValue)
)</f>
        <v/>
      </c>
      <c r="Z157" s="32" t="str">
        <f>IF(SUM(FR_data[[#This Row],[Response - Disasters and Crises  ]:[Enabling Functions  ]])=0,"",SUM(FR_data[[#This Row],[Response - Disasters and Crises  ]:[Enabling Functions  ]]))</f>
        <v/>
      </c>
      <c r="AA157" s="41"/>
    </row>
    <row r="158" spans="1:27" x14ac:dyDescent="0.3">
      <c r="A158" s="11" t="s">
        <v>413</v>
      </c>
      <c r="B158" s="11" t="s">
        <v>100</v>
      </c>
      <c r="C158" s="11" t="s">
        <v>414</v>
      </c>
      <c r="D158" s="30" t="str">
        <f>_xlfn.LET(
    _xlpm.sumValue, SUMIFS(
        PNS_data[Value],
        PNS_data[Country], FR_data[[#This Row],[Country]],
        PNS_data[National Society name], selected,
        PNS_data[Attribute], "SP1",
        PNS_data[Year], "2026"
    ),
    IF(_xlpm.sumValue = 0, "", _xlpm.sumValue)
)</f>
        <v/>
      </c>
      <c r="E158" s="31" t="str">
        <f>_xlfn.LET(
    _xlpm.sumValue, SUMIFS(
        PNS_data[Value],
        PNS_data[Country], FR_data[[#This Row],[Country]],
        PNS_data[National Society name], selected,
        PNS_data[Attribute], "SP2",
        PNS_data[Year], "2026"
    ),
    IF(_xlpm.sumValue = 0, "", _xlpm.sumValue)
)</f>
        <v/>
      </c>
      <c r="F158" s="31" t="str">
        <f>_xlfn.LET(
    _xlpm.sumValue, SUMIFS(
        PNS_data[Value],
        PNS_data[Country], FR_data[[#This Row],[Country]],
        PNS_data[National Society name], selected,
        PNS_data[Attribute], "SP3",
        PNS_data[Year], "2026"
    ),
    IF(_xlpm.sumValue = 0, "", _xlpm.sumValue)
)</f>
        <v/>
      </c>
      <c r="G158" s="31" t="str">
        <f>_xlfn.LET(
    _xlpm.sumValue, SUMIFS(
        PNS_data[Value],
        PNS_data[Country], FR_data[[#This Row],[Country]],
        PNS_data[National Society name], selected,
        PNS_data[Attribute], "SP4",
        PNS_data[Year], "2026"
    ),
    IF(_xlpm.sumValue = 0, "", _xlpm.sumValue)
)</f>
        <v/>
      </c>
      <c r="H158" s="31" t="str">
        <f>_xlfn.LET(
    _xlpm.sumValue, SUMIFS(
        PNS_data[Value],
        PNS_data[Country], FR_data[[#This Row],[Country]],
        PNS_data[National Society name], selected,
        PNS_data[Attribute], "SP5",
        PNS_data[Year], "2026"
    ),
    IF(_xlpm.sumValue = 0, "", _xlpm.sumValue)
)</f>
        <v/>
      </c>
      <c r="I158" s="31" t="str">
        <f>_xlfn.LET(
    _xlpm.sumValue, SUMIFS(
        PNS_data[Value],
        PNS_data[Country], FR_data[[#This Row],[Country]],
        PNS_data[National Society name], selected,
        PNS_data[Attribute], "EFs",
        PNS_data[Year], "2026"
    ),
    IF(_xlpm.sumValue = 0, "", _xlpm.sumValue)
)</f>
        <v/>
      </c>
      <c r="J158" s="32" t="str">
        <f>IF(SUM(FR_data[[#This Row],[Response - Disasters and Crises]:[Enabling Functions]])=0,"",SUM(FR_data[[#This Row],[Response - Disasters and Crises]:[Enabling Functions]]))</f>
        <v/>
      </c>
      <c r="K158" s="39"/>
      <c r="L158" s="30" t="str">
        <f>_xlfn.LET(
    _xlpm.sumValue, SUMIFS(
        PNS_data[Value],
        PNS_data[Country], FR_data[[#This Row],[Country]],
        PNS_data[National Society name], selected,
        PNS_data[Attribute], "SP1",
        PNS_data[Year], "2027"
    ),
    IF(_xlpm.sumValue = 0, "", _xlpm.sumValue)
)</f>
        <v/>
      </c>
      <c r="M158" s="31" t="str">
        <f>_xlfn.LET(
    _xlpm.sumValue, SUMIFS(
        PNS_data[Value],
        PNS_data[Country], FR_data[[#This Row],[Country]],
        PNS_data[National Society name], selected,
        PNS_data[Attribute], "SP2",
        PNS_data[Year], "2027"
    ),
    IF(_xlpm.sumValue = 0, "", _xlpm.sumValue)
)</f>
        <v/>
      </c>
      <c r="N158" s="31" t="str">
        <f>_xlfn.LET(
    _xlpm.sumValue, SUMIFS(
        PNS_data[Value],
        PNS_data[Country], FR_data[[#This Row],[Country]],
        PNS_data[National Society name], selected,
        PNS_data[Attribute], "SP3",
        PNS_data[Year], "2027"
    ),
    IF(_xlpm.sumValue = 0, "", _xlpm.sumValue)
)</f>
        <v/>
      </c>
      <c r="O158" s="31" t="str">
        <f>_xlfn.LET(
    _xlpm.sumValue, SUMIFS(
        PNS_data[Value],
        PNS_data[Country], FR_data[[#This Row],[Country]],
        PNS_data[National Society name], selected,
        PNS_data[Attribute], "SP4",
        PNS_data[Year], "2027"
    ),
    IF(_xlpm.sumValue = 0, "", _xlpm.sumValue)
)</f>
        <v/>
      </c>
      <c r="P158" s="31" t="str">
        <f>_xlfn.LET(
    _xlpm.sumValue, SUMIFS(
        PNS_data[Value],
        PNS_data[Country], FR_data[[#This Row],[Country]],
        PNS_data[National Society name], selected,
        PNS_data[Attribute], "SP5",
        PNS_data[Year], "2027"
    ),
    IF(_xlpm.sumValue = 0, "", _xlpm.sumValue)
)</f>
        <v/>
      </c>
      <c r="Q158" s="31" t="str">
        <f>_xlfn.LET(
    _xlpm.sumValue, SUMIFS(
        PNS_data[Value],
        PNS_data[Country], FR_data[[#This Row],[Country]],
        PNS_data[National Society name], selected,
        PNS_data[Attribute], "EFs",
        PNS_data[Year], "2027"
    ),
    IF(_xlpm.sumValue = 0, "", _xlpm.sumValue)
)</f>
        <v/>
      </c>
      <c r="R158" s="32" t="str">
        <f>IF(SUM(FR_data[[#This Row],[Response - Disasters and Crises ]:[Enabling Functions ]])=0,"",SUM(FR_data[[#This Row],[Response - Disasters and Crises ]:[Enabling Functions ]]))</f>
        <v/>
      </c>
      <c r="S158" s="39"/>
      <c r="T158" s="30" t="str">
        <f>_xlfn.LET(
    _xlpm.sumValue, SUMIFS(
        PNS_data[Value],
        PNS_data[Country], FR_data[[#This Row],[Country]],
        PNS_data[National Society name], selected,
        PNS_data[Attribute], "SP1",
        PNS_data[Year], "2028"
    ),
    IF(_xlpm.sumValue = 0, "", _xlpm.sumValue)
)</f>
        <v/>
      </c>
      <c r="U158" s="31" t="str">
        <f>_xlfn.LET(
    _xlpm.sumValue, SUMIFS(
        PNS_data[Value],
        PNS_data[Country], FR_data[[#This Row],[Country]],
        PNS_data[National Society name], selected,
        PNS_data[Attribute], "SP2",
        PNS_data[Year], "2028"
    ),
    IF(_xlpm.sumValue = 0, "", _xlpm.sumValue)
)</f>
        <v/>
      </c>
      <c r="V158" s="31" t="str">
        <f>_xlfn.LET(
    _xlpm.sumValue, SUMIFS(
        PNS_data[Value],
        PNS_data[Country], FR_data[[#This Row],[Country]],
        PNS_data[National Society name], selected,
        PNS_data[Attribute], "SP3",
        PNS_data[Year], "2028"
    ),
    IF(_xlpm.sumValue = 0, "", _xlpm.sumValue)
)</f>
        <v/>
      </c>
      <c r="W158" s="31" t="str">
        <f>_xlfn.LET(
    _xlpm.sumValue, SUMIFS(
        PNS_data[Value],
        PNS_data[Country], FR_data[[#This Row],[Country]],
        PNS_data[National Society name], selected,
        PNS_data[Attribute], "SP4",
        PNS_data[Year], "2028"
    ),
    IF(_xlpm.sumValue = 0, "", _xlpm.sumValue)
)</f>
        <v/>
      </c>
      <c r="X158" s="31" t="str">
        <f>_xlfn.LET(
    _xlpm.sumValue, SUMIFS(
        PNS_data[Value],
        PNS_data[Country], FR_data[[#This Row],[Country]],
        PNS_data[National Society name], selected,
        PNS_data[Attribute], "SP5",
        PNS_data[Year], "2028"
    ),
    IF(_xlpm.sumValue = 0, "", _xlpm.sumValue)
)</f>
        <v/>
      </c>
      <c r="Y158" s="31" t="str">
        <f>_xlfn.LET(
    _xlpm.sumValue, SUMIFS(
        PNS_data[Value],
        PNS_data[Country], FR_data[[#This Row],[Country]],
        PNS_data[National Society name], selected,
        PNS_data[Attribute], "EFs",
        PNS_data[Year], "2028"
    ),
    IF(_xlpm.sumValue = 0, "", _xlpm.sumValue)
)</f>
        <v/>
      </c>
      <c r="Z158" s="32" t="str">
        <f>IF(SUM(FR_data[[#This Row],[Response - Disasters and Crises  ]:[Enabling Functions  ]])=0,"",SUM(FR_data[[#This Row],[Response - Disasters and Crises  ]:[Enabling Functions  ]]))</f>
        <v/>
      </c>
      <c r="AA158" s="41"/>
    </row>
    <row r="159" spans="1:27" x14ac:dyDescent="0.3">
      <c r="A159" s="11" t="s">
        <v>251</v>
      </c>
      <c r="B159" s="11" t="s">
        <v>100</v>
      </c>
      <c r="C159" s="11" t="s">
        <v>252</v>
      </c>
      <c r="D159" s="30" t="str">
        <f>_xlfn.LET(
    _xlpm.sumValue, SUMIFS(
        PNS_data[Value],
        PNS_data[Country], FR_data[[#This Row],[Country]],
        PNS_data[National Society name], selected,
        PNS_data[Attribute], "SP1",
        PNS_data[Year], "2026"
    ),
    IF(_xlpm.sumValue = 0, "", _xlpm.sumValue)
)</f>
        <v/>
      </c>
      <c r="E159" s="31" t="str">
        <f>_xlfn.LET(
    _xlpm.sumValue, SUMIFS(
        PNS_data[Value],
        PNS_data[Country], FR_data[[#This Row],[Country]],
        PNS_data[National Society name], selected,
        PNS_data[Attribute], "SP2",
        PNS_data[Year], "2026"
    ),
    IF(_xlpm.sumValue = 0, "", _xlpm.sumValue)
)</f>
        <v/>
      </c>
      <c r="F159" s="31" t="str">
        <f>_xlfn.LET(
    _xlpm.sumValue, SUMIFS(
        PNS_data[Value],
        PNS_data[Country], FR_data[[#This Row],[Country]],
        PNS_data[National Society name], selected,
        PNS_data[Attribute], "SP3",
        PNS_data[Year], "2026"
    ),
    IF(_xlpm.sumValue = 0, "", _xlpm.sumValue)
)</f>
        <v/>
      </c>
      <c r="G159" s="31" t="str">
        <f>_xlfn.LET(
    _xlpm.sumValue, SUMIFS(
        PNS_data[Value],
        PNS_data[Country], FR_data[[#This Row],[Country]],
        PNS_data[National Society name], selected,
        PNS_data[Attribute], "SP4",
        PNS_data[Year], "2026"
    ),
    IF(_xlpm.sumValue = 0, "", _xlpm.sumValue)
)</f>
        <v/>
      </c>
      <c r="H159" s="31" t="str">
        <f>_xlfn.LET(
    _xlpm.sumValue, SUMIFS(
        PNS_data[Value],
        PNS_data[Country], FR_data[[#This Row],[Country]],
        PNS_data[National Society name], selected,
        PNS_data[Attribute], "SP5",
        PNS_data[Year], "2026"
    ),
    IF(_xlpm.sumValue = 0, "", _xlpm.sumValue)
)</f>
        <v/>
      </c>
      <c r="I159" s="31" t="str">
        <f>_xlfn.LET(
    _xlpm.sumValue, SUMIFS(
        PNS_data[Value],
        PNS_data[Country], FR_data[[#This Row],[Country]],
        PNS_data[National Society name], selected,
        PNS_data[Attribute], "EFs",
        PNS_data[Year], "2026"
    ),
    IF(_xlpm.sumValue = 0, "", _xlpm.sumValue)
)</f>
        <v/>
      </c>
      <c r="J159" s="32" t="str">
        <f>IF(SUM(FR_data[[#This Row],[Response - Disasters and Crises]:[Enabling Functions]])=0,"",SUM(FR_data[[#This Row],[Response - Disasters and Crises]:[Enabling Functions]]))</f>
        <v/>
      </c>
      <c r="K159" s="39"/>
      <c r="L159" s="30" t="str">
        <f>_xlfn.LET(
    _xlpm.sumValue, SUMIFS(
        PNS_data[Value],
        PNS_data[Country], FR_data[[#This Row],[Country]],
        PNS_data[National Society name], selected,
        PNS_data[Attribute], "SP1",
        PNS_data[Year], "2027"
    ),
    IF(_xlpm.sumValue = 0, "", _xlpm.sumValue)
)</f>
        <v/>
      </c>
      <c r="M159" s="31" t="str">
        <f>_xlfn.LET(
    _xlpm.sumValue, SUMIFS(
        PNS_data[Value],
        PNS_data[Country], FR_data[[#This Row],[Country]],
        PNS_data[National Society name], selected,
        PNS_data[Attribute], "SP2",
        PNS_data[Year], "2027"
    ),
    IF(_xlpm.sumValue = 0, "", _xlpm.sumValue)
)</f>
        <v/>
      </c>
      <c r="N159" s="31" t="str">
        <f>_xlfn.LET(
    _xlpm.sumValue, SUMIFS(
        PNS_data[Value],
        PNS_data[Country], FR_data[[#This Row],[Country]],
        PNS_data[National Society name], selected,
        PNS_data[Attribute], "SP3",
        PNS_data[Year], "2027"
    ),
    IF(_xlpm.sumValue = 0, "", _xlpm.sumValue)
)</f>
        <v/>
      </c>
      <c r="O159" s="31" t="str">
        <f>_xlfn.LET(
    _xlpm.sumValue, SUMIFS(
        PNS_data[Value],
        PNS_data[Country], FR_data[[#This Row],[Country]],
        PNS_data[National Society name], selected,
        PNS_data[Attribute], "SP4",
        PNS_data[Year], "2027"
    ),
    IF(_xlpm.sumValue = 0, "", _xlpm.sumValue)
)</f>
        <v/>
      </c>
      <c r="P159" s="31" t="str">
        <f>_xlfn.LET(
    _xlpm.sumValue, SUMIFS(
        PNS_data[Value],
        PNS_data[Country], FR_data[[#This Row],[Country]],
        PNS_data[National Society name], selected,
        PNS_data[Attribute], "SP5",
        PNS_data[Year], "2027"
    ),
    IF(_xlpm.sumValue = 0, "", _xlpm.sumValue)
)</f>
        <v/>
      </c>
      <c r="Q159" s="31" t="str">
        <f>_xlfn.LET(
    _xlpm.sumValue, SUMIFS(
        PNS_data[Value],
        PNS_data[Country], FR_data[[#This Row],[Country]],
        PNS_data[National Society name], selected,
        PNS_data[Attribute], "EFs",
        PNS_data[Year], "2027"
    ),
    IF(_xlpm.sumValue = 0, "", _xlpm.sumValue)
)</f>
        <v/>
      </c>
      <c r="R159" s="32" t="str">
        <f>IF(SUM(FR_data[[#This Row],[Response - Disasters and Crises ]:[Enabling Functions ]])=0,"",SUM(FR_data[[#This Row],[Response - Disasters and Crises ]:[Enabling Functions ]]))</f>
        <v/>
      </c>
      <c r="S159" s="39"/>
      <c r="T159" s="30" t="str">
        <f>_xlfn.LET(
    _xlpm.sumValue, SUMIFS(
        PNS_data[Value],
        PNS_data[Country], FR_data[[#This Row],[Country]],
        PNS_data[National Society name], selected,
        PNS_data[Attribute], "SP1",
        PNS_data[Year], "2028"
    ),
    IF(_xlpm.sumValue = 0, "", _xlpm.sumValue)
)</f>
        <v/>
      </c>
      <c r="U159" s="31" t="str">
        <f>_xlfn.LET(
    _xlpm.sumValue, SUMIFS(
        PNS_data[Value],
        PNS_data[Country], FR_data[[#This Row],[Country]],
        PNS_data[National Society name], selected,
        PNS_data[Attribute], "SP2",
        PNS_data[Year], "2028"
    ),
    IF(_xlpm.sumValue = 0, "", _xlpm.sumValue)
)</f>
        <v/>
      </c>
      <c r="V159" s="31" t="str">
        <f>_xlfn.LET(
    _xlpm.sumValue, SUMIFS(
        PNS_data[Value],
        PNS_data[Country], FR_data[[#This Row],[Country]],
        PNS_data[National Society name], selected,
        PNS_data[Attribute], "SP3",
        PNS_data[Year], "2028"
    ),
    IF(_xlpm.sumValue = 0, "", _xlpm.sumValue)
)</f>
        <v/>
      </c>
      <c r="W159" s="31" t="str">
        <f>_xlfn.LET(
    _xlpm.sumValue, SUMIFS(
        PNS_data[Value],
        PNS_data[Country], FR_data[[#This Row],[Country]],
        PNS_data[National Society name], selected,
        PNS_data[Attribute], "SP4",
        PNS_data[Year], "2028"
    ),
    IF(_xlpm.sumValue = 0, "", _xlpm.sumValue)
)</f>
        <v/>
      </c>
      <c r="X159" s="31" t="str">
        <f>_xlfn.LET(
    _xlpm.sumValue, SUMIFS(
        PNS_data[Value],
        PNS_data[Country], FR_data[[#This Row],[Country]],
        PNS_data[National Society name], selected,
        PNS_data[Attribute], "SP5",
        PNS_data[Year], "2028"
    ),
    IF(_xlpm.sumValue = 0, "", _xlpm.sumValue)
)</f>
        <v/>
      </c>
      <c r="Y159" s="31" t="str">
        <f>_xlfn.LET(
    _xlpm.sumValue, SUMIFS(
        PNS_data[Value],
        PNS_data[Country], FR_data[[#This Row],[Country]],
        PNS_data[National Society name], selected,
        PNS_data[Attribute], "EFs",
        PNS_data[Year], "2028"
    ),
    IF(_xlpm.sumValue = 0, "", _xlpm.sumValue)
)</f>
        <v/>
      </c>
      <c r="Z159" s="32" t="str">
        <f>IF(SUM(FR_data[[#This Row],[Response - Disasters and Crises  ]:[Enabling Functions  ]])=0,"",SUM(FR_data[[#This Row],[Response - Disasters and Crises  ]:[Enabling Functions  ]]))</f>
        <v/>
      </c>
      <c r="AA159" s="41"/>
    </row>
    <row r="160" spans="1:27" x14ac:dyDescent="0.3">
      <c r="A160" s="11" t="s">
        <v>260</v>
      </c>
      <c r="B160" s="11" t="s">
        <v>100</v>
      </c>
      <c r="C160" s="11" t="s">
        <v>261</v>
      </c>
      <c r="D160" s="30" t="str">
        <f>_xlfn.LET(
    _xlpm.sumValue, SUMIFS(
        PNS_data[Value],
        PNS_data[Country], FR_data[[#This Row],[Country]],
        PNS_data[National Society name], selected,
        PNS_data[Attribute], "SP1",
        PNS_data[Year], "2026"
    ),
    IF(_xlpm.sumValue = 0, "", _xlpm.sumValue)
)</f>
        <v/>
      </c>
      <c r="E160" s="31" t="str">
        <f>_xlfn.LET(
    _xlpm.sumValue, SUMIFS(
        PNS_data[Value],
        PNS_data[Country], FR_data[[#This Row],[Country]],
        PNS_data[National Society name], selected,
        PNS_data[Attribute], "SP2",
        PNS_data[Year], "2026"
    ),
    IF(_xlpm.sumValue = 0, "", _xlpm.sumValue)
)</f>
        <v/>
      </c>
      <c r="F160" s="31" t="str">
        <f>_xlfn.LET(
    _xlpm.sumValue, SUMIFS(
        PNS_data[Value],
        PNS_data[Country], FR_data[[#This Row],[Country]],
        PNS_data[National Society name], selected,
        PNS_data[Attribute], "SP3",
        PNS_data[Year], "2026"
    ),
    IF(_xlpm.sumValue = 0, "", _xlpm.sumValue)
)</f>
        <v/>
      </c>
      <c r="G160" s="31" t="str">
        <f>_xlfn.LET(
    _xlpm.sumValue, SUMIFS(
        PNS_data[Value],
        PNS_data[Country], FR_data[[#This Row],[Country]],
        PNS_data[National Society name], selected,
        PNS_data[Attribute], "SP4",
        PNS_data[Year], "2026"
    ),
    IF(_xlpm.sumValue = 0, "", _xlpm.sumValue)
)</f>
        <v/>
      </c>
      <c r="H160" s="31" t="str">
        <f>_xlfn.LET(
    _xlpm.sumValue, SUMIFS(
        PNS_data[Value],
        PNS_data[Country], FR_data[[#This Row],[Country]],
        PNS_data[National Society name], selected,
        PNS_data[Attribute], "SP5",
        PNS_data[Year], "2026"
    ),
    IF(_xlpm.sumValue = 0, "", _xlpm.sumValue)
)</f>
        <v/>
      </c>
      <c r="I160" s="31" t="str">
        <f>_xlfn.LET(
    _xlpm.sumValue, SUMIFS(
        PNS_data[Value],
        PNS_data[Country], FR_data[[#This Row],[Country]],
        PNS_data[National Society name], selected,
        PNS_data[Attribute], "EFs",
        PNS_data[Year], "2026"
    ),
    IF(_xlpm.sumValue = 0, "", _xlpm.sumValue)
)</f>
        <v/>
      </c>
      <c r="J160" s="32" t="str">
        <f>IF(SUM(FR_data[[#This Row],[Response - Disasters and Crises]:[Enabling Functions]])=0,"",SUM(FR_data[[#This Row],[Response - Disasters and Crises]:[Enabling Functions]]))</f>
        <v/>
      </c>
      <c r="K160" s="39"/>
      <c r="L160" s="30" t="str">
        <f>_xlfn.LET(
    _xlpm.sumValue, SUMIFS(
        PNS_data[Value],
        PNS_data[Country], FR_data[[#This Row],[Country]],
        PNS_data[National Society name], selected,
        PNS_data[Attribute], "SP1",
        PNS_data[Year], "2027"
    ),
    IF(_xlpm.sumValue = 0, "", _xlpm.sumValue)
)</f>
        <v/>
      </c>
      <c r="M160" s="31" t="str">
        <f>_xlfn.LET(
    _xlpm.sumValue, SUMIFS(
        PNS_data[Value],
        PNS_data[Country], FR_data[[#This Row],[Country]],
        PNS_data[National Society name], selected,
        PNS_data[Attribute], "SP2",
        PNS_data[Year], "2027"
    ),
    IF(_xlpm.sumValue = 0, "", _xlpm.sumValue)
)</f>
        <v/>
      </c>
      <c r="N160" s="31" t="str">
        <f>_xlfn.LET(
    _xlpm.sumValue, SUMIFS(
        PNS_data[Value],
        PNS_data[Country], FR_data[[#This Row],[Country]],
        PNS_data[National Society name], selected,
        PNS_data[Attribute], "SP3",
        PNS_data[Year], "2027"
    ),
    IF(_xlpm.sumValue = 0, "", _xlpm.sumValue)
)</f>
        <v/>
      </c>
      <c r="O160" s="31" t="str">
        <f>_xlfn.LET(
    _xlpm.sumValue, SUMIFS(
        PNS_data[Value],
        PNS_data[Country], FR_data[[#This Row],[Country]],
        PNS_data[National Society name], selected,
        PNS_data[Attribute], "SP4",
        PNS_data[Year], "2027"
    ),
    IF(_xlpm.sumValue = 0, "", _xlpm.sumValue)
)</f>
        <v/>
      </c>
      <c r="P160" s="31" t="str">
        <f>_xlfn.LET(
    _xlpm.sumValue, SUMIFS(
        PNS_data[Value],
        PNS_data[Country], FR_data[[#This Row],[Country]],
        PNS_data[National Society name], selected,
        PNS_data[Attribute], "SP5",
        PNS_data[Year], "2027"
    ),
    IF(_xlpm.sumValue = 0, "", _xlpm.sumValue)
)</f>
        <v/>
      </c>
      <c r="Q160" s="31" t="str">
        <f>_xlfn.LET(
    _xlpm.sumValue, SUMIFS(
        PNS_data[Value],
        PNS_data[Country], FR_data[[#This Row],[Country]],
        PNS_data[National Society name], selected,
        PNS_data[Attribute], "EFs",
        PNS_data[Year], "2027"
    ),
    IF(_xlpm.sumValue = 0, "", _xlpm.sumValue)
)</f>
        <v/>
      </c>
      <c r="R160" s="32" t="str">
        <f>IF(SUM(FR_data[[#This Row],[Response - Disasters and Crises ]:[Enabling Functions ]])=0,"",SUM(FR_data[[#This Row],[Response - Disasters and Crises ]:[Enabling Functions ]]))</f>
        <v/>
      </c>
      <c r="S160" s="39"/>
      <c r="T160" s="30" t="str">
        <f>_xlfn.LET(
    _xlpm.sumValue, SUMIFS(
        PNS_data[Value],
        PNS_data[Country], FR_data[[#This Row],[Country]],
        PNS_data[National Society name], selected,
        PNS_data[Attribute], "SP1",
        PNS_data[Year], "2028"
    ),
    IF(_xlpm.sumValue = 0, "", _xlpm.sumValue)
)</f>
        <v/>
      </c>
      <c r="U160" s="31" t="str">
        <f>_xlfn.LET(
    _xlpm.sumValue, SUMIFS(
        PNS_data[Value],
        PNS_data[Country], FR_data[[#This Row],[Country]],
        PNS_data[National Society name], selected,
        PNS_data[Attribute], "SP2",
        PNS_data[Year], "2028"
    ),
    IF(_xlpm.sumValue = 0, "", _xlpm.sumValue)
)</f>
        <v/>
      </c>
      <c r="V160" s="31" t="str">
        <f>_xlfn.LET(
    _xlpm.sumValue, SUMIFS(
        PNS_data[Value],
        PNS_data[Country], FR_data[[#This Row],[Country]],
        PNS_data[National Society name], selected,
        PNS_data[Attribute], "SP3",
        PNS_data[Year], "2028"
    ),
    IF(_xlpm.sumValue = 0, "", _xlpm.sumValue)
)</f>
        <v/>
      </c>
      <c r="W160" s="31" t="str">
        <f>_xlfn.LET(
    _xlpm.sumValue, SUMIFS(
        PNS_data[Value],
        PNS_data[Country], FR_data[[#This Row],[Country]],
        PNS_data[National Society name], selected,
        PNS_data[Attribute], "SP4",
        PNS_data[Year], "2028"
    ),
    IF(_xlpm.sumValue = 0, "", _xlpm.sumValue)
)</f>
        <v/>
      </c>
      <c r="X160" s="31" t="str">
        <f>_xlfn.LET(
    _xlpm.sumValue, SUMIFS(
        PNS_data[Value],
        PNS_data[Country], FR_data[[#This Row],[Country]],
        PNS_data[National Society name], selected,
        PNS_data[Attribute], "SP5",
        PNS_data[Year], "2028"
    ),
    IF(_xlpm.sumValue = 0, "", _xlpm.sumValue)
)</f>
        <v/>
      </c>
      <c r="Y160" s="31" t="str">
        <f>_xlfn.LET(
    _xlpm.sumValue, SUMIFS(
        PNS_data[Value],
        PNS_data[Country], FR_data[[#This Row],[Country]],
        PNS_data[National Society name], selected,
        PNS_data[Attribute], "EFs",
        PNS_data[Year], "2028"
    ),
    IF(_xlpm.sumValue = 0, "", _xlpm.sumValue)
)</f>
        <v/>
      </c>
      <c r="Z160" s="32" t="str">
        <f>IF(SUM(FR_data[[#This Row],[Response - Disasters and Crises  ]:[Enabling Functions  ]])=0,"",SUM(FR_data[[#This Row],[Response - Disasters and Crises  ]:[Enabling Functions  ]]))</f>
        <v/>
      </c>
      <c r="AA160" s="41"/>
    </row>
    <row r="161" spans="1:27" x14ac:dyDescent="0.3">
      <c r="A161" s="11" t="s">
        <v>262</v>
      </c>
      <c r="B161" s="11" t="s">
        <v>100</v>
      </c>
      <c r="C161" s="11" t="s">
        <v>263</v>
      </c>
      <c r="D161" s="30" t="str">
        <f>_xlfn.LET(
    _xlpm.sumValue, SUMIFS(
        PNS_data[Value],
        PNS_data[Country], FR_data[[#This Row],[Country]],
        PNS_data[National Society name], selected,
        PNS_data[Attribute], "SP1",
        PNS_data[Year], "2026"
    ),
    IF(_xlpm.sumValue = 0, "", _xlpm.sumValue)
)</f>
        <v/>
      </c>
      <c r="E161" s="31" t="str">
        <f>_xlfn.LET(
    _xlpm.sumValue, SUMIFS(
        PNS_data[Value],
        PNS_data[Country], FR_data[[#This Row],[Country]],
        PNS_data[National Society name], selected,
        PNS_data[Attribute], "SP2",
        PNS_data[Year], "2026"
    ),
    IF(_xlpm.sumValue = 0, "", _xlpm.sumValue)
)</f>
        <v/>
      </c>
      <c r="F161" s="31" t="str">
        <f>_xlfn.LET(
    _xlpm.sumValue, SUMIFS(
        PNS_data[Value],
        PNS_data[Country], FR_data[[#This Row],[Country]],
        PNS_data[National Society name], selected,
        PNS_data[Attribute], "SP3",
        PNS_data[Year], "2026"
    ),
    IF(_xlpm.sumValue = 0, "", _xlpm.sumValue)
)</f>
        <v/>
      </c>
      <c r="G161" s="31" t="str">
        <f>_xlfn.LET(
    _xlpm.sumValue, SUMIFS(
        PNS_data[Value],
        PNS_data[Country], FR_data[[#This Row],[Country]],
        PNS_data[National Society name], selected,
        PNS_data[Attribute], "SP4",
        PNS_data[Year], "2026"
    ),
    IF(_xlpm.sumValue = 0, "", _xlpm.sumValue)
)</f>
        <v/>
      </c>
      <c r="H161" s="31" t="str">
        <f>_xlfn.LET(
    _xlpm.sumValue, SUMIFS(
        PNS_data[Value],
        PNS_data[Country], FR_data[[#This Row],[Country]],
        PNS_data[National Society name], selected,
        PNS_data[Attribute], "SP5",
        PNS_data[Year], "2026"
    ),
    IF(_xlpm.sumValue = 0, "", _xlpm.sumValue)
)</f>
        <v/>
      </c>
      <c r="I161" s="31" t="str">
        <f>_xlfn.LET(
    _xlpm.sumValue, SUMIFS(
        PNS_data[Value],
        PNS_data[Country], FR_data[[#This Row],[Country]],
        PNS_data[National Society name], selected,
        PNS_data[Attribute], "EFs",
        PNS_data[Year], "2026"
    ),
    IF(_xlpm.sumValue = 0, "", _xlpm.sumValue)
)</f>
        <v/>
      </c>
      <c r="J161" s="32" t="str">
        <f>IF(SUM(FR_data[[#This Row],[Response - Disasters and Crises]:[Enabling Functions]])=0,"",SUM(FR_data[[#This Row],[Response - Disasters and Crises]:[Enabling Functions]]))</f>
        <v/>
      </c>
      <c r="K161" s="39"/>
      <c r="L161" s="30" t="str">
        <f>_xlfn.LET(
    _xlpm.sumValue, SUMIFS(
        PNS_data[Value],
        PNS_data[Country], FR_data[[#This Row],[Country]],
        PNS_data[National Society name], selected,
        PNS_data[Attribute], "SP1",
        PNS_data[Year], "2027"
    ),
    IF(_xlpm.sumValue = 0, "", _xlpm.sumValue)
)</f>
        <v/>
      </c>
      <c r="M161" s="31" t="str">
        <f>_xlfn.LET(
    _xlpm.sumValue, SUMIFS(
        PNS_data[Value],
        PNS_data[Country], FR_data[[#This Row],[Country]],
        PNS_data[National Society name], selected,
        PNS_data[Attribute], "SP2",
        PNS_data[Year], "2027"
    ),
    IF(_xlpm.sumValue = 0, "", _xlpm.sumValue)
)</f>
        <v/>
      </c>
      <c r="N161" s="31" t="str">
        <f>_xlfn.LET(
    _xlpm.sumValue, SUMIFS(
        PNS_data[Value],
        PNS_data[Country], FR_data[[#This Row],[Country]],
        PNS_data[National Society name], selected,
        PNS_data[Attribute], "SP3",
        PNS_data[Year], "2027"
    ),
    IF(_xlpm.sumValue = 0, "", _xlpm.sumValue)
)</f>
        <v/>
      </c>
      <c r="O161" s="31" t="str">
        <f>_xlfn.LET(
    _xlpm.sumValue, SUMIFS(
        PNS_data[Value],
        PNS_data[Country], FR_data[[#This Row],[Country]],
        PNS_data[National Society name], selected,
        PNS_data[Attribute], "SP4",
        PNS_data[Year], "2027"
    ),
    IF(_xlpm.sumValue = 0, "", _xlpm.sumValue)
)</f>
        <v/>
      </c>
      <c r="P161" s="31" t="str">
        <f>_xlfn.LET(
    _xlpm.sumValue, SUMIFS(
        PNS_data[Value],
        PNS_data[Country], FR_data[[#This Row],[Country]],
        PNS_data[National Society name], selected,
        PNS_data[Attribute], "SP5",
        PNS_data[Year], "2027"
    ),
    IF(_xlpm.sumValue = 0, "", _xlpm.sumValue)
)</f>
        <v/>
      </c>
      <c r="Q161" s="31" t="str">
        <f>_xlfn.LET(
    _xlpm.sumValue, SUMIFS(
        PNS_data[Value],
        PNS_data[Country], FR_data[[#This Row],[Country]],
        PNS_data[National Society name], selected,
        PNS_data[Attribute], "EFs",
        PNS_data[Year], "2027"
    ),
    IF(_xlpm.sumValue = 0, "", _xlpm.sumValue)
)</f>
        <v/>
      </c>
      <c r="R161" s="32" t="str">
        <f>IF(SUM(FR_data[[#This Row],[Response - Disasters and Crises ]:[Enabling Functions ]])=0,"",SUM(FR_data[[#This Row],[Response - Disasters and Crises ]:[Enabling Functions ]]))</f>
        <v/>
      </c>
      <c r="S161" s="39"/>
      <c r="T161" s="30" t="str">
        <f>_xlfn.LET(
    _xlpm.sumValue, SUMIFS(
        PNS_data[Value],
        PNS_data[Country], FR_data[[#This Row],[Country]],
        PNS_data[National Society name], selected,
        PNS_data[Attribute], "SP1",
        PNS_data[Year], "2028"
    ),
    IF(_xlpm.sumValue = 0, "", _xlpm.sumValue)
)</f>
        <v/>
      </c>
      <c r="U161" s="31" t="str">
        <f>_xlfn.LET(
    _xlpm.sumValue, SUMIFS(
        PNS_data[Value],
        PNS_data[Country], FR_data[[#This Row],[Country]],
        PNS_data[National Society name], selected,
        PNS_data[Attribute], "SP2",
        PNS_data[Year], "2028"
    ),
    IF(_xlpm.sumValue = 0, "", _xlpm.sumValue)
)</f>
        <v/>
      </c>
      <c r="V161" s="31" t="str">
        <f>_xlfn.LET(
    _xlpm.sumValue, SUMIFS(
        PNS_data[Value],
        PNS_data[Country], FR_data[[#This Row],[Country]],
        PNS_data[National Society name], selected,
        PNS_data[Attribute], "SP3",
        PNS_data[Year], "2028"
    ),
    IF(_xlpm.sumValue = 0, "", _xlpm.sumValue)
)</f>
        <v/>
      </c>
      <c r="W161" s="31" t="str">
        <f>_xlfn.LET(
    _xlpm.sumValue, SUMIFS(
        PNS_data[Value],
        PNS_data[Country], FR_data[[#This Row],[Country]],
        PNS_data[National Society name], selected,
        PNS_data[Attribute], "SP4",
        PNS_data[Year], "2028"
    ),
    IF(_xlpm.sumValue = 0, "", _xlpm.sumValue)
)</f>
        <v/>
      </c>
      <c r="X161" s="31" t="str">
        <f>_xlfn.LET(
    _xlpm.sumValue, SUMIFS(
        PNS_data[Value],
        PNS_data[Country], FR_data[[#This Row],[Country]],
        PNS_data[National Society name], selected,
        PNS_data[Attribute], "SP5",
        PNS_data[Year], "2028"
    ),
    IF(_xlpm.sumValue = 0, "", _xlpm.sumValue)
)</f>
        <v/>
      </c>
      <c r="Y161" s="31" t="str">
        <f>_xlfn.LET(
    _xlpm.sumValue, SUMIFS(
        PNS_data[Value],
        PNS_data[Country], FR_data[[#This Row],[Country]],
        PNS_data[National Society name], selected,
        PNS_data[Attribute], "EFs",
        PNS_data[Year], "2028"
    ),
    IF(_xlpm.sumValue = 0, "", _xlpm.sumValue)
)</f>
        <v/>
      </c>
      <c r="Z161" s="32" t="str">
        <f>IF(SUM(FR_data[[#This Row],[Response - Disasters and Crises  ]:[Enabling Functions  ]])=0,"",SUM(FR_data[[#This Row],[Response - Disasters and Crises  ]:[Enabling Functions  ]]))</f>
        <v/>
      </c>
      <c r="AA161" s="41"/>
    </row>
    <row r="162" spans="1:27" x14ac:dyDescent="0.3">
      <c r="A162" s="11" t="s">
        <v>264</v>
      </c>
      <c r="B162" s="11" t="s">
        <v>100</v>
      </c>
      <c r="C162" s="11" t="s">
        <v>265</v>
      </c>
      <c r="D162" s="30" t="str">
        <f>_xlfn.LET(
    _xlpm.sumValue, SUMIFS(
        PNS_data[Value],
        PNS_data[Country], FR_data[[#This Row],[Country]],
        PNS_data[National Society name], selected,
        PNS_data[Attribute], "SP1",
        PNS_data[Year], "2026"
    ),
    IF(_xlpm.sumValue = 0, "", _xlpm.sumValue)
)</f>
        <v/>
      </c>
      <c r="E162" s="31" t="str">
        <f>_xlfn.LET(
    _xlpm.sumValue, SUMIFS(
        PNS_data[Value],
        PNS_data[Country], FR_data[[#This Row],[Country]],
        PNS_data[National Society name], selected,
        PNS_data[Attribute], "SP2",
        PNS_data[Year], "2026"
    ),
    IF(_xlpm.sumValue = 0, "", _xlpm.sumValue)
)</f>
        <v/>
      </c>
      <c r="F162" s="31" t="str">
        <f>_xlfn.LET(
    _xlpm.sumValue, SUMIFS(
        PNS_data[Value],
        PNS_data[Country], FR_data[[#This Row],[Country]],
        PNS_data[National Society name], selected,
        PNS_data[Attribute], "SP3",
        PNS_data[Year], "2026"
    ),
    IF(_xlpm.sumValue = 0, "", _xlpm.sumValue)
)</f>
        <v/>
      </c>
      <c r="G162" s="31" t="str">
        <f>_xlfn.LET(
    _xlpm.sumValue, SUMIFS(
        PNS_data[Value],
        PNS_data[Country], FR_data[[#This Row],[Country]],
        PNS_data[National Society name], selected,
        PNS_data[Attribute], "SP4",
        PNS_data[Year], "2026"
    ),
    IF(_xlpm.sumValue = 0, "", _xlpm.sumValue)
)</f>
        <v/>
      </c>
      <c r="H162" s="31" t="str">
        <f>_xlfn.LET(
    _xlpm.sumValue, SUMIFS(
        PNS_data[Value],
        PNS_data[Country], FR_data[[#This Row],[Country]],
        PNS_data[National Society name], selected,
        PNS_data[Attribute], "SP5",
        PNS_data[Year], "2026"
    ),
    IF(_xlpm.sumValue = 0, "", _xlpm.sumValue)
)</f>
        <v/>
      </c>
      <c r="I162" s="31" t="str">
        <f>_xlfn.LET(
    _xlpm.sumValue, SUMIFS(
        PNS_data[Value],
        PNS_data[Country], FR_data[[#This Row],[Country]],
        PNS_data[National Society name], selected,
        PNS_data[Attribute], "EFs",
        PNS_data[Year], "2026"
    ),
    IF(_xlpm.sumValue = 0, "", _xlpm.sumValue)
)</f>
        <v/>
      </c>
      <c r="J162" s="32" t="str">
        <f>IF(SUM(FR_data[[#This Row],[Response - Disasters and Crises]:[Enabling Functions]])=0,"",SUM(FR_data[[#This Row],[Response - Disasters and Crises]:[Enabling Functions]]))</f>
        <v/>
      </c>
      <c r="K162" s="39"/>
      <c r="L162" s="30" t="str">
        <f>_xlfn.LET(
    _xlpm.sumValue, SUMIFS(
        PNS_data[Value],
        PNS_data[Country], FR_data[[#This Row],[Country]],
        PNS_data[National Society name], selected,
        PNS_data[Attribute], "SP1",
        PNS_data[Year], "2027"
    ),
    IF(_xlpm.sumValue = 0, "", _xlpm.sumValue)
)</f>
        <v/>
      </c>
      <c r="M162" s="31" t="str">
        <f>_xlfn.LET(
    _xlpm.sumValue, SUMIFS(
        PNS_data[Value],
        PNS_data[Country], FR_data[[#This Row],[Country]],
        PNS_data[National Society name], selected,
        PNS_data[Attribute], "SP2",
        PNS_data[Year], "2027"
    ),
    IF(_xlpm.sumValue = 0, "", _xlpm.sumValue)
)</f>
        <v/>
      </c>
      <c r="N162" s="31" t="str">
        <f>_xlfn.LET(
    _xlpm.sumValue, SUMIFS(
        PNS_data[Value],
        PNS_data[Country], FR_data[[#This Row],[Country]],
        PNS_data[National Society name], selected,
        PNS_data[Attribute], "SP3",
        PNS_data[Year], "2027"
    ),
    IF(_xlpm.sumValue = 0, "", _xlpm.sumValue)
)</f>
        <v/>
      </c>
      <c r="O162" s="31" t="str">
        <f>_xlfn.LET(
    _xlpm.sumValue, SUMIFS(
        PNS_data[Value],
        PNS_data[Country], FR_data[[#This Row],[Country]],
        PNS_data[National Society name], selected,
        PNS_data[Attribute], "SP4",
        PNS_data[Year], "2027"
    ),
    IF(_xlpm.sumValue = 0, "", _xlpm.sumValue)
)</f>
        <v/>
      </c>
      <c r="P162" s="31" t="str">
        <f>_xlfn.LET(
    _xlpm.sumValue, SUMIFS(
        PNS_data[Value],
        PNS_data[Country], FR_data[[#This Row],[Country]],
        PNS_data[National Society name], selected,
        PNS_data[Attribute], "SP5",
        PNS_data[Year], "2027"
    ),
    IF(_xlpm.sumValue = 0, "", _xlpm.sumValue)
)</f>
        <v/>
      </c>
      <c r="Q162" s="31" t="str">
        <f>_xlfn.LET(
    _xlpm.sumValue, SUMIFS(
        PNS_data[Value],
        PNS_data[Country], FR_data[[#This Row],[Country]],
        PNS_data[National Society name], selected,
        PNS_data[Attribute], "EFs",
        PNS_data[Year], "2027"
    ),
    IF(_xlpm.sumValue = 0, "", _xlpm.sumValue)
)</f>
        <v/>
      </c>
      <c r="R162" s="32" t="str">
        <f>IF(SUM(FR_data[[#This Row],[Response - Disasters and Crises ]:[Enabling Functions ]])=0,"",SUM(FR_data[[#This Row],[Response - Disasters and Crises ]:[Enabling Functions ]]))</f>
        <v/>
      </c>
      <c r="S162" s="39"/>
      <c r="T162" s="30" t="str">
        <f>_xlfn.LET(
    _xlpm.sumValue, SUMIFS(
        PNS_data[Value],
        PNS_data[Country], FR_data[[#This Row],[Country]],
        PNS_data[National Society name], selected,
        PNS_data[Attribute], "SP1",
        PNS_data[Year], "2028"
    ),
    IF(_xlpm.sumValue = 0, "", _xlpm.sumValue)
)</f>
        <v/>
      </c>
      <c r="U162" s="31" t="str">
        <f>_xlfn.LET(
    _xlpm.sumValue, SUMIFS(
        PNS_data[Value],
        PNS_data[Country], FR_data[[#This Row],[Country]],
        PNS_data[National Society name], selected,
        PNS_data[Attribute], "SP2",
        PNS_data[Year], "2028"
    ),
    IF(_xlpm.sumValue = 0, "", _xlpm.sumValue)
)</f>
        <v/>
      </c>
      <c r="V162" s="31" t="str">
        <f>_xlfn.LET(
    _xlpm.sumValue, SUMIFS(
        PNS_data[Value],
        PNS_data[Country], FR_data[[#This Row],[Country]],
        PNS_data[National Society name], selected,
        PNS_data[Attribute], "SP3",
        PNS_data[Year], "2028"
    ),
    IF(_xlpm.sumValue = 0, "", _xlpm.sumValue)
)</f>
        <v/>
      </c>
      <c r="W162" s="31" t="str">
        <f>_xlfn.LET(
    _xlpm.sumValue, SUMIFS(
        PNS_data[Value],
        PNS_data[Country], FR_data[[#This Row],[Country]],
        PNS_data[National Society name], selected,
        PNS_data[Attribute], "SP4",
        PNS_data[Year], "2028"
    ),
    IF(_xlpm.sumValue = 0, "", _xlpm.sumValue)
)</f>
        <v/>
      </c>
      <c r="X162" s="31" t="str">
        <f>_xlfn.LET(
    _xlpm.sumValue, SUMIFS(
        PNS_data[Value],
        PNS_data[Country], FR_data[[#This Row],[Country]],
        PNS_data[National Society name], selected,
        PNS_data[Attribute], "SP5",
        PNS_data[Year], "2028"
    ),
    IF(_xlpm.sumValue = 0, "", _xlpm.sumValue)
)</f>
        <v/>
      </c>
      <c r="Y162" s="31" t="str">
        <f>_xlfn.LET(
    _xlpm.sumValue, SUMIFS(
        PNS_data[Value],
        PNS_data[Country], FR_data[[#This Row],[Country]],
        PNS_data[National Society name], selected,
        PNS_data[Attribute], "EFs",
        PNS_data[Year], "2028"
    ),
    IF(_xlpm.sumValue = 0, "", _xlpm.sumValue)
)</f>
        <v/>
      </c>
      <c r="Z162" s="32" t="str">
        <f>IF(SUM(FR_data[[#This Row],[Response - Disasters and Crises  ]:[Enabling Functions  ]])=0,"",SUM(FR_data[[#This Row],[Response - Disasters and Crises  ]:[Enabling Functions  ]]))</f>
        <v/>
      </c>
      <c r="AA162" s="41"/>
    </row>
    <row r="163" spans="1:27" x14ac:dyDescent="0.3">
      <c r="A163" s="11" t="s">
        <v>277</v>
      </c>
      <c r="B163" s="11" t="s">
        <v>100</v>
      </c>
      <c r="C163" s="11" t="s">
        <v>278</v>
      </c>
      <c r="D163" s="30" t="str">
        <f>_xlfn.LET(
    _xlpm.sumValue, SUMIFS(
        PNS_data[Value],
        PNS_data[Country], FR_data[[#This Row],[Country]],
        PNS_data[National Society name], selected,
        PNS_data[Attribute], "SP1",
        PNS_data[Year], "2026"
    ),
    IF(_xlpm.sumValue = 0, "", _xlpm.sumValue)
)</f>
        <v/>
      </c>
      <c r="E163" s="31" t="str">
        <f>_xlfn.LET(
    _xlpm.sumValue, SUMIFS(
        PNS_data[Value],
        PNS_data[Country], FR_data[[#This Row],[Country]],
        PNS_data[National Society name], selected,
        PNS_data[Attribute], "SP2",
        PNS_data[Year], "2026"
    ),
    IF(_xlpm.sumValue = 0, "", _xlpm.sumValue)
)</f>
        <v/>
      </c>
      <c r="F163" s="31" t="str">
        <f>_xlfn.LET(
    _xlpm.sumValue, SUMIFS(
        PNS_data[Value],
        PNS_data[Country], FR_data[[#This Row],[Country]],
        PNS_data[National Society name], selected,
        PNS_data[Attribute], "SP3",
        PNS_data[Year], "2026"
    ),
    IF(_xlpm.sumValue = 0, "", _xlpm.sumValue)
)</f>
        <v/>
      </c>
      <c r="G163" s="31" t="str">
        <f>_xlfn.LET(
    _xlpm.sumValue, SUMIFS(
        PNS_data[Value],
        PNS_data[Country], FR_data[[#This Row],[Country]],
        PNS_data[National Society name], selected,
        PNS_data[Attribute], "SP4",
        PNS_data[Year], "2026"
    ),
    IF(_xlpm.sumValue = 0, "", _xlpm.sumValue)
)</f>
        <v/>
      </c>
      <c r="H163" s="31" t="str">
        <f>_xlfn.LET(
    _xlpm.sumValue, SUMIFS(
        PNS_data[Value],
        PNS_data[Country], FR_data[[#This Row],[Country]],
        PNS_data[National Society name], selected,
        PNS_data[Attribute], "SP5",
        PNS_data[Year], "2026"
    ),
    IF(_xlpm.sumValue = 0, "", _xlpm.sumValue)
)</f>
        <v/>
      </c>
      <c r="I163" s="31" t="str">
        <f>_xlfn.LET(
    _xlpm.sumValue, SUMIFS(
        PNS_data[Value],
        PNS_data[Country], FR_data[[#This Row],[Country]],
        PNS_data[National Society name], selected,
        PNS_data[Attribute], "EFs",
        PNS_data[Year], "2026"
    ),
    IF(_xlpm.sumValue = 0, "", _xlpm.sumValue)
)</f>
        <v/>
      </c>
      <c r="J163" s="32" t="str">
        <f>IF(SUM(FR_data[[#This Row],[Response - Disasters and Crises]:[Enabling Functions]])=0,"",SUM(FR_data[[#This Row],[Response - Disasters and Crises]:[Enabling Functions]]))</f>
        <v/>
      </c>
      <c r="K163" s="39"/>
      <c r="L163" s="30" t="str">
        <f>_xlfn.LET(
    _xlpm.sumValue, SUMIFS(
        PNS_data[Value],
        PNS_data[Country], FR_data[[#This Row],[Country]],
        PNS_data[National Society name], selected,
        PNS_data[Attribute], "SP1",
        PNS_data[Year], "2027"
    ),
    IF(_xlpm.sumValue = 0, "", _xlpm.sumValue)
)</f>
        <v/>
      </c>
      <c r="M163" s="31" t="str">
        <f>_xlfn.LET(
    _xlpm.sumValue, SUMIFS(
        PNS_data[Value],
        PNS_data[Country], FR_data[[#This Row],[Country]],
        PNS_data[National Society name], selected,
        PNS_data[Attribute], "SP2",
        PNS_data[Year], "2027"
    ),
    IF(_xlpm.sumValue = 0, "", _xlpm.sumValue)
)</f>
        <v/>
      </c>
      <c r="N163" s="31" t="str">
        <f>_xlfn.LET(
    _xlpm.sumValue, SUMIFS(
        PNS_data[Value],
        PNS_data[Country], FR_data[[#This Row],[Country]],
        PNS_data[National Society name], selected,
        PNS_data[Attribute], "SP3",
        PNS_data[Year], "2027"
    ),
    IF(_xlpm.sumValue = 0, "", _xlpm.sumValue)
)</f>
        <v/>
      </c>
      <c r="O163" s="31" t="str">
        <f>_xlfn.LET(
    _xlpm.sumValue, SUMIFS(
        PNS_data[Value],
        PNS_data[Country], FR_data[[#This Row],[Country]],
        PNS_data[National Society name], selected,
        PNS_data[Attribute], "SP4",
        PNS_data[Year], "2027"
    ),
    IF(_xlpm.sumValue = 0, "", _xlpm.sumValue)
)</f>
        <v/>
      </c>
      <c r="P163" s="31" t="str">
        <f>_xlfn.LET(
    _xlpm.sumValue, SUMIFS(
        PNS_data[Value],
        PNS_data[Country], FR_data[[#This Row],[Country]],
        PNS_data[National Society name], selected,
        PNS_data[Attribute], "SP5",
        PNS_data[Year], "2027"
    ),
    IF(_xlpm.sumValue = 0, "", _xlpm.sumValue)
)</f>
        <v/>
      </c>
      <c r="Q163" s="31" t="str">
        <f>_xlfn.LET(
    _xlpm.sumValue, SUMIFS(
        PNS_data[Value],
        PNS_data[Country], FR_data[[#This Row],[Country]],
        PNS_data[National Society name], selected,
        PNS_data[Attribute], "EFs",
        PNS_data[Year], "2027"
    ),
    IF(_xlpm.sumValue = 0, "", _xlpm.sumValue)
)</f>
        <v/>
      </c>
      <c r="R163" s="32" t="str">
        <f>IF(SUM(FR_data[[#This Row],[Response - Disasters and Crises ]:[Enabling Functions ]])=0,"",SUM(FR_data[[#This Row],[Response - Disasters and Crises ]:[Enabling Functions ]]))</f>
        <v/>
      </c>
      <c r="S163" s="39"/>
      <c r="T163" s="30" t="str">
        <f>_xlfn.LET(
    _xlpm.sumValue, SUMIFS(
        PNS_data[Value],
        PNS_data[Country], FR_data[[#This Row],[Country]],
        PNS_data[National Society name], selected,
        PNS_data[Attribute], "SP1",
        PNS_data[Year], "2028"
    ),
    IF(_xlpm.sumValue = 0, "", _xlpm.sumValue)
)</f>
        <v/>
      </c>
      <c r="U163" s="31" t="str">
        <f>_xlfn.LET(
    _xlpm.sumValue, SUMIFS(
        PNS_data[Value],
        PNS_data[Country], FR_data[[#This Row],[Country]],
        PNS_data[National Society name], selected,
        PNS_data[Attribute], "SP2",
        PNS_data[Year], "2028"
    ),
    IF(_xlpm.sumValue = 0, "", _xlpm.sumValue)
)</f>
        <v/>
      </c>
      <c r="V163" s="31" t="str">
        <f>_xlfn.LET(
    _xlpm.sumValue, SUMIFS(
        PNS_data[Value],
        PNS_data[Country], FR_data[[#This Row],[Country]],
        PNS_data[National Society name], selected,
        PNS_data[Attribute], "SP3",
        PNS_data[Year], "2028"
    ),
    IF(_xlpm.sumValue = 0, "", _xlpm.sumValue)
)</f>
        <v/>
      </c>
      <c r="W163" s="31" t="str">
        <f>_xlfn.LET(
    _xlpm.sumValue, SUMIFS(
        PNS_data[Value],
        PNS_data[Country], FR_data[[#This Row],[Country]],
        PNS_data[National Society name], selected,
        PNS_data[Attribute], "SP4",
        PNS_data[Year], "2028"
    ),
    IF(_xlpm.sumValue = 0, "", _xlpm.sumValue)
)</f>
        <v/>
      </c>
      <c r="X163" s="31" t="str">
        <f>_xlfn.LET(
    _xlpm.sumValue, SUMIFS(
        PNS_data[Value],
        PNS_data[Country], FR_data[[#This Row],[Country]],
        PNS_data[National Society name], selected,
        PNS_data[Attribute], "SP5",
        PNS_data[Year], "2028"
    ),
    IF(_xlpm.sumValue = 0, "", _xlpm.sumValue)
)</f>
        <v/>
      </c>
      <c r="Y163" s="31" t="str">
        <f>_xlfn.LET(
    _xlpm.sumValue, SUMIFS(
        PNS_data[Value],
        PNS_data[Country], FR_data[[#This Row],[Country]],
        PNS_data[National Society name], selected,
        PNS_data[Attribute], "EFs",
        PNS_data[Year], "2028"
    ),
    IF(_xlpm.sumValue = 0, "", _xlpm.sumValue)
)</f>
        <v/>
      </c>
      <c r="Z163" s="32" t="str">
        <f>IF(SUM(FR_data[[#This Row],[Response - Disasters and Crises  ]:[Enabling Functions  ]])=0,"",SUM(FR_data[[#This Row],[Response - Disasters and Crises  ]:[Enabling Functions  ]]))</f>
        <v/>
      </c>
      <c r="AA163" s="41"/>
    </row>
    <row r="164" spans="1:27" x14ac:dyDescent="0.3">
      <c r="A164" s="11" t="s">
        <v>319</v>
      </c>
      <c r="B164" s="11" t="s">
        <v>100</v>
      </c>
      <c r="C164" s="11" t="s">
        <v>320</v>
      </c>
      <c r="D164" s="30" t="str">
        <f>_xlfn.LET(
    _xlpm.sumValue, SUMIFS(
        PNS_data[Value],
        PNS_data[Country], FR_data[[#This Row],[Country]],
        PNS_data[National Society name], selected,
        PNS_data[Attribute], "SP1",
        PNS_data[Year], "2026"
    ),
    IF(_xlpm.sumValue = 0, "", _xlpm.sumValue)
)</f>
        <v/>
      </c>
      <c r="E164" s="31" t="str">
        <f>_xlfn.LET(
    _xlpm.sumValue, SUMIFS(
        PNS_data[Value],
        PNS_data[Country], FR_data[[#This Row],[Country]],
        PNS_data[National Society name], selected,
        PNS_data[Attribute], "SP2",
        PNS_data[Year], "2026"
    ),
    IF(_xlpm.sumValue = 0, "", _xlpm.sumValue)
)</f>
        <v/>
      </c>
      <c r="F164" s="31" t="str">
        <f>_xlfn.LET(
    _xlpm.sumValue, SUMIFS(
        PNS_data[Value],
        PNS_data[Country], FR_data[[#This Row],[Country]],
        PNS_data[National Society name], selected,
        PNS_data[Attribute], "SP3",
        PNS_data[Year], "2026"
    ),
    IF(_xlpm.sumValue = 0, "", _xlpm.sumValue)
)</f>
        <v/>
      </c>
      <c r="G164" s="31" t="str">
        <f>_xlfn.LET(
    _xlpm.sumValue, SUMIFS(
        PNS_data[Value],
        PNS_data[Country], FR_data[[#This Row],[Country]],
        PNS_data[National Society name], selected,
        PNS_data[Attribute], "SP4",
        PNS_data[Year], "2026"
    ),
    IF(_xlpm.sumValue = 0, "", _xlpm.sumValue)
)</f>
        <v/>
      </c>
      <c r="H164" s="31" t="str">
        <f>_xlfn.LET(
    _xlpm.sumValue, SUMIFS(
        PNS_data[Value],
        PNS_data[Country], FR_data[[#This Row],[Country]],
        PNS_data[National Society name], selected,
        PNS_data[Attribute], "SP5",
        PNS_data[Year], "2026"
    ),
    IF(_xlpm.sumValue = 0, "", _xlpm.sumValue)
)</f>
        <v/>
      </c>
      <c r="I164" s="31" t="str">
        <f>_xlfn.LET(
    _xlpm.sumValue, SUMIFS(
        PNS_data[Value],
        PNS_data[Country], FR_data[[#This Row],[Country]],
        PNS_data[National Society name], selected,
        PNS_data[Attribute], "EFs",
        PNS_data[Year], "2026"
    ),
    IF(_xlpm.sumValue = 0, "", _xlpm.sumValue)
)</f>
        <v/>
      </c>
      <c r="J164" s="32" t="str">
        <f>IF(SUM(FR_data[[#This Row],[Response - Disasters and Crises]:[Enabling Functions]])=0,"",SUM(FR_data[[#This Row],[Response - Disasters and Crises]:[Enabling Functions]]))</f>
        <v/>
      </c>
      <c r="K164" s="39"/>
      <c r="L164" s="30" t="str">
        <f>_xlfn.LET(
    _xlpm.sumValue, SUMIFS(
        PNS_data[Value],
        PNS_data[Country], FR_data[[#This Row],[Country]],
        PNS_data[National Society name], selected,
        PNS_data[Attribute], "SP1",
        PNS_data[Year], "2027"
    ),
    IF(_xlpm.sumValue = 0, "", _xlpm.sumValue)
)</f>
        <v/>
      </c>
      <c r="M164" s="31" t="str">
        <f>_xlfn.LET(
    _xlpm.sumValue, SUMIFS(
        PNS_data[Value],
        PNS_data[Country], FR_data[[#This Row],[Country]],
        PNS_data[National Society name], selected,
        PNS_data[Attribute], "SP2",
        PNS_data[Year], "2027"
    ),
    IF(_xlpm.sumValue = 0, "", _xlpm.sumValue)
)</f>
        <v/>
      </c>
      <c r="N164" s="31" t="str">
        <f>_xlfn.LET(
    _xlpm.sumValue, SUMIFS(
        PNS_data[Value],
        PNS_data[Country], FR_data[[#This Row],[Country]],
        PNS_data[National Society name], selected,
        PNS_data[Attribute], "SP3",
        PNS_data[Year], "2027"
    ),
    IF(_xlpm.sumValue = 0, "", _xlpm.sumValue)
)</f>
        <v/>
      </c>
      <c r="O164" s="31" t="str">
        <f>_xlfn.LET(
    _xlpm.sumValue, SUMIFS(
        PNS_data[Value],
        PNS_data[Country], FR_data[[#This Row],[Country]],
        PNS_data[National Society name], selected,
        PNS_data[Attribute], "SP4",
        PNS_data[Year], "2027"
    ),
    IF(_xlpm.sumValue = 0, "", _xlpm.sumValue)
)</f>
        <v/>
      </c>
      <c r="P164" s="31" t="str">
        <f>_xlfn.LET(
    _xlpm.sumValue, SUMIFS(
        PNS_data[Value],
        PNS_data[Country], FR_data[[#This Row],[Country]],
        PNS_data[National Society name], selected,
        PNS_data[Attribute], "SP5",
        PNS_data[Year], "2027"
    ),
    IF(_xlpm.sumValue = 0, "", _xlpm.sumValue)
)</f>
        <v/>
      </c>
      <c r="Q164" s="31" t="str">
        <f>_xlfn.LET(
    _xlpm.sumValue, SUMIFS(
        PNS_data[Value],
        PNS_data[Country], FR_data[[#This Row],[Country]],
        PNS_data[National Society name], selected,
        PNS_data[Attribute], "EFs",
        PNS_data[Year], "2027"
    ),
    IF(_xlpm.sumValue = 0, "", _xlpm.sumValue)
)</f>
        <v/>
      </c>
      <c r="R164" s="32" t="str">
        <f>IF(SUM(FR_data[[#This Row],[Response - Disasters and Crises ]:[Enabling Functions ]])=0,"",SUM(FR_data[[#This Row],[Response - Disasters and Crises ]:[Enabling Functions ]]))</f>
        <v/>
      </c>
      <c r="S164" s="39"/>
      <c r="T164" s="30" t="str">
        <f>_xlfn.LET(
    _xlpm.sumValue, SUMIFS(
        PNS_data[Value],
        PNS_data[Country], FR_data[[#This Row],[Country]],
        PNS_data[National Society name], selected,
        PNS_data[Attribute], "SP1",
        PNS_data[Year], "2028"
    ),
    IF(_xlpm.sumValue = 0, "", _xlpm.sumValue)
)</f>
        <v/>
      </c>
      <c r="U164" s="31" t="str">
        <f>_xlfn.LET(
    _xlpm.sumValue, SUMIFS(
        PNS_data[Value],
        PNS_data[Country], FR_data[[#This Row],[Country]],
        PNS_data[National Society name], selected,
        PNS_data[Attribute], "SP2",
        PNS_data[Year], "2028"
    ),
    IF(_xlpm.sumValue = 0, "", _xlpm.sumValue)
)</f>
        <v/>
      </c>
      <c r="V164" s="31" t="str">
        <f>_xlfn.LET(
    _xlpm.sumValue, SUMIFS(
        PNS_data[Value],
        PNS_data[Country], FR_data[[#This Row],[Country]],
        PNS_data[National Society name], selected,
        PNS_data[Attribute], "SP3",
        PNS_data[Year], "2028"
    ),
    IF(_xlpm.sumValue = 0, "", _xlpm.sumValue)
)</f>
        <v/>
      </c>
      <c r="W164" s="31" t="str">
        <f>_xlfn.LET(
    _xlpm.sumValue, SUMIFS(
        PNS_data[Value],
        PNS_data[Country], FR_data[[#This Row],[Country]],
        PNS_data[National Society name], selected,
        PNS_data[Attribute], "SP4",
        PNS_data[Year], "2028"
    ),
    IF(_xlpm.sumValue = 0, "", _xlpm.sumValue)
)</f>
        <v/>
      </c>
      <c r="X164" s="31" t="str">
        <f>_xlfn.LET(
    _xlpm.sumValue, SUMIFS(
        PNS_data[Value],
        PNS_data[Country], FR_data[[#This Row],[Country]],
        PNS_data[National Society name], selected,
        PNS_data[Attribute], "SP5",
        PNS_data[Year], "2028"
    ),
    IF(_xlpm.sumValue = 0, "", _xlpm.sumValue)
)</f>
        <v/>
      </c>
      <c r="Y164" s="31" t="str">
        <f>_xlfn.LET(
    _xlpm.sumValue, SUMIFS(
        PNS_data[Value],
        PNS_data[Country], FR_data[[#This Row],[Country]],
        PNS_data[National Society name], selected,
        PNS_data[Attribute], "EFs",
        PNS_data[Year], "2028"
    ),
    IF(_xlpm.sumValue = 0, "", _xlpm.sumValue)
)</f>
        <v/>
      </c>
      <c r="Z164" s="32" t="str">
        <f>IF(SUM(FR_data[[#This Row],[Response - Disasters and Crises  ]:[Enabling Functions  ]])=0,"",SUM(FR_data[[#This Row],[Response - Disasters and Crises  ]:[Enabling Functions  ]]))</f>
        <v/>
      </c>
      <c r="AA164" s="41"/>
    </row>
    <row r="165" spans="1:27" x14ac:dyDescent="0.3">
      <c r="A165" s="11" t="s">
        <v>321</v>
      </c>
      <c r="B165" s="11" t="s">
        <v>100</v>
      </c>
      <c r="C165" s="11" t="s">
        <v>322</v>
      </c>
      <c r="D165" s="30" t="str">
        <f>_xlfn.LET(
    _xlpm.sumValue, SUMIFS(
        PNS_data[Value],
        PNS_data[Country], FR_data[[#This Row],[Country]],
        PNS_data[National Society name], selected,
        PNS_data[Attribute], "SP1",
        PNS_data[Year], "2026"
    ),
    IF(_xlpm.sumValue = 0, "", _xlpm.sumValue)
)</f>
        <v/>
      </c>
      <c r="E165" s="31" t="str">
        <f>_xlfn.LET(
    _xlpm.sumValue, SUMIFS(
        PNS_data[Value],
        PNS_data[Country], FR_data[[#This Row],[Country]],
        PNS_data[National Society name], selected,
        PNS_data[Attribute], "SP2",
        PNS_data[Year], "2026"
    ),
    IF(_xlpm.sumValue = 0, "", _xlpm.sumValue)
)</f>
        <v/>
      </c>
      <c r="F165" s="31" t="str">
        <f>_xlfn.LET(
    _xlpm.sumValue, SUMIFS(
        PNS_data[Value],
        PNS_data[Country], FR_data[[#This Row],[Country]],
        PNS_data[National Society name], selected,
        PNS_data[Attribute], "SP3",
        PNS_data[Year], "2026"
    ),
    IF(_xlpm.sumValue = 0, "", _xlpm.sumValue)
)</f>
        <v/>
      </c>
      <c r="G165" s="31" t="str">
        <f>_xlfn.LET(
    _xlpm.sumValue, SUMIFS(
        PNS_data[Value],
        PNS_data[Country], FR_data[[#This Row],[Country]],
        PNS_data[National Society name], selected,
        PNS_data[Attribute], "SP4",
        PNS_data[Year], "2026"
    ),
    IF(_xlpm.sumValue = 0, "", _xlpm.sumValue)
)</f>
        <v/>
      </c>
      <c r="H165" s="31" t="str">
        <f>_xlfn.LET(
    _xlpm.sumValue, SUMIFS(
        PNS_data[Value],
        PNS_data[Country], FR_data[[#This Row],[Country]],
        PNS_data[National Society name], selected,
        PNS_data[Attribute], "SP5",
        PNS_data[Year], "2026"
    ),
    IF(_xlpm.sumValue = 0, "", _xlpm.sumValue)
)</f>
        <v/>
      </c>
      <c r="I165" s="31" t="str">
        <f>_xlfn.LET(
    _xlpm.sumValue, SUMIFS(
        PNS_data[Value],
        PNS_data[Country], FR_data[[#This Row],[Country]],
        PNS_data[National Society name], selected,
        PNS_data[Attribute], "EFs",
        PNS_data[Year], "2026"
    ),
    IF(_xlpm.sumValue = 0, "", _xlpm.sumValue)
)</f>
        <v/>
      </c>
      <c r="J165" s="32" t="str">
        <f>IF(SUM(FR_data[[#This Row],[Response - Disasters and Crises]:[Enabling Functions]])=0,"",SUM(FR_data[[#This Row],[Response - Disasters and Crises]:[Enabling Functions]]))</f>
        <v/>
      </c>
      <c r="K165" s="39"/>
      <c r="L165" s="30" t="str">
        <f>_xlfn.LET(
    _xlpm.sumValue, SUMIFS(
        PNS_data[Value],
        PNS_data[Country], FR_data[[#This Row],[Country]],
        PNS_data[National Society name], selected,
        PNS_data[Attribute], "SP1",
        PNS_data[Year], "2027"
    ),
    IF(_xlpm.sumValue = 0, "", _xlpm.sumValue)
)</f>
        <v/>
      </c>
      <c r="M165" s="31" t="str">
        <f>_xlfn.LET(
    _xlpm.sumValue, SUMIFS(
        PNS_data[Value],
        PNS_data[Country], FR_data[[#This Row],[Country]],
        PNS_data[National Society name], selected,
        PNS_data[Attribute], "SP2",
        PNS_data[Year], "2027"
    ),
    IF(_xlpm.sumValue = 0, "", _xlpm.sumValue)
)</f>
        <v/>
      </c>
      <c r="N165" s="31" t="str">
        <f>_xlfn.LET(
    _xlpm.sumValue, SUMIFS(
        PNS_data[Value],
        PNS_data[Country], FR_data[[#This Row],[Country]],
        PNS_data[National Society name], selected,
        PNS_data[Attribute], "SP3",
        PNS_data[Year], "2027"
    ),
    IF(_xlpm.sumValue = 0, "", _xlpm.sumValue)
)</f>
        <v/>
      </c>
      <c r="O165" s="31" t="str">
        <f>_xlfn.LET(
    _xlpm.sumValue, SUMIFS(
        PNS_data[Value],
        PNS_data[Country], FR_data[[#This Row],[Country]],
        PNS_data[National Society name], selected,
        PNS_data[Attribute], "SP4",
        PNS_data[Year], "2027"
    ),
    IF(_xlpm.sumValue = 0, "", _xlpm.sumValue)
)</f>
        <v/>
      </c>
      <c r="P165" s="31" t="str">
        <f>_xlfn.LET(
    _xlpm.sumValue, SUMIFS(
        PNS_data[Value],
        PNS_data[Country], FR_data[[#This Row],[Country]],
        PNS_data[National Society name], selected,
        PNS_data[Attribute], "SP5",
        PNS_data[Year], "2027"
    ),
    IF(_xlpm.sumValue = 0, "", _xlpm.sumValue)
)</f>
        <v/>
      </c>
      <c r="Q165" s="31" t="str">
        <f>_xlfn.LET(
    _xlpm.sumValue, SUMIFS(
        PNS_data[Value],
        PNS_data[Country], FR_data[[#This Row],[Country]],
        PNS_data[National Society name], selected,
        PNS_data[Attribute], "EFs",
        PNS_data[Year], "2027"
    ),
    IF(_xlpm.sumValue = 0, "", _xlpm.sumValue)
)</f>
        <v/>
      </c>
      <c r="R165" s="32" t="str">
        <f>IF(SUM(FR_data[[#This Row],[Response - Disasters and Crises ]:[Enabling Functions ]])=0,"",SUM(FR_data[[#This Row],[Response - Disasters and Crises ]:[Enabling Functions ]]))</f>
        <v/>
      </c>
      <c r="S165" s="39"/>
      <c r="T165" s="30" t="str">
        <f>_xlfn.LET(
    _xlpm.sumValue, SUMIFS(
        PNS_data[Value],
        PNS_data[Country], FR_data[[#This Row],[Country]],
        PNS_data[National Society name], selected,
        PNS_data[Attribute], "SP1",
        PNS_data[Year], "2028"
    ),
    IF(_xlpm.sumValue = 0, "", _xlpm.sumValue)
)</f>
        <v/>
      </c>
      <c r="U165" s="31" t="str">
        <f>_xlfn.LET(
    _xlpm.sumValue, SUMIFS(
        PNS_data[Value],
        PNS_data[Country], FR_data[[#This Row],[Country]],
        PNS_data[National Society name], selected,
        PNS_data[Attribute], "SP2",
        PNS_data[Year], "2028"
    ),
    IF(_xlpm.sumValue = 0, "", _xlpm.sumValue)
)</f>
        <v/>
      </c>
      <c r="V165" s="31" t="str">
        <f>_xlfn.LET(
    _xlpm.sumValue, SUMIFS(
        PNS_data[Value],
        PNS_data[Country], FR_data[[#This Row],[Country]],
        PNS_data[National Society name], selected,
        PNS_data[Attribute], "SP3",
        PNS_data[Year], "2028"
    ),
    IF(_xlpm.sumValue = 0, "", _xlpm.sumValue)
)</f>
        <v/>
      </c>
      <c r="W165" s="31" t="str">
        <f>_xlfn.LET(
    _xlpm.sumValue, SUMIFS(
        PNS_data[Value],
        PNS_data[Country], FR_data[[#This Row],[Country]],
        PNS_data[National Society name], selected,
        PNS_data[Attribute], "SP4",
        PNS_data[Year], "2028"
    ),
    IF(_xlpm.sumValue = 0, "", _xlpm.sumValue)
)</f>
        <v/>
      </c>
      <c r="X165" s="31" t="str">
        <f>_xlfn.LET(
    _xlpm.sumValue, SUMIFS(
        PNS_data[Value],
        PNS_data[Country], FR_data[[#This Row],[Country]],
        PNS_data[National Society name], selected,
        PNS_data[Attribute], "SP5",
        PNS_data[Year], "2028"
    ),
    IF(_xlpm.sumValue = 0, "", _xlpm.sumValue)
)</f>
        <v/>
      </c>
      <c r="Y165" s="31" t="str">
        <f>_xlfn.LET(
    _xlpm.sumValue, SUMIFS(
        PNS_data[Value],
        PNS_data[Country], FR_data[[#This Row],[Country]],
        PNS_data[National Society name], selected,
        PNS_data[Attribute], "EFs",
        PNS_data[Year], "2028"
    ),
    IF(_xlpm.sumValue = 0, "", _xlpm.sumValue)
)</f>
        <v/>
      </c>
      <c r="Z165" s="32" t="str">
        <f>IF(SUM(FR_data[[#This Row],[Response - Disasters and Crises  ]:[Enabling Functions  ]])=0,"",SUM(FR_data[[#This Row],[Response - Disasters and Crises  ]:[Enabling Functions  ]]))</f>
        <v/>
      </c>
      <c r="AA165" s="41"/>
    </row>
    <row r="166" spans="1:27" x14ac:dyDescent="0.3">
      <c r="A166" s="11" t="s">
        <v>423</v>
      </c>
      <c r="B166" s="11" t="s">
        <v>100</v>
      </c>
      <c r="C166" s="11" t="s">
        <v>48</v>
      </c>
      <c r="D166" s="30" t="str">
        <f>_xlfn.LET(
    _xlpm.sumValue, SUMIFS(
        PNS_data[Value],
        PNS_data[Country], FR_data[[#This Row],[Country]],
        PNS_data[National Society name], selected,
        PNS_data[Attribute], "SP1",
        PNS_data[Year], "2026"
    ),
    IF(_xlpm.sumValue = 0, "", _xlpm.sumValue)
)</f>
        <v/>
      </c>
      <c r="E166" s="31" t="str">
        <f>_xlfn.LET(
    _xlpm.sumValue, SUMIFS(
        PNS_data[Value],
        PNS_data[Country], FR_data[[#This Row],[Country]],
        PNS_data[National Society name], selected,
        PNS_data[Attribute], "SP2",
        PNS_data[Year], "2026"
    ),
    IF(_xlpm.sumValue = 0, "", _xlpm.sumValue)
)</f>
        <v/>
      </c>
      <c r="F166" s="31" t="str">
        <f>_xlfn.LET(
    _xlpm.sumValue, SUMIFS(
        PNS_data[Value],
        PNS_data[Country], FR_data[[#This Row],[Country]],
        PNS_data[National Society name], selected,
        PNS_data[Attribute], "SP3",
        PNS_data[Year], "2026"
    ),
    IF(_xlpm.sumValue = 0, "", _xlpm.sumValue)
)</f>
        <v/>
      </c>
      <c r="G166" s="31" t="str">
        <f>_xlfn.LET(
    _xlpm.sumValue, SUMIFS(
        PNS_data[Value],
        PNS_data[Country], FR_data[[#This Row],[Country]],
        PNS_data[National Society name], selected,
        PNS_data[Attribute], "SP4",
        PNS_data[Year], "2026"
    ),
    IF(_xlpm.sumValue = 0, "", _xlpm.sumValue)
)</f>
        <v/>
      </c>
      <c r="H166" s="31" t="str">
        <f>_xlfn.LET(
    _xlpm.sumValue, SUMIFS(
        PNS_data[Value],
        PNS_data[Country], FR_data[[#This Row],[Country]],
        PNS_data[National Society name], selected,
        PNS_data[Attribute], "SP5",
        PNS_data[Year], "2026"
    ),
    IF(_xlpm.sumValue = 0, "", _xlpm.sumValue)
)</f>
        <v/>
      </c>
      <c r="I166" s="31" t="str">
        <f>_xlfn.LET(
    _xlpm.sumValue, SUMIFS(
        PNS_data[Value],
        PNS_data[Country], FR_data[[#This Row],[Country]],
        PNS_data[National Society name], selected,
        PNS_data[Attribute], "EFs",
        PNS_data[Year], "2026"
    ),
    IF(_xlpm.sumValue = 0, "", _xlpm.sumValue)
)</f>
        <v/>
      </c>
      <c r="J166" s="32" t="str">
        <f>IF(SUM(FR_data[[#This Row],[Response - Disasters and Crises]:[Enabling Functions]])=0,"",SUM(FR_data[[#This Row],[Response - Disasters and Crises]:[Enabling Functions]]))</f>
        <v/>
      </c>
      <c r="K166" s="39"/>
      <c r="L166" s="30" t="str">
        <f>_xlfn.LET(
    _xlpm.sumValue, SUMIFS(
        PNS_data[Value],
        PNS_data[Country], FR_data[[#This Row],[Country]],
        PNS_data[National Society name], selected,
        PNS_data[Attribute], "SP1",
        PNS_data[Year], "2027"
    ),
    IF(_xlpm.sumValue = 0, "", _xlpm.sumValue)
)</f>
        <v/>
      </c>
      <c r="M166" s="31" t="str">
        <f>_xlfn.LET(
    _xlpm.sumValue, SUMIFS(
        PNS_data[Value],
        PNS_data[Country], FR_data[[#This Row],[Country]],
        PNS_data[National Society name], selected,
        PNS_data[Attribute], "SP2",
        PNS_data[Year], "2027"
    ),
    IF(_xlpm.sumValue = 0, "", _xlpm.sumValue)
)</f>
        <v/>
      </c>
      <c r="N166" s="31" t="str">
        <f>_xlfn.LET(
    _xlpm.sumValue, SUMIFS(
        PNS_data[Value],
        PNS_data[Country], FR_data[[#This Row],[Country]],
        PNS_data[National Society name], selected,
        PNS_data[Attribute], "SP3",
        PNS_data[Year], "2027"
    ),
    IF(_xlpm.sumValue = 0, "", _xlpm.sumValue)
)</f>
        <v/>
      </c>
      <c r="O166" s="31" t="str">
        <f>_xlfn.LET(
    _xlpm.sumValue, SUMIFS(
        PNS_data[Value],
        PNS_data[Country], FR_data[[#This Row],[Country]],
        PNS_data[National Society name], selected,
        PNS_data[Attribute], "SP4",
        PNS_data[Year], "2027"
    ),
    IF(_xlpm.sumValue = 0, "", _xlpm.sumValue)
)</f>
        <v/>
      </c>
      <c r="P166" s="31" t="str">
        <f>_xlfn.LET(
    _xlpm.sumValue, SUMIFS(
        PNS_data[Value],
        PNS_data[Country], FR_data[[#This Row],[Country]],
        PNS_data[National Society name], selected,
        PNS_data[Attribute], "SP5",
        PNS_data[Year], "2027"
    ),
    IF(_xlpm.sumValue = 0, "", _xlpm.sumValue)
)</f>
        <v/>
      </c>
      <c r="Q166" s="31" t="str">
        <f>_xlfn.LET(
    _xlpm.sumValue, SUMIFS(
        PNS_data[Value],
        PNS_data[Country], FR_data[[#This Row],[Country]],
        PNS_data[National Society name], selected,
        PNS_data[Attribute], "EFs",
        PNS_data[Year], "2027"
    ),
    IF(_xlpm.sumValue = 0, "", _xlpm.sumValue)
)</f>
        <v/>
      </c>
      <c r="R166" s="32" t="str">
        <f>IF(SUM(FR_data[[#This Row],[Response - Disasters and Crises ]:[Enabling Functions ]])=0,"",SUM(FR_data[[#This Row],[Response - Disasters and Crises ]:[Enabling Functions ]]))</f>
        <v/>
      </c>
      <c r="S166" s="39"/>
      <c r="T166" s="30" t="str">
        <f>_xlfn.LET(
    _xlpm.sumValue, SUMIFS(
        PNS_data[Value],
        PNS_data[Country], FR_data[[#This Row],[Country]],
        PNS_data[National Society name], selected,
        PNS_data[Attribute], "SP1",
        PNS_data[Year], "2028"
    ),
    IF(_xlpm.sumValue = 0, "", _xlpm.sumValue)
)</f>
        <v/>
      </c>
      <c r="U166" s="31" t="str">
        <f>_xlfn.LET(
    _xlpm.sumValue, SUMIFS(
        PNS_data[Value],
        PNS_data[Country], FR_data[[#This Row],[Country]],
        PNS_data[National Society name], selected,
        PNS_data[Attribute], "SP2",
        PNS_data[Year], "2028"
    ),
    IF(_xlpm.sumValue = 0, "", _xlpm.sumValue)
)</f>
        <v/>
      </c>
      <c r="V166" s="31" t="str">
        <f>_xlfn.LET(
    _xlpm.sumValue, SUMIFS(
        PNS_data[Value],
        PNS_data[Country], FR_data[[#This Row],[Country]],
        PNS_data[National Society name], selected,
        PNS_data[Attribute], "SP3",
        PNS_data[Year], "2028"
    ),
    IF(_xlpm.sumValue = 0, "", _xlpm.sumValue)
)</f>
        <v/>
      </c>
      <c r="W166" s="31" t="str">
        <f>_xlfn.LET(
    _xlpm.sumValue, SUMIFS(
        PNS_data[Value],
        PNS_data[Country], FR_data[[#This Row],[Country]],
        PNS_data[National Society name], selected,
        PNS_data[Attribute], "SP4",
        PNS_data[Year], "2028"
    ),
    IF(_xlpm.sumValue = 0, "", _xlpm.sumValue)
)</f>
        <v/>
      </c>
      <c r="X166" s="31" t="str">
        <f>_xlfn.LET(
    _xlpm.sumValue, SUMIFS(
        PNS_data[Value],
        PNS_data[Country], FR_data[[#This Row],[Country]],
        PNS_data[National Society name], selected,
        PNS_data[Attribute], "SP5",
        PNS_data[Year], "2028"
    ),
    IF(_xlpm.sumValue = 0, "", _xlpm.sumValue)
)</f>
        <v/>
      </c>
      <c r="Y166" s="31" t="str">
        <f>_xlfn.LET(
    _xlpm.sumValue, SUMIFS(
        PNS_data[Value],
        PNS_data[Country], FR_data[[#This Row],[Country]],
        PNS_data[National Society name], selected,
        PNS_data[Attribute], "EFs",
        PNS_data[Year], "2028"
    ),
    IF(_xlpm.sumValue = 0, "", _xlpm.sumValue)
)</f>
        <v/>
      </c>
      <c r="Z166" s="32" t="str">
        <f>IF(SUM(FR_data[[#This Row],[Response - Disasters and Crises  ]:[Enabling Functions  ]])=0,"",SUM(FR_data[[#This Row],[Response - Disasters and Crises  ]:[Enabling Functions  ]]))</f>
        <v/>
      </c>
      <c r="AA166" s="41"/>
    </row>
    <row r="167" spans="1:27" x14ac:dyDescent="0.3">
      <c r="A167" s="11" t="s">
        <v>275</v>
      </c>
      <c r="B167" s="11" t="s">
        <v>100</v>
      </c>
      <c r="C167" s="11" t="s">
        <v>276</v>
      </c>
      <c r="D167" s="30" t="str">
        <f>_xlfn.LET(
    _xlpm.sumValue, SUMIFS(
        PNS_data[Value],
        PNS_data[Country], FR_data[[#This Row],[Country]],
        PNS_data[National Society name], selected,
        PNS_data[Attribute], "SP1",
        PNS_data[Year], "2026"
    ),
    IF(_xlpm.sumValue = 0, "", _xlpm.sumValue)
)</f>
        <v/>
      </c>
      <c r="E167" s="31" t="str">
        <f>_xlfn.LET(
    _xlpm.sumValue, SUMIFS(
        PNS_data[Value],
        PNS_data[Country], FR_data[[#This Row],[Country]],
        PNS_data[National Society name], selected,
        PNS_data[Attribute], "SP2",
        PNS_data[Year], "2026"
    ),
    IF(_xlpm.sumValue = 0, "", _xlpm.sumValue)
)</f>
        <v/>
      </c>
      <c r="F167" s="31" t="str">
        <f>_xlfn.LET(
    _xlpm.sumValue, SUMIFS(
        PNS_data[Value],
        PNS_data[Country], FR_data[[#This Row],[Country]],
        PNS_data[National Society name], selected,
        PNS_data[Attribute], "SP3",
        PNS_data[Year], "2026"
    ),
    IF(_xlpm.sumValue = 0, "", _xlpm.sumValue)
)</f>
        <v/>
      </c>
      <c r="G167" s="31" t="str">
        <f>_xlfn.LET(
    _xlpm.sumValue, SUMIFS(
        PNS_data[Value],
        PNS_data[Country], FR_data[[#This Row],[Country]],
        PNS_data[National Society name], selected,
        PNS_data[Attribute], "SP4",
        PNS_data[Year], "2026"
    ),
    IF(_xlpm.sumValue = 0, "", _xlpm.sumValue)
)</f>
        <v/>
      </c>
      <c r="H167" s="31" t="str">
        <f>_xlfn.LET(
    _xlpm.sumValue, SUMIFS(
        PNS_data[Value],
        PNS_data[Country], FR_data[[#This Row],[Country]],
        PNS_data[National Society name], selected,
        PNS_data[Attribute], "SP5",
        PNS_data[Year], "2026"
    ),
    IF(_xlpm.sumValue = 0, "", _xlpm.sumValue)
)</f>
        <v/>
      </c>
      <c r="I167" s="31" t="str">
        <f>_xlfn.LET(
    _xlpm.sumValue, SUMIFS(
        PNS_data[Value],
        PNS_data[Country], FR_data[[#This Row],[Country]],
        PNS_data[National Society name], selected,
        PNS_data[Attribute], "EFs",
        PNS_data[Year], "2026"
    ),
    IF(_xlpm.sumValue = 0, "", _xlpm.sumValue)
)</f>
        <v/>
      </c>
      <c r="J167" s="32" t="str">
        <f>IF(SUM(FR_data[[#This Row],[Response - Disasters and Crises]:[Enabling Functions]])=0,"",SUM(FR_data[[#This Row],[Response - Disasters and Crises]:[Enabling Functions]]))</f>
        <v/>
      </c>
      <c r="K167" s="39"/>
      <c r="L167" s="30" t="str">
        <f>_xlfn.LET(
    _xlpm.sumValue, SUMIFS(
        PNS_data[Value],
        PNS_data[Country], FR_data[[#This Row],[Country]],
        PNS_data[National Society name], selected,
        PNS_data[Attribute], "SP1",
        PNS_data[Year], "2027"
    ),
    IF(_xlpm.sumValue = 0, "", _xlpm.sumValue)
)</f>
        <v/>
      </c>
      <c r="M167" s="31" t="str">
        <f>_xlfn.LET(
    _xlpm.sumValue, SUMIFS(
        PNS_data[Value],
        PNS_data[Country], FR_data[[#This Row],[Country]],
        PNS_data[National Society name], selected,
        PNS_data[Attribute], "SP2",
        PNS_data[Year], "2027"
    ),
    IF(_xlpm.sumValue = 0, "", _xlpm.sumValue)
)</f>
        <v/>
      </c>
      <c r="N167" s="31" t="str">
        <f>_xlfn.LET(
    _xlpm.sumValue, SUMIFS(
        PNS_data[Value],
        PNS_data[Country], FR_data[[#This Row],[Country]],
        PNS_data[National Society name], selected,
        PNS_data[Attribute], "SP3",
        PNS_data[Year], "2027"
    ),
    IF(_xlpm.sumValue = 0, "", _xlpm.sumValue)
)</f>
        <v/>
      </c>
      <c r="O167" s="31" t="str">
        <f>_xlfn.LET(
    _xlpm.sumValue, SUMIFS(
        PNS_data[Value],
        PNS_data[Country], FR_data[[#This Row],[Country]],
        PNS_data[National Society name], selected,
        PNS_data[Attribute], "SP4",
        PNS_data[Year], "2027"
    ),
    IF(_xlpm.sumValue = 0, "", _xlpm.sumValue)
)</f>
        <v/>
      </c>
      <c r="P167" s="31" t="str">
        <f>_xlfn.LET(
    _xlpm.sumValue, SUMIFS(
        PNS_data[Value],
        PNS_data[Country], FR_data[[#This Row],[Country]],
        PNS_data[National Society name], selected,
        PNS_data[Attribute], "SP5",
        PNS_data[Year], "2027"
    ),
    IF(_xlpm.sumValue = 0, "", _xlpm.sumValue)
)</f>
        <v/>
      </c>
      <c r="Q167" s="31" t="str">
        <f>_xlfn.LET(
    _xlpm.sumValue, SUMIFS(
        PNS_data[Value],
        PNS_data[Country], FR_data[[#This Row],[Country]],
        PNS_data[National Society name], selected,
        PNS_data[Attribute], "EFs",
        PNS_data[Year], "2027"
    ),
    IF(_xlpm.sumValue = 0, "", _xlpm.sumValue)
)</f>
        <v/>
      </c>
      <c r="R167" s="32" t="str">
        <f>IF(SUM(FR_data[[#This Row],[Response - Disasters and Crises ]:[Enabling Functions ]])=0,"",SUM(FR_data[[#This Row],[Response - Disasters and Crises ]:[Enabling Functions ]]))</f>
        <v/>
      </c>
      <c r="S167" s="39"/>
      <c r="T167" s="30" t="str">
        <f>_xlfn.LET(
    _xlpm.sumValue, SUMIFS(
        PNS_data[Value],
        PNS_data[Country], FR_data[[#This Row],[Country]],
        PNS_data[National Society name], selected,
        PNS_data[Attribute], "SP1",
        PNS_data[Year], "2028"
    ),
    IF(_xlpm.sumValue = 0, "", _xlpm.sumValue)
)</f>
        <v/>
      </c>
      <c r="U167" s="31" t="str">
        <f>_xlfn.LET(
    _xlpm.sumValue, SUMIFS(
        PNS_data[Value],
        PNS_data[Country], FR_data[[#This Row],[Country]],
        PNS_data[National Society name], selected,
        PNS_data[Attribute], "SP2",
        PNS_data[Year], "2028"
    ),
    IF(_xlpm.sumValue = 0, "", _xlpm.sumValue)
)</f>
        <v/>
      </c>
      <c r="V167" s="31" t="str">
        <f>_xlfn.LET(
    _xlpm.sumValue, SUMIFS(
        PNS_data[Value],
        PNS_data[Country], FR_data[[#This Row],[Country]],
        PNS_data[National Society name], selected,
        PNS_data[Attribute], "SP3",
        PNS_data[Year], "2028"
    ),
    IF(_xlpm.sumValue = 0, "", _xlpm.sumValue)
)</f>
        <v/>
      </c>
      <c r="W167" s="31" t="str">
        <f>_xlfn.LET(
    _xlpm.sumValue, SUMIFS(
        PNS_data[Value],
        PNS_data[Country], FR_data[[#This Row],[Country]],
        PNS_data[National Society name], selected,
        PNS_data[Attribute], "SP4",
        PNS_data[Year], "2028"
    ),
    IF(_xlpm.sumValue = 0, "", _xlpm.sumValue)
)</f>
        <v/>
      </c>
      <c r="X167" s="31" t="str">
        <f>_xlfn.LET(
    _xlpm.sumValue, SUMIFS(
        PNS_data[Value],
        PNS_data[Country], FR_data[[#This Row],[Country]],
        PNS_data[National Society name], selected,
        PNS_data[Attribute], "SP5",
        PNS_data[Year], "2028"
    ),
    IF(_xlpm.sumValue = 0, "", _xlpm.sumValue)
)</f>
        <v/>
      </c>
      <c r="Y167" s="31" t="str">
        <f>_xlfn.LET(
    _xlpm.sumValue, SUMIFS(
        PNS_data[Value],
        PNS_data[Country], FR_data[[#This Row],[Country]],
        PNS_data[National Society name], selected,
        PNS_data[Attribute], "EFs",
        PNS_data[Year], "2028"
    ),
    IF(_xlpm.sumValue = 0, "", _xlpm.sumValue)
)</f>
        <v/>
      </c>
      <c r="Z167" s="32" t="str">
        <f>IF(SUM(FR_data[[#This Row],[Response - Disasters and Crises  ]:[Enabling Functions  ]])=0,"",SUM(FR_data[[#This Row],[Response - Disasters and Crises  ]:[Enabling Functions  ]]))</f>
        <v/>
      </c>
      <c r="AA167" s="41"/>
    </row>
    <row r="168" spans="1:27" x14ac:dyDescent="0.3">
      <c r="A168" s="11" t="s">
        <v>325</v>
      </c>
      <c r="B168" s="11" t="s">
        <v>100</v>
      </c>
      <c r="C168" s="11" t="s">
        <v>59</v>
      </c>
      <c r="D168" s="30" t="str">
        <f>_xlfn.LET(
    _xlpm.sumValue, SUMIFS(
        PNS_data[Value],
        PNS_data[Country], FR_data[[#This Row],[Country]],
        PNS_data[National Society name], selected,
        PNS_data[Attribute], "SP1",
        PNS_data[Year], "2026"
    ),
    IF(_xlpm.sumValue = 0, "", _xlpm.sumValue)
)</f>
        <v/>
      </c>
      <c r="E168" s="31" t="str">
        <f>_xlfn.LET(
    _xlpm.sumValue, SUMIFS(
        PNS_data[Value],
        PNS_data[Country], FR_data[[#This Row],[Country]],
        PNS_data[National Society name], selected,
        PNS_data[Attribute], "SP2",
        PNS_data[Year], "2026"
    ),
    IF(_xlpm.sumValue = 0, "", _xlpm.sumValue)
)</f>
        <v/>
      </c>
      <c r="F168" s="31" t="str">
        <f>_xlfn.LET(
    _xlpm.sumValue, SUMIFS(
        PNS_data[Value],
        PNS_data[Country], FR_data[[#This Row],[Country]],
        PNS_data[National Society name], selected,
        PNS_data[Attribute], "SP3",
        PNS_data[Year], "2026"
    ),
    IF(_xlpm.sumValue = 0, "", _xlpm.sumValue)
)</f>
        <v/>
      </c>
      <c r="G168" s="31" t="str">
        <f>_xlfn.LET(
    _xlpm.sumValue, SUMIFS(
        PNS_data[Value],
        PNS_data[Country], FR_data[[#This Row],[Country]],
        PNS_data[National Society name], selected,
        PNS_data[Attribute], "SP4",
        PNS_data[Year], "2026"
    ),
    IF(_xlpm.sumValue = 0, "", _xlpm.sumValue)
)</f>
        <v/>
      </c>
      <c r="H168" s="31" t="str">
        <f>_xlfn.LET(
    _xlpm.sumValue, SUMIFS(
        PNS_data[Value],
        PNS_data[Country], FR_data[[#This Row],[Country]],
        PNS_data[National Society name], selected,
        PNS_data[Attribute], "SP5",
        PNS_data[Year], "2026"
    ),
    IF(_xlpm.sumValue = 0, "", _xlpm.sumValue)
)</f>
        <v/>
      </c>
      <c r="I168" s="31" t="str">
        <f>_xlfn.LET(
    _xlpm.sumValue, SUMIFS(
        PNS_data[Value],
        PNS_data[Country], FR_data[[#This Row],[Country]],
        PNS_data[National Society name], selected,
        PNS_data[Attribute], "EFs",
        PNS_data[Year], "2026"
    ),
    IF(_xlpm.sumValue = 0, "", _xlpm.sumValue)
)</f>
        <v/>
      </c>
      <c r="J168" s="32" t="str">
        <f>IF(SUM(FR_data[[#This Row],[Response - Disasters and Crises]:[Enabling Functions]])=0,"",SUM(FR_data[[#This Row],[Response - Disasters and Crises]:[Enabling Functions]]))</f>
        <v/>
      </c>
      <c r="K168" s="39"/>
      <c r="L168" s="30" t="str">
        <f>_xlfn.LET(
    _xlpm.sumValue, SUMIFS(
        PNS_data[Value],
        PNS_data[Country], FR_data[[#This Row],[Country]],
        PNS_data[National Society name], selected,
        PNS_data[Attribute], "SP1",
        PNS_data[Year], "2027"
    ),
    IF(_xlpm.sumValue = 0, "", _xlpm.sumValue)
)</f>
        <v/>
      </c>
      <c r="M168" s="31" t="str">
        <f>_xlfn.LET(
    _xlpm.sumValue, SUMIFS(
        PNS_data[Value],
        PNS_data[Country], FR_data[[#This Row],[Country]],
        PNS_data[National Society name], selected,
        PNS_data[Attribute], "SP2",
        PNS_data[Year], "2027"
    ),
    IF(_xlpm.sumValue = 0, "", _xlpm.sumValue)
)</f>
        <v/>
      </c>
      <c r="N168" s="31" t="str">
        <f>_xlfn.LET(
    _xlpm.sumValue, SUMIFS(
        PNS_data[Value],
        PNS_data[Country], FR_data[[#This Row],[Country]],
        PNS_data[National Society name], selected,
        PNS_data[Attribute], "SP3",
        PNS_data[Year], "2027"
    ),
    IF(_xlpm.sumValue = 0, "", _xlpm.sumValue)
)</f>
        <v/>
      </c>
      <c r="O168" s="31" t="str">
        <f>_xlfn.LET(
    _xlpm.sumValue, SUMIFS(
        PNS_data[Value],
        PNS_data[Country], FR_data[[#This Row],[Country]],
        PNS_data[National Society name], selected,
        PNS_data[Attribute], "SP4",
        PNS_data[Year], "2027"
    ),
    IF(_xlpm.sumValue = 0, "", _xlpm.sumValue)
)</f>
        <v/>
      </c>
      <c r="P168" s="31" t="str">
        <f>_xlfn.LET(
    _xlpm.sumValue, SUMIFS(
        PNS_data[Value],
        PNS_data[Country], FR_data[[#This Row],[Country]],
        PNS_data[National Society name], selected,
        PNS_data[Attribute], "SP5",
        PNS_data[Year], "2027"
    ),
    IF(_xlpm.sumValue = 0, "", _xlpm.sumValue)
)</f>
        <v/>
      </c>
      <c r="Q168" s="31" t="str">
        <f>_xlfn.LET(
    _xlpm.sumValue, SUMIFS(
        PNS_data[Value],
        PNS_data[Country], FR_data[[#This Row],[Country]],
        PNS_data[National Society name], selected,
        PNS_data[Attribute], "EFs",
        PNS_data[Year], "2027"
    ),
    IF(_xlpm.sumValue = 0, "", _xlpm.sumValue)
)</f>
        <v/>
      </c>
      <c r="R168" s="32" t="str">
        <f>IF(SUM(FR_data[[#This Row],[Response - Disasters and Crises ]:[Enabling Functions ]])=0,"",SUM(FR_data[[#This Row],[Response - Disasters and Crises ]:[Enabling Functions ]]))</f>
        <v/>
      </c>
      <c r="S168" s="39"/>
      <c r="T168" s="30" t="str">
        <f>_xlfn.LET(
    _xlpm.sumValue, SUMIFS(
        PNS_data[Value],
        PNS_data[Country], FR_data[[#This Row],[Country]],
        PNS_data[National Society name], selected,
        PNS_data[Attribute], "SP1",
        PNS_data[Year], "2028"
    ),
    IF(_xlpm.sumValue = 0, "", _xlpm.sumValue)
)</f>
        <v/>
      </c>
      <c r="U168" s="31" t="str">
        <f>_xlfn.LET(
    _xlpm.sumValue, SUMIFS(
        PNS_data[Value],
        PNS_data[Country], FR_data[[#This Row],[Country]],
        PNS_data[National Society name], selected,
        PNS_data[Attribute], "SP2",
        PNS_data[Year], "2028"
    ),
    IF(_xlpm.sumValue = 0, "", _xlpm.sumValue)
)</f>
        <v/>
      </c>
      <c r="V168" s="31" t="str">
        <f>_xlfn.LET(
    _xlpm.sumValue, SUMIFS(
        PNS_data[Value],
        PNS_data[Country], FR_data[[#This Row],[Country]],
        PNS_data[National Society name], selected,
        PNS_data[Attribute], "SP3",
        PNS_data[Year], "2028"
    ),
    IF(_xlpm.sumValue = 0, "", _xlpm.sumValue)
)</f>
        <v/>
      </c>
      <c r="W168" s="31" t="str">
        <f>_xlfn.LET(
    _xlpm.sumValue, SUMIFS(
        PNS_data[Value],
        PNS_data[Country], FR_data[[#This Row],[Country]],
        PNS_data[National Society name], selected,
        PNS_data[Attribute], "SP4",
        PNS_data[Year], "2028"
    ),
    IF(_xlpm.sumValue = 0, "", _xlpm.sumValue)
)</f>
        <v/>
      </c>
      <c r="X168" s="31" t="str">
        <f>_xlfn.LET(
    _xlpm.sumValue, SUMIFS(
        PNS_data[Value],
        PNS_data[Country], FR_data[[#This Row],[Country]],
        PNS_data[National Society name], selected,
        PNS_data[Attribute], "SP5",
        PNS_data[Year], "2028"
    ),
    IF(_xlpm.sumValue = 0, "", _xlpm.sumValue)
)</f>
        <v/>
      </c>
      <c r="Y168" s="31" t="str">
        <f>_xlfn.LET(
    _xlpm.sumValue, SUMIFS(
        PNS_data[Value],
        PNS_data[Country], FR_data[[#This Row],[Country]],
        PNS_data[National Society name], selected,
        PNS_data[Attribute], "EFs",
        PNS_data[Year], "2028"
    ),
    IF(_xlpm.sumValue = 0, "", _xlpm.sumValue)
)</f>
        <v/>
      </c>
      <c r="Z168" s="32" t="str">
        <f>IF(SUM(FR_data[[#This Row],[Response - Disasters and Crises  ]:[Enabling Functions  ]])=0,"",SUM(FR_data[[#This Row],[Response - Disasters and Crises  ]:[Enabling Functions  ]]))</f>
        <v/>
      </c>
      <c r="AA168" s="41"/>
    </row>
    <row r="169" spans="1:27" x14ac:dyDescent="0.3">
      <c r="A169" s="11" t="s">
        <v>279</v>
      </c>
      <c r="B169" s="11" t="s">
        <v>100</v>
      </c>
      <c r="C169" s="11" t="s">
        <v>280</v>
      </c>
      <c r="D169" s="30" t="str">
        <f>_xlfn.LET(
    _xlpm.sumValue, SUMIFS(
        PNS_data[Value],
        PNS_data[Country], FR_data[[#This Row],[Country]],
        PNS_data[National Society name], selected,
        PNS_data[Attribute], "SP1",
        PNS_data[Year], "2026"
    ),
    IF(_xlpm.sumValue = 0, "", _xlpm.sumValue)
)</f>
        <v/>
      </c>
      <c r="E169" s="31" t="str">
        <f>_xlfn.LET(
    _xlpm.sumValue, SUMIFS(
        PNS_data[Value],
        PNS_data[Country], FR_data[[#This Row],[Country]],
        PNS_data[National Society name], selected,
        PNS_data[Attribute], "SP2",
        PNS_data[Year], "2026"
    ),
    IF(_xlpm.sumValue = 0, "", _xlpm.sumValue)
)</f>
        <v/>
      </c>
      <c r="F169" s="31" t="str">
        <f>_xlfn.LET(
    _xlpm.sumValue, SUMIFS(
        PNS_data[Value],
        PNS_data[Country], FR_data[[#This Row],[Country]],
        PNS_data[National Society name], selected,
        PNS_data[Attribute], "SP3",
        PNS_data[Year], "2026"
    ),
    IF(_xlpm.sumValue = 0, "", _xlpm.sumValue)
)</f>
        <v/>
      </c>
      <c r="G169" s="31" t="str">
        <f>_xlfn.LET(
    _xlpm.sumValue, SUMIFS(
        PNS_data[Value],
        PNS_data[Country], FR_data[[#This Row],[Country]],
        PNS_data[National Society name], selected,
        PNS_data[Attribute], "SP4",
        PNS_data[Year], "2026"
    ),
    IF(_xlpm.sumValue = 0, "", _xlpm.sumValue)
)</f>
        <v/>
      </c>
      <c r="H169" s="31" t="str">
        <f>_xlfn.LET(
    _xlpm.sumValue, SUMIFS(
        PNS_data[Value],
        PNS_data[Country], FR_data[[#This Row],[Country]],
        PNS_data[National Society name], selected,
        PNS_data[Attribute], "SP5",
        PNS_data[Year], "2026"
    ),
    IF(_xlpm.sumValue = 0, "", _xlpm.sumValue)
)</f>
        <v/>
      </c>
      <c r="I169" s="31" t="str">
        <f>_xlfn.LET(
    _xlpm.sumValue, SUMIFS(
        PNS_data[Value],
        PNS_data[Country], FR_data[[#This Row],[Country]],
        PNS_data[National Society name], selected,
        PNS_data[Attribute], "EFs",
        PNS_data[Year], "2026"
    ),
    IF(_xlpm.sumValue = 0, "", _xlpm.sumValue)
)</f>
        <v/>
      </c>
      <c r="J169" s="32" t="str">
        <f>IF(SUM(FR_data[[#This Row],[Response - Disasters and Crises]:[Enabling Functions]])=0,"",SUM(FR_data[[#This Row],[Response - Disasters and Crises]:[Enabling Functions]]))</f>
        <v/>
      </c>
      <c r="K169" s="39"/>
      <c r="L169" s="30" t="str">
        <f>_xlfn.LET(
    _xlpm.sumValue, SUMIFS(
        PNS_data[Value],
        PNS_data[Country], FR_data[[#This Row],[Country]],
        PNS_data[National Society name], selected,
        PNS_data[Attribute], "SP1",
        PNS_data[Year], "2027"
    ),
    IF(_xlpm.sumValue = 0, "", _xlpm.sumValue)
)</f>
        <v/>
      </c>
      <c r="M169" s="31" t="str">
        <f>_xlfn.LET(
    _xlpm.sumValue, SUMIFS(
        PNS_data[Value],
        PNS_data[Country], FR_data[[#This Row],[Country]],
        PNS_data[National Society name], selected,
        PNS_data[Attribute], "SP2",
        PNS_data[Year], "2027"
    ),
    IF(_xlpm.sumValue = 0, "", _xlpm.sumValue)
)</f>
        <v/>
      </c>
      <c r="N169" s="31" t="str">
        <f>_xlfn.LET(
    _xlpm.sumValue, SUMIFS(
        PNS_data[Value],
        PNS_data[Country], FR_data[[#This Row],[Country]],
        PNS_data[National Society name], selected,
        PNS_data[Attribute], "SP3",
        PNS_data[Year], "2027"
    ),
    IF(_xlpm.sumValue = 0, "", _xlpm.sumValue)
)</f>
        <v/>
      </c>
      <c r="O169" s="31" t="str">
        <f>_xlfn.LET(
    _xlpm.sumValue, SUMIFS(
        PNS_data[Value],
        PNS_data[Country], FR_data[[#This Row],[Country]],
        PNS_data[National Society name], selected,
        PNS_data[Attribute], "SP4",
        PNS_data[Year], "2027"
    ),
    IF(_xlpm.sumValue = 0, "", _xlpm.sumValue)
)</f>
        <v/>
      </c>
      <c r="P169" s="31" t="str">
        <f>_xlfn.LET(
    _xlpm.sumValue, SUMIFS(
        PNS_data[Value],
        PNS_data[Country], FR_data[[#This Row],[Country]],
        PNS_data[National Society name], selected,
        PNS_data[Attribute], "SP5",
        PNS_data[Year], "2027"
    ),
    IF(_xlpm.sumValue = 0, "", _xlpm.sumValue)
)</f>
        <v/>
      </c>
      <c r="Q169" s="31" t="str">
        <f>_xlfn.LET(
    _xlpm.sumValue, SUMIFS(
        PNS_data[Value],
        PNS_data[Country], FR_data[[#This Row],[Country]],
        PNS_data[National Society name], selected,
        PNS_data[Attribute], "EFs",
        PNS_data[Year], "2027"
    ),
    IF(_xlpm.sumValue = 0, "", _xlpm.sumValue)
)</f>
        <v/>
      </c>
      <c r="R169" s="32" t="str">
        <f>IF(SUM(FR_data[[#This Row],[Response - Disasters and Crises ]:[Enabling Functions ]])=0,"",SUM(FR_data[[#This Row],[Response - Disasters and Crises ]:[Enabling Functions ]]))</f>
        <v/>
      </c>
      <c r="S169" s="39"/>
      <c r="T169" s="30" t="str">
        <f>_xlfn.LET(
    _xlpm.sumValue, SUMIFS(
        PNS_data[Value],
        PNS_data[Country], FR_data[[#This Row],[Country]],
        PNS_data[National Society name], selected,
        PNS_data[Attribute], "SP1",
        PNS_data[Year], "2028"
    ),
    IF(_xlpm.sumValue = 0, "", _xlpm.sumValue)
)</f>
        <v/>
      </c>
      <c r="U169" s="31" t="str">
        <f>_xlfn.LET(
    _xlpm.sumValue, SUMIFS(
        PNS_data[Value],
        PNS_data[Country], FR_data[[#This Row],[Country]],
        PNS_data[National Society name], selected,
        PNS_data[Attribute], "SP2",
        PNS_data[Year], "2028"
    ),
    IF(_xlpm.sumValue = 0, "", _xlpm.sumValue)
)</f>
        <v/>
      </c>
      <c r="V169" s="31" t="str">
        <f>_xlfn.LET(
    _xlpm.sumValue, SUMIFS(
        PNS_data[Value],
        PNS_data[Country], FR_data[[#This Row],[Country]],
        PNS_data[National Society name], selected,
        PNS_data[Attribute], "SP3",
        PNS_data[Year], "2028"
    ),
    IF(_xlpm.sumValue = 0, "", _xlpm.sumValue)
)</f>
        <v/>
      </c>
      <c r="W169" s="31" t="str">
        <f>_xlfn.LET(
    _xlpm.sumValue, SUMIFS(
        PNS_data[Value],
        PNS_data[Country], FR_data[[#This Row],[Country]],
        PNS_data[National Society name], selected,
        PNS_data[Attribute], "SP4",
        PNS_data[Year], "2028"
    ),
    IF(_xlpm.sumValue = 0, "", _xlpm.sumValue)
)</f>
        <v/>
      </c>
      <c r="X169" s="31" t="str">
        <f>_xlfn.LET(
    _xlpm.sumValue, SUMIFS(
        PNS_data[Value],
        PNS_data[Country], FR_data[[#This Row],[Country]],
        PNS_data[National Society name], selected,
        PNS_data[Attribute], "SP5",
        PNS_data[Year], "2028"
    ),
    IF(_xlpm.sumValue = 0, "", _xlpm.sumValue)
)</f>
        <v/>
      </c>
      <c r="Y169" s="31" t="str">
        <f>_xlfn.LET(
    _xlpm.sumValue, SUMIFS(
        PNS_data[Value],
        PNS_data[Country], FR_data[[#This Row],[Country]],
        PNS_data[National Society name], selected,
        PNS_data[Attribute], "EFs",
        PNS_data[Year], "2028"
    ),
    IF(_xlpm.sumValue = 0, "", _xlpm.sumValue)
)</f>
        <v/>
      </c>
      <c r="Z169" s="32" t="str">
        <f>IF(SUM(FR_data[[#This Row],[Response - Disasters and Crises  ]:[Enabling Functions  ]])=0,"",SUM(FR_data[[#This Row],[Response - Disasters and Crises  ]:[Enabling Functions  ]]))</f>
        <v/>
      </c>
      <c r="AA169" s="41"/>
    </row>
    <row r="170" spans="1:27" x14ac:dyDescent="0.3">
      <c r="A170" s="11" t="s">
        <v>313</v>
      </c>
      <c r="B170" s="11" t="s">
        <v>100</v>
      </c>
      <c r="C170" s="11" t="s">
        <v>314</v>
      </c>
      <c r="D170" s="30" t="str">
        <f>_xlfn.LET(
    _xlpm.sumValue, SUMIFS(
        PNS_data[Value],
        PNS_data[Country], FR_data[[#This Row],[Country]],
        PNS_data[National Society name], selected,
        PNS_data[Attribute], "SP1",
        PNS_data[Year], "2026"
    ),
    IF(_xlpm.sumValue = 0, "", _xlpm.sumValue)
)</f>
        <v/>
      </c>
      <c r="E170" s="31" t="str">
        <f>_xlfn.LET(
    _xlpm.sumValue, SUMIFS(
        PNS_data[Value],
        PNS_data[Country], FR_data[[#This Row],[Country]],
        PNS_data[National Society name], selected,
        PNS_data[Attribute], "SP2",
        PNS_data[Year], "2026"
    ),
    IF(_xlpm.sumValue = 0, "", _xlpm.sumValue)
)</f>
        <v/>
      </c>
      <c r="F170" s="31" t="str">
        <f>_xlfn.LET(
    _xlpm.sumValue, SUMIFS(
        PNS_data[Value],
        PNS_data[Country], FR_data[[#This Row],[Country]],
        PNS_data[National Society name], selected,
        PNS_data[Attribute], "SP3",
        PNS_data[Year], "2026"
    ),
    IF(_xlpm.sumValue = 0, "", _xlpm.sumValue)
)</f>
        <v/>
      </c>
      <c r="G170" s="31" t="str">
        <f>_xlfn.LET(
    _xlpm.sumValue, SUMIFS(
        PNS_data[Value],
        PNS_data[Country], FR_data[[#This Row],[Country]],
        PNS_data[National Society name], selected,
        PNS_data[Attribute], "SP4",
        PNS_data[Year], "2026"
    ),
    IF(_xlpm.sumValue = 0, "", _xlpm.sumValue)
)</f>
        <v/>
      </c>
      <c r="H170" s="31" t="str">
        <f>_xlfn.LET(
    _xlpm.sumValue, SUMIFS(
        PNS_data[Value],
        PNS_data[Country], FR_data[[#This Row],[Country]],
        PNS_data[National Society name], selected,
        PNS_data[Attribute], "SP5",
        PNS_data[Year], "2026"
    ),
    IF(_xlpm.sumValue = 0, "", _xlpm.sumValue)
)</f>
        <v/>
      </c>
      <c r="I170" s="31" t="str">
        <f>_xlfn.LET(
    _xlpm.sumValue, SUMIFS(
        PNS_data[Value],
        PNS_data[Country], FR_data[[#This Row],[Country]],
        PNS_data[National Society name], selected,
        PNS_data[Attribute], "EFs",
        PNS_data[Year], "2026"
    ),
    IF(_xlpm.sumValue = 0, "", _xlpm.sumValue)
)</f>
        <v/>
      </c>
      <c r="J170" s="32" t="str">
        <f>IF(SUM(FR_data[[#This Row],[Response - Disasters and Crises]:[Enabling Functions]])=0,"",SUM(FR_data[[#This Row],[Response - Disasters and Crises]:[Enabling Functions]]))</f>
        <v/>
      </c>
      <c r="K170" s="39"/>
      <c r="L170" s="30" t="str">
        <f>_xlfn.LET(
    _xlpm.sumValue, SUMIFS(
        PNS_data[Value],
        PNS_data[Country], FR_data[[#This Row],[Country]],
        PNS_data[National Society name], selected,
        PNS_data[Attribute], "SP1",
        PNS_data[Year], "2027"
    ),
    IF(_xlpm.sumValue = 0, "", _xlpm.sumValue)
)</f>
        <v/>
      </c>
      <c r="M170" s="31" t="str">
        <f>_xlfn.LET(
    _xlpm.sumValue, SUMIFS(
        PNS_data[Value],
        PNS_data[Country], FR_data[[#This Row],[Country]],
        PNS_data[National Society name], selected,
        PNS_data[Attribute], "SP2",
        PNS_data[Year], "2027"
    ),
    IF(_xlpm.sumValue = 0, "", _xlpm.sumValue)
)</f>
        <v/>
      </c>
      <c r="N170" s="31" t="str">
        <f>_xlfn.LET(
    _xlpm.sumValue, SUMIFS(
        PNS_data[Value],
        PNS_data[Country], FR_data[[#This Row],[Country]],
        PNS_data[National Society name], selected,
        PNS_data[Attribute], "SP3",
        PNS_data[Year], "2027"
    ),
    IF(_xlpm.sumValue = 0, "", _xlpm.sumValue)
)</f>
        <v/>
      </c>
      <c r="O170" s="31" t="str">
        <f>_xlfn.LET(
    _xlpm.sumValue, SUMIFS(
        PNS_data[Value],
        PNS_data[Country], FR_data[[#This Row],[Country]],
        PNS_data[National Society name], selected,
        PNS_data[Attribute], "SP4",
        PNS_data[Year], "2027"
    ),
    IF(_xlpm.sumValue = 0, "", _xlpm.sumValue)
)</f>
        <v/>
      </c>
      <c r="P170" s="31" t="str">
        <f>_xlfn.LET(
    _xlpm.sumValue, SUMIFS(
        PNS_data[Value],
        PNS_data[Country], FR_data[[#This Row],[Country]],
        PNS_data[National Society name], selected,
        PNS_data[Attribute], "SP5",
        PNS_data[Year], "2027"
    ),
    IF(_xlpm.sumValue = 0, "", _xlpm.sumValue)
)</f>
        <v/>
      </c>
      <c r="Q170" s="31" t="str">
        <f>_xlfn.LET(
    _xlpm.sumValue, SUMIFS(
        PNS_data[Value],
        PNS_data[Country], FR_data[[#This Row],[Country]],
        PNS_data[National Society name], selected,
        PNS_data[Attribute], "EFs",
        PNS_data[Year], "2027"
    ),
    IF(_xlpm.sumValue = 0, "", _xlpm.sumValue)
)</f>
        <v/>
      </c>
      <c r="R170" s="32" t="str">
        <f>IF(SUM(FR_data[[#This Row],[Response - Disasters and Crises ]:[Enabling Functions ]])=0,"",SUM(FR_data[[#This Row],[Response - Disasters and Crises ]:[Enabling Functions ]]))</f>
        <v/>
      </c>
      <c r="S170" s="39"/>
      <c r="T170" s="30" t="str">
        <f>_xlfn.LET(
    _xlpm.sumValue, SUMIFS(
        PNS_data[Value],
        PNS_data[Country], FR_data[[#This Row],[Country]],
        PNS_data[National Society name], selected,
        PNS_data[Attribute], "SP1",
        PNS_data[Year], "2028"
    ),
    IF(_xlpm.sumValue = 0, "", _xlpm.sumValue)
)</f>
        <v/>
      </c>
      <c r="U170" s="31" t="str">
        <f>_xlfn.LET(
    _xlpm.sumValue, SUMIFS(
        PNS_data[Value],
        PNS_data[Country], FR_data[[#This Row],[Country]],
        PNS_data[National Society name], selected,
        PNS_data[Attribute], "SP2",
        PNS_data[Year], "2028"
    ),
    IF(_xlpm.sumValue = 0, "", _xlpm.sumValue)
)</f>
        <v/>
      </c>
      <c r="V170" s="31" t="str">
        <f>_xlfn.LET(
    _xlpm.sumValue, SUMIFS(
        PNS_data[Value],
        PNS_data[Country], FR_data[[#This Row],[Country]],
        PNS_data[National Society name], selected,
        PNS_data[Attribute], "SP3",
        PNS_data[Year], "2028"
    ),
    IF(_xlpm.sumValue = 0, "", _xlpm.sumValue)
)</f>
        <v/>
      </c>
      <c r="W170" s="31" t="str">
        <f>_xlfn.LET(
    _xlpm.sumValue, SUMIFS(
        PNS_data[Value],
        PNS_data[Country], FR_data[[#This Row],[Country]],
        PNS_data[National Society name], selected,
        PNS_data[Attribute], "SP4",
        PNS_data[Year], "2028"
    ),
    IF(_xlpm.sumValue = 0, "", _xlpm.sumValue)
)</f>
        <v/>
      </c>
      <c r="X170" s="31" t="str">
        <f>_xlfn.LET(
    _xlpm.sumValue, SUMIFS(
        PNS_data[Value],
        PNS_data[Country], FR_data[[#This Row],[Country]],
        PNS_data[National Society name], selected,
        PNS_data[Attribute], "SP5",
        PNS_data[Year], "2028"
    ),
    IF(_xlpm.sumValue = 0, "", _xlpm.sumValue)
)</f>
        <v/>
      </c>
      <c r="Y170" s="31" t="str">
        <f>_xlfn.LET(
    _xlpm.sumValue, SUMIFS(
        PNS_data[Value],
        PNS_data[Country], FR_data[[#This Row],[Country]],
        PNS_data[National Society name], selected,
        PNS_data[Attribute], "EFs",
        PNS_data[Year], "2028"
    ),
    IF(_xlpm.sumValue = 0, "", _xlpm.sumValue)
)</f>
        <v/>
      </c>
      <c r="Z170" s="32" t="str">
        <f>IF(SUM(FR_data[[#This Row],[Response - Disasters and Crises  ]:[Enabling Functions  ]])=0,"",SUM(FR_data[[#This Row],[Response - Disasters and Crises  ]:[Enabling Functions  ]]))</f>
        <v/>
      </c>
      <c r="AA170" s="41"/>
    </row>
    <row r="171" spans="1:27" x14ac:dyDescent="0.3">
      <c r="A171" s="11" t="s">
        <v>315</v>
      </c>
      <c r="B171" s="11" t="s">
        <v>100</v>
      </c>
      <c r="C171" s="11" t="s">
        <v>316</v>
      </c>
      <c r="D171" s="30" t="str">
        <f>_xlfn.LET(
    _xlpm.sumValue, SUMIFS(
        PNS_data[Value],
        PNS_data[Country], FR_data[[#This Row],[Country]],
        PNS_data[National Society name], selected,
        PNS_data[Attribute], "SP1",
        PNS_data[Year], "2026"
    ),
    IF(_xlpm.sumValue = 0, "", _xlpm.sumValue)
)</f>
        <v/>
      </c>
      <c r="E171" s="31" t="str">
        <f>_xlfn.LET(
    _xlpm.sumValue, SUMIFS(
        PNS_data[Value],
        PNS_data[Country], FR_data[[#This Row],[Country]],
        PNS_data[National Society name], selected,
        PNS_data[Attribute], "SP2",
        PNS_data[Year], "2026"
    ),
    IF(_xlpm.sumValue = 0, "", _xlpm.sumValue)
)</f>
        <v/>
      </c>
      <c r="F171" s="31" t="str">
        <f>_xlfn.LET(
    _xlpm.sumValue, SUMIFS(
        PNS_data[Value],
        PNS_data[Country], FR_data[[#This Row],[Country]],
        PNS_data[National Society name], selected,
        PNS_data[Attribute], "SP3",
        PNS_data[Year], "2026"
    ),
    IF(_xlpm.sumValue = 0, "", _xlpm.sumValue)
)</f>
        <v/>
      </c>
      <c r="G171" s="31" t="str">
        <f>_xlfn.LET(
    _xlpm.sumValue, SUMIFS(
        PNS_data[Value],
        PNS_data[Country], FR_data[[#This Row],[Country]],
        PNS_data[National Society name], selected,
        PNS_data[Attribute], "SP4",
        PNS_data[Year], "2026"
    ),
    IF(_xlpm.sumValue = 0, "", _xlpm.sumValue)
)</f>
        <v/>
      </c>
      <c r="H171" s="31" t="str">
        <f>_xlfn.LET(
    _xlpm.sumValue, SUMIFS(
        PNS_data[Value],
        PNS_data[Country], FR_data[[#This Row],[Country]],
        PNS_data[National Society name], selected,
        PNS_data[Attribute], "SP5",
        PNS_data[Year], "2026"
    ),
    IF(_xlpm.sumValue = 0, "", _xlpm.sumValue)
)</f>
        <v/>
      </c>
      <c r="I171" s="31" t="str">
        <f>_xlfn.LET(
    _xlpm.sumValue, SUMIFS(
        PNS_data[Value],
        PNS_data[Country], FR_data[[#This Row],[Country]],
        PNS_data[National Society name], selected,
        PNS_data[Attribute], "EFs",
        PNS_data[Year], "2026"
    ),
    IF(_xlpm.sumValue = 0, "", _xlpm.sumValue)
)</f>
        <v/>
      </c>
      <c r="J171" s="32" t="str">
        <f>IF(SUM(FR_data[[#This Row],[Response - Disasters and Crises]:[Enabling Functions]])=0,"",SUM(FR_data[[#This Row],[Response - Disasters and Crises]:[Enabling Functions]]))</f>
        <v/>
      </c>
      <c r="K171" s="39"/>
      <c r="L171" s="30" t="str">
        <f>_xlfn.LET(
    _xlpm.sumValue, SUMIFS(
        PNS_data[Value],
        PNS_data[Country], FR_data[[#This Row],[Country]],
        PNS_data[National Society name], selected,
        PNS_data[Attribute], "SP1",
        PNS_data[Year], "2027"
    ),
    IF(_xlpm.sumValue = 0, "", _xlpm.sumValue)
)</f>
        <v/>
      </c>
      <c r="M171" s="31" t="str">
        <f>_xlfn.LET(
    _xlpm.sumValue, SUMIFS(
        PNS_data[Value],
        PNS_data[Country], FR_data[[#This Row],[Country]],
        PNS_data[National Society name], selected,
        PNS_data[Attribute], "SP2",
        PNS_data[Year], "2027"
    ),
    IF(_xlpm.sumValue = 0, "", _xlpm.sumValue)
)</f>
        <v/>
      </c>
      <c r="N171" s="31" t="str">
        <f>_xlfn.LET(
    _xlpm.sumValue, SUMIFS(
        PNS_data[Value],
        PNS_data[Country], FR_data[[#This Row],[Country]],
        PNS_data[National Society name], selected,
        PNS_data[Attribute], "SP3",
        PNS_data[Year], "2027"
    ),
    IF(_xlpm.sumValue = 0, "", _xlpm.sumValue)
)</f>
        <v/>
      </c>
      <c r="O171" s="31" t="str">
        <f>_xlfn.LET(
    _xlpm.sumValue, SUMIFS(
        PNS_data[Value],
        PNS_data[Country], FR_data[[#This Row],[Country]],
        PNS_data[National Society name], selected,
        PNS_data[Attribute], "SP4",
        PNS_data[Year], "2027"
    ),
    IF(_xlpm.sumValue = 0, "", _xlpm.sumValue)
)</f>
        <v/>
      </c>
      <c r="P171" s="31" t="str">
        <f>_xlfn.LET(
    _xlpm.sumValue, SUMIFS(
        PNS_data[Value],
        PNS_data[Country], FR_data[[#This Row],[Country]],
        PNS_data[National Society name], selected,
        PNS_data[Attribute], "SP5",
        PNS_data[Year], "2027"
    ),
    IF(_xlpm.sumValue = 0, "", _xlpm.sumValue)
)</f>
        <v/>
      </c>
      <c r="Q171" s="31" t="str">
        <f>_xlfn.LET(
    _xlpm.sumValue, SUMIFS(
        PNS_data[Value],
        PNS_data[Country], FR_data[[#This Row],[Country]],
        PNS_data[National Society name], selected,
        PNS_data[Attribute], "EFs",
        PNS_data[Year], "2027"
    ),
    IF(_xlpm.sumValue = 0, "", _xlpm.sumValue)
)</f>
        <v/>
      </c>
      <c r="R171" s="32" t="str">
        <f>IF(SUM(FR_data[[#This Row],[Response - Disasters and Crises ]:[Enabling Functions ]])=0,"",SUM(FR_data[[#This Row],[Response - Disasters and Crises ]:[Enabling Functions ]]))</f>
        <v/>
      </c>
      <c r="S171" s="39"/>
      <c r="T171" s="30" t="str">
        <f>_xlfn.LET(
    _xlpm.sumValue, SUMIFS(
        PNS_data[Value],
        PNS_data[Country], FR_data[[#This Row],[Country]],
        PNS_data[National Society name], selected,
        PNS_data[Attribute], "SP1",
        PNS_data[Year], "2028"
    ),
    IF(_xlpm.sumValue = 0, "", _xlpm.sumValue)
)</f>
        <v/>
      </c>
      <c r="U171" s="31" t="str">
        <f>_xlfn.LET(
    _xlpm.sumValue, SUMIFS(
        PNS_data[Value],
        PNS_data[Country], FR_data[[#This Row],[Country]],
        PNS_data[National Society name], selected,
        PNS_data[Attribute], "SP2",
        PNS_data[Year], "2028"
    ),
    IF(_xlpm.sumValue = 0, "", _xlpm.sumValue)
)</f>
        <v/>
      </c>
      <c r="V171" s="31" t="str">
        <f>_xlfn.LET(
    _xlpm.sumValue, SUMIFS(
        PNS_data[Value],
        PNS_data[Country], FR_data[[#This Row],[Country]],
        PNS_data[National Society name], selected,
        PNS_data[Attribute], "SP3",
        PNS_data[Year], "2028"
    ),
    IF(_xlpm.sumValue = 0, "", _xlpm.sumValue)
)</f>
        <v/>
      </c>
      <c r="W171" s="31" t="str">
        <f>_xlfn.LET(
    _xlpm.sumValue, SUMIFS(
        PNS_data[Value],
        PNS_data[Country], FR_data[[#This Row],[Country]],
        PNS_data[National Society name], selected,
        PNS_data[Attribute], "SP4",
        PNS_data[Year], "2028"
    ),
    IF(_xlpm.sumValue = 0, "", _xlpm.sumValue)
)</f>
        <v/>
      </c>
      <c r="X171" s="31" t="str">
        <f>_xlfn.LET(
    _xlpm.sumValue, SUMIFS(
        PNS_data[Value],
        PNS_data[Country], FR_data[[#This Row],[Country]],
        PNS_data[National Society name], selected,
        PNS_data[Attribute], "SP5",
        PNS_data[Year], "2028"
    ),
    IF(_xlpm.sumValue = 0, "", _xlpm.sumValue)
)</f>
        <v/>
      </c>
      <c r="Y171" s="31" t="str">
        <f>_xlfn.LET(
    _xlpm.sumValue, SUMIFS(
        PNS_data[Value],
        PNS_data[Country], FR_data[[#This Row],[Country]],
        PNS_data[National Society name], selected,
        PNS_data[Attribute], "EFs",
        PNS_data[Year], "2028"
    ),
    IF(_xlpm.sumValue = 0, "", _xlpm.sumValue)
)</f>
        <v/>
      </c>
      <c r="Z171" s="32" t="str">
        <f>IF(SUM(FR_data[[#This Row],[Response - Disasters and Crises  ]:[Enabling Functions  ]])=0,"",SUM(FR_data[[#This Row],[Response - Disasters and Crises  ]:[Enabling Functions  ]]))</f>
        <v/>
      </c>
      <c r="AA171" s="41"/>
    </row>
    <row r="172" spans="1:27" x14ac:dyDescent="0.3">
      <c r="A172" s="11" t="s">
        <v>331</v>
      </c>
      <c r="B172" s="11" t="s">
        <v>100</v>
      </c>
      <c r="C172" s="11" t="s">
        <v>49</v>
      </c>
      <c r="D172" s="30" t="str">
        <f>_xlfn.LET(
    _xlpm.sumValue, SUMIFS(
        PNS_data[Value],
        PNS_data[Country], FR_data[[#This Row],[Country]],
        PNS_data[National Society name], selected,
        PNS_data[Attribute], "SP1",
        PNS_data[Year], "2026"
    ),
    IF(_xlpm.sumValue = 0, "", _xlpm.sumValue)
)</f>
        <v/>
      </c>
      <c r="E172" s="31">
        <f>_xlfn.LET(
    _xlpm.sumValue, SUMIFS(
        PNS_data[Value],
        PNS_data[Country], FR_data[[#This Row],[Country]],
        PNS_data[National Society name], selected,
        PNS_data[Attribute], "SP2",
        PNS_data[Year], "2026"
    ),
    IF(_xlpm.sumValue = 0, "", _xlpm.sumValue)
)</f>
        <v>204552</v>
      </c>
      <c r="F172" s="31" t="str">
        <f>_xlfn.LET(
    _xlpm.sumValue, SUMIFS(
        PNS_data[Value],
        PNS_data[Country], FR_data[[#This Row],[Country]],
        PNS_data[National Society name], selected,
        PNS_data[Attribute], "SP3",
        PNS_data[Year], "2026"
    ),
    IF(_xlpm.sumValue = 0, "", _xlpm.sumValue)
)</f>
        <v/>
      </c>
      <c r="G172" s="31">
        <f>_xlfn.LET(
    _xlpm.sumValue, SUMIFS(
        PNS_data[Value],
        PNS_data[Country], FR_data[[#This Row],[Country]],
        PNS_data[National Society name], selected,
        PNS_data[Attribute], "SP4",
        PNS_data[Year], "2026"
    ),
    IF(_xlpm.sumValue = 0, "", _xlpm.sumValue)
)</f>
        <v>622878</v>
      </c>
      <c r="H172" s="31" t="str">
        <f>_xlfn.LET(
    _xlpm.sumValue, SUMIFS(
        PNS_data[Value],
        PNS_data[Country], FR_data[[#This Row],[Country]],
        PNS_data[National Society name], selected,
        PNS_data[Attribute], "SP5",
        PNS_data[Year], "2026"
    ),
    IF(_xlpm.sumValue = 0, "", _xlpm.sumValue)
)</f>
        <v/>
      </c>
      <c r="I172" s="31">
        <f>_xlfn.LET(
    _xlpm.sumValue, SUMIFS(
        PNS_data[Value],
        PNS_data[Country], FR_data[[#This Row],[Country]],
        PNS_data[National Society name], selected,
        PNS_data[Attribute], "EFs",
        PNS_data[Year], "2026"
    ),
    IF(_xlpm.sumValue = 0, "", _xlpm.sumValue)
)</f>
        <v>375417</v>
      </c>
      <c r="J172" s="32">
        <f>IF(SUM(FR_data[[#This Row],[Response - Disasters and Crises]:[Enabling Functions]])=0,"",SUM(FR_data[[#This Row],[Response - Disasters and Crises]:[Enabling Functions]]))</f>
        <v>1202847</v>
      </c>
      <c r="K172" s="39"/>
      <c r="L172" s="30" t="str">
        <f>_xlfn.LET(
    _xlpm.sumValue, SUMIFS(
        PNS_data[Value],
        PNS_data[Country], FR_data[[#This Row],[Country]],
        PNS_data[National Society name], selected,
        PNS_data[Attribute], "SP1",
        PNS_data[Year], "2027"
    ),
    IF(_xlpm.sumValue = 0, "", _xlpm.sumValue)
)</f>
        <v/>
      </c>
      <c r="M172" s="31">
        <f>_xlfn.LET(
    _xlpm.sumValue, SUMIFS(
        PNS_data[Value],
        PNS_data[Country], FR_data[[#This Row],[Country]],
        PNS_data[National Society name], selected,
        PNS_data[Attribute], "SP2",
        PNS_data[Year], "2027"
    ),
    IF(_xlpm.sumValue = 0, "", _xlpm.sumValue)
)</f>
        <v>37332</v>
      </c>
      <c r="N172" s="31" t="str">
        <f>_xlfn.LET(
    _xlpm.sumValue, SUMIFS(
        PNS_data[Value],
        PNS_data[Country], FR_data[[#This Row],[Country]],
        PNS_data[National Society name], selected,
        PNS_data[Attribute], "SP3",
        PNS_data[Year], "2027"
    ),
    IF(_xlpm.sumValue = 0, "", _xlpm.sumValue)
)</f>
        <v/>
      </c>
      <c r="O172" s="31">
        <f>_xlfn.LET(
    _xlpm.sumValue, SUMIFS(
        PNS_data[Value],
        PNS_data[Country], FR_data[[#This Row],[Country]],
        PNS_data[National Society name], selected,
        PNS_data[Attribute], "SP4",
        PNS_data[Year], "2027"
    ),
    IF(_xlpm.sumValue = 0, "", _xlpm.sumValue)
)</f>
        <v>110479</v>
      </c>
      <c r="P172" s="31" t="str">
        <f>_xlfn.LET(
    _xlpm.sumValue, SUMIFS(
        PNS_data[Value],
        PNS_data[Country], FR_data[[#This Row],[Country]],
        PNS_data[National Society name], selected,
        PNS_data[Attribute], "SP5",
        PNS_data[Year], "2027"
    ),
    IF(_xlpm.sumValue = 0, "", _xlpm.sumValue)
)</f>
        <v/>
      </c>
      <c r="Q172" s="31">
        <f>_xlfn.LET(
    _xlpm.sumValue, SUMIFS(
        PNS_data[Value],
        PNS_data[Country], FR_data[[#This Row],[Country]],
        PNS_data[National Society name], selected,
        PNS_data[Attribute], "EFs",
        PNS_data[Year], "2027"
    ),
    IF(_xlpm.sumValue = 0, "", _xlpm.sumValue)
)</f>
        <v>62596</v>
      </c>
      <c r="R172" s="32">
        <f>IF(SUM(FR_data[[#This Row],[Response - Disasters and Crises ]:[Enabling Functions ]])=0,"",SUM(FR_data[[#This Row],[Response - Disasters and Crises ]:[Enabling Functions ]]))</f>
        <v>210407</v>
      </c>
      <c r="S172" s="39"/>
      <c r="T172" s="30" t="str">
        <f>_xlfn.LET(
    _xlpm.sumValue, SUMIFS(
        PNS_data[Value],
        PNS_data[Country], FR_data[[#This Row],[Country]],
        PNS_data[National Society name], selected,
        PNS_data[Attribute], "SP1",
        PNS_data[Year], "2028"
    ),
    IF(_xlpm.sumValue = 0, "", _xlpm.sumValue)
)</f>
        <v/>
      </c>
      <c r="U172" s="31" t="str">
        <f>_xlfn.LET(
    _xlpm.sumValue, SUMIFS(
        PNS_data[Value],
        PNS_data[Country], FR_data[[#This Row],[Country]],
        PNS_data[National Society name], selected,
        PNS_data[Attribute], "SP2",
        PNS_data[Year], "2028"
    ),
    IF(_xlpm.sumValue = 0, "", _xlpm.sumValue)
)</f>
        <v/>
      </c>
      <c r="V172" s="31" t="str">
        <f>_xlfn.LET(
    _xlpm.sumValue, SUMIFS(
        PNS_data[Value],
        PNS_data[Country], FR_data[[#This Row],[Country]],
        PNS_data[National Society name], selected,
        PNS_data[Attribute], "SP3",
        PNS_data[Year], "2028"
    ),
    IF(_xlpm.sumValue = 0, "", _xlpm.sumValue)
)</f>
        <v/>
      </c>
      <c r="W172" s="31" t="str">
        <f>_xlfn.LET(
    _xlpm.sumValue, SUMIFS(
        PNS_data[Value],
        PNS_data[Country], FR_data[[#This Row],[Country]],
        PNS_data[National Society name], selected,
        PNS_data[Attribute], "SP4",
        PNS_data[Year], "2028"
    ),
    IF(_xlpm.sumValue = 0, "", _xlpm.sumValue)
)</f>
        <v/>
      </c>
      <c r="X172" s="31" t="str">
        <f>_xlfn.LET(
    _xlpm.sumValue, SUMIFS(
        PNS_data[Value],
        PNS_data[Country], FR_data[[#This Row],[Country]],
        PNS_data[National Society name], selected,
        PNS_data[Attribute], "SP5",
        PNS_data[Year], "2028"
    ),
    IF(_xlpm.sumValue = 0, "", _xlpm.sumValue)
)</f>
        <v/>
      </c>
      <c r="Y172" s="31" t="str">
        <f>_xlfn.LET(
    _xlpm.sumValue, SUMIFS(
        PNS_data[Value],
        PNS_data[Country], FR_data[[#This Row],[Country]],
        PNS_data[National Society name], selected,
        PNS_data[Attribute], "EFs",
        PNS_data[Year], "2028"
    ),
    IF(_xlpm.sumValue = 0, "", _xlpm.sumValue)
)</f>
        <v/>
      </c>
      <c r="Z172" s="32" t="str">
        <f>IF(SUM(FR_data[[#This Row],[Response - Disasters and Crises  ]:[Enabling Functions  ]])=0,"",SUM(FR_data[[#This Row],[Response - Disasters and Crises  ]:[Enabling Functions  ]]))</f>
        <v/>
      </c>
      <c r="AA172" s="41"/>
    </row>
    <row r="173" spans="1:27" x14ac:dyDescent="0.3">
      <c r="A173" s="11" t="s">
        <v>333</v>
      </c>
      <c r="B173" s="11" t="s">
        <v>100</v>
      </c>
      <c r="C173" s="11" t="s">
        <v>31</v>
      </c>
      <c r="D173" s="30" t="str">
        <f>_xlfn.LET(
    _xlpm.sumValue, SUMIFS(
        PNS_data[Value],
        PNS_data[Country], FR_data[[#This Row],[Country]],
        PNS_data[National Society name], selected,
        PNS_data[Attribute], "SP1",
        PNS_data[Year], "2026"
    ),
    IF(_xlpm.sumValue = 0, "", _xlpm.sumValue)
)</f>
        <v/>
      </c>
      <c r="E173" s="31" t="str">
        <f>_xlfn.LET(
    _xlpm.sumValue, SUMIFS(
        PNS_data[Value],
        PNS_data[Country], FR_data[[#This Row],[Country]],
        PNS_data[National Society name], selected,
        PNS_data[Attribute], "SP2",
        PNS_data[Year], "2026"
    ),
    IF(_xlpm.sumValue = 0, "", _xlpm.sumValue)
)</f>
        <v/>
      </c>
      <c r="F173" s="31" t="str">
        <f>_xlfn.LET(
    _xlpm.sumValue, SUMIFS(
        PNS_data[Value],
        PNS_data[Country], FR_data[[#This Row],[Country]],
        PNS_data[National Society name], selected,
        PNS_data[Attribute], "SP3",
        PNS_data[Year], "2026"
    ),
    IF(_xlpm.sumValue = 0, "", _xlpm.sumValue)
)</f>
        <v/>
      </c>
      <c r="G173" s="31" t="str">
        <f>_xlfn.LET(
    _xlpm.sumValue, SUMIFS(
        PNS_data[Value],
        PNS_data[Country], FR_data[[#This Row],[Country]],
        PNS_data[National Society name], selected,
        PNS_data[Attribute], "SP4",
        PNS_data[Year], "2026"
    ),
    IF(_xlpm.sumValue = 0, "", _xlpm.sumValue)
)</f>
        <v/>
      </c>
      <c r="H173" s="31" t="str">
        <f>_xlfn.LET(
    _xlpm.sumValue, SUMIFS(
        PNS_data[Value],
        PNS_data[Country], FR_data[[#This Row],[Country]],
        PNS_data[National Society name], selected,
        PNS_data[Attribute], "SP5",
        PNS_data[Year], "2026"
    ),
    IF(_xlpm.sumValue = 0, "", _xlpm.sumValue)
)</f>
        <v/>
      </c>
      <c r="I173" s="31" t="str">
        <f>_xlfn.LET(
    _xlpm.sumValue, SUMIFS(
        PNS_data[Value],
        PNS_data[Country], FR_data[[#This Row],[Country]],
        PNS_data[National Society name], selected,
        PNS_data[Attribute], "EFs",
        PNS_data[Year], "2026"
    ),
    IF(_xlpm.sumValue = 0, "", _xlpm.sumValue)
)</f>
        <v/>
      </c>
      <c r="J173" s="32" t="str">
        <f>IF(SUM(FR_data[[#This Row],[Response - Disasters and Crises]:[Enabling Functions]])=0,"",SUM(FR_data[[#This Row],[Response - Disasters and Crises]:[Enabling Functions]]))</f>
        <v/>
      </c>
      <c r="K173" s="39"/>
      <c r="L173" s="30" t="str">
        <f>_xlfn.LET(
    _xlpm.sumValue, SUMIFS(
        PNS_data[Value],
        PNS_data[Country], FR_data[[#This Row],[Country]],
        PNS_data[National Society name], selected,
        PNS_data[Attribute], "SP1",
        PNS_data[Year], "2027"
    ),
    IF(_xlpm.sumValue = 0, "", _xlpm.sumValue)
)</f>
        <v/>
      </c>
      <c r="M173" s="31" t="str">
        <f>_xlfn.LET(
    _xlpm.sumValue, SUMIFS(
        PNS_data[Value],
        PNS_data[Country], FR_data[[#This Row],[Country]],
        PNS_data[National Society name], selected,
        PNS_data[Attribute], "SP2",
        PNS_data[Year], "2027"
    ),
    IF(_xlpm.sumValue = 0, "", _xlpm.sumValue)
)</f>
        <v/>
      </c>
      <c r="N173" s="31" t="str">
        <f>_xlfn.LET(
    _xlpm.sumValue, SUMIFS(
        PNS_data[Value],
        PNS_data[Country], FR_data[[#This Row],[Country]],
        PNS_data[National Society name], selected,
        PNS_data[Attribute], "SP3",
        PNS_data[Year], "2027"
    ),
    IF(_xlpm.sumValue = 0, "", _xlpm.sumValue)
)</f>
        <v/>
      </c>
      <c r="O173" s="31" t="str">
        <f>_xlfn.LET(
    _xlpm.sumValue, SUMIFS(
        PNS_data[Value],
        PNS_data[Country], FR_data[[#This Row],[Country]],
        PNS_data[National Society name], selected,
        PNS_data[Attribute], "SP4",
        PNS_data[Year], "2027"
    ),
    IF(_xlpm.sumValue = 0, "", _xlpm.sumValue)
)</f>
        <v/>
      </c>
      <c r="P173" s="31" t="str">
        <f>_xlfn.LET(
    _xlpm.sumValue, SUMIFS(
        PNS_data[Value],
        PNS_data[Country], FR_data[[#This Row],[Country]],
        PNS_data[National Society name], selected,
        PNS_data[Attribute], "SP5",
        PNS_data[Year], "2027"
    ),
    IF(_xlpm.sumValue = 0, "", _xlpm.sumValue)
)</f>
        <v/>
      </c>
      <c r="Q173" s="31" t="str">
        <f>_xlfn.LET(
    _xlpm.sumValue, SUMIFS(
        PNS_data[Value],
        PNS_data[Country], FR_data[[#This Row],[Country]],
        PNS_data[National Society name], selected,
        PNS_data[Attribute], "EFs",
        PNS_data[Year], "2027"
    ),
    IF(_xlpm.sumValue = 0, "", _xlpm.sumValue)
)</f>
        <v/>
      </c>
      <c r="R173" s="32" t="str">
        <f>IF(SUM(FR_data[[#This Row],[Response - Disasters and Crises ]:[Enabling Functions ]])=0,"",SUM(FR_data[[#This Row],[Response - Disasters and Crises ]:[Enabling Functions ]]))</f>
        <v/>
      </c>
      <c r="S173" s="39"/>
      <c r="T173" s="30" t="str">
        <f>_xlfn.LET(
    _xlpm.sumValue, SUMIFS(
        PNS_data[Value],
        PNS_data[Country], FR_data[[#This Row],[Country]],
        PNS_data[National Society name], selected,
        PNS_data[Attribute], "SP1",
        PNS_data[Year], "2028"
    ),
    IF(_xlpm.sumValue = 0, "", _xlpm.sumValue)
)</f>
        <v/>
      </c>
      <c r="U173" s="31" t="str">
        <f>_xlfn.LET(
    _xlpm.sumValue, SUMIFS(
        PNS_data[Value],
        PNS_data[Country], FR_data[[#This Row],[Country]],
        PNS_data[National Society name], selected,
        PNS_data[Attribute], "SP2",
        PNS_data[Year], "2028"
    ),
    IF(_xlpm.sumValue = 0, "", _xlpm.sumValue)
)</f>
        <v/>
      </c>
      <c r="V173" s="31" t="str">
        <f>_xlfn.LET(
    _xlpm.sumValue, SUMIFS(
        PNS_data[Value],
        PNS_data[Country], FR_data[[#This Row],[Country]],
        PNS_data[National Society name], selected,
        PNS_data[Attribute], "SP3",
        PNS_data[Year], "2028"
    ),
    IF(_xlpm.sumValue = 0, "", _xlpm.sumValue)
)</f>
        <v/>
      </c>
      <c r="W173" s="31" t="str">
        <f>_xlfn.LET(
    _xlpm.sumValue, SUMIFS(
        PNS_data[Value],
        PNS_data[Country], FR_data[[#This Row],[Country]],
        PNS_data[National Society name], selected,
        PNS_data[Attribute], "SP4",
        PNS_data[Year], "2028"
    ),
    IF(_xlpm.sumValue = 0, "", _xlpm.sumValue)
)</f>
        <v/>
      </c>
      <c r="X173" s="31" t="str">
        <f>_xlfn.LET(
    _xlpm.sumValue, SUMIFS(
        PNS_data[Value],
        PNS_data[Country], FR_data[[#This Row],[Country]],
        PNS_data[National Society name], selected,
        PNS_data[Attribute], "SP5",
        PNS_data[Year], "2028"
    ),
    IF(_xlpm.sumValue = 0, "", _xlpm.sumValue)
)</f>
        <v/>
      </c>
      <c r="Y173" s="31" t="str">
        <f>_xlfn.LET(
    _xlpm.sumValue, SUMIFS(
        PNS_data[Value],
        PNS_data[Country], FR_data[[#This Row],[Country]],
        PNS_data[National Society name], selected,
        PNS_data[Attribute], "EFs",
        PNS_data[Year], "2028"
    ),
    IF(_xlpm.sumValue = 0, "", _xlpm.sumValue)
)</f>
        <v/>
      </c>
      <c r="Z173" s="32" t="str">
        <f>IF(SUM(FR_data[[#This Row],[Response - Disasters and Crises  ]:[Enabling Functions  ]])=0,"",SUM(FR_data[[#This Row],[Response - Disasters and Crises  ]:[Enabling Functions  ]]))</f>
        <v/>
      </c>
      <c r="AA173" s="41"/>
    </row>
    <row r="174" spans="1:27" x14ac:dyDescent="0.3">
      <c r="A174" s="11" t="s">
        <v>351</v>
      </c>
      <c r="B174" s="11" t="s">
        <v>100</v>
      </c>
      <c r="C174" s="11" t="s">
        <v>352</v>
      </c>
      <c r="D174" s="30" t="str">
        <f>_xlfn.LET(
    _xlpm.sumValue, SUMIFS(
        PNS_data[Value],
        PNS_data[Country], FR_data[[#This Row],[Country]],
        PNS_data[National Society name], selected,
        PNS_data[Attribute], "SP1",
        PNS_data[Year], "2026"
    ),
    IF(_xlpm.sumValue = 0, "", _xlpm.sumValue)
)</f>
        <v/>
      </c>
      <c r="E174" s="31" t="str">
        <f>_xlfn.LET(
    _xlpm.sumValue, SUMIFS(
        PNS_data[Value],
        PNS_data[Country], FR_data[[#This Row],[Country]],
        PNS_data[National Society name], selected,
        PNS_data[Attribute], "SP2",
        PNS_data[Year], "2026"
    ),
    IF(_xlpm.sumValue = 0, "", _xlpm.sumValue)
)</f>
        <v/>
      </c>
      <c r="F174" s="31" t="str">
        <f>_xlfn.LET(
    _xlpm.sumValue, SUMIFS(
        PNS_data[Value],
        PNS_data[Country], FR_data[[#This Row],[Country]],
        PNS_data[National Society name], selected,
        PNS_data[Attribute], "SP3",
        PNS_data[Year], "2026"
    ),
    IF(_xlpm.sumValue = 0, "", _xlpm.sumValue)
)</f>
        <v/>
      </c>
      <c r="G174" s="31" t="str">
        <f>_xlfn.LET(
    _xlpm.sumValue, SUMIFS(
        PNS_data[Value],
        PNS_data[Country], FR_data[[#This Row],[Country]],
        PNS_data[National Society name], selected,
        PNS_data[Attribute], "SP4",
        PNS_data[Year], "2026"
    ),
    IF(_xlpm.sumValue = 0, "", _xlpm.sumValue)
)</f>
        <v/>
      </c>
      <c r="H174" s="31" t="str">
        <f>_xlfn.LET(
    _xlpm.sumValue, SUMIFS(
        PNS_data[Value],
        PNS_data[Country], FR_data[[#This Row],[Country]],
        PNS_data[National Society name], selected,
        PNS_data[Attribute], "SP5",
        PNS_data[Year], "2026"
    ),
    IF(_xlpm.sumValue = 0, "", _xlpm.sumValue)
)</f>
        <v/>
      </c>
      <c r="I174" s="31" t="str">
        <f>_xlfn.LET(
    _xlpm.sumValue, SUMIFS(
        PNS_data[Value],
        PNS_data[Country], FR_data[[#This Row],[Country]],
        PNS_data[National Society name], selected,
        PNS_data[Attribute], "EFs",
        PNS_data[Year], "2026"
    ),
    IF(_xlpm.sumValue = 0, "", _xlpm.sumValue)
)</f>
        <v/>
      </c>
      <c r="J174" s="32" t="str">
        <f>IF(SUM(FR_data[[#This Row],[Response - Disasters and Crises]:[Enabling Functions]])=0,"",SUM(FR_data[[#This Row],[Response - Disasters and Crises]:[Enabling Functions]]))</f>
        <v/>
      </c>
      <c r="K174" s="39"/>
      <c r="L174" s="30" t="str">
        <f>_xlfn.LET(
    _xlpm.sumValue, SUMIFS(
        PNS_data[Value],
        PNS_data[Country], FR_data[[#This Row],[Country]],
        PNS_data[National Society name], selected,
        PNS_data[Attribute], "SP1",
        PNS_data[Year], "2027"
    ),
    IF(_xlpm.sumValue = 0, "", _xlpm.sumValue)
)</f>
        <v/>
      </c>
      <c r="M174" s="31" t="str">
        <f>_xlfn.LET(
    _xlpm.sumValue, SUMIFS(
        PNS_data[Value],
        PNS_data[Country], FR_data[[#This Row],[Country]],
        PNS_data[National Society name], selected,
        PNS_data[Attribute], "SP2",
        PNS_data[Year], "2027"
    ),
    IF(_xlpm.sumValue = 0, "", _xlpm.sumValue)
)</f>
        <v/>
      </c>
      <c r="N174" s="31" t="str">
        <f>_xlfn.LET(
    _xlpm.sumValue, SUMIFS(
        PNS_data[Value],
        PNS_data[Country], FR_data[[#This Row],[Country]],
        PNS_data[National Society name], selected,
        PNS_data[Attribute], "SP3",
        PNS_data[Year], "2027"
    ),
    IF(_xlpm.sumValue = 0, "", _xlpm.sumValue)
)</f>
        <v/>
      </c>
      <c r="O174" s="31" t="str">
        <f>_xlfn.LET(
    _xlpm.sumValue, SUMIFS(
        PNS_data[Value],
        PNS_data[Country], FR_data[[#This Row],[Country]],
        PNS_data[National Society name], selected,
        PNS_data[Attribute], "SP4",
        PNS_data[Year], "2027"
    ),
    IF(_xlpm.sumValue = 0, "", _xlpm.sumValue)
)</f>
        <v/>
      </c>
      <c r="P174" s="31" t="str">
        <f>_xlfn.LET(
    _xlpm.sumValue, SUMIFS(
        PNS_data[Value],
        PNS_data[Country], FR_data[[#This Row],[Country]],
        PNS_data[National Society name], selected,
        PNS_data[Attribute], "SP5",
        PNS_data[Year], "2027"
    ),
    IF(_xlpm.sumValue = 0, "", _xlpm.sumValue)
)</f>
        <v/>
      </c>
      <c r="Q174" s="31" t="str">
        <f>_xlfn.LET(
    _xlpm.sumValue, SUMIFS(
        PNS_data[Value],
        PNS_data[Country], FR_data[[#This Row],[Country]],
        PNS_data[National Society name], selected,
        PNS_data[Attribute], "EFs",
        PNS_data[Year], "2027"
    ),
    IF(_xlpm.sumValue = 0, "", _xlpm.sumValue)
)</f>
        <v/>
      </c>
      <c r="R174" s="32" t="str">
        <f>IF(SUM(FR_data[[#This Row],[Response - Disasters and Crises ]:[Enabling Functions ]])=0,"",SUM(FR_data[[#This Row],[Response - Disasters and Crises ]:[Enabling Functions ]]))</f>
        <v/>
      </c>
      <c r="S174" s="39"/>
      <c r="T174" s="30" t="str">
        <f>_xlfn.LET(
    _xlpm.sumValue, SUMIFS(
        PNS_data[Value],
        PNS_data[Country], FR_data[[#This Row],[Country]],
        PNS_data[National Society name], selected,
        PNS_data[Attribute], "SP1",
        PNS_data[Year], "2028"
    ),
    IF(_xlpm.sumValue = 0, "", _xlpm.sumValue)
)</f>
        <v/>
      </c>
      <c r="U174" s="31" t="str">
        <f>_xlfn.LET(
    _xlpm.sumValue, SUMIFS(
        PNS_data[Value],
        PNS_data[Country], FR_data[[#This Row],[Country]],
        PNS_data[National Society name], selected,
        PNS_data[Attribute], "SP2",
        PNS_data[Year], "2028"
    ),
    IF(_xlpm.sumValue = 0, "", _xlpm.sumValue)
)</f>
        <v/>
      </c>
      <c r="V174" s="31" t="str">
        <f>_xlfn.LET(
    _xlpm.sumValue, SUMIFS(
        PNS_data[Value],
        PNS_data[Country], FR_data[[#This Row],[Country]],
        PNS_data[National Society name], selected,
        PNS_data[Attribute], "SP3",
        PNS_data[Year], "2028"
    ),
    IF(_xlpm.sumValue = 0, "", _xlpm.sumValue)
)</f>
        <v/>
      </c>
      <c r="W174" s="31" t="str">
        <f>_xlfn.LET(
    _xlpm.sumValue, SUMIFS(
        PNS_data[Value],
        PNS_data[Country], FR_data[[#This Row],[Country]],
        PNS_data[National Society name], selected,
        PNS_data[Attribute], "SP4",
        PNS_data[Year], "2028"
    ),
    IF(_xlpm.sumValue = 0, "", _xlpm.sumValue)
)</f>
        <v/>
      </c>
      <c r="X174" s="31" t="str">
        <f>_xlfn.LET(
    _xlpm.sumValue, SUMIFS(
        PNS_data[Value],
        PNS_data[Country], FR_data[[#This Row],[Country]],
        PNS_data[National Society name], selected,
        PNS_data[Attribute], "SP5",
        PNS_data[Year], "2028"
    ),
    IF(_xlpm.sumValue = 0, "", _xlpm.sumValue)
)</f>
        <v/>
      </c>
      <c r="Y174" s="31" t="str">
        <f>_xlfn.LET(
    _xlpm.sumValue, SUMIFS(
        PNS_data[Value],
        PNS_data[Country], FR_data[[#This Row],[Country]],
        PNS_data[National Society name], selected,
        PNS_data[Attribute], "EFs",
        PNS_data[Year], "2028"
    ),
    IF(_xlpm.sumValue = 0, "", _xlpm.sumValue)
)</f>
        <v/>
      </c>
      <c r="Z174" s="32" t="str">
        <f>IF(SUM(FR_data[[#This Row],[Response - Disasters and Crises  ]:[Enabling Functions  ]])=0,"",SUM(FR_data[[#This Row],[Response - Disasters and Crises  ]:[Enabling Functions  ]]))</f>
        <v/>
      </c>
      <c r="AA174" s="41"/>
    </row>
    <row r="175" spans="1:27" x14ac:dyDescent="0.3">
      <c r="A175" s="11" t="s">
        <v>337</v>
      </c>
      <c r="B175" s="11" t="s">
        <v>100</v>
      </c>
      <c r="C175" s="11" t="s">
        <v>51</v>
      </c>
      <c r="D175" s="30" t="str">
        <f>_xlfn.LET(
    _xlpm.sumValue, SUMIFS(
        PNS_data[Value],
        PNS_data[Country], FR_data[[#This Row],[Country]],
        PNS_data[National Society name], selected,
        PNS_data[Attribute], "SP1",
        PNS_data[Year], "2026"
    ),
    IF(_xlpm.sumValue = 0, "", _xlpm.sumValue)
)</f>
        <v/>
      </c>
      <c r="E175" s="31" t="str">
        <f>_xlfn.LET(
    _xlpm.sumValue, SUMIFS(
        PNS_data[Value],
        PNS_data[Country], FR_data[[#This Row],[Country]],
        PNS_data[National Society name], selected,
        PNS_data[Attribute], "SP2",
        PNS_data[Year], "2026"
    ),
    IF(_xlpm.sumValue = 0, "", _xlpm.sumValue)
)</f>
        <v/>
      </c>
      <c r="F175" s="31" t="str">
        <f>_xlfn.LET(
    _xlpm.sumValue, SUMIFS(
        PNS_data[Value],
        PNS_data[Country], FR_data[[#This Row],[Country]],
        PNS_data[National Society name], selected,
        PNS_data[Attribute], "SP3",
        PNS_data[Year], "2026"
    ),
    IF(_xlpm.sumValue = 0, "", _xlpm.sumValue)
)</f>
        <v/>
      </c>
      <c r="G175" s="31" t="str">
        <f>_xlfn.LET(
    _xlpm.sumValue, SUMIFS(
        PNS_data[Value],
        PNS_data[Country], FR_data[[#This Row],[Country]],
        PNS_data[National Society name], selected,
        PNS_data[Attribute], "SP4",
        PNS_data[Year], "2026"
    ),
    IF(_xlpm.sumValue = 0, "", _xlpm.sumValue)
)</f>
        <v/>
      </c>
      <c r="H175" s="31" t="str">
        <f>_xlfn.LET(
    _xlpm.sumValue, SUMIFS(
        PNS_data[Value],
        PNS_data[Country], FR_data[[#This Row],[Country]],
        PNS_data[National Society name], selected,
        PNS_data[Attribute], "SP5",
        PNS_data[Year], "2026"
    ),
    IF(_xlpm.sumValue = 0, "", _xlpm.sumValue)
)</f>
        <v/>
      </c>
      <c r="I175" s="31" t="str">
        <f>_xlfn.LET(
    _xlpm.sumValue, SUMIFS(
        PNS_data[Value],
        PNS_data[Country], FR_data[[#This Row],[Country]],
        PNS_data[National Society name], selected,
        PNS_data[Attribute], "EFs",
        PNS_data[Year], "2026"
    ),
    IF(_xlpm.sumValue = 0, "", _xlpm.sumValue)
)</f>
        <v/>
      </c>
      <c r="J175" s="32" t="str">
        <f>IF(SUM(FR_data[[#This Row],[Response - Disasters and Crises]:[Enabling Functions]])=0,"",SUM(FR_data[[#This Row],[Response - Disasters and Crises]:[Enabling Functions]]))</f>
        <v/>
      </c>
      <c r="K175" s="39"/>
      <c r="L175" s="30" t="str">
        <f>_xlfn.LET(
    _xlpm.sumValue, SUMIFS(
        PNS_data[Value],
        PNS_data[Country], FR_data[[#This Row],[Country]],
        PNS_data[National Society name], selected,
        PNS_data[Attribute], "SP1",
        PNS_data[Year], "2027"
    ),
    IF(_xlpm.sumValue = 0, "", _xlpm.sumValue)
)</f>
        <v/>
      </c>
      <c r="M175" s="31" t="str">
        <f>_xlfn.LET(
    _xlpm.sumValue, SUMIFS(
        PNS_data[Value],
        PNS_data[Country], FR_data[[#This Row],[Country]],
        PNS_data[National Society name], selected,
        PNS_data[Attribute], "SP2",
        PNS_data[Year], "2027"
    ),
    IF(_xlpm.sumValue = 0, "", _xlpm.sumValue)
)</f>
        <v/>
      </c>
      <c r="N175" s="31" t="str">
        <f>_xlfn.LET(
    _xlpm.sumValue, SUMIFS(
        PNS_data[Value],
        PNS_data[Country], FR_data[[#This Row],[Country]],
        PNS_data[National Society name], selected,
        PNS_data[Attribute], "SP3",
        PNS_data[Year], "2027"
    ),
    IF(_xlpm.sumValue = 0, "", _xlpm.sumValue)
)</f>
        <v/>
      </c>
      <c r="O175" s="31" t="str">
        <f>_xlfn.LET(
    _xlpm.sumValue, SUMIFS(
        PNS_data[Value],
        PNS_data[Country], FR_data[[#This Row],[Country]],
        PNS_data[National Society name], selected,
        PNS_data[Attribute], "SP4",
        PNS_data[Year], "2027"
    ),
    IF(_xlpm.sumValue = 0, "", _xlpm.sumValue)
)</f>
        <v/>
      </c>
      <c r="P175" s="31" t="str">
        <f>_xlfn.LET(
    _xlpm.sumValue, SUMIFS(
        PNS_data[Value],
        PNS_data[Country], FR_data[[#This Row],[Country]],
        PNS_data[National Society name], selected,
        PNS_data[Attribute], "SP5",
        PNS_data[Year], "2027"
    ),
    IF(_xlpm.sumValue = 0, "", _xlpm.sumValue)
)</f>
        <v/>
      </c>
      <c r="Q175" s="31" t="str">
        <f>_xlfn.LET(
    _xlpm.sumValue, SUMIFS(
        PNS_data[Value],
        PNS_data[Country], FR_data[[#This Row],[Country]],
        PNS_data[National Society name], selected,
        PNS_data[Attribute], "EFs",
        PNS_data[Year], "2027"
    ),
    IF(_xlpm.sumValue = 0, "", _xlpm.sumValue)
)</f>
        <v/>
      </c>
      <c r="R175" s="32" t="str">
        <f>IF(SUM(FR_data[[#This Row],[Response - Disasters and Crises ]:[Enabling Functions ]])=0,"",SUM(FR_data[[#This Row],[Response - Disasters and Crises ]:[Enabling Functions ]]))</f>
        <v/>
      </c>
      <c r="S175" s="39"/>
      <c r="T175" s="30" t="str">
        <f>_xlfn.LET(
    _xlpm.sumValue, SUMIFS(
        PNS_data[Value],
        PNS_data[Country], FR_data[[#This Row],[Country]],
        PNS_data[National Society name], selected,
        PNS_data[Attribute], "SP1",
        PNS_data[Year], "2028"
    ),
    IF(_xlpm.sumValue = 0, "", _xlpm.sumValue)
)</f>
        <v/>
      </c>
      <c r="U175" s="31" t="str">
        <f>_xlfn.LET(
    _xlpm.sumValue, SUMIFS(
        PNS_data[Value],
        PNS_data[Country], FR_data[[#This Row],[Country]],
        PNS_data[National Society name], selected,
        PNS_data[Attribute], "SP2",
        PNS_data[Year], "2028"
    ),
    IF(_xlpm.sumValue = 0, "", _xlpm.sumValue)
)</f>
        <v/>
      </c>
      <c r="V175" s="31" t="str">
        <f>_xlfn.LET(
    _xlpm.sumValue, SUMIFS(
        PNS_data[Value],
        PNS_data[Country], FR_data[[#This Row],[Country]],
        PNS_data[National Society name], selected,
        PNS_data[Attribute], "SP3",
        PNS_data[Year], "2028"
    ),
    IF(_xlpm.sumValue = 0, "", _xlpm.sumValue)
)</f>
        <v/>
      </c>
      <c r="W175" s="31" t="str">
        <f>_xlfn.LET(
    _xlpm.sumValue, SUMIFS(
        PNS_data[Value],
        PNS_data[Country], FR_data[[#This Row],[Country]],
        PNS_data[National Society name], selected,
        PNS_data[Attribute], "SP4",
        PNS_data[Year], "2028"
    ),
    IF(_xlpm.sumValue = 0, "", _xlpm.sumValue)
)</f>
        <v/>
      </c>
      <c r="X175" s="31" t="str">
        <f>_xlfn.LET(
    _xlpm.sumValue, SUMIFS(
        PNS_data[Value],
        PNS_data[Country], FR_data[[#This Row],[Country]],
        PNS_data[National Society name], selected,
        PNS_data[Attribute], "SP5",
        PNS_data[Year], "2028"
    ),
    IF(_xlpm.sumValue = 0, "", _xlpm.sumValue)
)</f>
        <v/>
      </c>
      <c r="Y175" s="31" t="str">
        <f>_xlfn.LET(
    _xlpm.sumValue, SUMIFS(
        PNS_data[Value],
        PNS_data[Country], FR_data[[#This Row],[Country]],
        PNS_data[National Society name], selected,
        PNS_data[Attribute], "EFs",
        PNS_data[Year], "2028"
    ),
    IF(_xlpm.sumValue = 0, "", _xlpm.sumValue)
)</f>
        <v/>
      </c>
      <c r="Z175" s="32" t="str">
        <f>IF(SUM(FR_data[[#This Row],[Response - Disasters and Crises  ]:[Enabling Functions  ]])=0,"",SUM(FR_data[[#This Row],[Response - Disasters and Crises  ]:[Enabling Functions  ]]))</f>
        <v/>
      </c>
      <c r="AA175" s="41"/>
    </row>
    <row r="176" spans="1:27" x14ac:dyDescent="0.3">
      <c r="A176" s="11" t="s">
        <v>349</v>
      </c>
      <c r="B176" s="11" t="s">
        <v>100</v>
      </c>
      <c r="C176" s="11" t="s">
        <v>350</v>
      </c>
      <c r="D176" s="30" t="str">
        <f>_xlfn.LET(
    _xlpm.sumValue, SUMIFS(
        PNS_data[Value],
        PNS_data[Country], FR_data[[#This Row],[Country]],
        PNS_data[National Society name], selected,
        PNS_data[Attribute], "SP1",
        PNS_data[Year], "2026"
    ),
    IF(_xlpm.sumValue = 0, "", _xlpm.sumValue)
)</f>
        <v/>
      </c>
      <c r="E176" s="31" t="str">
        <f>_xlfn.LET(
    _xlpm.sumValue, SUMIFS(
        PNS_data[Value],
        PNS_data[Country], FR_data[[#This Row],[Country]],
        PNS_data[National Society name], selected,
        PNS_data[Attribute], "SP2",
        PNS_data[Year], "2026"
    ),
    IF(_xlpm.sumValue = 0, "", _xlpm.sumValue)
)</f>
        <v/>
      </c>
      <c r="F176" s="31" t="str">
        <f>_xlfn.LET(
    _xlpm.sumValue, SUMIFS(
        PNS_data[Value],
        PNS_data[Country], FR_data[[#This Row],[Country]],
        PNS_data[National Society name], selected,
        PNS_data[Attribute], "SP3",
        PNS_data[Year], "2026"
    ),
    IF(_xlpm.sumValue = 0, "", _xlpm.sumValue)
)</f>
        <v/>
      </c>
      <c r="G176" s="31" t="str">
        <f>_xlfn.LET(
    _xlpm.sumValue, SUMIFS(
        PNS_data[Value],
        PNS_data[Country], FR_data[[#This Row],[Country]],
        PNS_data[National Society name], selected,
        PNS_data[Attribute], "SP4",
        PNS_data[Year], "2026"
    ),
    IF(_xlpm.sumValue = 0, "", _xlpm.sumValue)
)</f>
        <v/>
      </c>
      <c r="H176" s="31" t="str">
        <f>_xlfn.LET(
    _xlpm.sumValue, SUMIFS(
        PNS_data[Value],
        PNS_data[Country], FR_data[[#This Row],[Country]],
        PNS_data[National Society name], selected,
        PNS_data[Attribute], "SP5",
        PNS_data[Year], "2026"
    ),
    IF(_xlpm.sumValue = 0, "", _xlpm.sumValue)
)</f>
        <v/>
      </c>
      <c r="I176" s="31" t="str">
        <f>_xlfn.LET(
    _xlpm.sumValue, SUMIFS(
        PNS_data[Value],
        PNS_data[Country], FR_data[[#This Row],[Country]],
        PNS_data[National Society name], selected,
        PNS_data[Attribute], "EFs",
        PNS_data[Year], "2026"
    ),
    IF(_xlpm.sumValue = 0, "", _xlpm.sumValue)
)</f>
        <v/>
      </c>
      <c r="J176" s="32" t="str">
        <f>IF(SUM(FR_data[[#This Row],[Response - Disasters and Crises]:[Enabling Functions]])=0,"",SUM(FR_data[[#This Row],[Response - Disasters and Crises]:[Enabling Functions]]))</f>
        <v/>
      </c>
      <c r="K176" s="39"/>
      <c r="L176" s="30" t="str">
        <f>_xlfn.LET(
    _xlpm.sumValue, SUMIFS(
        PNS_data[Value],
        PNS_data[Country], FR_data[[#This Row],[Country]],
        PNS_data[National Society name], selected,
        PNS_data[Attribute], "SP1",
        PNS_data[Year], "2027"
    ),
    IF(_xlpm.sumValue = 0, "", _xlpm.sumValue)
)</f>
        <v/>
      </c>
      <c r="M176" s="31" t="str">
        <f>_xlfn.LET(
    _xlpm.sumValue, SUMIFS(
        PNS_data[Value],
        PNS_data[Country], FR_data[[#This Row],[Country]],
        PNS_data[National Society name], selected,
        PNS_data[Attribute], "SP2",
        PNS_data[Year], "2027"
    ),
    IF(_xlpm.sumValue = 0, "", _xlpm.sumValue)
)</f>
        <v/>
      </c>
      <c r="N176" s="31" t="str">
        <f>_xlfn.LET(
    _xlpm.sumValue, SUMIFS(
        PNS_data[Value],
        PNS_data[Country], FR_data[[#This Row],[Country]],
        PNS_data[National Society name], selected,
        PNS_data[Attribute], "SP3",
        PNS_data[Year], "2027"
    ),
    IF(_xlpm.sumValue = 0, "", _xlpm.sumValue)
)</f>
        <v/>
      </c>
      <c r="O176" s="31" t="str">
        <f>_xlfn.LET(
    _xlpm.sumValue, SUMIFS(
        PNS_data[Value],
        PNS_data[Country], FR_data[[#This Row],[Country]],
        PNS_data[National Society name], selected,
        PNS_data[Attribute], "SP4",
        PNS_data[Year], "2027"
    ),
    IF(_xlpm.sumValue = 0, "", _xlpm.sumValue)
)</f>
        <v/>
      </c>
      <c r="P176" s="31" t="str">
        <f>_xlfn.LET(
    _xlpm.sumValue, SUMIFS(
        PNS_data[Value],
        PNS_data[Country], FR_data[[#This Row],[Country]],
        PNS_data[National Society name], selected,
        PNS_data[Attribute], "SP5",
        PNS_data[Year], "2027"
    ),
    IF(_xlpm.sumValue = 0, "", _xlpm.sumValue)
)</f>
        <v/>
      </c>
      <c r="Q176" s="31" t="str">
        <f>_xlfn.LET(
    _xlpm.sumValue, SUMIFS(
        PNS_data[Value],
        PNS_data[Country], FR_data[[#This Row],[Country]],
        PNS_data[National Society name], selected,
        PNS_data[Attribute], "EFs",
        PNS_data[Year], "2027"
    ),
    IF(_xlpm.sumValue = 0, "", _xlpm.sumValue)
)</f>
        <v/>
      </c>
      <c r="R176" s="32" t="str">
        <f>IF(SUM(FR_data[[#This Row],[Response - Disasters and Crises ]:[Enabling Functions ]])=0,"",SUM(FR_data[[#This Row],[Response - Disasters and Crises ]:[Enabling Functions ]]))</f>
        <v/>
      </c>
      <c r="S176" s="39"/>
      <c r="T176" s="30" t="str">
        <f>_xlfn.LET(
    _xlpm.sumValue, SUMIFS(
        PNS_data[Value],
        PNS_data[Country], FR_data[[#This Row],[Country]],
        PNS_data[National Society name], selected,
        PNS_data[Attribute], "SP1",
        PNS_data[Year], "2028"
    ),
    IF(_xlpm.sumValue = 0, "", _xlpm.sumValue)
)</f>
        <v/>
      </c>
      <c r="U176" s="31" t="str">
        <f>_xlfn.LET(
    _xlpm.sumValue, SUMIFS(
        PNS_data[Value],
        PNS_data[Country], FR_data[[#This Row],[Country]],
        PNS_data[National Society name], selected,
        PNS_data[Attribute], "SP2",
        PNS_data[Year], "2028"
    ),
    IF(_xlpm.sumValue = 0, "", _xlpm.sumValue)
)</f>
        <v/>
      </c>
      <c r="V176" s="31" t="str">
        <f>_xlfn.LET(
    _xlpm.sumValue, SUMIFS(
        PNS_data[Value],
        PNS_data[Country], FR_data[[#This Row],[Country]],
        PNS_data[National Society name], selected,
        PNS_data[Attribute], "SP3",
        PNS_data[Year], "2028"
    ),
    IF(_xlpm.sumValue = 0, "", _xlpm.sumValue)
)</f>
        <v/>
      </c>
      <c r="W176" s="31" t="str">
        <f>_xlfn.LET(
    _xlpm.sumValue, SUMIFS(
        PNS_data[Value],
        PNS_data[Country], FR_data[[#This Row],[Country]],
        PNS_data[National Society name], selected,
        PNS_data[Attribute], "SP4",
        PNS_data[Year], "2028"
    ),
    IF(_xlpm.sumValue = 0, "", _xlpm.sumValue)
)</f>
        <v/>
      </c>
      <c r="X176" s="31" t="str">
        <f>_xlfn.LET(
    _xlpm.sumValue, SUMIFS(
        PNS_data[Value],
        PNS_data[Country], FR_data[[#This Row],[Country]],
        PNS_data[National Society name], selected,
        PNS_data[Attribute], "SP5",
        PNS_data[Year], "2028"
    ),
    IF(_xlpm.sumValue = 0, "", _xlpm.sumValue)
)</f>
        <v/>
      </c>
      <c r="Y176" s="31" t="str">
        <f>_xlfn.LET(
    _xlpm.sumValue, SUMIFS(
        PNS_data[Value],
        PNS_data[Country], FR_data[[#This Row],[Country]],
        PNS_data[National Society name], selected,
        PNS_data[Attribute], "EFs",
        PNS_data[Year], "2028"
    ),
    IF(_xlpm.sumValue = 0, "", _xlpm.sumValue)
)</f>
        <v/>
      </c>
      <c r="Z176" s="32" t="str">
        <f>IF(SUM(FR_data[[#This Row],[Response - Disasters and Crises  ]:[Enabling Functions  ]])=0,"",SUM(FR_data[[#This Row],[Response - Disasters and Crises  ]:[Enabling Functions  ]]))</f>
        <v/>
      </c>
      <c r="AA176" s="41"/>
    </row>
    <row r="177" spans="1:27" x14ac:dyDescent="0.3">
      <c r="A177" s="11" t="s">
        <v>347</v>
      </c>
      <c r="B177" s="11" t="s">
        <v>100</v>
      </c>
      <c r="C177" s="11" t="s">
        <v>348</v>
      </c>
      <c r="D177" s="30" t="str">
        <f>_xlfn.LET(
    _xlpm.sumValue, SUMIFS(
        PNS_data[Value],
        PNS_data[Country], FR_data[[#This Row],[Country]],
        PNS_data[National Society name], selected,
        PNS_data[Attribute], "SP1",
        PNS_data[Year], "2026"
    ),
    IF(_xlpm.sumValue = 0, "", _xlpm.sumValue)
)</f>
        <v/>
      </c>
      <c r="E177" s="31" t="str">
        <f>_xlfn.LET(
    _xlpm.sumValue, SUMIFS(
        PNS_data[Value],
        PNS_data[Country], FR_data[[#This Row],[Country]],
        PNS_data[National Society name], selected,
        PNS_data[Attribute], "SP2",
        PNS_data[Year], "2026"
    ),
    IF(_xlpm.sumValue = 0, "", _xlpm.sumValue)
)</f>
        <v/>
      </c>
      <c r="F177" s="31" t="str">
        <f>_xlfn.LET(
    _xlpm.sumValue, SUMIFS(
        PNS_data[Value],
        PNS_data[Country], FR_data[[#This Row],[Country]],
        PNS_data[National Society name], selected,
        PNS_data[Attribute], "SP3",
        PNS_data[Year], "2026"
    ),
    IF(_xlpm.sumValue = 0, "", _xlpm.sumValue)
)</f>
        <v/>
      </c>
      <c r="G177" s="31" t="str">
        <f>_xlfn.LET(
    _xlpm.sumValue, SUMIFS(
        PNS_data[Value],
        PNS_data[Country], FR_data[[#This Row],[Country]],
        PNS_data[National Society name], selected,
        PNS_data[Attribute], "SP4",
        PNS_data[Year], "2026"
    ),
    IF(_xlpm.sumValue = 0, "", _xlpm.sumValue)
)</f>
        <v/>
      </c>
      <c r="H177" s="31" t="str">
        <f>_xlfn.LET(
    _xlpm.sumValue, SUMIFS(
        PNS_data[Value],
        PNS_data[Country], FR_data[[#This Row],[Country]],
        PNS_data[National Society name], selected,
        PNS_data[Attribute], "SP5",
        PNS_data[Year], "2026"
    ),
    IF(_xlpm.sumValue = 0, "", _xlpm.sumValue)
)</f>
        <v/>
      </c>
      <c r="I177" s="31" t="str">
        <f>_xlfn.LET(
    _xlpm.sumValue, SUMIFS(
        PNS_data[Value],
        PNS_data[Country], FR_data[[#This Row],[Country]],
        PNS_data[National Society name], selected,
        PNS_data[Attribute], "EFs",
        PNS_data[Year], "2026"
    ),
    IF(_xlpm.sumValue = 0, "", _xlpm.sumValue)
)</f>
        <v/>
      </c>
      <c r="J177" s="32" t="str">
        <f>IF(SUM(FR_data[[#This Row],[Response - Disasters and Crises]:[Enabling Functions]])=0,"",SUM(FR_data[[#This Row],[Response - Disasters and Crises]:[Enabling Functions]]))</f>
        <v/>
      </c>
      <c r="K177" s="39"/>
      <c r="L177" s="30" t="str">
        <f>_xlfn.LET(
    _xlpm.sumValue, SUMIFS(
        PNS_data[Value],
        PNS_data[Country], FR_data[[#This Row],[Country]],
        PNS_data[National Society name], selected,
        PNS_data[Attribute], "SP1",
        PNS_data[Year], "2027"
    ),
    IF(_xlpm.sumValue = 0, "", _xlpm.sumValue)
)</f>
        <v/>
      </c>
      <c r="M177" s="31" t="str">
        <f>_xlfn.LET(
    _xlpm.sumValue, SUMIFS(
        PNS_data[Value],
        PNS_data[Country], FR_data[[#This Row],[Country]],
        PNS_data[National Society name], selected,
        PNS_data[Attribute], "SP2",
        PNS_data[Year], "2027"
    ),
    IF(_xlpm.sumValue = 0, "", _xlpm.sumValue)
)</f>
        <v/>
      </c>
      <c r="N177" s="31" t="str">
        <f>_xlfn.LET(
    _xlpm.sumValue, SUMIFS(
        PNS_data[Value],
        PNS_data[Country], FR_data[[#This Row],[Country]],
        PNS_data[National Society name], selected,
        PNS_data[Attribute], "SP3",
        PNS_data[Year], "2027"
    ),
    IF(_xlpm.sumValue = 0, "", _xlpm.sumValue)
)</f>
        <v/>
      </c>
      <c r="O177" s="31" t="str">
        <f>_xlfn.LET(
    _xlpm.sumValue, SUMIFS(
        PNS_data[Value],
        PNS_data[Country], FR_data[[#This Row],[Country]],
        PNS_data[National Society name], selected,
        PNS_data[Attribute], "SP4",
        PNS_data[Year], "2027"
    ),
    IF(_xlpm.sumValue = 0, "", _xlpm.sumValue)
)</f>
        <v/>
      </c>
      <c r="P177" s="31" t="str">
        <f>_xlfn.LET(
    _xlpm.sumValue, SUMIFS(
        PNS_data[Value],
        PNS_data[Country], FR_data[[#This Row],[Country]],
        PNS_data[National Society name], selected,
        PNS_data[Attribute], "SP5",
        PNS_data[Year], "2027"
    ),
    IF(_xlpm.sumValue = 0, "", _xlpm.sumValue)
)</f>
        <v/>
      </c>
      <c r="Q177" s="31" t="str">
        <f>_xlfn.LET(
    _xlpm.sumValue, SUMIFS(
        PNS_data[Value],
        PNS_data[Country], FR_data[[#This Row],[Country]],
        PNS_data[National Society name], selected,
        PNS_data[Attribute], "EFs",
        PNS_data[Year], "2027"
    ),
    IF(_xlpm.sumValue = 0, "", _xlpm.sumValue)
)</f>
        <v/>
      </c>
      <c r="R177" s="32" t="str">
        <f>IF(SUM(FR_data[[#This Row],[Response - Disasters and Crises ]:[Enabling Functions ]])=0,"",SUM(FR_data[[#This Row],[Response - Disasters and Crises ]:[Enabling Functions ]]))</f>
        <v/>
      </c>
      <c r="S177" s="39"/>
      <c r="T177" s="30" t="str">
        <f>_xlfn.LET(
    _xlpm.sumValue, SUMIFS(
        PNS_data[Value],
        PNS_data[Country], FR_data[[#This Row],[Country]],
        PNS_data[National Society name], selected,
        PNS_data[Attribute], "SP1",
        PNS_data[Year], "2028"
    ),
    IF(_xlpm.sumValue = 0, "", _xlpm.sumValue)
)</f>
        <v/>
      </c>
      <c r="U177" s="31" t="str">
        <f>_xlfn.LET(
    _xlpm.sumValue, SUMIFS(
        PNS_data[Value],
        PNS_data[Country], FR_data[[#This Row],[Country]],
        PNS_data[National Society name], selected,
        PNS_data[Attribute], "SP2",
        PNS_data[Year], "2028"
    ),
    IF(_xlpm.sumValue = 0, "", _xlpm.sumValue)
)</f>
        <v/>
      </c>
      <c r="V177" s="31" t="str">
        <f>_xlfn.LET(
    _xlpm.sumValue, SUMIFS(
        PNS_data[Value],
        PNS_data[Country], FR_data[[#This Row],[Country]],
        PNS_data[National Society name], selected,
        PNS_data[Attribute], "SP3",
        PNS_data[Year], "2028"
    ),
    IF(_xlpm.sumValue = 0, "", _xlpm.sumValue)
)</f>
        <v/>
      </c>
      <c r="W177" s="31" t="str">
        <f>_xlfn.LET(
    _xlpm.sumValue, SUMIFS(
        PNS_data[Value],
        PNS_data[Country], FR_data[[#This Row],[Country]],
        PNS_data[National Society name], selected,
        PNS_data[Attribute], "SP4",
        PNS_data[Year], "2028"
    ),
    IF(_xlpm.sumValue = 0, "", _xlpm.sumValue)
)</f>
        <v/>
      </c>
      <c r="X177" s="31" t="str">
        <f>_xlfn.LET(
    _xlpm.sumValue, SUMIFS(
        PNS_data[Value],
        PNS_data[Country], FR_data[[#This Row],[Country]],
        PNS_data[National Society name], selected,
        PNS_data[Attribute], "SP5",
        PNS_data[Year], "2028"
    ),
    IF(_xlpm.sumValue = 0, "", _xlpm.sumValue)
)</f>
        <v/>
      </c>
      <c r="Y177" s="31" t="str">
        <f>_xlfn.LET(
    _xlpm.sumValue, SUMIFS(
        PNS_data[Value],
        PNS_data[Country], FR_data[[#This Row],[Country]],
        PNS_data[National Society name], selected,
        PNS_data[Attribute], "EFs",
        PNS_data[Year], "2028"
    ),
    IF(_xlpm.sumValue = 0, "", _xlpm.sumValue)
)</f>
        <v/>
      </c>
      <c r="Z177" s="32" t="str">
        <f>IF(SUM(FR_data[[#This Row],[Response - Disasters and Crises  ]:[Enabling Functions  ]])=0,"",SUM(FR_data[[#This Row],[Response - Disasters and Crises  ]:[Enabling Functions  ]]))</f>
        <v/>
      </c>
      <c r="AA177" s="41"/>
    </row>
    <row r="178" spans="1:27" x14ac:dyDescent="0.3">
      <c r="A178" s="11" t="s">
        <v>239</v>
      </c>
      <c r="B178" s="11" t="s">
        <v>100</v>
      </c>
      <c r="C178" s="11" t="s">
        <v>240</v>
      </c>
      <c r="D178" s="30" t="str">
        <f>_xlfn.LET(
    _xlpm.sumValue, SUMIFS(
        PNS_data[Value],
        PNS_data[Country], FR_data[[#This Row],[Country]],
        PNS_data[National Society name], selected,
        PNS_data[Attribute], "SP1",
        PNS_data[Year], "2026"
    ),
    IF(_xlpm.sumValue = 0, "", _xlpm.sumValue)
)</f>
        <v/>
      </c>
      <c r="E178" s="31" t="str">
        <f>_xlfn.LET(
    _xlpm.sumValue, SUMIFS(
        PNS_data[Value],
        PNS_data[Country], FR_data[[#This Row],[Country]],
        PNS_data[National Society name], selected,
        PNS_data[Attribute], "SP2",
        PNS_data[Year], "2026"
    ),
    IF(_xlpm.sumValue = 0, "", _xlpm.sumValue)
)</f>
        <v/>
      </c>
      <c r="F178" s="31" t="str">
        <f>_xlfn.LET(
    _xlpm.sumValue, SUMIFS(
        PNS_data[Value],
        PNS_data[Country], FR_data[[#This Row],[Country]],
        PNS_data[National Society name], selected,
        PNS_data[Attribute], "SP3",
        PNS_data[Year], "2026"
    ),
    IF(_xlpm.sumValue = 0, "", _xlpm.sumValue)
)</f>
        <v/>
      </c>
      <c r="G178" s="31" t="str">
        <f>_xlfn.LET(
    _xlpm.sumValue, SUMIFS(
        PNS_data[Value],
        PNS_data[Country], FR_data[[#This Row],[Country]],
        PNS_data[National Society name], selected,
        PNS_data[Attribute], "SP4",
        PNS_data[Year], "2026"
    ),
    IF(_xlpm.sumValue = 0, "", _xlpm.sumValue)
)</f>
        <v/>
      </c>
      <c r="H178" s="31" t="str">
        <f>_xlfn.LET(
    _xlpm.sumValue, SUMIFS(
        PNS_data[Value],
        PNS_data[Country], FR_data[[#This Row],[Country]],
        PNS_data[National Society name], selected,
        PNS_data[Attribute], "SP5",
        PNS_data[Year], "2026"
    ),
    IF(_xlpm.sumValue = 0, "", _xlpm.sumValue)
)</f>
        <v/>
      </c>
      <c r="I178" s="31" t="str">
        <f>_xlfn.LET(
    _xlpm.sumValue, SUMIFS(
        PNS_data[Value],
        PNS_data[Country], FR_data[[#This Row],[Country]],
        PNS_data[National Society name], selected,
        PNS_data[Attribute], "EFs",
        PNS_data[Year], "2026"
    ),
    IF(_xlpm.sumValue = 0, "", _xlpm.sumValue)
)</f>
        <v/>
      </c>
      <c r="J178" s="32" t="str">
        <f>IF(SUM(FR_data[[#This Row],[Response - Disasters and Crises]:[Enabling Functions]])=0,"",SUM(FR_data[[#This Row],[Response - Disasters and Crises]:[Enabling Functions]]))</f>
        <v/>
      </c>
      <c r="K178" s="39"/>
      <c r="L178" s="30" t="str">
        <f>_xlfn.LET(
    _xlpm.sumValue, SUMIFS(
        PNS_data[Value],
        PNS_data[Country], FR_data[[#This Row],[Country]],
        PNS_data[National Society name], selected,
        PNS_data[Attribute], "SP1",
        PNS_data[Year], "2027"
    ),
    IF(_xlpm.sumValue = 0, "", _xlpm.sumValue)
)</f>
        <v/>
      </c>
      <c r="M178" s="31" t="str">
        <f>_xlfn.LET(
    _xlpm.sumValue, SUMIFS(
        PNS_data[Value],
        PNS_data[Country], FR_data[[#This Row],[Country]],
        PNS_data[National Society name], selected,
        PNS_data[Attribute], "SP2",
        PNS_data[Year], "2027"
    ),
    IF(_xlpm.sumValue = 0, "", _xlpm.sumValue)
)</f>
        <v/>
      </c>
      <c r="N178" s="31" t="str">
        <f>_xlfn.LET(
    _xlpm.sumValue, SUMIFS(
        PNS_data[Value],
        PNS_data[Country], FR_data[[#This Row],[Country]],
        PNS_data[National Society name], selected,
        PNS_data[Attribute], "SP3",
        PNS_data[Year], "2027"
    ),
    IF(_xlpm.sumValue = 0, "", _xlpm.sumValue)
)</f>
        <v/>
      </c>
      <c r="O178" s="31" t="str">
        <f>_xlfn.LET(
    _xlpm.sumValue, SUMIFS(
        PNS_data[Value],
        PNS_data[Country], FR_data[[#This Row],[Country]],
        PNS_data[National Society name], selected,
        PNS_data[Attribute], "SP4",
        PNS_data[Year], "2027"
    ),
    IF(_xlpm.sumValue = 0, "", _xlpm.sumValue)
)</f>
        <v/>
      </c>
      <c r="P178" s="31" t="str">
        <f>_xlfn.LET(
    _xlpm.sumValue, SUMIFS(
        PNS_data[Value],
        PNS_data[Country], FR_data[[#This Row],[Country]],
        PNS_data[National Society name], selected,
        PNS_data[Attribute], "SP5",
        PNS_data[Year], "2027"
    ),
    IF(_xlpm.sumValue = 0, "", _xlpm.sumValue)
)</f>
        <v/>
      </c>
      <c r="Q178" s="31" t="str">
        <f>_xlfn.LET(
    _xlpm.sumValue, SUMIFS(
        PNS_data[Value],
        PNS_data[Country], FR_data[[#This Row],[Country]],
        PNS_data[National Society name], selected,
        PNS_data[Attribute], "EFs",
        PNS_data[Year], "2027"
    ),
    IF(_xlpm.sumValue = 0, "", _xlpm.sumValue)
)</f>
        <v/>
      </c>
      <c r="R178" s="32" t="str">
        <f>IF(SUM(FR_data[[#This Row],[Response - Disasters and Crises ]:[Enabling Functions ]])=0,"",SUM(FR_data[[#This Row],[Response - Disasters and Crises ]:[Enabling Functions ]]))</f>
        <v/>
      </c>
      <c r="S178" s="39"/>
      <c r="T178" s="30" t="str">
        <f>_xlfn.LET(
    _xlpm.sumValue, SUMIFS(
        PNS_data[Value],
        PNS_data[Country], FR_data[[#This Row],[Country]],
        PNS_data[National Society name], selected,
        PNS_data[Attribute], "SP1",
        PNS_data[Year], "2028"
    ),
    IF(_xlpm.sumValue = 0, "", _xlpm.sumValue)
)</f>
        <v/>
      </c>
      <c r="U178" s="31" t="str">
        <f>_xlfn.LET(
    _xlpm.sumValue, SUMIFS(
        PNS_data[Value],
        PNS_data[Country], FR_data[[#This Row],[Country]],
        PNS_data[National Society name], selected,
        PNS_data[Attribute], "SP2",
        PNS_data[Year], "2028"
    ),
    IF(_xlpm.sumValue = 0, "", _xlpm.sumValue)
)</f>
        <v/>
      </c>
      <c r="V178" s="31" t="str">
        <f>_xlfn.LET(
    _xlpm.sumValue, SUMIFS(
        PNS_data[Value],
        PNS_data[Country], FR_data[[#This Row],[Country]],
        PNS_data[National Society name], selected,
        PNS_data[Attribute], "SP3",
        PNS_data[Year], "2028"
    ),
    IF(_xlpm.sumValue = 0, "", _xlpm.sumValue)
)</f>
        <v/>
      </c>
      <c r="W178" s="31" t="str">
        <f>_xlfn.LET(
    _xlpm.sumValue, SUMIFS(
        PNS_data[Value],
        PNS_data[Country], FR_data[[#This Row],[Country]],
        PNS_data[National Society name], selected,
        PNS_data[Attribute], "SP4",
        PNS_data[Year], "2028"
    ),
    IF(_xlpm.sumValue = 0, "", _xlpm.sumValue)
)</f>
        <v/>
      </c>
      <c r="X178" s="31" t="str">
        <f>_xlfn.LET(
    _xlpm.sumValue, SUMIFS(
        PNS_data[Value],
        PNS_data[Country], FR_data[[#This Row],[Country]],
        PNS_data[National Society name], selected,
        PNS_data[Attribute], "SP5",
        PNS_data[Year], "2028"
    ),
    IF(_xlpm.sumValue = 0, "", _xlpm.sumValue)
)</f>
        <v/>
      </c>
      <c r="Y178" s="31" t="str">
        <f>_xlfn.LET(
    _xlpm.sumValue, SUMIFS(
        PNS_data[Value],
        PNS_data[Country], FR_data[[#This Row],[Country]],
        PNS_data[National Society name], selected,
        PNS_data[Attribute], "EFs",
        PNS_data[Year], "2028"
    ),
    IF(_xlpm.sumValue = 0, "", _xlpm.sumValue)
)</f>
        <v/>
      </c>
      <c r="Z178" s="32" t="str">
        <f>IF(SUM(FR_data[[#This Row],[Response - Disasters and Crises  ]:[Enabling Functions  ]])=0,"",SUM(FR_data[[#This Row],[Response - Disasters and Crises  ]:[Enabling Functions  ]]))</f>
        <v/>
      </c>
      <c r="AA178" s="41"/>
    </row>
    <row r="179" spans="1:27" x14ac:dyDescent="0.3">
      <c r="A179" s="11" t="s">
        <v>343</v>
      </c>
      <c r="B179" s="11" t="s">
        <v>100</v>
      </c>
      <c r="C179" s="11" t="s">
        <v>344</v>
      </c>
      <c r="D179" s="30" t="str">
        <f>_xlfn.LET(
    _xlpm.sumValue, SUMIFS(
        PNS_data[Value],
        PNS_data[Country], FR_data[[#This Row],[Country]],
        PNS_data[National Society name], selected,
        PNS_data[Attribute], "SP1",
        PNS_data[Year], "2026"
    ),
    IF(_xlpm.sumValue = 0, "", _xlpm.sumValue)
)</f>
        <v/>
      </c>
      <c r="E179" s="31" t="str">
        <f>_xlfn.LET(
    _xlpm.sumValue, SUMIFS(
        PNS_data[Value],
        PNS_data[Country], FR_data[[#This Row],[Country]],
        PNS_data[National Society name], selected,
        PNS_data[Attribute], "SP2",
        PNS_data[Year], "2026"
    ),
    IF(_xlpm.sumValue = 0, "", _xlpm.sumValue)
)</f>
        <v/>
      </c>
      <c r="F179" s="31" t="str">
        <f>_xlfn.LET(
    _xlpm.sumValue, SUMIFS(
        PNS_data[Value],
        PNS_data[Country], FR_data[[#This Row],[Country]],
        PNS_data[National Society name], selected,
        PNS_data[Attribute], "SP3",
        PNS_data[Year], "2026"
    ),
    IF(_xlpm.sumValue = 0, "", _xlpm.sumValue)
)</f>
        <v/>
      </c>
      <c r="G179" s="31" t="str">
        <f>_xlfn.LET(
    _xlpm.sumValue, SUMIFS(
        PNS_data[Value],
        PNS_data[Country], FR_data[[#This Row],[Country]],
        PNS_data[National Society name], selected,
        PNS_data[Attribute], "SP4",
        PNS_data[Year], "2026"
    ),
    IF(_xlpm.sumValue = 0, "", _xlpm.sumValue)
)</f>
        <v/>
      </c>
      <c r="H179" s="31" t="str">
        <f>_xlfn.LET(
    _xlpm.sumValue, SUMIFS(
        PNS_data[Value],
        PNS_data[Country], FR_data[[#This Row],[Country]],
        PNS_data[National Society name], selected,
        PNS_data[Attribute], "SP5",
        PNS_data[Year], "2026"
    ),
    IF(_xlpm.sumValue = 0, "", _xlpm.sumValue)
)</f>
        <v/>
      </c>
      <c r="I179" s="31" t="str">
        <f>_xlfn.LET(
    _xlpm.sumValue, SUMIFS(
        PNS_data[Value],
        PNS_data[Country], FR_data[[#This Row],[Country]],
        PNS_data[National Society name], selected,
        PNS_data[Attribute], "EFs",
        PNS_data[Year], "2026"
    ),
    IF(_xlpm.sumValue = 0, "", _xlpm.sumValue)
)</f>
        <v/>
      </c>
      <c r="J179" s="32" t="str">
        <f>IF(SUM(FR_data[[#This Row],[Response - Disasters and Crises]:[Enabling Functions]])=0,"",SUM(FR_data[[#This Row],[Response - Disasters and Crises]:[Enabling Functions]]))</f>
        <v/>
      </c>
      <c r="K179" s="39"/>
      <c r="L179" s="30" t="str">
        <f>_xlfn.LET(
    _xlpm.sumValue, SUMIFS(
        PNS_data[Value],
        PNS_data[Country], FR_data[[#This Row],[Country]],
        PNS_data[National Society name], selected,
        PNS_data[Attribute], "SP1",
        PNS_data[Year], "2027"
    ),
    IF(_xlpm.sumValue = 0, "", _xlpm.sumValue)
)</f>
        <v/>
      </c>
      <c r="M179" s="31" t="str">
        <f>_xlfn.LET(
    _xlpm.sumValue, SUMIFS(
        PNS_data[Value],
        PNS_data[Country], FR_data[[#This Row],[Country]],
        PNS_data[National Society name], selected,
        PNS_data[Attribute], "SP2",
        PNS_data[Year], "2027"
    ),
    IF(_xlpm.sumValue = 0, "", _xlpm.sumValue)
)</f>
        <v/>
      </c>
      <c r="N179" s="31" t="str">
        <f>_xlfn.LET(
    _xlpm.sumValue, SUMIFS(
        PNS_data[Value],
        PNS_data[Country], FR_data[[#This Row],[Country]],
        PNS_data[National Society name], selected,
        PNS_data[Attribute], "SP3",
        PNS_data[Year], "2027"
    ),
    IF(_xlpm.sumValue = 0, "", _xlpm.sumValue)
)</f>
        <v/>
      </c>
      <c r="O179" s="31" t="str">
        <f>_xlfn.LET(
    _xlpm.sumValue, SUMIFS(
        PNS_data[Value],
        PNS_data[Country], FR_data[[#This Row],[Country]],
        PNS_data[National Society name], selected,
        PNS_data[Attribute], "SP4",
        PNS_data[Year], "2027"
    ),
    IF(_xlpm.sumValue = 0, "", _xlpm.sumValue)
)</f>
        <v/>
      </c>
      <c r="P179" s="31" t="str">
        <f>_xlfn.LET(
    _xlpm.sumValue, SUMIFS(
        PNS_data[Value],
        PNS_data[Country], FR_data[[#This Row],[Country]],
        PNS_data[National Society name], selected,
        PNS_data[Attribute], "SP5",
        PNS_data[Year], "2027"
    ),
    IF(_xlpm.sumValue = 0, "", _xlpm.sumValue)
)</f>
        <v/>
      </c>
      <c r="Q179" s="31" t="str">
        <f>_xlfn.LET(
    _xlpm.sumValue, SUMIFS(
        PNS_data[Value],
        PNS_data[Country], FR_data[[#This Row],[Country]],
        PNS_data[National Society name], selected,
        PNS_data[Attribute], "EFs",
        PNS_data[Year], "2027"
    ),
    IF(_xlpm.sumValue = 0, "", _xlpm.sumValue)
)</f>
        <v/>
      </c>
      <c r="R179" s="32" t="str">
        <f>IF(SUM(FR_data[[#This Row],[Response - Disasters and Crises ]:[Enabling Functions ]])=0,"",SUM(FR_data[[#This Row],[Response - Disasters and Crises ]:[Enabling Functions ]]))</f>
        <v/>
      </c>
      <c r="S179" s="39"/>
      <c r="T179" s="30" t="str">
        <f>_xlfn.LET(
    _xlpm.sumValue, SUMIFS(
        PNS_data[Value],
        PNS_data[Country], FR_data[[#This Row],[Country]],
        PNS_data[National Society name], selected,
        PNS_data[Attribute], "SP1",
        PNS_data[Year], "2028"
    ),
    IF(_xlpm.sumValue = 0, "", _xlpm.sumValue)
)</f>
        <v/>
      </c>
      <c r="U179" s="31" t="str">
        <f>_xlfn.LET(
    _xlpm.sumValue, SUMIFS(
        PNS_data[Value],
        PNS_data[Country], FR_data[[#This Row],[Country]],
        PNS_data[National Society name], selected,
        PNS_data[Attribute], "SP2",
        PNS_data[Year], "2028"
    ),
    IF(_xlpm.sumValue = 0, "", _xlpm.sumValue)
)</f>
        <v/>
      </c>
      <c r="V179" s="31" t="str">
        <f>_xlfn.LET(
    _xlpm.sumValue, SUMIFS(
        PNS_data[Value],
        PNS_data[Country], FR_data[[#This Row],[Country]],
        PNS_data[National Society name], selected,
        PNS_data[Attribute], "SP3",
        PNS_data[Year], "2028"
    ),
    IF(_xlpm.sumValue = 0, "", _xlpm.sumValue)
)</f>
        <v/>
      </c>
      <c r="W179" s="31" t="str">
        <f>_xlfn.LET(
    _xlpm.sumValue, SUMIFS(
        PNS_data[Value],
        PNS_data[Country], FR_data[[#This Row],[Country]],
        PNS_data[National Society name], selected,
        PNS_data[Attribute], "SP4",
        PNS_data[Year], "2028"
    ),
    IF(_xlpm.sumValue = 0, "", _xlpm.sumValue)
)</f>
        <v/>
      </c>
      <c r="X179" s="31" t="str">
        <f>_xlfn.LET(
    _xlpm.sumValue, SUMIFS(
        PNS_data[Value],
        PNS_data[Country], FR_data[[#This Row],[Country]],
        PNS_data[National Society name], selected,
        PNS_data[Attribute], "SP5",
        PNS_data[Year], "2028"
    ),
    IF(_xlpm.sumValue = 0, "", _xlpm.sumValue)
)</f>
        <v/>
      </c>
      <c r="Y179" s="31" t="str">
        <f>_xlfn.LET(
    _xlpm.sumValue, SUMIFS(
        PNS_data[Value],
        PNS_data[Country], FR_data[[#This Row],[Country]],
        PNS_data[National Society name], selected,
        PNS_data[Attribute], "EFs",
        PNS_data[Year], "2028"
    ),
    IF(_xlpm.sumValue = 0, "", _xlpm.sumValue)
)</f>
        <v/>
      </c>
      <c r="Z179" s="32" t="str">
        <f>IF(SUM(FR_data[[#This Row],[Response - Disasters and Crises  ]:[Enabling Functions  ]])=0,"",SUM(FR_data[[#This Row],[Response - Disasters and Crises  ]:[Enabling Functions  ]]))</f>
        <v/>
      </c>
      <c r="AA179" s="41"/>
    </row>
    <row r="180" spans="1:27" x14ac:dyDescent="0.3">
      <c r="A180" s="11" t="s">
        <v>179</v>
      </c>
      <c r="B180" s="11" t="s">
        <v>100</v>
      </c>
      <c r="C180" s="11" t="s">
        <v>180</v>
      </c>
      <c r="D180" s="30" t="str">
        <f>_xlfn.LET(
    _xlpm.sumValue, SUMIFS(
        PNS_data[Value],
        PNS_data[Country], FR_data[[#This Row],[Country]],
        PNS_data[National Society name], selected,
        PNS_data[Attribute], "SP1",
        PNS_data[Year], "2026"
    ),
    IF(_xlpm.sumValue = 0, "", _xlpm.sumValue)
)</f>
        <v/>
      </c>
      <c r="E180" s="31" t="str">
        <f>_xlfn.LET(
    _xlpm.sumValue, SUMIFS(
        PNS_data[Value],
        PNS_data[Country], FR_data[[#This Row],[Country]],
        PNS_data[National Society name], selected,
        PNS_data[Attribute], "SP2",
        PNS_data[Year], "2026"
    ),
    IF(_xlpm.sumValue = 0, "", _xlpm.sumValue)
)</f>
        <v/>
      </c>
      <c r="F180" s="31" t="str">
        <f>_xlfn.LET(
    _xlpm.sumValue, SUMIFS(
        PNS_data[Value],
        PNS_data[Country], FR_data[[#This Row],[Country]],
        PNS_data[National Society name], selected,
        PNS_data[Attribute], "SP3",
        PNS_data[Year], "2026"
    ),
    IF(_xlpm.sumValue = 0, "", _xlpm.sumValue)
)</f>
        <v/>
      </c>
      <c r="G180" s="31" t="str">
        <f>_xlfn.LET(
    _xlpm.sumValue, SUMIFS(
        PNS_data[Value],
        PNS_data[Country], FR_data[[#This Row],[Country]],
        PNS_data[National Society name], selected,
        PNS_data[Attribute], "SP4",
        PNS_data[Year], "2026"
    ),
    IF(_xlpm.sumValue = 0, "", _xlpm.sumValue)
)</f>
        <v/>
      </c>
      <c r="H180" s="31" t="str">
        <f>_xlfn.LET(
    _xlpm.sumValue, SUMIFS(
        PNS_data[Value],
        PNS_data[Country], FR_data[[#This Row],[Country]],
        PNS_data[National Society name], selected,
        PNS_data[Attribute], "SP5",
        PNS_data[Year], "2026"
    ),
    IF(_xlpm.sumValue = 0, "", _xlpm.sumValue)
)</f>
        <v/>
      </c>
      <c r="I180" s="31" t="str">
        <f>_xlfn.LET(
    _xlpm.sumValue, SUMIFS(
        PNS_data[Value],
        PNS_data[Country], FR_data[[#This Row],[Country]],
        PNS_data[National Society name], selected,
        PNS_data[Attribute], "EFs",
        PNS_data[Year], "2026"
    ),
    IF(_xlpm.sumValue = 0, "", _xlpm.sumValue)
)</f>
        <v/>
      </c>
      <c r="J180" s="32" t="str">
        <f>IF(SUM(FR_data[[#This Row],[Response - Disasters and Crises]:[Enabling Functions]])=0,"",SUM(FR_data[[#This Row],[Response - Disasters and Crises]:[Enabling Functions]]))</f>
        <v/>
      </c>
      <c r="K180" s="39"/>
      <c r="L180" s="30" t="str">
        <f>_xlfn.LET(
    _xlpm.sumValue, SUMIFS(
        PNS_data[Value],
        PNS_data[Country], FR_data[[#This Row],[Country]],
        PNS_data[National Society name], selected,
        PNS_data[Attribute], "SP1",
        PNS_data[Year], "2027"
    ),
    IF(_xlpm.sumValue = 0, "", _xlpm.sumValue)
)</f>
        <v/>
      </c>
      <c r="M180" s="31" t="str">
        <f>_xlfn.LET(
    _xlpm.sumValue, SUMIFS(
        PNS_data[Value],
        PNS_data[Country], FR_data[[#This Row],[Country]],
        PNS_data[National Society name], selected,
        PNS_data[Attribute], "SP2",
        PNS_data[Year], "2027"
    ),
    IF(_xlpm.sumValue = 0, "", _xlpm.sumValue)
)</f>
        <v/>
      </c>
      <c r="N180" s="31" t="str">
        <f>_xlfn.LET(
    _xlpm.sumValue, SUMIFS(
        PNS_data[Value],
        PNS_data[Country], FR_data[[#This Row],[Country]],
        PNS_data[National Society name], selected,
        PNS_data[Attribute], "SP3",
        PNS_data[Year], "2027"
    ),
    IF(_xlpm.sumValue = 0, "", _xlpm.sumValue)
)</f>
        <v/>
      </c>
      <c r="O180" s="31" t="str">
        <f>_xlfn.LET(
    _xlpm.sumValue, SUMIFS(
        PNS_data[Value],
        PNS_data[Country], FR_data[[#This Row],[Country]],
        PNS_data[National Society name], selected,
        PNS_data[Attribute], "SP4",
        PNS_data[Year], "2027"
    ),
    IF(_xlpm.sumValue = 0, "", _xlpm.sumValue)
)</f>
        <v/>
      </c>
      <c r="P180" s="31" t="str">
        <f>_xlfn.LET(
    _xlpm.sumValue, SUMIFS(
        PNS_data[Value],
        PNS_data[Country], FR_data[[#This Row],[Country]],
        PNS_data[National Society name], selected,
        PNS_data[Attribute], "SP5",
        PNS_data[Year], "2027"
    ),
    IF(_xlpm.sumValue = 0, "", _xlpm.sumValue)
)</f>
        <v/>
      </c>
      <c r="Q180" s="31" t="str">
        <f>_xlfn.LET(
    _xlpm.sumValue, SUMIFS(
        PNS_data[Value],
        PNS_data[Country], FR_data[[#This Row],[Country]],
        PNS_data[National Society name], selected,
        PNS_data[Attribute], "EFs",
        PNS_data[Year], "2027"
    ),
    IF(_xlpm.sumValue = 0, "", _xlpm.sumValue)
)</f>
        <v/>
      </c>
      <c r="R180" s="32" t="str">
        <f>IF(SUM(FR_data[[#This Row],[Response - Disasters and Crises ]:[Enabling Functions ]])=0,"",SUM(FR_data[[#This Row],[Response - Disasters and Crises ]:[Enabling Functions ]]))</f>
        <v/>
      </c>
      <c r="S180" s="39"/>
      <c r="T180" s="30" t="str">
        <f>_xlfn.LET(
    _xlpm.sumValue, SUMIFS(
        PNS_data[Value],
        PNS_data[Country], FR_data[[#This Row],[Country]],
        PNS_data[National Society name], selected,
        PNS_data[Attribute], "SP1",
        PNS_data[Year], "2028"
    ),
    IF(_xlpm.sumValue = 0, "", _xlpm.sumValue)
)</f>
        <v/>
      </c>
      <c r="U180" s="31" t="str">
        <f>_xlfn.LET(
    _xlpm.sumValue, SUMIFS(
        PNS_data[Value],
        PNS_data[Country], FR_data[[#This Row],[Country]],
        PNS_data[National Society name], selected,
        PNS_data[Attribute], "SP2",
        PNS_data[Year], "2028"
    ),
    IF(_xlpm.sumValue = 0, "", _xlpm.sumValue)
)</f>
        <v/>
      </c>
      <c r="V180" s="31" t="str">
        <f>_xlfn.LET(
    _xlpm.sumValue, SUMIFS(
        PNS_data[Value],
        PNS_data[Country], FR_data[[#This Row],[Country]],
        PNS_data[National Society name], selected,
        PNS_data[Attribute], "SP3",
        PNS_data[Year], "2028"
    ),
    IF(_xlpm.sumValue = 0, "", _xlpm.sumValue)
)</f>
        <v/>
      </c>
      <c r="W180" s="31" t="str">
        <f>_xlfn.LET(
    _xlpm.sumValue, SUMIFS(
        PNS_data[Value],
        PNS_data[Country], FR_data[[#This Row],[Country]],
        PNS_data[National Society name], selected,
        PNS_data[Attribute], "SP4",
        PNS_data[Year], "2028"
    ),
    IF(_xlpm.sumValue = 0, "", _xlpm.sumValue)
)</f>
        <v/>
      </c>
      <c r="X180" s="31" t="str">
        <f>_xlfn.LET(
    _xlpm.sumValue, SUMIFS(
        PNS_data[Value],
        PNS_data[Country], FR_data[[#This Row],[Country]],
        PNS_data[National Society name], selected,
        PNS_data[Attribute], "SP5",
        PNS_data[Year], "2028"
    ),
    IF(_xlpm.sumValue = 0, "", _xlpm.sumValue)
)</f>
        <v/>
      </c>
      <c r="Y180" s="31" t="str">
        <f>_xlfn.LET(
    _xlpm.sumValue, SUMIFS(
        PNS_data[Value],
        PNS_data[Country], FR_data[[#This Row],[Country]],
        PNS_data[National Society name], selected,
        PNS_data[Attribute], "EFs",
        PNS_data[Year], "2028"
    ),
    IF(_xlpm.sumValue = 0, "", _xlpm.sumValue)
)</f>
        <v/>
      </c>
      <c r="Z180" s="32" t="str">
        <f>IF(SUM(FR_data[[#This Row],[Response - Disasters and Crises  ]:[Enabling Functions  ]])=0,"",SUM(FR_data[[#This Row],[Response - Disasters and Crises  ]:[Enabling Functions  ]]))</f>
        <v/>
      </c>
      <c r="AA180" s="41"/>
    </row>
    <row r="181" spans="1:27" x14ac:dyDescent="0.3">
      <c r="A181" s="11" t="s">
        <v>369</v>
      </c>
      <c r="B181" s="11" t="s">
        <v>100</v>
      </c>
      <c r="C181" s="11" t="s">
        <v>370</v>
      </c>
      <c r="D181" s="30" t="str">
        <f>_xlfn.LET(
    _xlpm.sumValue, SUMIFS(
        PNS_data[Value],
        PNS_data[Country], FR_data[[#This Row],[Country]],
        PNS_data[National Society name], selected,
        PNS_data[Attribute], "SP1",
        PNS_data[Year], "2026"
    ),
    IF(_xlpm.sumValue = 0, "", _xlpm.sumValue)
)</f>
        <v/>
      </c>
      <c r="E181" s="31" t="str">
        <f>_xlfn.LET(
    _xlpm.sumValue, SUMIFS(
        PNS_data[Value],
        PNS_data[Country], FR_data[[#This Row],[Country]],
        PNS_data[National Society name], selected,
        PNS_data[Attribute], "SP2",
        PNS_data[Year], "2026"
    ),
    IF(_xlpm.sumValue = 0, "", _xlpm.sumValue)
)</f>
        <v/>
      </c>
      <c r="F181" s="31" t="str">
        <f>_xlfn.LET(
    _xlpm.sumValue, SUMIFS(
        PNS_data[Value],
        PNS_data[Country], FR_data[[#This Row],[Country]],
        PNS_data[National Society name], selected,
        PNS_data[Attribute], "SP3",
        PNS_data[Year], "2026"
    ),
    IF(_xlpm.sumValue = 0, "", _xlpm.sumValue)
)</f>
        <v/>
      </c>
      <c r="G181" s="31" t="str">
        <f>_xlfn.LET(
    _xlpm.sumValue, SUMIFS(
        PNS_data[Value],
        PNS_data[Country], FR_data[[#This Row],[Country]],
        PNS_data[National Society name], selected,
        PNS_data[Attribute], "SP4",
        PNS_data[Year], "2026"
    ),
    IF(_xlpm.sumValue = 0, "", _xlpm.sumValue)
)</f>
        <v/>
      </c>
      <c r="H181" s="31" t="str">
        <f>_xlfn.LET(
    _xlpm.sumValue, SUMIFS(
        PNS_data[Value],
        PNS_data[Country], FR_data[[#This Row],[Country]],
        PNS_data[National Society name], selected,
        PNS_data[Attribute], "SP5",
        PNS_data[Year], "2026"
    ),
    IF(_xlpm.sumValue = 0, "", _xlpm.sumValue)
)</f>
        <v/>
      </c>
      <c r="I181" s="31" t="str">
        <f>_xlfn.LET(
    _xlpm.sumValue, SUMIFS(
        PNS_data[Value],
        PNS_data[Country], FR_data[[#This Row],[Country]],
        PNS_data[National Society name], selected,
        PNS_data[Attribute], "EFs",
        PNS_data[Year], "2026"
    ),
    IF(_xlpm.sumValue = 0, "", _xlpm.sumValue)
)</f>
        <v/>
      </c>
      <c r="J181" s="32" t="str">
        <f>IF(SUM(FR_data[[#This Row],[Response - Disasters and Crises]:[Enabling Functions]])=0,"",SUM(FR_data[[#This Row],[Response - Disasters and Crises]:[Enabling Functions]]))</f>
        <v/>
      </c>
      <c r="K181" s="39"/>
      <c r="L181" s="30" t="str">
        <f>_xlfn.LET(
    _xlpm.sumValue, SUMIFS(
        PNS_data[Value],
        PNS_data[Country], FR_data[[#This Row],[Country]],
        PNS_data[National Society name], selected,
        PNS_data[Attribute], "SP1",
        PNS_data[Year], "2027"
    ),
    IF(_xlpm.sumValue = 0, "", _xlpm.sumValue)
)</f>
        <v/>
      </c>
      <c r="M181" s="31" t="str">
        <f>_xlfn.LET(
    _xlpm.sumValue, SUMIFS(
        PNS_data[Value],
        PNS_data[Country], FR_data[[#This Row],[Country]],
        PNS_data[National Society name], selected,
        PNS_data[Attribute], "SP2",
        PNS_data[Year], "2027"
    ),
    IF(_xlpm.sumValue = 0, "", _xlpm.sumValue)
)</f>
        <v/>
      </c>
      <c r="N181" s="31" t="str">
        <f>_xlfn.LET(
    _xlpm.sumValue, SUMIFS(
        PNS_data[Value],
        PNS_data[Country], FR_data[[#This Row],[Country]],
        PNS_data[National Society name], selected,
        PNS_data[Attribute], "SP3",
        PNS_data[Year], "2027"
    ),
    IF(_xlpm.sumValue = 0, "", _xlpm.sumValue)
)</f>
        <v/>
      </c>
      <c r="O181" s="31" t="str">
        <f>_xlfn.LET(
    _xlpm.sumValue, SUMIFS(
        PNS_data[Value],
        PNS_data[Country], FR_data[[#This Row],[Country]],
        PNS_data[National Society name], selected,
        PNS_data[Attribute], "SP4",
        PNS_data[Year], "2027"
    ),
    IF(_xlpm.sumValue = 0, "", _xlpm.sumValue)
)</f>
        <v/>
      </c>
      <c r="P181" s="31" t="str">
        <f>_xlfn.LET(
    _xlpm.sumValue, SUMIFS(
        PNS_data[Value],
        PNS_data[Country], FR_data[[#This Row],[Country]],
        PNS_data[National Society name], selected,
        PNS_data[Attribute], "SP5",
        PNS_data[Year], "2027"
    ),
    IF(_xlpm.sumValue = 0, "", _xlpm.sumValue)
)</f>
        <v/>
      </c>
      <c r="Q181" s="31" t="str">
        <f>_xlfn.LET(
    _xlpm.sumValue, SUMIFS(
        PNS_data[Value],
        PNS_data[Country], FR_data[[#This Row],[Country]],
        PNS_data[National Society name], selected,
        PNS_data[Attribute], "EFs",
        PNS_data[Year], "2027"
    ),
    IF(_xlpm.sumValue = 0, "", _xlpm.sumValue)
)</f>
        <v/>
      </c>
      <c r="R181" s="32" t="str">
        <f>IF(SUM(FR_data[[#This Row],[Response - Disasters and Crises ]:[Enabling Functions ]])=0,"",SUM(FR_data[[#This Row],[Response - Disasters and Crises ]:[Enabling Functions ]]))</f>
        <v/>
      </c>
      <c r="S181" s="39"/>
      <c r="T181" s="30" t="str">
        <f>_xlfn.LET(
    _xlpm.sumValue, SUMIFS(
        PNS_data[Value],
        PNS_data[Country], FR_data[[#This Row],[Country]],
        PNS_data[National Society name], selected,
        PNS_data[Attribute], "SP1",
        PNS_data[Year], "2028"
    ),
    IF(_xlpm.sumValue = 0, "", _xlpm.sumValue)
)</f>
        <v/>
      </c>
      <c r="U181" s="31" t="str">
        <f>_xlfn.LET(
    _xlpm.sumValue, SUMIFS(
        PNS_data[Value],
        PNS_data[Country], FR_data[[#This Row],[Country]],
        PNS_data[National Society name], selected,
        PNS_data[Attribute], "SP2",
        PNS_data[Year], "2028"
    ),
    IF(_xlpm.sumValue = 0, "", _xlpm.sumValue)
)</f>
        <v/>
      </c>
      <c r="V181" s="31" t="str">
        <f>_xlfn.LET(
    _xlpm.sumValue, SUMIFS(
        PNS_data[Value],
        PNS_data[Country], FR_data[[#This Row],[Country]],
        PNS_data[National Society name], selected,
        PNS_data[Attribute], "SP3",
        PNS_data[Year], "2028"
    ),
    IF(_xlpm.sumValue = 0, "", _xlpm.sumValue)
)</f>
        <v/>
      </c>
      <c r="W181" s="31" t="str">
        <f>_xlfn.LET(
    _xlpm.sumValue, SUMIFS(
        PNS_data[Value],
        PNS_data[Country], FR_data[[#This Row],[Country]],
        PNS_data[National Society name], selected,
        PNS_data[Attribute], "SP4",
        PNS_data[Year], "2028"
    ),
    IF(_xlpm.sumValue = 0, "", _xlpm.sumValue)
)</f>
        <v/>
      </c>
      <c r="X181" s="31" t="str">
        <f>_xlfn.LET(
    _xlpm.sumValue, SUMIFS(
        PNS_data[Value],
        PNS_data[Country], FR_data[[#This Row],[Country]],
        PNS_data[National Society name], selected,
        PNS_data[Attribute], "SP5",
        PNS_data[Year], "2028"
    ),
    IF(_xlpm.sumValue = 0, "", _xlpm.sumValue)
)</f>
        <v/>
      </c>
      <c r="Y181" s="31" t="str">
        <f>_xlfn.LET(
    _xlpm.sumValue, SUMIFS(
        PNS_data[Value],
        PNS_data[Country], FR_data[[#This Row],[Country]],
        PNS_data[National Society name], selected,
        PNS_data[Attribute], "EFs",
        PNS_data[Year], "2028"
    ),
    IF(_xlpm.sumValue = 0, "", _xlpm.sumValue)
)</f>
        <v/>
      </c>
      <c r="Z181" s="32" t="str">
        <f>IF(SUM(FR_data[[#This Row],[Response - Disasters and Crises  ]:[Enabling Functions  ]])=0,"",SUM(FR_data[[#This Row],[Response - Disasters and Crises  ]:[Enabling Functions  ]]))</f>
        <v/>
      </c>
      <c r="AA181" s="41"/>
    </row>
    <row r="182" spans="1:27" x14ac:dyDescent="0.3">
      <c r="A182" s="11" t="s">
        <v>379</v>
      </c>
      <c r="B182" s="11" t="s">
        <v>100</v>
      </c>
      <c r="C182" s="11" t="s">
        <v>57</v>
      </c>
      <c r="D182" s="30" t="str">
        <f>_xlfn.LET(
    _xlpm.sumValue, SUMIFS(
        PNS_data[Value],
        PNS_data[Country], FR_data[[#This Row],[Country]],
        PNS_data[National Society name], selected,
        PNS_data[Attribute], "SP1",
        PNS_data[Year], "2026"
    ),
    IF(_xlpm.sumValue = 0, "", _xlpm.sumValue)
)</f>
        <v/>
      </c>
      <c r="E182" s="31" t="str">
        <f>_xlfn.LET(
    _xlpm.sumValue, SUMIFS(
        PNS_data[Value],
        PNS_data[Country], FR_data[[#This Row],[Country]],
        PNS_data[National Society name], selected,
        PNS_data[Attribute], "SP2",
        PNS_data[Year], "2026"
    ),
    IF(_xlpm.sumValue = 0, "", _xlpm.sumValue)
)</f>
        <v/>
      </c>
      <c r="F182" s="31" t="str">
        <f>_xlfn.LET(
    _xlpm.sumValue, SUMIFS(
        PNS_data[Value],
        PNS_data[Country], FR_data[[#This Row],[Country]],
        PNS_data[National Society name], selected,
        PNS_data[Attribute], "SP3",
        PNS_data[Year], "2026"
    ),
    IF(_xlpm.sumValue = 0, "", _xlpm.sumValue)
)</f>
        <v/>
      </c>
      <c r="G182" s="31" t="str">
        <f>_xlfn.LET(
    _xlpm.sumValue, SUMIFS(
        PNS_data[Value],
        PNS_data[Country], FR_data[[#This Row],[Country]],
        PNS_data[National Society name], selected,
        PNS_data[Attribute], "SP4",
        PNS_data[Year], "2026"
    ),
    IF(_xlpm.sumValue = 0, "", _xlpm.sumValue)
)</f>
        <v/>
      </c>
      <c r="H182" s="31" t="str">
        <f>_xlfn.LET(
    _xlpm.sumValue, SUMIFS(
        PNS_data[Value],
        PNS_data[Country], FR_data[[#This Row],[Country]],
        PNS_data[National Society name], selected,
        PNS_data[Attribute], "SP5",
        PNS_data[Year], "2026"
    ),
    IF(_xlpm.sumValue = 0, "", _xlpm.sumValue)
)</f>
        <v/>
      </c>
      <c r="I182" s="31" t="str">
        <f>_xlfn.LET(
    _xlpm.sumValue, SUMIFS(
        PNS_data[Value],
        PNS_data[Country], FR_data[[#This Row],[Country]],
        PNS_data[National Society name], selected,
        PNS_data[Attribute], "EFs",
        PNS_data[Year], "2026"
    ),
    IF(_xlpm.sumValue = 0, "", _xlpm.sumValue)
)</f>
        <v/>
      </c>
      <c r="J182" s="32" t="str">
        <f>IF(SUM(FR_data[[#This Row],[Response - Disasters and Crises]:[Enabling Functions]])=0,"",SUM(FR_data[[#This Row],[Response - Disasters and Crises]:[Enabling Functions]]))</f>
        <v/>
      </c>
      <c r="K182" s="39"/>
      <c r="L182" s="30" t="str">
        <f>_xlfn.LET(
    _xlpm.sumValue, SUMIFS(
        PNS_data[Value],
        PNS_data[Country], FR_data[[#This Row],[Country]],
        PNS_data[National Society name], selected,
        PNS_data[Attribute], "SP1",
        PNS_data[Year], "2027"
    ),
    IF(_xlpm.sumValue = 0, "", _xlpm.sumValue)
)</f>
        <v/>
      </c>
      <c r="M182" s="31" t="str">
        <f>_xlfn.LET(
    _xlpm.sumValue, SUMIFS(
        PNS_data[Value],
        PNS_data[Country], FR_data[[#This Row],[Country]],
        PNS_data[National Society name], selected,
        PNS_data[Attribute], "SP2",
        PNS_data[Year], "2027"
    ),
    IF(_xlpm.sumValue = 0, "", _xlpm.sumValue)
)</f>
        <v/>
      </c>
      <c r="N182" s="31" t="str">
        <f>_xlfn.LET(
    _xlpm.sumValue, SUMIFS(
        PNS_data[Value],
        PNS_data[Country], FR_data[[#This Row],[Country]],
        PNS_data[National Society name], selected,
        PNS_data[Attribute], "SP3",
        PNS_data[Year], "2027"
    ),
    IF(_xlpm.sumValue = 0, "", _xlpm.sumValue)
)</f>
        <v/>
      </c>
      <c r="O182" s="31" t="str">
        <f>_xlfn.LET(
    _xlpm.sumValue, SUMIFS(
        PNS_data[Value],
        PNS_data[Country], FR_data[[#This Row],[Country]],
        PNS_data[National Society name], selected,
        PNS_data[Attribute], "SP4",
        PNS_data[Year], "2027"
    ),
    IF(_xlpm.sumValue = 0, "", _xlpm.sumValue)
)</f>
        <v/>
      </c>
      <c r="P182" s="31" t="str">
        <f>_xlfn.LET(
    _xlpm.sumValue, SUMIFS(
        PNS_data[Value],
        PNS_data[Country], FR_data[[#This Row],[Country]],
        PNS_data[National Society name], selected,
        PNS_data[Attribute], "SP5",
        PNS_data[Year], "2027"
    ),
    IF(_xlpm.sumValue = 0, "", _xlpm.sumValue)
)</f>
        <v/>
      </c>
      <c r="Q182" s="31" t="str">
        <f>_xlfn.LET(
    _xlpm.sumValue, SUMIFS(
        PNS_data[Value],
        PNS_data[Country], FR_data[[#This Row],[Country]],
        PNS_data[National Society name], selected,
        PNS_data[Attribute], "EFs",
        PNS_data[Year], "2027"
    ),
    IF(_xlpm.sumValue = 0, "", _xlpm.sumValue)
)</f>
        <v/>
      </c>
      <c r="R182" s="32" t="str">
        <f>IF(SUM(FR_data[[#This Row],[Response - Disasters and Crises ]:[Enabling Functions ]])=0,"",SUM(FR_data[[#This Row],[Response - Disasters and Crises ]:[Enabling Functions ]]))</f>
        <v/>
      </c>
      <c r="S182" s="39"/>
      <c r="T182" s="30" t="str">
        <f>_xlfn.LET(
    _xlpm.sumValue, SUMIFS(
        PNS_data[Value],
        PNS_data[Country], FR_data[[#This Row],[Country]],
        PNS_data[National Society name], selected,
        PNS_data[Attribute], "SP1",
        PNS_data[Year], "2028"
    ),
    IF(_xlpm.sumValue = 0, "", _xlpm.sumValue)
)</f>
        <v/>
      </c>
      <c r="U182" s="31" t="str">
        <f>_xlfn.LET(
    _xlpm.sumValue, SUMIFS(
        PNS_data[Value],
        PNS_data[Country], FR_data[[#This Row],[Country]],
        PNS_data[National Society name], selected,
        PNS_data[Attribute], "SP2",
        PNS_data[Year], "2028"
    ),
    IF(_xlpm.sumValue = 0, "", _xlpm.sumValue)
)</f>
        <v/>
      </c>
      <c r="V182" s="31" t="str">
        <f>_xlfn.LET(
    _xlpm.sumValue, SUMIFS(
        PNS_data[Value],
        PNS_data[Country], FR_data[[#This Row],[Country]],
        PNS_data[National Society name], selected,
        PNS_data[Attribute], "SP3",
        PNS_data[Year], "2028"
    ),
    IF(_xlpm.sumValue = 0, "", _xlpm.sumValue)
)</f>
        <v/>
      </c>
      <c r="W182" s="31" t="str">
        <f>_xlfn.LET(
    _xlpm.sumValue, SUMIFS(
        PNS_data[Value],
        PNS_data[Country], FR_data[[#This Row],[Country]],
        PNS_data[National Society name], selected,
        PNS_data[Attribute], "SP4",
        PNS_data[Year], "2028"
    ),
    IF(_xlpm.sumValue = 0, "", _xlpm.sumValue)
)</f>
        <v/>
      </c>
      <c r="X182" s="31" t="str">
        <f>_xlfn.LET(
    _xlpm.sumValue, SUMIFS(
        PNS_data[Value],
        PNS_data[Country], FR_data[[#This Row],[Country]],
        PNS_data[National Society name], selected,
        PNS_data[Attribute], "SP5",
        PNS_data[Year], "2028"
    ),
    IF(_xlpm.sumValue = 0, "", _xlpm.sumValue)
)</f>
        <v/>
      </c>
      <c r="Y182" s="31" t="str">
        <f>_xlfn.LET(
    _xlpm.sumValue, SUMIFS(
        PNS_data[Value],
        PNS_data[Country], FR_data[[#This Row],[Country]],
        PNS_data[National Society name], selected,
        PNS_data[Attribute], "EFs",
        PNS_data[Year], "2028"
    ),
    IF(_xlpm.sumValue = 0, "", _xlpm.sumValue)
)</f>
        <v/>
      </c>
      <c r="Z182" s="32" t="str">
        <f>IF(SUM(FR_data[[#This Row],[Response - Disasters and Crises  ]:[Enabling Functions  ]])=0,"",SUM(FR_data[[#This Row],[Response - Disasters and Crises  ]:[Enabling Functions  ]]))</f>
        <v/>
      </c>
      <c r="AA182" s="41"/>
    </row>
    <row r="183" spans="1:27" x14ac:dyDescent="0.3">
      <c r="A183" s="11" t="s">
        <v>373</v>
      </c>
      <c r="B183" s="11" t="s">
        <v>100</v>
      </c>
      <c r="C183" s="11" t="s">
        <v>374</v>
      </c>
      <c r="D183" s="30" t="str">
        <f>_xlfn.LET(
    _xlpm.sumValue, SUMIFS(
        PNS_data[Value],
        PNS_data[Country], FR_data[[#This Row],[Country]],
        PNS_data[National Society name], selected,
        PNS_data[Attribute], "SP1",
        PNS_data[Year], "2026"
    ),
    IF(_xlpm.sumValue = 0, "", _xlpm.sumValue)
)</f>
        <v/>
      </c>
      <c r="E183" s="31" t="str">
        <f>_xlfn.LET(
    _xlpm.sumValue, SUMIFS(
        PNS_data[Value],
        PNS_data[Country], FR_data[[#This Row],[Country]],
        PNS_data[National Society name], selected,
        PNS_data[Attribute], "SP2",
        PNS_data[Year], "2026"
    ),
    IF(_xlpm.sumValue = 0, "", _xlpm.sumValue)
)</f>
        <v/>
      </c>
      <c r="F183" s="31" t="str">
        <f>_xlfn.LET(
    _xlpm.sumValue, SUMIFS(
        PNS_data[Value],
        PNS_data[Country], FR_data[[#This Row],[Country]],
        PNS_data[National Society name], selected,
        PNS_data[Attribute], "SP3",
        PNS_data[Year], "2026"
    ),
    IF(_xlpm.sumValue = 0, "", _xlpm.sumValue)
)</f>
        <v/>
      </c>
      <c r="G183" s="31" t="str">
        <f>_xlfn.LET(
    _xlpm.sumValue, SUMIFS(
        PNS_data[Value],
        PNS_data[Country], FR_data[[#This Row],[Country]],
        PNS_data[National Society name], selected,
        PNS_data[Attribute], "SP4",
        PNS_data[Year], "2026"
    ),
    IF(_xlpm.sumValue = 0, "", _xlpm.sumValue)
)</f>
        <v/>
      </c>
      <c r="H183" s="31" t="str">
        <f>_xlfn.LET(
    _xlpm.sumValue, SUMIFS(
        PNS_data[Value],
        PNS_data[Country], FR_data[[#This Row],[Country]],
        PNS_data[National Society name], selected,
        PNS_data[Attribute], "SP5",
        PNS_data[Year], "2026"
    ),
    IF(_xlpm.sumValue = 0, "", _xlpm.sumValue)
)</f>
        <v/>
      </c>
      <c r="I183" s="31" t="str">
        <f>_xlfn.LET(
    _xlpm.sumValue, SUMIFS(
        PNS_data[Value],
        PNS_data[Country], FR_data[[#This Row],[Country]],
        PNS_data[National Society name], selected,
        PNS_data[Attribute], "EFs",
        PNS_data[Year], "2026"
    ),
    IF(_xlpm.sumValue = 0, "", _xlpm.sumValue)
)</f>
        <v/>
      </c>
      <c r="J183" s="32" t="str">
        <f>IF(SUM(FR_data[[#This Row],[Response - Disasters and Crises]:[Enabling Functions]])=0,"",SUM(FR_data[[#This Row],[Response - Disasters and Crises]:[Enabling Functions]]))</f>
        <v/>
      </c>
      <c r="K183" s="39"/>
      <c r="L183" s="30" t="str">
        <f>_xlfn.LET(
    _xlpm.sumValue, SUMIFS(
        PNS_data[Value],
        PNS_data[Country], FR_data[[#This Row],[Country]],
        PNS_data[National Society name], selected,
        PNS_data[Attribute], "SP1",
        PNS_data[Year], "2027"
    ),
    IF(_xlpm.sumValue = 0, "", _xlpm.sumValue)
)</f>
        <v/>
      </c>
      <c r="M183" s="31" t="str">
        <f>_xlfn.LET(
    _xlpm.sumValue, SUMIFS(
        PNS_data[Value],
        PNS_data[Country], FR_data[[#This Row],[Country]],
        PNS_data[National Society name], selected,
        PNS_data[Attribute], "SP2",
        PNS_data[Year], "2027"
    ),
    IF(_xlpm.sumValue = 0, "", _xlpm.sumValue)
)</f>
        <v/>
      </c>
      <c r="N183" s="31" t="str">
        <f>_xlfn.LET(
    _xlpm.sumValue, SUMIFS(
        PNS_data[Value],
        PNS_data[Country], FR_data[[#This Row],[Country]],
        PNS_data[National Society name], selected,
        PNS_data[Attribute], "SP3",
        PNS_data[Year], "2027"
    ),
    IF(_xlpm.sumValue = 0, "", _xlpm.sumValue)
)</f>
        <v/>
      </c>
      <c r="O183" s="31" t="str">
        <f>_xlfn.LET(
    _xlpm.sumValue, SUMIFS(
        PNS_data[Value],
        PNS_data[Country], FR_data[[#This Row],[Country]],
        PNS_data[National Society name], selected,
        PNS_data[Attribute], "SP4",
        PNS_data[Year], "2027"
    ),
    IF(_xlpm.sumValue = 0, "", _xlpm.sumValue)
)</f>
        <v/>
      </c>
      <c r="P183" s="31" t="str">
        <f>_xlfn.LET(
    _xlpm.sumValue, SUMIFS(
        PNS_data[Value],
        PNS_data[Country], FR_data[[#This Row],[Country]],
        PNS_data[National Society name], selected,
        PNS_data[Attribute], "SP5",
        PNS_data[Year], "2027"
    ),
    IF(_xlpm.sumValue = 0, "", _xlpm.sumValue)
)</f>
        <v/>
      </c>
      <c r="Q183" s="31" t="str">
        <f>_xlfn.LET(
    _xlpm.sumValue, SUMIFS(
        PNS_data[Value],
        PNS_data[Country], FR_data[[#This Row],[Country]],
        PNS_data[National Society name], selected,
        PNS_data[Attribute], "EFs",
        PNS_data[Year], "2027"
    ),
    IF(_xlpm.sumValue = 0, "", _xlpm.sumValue)
)</f>
        <v/>
      </c>
      <c r="R183" s="32" t="str">
        <f>IF(SUM(FR_data[[#This Row],[Response - Disasters and Crises ]:[Enabling Functions ]])=0,"",SUM(FR_data[[#This Row],[Response - Disasters and Crises ]:[Enabling Functions ]]))</f>
        <v/>
      </c>
      <c r="S183" s="39"/>
      <c r="T183" s="30" t="str">
        <f>_xlfn.LET(
    _xlpm.sumValue, SUMIFS(
        PNS_data[Value],
        PNS_data[Country], FR_data[[#This Row],[Country]],
        PNS_data[National Society name], selected,
        PNS_data[Attribute], "SP1",
        PNS_data[Year], "2028"
    ),
    IF(_xlpm.sumValue = 0, "", _xlpm.sumValue)
)</f>
        <v/>
      </c>
      <c r="U183" s="31" t="str">
        <f>_xlfn.LET(
    _xlpm.sumValue, SUMIFS(
        PNS_data[Value],
        PNS_data[Country], FR_data[[#This Row],[Country]],
        PNS_data[National Society name], selected,
        PNS_data[Attribute], "SP2",
        PNS_data[Year], "2028"
    ),
    IF(_xlpm.sumValue = 0, "", _xlpm.sumValue)
)</f>
        <v/>
      </c>
      <c r="V183" s="31" t="str">
        <f>_xlfn.LET(
    _xlpm.sumValue, SUMIFS(
        PNS_data[Value],
        PNS_data[Country], FR_data[[#This Row],[Country]],
        PNS_data[National Society name], selected,
        PNS_data[Attribute], "SP3",
        PNS_data[Year], "2028"
    ),
    IF(_xlpm.sumValue = 0, "", _xlpm.sumValue)
)</f>
        <v/>
      </c>
      <c r="W183" s="31" t="str">
        <f>_xlfn.LET(
    _xlpm.sumValue, SUMIFS(
        PNS_data[Value],
        PNS_data[Country], FR_data[[#This Row],[Country]],
        PNS_data[National Society name], selected,
        PNS_data[Attribute], "SP4",
        PNS_data[Year], "2028"
    ),
    IF(_xlpm.sumValue = 0, "", _xlpm.sumValue)
)</f>
        <v/>
      </c>
      <c r="X183" s="31" t="str">
        <f>_xlfn.LET(
    _xlpm.sumValue, SUMIFS(
        PNS_data[Value],
        PNS_data[Country], FR_data[[#This Row],[Country]],
        PNS_data[National Society name], selected,
        PNS_data[Attribute], "SP5",
        PNS_data[Year], "2028"
    ),
    IF(_xlpm.sumValue = 0, "", _xlpm.sumValue)
)</f>
        <v/>
      </c>
      <c r="Y183" s="31" t="str">
        <f>_xlfn.LET(
    _xlpm.sumValue, SUMIFS(
        PNS_data[Value],
        PNS_data[Country], FR_data[[#This Row],[Country]],
        PNS_data[National Society name], selected,
        PNS_data[Attribute], "EFs",
        PNS_data[Year], "2028"
    ),
    IF(_xlpm.sumValue = 0, "", _xlpm.sumValue)
)</f>
        <v/>
      </c>
      <c r="Z183" s="32" t="str">
        <f>IF(SUM(FR_data[[#This Row],[Response - Disasters and Crises  ]:[Enabling Functions  ]])=0,"",SUM(FR_data[[#This Row],[Response - Disasters and Crises  ]:[Enabling Functions  ]]))</f>
        <v/>
      </c>
      <c r="AA183" s="41"/>
    </row>
    <row r="184" spans="1:27" x14ac:dyDescent="0.3">
      <c r="A184" s="11" t="s">
        <v>385</v>
      </c>
      <c r="B184" s="11" t="s">
        <v>100</v>
      </c>
      <c r="C184" s="11" t="s">
        <v>386</v>
      </c>
      <c r="D184" s="30" t="str">
        <f>_xlfn.LET(
    _xlpm.sumValue, SUMIFS(
        PNS_data[Value],
        PNS_data[Country], FR_data[[#This Row],[Country]],
        PNS_data[National Society name], selected,
        PNS_data[Attribute], "SP1",
        PNS_data[Year], "2026"
    ),
    IF(_xlpm.sumValue = 0, "", _xlpm.sumValue)
)</f>
        <v/>
      </c>
      <c r="E184" s="31" t="str">
        <f>_xlfn.LET(
    _xlpm.sumValue, SUMIFS(
        PNS_data[Value],
        PNS_data[Country], FR_data[[#This Row],[Country]],
        PNS_data[National Society name], selected,
        PNS_data[Attribute], "SP2",
        PNS_data[Year], "2026"
    ),
    IF(_xlpm.sumValue = 0, "", _xlpm.sumValue)
)</f>
        <v/>
      </c>
      <c r="F184" s="31" t="str">
        <f>_xlfn.LET(
    _xlpm.sumValue, SUMIFS(
        PNS_data[Value],
        PNS_data[Country], FR_data[[#This Row],[Country]],
        PNS_data[National Society name], selected,
        PNS_data[Attribute], "SP3",
        PNS_data[Year], "2026"
    ),
    IF(_xlpm.sumValue = 0, "", _xlpm.sumValue)
)</f>
        <v/>
      </c>
      <c r="G184" s="31" t="str">
        <f>_xlfn.LET(
    _xlpm.sumValue, SUMIFS(
        PNS_data[Value],
        PNS_data[Country], FR_data[[#This Row],[Country]],
        PNS_data[National Society name], selected,
        PNS_data[Attribute], "SP4",
        PNS_data[Year], "2026"
    ),
    IF(_xlpm.sumValue = 0, "", _xlpm.sumValue)
)</f>
        <v/>
      </c>
      <c r="H184" s="31" t="str">
        <f>_xlfn.LET(
    _xlpm.sumValue, SUMIFS(
        PNS_data[Value],
        PNS_data[Country], FR_data[[#This Row],[Country]],
        PNS_data[National Society name], selected,
        PNS_data[Attribute], "SP5",
        PNS_data[Year], "2026"
    ),
    IF(_xlpm.sumValue = 0, "", _xlpm.sumValue)
)</f>
        <v/>
      </c>
      <c r="I184" s="31" t="str">
        <f>_xlfn.LET(
    _xlpm.sumValue, SUMIFS(
        PNS_data[Value],
        PNS_data[Country], FR_data[[#This Row],[Country]],
        PNS_data[National Society name], selected,
        PNS_data[Attribute], "EFs",
        PNS_data[Year], "2026"
    ),
    IF(_xlpm.sumValue = 0, "", _xlpm.sumValue)
)</f>
        <v/>
      </c>
      <c r="J184" s="32" t="str">
        <f>IF(SUM(FR_data[[#This Row],[Response - Disasters and Crises]:[Enabling Functions]])=0,"",SUM(FR_data[[#This Row],[Response - Disasters and Crises]:[Enabling Functions]]))</f>
        <v/>
      </c>
      <c r="K184" s="39"/>
      <c r="L184" s="30" t="str">
        <f>_xlfn.LET(
    _xlpm.sumValue, SUMIFS(
        PNS_data[Value],
        PNS_data[Country], FR_data[[#This Row],[Country]],
        PNS_data[National Society name], selected,
        PNS_data[Attribute], "SP1",
        PNS_data[Year], "2027"
    ),
    IF(_xlpm.sumValue = 0, "", _xlpm.sumValue)
)</f>
        <v/>
      </c>
      <c r="M184" s="31" t="str">
        <f>_xlfn.LET(
    _xlpm.sumValue, SUMIFS(
        PNS_data[Value],
        PNS_data[Country], FR_data[[#This Row],[Country]],
        PNS_data[National Society name], selected,
        PNS_data[Attribute], "SP2",
        PNS_data[Year], "2027"
    ),
    IF(_xlpm.sumValue = 0, "", _xlpm.sumValue)
)</f>
        <v/>
      </c>
      <c r="N184" s="31" t="str">
        <f>_xlfn.LET(
    _xlpm.sumValue, SUMIFS(
        PNS_data[Value],
        PNS_data[Country], FR_data[[#This Row],[Country]],
        PNS_data[National Society name], selected,
        PNS_data[Attribute], "SP3",
        PNS_data[Year], "2027"
    ),
    IF(_xlpm.sumValue = 0, "", _xlpm.sumValue)
)</f>
        <v/>
      </c>
      <c r="O184" s="31" t="str">
        <f>_xlfn.LET(
    _xlpm.sumValue, SUMIFS(
        PNS_data[Value],
        PNS_data[Country], FR_data[[#This Row],[Country]],
        PNS_data[National Society name], selected,
        PNS_data[Attribute], "SP4",
        PNS_data[Year], "2027"
    ),
    IF(_xlpm.sumValue = 0, "", _xlpm.sumValue)
)</f>
        <v/>
      </c>
      <c r="P184" s="31" t="str">
        <f>_xlfn.LET(
    _xlpm.sumValue, SUMIFS(
        PNS_data[Value],
        PNS_data[Country], FR_data[[#This Row],[Country]],
        PNS_data[National Society name], selected,
        PNS_data[Attribute], "SP5",
        PNS_data[Year], "2027"
    ),
    IF(_xlpm.sumValue = 0, "", _xlpm.sumValue)
)</f>
        <v/>
      </c>
      <c r="Q184" s="31" t="str">
        <f>_xlfn.LET(
    _xlpm.sumValue, SUMIFS(
        PNS_data[Value],
        PNS_data[Country], FR_data[[#This Row],[Country]],
        PNS_data[National Society name], selected,
        PNS_data[Attribute], "EFs",
        PNS_data[Year], "2027"
    ),
    IF(_xlpm.sumValue = 0, "", _xlpm.sumValue)
)</f>
        <v/>
      </c>
      <c r="R184" s="32" t="str">
        <f>IF(SUM(FR_data[[#This Row],[Response - Disasters and Crises ]:[Enabling Functions ]])=0,"",SUM(FR_data[[#This Row],[Response - Disasters and Crises ]:[Enabling Functions ]]))</f>
        <v/>
      </c>
      <c r="S184" s="39"/>
      <c r="T184" s="30" t="str">
        <f>_xlfn.LET(
    _xlpm.sumValue, SUMIFS(
        PNS_data[Value],
        PNS_data[Country], FR_data[[#This Row],[Country]],
        PNS_data[National Society name], selected,
        PNS_data[Attribute], "SP1",
        PNS_data[Year], "2028"
    ),
    IF(_xlpm.sumValue = 0, "", _xlpm.sumValue)
)</f>
        <v/>
      </c>
      <c r="U184" s="31" t="str">
        <f>_xlfn.LET(
    _xlpm.sumValue, SUMIFS(
        PNS_data[Value],
        PNS_data[Country], FR_data[[#This Row],[Country]],
        PNS_data[National Society name], selected,
        PNS_data[Attribute], "SP2",
        PNS_data[Year], "2028"
    ),
    IF(_xlpm.sumValue = 0, "", _xlpm.sumValue)
)</f>
        <v/>
      </c>
      <c r="V184" s="31" t="str">
        <f>_xlfn.LET(
    _xlpm.sumValue, SUMIFS(
        PNS_data[Value],
        PNS_data[Country], FR_data[[#This Row],[Country]],
        PNS_data[National Society name], selected,
        PNS_data[Attribute], "SP3",
        PNS_data[Year], "2028"
    ),
    IF(_xlpm.sumValue = 0, "", _xlpm.sumValue)
)</f>
        <v/>
      </c>
      <c r="W184" s="31" t="str">
        <f>_xlfn.LET(
    _xlpm.sumValue, SUMIFS(
        PNS_data[Value],
        PNS_data[Country], FR_data[[#This Row],[Country]],
        PNS_data[National Society name], selected,
        PNS_data[Attribute], "SP4",
        PNS_data[Year], "2028"
    ),
    IF(_xlpm.sumValue = 0, "", _xlpm.sumValue)
)</f>
        <v/>
      </c>
      <c r="X184" s="31" t="str">
        <f>_xlfn.LET(
    _xlpm.sumValue, SUMIFS(
        PNS_data[Value],
        PNS_data[Country], FR_data[[#This Row],[Country]],
        PNS_data[National Society name], selected,
        PNS_data[Attribute], "SP5",
        PNS_data[Year], "2028"
    ),
    IF(_xlpm.sumValue = 0, "", _xlpm.sumValue)
)</f>
        <v/>
      </c>
      <c r="Y184" s="31" t="str">
        <f>_xlfn.LET(
    _xlpm.sumValue, SUMIFS(
        PNS_data[Value],
        PNS_data[Country], FR_data[[#This Row],[Country]],
        PNS_data[National Society name], selected,
        PNS_data[Attribute], "EFs",
        PNS_data[Year], "2028"
    ),
    IF(_xlpm.sumValue = 0, "", _xlpm.sumValue)
)</f>
        <v/>
      </c>
      <c r="Z184" s="32" t="str">
        <f>IF(SUM(FR_data[[#This Row],[Response - Disasters and Crises  ]:[Enabling Functions  ]])=0,"",SUM(FR_data[[#This Row],[Response - Disasters and Crises  ]:[Enabling Functions  ]]))</f>
        <v/>
      </c>
      <c r="AA184" s="41"/>
    </row>
    <row r="185" spans="1:27" x14ac:dyDescent="0.3">
      <c r="A185" s="11" t="s">
        <v>143</v>
      </c>
      <c r="B185" s="11" t="s">
        <v>100</v>
      </c>
      <c r="C185" s="11" t="s">
        <v>144</v>
      </c>
      <c r="D185" s="30" t="str">
        <f>_xlfn.LET(
    _xlpm.sumValue, SUMIFS(
        PNS_data[Value],
        PNS_data[Country], FR_data[[#This Row],[Country]],
        PNS_data[National Society name], selected,
        PNS_data[Attribute], "SP1",
        PNS_data[Year], "2026"
    ),
    IF(_xlpm.sumValue = 0, "", _xlpm.sumValue)
)</f>
        <v/>
      </c>
      <c r="E185" s="31" t="str">
        <f>_xlfn.LET(
    _xlpm.sumValue, SUMIFS(
        PNS_data[Value],
        PNS_data[Country], FR_data[[#This Row],[Country]],
        PNS_data[National Society name], selected,
        PNS_data[Attribute], "SP2",
        PNS_data[Year], "2026"
    ),
    IF(_xlpm.sumValue = 0, "", _xlpm.sumValue)
)</f>
        <v/>
      </c>
      <c r="F185" s="31" t="str">
        <f>_xlfn.LET(
    _xlpm.sumValue, SUMIFS(
        PNS_data[Value],
        PNS_data[Country], FR_data[[#This Row],[Country]],
        PNS_data[National Society name], selected,
        PNS_data[Attribute], "SP3",
        PNS_data[Year], "2026"
    ),
    IF(_xlpm.sumValue = 0, "", _xlpm.sumValue)
)</f>
        <v/>
      </c>
      <c r="G185" s="31" t="str">
        <f>_xlfn.LET(
    _xlpm.sumValue, SUMIFS(
        PNS_data[Value],
        PNS_data[Country], FR_data[[#This Row],[Country]],
        PNS_data[National Society name], selected,
        PNS_data[Attribute], "SP4",
        PNS_data[Year], "2026"
    ),
    IF(_xlpm.sumValue = 0, "", _xlpm.sumValue)
)</f>
        <v/>
      </c>
      <c r="H185" s="31" t="str">
        <f>_xlfn.LET(
    _xlpm.sumValue, SUMIFS(
        PNS_data[Value],
        PNS_data[Country], FR_data[[#This Row],[Country]],
        PNS_data[National Society name], selected,
        PNS_data[Attribute], "SP5",
        PNS_data[Year], "2026"
    ),
    IF(_xlpm.sumValue = 0, "", _xlpm.sumValue)
)</f>
        <v/>
      </c>
      <c r="I185" s="31" t="str">
        <f>_xlfn.LET(
    _xlpm.sumValue, SUMIFS(
        PNS_data[Value],
        PNS_data[Country], FR_data[[#This Row],[Country]],
        PNS_data[National Society name], selected,
        PNS_data[Attribute], "EFs",
        PNS_data[Year], "2026"
    ),
    IF(_xlpm.sumValue = 0, "", _xlpm.sumValue)
)</f>
        <v/>
      </c>
      <c r="J185" s="32" t="str">
        <f>IF(SUM(FR_data[[#This Row],[Response - Disasters and Crises]:[Enabling Functions]])=0,"",SUM(FR_data[[#This Row],[Response - Disasters and Crises]:[Enabling Functions]]))</f>
        <v/>
      </c>
      <c r="K185" s="39"/>
      <c r="L185" s="30" t="str">
        <f>_xlfn.LET(
    _xlpm.sumValue, SUMIFS(
        PNS_data[Value],
        PNS_data[Country], FR_data[[#This Row],[Country]],
        PNS_data[National Society name], selected,
        PNS_data[Attribute], "SP1",
        PNS_data[Year], "2027"
    ),
    IF(_xlpm.sumValue = 0, "", _xlpm.sumValue)
)</f>
        <v/>
      </c>
      <c r="M185" s="31" t="str">
        <f>_xlfn.LET(
    _xlpm.sumValue, SUMIFS(
        PNS_data[Value],
        PNS_data[Country], FR_data[[#This Row],[Country]],
        PNS_data[National Society name], selected,
        PNS_data[Attribute], "SP2",
        PNS_data[Year], "2027"
    ),
    IF(_xlpm.sumValue = 0, "", _xlpm.sumValue)
)</f>
        <v/>
      </c>
      <c r="N185" s="31" t="str">
        <f>_xlfn.LET(
    _xlpm.sumValue, SUMIFS(
        PNS_data[Value],
        PNS_data[Country], FR_data[[#This Row],[Country]],
        PNS_data[National Society name], selected,
        PNS_data[Attribute], "SP3",
        PNS_data[Year], "2027"
    ),
    IF(_xlpm.sumValue = 0, "", _xlpm.sumValue)
)</f>
        <v/>
      </c>
      <c r="O185" s="31" t="str">
        <f>_xlfn.LET(
    _xlpm.sumValue, SUMIFS(
        PNS_data[Value],
        PNS_data[Country], FR_data[[#This Row],[Country]],
        PNS_data[National Society name], selected,
        PNS_data[Attribute], "SP4",
        PNS_data[Year], "2027"
    ),
    IF(_xlpm.sumValue = 0, "", _xlpm.sumValue)
)</f>
        <v/>
      </c>
      <c r="P185" s="31" t="str">
        <f>_xlfn.LET(
    _xlpm.sumValue, SUMIFS(
        PNS_data[Value],
        PNS_data[Country], FR_data[[#This Row],[Country]],
        PNS_data[National Society name], selected,
        PNS_data[Attribute], "SP5",
        PNS_data[Year], "2027"
    ),
    IF(_xlpm.sumValue = 0, "", _xlpm.sumValue)
)</f>
        <v/>
      </c>
      <c r="Q185" s="31" t="str">
        <f>_xlfn.LET(
    _xlpm.sumValue, SUMIFS(
        PNS_data[Value],
        PNS_data[Country], FR_data[[#This Row],[Country]],
        PNS_data[National Society name], selected,
        PNS_data[Attribute], "EFs",
        PNS_data[Year], "2027"
    ),
    IF(_xlpm.sumValue = 0, "", _xlpm.sumValue)
)</f>
        <v/>
      </c>
      <c r="R185" s="32" t="str">
        <f>IF(SUM(FR_data[[#This Row],[Response - Disasters and Crises ]:[Enabling Functions ]])=0,"",SUM(FR_data[[#This Row],[Response - Disasters and Crises ]:[Enabling Functions ]]))</f>
        <v/>
      </c>
      <c r="S185" s="39"/>
      <c r="T185" s="30" t="str">
        <f>_xlfn.LET(
    _xlpm.sumValue, SUMIFS(
        PNS_data[Value],
        PNS_data[Country], FR_data[[#This Row],[Country]],
        PNS_data[National Society name], selected,
        PNS_data[Attribute], "SP1",
        PNS_data[Year], "2028"
    ),
    IF(_xlpm.sumValue = 0, "", _xlpm.sumValue)
)</f>
        <v/>
      </c>
      <c r="U185" s="31" t="str">
        <f>_xlfn.LET(
    _xlpm.sumValue, SUMIFS(
        PNS_data[Value],
        PNS_data[Country], FR_data[[#This Row],[Country]],
        PNS_data[National Society name], selected,
        PNS_data[Attribute], "SP2",
        PNS_data[Year], "2028"
    ),
    IF(_xlpm.sumValue = 0, "", _xlpm.sumValue)
)</f>
        <v/>
      </c>
      <c r="V185" s="31" t="str">
        <f>_xlfn.LET(
    _xlpm.sumValue, SUMIFS(
        PNS_data[Value],
        PNS_data[Country], FR_data[[#This Row],[Country]],
        PNS_data[National Society name], selected,
        PNS_data[Attribute], "SP3",
        PNS_data[Year], "2028"
    ),
    IF(_xlpm.sumValue = 0, "", _xlpm.sumValue)
)</f>
        <v/>
      </c>
      <c r="W185" s="31" t="str">
        <f>_xlfn.LET(
    _xlpm.sumValue, SUMIFS(
        PNS_data[Value],
        PNS_data[Country], FR_data[[#This Row],[Country]],
        PNS_data[National Society name], selected,
        PNS_data[Attribute], "SP4",
        PNS_data[Year], "2028"
    ),
    IF(_xlpm.sumValue = 0, "", _xlpm.sumValue)
)</f>
        <v/>
      </c>
      <c r="X185" s="31" t="str">
        <f>_xlfn.LET(
    _xlpm.sumValue, SUMIFS(
        PNS_data[Value],
        PNS_data[Country], FR_data[[#This Row],[Country]],
        PNS_data[National Society name], selected,
        PNS_data[Attribute], "SP5",
        PNS_data[Year], "2028"
    ),
    IF(_xlpm.sumValue = 0, "", _xlpm.sumValue)
)</f>
        <v/>
      </c>
      <c r="Y185" s="31" t="str">
        <f>_xlfn.LET(
    _xlpm.sumValue, SUMIFS(
        PNS_data[Value],
        PNS_data[Country], FR_data[[#This Row],[Country]],
        PNS_data[National Society name], selected,
        PNS_data[Attribute], "EFs",
        PNS_data[Year], "2028"
    ),
    IF(_xlpm.sumValue = 0, "", _xlpm.sumValue)
)</f>
        <v/>
      </c>
      <c r="Z185" s="32" t="str">
        <f>IF(SUM(FR_data[[#This Row],[Response - Disasters and Crises  ]:[Enabling Functions  ]])=0,"",SUM(FR_data[[#This Row],[Response - Disasters and Crises  ]:[Enabling Functions  ]]))</f>
        <v/>
      </c>
      <c r="AA185" s="41"/>
    </row>
    <row r="186" spans="1:27" x14ac:dyDescent="0.3">
      <c r="A186" s="11" t="s">
        <v>390</v>
      </c>
      <c r="B186" s="11" t="s">
        <v>100</v>
      </c>
      <c r="C186" s="11" t="s">
        <v>391</v>
      </c>
      <c r="D186" s="30" t="str">
        <f>_xlfn.LET(
    _xlpm.sumValue, SUMIFS(
        PNS_data[Value],
        PNS_data[Country], FR_data[[#This Row],[Country]],
        PNS_data[National Society name], selected,
        PNS_data[Attribute], "SP1",
        PNS_data[Year], "2026"
    ),
    IF(_xlpm.sumValue = 0, "", _xlpm.sumValue)
)</f>
        <v/>
      </c>
      <c r="E186" s="31" t="str">
        <f>_xlfn.LET(
    _xlpm.sumValue, SUMIFS(
        PNS_data[Value],
        PNS_data[Country], FR_data[[#This Row],[Country]],
        PNS_data[National Society name], selected,
        PNS_data[Attribute], "SP2",
        PNS_data[Year], "2026"
    ),
    IF(_xlpm.sumValue = 0, "", _xlpm.sumValue)
)</f>
        <v/>
      </c>
      <c r="F186" s="31" t="str">
        <f>_xlfn.LET(
    _xlpm.sumValue, SUMIFS(
        PNS_data[Value],
        PNS_data[Country], FR_data[[#This Row],[Country]],
        PNS_data[National Society name], selected,
        PNS_data[Attribute], "SP3",
        PNS_data[Year], "2026"
    ),
    IF(_xlpm.sumValue = 0, "", _xlpm.sumValue)
)</f>
        <v/>
      </c>
      <c r="G186" s="31" t="str">
        <f>_xlfn.LET(
    _xlpm.sumValue, SUMIFS(
        PNS_data[Value],
        PNS_data[Country], FR_data[[#This Row],[Country]],
        PNS_data[National Society name], selected,
        PNS_data[Attribute], "SP4",
        PNS_data[Year], "2026"
    ),
    IF(_xlpm.sumValue = 0, "", _xlpm.sumValue)
)</f>
        <v/>
      </c>
      <c r="H186" s="31" t="str">
        <f>_xlfn.LET(
    _xlpm.sumValue, SUMIFS(
        PNS_data[Value],
        PNS_data[Country], FR_data[[#This Row],[Country]],
        PNS_data[National Society name], selected,
        PNS_data[Attribute], "SP5",
        PNS_data[Year], "2026"
    ),
    IF(_xlpm.sumValue = 0, "", _xlpm.sumValue)
)</f>
        <v/>
      </c>
      <c r="I186" s="31" t="str">
        <f>_xlfn.LET(
    _xlpm.sumValue, SUMIFS(
        PNS_data[Value],
        PNS_data[Country], FR_data[[#This Row],[Country]],
        PNS_data[National Society name], selected,
        PNS_data[Attribute], "EFs",
        PNS_data[Year], "2026"
    ),
    IF(_xlpm.sumValue = 0, "", _xlpm.sumValue)
)</f>
        <v/>
      </c>
      <c r="J186" s="32" t="str">
        <f>IF(SUM(FR_data[[#This Row],[Response - Disasters and Crises]:[Enabling Functions]])=0,"",SUM(FR_data[[#This Row],[Response - Disasters and Crises]:[Enabling Functions]]))</f>
        <v/>
      </c>
      <c r="K186" s="39"/>
      <c r="L186" s="30" t="str">
        <f>_xlfn.LET(
    _xlpm.sumValue, SUMIFS(
        PNS_data[Value],
        PNS_data[Country], FR_data[[#This Row],[Country]],
        PNS_data[National Society name], selected,
        PNS_data[Attribute], "SP1",
        PNS_data[Year], "2027"
    ),
    IF(_xlpm.sumValue = 0, "", _xlpm.sumValue)
)</f>
        <v/>
      </c>
      <c r="M186" s="31" t="str">
        <f>_xlfn.LET(
    _xlpm.sumValue, SUMIFS(
        PNS_data[Value],
        PNS_data[Country], FR_data[[#This Row],[Country]],
        PNS_data[National Society name], selected,
        PNS_data[Attribute], "SP2",
        PNS_data[Year], "2027"
    ),
    IF(_xlpm.sumValue = 0, "", _xlpm.sumValue)
)</f>
        <v/>
      </c>
      <c r="N186" s="31" t="str">
        <f>_xlfn.LET(
    _xlpm.sumValue, SUMIFS(
        PNS_data[Value],
        PNS_data[Country], FR_data[[#This Row],[Country]],
        PNS_data[National Society name], selected,
        PNS_data[Attribute], "SP3",
        PNS_data[Year], "2027"
    ),
    IF(_xlpm.sumValue = 0, "", _xlpm.sumValue)
)</f>
        <v/>
      </c>
      <c r="O186" s="31" t="str">
        <f>_xlfn.LET(
    _xlpm.sumValue, SUMIFS(
        PNS_data[Value],
        PNS_data[Country], FR_data[[#This Row],[Country]],
        PNS_data[National Society name], selected,
        PNS_data[Attribute], "SP4",
        PNS_data[Year], "2027"
    ),
    IF(_xlpm.sumValue = 0, "", _xlpm.sumValue)
)</f>
        <v/>
      </c>
      <c r="P186" s="31" t="str">
        <f>_xlfn.LET(
    _xlpm.sumValue, SUMIFS(
        PNS_data[Value],
        PNS_data[Country], FR_data[[#This Row],[Country]],
        PNS_data[National Society name], selected,
        PNS_data[Attribute], "SP5",
        PNS_data[Year], "2027"
    ),
    IF(_xlpm.sumValue = 0, "", _xlpm.sumValue)
)</f>
        <v/>
      </c>
      <c r="Q186" s="31" t="str">
        <f>_xlfn.LET(
    _xlpm.sumValue, SUMIFS(
        PNS_data[Value],
        PNS_data[Country], FR_data[[#This Row],[Country]],
        PNS_data[National Society name], selected,
        PNS_data[Attribute], "EFs",
        PNS_data[Year], "2027"
    ),
    IF(_xlpm.sumValue = 0, "", _xlpm.sumValue)
)</f>
        <v/>
      </c>
      <c r="R186" s="32" t="str">
        <f>IF(SUM(FR_data[[#This Row],[Response - Disasters and Crises ]:[Enabling Functions ]])=0,"",SUM(FR_data[[#This Row],[Response - Disasters and Crises ]:[Enabling Functions ]]))</f>
        <v/>
      </c>
      <c r="S186" s="39"/>
      <c r="T186" s="30" t="str">
        <f>_xlfn.LET(
    _xlpm.sumValue, SUMIFS(
        PNS_data[Value],
        PNS_data[Country], FR_data[[#This Row],[Country]],
        PNS_data[National Society name], selected,
        PNS_data[Attribute], "SP1",
        PNS_data[Year], "2028"
    ),
    IF(_xlpm.sumValue = 0, "", _xlpm.sumValue)
)</f>
        <v/>
      </c>
      <c r="U186" s="31" t="str">
        <f>_xlfn.LET(
    _xlpm.sumValue, SUMIFS(
        PNS_data[Value],
        PNS_data[Country], FR_data[[#This Row],[Country]],
        PNS_data[National Society name], selected,
        PNS_data[Attribute], "SP2",
        PNS_data[Year], "2028"
    ),
    IF(_xlpm.sumValue = 0, "", _xlpm.sumValue)
)</f>
        <v/>
      </c>
      <c r="V186" s="31" t="str">
        <f>_xlfn.LET(
    _xlpm.sumValue, SUMIFS(
        PNS_data[Value],
        PNS_data[Country], FR_data[[#This Row],[Country]],
        PNS_data[National Society name], selected,
        PNS_data[Attribute], "SP3",
        PNS_data[Year], "2028"
    ),
    IF(_xlpm.sumValue = 0, "", _xlpm.sumValue)
)</f>
        <v/>
      </c>
      <c r="W186" s="31" t="str">
        <f>_xlfn.LET(
    _xlpm.sumValue, SUMIFS(
        PNS_data[Value],
        PNS_data[Country], FR_data[[#This Row],[Country]],
        PNS_data[National Society name], selected,
        PNS_data[Attribute], "SP4",
        PNS_data[Year], "2028"
    ),
    IF(_xlpm.sumValue = 0, "", _xlpm.sumValue)
)</f>
        <v/>
      </c>
      <c r="X186" s="31" t="str">
        <f>_xlfn.LET(
    _xlpm.sumValue, SUMIFS(
        PNS_data[Value],
        PNS_data[Country], FR_data[[#This Row],[Country]],
        PNS_data[National Society name], selected,
        PNS_data[Attribute], "SP5",
        PNS_data[Year], "2028"
    ),
    IF(_xlpm.sumValue = 0, "", _xlpm.sumValue)
)</f>
        <v/>
      </c>
      <c r="Y186" s="31" t="str">
        <f>_xlfn.LET(
    _xlpm.sumValue, SUMIFS(
        PNS_data[Value],
        PNS_data[Country], FR_data[[#This Row],[Country]],
        PNS_data[National Society name], selected,
        PNS_data[Attribute], "EFs",
        PNS_data[Year], "2028"
    ),
    IF(_xlpm.sumValue = 0, "", _xlpm.sumValue)
)</f>
        <v/>
      </c>
      <c r="Z186" s="32" t="str">
        <f>IF(SUM(FR_data[[#This Row],[Response - Disasters and Crises  ]:[Enabling Functions  ]])=0,"",SUM(FR_data[[#This Row],[Response - Disasters and Crises  ]:[Enabling Functions  ]]))</f>
        <v/>
      </c>
      <c r="AA186" s="41"/>
    </row>
    <row r="187" spans="1:27" x14ac:dyDescent="0.3">
      <c r="A187" s="11" t="s">
        <v>408</v>
      </c>
      <c r="B187" s="11" t="s">
        <v>433</v>
      </c>
      <c r="C187" s="11" t="s">
        <v>409</v>
      </c>
      <c r="D187" s="30" t="str">
        <f>_xlfn.LET(
    _xlpm.sumValue, SUMIFS(
        PNS_data[Value],
        PNS_data[Country], FR_data[[#This Row],[Country]],
        PNS_data[National Society name], selected,
        PNS_data[Attribute], "SP1",
        PNS_data[Year], "2026"
    ),
    IF(_xlpm.sumValue = 0, "", _xlpm.sumValue)
)</f>
        <v/>
      </c>
      <c r="E187" s="31" t="str">
        <f>_xlfn.LET(
    _xlpm.sumValue, SUMIFS(
        PNS_data[Value],
        PNS_data[Country], FR_data[[#This Row],[Country]],
        PNS_data[National Society name], selected,
        PNS_data[Attribute], "SP2",
        PNS_data[Year], "2026"
    ),
    IF(_xlpm.sumValue = 0, "", _xlpm.sumValue)
)</f>
        <v/>
      </c>
      <c r="F187" s="31" t="str">
        <f>_xlfn.LET(
    _xlpm.sumValue, SUMIFS(
        PNS_data[Value],
        PNS_data[Country], FR_data[[#This Row],[Country]],
        PNS_data[National Society name], selected,
        PNS_data[Attribute], "SP3",
        PNS_data[Year], "2026"
    ),
    IF(_xlpm.sumValue = 0, "", _xlpm.sumValue)
)</f>
        <v/>
      </c>
      <c r="G187" s="31" t="str">
        <f>_xlfn.LET(
    _xlpm.sumValue, SUMIFS(
        PNS_data[Value],
        PNS_data[Country], FR_data[[#This Row],[Country]],
        PNS_data[National Society name], selected,
        PNS_data[Attribute], "SP4",
        PNS_data[Year], "2026"
    ),
    IF(_xlpm.sumValue = 0, "", _xlpm.sumValue)
)</f>
        <v/>
      </c>
      <c r="H187" s="31" t="str">
        <f>_xlfn.LET(
    _xlpm.sumValue, SUMIFS(
        PNS_data[Value],
        PNS_data[Country], FR_data[[#This Row],[Country]],
        PNS_data[National Society name], selected,
        PNS_data[Attribute], "SP5",
        PNS_data[Year], "2026"
    ),
    IF(_xlpm.sumValue = 0, "", _xlpm.sumValue)
)</f>
        <v/>
      </c>
      <c r="I187" s="31" t="str">
        <f>_xlfn.LET(
    _xlpm.sumValue, SUMIFS(
        PNS_data[Value],
        PNS_data[Country], FR_data[[#This Row],[Country]],
        PNS_data[National Society name], selected,
        PNS_data[Attribute], "EFs",
        PNS_data[Year], "2026"
    ),
    IF(_xlpm.sumValue = 0, "", _xlpm.sumValue)
)</f>
        <v/>
      </c>
      <c r="J187" s="32" t="str">
        <f>IF(SUM(FR_data[[#This Row],[Response - Disasters and Crises]:[Enabling Functions]])=0,"",SUM(FR_data[[#This Row],[Response - Disasters and Crises]:[Enabling Functions]]))</f>
        <v/>
      </c>
      <c r="K187" s="39"/>
      <c r="L187" s="30" t="str">
        <f>_xlfn.LET(
    _xlpm.sumValue, SUMIFS(
        PNS_data[Value],
        PNS_data[Country], FR_data[[#This Row],[Country]],
        PNS_data[National Society name], selected,
        PNS_data[Attribute], "SP1",
        PNS_data[Year], "2027"
    ),
    IF(_xlpm.sumValue = 0, "", _xlpm.sumValue)
)</f>
        <v/>
      </c>
      <c r="M187" s="31" t="str">
        <f>_xlfn.LET(
    _xlpm.sumValue, SUMIFS(
        PNS_data[Value],
        PNS_data[Country], FR_data[[#This Row],[Country]],
        PNS_data[National Society name], selected,
        PNS_data[Attribute], "SP2",
        PNS_data[Year], "2027"
    ),
    IF(_xlpm.sumValue = 0, "", _xlpm.sumValue)
)</f>
        <v/>
      </c>
      <c r="N187" s="31" t="str">
        <f>_xlfn.LET(
    _xlpm.sumValue, SUMIFS(
        PNS_data[Value],
        PNS_data[Country], FR_data[[#This Row],[Country]],
        PNS_data[National Society name], selected,
        PNS_data[Attribute], "SP3",
        PNS_data[Year], "2027"
    ),
    IF(_xlpm.sumValue = 0, "", _xlpm.sumValue)
)</f>
        <v/>
      </c>
      <c r="O187" s="31" t="str">
        <f>_xlfn.LET(
    _xlpm.sumValue, SUMIFS(
        PNS_data[Value],
        PNS_data[Country], FR_data[[#This Row],[Country]],
        PNS_data[National Society name], selected,
        PNS_data[Attribute], "SP4",
        PNS_data[Year], "2027"
    ),
    IF(_xlpm.sumValue = 0, "", _xlpm.sumValue)
)</f>
        <v/>
      </c>
      <c r="P187" s="31" t="str">
        <f>_xlfn.LET(
    _xlpm.sumValue, SUMIFS(
        PNS_data[Value],
        PNS_data[Country], FR_data[[#This Row],[Country]],
        PNS_data[National Society name], selected,
        PNS_data[Attribute], "SP5",
        PNS_data[Year], "2027"
    ),
    IF(_xlpm.sumValue = 0, "", _xlpm.sumValue)
)</f>
        <v/>
      </c>
      <c r="Q187" s="31" t="str">
        <f>_xlfn.LET(
    _xlpm.sumValue, SUMIFS(
        PNS_data[Value],
        PNS_data[Country], FR_data[[#This Row],[Country]],
        PNS_data[National Society name], selected,
        PNS_data[Attribute], "EFs",
        PNS_data[Year], "2027"
    ),
    IF(_xlpm.sumValue = 0, "", _xlpm.sumValue)
)</f>
        <v/>
      </c>
      <c r="R187" s="32" t="str">
        <f>IF(SUM(FR_data[[#This Row],[Response - Disasters and Crises ]:[Enabling Functions ]])=0,"",SUM(FR_data[[#This Row],[Response - Disasters and Crises ]:[Enabling Functions ]]))</f>
        <v/>
      </c>
      <c r="S187" s="39"/>
      <c r="T187" s="30" t="str">
        <f>_xlfn.LET(
    _xlpm.sumValue, SUMIFS(
        PNS_data[Value],
        PNS_data[Country], FR_data[[#This Row],[Country]],
        PNS_data[National Society name], selected,
        PNS_data[Attribute], "SP1",
        PNS_data[Year], "2028"
    ),
    IF(_xlpm.sumValue = 0, "", _xlpm.sumValue)
)</f>
        <v/>
      </c>
      <c r="U187" s="31" t="str">
        <f>_xlfn.LET(
    _xlpm.sumValue, SUMIFS(
        PNS_data[Value],
        PNS_data[Country], FR_data[[#This Row],[Country]],
        PNS_data[National Society name], selected,
        PNS_data[Attribute], "SP2",
        PNS_data[Year], "2028"
    ),
    IF(_xlpm.sumValue = 0, "", _xlpm.sumValue)
)</f>
        <v/>
      </c>
      <c r="V187" s="31" t="str">
        <f>_xlfn.LET(
    _xlpm.sumValue, SUMIFS(
        PNS_data[Value],
        PNS_data[Country], FR_data[[#This Row],[Country]],
        PNS_data[National Society name], selected,
        PNS_data[Attribute], "SP3",
        PNS_data[Year], "2028"
    ),
    IF(_xlpm.sumValue = 0, "", _xlpm.sumValue)
)</f>
        <v/>
      </c>
      <c r="W187" s="31" t="str">
        <f>_xlfn.LET(
    _xlpm.sumValue, SUMIFS(
        PNS_data[Value],
        PNS_data[Country], FR_data[[#This Row],[Country]],
        PNS_data[National Society name], selected,
        PNS_data[Attribute], "SP4",
        PNS_data[Year], "2028"
    ),
    IF(_xlpm.sumValue = 0, "", _xlpm.sumValue)
)</f>
        <v/>
      </c>
      <c r="X187" s="31" t="str">
        <f>_xlfn.LET(
    _xlpm.sumValue, SUMIFS(
        PNS_data[Value],
        PNS_data[Country], FR_data[[#This Row],[Country]],
        PNS_data[National Society name], selected,
        PNS_data[Attribute], "SP5",
        PNS_data[Year], "2028"
    ),
    IF(_xlpm.sumValue = 0, "", _xlpm.sumValue)
)</f>
        <v/>
      </c>
      <c r="Y187" s="31" t="str">
        <f>_xlfn.LET(
    _xlpm.sumValue, SUMIFS(
        PNS_data[Value],
        PNS_data[Country], FR_data[[#This Row],[Country]],
        PNS_data[National Society name], selected,
        PNS_data[Attribute], "EFs",
        PNS_data[Year], "2028"
    ),
    IF(_xlpm.sumValue = 0, "", _xlpm.sumValue)
)</f>
        <v/>
      </c>
      <c r="Z187" s="32" t="str">
        <f>IF(SUM(FR_data[[#This Row],[Response - Disasters and Crises  ]:[Enabling Functions  ]])=0,"",SUM(FR_data[[#This Row],[Response - Disasters and Crises  ]:[Enabling Functions  ]]))</f>
        <v/>
      </c>
      <c r="AA187" s="41"/>
    </row>
    <row r="188" spans="1:27" x14ac:dyDescent="0.3">
      <c r="A188" s="11" t="s">
        <v>119</v>
      </c>
      <c r="B188" s="11" t="s">
        <v>433</v>
      </c>
      <c r="C188" s="11" t="s">
        <v>120</v>
      </c>
      <c r="D188" s="30" t="str">
        <f>_xlfn.LET(
    _xlpm.sumValue, SUMIFS(
        PNS_data[Value],
        PNS_data[Country], FR_data[[#This Row],[Country]],
        PNS_data[National Society name], selected,
        PNS_data[Attribute], "SP1",
        PNS_data[Year], "2026"
    ),
    IF(_xlpm.sumValue = 0, "", _xlpm.sumValue)
)</f>
        <v/>
      </c>
      <c r="E188" s="31" t="str">
        <f>_xlfn.LET(
    _xlpm.sumValue, SUMIFS(
        PNS_data[Value],
        PNS_data[Country], FR_data[[#This Row],[Country]],
        PNS_data[National Society name], selected,
        PNS_data[Attribute], "SP2",
        PNS_data[Year], "2026"
    ),
    IF(_xlpm.sumValue = 0, "", _xlpm.sumValue)
)</f>
        <v/>
      </c>
      <c r="F188" s="31" t="str">
        <f>_xlfn.LET(
    _xlpm.sumValue, SUMIFS(
        PNS_data[Value],
        PNS_data[Country], FR_data[[#This Row],[Country]],
        PNS_data[National Society name], selected,
        PNS_data[Attribute], "SP3",
        PNS_data[Year], "2026"
    ),
    IF(_xlpm.sumValue = 0, "", _xlpm.sumValue)
)</f>
        <v/>
      </c>
      <c r="G188" s="31" t="str">
        <f>_xlfn.LET(
    _xlpm.sumValue, SUMIFS(
        PNS_data[Value],
        PNS_data[Country], FR_data[[#This Row],[Country]],
        PNS_data[National Society name], selected,
        PNS_data[Attribute], "SP4",
        PNS_data[Year], "2026"
    ),
    IF(_xlpm.sumValue = 0, "", _xlpm.sumValue)
)</f>
        <v/>
      </c>
      <c r="H188" s="31" t="str">
        <f>_xlfn.LET(
    _xlpm.sumValue, SUMIFS(
        PNS_data[Value],
        PNS_data[Country], FR_data[[#This Row],[Country]],
        PNS_data[National Society name], selected,
        PNS_data[Attribute], "SP5",
        PNS_data[Year], "2026"
    ),
    IF(_xlpm.sumValue = 0, "", _xlpm.sumValue)
)</f>
        <v/>
      </c>
      <c r="I188" s="31" t="str">
        <f>_xlfn.LET(
    _xlpm.sumValue, SUMIFS(
        PNS_data[Value],
        PNS_data[Country], FR_data[[#This Row],[Country]],
        PNS_data[National Society name], selected,
        PNS_data[Attribute], "EFs",
        PNS_data[Year], "2026"
    ),
    IF(_xlpm.sumValue = 0, "", _xlpm.sumValue)
)</f>
        <v/>
      </c>
      <c r="J188" s="32" t="str">
        <f>IF(SUM(FR_data[[#This Row],[Response - Disasters and Crises]:[Enabling Functions]])=0,"",SUM(FR_data[[#This Row],[Response - Disasters and Crises]:[Enabling Functions]]))</f>
        <v/>
      </c>
      <c r="K188" s="39"/>
      <c r="L188" s="30" t="str">
        <f>_xlfn.LET(
    _xlpm.sumValue, SUMIFS(
        PNS_data[Value],
        PNS_data[Country], FR_data[[#This Row],[Country]],
        PNS_data[National Society name], selected,
        PNS_data[Attribute], "SP1",
        PNS_data[Year], "2027"
    ),
    IF(_xlpm.sumValue = 0, "", _xlpm.sumValue)
)</f>
        <v/>
      </c>
      <c r="M188" s="31" t="str">
        <f>_xlfn.LET(
    _xlpm.sumValue, SUMIFS(
        PNS_data[Value],
        PNS_data[Country], FR_data[[#This Row],[Country]],
        PNS_data[National Society name], selected,
        PNS_data[Attribute], "SP2",
        PNS_data[Year], "2027"
    ),
    IF(_xlpm.sumValue = 0, "", _xlpm.sumValue)
)</f>
        <v/>
      </c>
      <c r="N188" s="31" t="str">
        <f>_xlfn.LET(
    _xlpm.sumValue, SUMIFS(
        PNS_data[Value],
        PNS_data[Country], FR_data[[#This Row],[Country]],
        PNS_data[National Society name], selected,
        PNS_data[Attribute], "SP3",
        PNS_data[Year], "2027"
    ),
    IF(_xlpm.sumValue = 0, "", _xlpm.sumValue)
)</f>
        <v/>
      </c>
      <c r="O188" s="31" t="str">
        <f>_xlfn.LET(
    _xlpm.sumValue, SUMIFS(
        PNS_data[Value],
        PNS_data[Country], FR_data[[#This Row],[Country]],
        PNS_data[National Society name], selected,
        PNS_data[Attribute], "SP4",
        PNS_data[Year], "2027"
    ),
    IF(_xlpm.sumValue = 0, "", _xlpm.sumValue)
)</f>
        <v/>
      </c>
      <c r="P188" s="31" t="str">
        <f>_xlfn.LET(
    _xlpm.sumValue, SUMIFS(
        PNS_data[Value],
        PNS_data[Country], FR_data[[#This Row],[Country]],
        PNS_data[National Society name], selected,
        PNS_data[Attribute], "SP5",
        PNS_data[Year], "2027"
    ),
    IF(_xlpm.sumValue = 0, "", _xlpm.sumValue)
)</f>
        <v/>
      </c>
      <c r="Q188" s="31" t="str">
        <f>_xlfn.LET(
    _xlpm.sumValue, SUMIFS(
        PNS_data[Value],
        PNS_data[Country], FR_data[[#This Row],[Country]],
        PNS_data[National Society name], selected,
        PNS_data[Attribute], "EFs",
        PNS_data[Year], "2027"
    ),
    IF(_xlpm.sumValue = 0, "", _xlpm.sumValue)
)</f>
        <v/>
      </c>
      <c r="R188" s="32" t="str">
        <f>IF(SUM(FR_data[[#This Row],[Response - Disasters and Crises ]:[Enabling Functions ]])=0,"",SUM(FR_data[[#This Row],[Response - Disasters and Crises ]:[Enabling Functions ]]))</f>
        <v/>
      </c>
      <c r="S188" s="39"/>
      <c r="T188" s="30" t="str">
        <f>_xlfn.LET(
    _xlpm.sumValue, SUMIFS(
        PNS_data[Value],
        PNS_data[Country], FR_data[[#This Row],[Country]],
        PNS_data[National Society name], selected,
        PNS_data[Attribute], "SP1",
        PNS_data[Year], "2028"
    ),
    IF(_xlpm.sumValue = 0, "", _xlpm.sumValue)
)</f>
        <v/>
      </c>
      <c r="U188" s="31" t="str">
        <f>_xlfn.LET(
    _xlpm.sumValue, SUMIFS(
        PNS_data[Value],
        PNS_data[Country], FR_data[[#This Row],[Country]],
        PNS_data[National Society name], selected,
        PNS_data[Attribute], "SP2",
        PNS_data[Year], "2028"
    ),
    IF(_xlpm.sumValue = 0, "", _xlpm.sumValue)
)</f>
        <v/>
      </c>
      <c r="V188" s="31" t="str">
        <f>_xlfn.LET(
    _xlpm.sumValue, SUMIFS(
        PNS_data[Value],
        PNS_data[Country], FR_data[[#This Row],[Country]],
        PNS_data[National Society name], selected,
        PNS_data[Attribute], "SP3",
        PNS_data[Year], "2028"
    ),
    IF(_xlpm.sumValue = 0, "", _xlpm.sumValue)
)</f>
        <v/>
      </c>
      <c r="W188" s="31" t="str">
        <f>_xlfn.LET(
    _xlpm.sumValue, SUMIFS(
        PNS_data[Value],
        PNS_data[Country], FR_data[[#This Row],[Country]],
        PNS_data[National Society name], selected,
        PNS_data[Attribute], "SP4",
        PNS_data[Year], "2028"
    ),
    IF(_xlpm.sumValue = 0, "", _xlpm.sumValue)
)</f>
        <v/>
      </c>
      <c r="X188" s="31" t="str">
        <f>_xlfn.LET(
    _xlpm.sumValue, SUMIFS(
        PNS_data[Value],
        PNS_data[Country], FR_data[[#This Row],[Country]],
        PNS_data[National Society name], selected,
        PNS_data[Attribute], "SP5",
        PNS_data[Year], "2028"
    ),
    IF(_xlpm.sumValue = 0, "", _xlpm.sumValue)
)</f>
        <v/>
      </c>
      <c r="Y188" s="31" t="str">
        <f>_xlfn.LET(
    _xlpm.sumValue, SUMIFS(
        PNS_data[Value],
        PNS_data[Country], FR_data[[#This Row],[Country]],
        PNS_data[National Society name], selected,
        PNS_data[Attribute], "EFs",
        PNS_data[Year], "2028"
    ),
    IF(_xlpm.sumValue = 0, "", _xlpm.sumValue)
)</f>
        <v/>
      </c>
      <c r="Z188" s="32" t="str">
        <f>IF(SUM(FR_data[[#This Row],[Response - Disasters and Crises  ]:[Enabling Functions  ]])=0,"",SUM(FR_data[[#This Row],[Response - Disasters and Crises  ]:[Enabling Functions  ]]))</f>
        <v/>
      </c>
      <c r="AA188" s="41"/>
    </row>
    <row r="189" spans="1:27" x14ac:dyDescent="0.3">
      <c r="A189" s="11" t="s">
        <v>191</v>
      </c>
      <c r="B189" s="11" t="s">
        <v>433</v>
      </c>
      <c r="C189" s="11" t="s">
        <v>192</v>
      </c>
      <c r="D189" s="30" t="str">
        <f>_xlfn.LET(
    _xlpm.sumValue, SUMIFS(
        PNS_data[Value],
        PNS_data[Country], FR_data[[#This Row],[Country]],
        PNS_data[National Society name], selected,
        PNS_data[Attribute], "SP1",
        PNS_data[Year], "2026"
    ),
    IF(_xlpm.sumValue = 0, "", _xlpm.sumValue)
)</f>
        <v/>
      </c>
      <c r="E189" s="31" t="str">
        <f>_xlfn.LET(
    _xlpm.sumValue, SUMIFS(
        PNS_data[Value],
        PNS_data[Country], FR_data[[#This Row],[Country]],
        PNS_data[National Society name], selected,
        PNS_data[Attribute], "SP2",
        PNS_data[Year], "2026"
    ),
    IF(_xlpm.sumValue = 0, "", _xlpm.sumValue)
)</f>
        <v/>
      </c>
      <c r="F189" s="31" t="str">
        <f>_xlfn.LET(
    _xlpm.sumValue, SUMIFS(
        PNS_data[Value],
        PNS_data[Country], FR_data[[#This Row],[Country]],
        PNS_data[National Society name], selected,
        PNS_data[Attribute], "SP3",
        PNS_data[Year], "2026"
    ),
    IF(_xlpm.sumValue = 0, "", _xlpm.sumValue)
)</f>
        <v/>
      </c>
      <c r="G189" s="31" t="str">
        <f>_xlfn.LET(
    _xlpm.sumValue, SUMIFS(
        PNS_data[Value],
        PNS_data[Country], FR_data[[#This Row],[Country]],
        PNS_data[National Society name], selected,
        PNS_data[Attribute], "SP4",
        PNS_data[Year], "2026"
    ),
    IF(_xlpm.sumValue = 0, "", _xlpm.sumValue)
)</f>
        <v/>
      </c>
      <c r="H189" s="31" t="str">
        <f>_xlfn.LET(
    _xlpm.sumValue, SUMIFS(
        PNS_data[Value],
        PNS_data[Country], FR_data[[#This Row],[Country]],
        PNS_data[National Society name], selected,
        PNS_data[Attribute], "SP5",
        PNS_data[Year], "2026"
    ),
    IF(_xlpm.sumValue = 0, "", _xlpm.sumValue)
)</f>
        <v/>
      </c>
      <c r="I189" s="31" t="str">
        <f>_xlfn.LET(
    _xlpm.sumValue, SUMIFS(
        PNS_data[Value],
        PNS_data[Country], FR_data[[#This Row],[Country]],
        PNS_data[National Society name], selected,
        PNS_data[Attribute], "EFs",
        PNS_data[Year], "2026"
    ),
    IF(_xlpm.sumValue = 0, "", _xlpm.sumValue)
)</f>
        <v/>
      </c>
      <c r="J189" s="32" t="str">
        <f>IF(SUM(FR_data[[#This Row],[Response - Disasters and Crises]:[Enabling Functions]])=0,"",SUM(FR_data[[#This Row],[Response - Disasters and Crises]:[Enabling Functions]]))</f>
        <v/>
      </c>
      <c r="K189" s="39"/>
      <c r="L189" s="30" t="str">
        <f>_xlfn.LET(
    _xlpm.sumValue, SUMIFS(
        PNS_data[Value],
        PNS_data[Country], FR_data[[#This Row],[Country]],
        PNS_data[National Society name], selected,
        PNS_data[Attribute], "SP1",
        PNS_data[Year], "2027"
    ),
    IF(_xlpm.sumValue = 0, "", _xlpm.sumValue)
)</f>
        <v/>
      </c>
      <c r="M189" s="31" t="str">
        <f>_xlfn.LET(
    _xlpm.sumValue, SUMIFS(
        PNS_data[Value],
        PNS_data[Country], FR_data[[#This Row],[Country]],
        PNS_data[National Society name], selected,
        PNS_data[Attribute], "SP2",
        PNS_data[Year], "2027"
    ),
    IF(_xlpm.sumValue = 0, "", _xlpm.sumValue)
)</f>
        <v/>
      </c>
      <c r="N189" s="31" t="str">
        <f>_xlfn.LET(
    _xlpm.sumValue, SUMIFS(
        PNS_data[Value],
        PNS_data[Country], FR_data[[#This Row],[Country]],
        PNS_data[National Society name], selected,
        PNS_data[Attribute], "SP3",
        PNS_data[Year], "2027"
    ),
    IF(_xlpm.sumValue = 0, "", _xlpm.sumValue)
)</f>
        <v/>
      </c>
      <c r="O189" s="31" t="str">
        <f>_xlfn.LET(
    _xlpm.sumValue, SUMIFS(
        PNS_data[Value],
        PNS_data[Country], FR_data[[#This Row],[Country]],
        PNS_data[National Society name], selected,
        PNS_data[Attribute], "SP4",
        PNS_data[Year], "2027"
    ),
    IF(_xlpm.sumValue = 0, "", _xlpm.sumValue)
)</f>
        <v/>
      </c>
      <c r="P189" s="31" t="str">
        <f>_xlfn.LET(
    _xlpm.sumValue, SUMIFS(
        PNS_data[Value],
        PNS_data[Country], FR_data[[#This Row],[Country]],
        PNS_data[National Society name], selected,
        PNS_data[Attribute], "SP5",
        PNS_data[Year], "2027"
    ),
    IF(_xlpm.sumValue = 0, "", _xlpm.sumValue)
)</f>
        <v/>
      </c>
      <c r="Q189" s="31" t="str">
        <f>_xlfn.LET(
    _xlpm.sumValue, SUMIFS(
        PNS_data[Value],
        PNS_data[Country], FR_data[[#This Row],[Country]],
        PNS_data[National Society name], selected,
        PNS_data[Attribute], "EFs",
        PNS_data[Year], "2027"
    ),
    IF(_xlpm.sumValue = 0, "", _xlpm.sumValue)
)</f>
        <v/>
      </c>
      <c r="R189" s="32" t="str">
        <f>IF(SUM(FR_data[[#This Row],[Response - Disasters and Crises ]:[Enabling Functions ]])=0,"",SUM(FR_data[[#This Row],[Response - Disasters and Crises ]:[Enabling Functions ]]))</f>
        <v/>
      </c>
      <c r="S189" s="39"/>
      <c r="T189" s="30" t="str">
        <f>_xlfn.LET(
    _xlpm.sumValue, SUMIFS(
        PNS_data[Value],
        PNS_data[Country], FR_data[[#This Row],[Country]],
        PNS_data[National Society name], selected,
        PNS_data[Attribute], "SP1",
        PNS_data[Year], "2028"
    ),
    IF(_xlpm.sumValue = 0, "", _xlpm.sumValue)
)</f>
        <v/>
      </c>
      <c r="U189" s="31" t="str">
        <f>_xlfn.LET(
    _xlpm.sumValue, SUMIFS(
        PNS_data[Value],
        PNS_data[Country], FR_data[[#This Row],[Country]],
        PNS_data[National Society name], selected,
        PNS_data[Attribute], "SP2",
        PNS_data[Year], "2028"
    ),
    IF(_xlpm.sumValue = 0, "", _xlpm.sumValue)
)</f>
        <v/>
      </c>
      <c r="V189" s="31" t="str">
        <f>_xlfn.LET(
    _xlpm.sumValue, SUMIFS(
        PNS_data[Value],
        PNS_data[Country], FR_data[[#This Row],[Country]],
        PNS_data[National Society name], selected,
        PNS_data[Attribute], "SP3",
        PNS_data[Year], "2028"
    ),
    IF(_xlpm.sumValue = 0, "", _xlpm.sumValue)
)</f>
        <v/>
      </c>
      <c r="W189" s="31" t="str">
        <f>_xlfn.LET(
    _xlpm.sumValue, SUMIFS(
        PNS_data[Value],
        PNS_data[Country], FR_data[[#This Row],[Country]],
        PNS_data[National Society name], selected,
        PNS_data[Attribute], "SP4",
        PNS_data[Year], "2028"
    ),
    IF(_xlpm.sumValue = 0, "", _xlpm.sumValue)
)</f>
        <v/>
      </c>
      <c r="X189" s="31" t="str">
        <f>_xlfn.LET(
    _xlpm.sumValue, SUMIFS(
        PNS_data[Value],
        PNS_data[Country], FR_data[[#This Row],[Country]],
        PNS_data[National Society name], selected,
        PNS_data[Attribute], "SP5",
        PNS_data[Year], "2028"
    ),
    IF(_xlpm.sumValue = 0, "", _xlpm.sumValue)
)</f>
        <v/>
      </c>
      <c r="Y189" s="31" t="str">
        <f>_xlfn.LET(
    _xlpm.sumValue, SUMIFS(
        PNS_data[Value],
        PNS_data[Country], FR_data[[#This Row],[Country]],
        PNS_data[National Society name], selected,
        PNS_data[Attribute], "EFs",
        PNS_data[Year], "2028"
    ),
    IF(_xlpm.sumValue = 0, "", _xlpm.sumValue)
)</f>
        <v/>
      </c>
      <c r="Z189" s="32" t="str">
        <f>IF(SUM(FR_data[[#This Row],[Response - Disasters and Crises  ]:[Enabling Functions  ]])=0,"",SUM(FR_data[[#This Row],[Response - Disasters and Crises  ]:[Enabling Functions  ]]))</f>
        <v/>
      </c>
      <c r="AA189" s="41"/>
    </row>
    <row r="190" spans="1:27" x14ac:dyDescent="0.3">
      <c r="A190" s="11" t="s">
        <v>266</v>
      </c>
      <c r="B190" s="11" t="s">
        <v>433</v>
      </c>
      <c r="C190" s="11" t="s">
        <v>92</v>
      </c>
      <c r="D190" s="30" t="str">
        <f>_xlfn.LET(
    _xlpm.sumValue, SUMIFS(
        PNS_data[Value],
        PNS_data[Country], FR_data[[#This Row],[Country]],
        PNS_data[National Society name], selected,
        PNS_data[Attribute], "SP1",
        PNS_data[Year], "2026"
    ),
    IF(_xlpm.sumValue = 0, "", _xlpm.sumValue)
)</f>
        <v/>
      </c>
      <c r="E190" s="31" t="str">
        <f>_xlfn.LET(
    _xlpm.sumValue, SUMIFS(
        PNS_data[Value],
        PNS_data[Country], FR_data[[#This Row],[Country]],
        PNS_data[National Society name], selected,
        PNS_data[Attribute], "SP2",
        PNS_data[Year], "2026"
    ),
    IF(_xlpm.sumValue = 0, "", _xlpm.sumValue)
)</f>
        <v/>
      </c>
      <c r="F190" s="31" t="str">
        <f>_xlfn.LET(
    _xlpm.sumValue, SUMIFS(
        PNS_data[Value],
        PNS_data[Country], FR_data[[#This Row],[Country]],
        PNS_data[National Society name], selected,
        PNS_data[Attribute], "SP3",
        PNS_data[Year], "2026"
    ),
    IF(_xlpm.sumValue = 0, "", _xlpm.sumValue)
)</f>
        <v/>
      </c>
      <c r="G190" s="31" t="str">
        <f>_xlfn.LET(
    _xlpm.sumValue, SUMIFS(
        PNS_data[Value],
        PNS_data[Country], FR_data[[#This Row],[Country]],
        PNS_data[National Society name], selected,
        PNS_data[Attribute], "SP4",
        PNS_data[Year], "2026"
    ),
    IF(_xlpm.sumValue = 0, "", _xlpm.sumValue)
)</f>
        <v/>
      </c>
      <c r="H190" s="31" t="str">
        <f>_xlfn.LET(
    _xlpm.sumValue, SUMIFS(
        PNS_data[Value],
        PNS_data[Country], FR_data[[#This Row],[Country]],
        PNS_data[National Society name], selected,
        PNS_data[Attribute], "SP5",
        PNS_data[Year], "2026"
    ),
    IF(_xlpm.sumValue = 0, "", _xlpm.sumValue)
)</f>
        <v/>
      </c>
      <c r="I190" s="31" t="str">
        <f>_xlfn.LET(
    _xlpm.sumValue, SUMIFS(
        PNS_data[Value],
        PNS_data[Country], FR_data[[#This Row],[Country]],
        PNS_data[National Society name], selected,
        PNS_data[Attribute], "EFs",
        PNS_data[Year], "2026"
    ),
    IF(_xlpm.sumValue = 0, "", _xlpm.sumValue)
)</f>
        <v/>
      </c>
      <c r="J190" s="32" t="str">
        <f>IF(SUM(FR_data[[#This Row],[Response - Disasters and Crises]:[Enabling Functions]])=0,"",SUM(FR_data[[#This Row],[Response - Disasters and Crises]:[Enabling Functions]]))</f>
        <v/>
      </c>
      <c r="K190" s="39"/>
      <c r="L190" s="30" t="str">
        <f>_xlfn.LET(
    _xlpm.sumValue, SUMIFS(
        PNS_data[Value],
        PNS_data[Country], FR_data[[#This Row],[Country]],
        PNS_data[National Society name], selected,
        PNS_data[Attribute], "SP1",
        PNS_data[Year], "2027"
    ),
    IF(_xlpm.sumValue = 0, "", _xlpm.sumValue)
)</f>
        <v/>
      </c>
      <c r="M190" s="31" t="str">
        <f>_xlfn.LET(
    _xlpm.sumValue, SUMIFS(
        PNS_data[Value],
        PNS_data[Country], FR_data[[#This Row],[Country]],
        PNS_data[National Society name], selected,
        PNS_data[Attribute], "SP2",
        PNS_data[Year], "2027"
    ),
    IF(_xlpm.sumValue = 0, "", _xlpm.sumValue)
)</f>
        <v/>
      </c>
      <c r="N190" s="31" t="str">
        <f>_xlfn.LET(
    _xlpm.sumValue, SUMIFS(
        PNS_data[Value],
        PNS_data[Country], FR_data[[#This Row],[Country]],
        PNS_data[National Society name], selected,
        PNS_data[Attribute], "SP3",
        PNS_data[Year], "2027"
    ),
    IF(_xlpm.sumValue = 0, "", _xlpm.sumValue)
)</f>
        <v/>
      </c>
      <c r="O190" s="31" t="str">
        <f>_xlfn.LET(
    _xlpm.sumValue, SUMIFS(
        PNS_data[Value],
        PNS_data[Country], FR_data[[#This Row],[Country]],
        PNS_data[National Society name], selected,
        PNS_data[Attribute], "SP4",
        PNS_data[Year], "2027"
    ),
    IF(_xlpm.sumValue = 0, "", _xlpm.sumValue)
)</f>
        <v/>
      </c>
      <c r="P190" s="31" t="str">
        <f>_xlfn.LET(
    _xlpm.sumValue, SUMIFS(
        PNS_data[Value],
        PNS_data[Country], FR_data[[#This Row],[Country]],
        PNS_data[National Society name], selected,
        PNS_data[Attribute], "SP5",
        PNS_data[Year], "2027"
    ),
    IF(_xlpm.sumValue = 0, "", _xlpm.sumValue)
)</f>
        <v/>
      </c>
      <c r="Q190" s="31" t="str">
        <f>_xlfn.LET(
    _xlpm.sumValue, SUMIFS(
        PNS_data[Value],
        PNS_data[Country], FR_data[[#This Row],[Country]],
        PNS_data[National Society name], selected,
        PNS_data[Attribute], "EFs",
        PNS_data[Year], "2027"
    ),
    IF(_xlpm.sumValue = 0, "", _xlpm.sumValue)
)</f>
        <v/>
      </c>
      <c r="R190" s="32" t="str">
        <f>IF(SUM(FR_data[[#This Row],[Response - Disasters and Crises ]:[Enabling Functions ]])=0,"",SUM(FR_data[[#This Row],[Response - Disasters and Crises ]:[Enabling Functions ]]))</f>
        <v/>
      </c>
      <c r="S190" s="39"/>
      <c r="T190" s="30" t="str">
        <f>_xlfn.LET(
    _xlpm.sumValue, SUMIFS(
        PNS_data[Value],
        PNS_data[Country], FR_data[[#This Row],[Country]],
        PNS_data[National Society name], selected,
        PNS_data[Attribute], "SP1",
        PNS_data[Year], "2028"
    ),
    IF(_xlpm.sumValue = 0, "", _xlpm.sumValue)
)</f>
        <v/>
      </c>
      <c r="U190" s="31" t="str">
        <f>_xlfn.LET(
    _xlpm.sumValue, SUMIFS(
        PNS_data[Value],
        PNS_data[Country], FR_data[[#This Row],[Country]],
        PNS_data[National Society name], selected,
        PNS_data[Attribute], "SP2",
        PNS_data[Year], "2028"
    ),
    IF(_xlpm.sumValue = 0, "", _xlpm.sumValue)
)</f>
        <v/>
      </c>
      <c r="V190" s="31" t="str">
        <f>_xlfn.LET(
    _xlpm.sumValue, SUMIFS(
        PNS_data[Value],
        PNS_data[Country], FR_data[[#This Row],[Country]],
        PNS_data[National Society name], selected,
        PNS_data[Attribute], "SP3",
        PNS_data[Year], "2028"
    ),
    IF(_xlpm.sumValue = 0, "", _xlpm.sumValue)
)</f>
        <v/>
      </c>
      <c r="W190" s="31" t="str">
        <f>_xlfn.LET(
    _xlpm.sumValue, SUMIFS(
        PNS_data[Value],
        PNS_data[Country], FR_data[[#This Row],[Country]],
        PNS_data[National Society name], selected,
        PNS_data[Attribute], "SP4",
        PNS_data[Year], "2028"
    ),
    IF(_xlpm.sumValue = 0, "", _xlpm.sumValue)
)</f>
        <v/>
      </c>
      <c r="X190" s="31" t="str">
        <f>_xlfn.LET(
    _xlpm.sumValue, SUMIFS(
        PNS_data[Value],
        PNS_data[Country], FR_data[[#This Row],[Country]],
        PNS_data[National Society name], selected,
        PNS_data[Attribute], "SP5",
        PNS_data[Year], "2028"
    ),
    IF(_xlpm.sumValue = 0, "", _xlpm.sumValue)
)</f>
        <v/>
      </c>
      <c r="Y190" s="31" t="str">
        <f>_xlfn.LET(
    _xlpm.sumValue, SUMIFS(
        PNS_data[Value],
        PNS_data[Country], FR_data[[#This Row],[Country]],
        PNS_data[National Society name], selected,
        PNS_data[Attribute], "EFs",
        PNS_data[Year], "2028"
    ),
    IF(_xlpm.sumValue = 0, "", _xlpm.sumValue)
)</f>
        <v/>
      </c>
      <c r="Z190" s="32" t="str">
        <f>IF(SUM(FR_data[[#This Row],[Response - Disasters and Crises  ]:[Enabling Functions  ]])=0,"",SUM(FR_data[[#This Row],[Response - Disasters and Crises  ]:[Enabling Functions  ]]))</f>
        <v/>
      </c>
      <c r="AA190" s="41"/>
    </row>
    <row r="191" spans="1:27" x14ac:dyDescent="0.3">
      <c r="A191" s="11" t="s">
        <v>230</v>
      </c>
      <c r="B191" s="11" t="s">
        <v>433</v>
      </c>
      <c r="C191" s="11" t="s">
        <v>82</v>
      </c>
      <c r="D191" s="30" t="str">
        <f>_xlfn.LET(
    _xlpm.sumValue, SUMIFS(
        PNS_data[Value],
        PNS_data[Country], FR_data[[#This Row],[Country]],
        PNS_data[National Society name], selected,
        PNS_data[Attribute], "SP1",
        PNS_data[Year], "2026"
    ),
    IF(_xlpm.sumValue = 0, "", _xlpm.sumValue)
)</f>
        <v/>
      </c>
      <c r="E191" s="31" t="str">
        <f>_xlfn.LET(
    _xlpm.sumValue, SUMIFS(
        PNS_data[Value],
        PNS_data[Country], FR_data[[#This Row],[Country]],
        PNS_data[National Society name], selected,
        PNS_data[Attribute], "SP2",
        PNS_data[Year], "2026"
    ),
    IF(_xlpm.sumValue = 0, "", _xlpm.sumValue)
)</f>
        <v/>
      </c>
      <c r="F191" s="31" t="str">
        <f>_xlfn.LET(
    _xlpm.sumValue, SUMIFS(
        PNS_data[Value],
        PNS_data[Country], FR_data[[#This Row],[Country]],
        PNS_data[National Society name], selected,
        PNS_data[Attribute], "SP3",
        PNS_data[Year], "2026"
    ),
    IF(_xlpm.sumValue = 0, "", _xlpm.sumValue)
)</f>
        <v/>
      </c>
      <c r="G191" s="31" t="str">
        <f>_xlfn.LET(
    _xlpm.sumValue, SUMIFS(
        PNS_data[Value],
        PNS_data[Country], FR_data[[#This Row],[Country]],
        PNS_data[National Society name], selected,
        PNS_data[Attribute], "SP4",
        PNS_data[Year], "2026"
    ),
    IF(_xlpm.sumValue = 0, "", _xlpm.sumValue)
)</f>
        <v/>
      </c>
      <c r="H191" s="31" t="str">
        <f>_xlfn.LET(
    _xlpm.sumValue, SUMIFS(
        PNS_data[Value],
        PNS_data[Country], FR_data[[#This Row],[Country]],
        PNS_data[National Society name], selected,
        PNS_data[Attribute], "SP5",
        PNS_data[Year], "2026"
    ),
    IF(_xlpm.sumValue = 0, "", _xlpm.sumValue)
)</f>
        <v/>
      </c>
      <c r="I191" s="31" t="str">
        <f>_xlfn.LET(
    _xlpm.sumValue, SUMIFS(
        PNS_data[Value],
        PNS_data[Country], FR_data[[#This Row],[Country]],
        PNS_data[National Society name], selected,
        PNS_data[Attribute], "EFs",
        PNS_data[Year], "2026"
    ),
    IF(_xlpm.sumValue = 0, "", _xlpm.sumValue)
)</f>
        <v/>
      </c>
      <c r="J191" s="32" t="str">
        <f>IF(SUM(FR_data[[#This Row],[Response - Disasters and Crises]:[Enabling Functions]])=0,"",SUM(FR_data[[#This Row],[Response - Disasters and Crises]:[Enabling Functions]]))</f>
        <v/>
      </c>
      <c r="K191" s="39"/>
      <c r="L191" s="30" t="str">
        <f>_xlfn.LET(
    _xlpm.sumValue, SUMIFS(
        PNS_data[Value],
        PNS_data[Country], FR_data[[#This Row],[Country]],
        PNS_data[National Society name], selected,
        PNS_data[Attribute], "SP1",
        PNS_data[Year], "2027"
    ),
    IF(_xlpm.sumValue = 0, "", _xlpm.sumValue)
)</f>
        <v/>
      </c>
      <c r="M191" s="31" t="str">
        <f>_xlfn.LET(
    _xlpm.sumValue, SUMIFS(
        PNS_data[Value],
        PNS_data[Country], FR_data[[#This Row],[Country]],
        PNS_data[National Society name], selected,
        PNS_data[Attribute], "SP2",
        PNS_data[Year], "2027"
    ),
    IF(_xlpm.sumValue = 0, "", _xlpm.sumValue)
)</f>
        <v/>
      </c>
      <c r="N191" s="31" t="str">
        <f>_xlfn.LET(
    _xlpm.sumValue, SUMIFS(
        PNS_data[Value],
        PNS_data[Country], FR_data[[#This Row],[Country]],
        PNS_data[National Society name], selected,
        PNS_data[Attribute], "SP3",
        PNS_data[Year], "2027"
    ),
    IF(_xlpm.sumValue = 0, "", _xlpm.sumValue)
)</f>
        <v/>
      </c>
      <c r="O191" s="31" t="str">
        <f>_xlfn.LET(
    _xlpm.sumValue, SUMIFS(
        PNS_data[Value],
        PNS_data[Country], FR_data[[#This Row],[Country]],
        PNS_data[National Society name], selected,
        PNS_data[Attribute], "SP4",
        PNS_data[Year], "2027"
    ),
    IF(_xlpm.sumValue = 0, "", _xlpm.sumValue)
)</f>
        <v/>
      </c>
      <c r="P191" s="31" t="str">
        <f>_xlfn.LET(
    _xlpm.sumValue, SUMIFS(
        PNS_data[Value],
        PNS_data[Country], FR_data[[#This Row],[Country]],
        PNS_data[National Society name], selected,
        PNS_data[Attribute], "SP5",
        PNS_data[Year], "2027"
    ),
    IF(_xlpm.sumValue = 0, "", _xlpm.sumValue)
)</f>
        <v/>
      </c>
      <c r="Q191" s="31" t="str">
        <f>_xlfn.LET(
    _xlpm.sumValue, SUMIFS(
        PNS_data[Value],
        PNS_data[Country], FR_data[[#This Row],[Country]],
        PNS_data[National Society name], selected,
        PNS_data[Attribute], "EFs",
        PNS_data[Year], "2027"
    ),
    IF(_xlpm.sumValue = 0, "", _xlpm.sumValue)
)</f>
        <v/>
      </c>
      <c r="R191" s="32" t="str">
        <f>IF(SUM(FR_data[[#This Row],[Response - Disasters and Crises ]:[Enabling Functions ]])=0,"",SUM(FR_data[[#This Row],[Response - Disasters and Crises ]:[Enabling Functions ]]))</f>
        <v/>
      </c>
      <c r="S191" s="39"/>
      <c r="T191" s="30" t="str">
        <f>_xlfn.LET(
    _xlpm.sumValue, SUMIFS(
        PNS_data[Value],
        PNS_data[Country], FR_data[[#This Row],[Country]],
        PNS_data[National Society name], selected,
        PNS_data[Attribute], "SP1",
        PNS_data[Year], "2028"
    ),
    IF(_xlpm.sumValue = 0, "", _xlpm.sumValue)
)</f>
        <v/>
      </c>
      <c r="U191" s="31" t="str">
        <f>_xlfn.LET(
    _xlpm.sumValue, SUMIFS(
        PNS_data[Value],
        PNS_data[Country], FR_data[[#This Row],[Country]],
        PNS_data[National Society name], selected,
        PNS_data[Attribute], "SP2",
        PNS_data[Year], "2028"
    ),
    IF(_xlpm.sumValue = 0, "", _xlpm.sumValue)
)</f>
        <v/>
      </c>
      <c r="V191" s="31" t="str">
        <f>_xlfn.LET(
    _xlpm.sumValue, SUMIFS(
        PNS_data[Value],
        PNS_data[Country], FR_data[[#This Row],[Country]],
        PNS_data[National Society name], selected,
        PNS_data[Attribute], "SP3",
        PNS_data[Year], "2028"
    ),
    IF(_xlpm.sumValue = 0, "", _xlpm.sumValue)
)</f>
        <v/>
      </c>
      <c r="W191" s="31" t="str">
        <f>_xlfn.LET(
    _xlpm.sumValue, SUMIFS(
        PNS_data[Value],
        PNS_data[Country], FR_data[[#This Row],[Country]],
        PNS_data[National Society name], selected,
        PNS_data[Attribute], "SP4",
        PNS_data[Year], "2028"
    ),
    IF(_xlpm.sumValue = 0, "", _xlpm.sumValue)
)</f>
        <v/>
      </c>
      <c r="X191" s="31" t="str">
        <f>_xlfn.LET(
    _xlpm.sumValue, SUMIFS(
        PNS_data[Value],
        PNS_data[Country], FR_data[[#This Row],[Country]],
        PNS_data[National Society name], selected,
        PNS_data[Attribute], "SP5",
        PNS_data[Year], "2028"
    ),
    IF(_xlpm.sumValue = 0, "", _xlpm.sumValue)
)</f>
        <v/>
      </c>
      <c r="Y191" s="31" t="str">
        <f>_xlfn.LET(
    _xlpm.sumValue, SUMIFS(
        PNS_data[Value],
        PNS_data[Country], FR_data[[#This Row],[Country]],
        PNS_data[National Society name], selected,
        PNS_data[Attribute], "EFs",
        PNS_data[Year], "2028"
    ),
    IF(_xlpm.sumValue = 0, "", _xlpm.sumValue)
)</f>
        <v/>
      </c>
      <c r="Z191" s="32" t="str">
        <f>IF(SUM(FR_data[[#This Row],[Response - Disasters and Crises  ]:[Enabling Functions  ]])=0,"",SUM(FR_data[[#This Row],[Response - Disasters and Crises  ]:[Enabling Functions  ]]))</f>
        <v/>
      </c>
      <c r="AA191" s="41"/>
    </row>
    <row r="192" spans="1:27" x14ac:dyDescent="0.3">
      <c r="A192" s="11" t="s">
        <v>214</v>
      </c>
      <c r="B192" s="11" t="s">
        <v>433</v>
      </c>
      <c r="C192" s="11" t="s">
        <v>215</v>
      </c>
      <c r="D192" s="30" t="str">
        <f>_xlfn.LET(
    _xlpm.sumValue, SUMIFS(
        PNS_data[Value],
        PNS_data[Country], FR_data[[#This Row],[Country]],
        PNS_data[National Society name], selected,
        PNS_data[Attribute], "SP1",
        PNS_data[Year], "2026"
    ),
    IF(_xlpm.sumValue = 0, "", _xlpm.sumValue)
)</f>
        <v/>
      </c>
      <c r="E192" s="31" t="str">
        <f>_xlfn.LET(
    _xlpm.sumValue, SUMIFS(
        PNS_data[Value],
        PNS_data[Country], FR_data[[#This Row],[Country]],
        PNS_data[National Society name], selected,
        PNS_data[Attribute], "SP2",
        PNS_data[Year], "2026"
    ),
    IF(_xlpm.sumValue = 0, "", _xlpm.sumValue)
)</f>
        <v/>
      </c>
      <c r="F192" s="31" t="str">
        <f>_xlfn.LET(
    _xlpm.sumValue, SUMIFS(
        PNS_data[Value],
        PNS_data[Country], FR_data[[#This Row],[Country]],
        PNS_data[National Society name], selected,
        PNS_data[Attribute], "SP3",
        PNS_data[Year], "2026"
    ),
    IF(_xlpm.sumValue = 0, "", _xlpm.sumValue)
)</f>
        <v/>
      </c>
      <c r="G192" s="31" t="str">
        <f>_xlfn.LET(
    _xlpm.sumValue, SUMIFS(
        PNS_data[Value],
        PNS_data[Country], FR_data[[#This Row],[Country]],
        PNS_data[National Society name], selected,
        PNS_data[Attribute], "SP4",
        PNS_data[Year], "2026"
    ),
    IF(_xlpm.sumValue = 0, "", _xlpm.sumValue)
)</f>
        <v/>
      </c>
      <c r="H192" s="31" t="str">
        <f>_xlfn.LET(
    _xlpm.sumValue, SUMIFS(
        PNS_data[Value],
        PNS_data[Country], FR_data[[#This Row],[Country]],
        PNS_data[National Society name], selected,
        PNS_data[Attribute], "SP5",
        PNS_data[Year], "2026"
    ),
    IF(_xlpm.sumValue = 0, "", _xlpm.sumValue)
)</f>
        <v/>
      </c>
      <c r="I192" s="31" t="str">
        <f>_xlfn.LET(
    _xlpm.sumValue, SUMIFS(
        PNS_data[Value],
        PNS_data[Country], FR_data[[#This Row],[Country]],
        PNS_data[National Society name], selected,
        PNS_data[Attribute], "EFs",
        PNS_data[Year], "2026"
    ),
    IF(_xlpm.sumValue = 0, "", _xlpm.sumValue)
)</f>
        <v/>
      </c>
      <c r="J192" s="32" t="str">
        <f>IF(SUM(FR_data[[#This Row],[Response - Disasters and Crises]:[Enabling Functions]])=0,"",SUM(FR_data[[#This Row],[Response - Disasters and Crises]:[Enabling Functions]]))</f>
        <v/>
      </c>
      <c r="K192" s="39"/>
      <c r="L192" s="30" t="str">
        <f>_xlfn.LET(
    _xlpm.sumValue, SUMIFS(
        PNS_data[Value],
        PNS_data[Country], FR_data[[#This Row],[Country]],
        PNS_data[National Society name], selected,
        PNS_data[Attribute], "SP1",
        PNS_data[Year], "2027"
    ),
    IF(_xlpm.sumValue = 0, "", _xlpm.sumValue)
)</f>
        <v/>
      </c>
      <c r="M192" s="31" t="str">
        <f>_xlfn.LET(
    _xlpm.sumValue, SUMIFS(
        PNS_data[Value],
        PNS_data[Country], FR_data[[#This Row],[Country]],
        PNS_data[National Society name], selected,
        PNS_data[Attribute], "SP2",
        PNS_data[Year], "2027"
    ),
    IF(_xlpm.sumValue = 0, "", _xlpm.sumValue)
)</f>
        <v/>
      </c>
      <c r="N192" s="31" t="str">
        <f>_xlfn.LET(
    _xlpm.sumValue, SUMIFS(
        PNS_data[Value],
        PNS_data[Country], FR_data[[#This Row],[Country]],
        PNS_data[National Society name], selected,
        PNS_data[Attribute], "SP3",
        PNS_data[Year], "2027"
    ),
    IF(_xlpm.sumValue = 0, "", _xlpm.sumValue)
)</f>
        <v/>
      </c>
      <c r="O192" s="31" t="str">
        <f>_xlfn.LET(
    _xlpm.sumValue, SUMIFS(
        PNS_data[Value],
        PNS_data[Country], FR_data[[#This Row],[Country]],
        PNS_data[National Society name], selected,
        PNS_data[Attribute], "SP4",
        PNS_data[Year], "2027"
    ),
    IF(_xlpm.sumValue = 0, "", _xlpm.sumValue)
)</f>
        <v/>
      </c>
      <c r="P192" s="31" t="str">
        <f>_xlfn.LET(
    _xlpm.sumValue, SUMIFS(
        PNS_data[Value],
        PNS_data[Country], FR_data[[#This Row],[Country]],
        PNS_data[National Society name], selected,
        PNS_data[Attribute], "SP5",
        PNS_data[Year], "2027"
    ),
    IF(_xlpm.sumValue = 0, "", _xlpm.sumValue)
)</f>
        <v/>
      </c>
      <c r="Q192" s="31" t="str">
        <f>_xlfn.LET(
    _xlpm.sumValue, SUMIFS(
        PNS_data[Value],
        PNS_data[Country], FR_data[[#This Row],[Country]],
        PNS_data[National Society name], selected,
        PNS_data[Attribute], "EFs",
        PNS_data[Year], "2027"
    ),
    IF(_xlpm.sumValue = 0, "", _xlpm.sumValue)
)</f>
        <v/>
      </c>
      <c r="R192" s="32" t="str">
        <f>IF(SUM(FR_data[[#This Row],[Response - Disasters and Crises ]:[Enabling Functions ]])=0,"",SUM(FR_data[[#This Row],[Response - Disasters and Crises ]:[Enabling Functions ]]))</f>
        <v/>
      </c>
      <c r="S192" s="39"/>
      <c r="T192" s="30" t="str">
        <f>_xlfn.LET(
    _xlpm.sumValue, SUMIFS(
        PNS_data[Value],
        PNS_data[Country], FR_data[[#This Row],[Country]],
        PNS_data[National Society name], selected,
        PNS_data[Attribute], "SP1",
        PNS_data[Year], "2028"
    ),
    IF(_xlpm.sumValue = 0, "", _xlpm.sumValue)
)</f>
        <v/>
      </c>
      <c r="U192" s="31" t="str">
        <f>_xlfn.LET(
    _xlpm.sumValue, SUMIFS(
        PNS_data[Value],
        PNS_data[Country], FR_data[[#This Row],[Country]],
        PNS_data[National Society name], selected,
        PNS_data[Attribute], "SP2",
        PNS_data[Year], "2028"
    ),
    IF(_xlpm.sumValue = 0, "", _xlpm.sumValue)
)</f>
        <v/>
      </c>
      <c r="V192" s="31" t="str">
        <f>_xlfn.LET(
    _xlpm.sumValue, SUMIFS(
        PNS_data[Value],
        PNS_data[Country], FR_data[[#This Row],[Country]],
        PNS_data[National Society name], selected,
        PNS_data[Attribute], "SP3",
        PNS_data[Year], "2028"
    ),
    IF(_xlpm.sumValue = 0, "", _xlpm.sumValue)
)</f>
        <v/>
      </c>
      <c r="W192" s="31" t="str">
        <f>_xlfn.LET(
    _xlpm.sumValue, SUMIFS(
        PNS_data[Value],
        PNS_data[Country], FR_data[[#This Row],[Country]],
        PNS_data[National Society name], selected,
        PNS_data[Attribute], "SP4",
        PNS_data[Year], "2028"
    ),
    IF(_xlpm.sumValue = 0, "", _xlpm.sumValue)
)</f>
        <v/>
      </c>
      <c r="X192" s="31" t="str">
        <f>_xlfn.LET(
    _xlpm.sumValue, SUMIFS(
        PNS_data[Value],
        PNS_data[Country], FR_data[[#This Row],[Country]],
        PNS_data[National Society name], selected,
        PNS_data[Attribute], "SP5",
        PNS_data[Year], "2028"
    ),
    IF(_xlpm.sumValue = 0, "", _xlpm.sumValue)
)</f>
        <v/>
      </c>
      <c r="Y192" s="31" t="str">
        <f>_xlfn.LET(
    _xlpm.sumValue, SUMIFS(
        PNS_data[Value],
        PNS_data[Country], FR_data[[#This Row],[Country]],
        PNS_data[National Society name], selected,
        PNS_data[Attribute], "EFs",
        PNS_data[Year], "2028"
    ),
    IF(_xlpm.sumValue = 0, "", _xlpm.sumValue)
)</f>
        <v/>
      </c>
      <c r="Z192" s="32" t="str">
        <f>IF(SUM(FR_data[[#This Row],[Response - Disasters and Crises  ]:[Enabling Functions  ]])=0,"",SUM(FR_data[[#This Row],[Response - Disasters and Crises  ]:[Enabling Functions  ]]))</f>
        <v/>
      </c>
      <c r="AA192" s="41"/>
    </row>
    <row r="193" spans="1:27" x14ac:dyDescent="0.3">
      <c r="A193" s="11" t="s">
        <v>245</v>
      </c>
      <c r="B193" s="11" t="s">
        <v>433</v>
      </c>
      <c r="C193" s="11" t="s">
        <v>246</v>
      </c>
      <c r="D193" s="30" t="str">
        <f>_xlfn.LET(
    _xlpm.sumValue, SUMIFS(
        PNS_data[Value],
        PNS_data[Country], FR_data[[#This Row],[Country]],
        PNS_data[National Society name], selected,
        PNS_data[Attribute], "SP1",
        PNS_data[Year], "2026"
    ),
    IF(_xlpm.sumValue = 0, "", _xlpm.sumValue)
)</f>
        <v/>
      </c>
      <c r="E193" s="31" t="str">
        <f>_xlfn.LET(
    _xlpm.sumValue, SUMIFS(
        PNS_data[Value],
        PNS_data[Country], FR_data[[#This Row],[Country]],
        PNS_data[National Society name], selected,
        PNS_data[Attribute], "SP2",
        PNS_data[Year], "2026"
    ),
    IF(_xlpm.sumValue = 0, "", _xlpm.sumValue)
)</f>
        <v/>
      </c>
      <c r="F193" s="31" t="str">
        <f>_xlfn.LET(
    _xlpm.sumValue, SUMIFS(
        PNS_data[Value],
        PNS_data[Country], FR_data[[#This Row],[Country]],
        PNS_data[National Society name], selected,
        PNS_data[Attribute], "SP3",
        PNS_data[Year], "2026"
    ),
    IF(_xlpm.sumValue = 0, "", _xlpm.sumValue)
)</f>
        <v/>
      </c>
      <c r="G193" s="31" t="str">
        <f>_xlfn.LET(
    _xlpm.sumValue, SUMIFS(
        PNS_data[Value],
        PNS_data[Country], FR_data[[#This Row],[Country]],
        PNS_data[National Society name], selected,
        PNS_data[Attribute], "SP4",
        PNS_data[Year], "2026"
    ),
    IF(_xlpm.sumValue = 0, "", _xlpm.sumValue)
)</f>
        <v/>
      </c>
      <c r="H193" s="31" t="str">
        <f>_xlfn.LET(
    _xlpm.sumValue, SUMIFS(
        PNS_data[Value],
        PNS_data[Country], FR_data[[#This Row],[Country]],
        PNS_data[National Society name], selected,
        PNS_data[Attribute], "SP5",
        PNS_data[Year], "2026"
    ),
    IF(_xlpm.sumValue = 0, "", _xlpm.sumValue)
)</f>
        <v/>
      </c>
      <c r="I193" s="31" t="str">
        <f>_xlfn.LET(
    _xlpm.sumValue, SUMIFS(
        PNS_data[Value],
        PNS_data[Country], FR_data[[#This Row],[Country]],
        PNS_data[National Society name], selected,
        PNS_data[Attribute], "EFs",
        PNS_data[Year], "2026"
    ),
    IF(_xlpm.sumValue = 0, "", _xlpm.sumValue)
)</f>
        <v/>
      </c>
      <c r="J193" s="32" t="str">
        <f>IF(SUM(FR_data[[#This Row],[Response - Disasters and Crises]:[Enabling Functions]])=0,"",SUM(FR_data[[#This Row],[Response - Disasters and Crises]:[Enabling Functions]]))</f>
        <v/>
      </c>
      <c r="K193" s="39"/>
      <c r="L193" s="30" t="str">
        <f>_xlfn.LET(
    _xlpm.sumValue, SUMIFS(
        PNS_data[Value],
        PNS_data[Country], FR_data[[#This Row],[Country]],
        PNS_data[National Society name], selected,
        PNS_data[Attribute], "SP1",
        PNS_data[Year], "2027"
    ),
    IF(_xlpm.sumValue = 0, "", _xlpm.sumValue)
)</f>
        <v/>
      </c>
      <c r="M193" s="31" t="str">
        <f>_xlfn.LET(
    _xlpm.sumValue, SUMIFS(
        PNS_data[Value],
        PNS_data[Country], FR_data[[#This Row],[Country]],
        PNS_data[National Society name], selected,
        PNS_data[Attribute], "SP2",
        PNS_data[Year], "2027"
    ),
    IF(_xlpm.sumValue = 0, "", _xlpm.sumValue)
)</f>
        <v/>
      </c>
      <c r="N193" s="31" t="str">
        <f>_xlfn.LET(
    _xlpm.sumValue, SUMIFS(
        PNS_data[Value],
        PNS_data[Country], FR_data[[#This Row],[Country]],
        PNS_data[National Society name], selected,
        PNS_data[Attribute], "SP3",
        PNS_data[Year], "2027"
    ),
    IF(_xlpm.sumValue = 0, "", _xlpm.sumValue)
)</f>
        <v/>
      </c>
      <c r="O193" s="31" t="str">
        <f>_xlfn.LET(
    _xlpm.sumValue, SUMIFS(
        PNS_data[Value],
        PNS_data[Country], FR_data[[#This Row],[Country]],
        PNS_data[National Society name], selected,
        PNS_data[Attribute], "SP4",
        PNS_data[Year], "2027"
    ),
    IF(_xlpm.sumValue = 0, "", _xlpm.sumValue)
)</f>
        <v/>
      </c>
      <c r="P193" s="31" t="str">
        <f>_xlfn.LET(
    _xlpm.sumValue, SUMIFS(
        PNS_data[Value],
        PNS_data[Country], FR_data[[#This Row],[Country]],
        PNS_data[National Society name], selected,
        PNS_data[Attribute], "SP5",
        PNS_data[Year], "2027"
    ),
    IF(_xlpm.sumValue = 0, "", _xlpm.sumValue)
)</f>
        <v/>
      </c>
      <c r="Q193" s="31" t="str">
        <f>_xlfn.LET(
    _xlpm.sumValue, SUMIFS(
        PNS_data[Value],
        PNS_data[Country], FR_data[[#This Row],[Country]],
        PNS_data[National Society name], selected,
        PNS_data[Attribute], "EFs",
        PNS_data[Year], "2027"
    ),
    IF(_xlpm.sumValue = 0, "", _xlpm.sumValue)
)</f>
        <v/>
      </c>
      <c r="R193" s="32" t="str">
        <f>IF(SUM(FR_data[[#This Row],[Response - Disasters and Crises ]:[Enabling Functions ]])=0,"",SUM(FR_data[[#This Row],[Response - Disasters and Crises ]:[Enabling Functions ]]))</f>
        <v/>
      </c>
      <c r="S193" s="39"/>
      <c r="T193" s="30" t="str">
        <f>_xlfn.LET(
    _xlpm.sumValue, SUMIFS(
        PNS_data[Value],
        PNS_data[Country], FR_data[[#This Row],[Country]],
        PNS_data[National Society name], selected,
        PNS_data[Attribute], "SP1",
        PNS_data[Year], "2028"
    ),
    IF(_xlpm.sumValue = 0, "", _xlpm.sumValue)
)</f>
        <v/>
      </c>
      <c r="U193" s="31" t="str">
        <f>_xlfn.LET(
    _xlpm.sumValue, SUMIFS(
        PNS_data[Value],
        PNS_data[Country], FR_data[[#This Row],[Country]],
        PNS_data[National Society name], selected,
        PNS_data[Attribute], "SP2",
        PNS_data[Year], "2028"
    ),
    IF(_xlpm.sumValue = 0, "", _xlpm.sumValue)
)</f>
        <v/>
      </c>
      <c r="V193" s="31" t="str">
        <f>_xlfn.LET(
    _xlpm.sumValue, SUMIFS(
        PNS_data[Value],
        PNS_data[Country], FR_data[[#This Row],[Country]],
        PNS_data[National Society name], selected,
        PNS_data[Attribute], "SP3",
        PNS_data[Year], "2028"
    ),
    IF(_xlpm.sumValue = 0, "", _xlpm.sumValue)
)</f>
        <v/>
      </c>
      <c r="W193" s="31" t="str">
        <f>_xlfn.LET(
    _xlpm.sumValue, SUMIFS(
        PNS_data[Value],
        PNS_data[Country], FR_data[[#This Row],[Country]],
        PNS_data[National Society name], selected,
        PNS_data[Attribute], "SP4",
        PNS_data[Year], "2028"
    ),
    IF(_xlpm.sumValue = 0, "", _xlpm.sumValue)
)</f>
        <v/>
      </c>
      <c r="X193" s="31" t="str">
        <f>_xlfn.LET(
    _xlpm.sumValue, SUMIFS(
        PNS_data[Value],
        PNS_data[Country], FR_data[[#This Row],[Country]],
        PNS_data[National Society name], selected,
        PNS_data[Attribute], "SP5",
        PNS_data[Year], "2028"
    ),
    IF(_xlpm.sumValue = 0, "", _xlpm.sumValue)
)</f>
        <v/>
      </c>
      <c r="Y193" s="31" t="str">
        <f>_xlfn.LET(
    _xlpm.sumValue, SUMIFS(
        PNS_data[Value],
        PNS_data[Country], FR_data[[#This Row],[Country]],
        PNS_data[National Society name], selected,
        PNS_data[Attribute], "EFs",
        PNS_data[Year], "2028"
    ),
    IF(_xlpm.sumValue = 0, "", _xlpm.sumValue)
)</f>
        <v/>
      </c>
      <c r="Z193" s="32" t="str">
        <f>IF(SUM(FR_data[[#This Row],[Response - Disasters and Crises  ]:[Enabling Functions  ]])=0,"",SUM(FR_data[[#This Row],[Response - Disasters and Crises  ]:[Enabling Functions  ]]))</f>
        <v/>
      </c>
      <c r="AA193" s="41"/>
    </row>
    <row r="194" spans="1:27" x14ac:dyDescent="0.3">
      <c r="A194" s="11" t="s">
        <v>255</v>
      </c>
      <c r="B194" s="11" t="s">
        <v>433</v>
      </c>
      <c r="C194" s="11" t="s">
        <v>61</v>
      </c>
      <c r="D194" s="30" t="str">
        <f>_xlfn.LET(
    _xlpm.sumValue, SUMIFS(
        PNS_data[Value],
        PNS_data[Country], FR_data[[#This Row],[Country]],
        PNS_data[National Society name], selected,
        PNS_data[Attribute], "SP1",
        PNS_data[Year], "2026"
    ),
    IF(_xlpm.sumValue = 0, "", _xlpm.sumValue)
)</f>
        <v/>
      </c>
      <c r="E194" s="31" t="str">
        <f>_xlfn.LET(
    _xlpm.sumValue, SUMIFS(
        PNS_data[Value],
        PNS_data[Country], FR_data[[#This Row],[Country]],
        PNS_data[National Society name], selected,
        PNS_data[Attribute], "SP2",
        PNS_data[Year], "2026"
    ),
    IF(_xlpm.sumValue = 0, "", _xlpm.sumValue)
)</f>
        <v/>
      </c>
      <c r="F194" s="31" t="str">
        <f>_xlfn.LET(
    _xlpm.sumValue, SUMIFS(
        PNS_data[Value],
        PNS_data[Country], FR_data[[#This Row],[Country]],
        PNS_data[National Society name], selected,
        PNS_data[Attribute], "SP3",
        PNS_data[Year], "2026"
    ),
    IF(_xlpm.sumValue = 0, "", _xlpm.sumValue)
)</f>
        <v/>
      </c>
      <c r="G194" s="31" t="str">
        <f>_xlfn.LET(
    _xlpm.sumValue, SUMIFS(
        PNS_data[Value],
        PNS_data[Country], FR_data[[#This Row],[Country]],
        PNS_data[National Society name], selected,
        PNS_data[Attribute], "SP4",
        PNS_data[Year], "2026"
    ),
    IF(_xlpm.sumValue = 0, "", _xlpm.sumValue)
)</f>
        <v/>
      </c>
      <c r="H194" s="31" t="str">
        <f>_xlfn.LET(
    _xlpm.sumValue, SUMIFS(
        PNS_data[Value],
        PNS_data[Country], FR_data[[#This Row],[Country]],
        PNS_data[National Society name], selected,
        PNS_data[Attribute], "SP5",
        PNS_data[Year], "2026"
    ),
    IF(_xlpm.sumValue = 0, "", _xlpm.sumValue)
)</f>
        <v/>
      </c>
      <c r="I194" s="31" t="str">
        <f>_xlfn.LET(
    _xlpm.sumValue, SUMIFS(
        PNS_data[Value],
        PNS_data[Country], FR_data[[#This Row],[Country]],
        PNS_data[National Society name], selected,
        PNS_data[Attribute], "EFs",
        PNS_data[Year], "2026"
    ),
    IF(_xlpm.sumValue = 0, "", _xlpm.sumValue)
)</f>
        <v/>
      </c>
      <c r="J194" s="32" t="str">
        <f>IF(SUM(FR_data[[#This Row],[Response - Disasters and Crises]:[Enabling Functions]])=0,"",SUM(FR_data[[#This Row],[Response - Disasters and Crises]:[Enabling Functions]]))</f>
        <v/>
      </c>
      <c r="K194" s="39"/>
      <c r="L194" s="30" t="str">
        <f>_xlfn.LET(
    _xlpm.sumValue, SUMIFS(
        PNS_data[Value],
        PNS_data[Country], FR_data[[#This Row],[Country]],
        PNS_data[National Society name], selected,
        PNS_data[Attribute], "SP1",
        PNS_data[Year], "2027"
    ),
    IF(_xlpm.sumValue = 0, "", _xlpm.sumValue)
)</f>
        <v/>
      </c>
      <c r="M194" s="31" t="str">
        <f>_xlfn.LET(
    _xlpm.sumValue, SUMIFS(
        PNS_data[Value],
        PNS_data[Country], FR_data[[#This Row],[Country]],
        PNS_data[National Society name], selected,
        PNS_data[Attribute], "SP2",
        PNS_data[Year], "2027"
    ),
    IF(_xlpm.sumValue = 0, "", _xlpm.sumValue)
)</f>
        <v/>
      </c>
      <c r="N194" s="31" t="str">
        <f>_xlfn.LET(
    _xlpm.sumValue, SUMIFS(
        PNS_data[Value],
        PNS_data[Country], FR_data[[#This Row],[Country]],
        PNS_data[National Society name], selected,
        PNS_data[Attribute], "SP3",
        PNS_data[Year], "2027"
    ),
    IF(_xlpm.sumValue = 0, "", _xlpm.sumValue)
)</f>
        <v/>
      </c>
      <c r="O194" s="31" t="str">
        <f>_xlfn.LET(
    _xlpm.sumValue, SUMIFS(
        PNS_data[Value],
        PNS_data[Country], FR_data[[#This Row],[Country]],
        PNS_data[National Society name], selected,
        PNS_data[Attribute], "SP4",
        PNS_data[Year], "2027"
    ),
    IF(_xlpm.sumValue = 0, "", _xlpm.sumValue)
)</f>
        <v/>
      </c>
      <c r="P194" s="31" t="str">
        <f>_xlfn.LET(
    _xlpm.sumValue, SUMIFS(
        PNS_data[Value],
        PNS_data[Country], FR_data[[#This Row],[Country]],
        PNS_data[National Society name], selected,
        PNS_data[Attribute], "SP5",
        PNS_data[Year], "2027"
    ),
    IF(_xlpm.sumValue = 0, "", _xlpm.sumValue)
)</f>
        <v/>
      </c>
      <c r="Q194" s="31" t="str">
        <f>_xlfn.LET(
    _xlpm.sumValue, SUMIFS(
        PNS_data[Value],
        PNS_data[Country], FR_data[[#This Row],[Country]],
        PNS_data[National Society name], selected,
        PNS_data[Attribute], "EFs",
        PNS_data[Year], "2027"
    ),
    IF(_xlpm.sumValue = 0, "", _xlpm.sumValue)
)</f>
        <v/>
      </c>
      <c r="R194" s="32" t="str">
        <f>IF(SUM(FR_data[[#This Row],[Response - Disasters and Crises ]:[Enabling Functions ]])=0,"",SUM(FR_data[[#This Row],[Response - Disasters and Crises ]:[Enabling Functions ]]))</f>
        <v/>
      </c>
      <c r="S194" s="39"/>
      <c r="T194" s="30" t="str">
        <f>_xlfn.LET(
    _xlpm.sumValue, SUMIFS(
        PNS_data[Value],
        PNS_data[Country], FR_data[[#This Row],[Country]],
        PNS_data[National Society name], selected,
        PNS_data[Attribute], "SP1",
        PNS_data[Year], "2028"
    ),
    IF(_xlpm.sumValue = 0, "", _xlpm.sumValue)
)</f>
        <v/>
      </c>
      <c r="U194" s="31" t="str">
        <f>_xlfn.LET(
    _xlpm.sumValue, SUMIFS(
        PNS_data[Value],
        PNS_data[Country], FR_data[[#This Row],[Country]],
        PNS_data[National Society name], selected,
        PNS_data[Attribute], "SP2",
        PNS_data[Year], "2028"
    ),
    IF(_xlpm.sumValue = 0, "", _xlpm.sumValue)
)</f>
        <v/>
      </c>
      <c r="V194" s="31" t="str">
        <f>_xlfn.LET(
    _xlpm.sumValue, SUMIFS(
        PNS_data[Value],
        PNS_data[Country], FR_data[[#This Row],[Country]],
        PNS_data[National Society name], selected,
        PNS_data[Attribute], "SP3",
        PNS_data[Year], "2028"
    ),
    IF(_xlpm.sumValue = 0, "", _xlpm.sumValue)
)</f>
        <v/>
      </c>
      <c r="W194" s="31" t="str">
        <f>_xlfn.LET(
    _xlpm.sumValue, SUMIFS(
        PNS_data[Value],
        PNS_data[Country], FR_data[[#This Row],[Country]],
        PNS_data[National Society name], selected,
        PNS_data[Attribute], "SP4",
        PNS_data[Year], "2028"
    ),
    IF(_xlpm.sumValue = 0, "", _xlpm.sumValue)
)</f>
        <v/>
      </c>
      <c r="X194" s="31" t="str">
        <f>_xlfn.LET(
    _xlpm.sumValue, SUMIFS(
        PNS_data[Value],
        PNS_data[Country], FR_data[[#This Row],[Country]],
        PNS_data[National Society name], selected,
        PNS_data[Attribute], "SP5",
        PNS_data[Year], "2028"
    ),
    IF(_xlpm.sumValue = 0, "", _xlpm.sumValue)
)</f>
        <v/>
      </c>
      <c r="Y194" s="31" t="str">
        <f>_xlfn.LET(
    _xlpm.sumValue, SUMIFS(
        PNS_data[Value],
        PNS_data[Country], FR_data[[#This Row],[Country]],
        PNS_data[National Society name], selected,
        PNS_data[Attribute], "EFs",
        PNS_data[Year], "2028"
    ),
    IF(_xlpm.sumValue = 0, "", _xlpm.sumValue)
)</f>
        <v/>
      </c>
      <c r="Z194" s="32" t="str">
        <f>IF(SUM(FR_data[[#This Row],[Response - Disasters and Crises  ]:[Enabling Functions  ]])=0,"",SUM(FR_data[[#This Row],[Response - Disasters and Crises  ]:[Enabling Functions  ]]))</f>
        <v/>
      </c>
      <c r="AA194" s="41"/>
    </row>
    <row r="195" spans="1:27" x14ac:dyDescent="0.3">
      <c r="A195" s="11" t="s">
        <v>259</v>
      </c>
      <c r="B195" s="11" t="s">
        <v>433</v>
      </c>
      <c r="C195" s="11" t="s">
        <v>32</v>
      </c>
      <c r="D195" s="30" t="str">
        <f>_xlfn.LET(
    _xlpm.sumValue, SUMIFS(
        PNS_data[Value],
        PNS_data[Country], FR_data[[#This Row],[Country]],
        PNS_data[National Society name], selected,
        PNS_data[Attribute], "SP1",
        PNS_data[Year], "2026"
    ),
    IF(_xlpm.sumValue = 0, "", _xlpm.sumValue)
)</f>
        <v/>
      </c>
      <c r="E195" s="31" t="str">
        <f>_xlfn.LET(
    _xlpm.sumValue, SUMIFS(
        PNS_data[Value],
        PNS_data[Country], FR_data[[#This Row],[Country]],
        PNS_data[National Society name], selected,
        PNS_data[Attribute], "SP2",
        PNS_data[Year], "2026"
    ),
    IF(_xlpm.sumValue = 0, "", _xlpm.sumValue)
)</f>
        <v/>
      </c>
      <c r="F195" s="31" t="str">
        <f>_xlfn.LET(
    _xlpm.sumValue, SUMIFS(
        PNS_data[Value],
        PNS_data[Country], FR_data[[#This Row],[Country]],
        PNS_data[National Society name], selected,
        PNS_data[Attribute], "SP3",
        PNS_data[Year], "2026"
    ),
    IF(_xlpm.sumValue = 0, "", _xlpm.sumValue)
)</f>
        <v/>
      </c>
      <c r="G195" s="31" t="str">
        <f>_xlfn.LET(
    _xlpm.sumValue, SUMIFS(
        PNS_data[Value],
        PNS_data[Country], FR_data[[#This Row],[Country]],
        PNS_data[National Society name], selected,
        PNS_data[Attribute], "SP4",
        PNS_data[Year], "2026"
    ),
    IF(_xlpm.sumValue = 0, "", _xlpm.sumValue)
)</f>
        <v/>
      </c>
      <c r="H195" s="31" t="str">
        <f>_xlfn.LET(
    _xlpm.sumValue, SUMIFS(
        PNS_data[Value],
        PNS_data[Country], FR_data[[#This Row],[Country]],
        PNS_data[National Society name], selected,
        PNS_data[Attribute], "SP5",
        PNS_data[Year], "2026"
    ),
    IF(_xlpm.sumValue = 0, "", _xlpm.sumValue)
)</f>
        <v/>
      </c>
      <c r="I195" s="31" t="str">
        <f>_xlfn.LET(
    _xlpm.sumValue, SUMIFS(
        PNS_data[Value],
        PNS_data[Country], FR_data[[#This Row],[Country]],
        PNS_data[National Society name], selected,
        PNS_data[Attribute], "EFs",
        PNS_data[Year], "2026"
    ),
    IF(_xlpm.sumValue = 0, "", _xlpm.sumValue)
)</f>
        <v/>
      </c>
      <c r="J195" s="32" t="str">
        <f>IF(SUM(FR_data[[#This Row],[Response - Disasters and Crises]:[Enabling Functions]])=0,"",SUM(FR_data[[#This Row],[Response - Disasters and Crises]:[Enabling Functions]]))</f>
        <v/>
      </c>
      <c r="K195" s="39"/>
      <c r="L195" s="30" t="str">
        <f>_xlfn.LET(
    _xlpm.sumValue, SUMIFS(
        PNS_data[Value],
        PNS_data[Country], FR_data[[#This Row],[Country]],
        PNS_data[National Society name], selected,
        PNS_data[Attribute], "SP1",
        PNS_data[Year], "2027"
    ),
    IF(_xlpm.sumValue = 0, "", _xlpm.sumValue)
)</f>
        <v/>
      </c>
      <c r="M195" s="31" t="str">
        <f>_xlfn.LET(
    _xlpm.sumValue, SUMIFS(
        PNS_data[Value],
        PNS_data[Country], FR_data[[#This Row],[Country]],
        PNS_data[National Society name], selected,
        PNS_data[Attribute], "SP2",
        PNS_data[Year], "2027"
    ),
    IF(_xlpm.sumValue = 0, "", _xlpm.sumValue)
)</f>
        <v/>
      </c>
      <c r="N195" s="31" t="str">
        <f>_xlfn.LET(
    _xlpm.sumValue, SUMIFS(
        PNS_data[Value],
        PNS_data[Country], FR_data[[#This Row],[Country]],
        PNS_data[National Society name], selected,
        PNS_data[Attribute], "SP3",
        PNS_data[Year], "2027"
    ),
    IF(_xlpm.sumValue = 0, "", _xlpm.sumValue)
)</f>
        <v/>
      </c>
      <c r="O195" s="31" t="str">
        <f>_xlfn.LET(
    _xlpm.sumValue, SUMIFS(
        PNS_data[Value],
        PNS_data[Country], FR_data[[#This Row],[Country]],
        PNS_data[National Society name], selected,
        PNS_data[Attribute], "SP4",
        PNS_data[Year], "2027"
    ),
    IF(_xlpm.sumValue = 0, "", _xlpm.sumValue)
)</f>
        <v/>
      </c>
      <c r="P195" s="31" t="str">
        <f>_xlfn.LET(
    _xlpm.sumValue, SUMIFS(
        PNS_data[Value],
        PNS_data[Country], FR_data[[#This Row],[Country]],
        PNS_data[National Society name], selected,
        PNS_data[Attribute], "SP5",
        PNS_data[Year], "2027"
    ),
    IF(_xlpm.sumValue = 0, "", _xlpm.sumValue)
)</f>
        <v/>
      </c>
      <c r="Q195" s="31" t="str">
        <f>_xlfn.LET(
    _xlpm.sumValue, SUMIFS(
        PNS_data[Value],
        PNS_data[Country], FR_data[[#This Row],[Country]],
        PNS_data[National Society name], selected,
        PNS_data[Attribute], "EFs",
        PNS_data[Year], "2027"
    ),
    IF(_xlpm.sumValue = 0, "", _xlpm.sumValue)
)</f>
        <v/>
      </c>
      <c r="R195" s="32" t="str">
        <f>IF(SUM(FR_data[[#This Row],[Response - Disasters and Crises ]:[Enabling Functions ]])=0,"",SUM(FR_data[[#This Row],[Response - Disasters and Crises ]:[Enabling Functions ]]))</f>
        <v/>
      </c>
      <c r="S195" s="39"/>
      <c r="T195" s="30" t="str">
        <f>_xlfn.LET(
    _xlpm.sumValue, SUMIFS(
        PNS_data[Value],
        PNS_data[Country], FR_data[[#This Row],[Country]],
        PNS_data[National Society name], selected,
        PNS_data[Attribute], "SP1",
        PNS_data[Year], "2028"
    ),
    IF(_xlpm.sumValue = 0, "", _xlpm.sumValue)
)</f>
        <v/>
      </c>
      <c r="U195" s="31" t="str">
        <f>_xlfn.LET(
    _xlpm.sumValue, SUMIFS(
        PNS_data[Value],
        PNS_data[Country], FR_data[[#This Row],[Country]],
        PNS_data[National Society name], selected,
        PNS_data[Attribute], "SP2",
        PNS_data[Year], "2028"
    ),
    IF(_xlpm.sumValue = 0, "", _xlpm.sumValue)
)</f>
        <v/>
      </c>
      <c r="V195" s="31" t="str">
        <f>_xlfn.LET(
    _xlpm.sumValue, SUMIFS(
        PNS_data[Value],
        PNS_data[Country], FR_data[[#This Row],[Country]],
        PNS_data[National Society name], selected,
        PNS_data[Attribute], "SP3",
        PNS_data[Year], "2028"
    ),
    IF(_xlpm.sumValue = 0, "", _xlpm.sumValue)
)</f>
        <v/>
      </c>
      <c r="W195" s="31" t="str">
        <f>_xlfn.LET(
    _xlpm.sumValue, SUMIFS(
        PNS_data[Value],
        PNS_data[Country], FR_data[[#This Row],[Country]],
        PNS_data[National Society name], selected,
        PNS_data[Attribute], "SP4",
        PNS_data[Year], "2028"
    ),
    IF(_xlpm.sumValue = 0, "", _xlpm.sumValue)
)</f>
        <v/>
      </c>
      <c r="X195" s="31" t="str">
        <f>_xlfn.LET(
    _xlpm.sumValue, SUMIFS(
        PNS_data[Value],
        PNS_data[Country], FR_data[[#This Row],[Country]],
        PNS_data[National Society name], selected,
        PNS_data[Attribute], "SP5",
        PNS_data[Year], "2028"
    ),
    IF(_xlpm.sumValue = 0, "", _xlpm.sumValue)
)</f>
        <v/>
      </c>
      <c r="Y195" s="31" t="str">
        <f>_xlfn.LET(
    _xlpm.sumValue, SUMIFS(
        PNS_data[Value],
        PNS_data[Country], FR_data[[#This Row],[Country]],
        PNS_data[National Society name], selected,
        PNS_data[Attribute], "EFs",
        PNS_data[Year], "2028"
    ),
    IF(_xlpm.sumValue = 0, "", _xlpm.sumValue)
)</f>
        <v/>
      </c>
      <c r="Z195" s="32" t="str">
        <f>IF(SUM(FR_data[[#This Row],[Response - Disasters and Crises  ]:[Enabling Functions  ]])=0,"",SUM(FR_data[[#This Row],[Response - Disasters and Crises  ]:[Enabling Functions  ]]))</f>
        <v/>
      </c>
      <c r="AA195" s="41"/>
    </row>
    <row r="196" spans="1:27" x14ac:dyDescent="0.3">
      <c r="A196" s="11" t="s">
        <v>291</v>
      </c>
      <c r="B196" s="11" t="s">
        <v>433</v>
      </c>
      <c r="C196" s="11" t="s">
        <v>292</v>
      </c>
      <c r="D196" s="30" t="str">
        <f>_xlfn.LET(
    _xlpm.sumValue, SUMIFS(
        PNS_data[Value],
        PNS_data[Country], FR_data[[#This Row],[Country]],
        PNS_data[National Society name], selected,
        PNS_data[Attribute], "SP1",
        PNS_data[Year], "2026"
    ),
    IF(_xlpm.sumValue = 0, "", _xlpm.sumValue)
)</f>
        <v/>
      </c>
      <c r="E196" s="31" t="str">
        <f>_xlfn.LET(
    _xlpm.sumValue, SUMIFS(
        PNS_data[Value],
        PNS_data[Country], FR_data[[#This Row],[Country]],
        PNS_data[National Society name], selected,
        PNS_data[Attribute], "SP2",
        PNS_data[Year], "2026"
    ),
    IF(_xlpm.sumValue = 0, "", _xlpm.sumValue)
)</f>
        <v/>
      </c>
      <c r="F196" s="31" t="str">
        <f>_xlfn.LET(
    _xlpm.sumValue, SUMIFS(
        PNS_data[Value],
        PNS_data[Country], FR_data[[#This Row],[Country]],
        PNS_data[National Society name], selected,
        PNS_data[Attribute], "SP3",
        PNS_data[Year], "2026"
    ),
    IF(_xlpm.sumValue = 0, "", _xlpm.sumValue)
)</f>
        <v/>
      </c>
      <c r="G196" s="31" t="str">
        <f>_xlfn.LET(
    _xlpm.sumValue, SUMIFS(
        PNS_data[Value],
        PNS_data[Country], FR_data[[#This Row],[Country]],
        PNS_data[National Society name], selected,
        PNS_data[Attribute], "SP4",
        PNS_data[Year], "2026"
    ),
    IF(_xlpm.sumValue = 0, "", _xlpm.sumValue)
)</f>
        <v/>
      </c>
      <c r="H196" s="31" t="str">
        <f>_xlfn.LET(
    _xlpm.sumValue, SUMIFS(
        PNS_data[Value],
        PNS_data[Country], FR_data[[#This Row],[Country]],
        PNS_data[National Society name], selected,
        PNS_data[Attribute], "SP5",
        PNS_data[Year], "2026"
    ),
    IF(_xlpm.sumValue = 0, "", _xlpm.sumValue)
)</f>
        <v/>
      </c>
      <c r="I196" s="31" t="str">
        <f>_xlfn.LET(
    _xlpm.sumValue, SUMIFS(
        PNS_data[Value],
        PNS_data[Country], FR_data[[#This Row],[Country]],
        PNS_data[National Society name], selected,
        PNS_data[Attribute], "EFs",
        PNS_data[Year], "2026"
    ),
    IF(_xlpm.sumValue = 0, "", _xlpm.sumValue)
)</f>
        <v/>
      </c>
      <c r="J196" s="32" t="str">
        <f>IF(SUM(FR_data[[#This Row],[Response - Disasters and Crises]:[Enabling Functions]])=0,"",SUM(FR_data[[#This Row],[Response - Disasters and Crises]:[Enabling Functions]]))</f>
        <v/>
      </c>
      <c r="K196" s="39"/>
      <c r="L196" s="30" t="str">
        <f>_xlfn.LET(
    _xlpm.sumValue, SUMIFS(
        PNS_data[Value],
        PNS_data[Country], FR_data[[#This Row],[Country]],
        PNS_data[National Society name], selected,
        PNS_data[Attribute], "SP1",
        PNS_data[Year], "2027"
    ),
    IF(_xlpm.sumValue = 0, "", _xlpm.sumValue)
)</f>
        <v/>
      </c>
      <c r="M196" s="31" t="str">
        <f>_xlfn.LET(
    _xlpm.sumValue, SUMIFS(
        PNS_data[Value],
        PNS_data[Country], FR_data[[#This Row],[Country]],
        PNS_data[National Society name], selected,
        PNS_data[Attribute], "SP2",
        PNS_data[Year], "2027"
    ),
    IF(_xlpm.sumValue = 0, "", _xlpm.sumValue)
)</f>
        <v/>
      </c>
      <c r="N196" s="31" t="str">
        <f>_xlfn.LET(
    _xlpm.sumValue, SUMIFS(
        PNS_data[Value],
        PNS_data[Country], FR_data[[#This Row],[Country]],
        PNS_data[National Society name], selected,
        PNS_data[Attribute], "SP3",
        PNS_data[Year], "2027"
    ),
    IF(_xlpm.sumValue = 0, "", _xlpm.sumValue)
)</f>
        <v/>
      </c>
      <c r="O196" s="31" t="str">
        <f>_xlfn.LET(
    _xlpm.sumValue, SUMIFS(
        PNS_data[Value],
        PNS_data[Country], FR_data[[#This Row],[Country]],
        PNS_data[National Society name], selected,
        PNS_data[Attribute], "SP4",
        PNS_data[Year], "2027"
    ),
    IF(_xlpm.sumValue = 0, "", _xlpm.sumValue)
)</f>
        <v/>
      </c>
      <c r="P196" s="31" t="str">
        <f>_xlfn.LET(
    _xlpm.sumValue, SUMIFS(
        PNS_data[Value],
        PNS_data[Country], FR_data[[#This Row],[Country]],
        PNS_data[National Society name], selected,
        PNS_data[Attribute], "SP5",
        PNS_data[Year], "2027"
    ),
    IF(_xlpm.sumValue = 0, "", _xlpm.sumValue)
)</f>
        <v/>
      </c>
      <c r="Q196" s="31" t="str">
        <f>_xlfn.LET(
    _xlpm.sumValue, SUMIFS(
        PNS_data[Value],
        PNS_data[Country], FR_data[[#This Row],[Country]],
        PNS_data[National Society name], selected,
        PNS_data[Attribute], "EFs",
        PNS_data[Year], "2027"
    ),
    IF(_xlpm.sumValue = 0, "", _xlpm.sumValue)
)</f>
        <v/>
      </c>
      <c r="R196" s="32" t="str">
        <f>IF(SUM(FR_data[[#This Row],[Response - Disasters and Crises ]:[Enabling Functions ]])=0,"",SUM(FR_data[[#This Row],[Response - Disasters and Crises ]:[Enabling Functions ]]))</f>
        <v/>
      </c>
      <c r="S196" s="39"/>
      <c r="T196" s="30" t="str">
        <f>_xlfn.LET(
    _xlpm.sumValue, SUMIFS(
        PNS_data[Value],
        PNS_data[Country], FR_data[[#This Row],[Country]],
        PNS_data[National Society name], selected,
        PNS_data[Attribute], "SP1",
        PNS_data[Year], "2028"
    ),
    IF(_xlpm.sumValue = 0, "", _xlpm.sumValue)
)</f>
        <v/>
      </c>
      <c r="U196" s="31" t="str">
        <f>_xlfn.LET(
    _xlpm.sumValue, SUMIFS(
        PNS_data[Value],
        PNS_data[Country], FR_data[[#This Row],[Country]],
        PNS_data[National Society name], selected,
        PNS_data[Attribute], "SP2",
        PNS_data[Year], "2028"
    ),
    IF(_xlpm.sumValue = 0, "", _xlpm.sumValue)
)</f>
        <v/>
      </c>
      <c r="V196" s="31" t="str">
        <f>_xlfn.LET(
    _xlpm.sumValue, SUMIFS(
        PNS_data[Value],
        PNS_data[Country], FR_data[[#This Row],[Country]],
        PNS_data[National Society name], selected,
        PNS_data[Attribute], "SP3",
        PNS_data[Year], "2028"
    ),
    IF(_xlpm.sumValue = 0, "", _xlpm.sumValue)
)</f>
        <v/>
      </c>
      <c r="W196" s="31" t="str">
        <f>_xlfn.LET(
    _xlpm.sumValue, SUMIFS(
        PNS_data[Value],
        PNS_data[Country], FR_data[[#This Row],[Country]],
        PNS_data[National Society name], selected,
        PNS_data[Attribute], "SP4",
        PNS_data[Year], "2028"
    ),
    IF(_xlpm.sumValue = 0, "", _xlpm.sumValue)
)</f>
        <v/>
      </c>
      <c r="X196" s="31" t="str">
        <f>_xlfn.LET(
    _xlpm.sumValue, SUMIFS(
        PNS_data[Value],
        PNS_data[Country], FR_data[[#This Row],[Country]],
        PNS_data[National Society name], selected,
        PNS_data[Attribute], "SP5",
        PNS_data[Year], "2028"
    ),
    IF(_xlpm.sumValue = 0, "", _xlpm.sumValue)
)</f>
        <v/>
      </c>
      <c r="Y196" s="31" t="str">
        <f>_xlfn.LET(
    _xlpm.sumValue, SUMIFS(
        PNS_data[Value],
        PNS_data[Country], FR_data[[#This Row],[Country]],
        PNS_data[National Society name], selected,
        PNS_data[Attribute], "EFs",
        PNS_data[Year], "2028"
    ),
    IF(_xlpm.sumValue = 0, "", _xlpm.sumValue)
)</f>
        <v/>
      </c>
      <c r="Z196" s="32" t="str">
        <f>IF(SUM(FR_data[[#This Row],[Response - Disasters and Crises  ]:[Enabling Functions  ]])=0,"",SUM(FR_data[[#This Row],[Response - Disasters and Crises  ]:[Enabling Functions  ]]))</f>
        <v/>
      </c>
      <c r="AA196" s="41"/>
    </row>
    <row r="197" spans="1:27" x14ac:dyDescent="0.3">
      <c r="A197" s="11" t="s">
        <v>326</v>
      </c>
      <c r="B197" s="11" t="s">
        <v>433</v>
      </c>
      <c r="C197" s="11" t="s">
        <v>327</v>
      </c>
      <c r="D197" s="30" t="str">
        <f>_xlfn.LET(
    _xlpm.sumValue, SUMIFS(
        PNS_data[Value],
        PNS_data[Country], FR_data[[#This Row],[Country]],
        PNS_data[National Society name], selected,
        PNS_data[Attribute], "SP1",
        PNS_data[Year], "2026"
    ),
    IF(_xlpm.sumValue = 0, "", _xlpm.sumValue)
)</f>
        <v/>
      </c>
      <c r="E197" s="31" t="str">
        <f>_xlfn.LET(
    _xlpm.sumValue, SUMIFS(
        PNS_data[Value],
        PNS_data[Country], FR_data[[#This Row],[Country]],
        PNS_data[National Society name], selected,
        PNS_data[Attribute], "SP2",
        PNS_data[Year], "2026"
    ),
    IF(_xlpm.sumValue = 0, "", _xlpm.sumValue)
)</f>
        <v/>
      </c>
      <c r="F197" s="31" t="str">
        <f>_xlfn.LET(
    _xlpm.sumValue, SUMIFS(
        PNS_data[Value],
        PNS_data[Country], FR_data[[#This Row],[Country]],
        PNS_data[National Society name], selected,
        PNS_data[Attribute], "SP3",
        PNS_data[Year], "2026"
    ),
    IF(_xlpm.sumValue = 0, "", _xlpm.sumValue)
)</f>
        <v/>
      </c>
      <c r="G197" s="31" t="str">
        <f>_xlfn.LET(
    _xlpm.sumValue, SUMIFS(
        PNS_data[Value],
        PNS_data[Country], FR_data[[#This Row],[Country]],
        PNS_data[National Society name], selected,
        PNS_data[Attribute], "SP4",
        PNS_data[Year], "2026"
    ),
    IF(_xlpm.sumValue = 0, "", _xlpm.sumValue)
)</f>
        <v/>
      </c>
      <c r="H197" s="31" t="str">
        <f>_xlfn.LET(
    _xlpm.sumValue, SUMIFS(
        PNS_data[Value],
        PNS_data[Country], FR_data[[#This Row],[Country]],
        PNS_data[National Society name], selected,
        PNS_data[Attribute], "SP5",
        PNS_data[Year], "2026"
    ),
    IF(_xlpm.sumValue = 0, "", _xlpm.sumValue)
)</f>
        <v/>
      </c>
      <c r="I197" s="31" t="str">
        <f>_xlfn.LET(
    _xlpm.sumValue, SUMIFS(
        PNS_data[Value],
        PNS_data[Country], FR_data[[#This Row],[Country]],
        PNS_data[National Society name], selected,
        PNS_data[Attribute], "EFs",
        PNS_data[Year], "2026"
    ),
    IF(_xlpm.sumValue = 0, "", _xlpm.sumValue)
)</f>
        <v/>
      </c>
      <c r="J197" s="32" t="str">
        <f>IF(SUM(FR_data[[#This Row],[Response - Disasters and Crises]:[Enabling Functions]])=0,"",SUM(FR_data[[#This Row],[Response - Disasters and Crises]:[Enabling Functions]]))</f>
        <v/>
      </c>
      <c r="K197" s="39"/>
      <c r="L197" s="30" t="str">
        <f>_xlfn.LET(
    _xlpm.sumValue, SUMIFS(
        PNS_data[Value],
        PNS_data[Country], FR_data[[#This Row],[Country]],
        PNS_data[National Society name], selected,
        PNS_data[Attribute], "SP1",
        PNS_data[Year], "2027"
    ),
    IF(_xlpm.sumValue = 0, "", _xlpm.sumValue)
)</f>
        <v/>
      </c>
      <c r="M197" s="31" t="str">
        <f>_xlfn.LET(
    _xlpm.sumValue, SUMIFS(
        PNS_data[Value],
        PNS_data[Country], FR_data[[#This Row],[Country]],
        PNS_data[National Society name], selected,
        PNS_data[Attribute], "SP2",
        PNS_data[Year], "2027"
    ),
    IF(_xlpm.sumValue = 0, "", _xlpm.sumValue)
)</f>
        <v/>
      </c>
      <c r="N197" s="31" t="str">
        <f>_xlfn.LET(
    _xlpm.sumValue, SUMIFS(
        PNS_data[Value],
        PNS_data[Country], FR_data[[#This Row],[Country]],
        PNS_data[National Society name], selected,
        PNS_data[Attribute], "SP3",
        PNS_data[Year], "2027"
    ),
    IF(_xlpm.sumValue = 0, "", _xlpm.sumValue)
)</f>
        <v/>
      </c>
      <c r="O197" s="31" t="str">
        <f>_xlfn.LET(
    _xlpm.sumValue, SUMIFS(
        PNS_data[Value],
        PNS_data[Country], FR_data[[#This Row],[Country]],
        PNS_data[National Society name], selected,
        PNS_data[Attribute], "SP4",
        PNS_data[Year], "2027"
    ),
    IF(_xlpm.sumValue = 0, "", _xlpm.sumValue)
)</f>
        <v/>
      </c>
      <c r="P197" s="31" t="str">
        <f>_xlfn.LET(
    _xlpm.sumValue, SUMIFS(
        PNS_data[Value],
        PNS_data[Country], FR_data[[#This Row],[Country]],
        PNS_data[National Society name], selected,
        PNS_data[Attribute], "SP5",
        PNS_data[Year], "2027"
    ),
    IF(_xlpm.sumValue = 0, "", _xlpm.sumValue)
)</f>
        <v/>
      </c>
      <c r="Q197" s="31" t="str">
        <f>_xlfn.LET(
    _xlpm.sumValue, SUMIFS(
        PNS_data[Value],
        PNS_data[Country], FR_data[[#This Row],[Country]],
        PNS_data[National Society name], selected,
        PNS_data[Attribute], "EFs",
        PNS_data[Year], "2027"
    ),
    IF(_xlpm.sumValue = 0, "", _xlpm.sumValue)
)</f>
        <v/>
      </c>
      <c r="R197" s="32" t="str">
        <f>IF(SUM(FR_data[[#This Row],[Response - Disasters and Crises ]:[Enabling Functions ]])=0,"",SUM(FR_data[[#This Row],[Response - Disasters and Crises ]:[Enabling Functions ]]))</f>
        <v/>
      </c>
      <c r="S197" s="39"/>
      <c r="T197" s="30" t="str">
        <f>_xlfn.LET(
    _xlpm.sumValue, SUMIFS(
        PNS_data[Value],
        PNS_data[Country], FR_data[[#This Row],[Country]],
        PNS_data[National Society name], selected,
        PNS_data[Attribute], "SP1",
        PNS_data[Year], "2028"
    ),
    IF(_xlpm.sumValue = 0, "", _xlpm.sumValue)
)</f>
        <v/>
      </c>
      <c r="U197" s="31" t="str">
        <f>_xlfn.LET(
    _xlpm.sumValue, SUMIFS(
        PNS_data[Value],
        PNS_data[Country], FR_data[[#This Row],[Country]],
        PNS_data[National Society name], selected,
        PNS_data[Attribute], "SP2",
        PNS_data[Year], "2028"
    ),
    IF(_xlpm.sumValue = 0, "", _xlpm.sumValue)
)</f>
        <v/>
      </c>
      <c r="V197" s="31" t="str">
        <f>_xlfn.LET(
    _xlpm.sumValue, SUMIFS(
        PNS_data[Value],
        PNS_data[Country], FR_data[[#This Row],[Country]],
        PNS_data[National Society name], selected,
        PNS_data[Attribute], "SP3",
        PNS_data[Year], "2028"
    ),
    IF(_xlpm.sumValue = 0, "", _xlpm.sumValue)
)</f>
        <v/>
      </c>
      <c r="W197" s="31" t="str">
        <f>_xlfn.LET(
    _xlpm.sumValue, SUMIFS(
        PNS_data[Value],
        PNS_data[Country], FR_data[[#This Row],[Country]],
        PNS_data[National Society name], selected,
        PNS_data[Attribute], "SP4",
        PNS_data[Year], "2028"
    ),
    IF(_xlpm.sumValue = 0, "", _xlpm.sumValue)
)</f>
        <v/>
      </c>
      <c r="X197" s="31" t="str">
        <f>_xlfn.LET(
    _xlpm.sumValue, SUMIFS(
        PNS_data[Value],
        PNS_data[Country], FR_data[[#This Row],[Country]],
        PNS_data[National Society name], selected,
        PNS_data[Attribute], "SP5",
        PNS_data[Year], "2028"
    ),
    IF(_xlpm.sumValue = 0, "", _xlpm.sumValue)
)</f>
        <v/>
      </c>
      <c r="Y197" s="31" t="str">
        <f>_xlfn.LET(
    _xlpm.sumValue, SUMIFS(
        PNS_data[Value],
        PNS_data[Country], FR_data[[#This Row],[Country]],
        PNS_data[National Society name], selected,
        PNS_data[Attribute], "EFs",
        PNS_data[Year], "2028"
    ),
    IF(_xlpm.sumValue = 0, "", _xlpm.sumValue)
)</f>
        <v/>
      </c>
      <c r="Z197" s="32" t="str">
        <f>IF(SUM(FR_data[[#This Row],[Response - Disasters and Crises  ]:[Enabling Functions  ]])=0,"",SUM(FR_data[[#This Row],[Response - Disasters and Crises  ]:[Enabling Functions  ]]))</f>
        <v/>
      </c>
      <c r="AA197" s="41"/>
    </row>
    <row r="198" spans="1:27" x14ac:dyDescent="0.3">
      <c r="A198" s="11" t="s">
        <v>317</v>
      </c>
      <c r="B198" s="11" t="s">
        <v>433</v>
      </c>
      <c r="C198" s="11" t="s">
        <v>318</v>
      </c>
      <c r="D198" s="30" t="str">
        <f>_xlfn.LET(
    _xlpm.sumValue, SUMIFS(
        PNS_data[Value],
        PNS_data[Country], FR_data[[#This Row],[Country]],
        PNS_data[National Society name], selected,
        PNS_data[Attribute], "SP1",
        PNS_data[Year], "2026"
    ),
    IF(_xlpm.sumValue = 0, "", _xlpm.sumValue)
)</f>
        <v/>
      </c>
      <c r="E198" s="31" t="str">
        <f>_xlfn.LET(
    _xlpm.sumValue, SUMIFS(
        PNS_data[Value],
        PNS_data[Country], FR_data[[#This Row],[Country]],
        PNS_data[National Society name], selected,
        PNS_data[Attribute], "SP2",
        PNS_data[Year], "2026"
    ),
    IF(_xlpm.sumValue = 0, "", _xlpm.sumValue)
)</f>
        <v/>
      </c>
      <c r="F198" s="31" t="str">
        <f>_xlfn.LET(
    _xlpm.sumValue, SUMIFS(
        PNS_data[Value],
        PNS_data[Country], FR_data[[#This Row],[Country]],
        PNS_data[National Society name], selected,
        PNS_data[Attribute], "SP3",
        PNS_data[Year], "2026"
    ),
    IF(_xlpm.sumValue = 0, "", _xlpm.sumValue)
)</f>
        <v/>
      </c>
      <c r="G198" s="31" t="str">
        <f>_xlfn.LET(
    _xlpm.sumValue, SUMIFS(
        PNS_data[Value],
        PNS_data[Country], FR_data[[#This Row],[Country]],
        PNS_data[National Society name], selected,
        PNS_data[Attribute], "SP4",
        PNS_data[Year], "2026"
    ),
    IF(_xlpm.sumValue = 0, "", _xlpm.sumValue)
)</f>
        <v/>
      </c>
      <c r="H198" s="31" t="str">
        <f>_xlfn.LET(
    _xlpm.sumValue, SUMIFS(
        PNS_data[Value],
        PNS_data[Country], FR_data[[#This Row],[Country]],
        PNS_data[National Society name], selected,
        PNS_data[Attribute], "SP5",
        PNS_data[Year], "2026"
    ),
    IF(_xlpm.sumValue = 0, "", _xlpm.sumValue)
)</f>
        <v/>
      </c>
      <c r="I198" s="31" t="str">
        <f>_xlfn.LET(
    _xlpm.sumValue, SUMIFS(
        PNS_data[Value],
        PNS_data[Country], FR_data[[#This Row],[Country]],
        PNS_data[National Society name], selected,
        PNS_data[Attribute], "EFs",
        PNS_data[Year], "2026"
    ),
    IF(_xlpm.sumValue = 0, "", _xlpm.sumValue)
)</f>
        <v/>
      </c>
      <c r="J198" s="32" t="str">
        <f>IF(SUM(FR_data[[#This Row],[Response - Disasters and Crises]:[Enabling Functions]])=0,"",SUM(FR_data[[#This Row],[Response - Disasters and Crises]:[Enabling Functions]]))</f>
        <v/>
      </c>
      <c r="K198" s="39"/>
      <c r="L198" s="30" t="str">
        <f>_xlfn.LET(
    _xlpm.sumValue, SUMIFS(
        PNS_data[Value],
        PNS_data[Country], FR_data[[#This Row],[Country]],
        PNS_data[National Society name], selected,
        PNS_data[Attribute], "SP1",
        PNS_data[Year], "2027"
    ),
    IF(_xlpm.sumValue = 0, "", _xlpm.sumValue)
)</f>
        <v/>
      </c>
      <c r="M198" s="31" t="str">
        <f>_xlfn.LET(
    _xlpm.sumValue, SUMIFS(
        PNS_data[Value],
        PNS_data[Country], FR_data[[#This Row],[Country]],
        PNS_data[National Society name], selected,
        PNS_data[Attribute], "SP2",
        PNS_data[Year], "2027"
    ),
    IF(_xlpm.sumValue = 0, "", _xlpm.sumValue)
)</f>
        <v/>
      </c>
      <c r="N198" s="31" t="str">
        <f>_xlfn.LET(
    _xlpm.sumValue, SUMIFS(
        PNS_data[Value],
        PNS_data[Country], FR_data[[#This Row],[Country]],
        PNS_data[National Society name], selected,
        PNS_data[Attribute], "SP3",
        PNS_data[Year], "2027"
    ),
    IF(_xlpm.sumValue = 0, "", _xlpm.sumValue)
)</f>
        <v/>
      </c>
      <c r="O198" s="31" t="str">
        <f>_xlfn.LET(
    _xlpm.sumValue, SUMIFS(
        PNS_data[Value],
        PNS_data[Country], FR_data[[#This Row],[Country]],
        PNS_data[National Society name], selected,
        PNS_data[Attribute], "SP4",
        PNS_data[Year], "2027"
    ),
    IF(_xlpm.sumValue = 0, "", _xlpm.sumValue)
)</f>
        <v/>
      </c>
      <c r="P198" s="31" t="str">
        <f>_xlfn.LET(
    _xlpm.sumValue, SUMIFS(
        PNS_data[Value],
        PNS_data[Country], FR_data[[#This Row],[Country]],
        PNS_data[National Society name], selected,
        PNS_data[Attribute], "SP5",
        PNS_data[Year], "2027"
    ),
    IF(_xlpm.sumValue = 0, "", _xlpm.sumValue)
)</f>
        <v/>
      </c>
      <c r="Q198" s="31" t="str">
        <f>_xlfn.LET(
    _xlpm.sumValue, SUMIFS(
        PNS_data[Value],
        PNS_data[Country], FR_data[[#This Row],[Country]],
        PNS_data[National Society name], selected,
        PNS_data[Attribute], "EFs",
        PNS_data[Year], "2027"
    ),
    IF(_xlpm.sumValue = 0, "", _xlpm.sumValue)
)</f>
        <v/>
      </c>
      <c r="R198" s="32" t="str">
        <f>IF(SUM(FR_data[[#This Row],[Response - Disasters and Crises ]:[Enabling Functions ]])=0,"",SUM(FR_data[[#This Row],[Response - Disasters and Crises ]:[Enabling Functions ]]))</f>
        <v/>
      </c>
      <c r="S198" s="39"/>
      <c r="T198" s="30" t="str">
        <f>_xlfn.LET(
    _xlpm.sumValue, SUMIFS(
        PNS_data[Value],
        PNS_data[Country], FR_data[[#This Row],[Country]],
        PNS_data[National Society name], selected,
        PNS_data[Attribute], "SP1",
        PNS_data[Year], "2028"
    ),
    IF(_xlpm.sumValue = 0, "", _xlpm.sumValue)
)</f>
        <v/>
      </c>
      <c r="U198" s="31" t="str">
        <f>_xlfn.LET(
    _xlpm.sumValue, SUMIFS(
        PNS_data[Value],
        PNS_data[Country], FR_data[[#This Row],[Country]],
        PNS_data[National Society name], selected,
        PNS_data[Attribute], "SP2",
        PNS_data[Year], "2028"
    ),
    IF(_xlpm.sumValue = 0, "", _xlpm.sumValue)
)</f>
        <v/>
      </c>
      <c r="V198" s="31" t="str">
        <f>_xlfn.LET(
    _xlpm.sumValue, SUMIFS(
        PNS_data[Value],
        PNS_data[Country], FR_data[[#This Row],[Country]],
        PNS_data[National Society name], selected,
        PNS_data[Attribute], "SP3",
        PNS_data[Year], "2028"
    ),
    IF(_xlpm.sumValue = 0, "", _xlpm.sumValue)
)</f>
        <v/>
      </c>
      <c r="W198" s="31" t="str">
        <f>_xlfn.LET(
    _xlpm.sumValue, SUMIFS(
        PNS_data[Value],
        PNS_data[Country], FR_data[[#This Row],[Country]],
        PNS_data[National Society name], selected,
        PNS_data[Attribute], "SP4",
        PNS_data[Year], "2028"
    ),
    IF(_xlpm.sumValue = 0, "", _xlpm.sumValue)
)</f>
        <v/>
      </c>
      <c r="X198" s="31" t="str">
        <f>_xlfn.LET(
    _xlpm.sumValue, SUMIFS(
        PNS_data[Value],
        PNS_data[Country], FR_data[[#This Row],[Country]],
        PNS_data[National Society name], selected,
        PNS_data[Attribute], "SP5",
        PNS_data[Year], "2028"
    ),
    IF(_xlpm.sumValue = 0, "", _xlpm.sumValue)
)</f>
        <v/>
      </c>
      <c r="Y198" s="31" t="str">
        <f>_xlfn.LET(
    _xlpm.sumValue, SUMIFS(
        PNS_data[Value],
        PNS_data[Country], FR_data[[#This Row],[Country]],
        PNS_data[National Society name], selected,
        PNS_data[Attribute], "EFs",
        PNS_data[Year], "2028"
    ),
    IF(_xlpm.sumValue = 0, "", _xlpm.sumValue)
)</f>
        <v/>
      </c>
      <c r="Z198" s="32" t="str">
        <f>IF(SUM(FR_data[[#This Row],[Response - Disasters and Crises  ]:[Enabling Functions  ]])=0,"",SUM(FR_data[[#This Row],[Response - Disasters and Crises  ]:[Enabling Functions  ]]))</f>
        <v/>
      </c>
      <c r="AA198" s="41"/>
    </row>
    <row r="199" spans="1:27" x14ac:dyDescent="0.3">
      <c r="A199" s="11" t="s">
        <v>334</v>
      </c>
      <c r="B199" s="11" t="s">
        <v>433</v>
      </c>
      <c r="C199" s="11" t="s">
        <v>335</v>
      </c>
      <c r="D199" s="30" t="str">
        <f>_xlfn.LET(
    _xlpm.sumValue, SUMIFS(
        PNS_data[Value],
        PNS_data[Country], FR_data[[#This Row],[Country]],
        PNS_data[National Society name], selected,
        PNS_data[Attribute], "SP1",
        PNS_data[Year], "2026"
    ),
    IF(_xlpm.sumValue = 0, "", _xlpm.sumValue)
)</f>
        <v/>
      </c>
      <c r="E199" s="31" t="str">
        <f>_xlfn.LET(
    _xlpm.sumValue, SUMIFS(
        PNS_data[Value],
        PNS_data[Country], FR_data[[#This Row],[Country]],
        PNS_data[National Society name], selected,
        PNS_data[Attribute], "SP2",
        PNS_data[Year], "2026"
    ),
    IF(_xlpm.sumValue = 0, "", _xlpm.sumValue)
)</f>
        <v/>
      </c>
      <c r="F199" s="31" t="str">
        <f>_xlfn.LET(
    _xlpm.sumValue, SUMIFS(
        PNS_data[Value],
        PNS_data[Country], FR_data[[#This Row],[Country]],
        PNS_data[National Society name], selected,
        PNS_data[Attribute], "SP3",
        PNS_data[Year], "2026"
    ),
    IF(_xlpm.sumValue = 0, "", _xlpm.sumValue)
)</f>
        <v/>
      </c>
      <c r="G199" s="31" t="str">
        <f>_xlfn.LET(
    _xlpm.sumValue, SUMIFS(
        PNS_data[Value],
        PNS_data[Country], FR_data[[#This Row],[Country]],
        PNS_data[National Society name], selected,
        PNS_data[Attribute], "SP4",
        PNS_data[Year], "2026"
    ),
    IF(_xlpm.sumValue = 0, "", _xlpm.sumValue)
)</f>
        <v/>
      </c>
      <c r="H199" s="31" t="str">
        <f>_xlfn.LET(
    _xlpm.sumValue, SUMIFS(
        PNS_data[Value],
        PNS_data[Country], FR_data[[#This Row],[Country]],
        PNS_data[National Society name], selected,
        PNS_data[Attribute], "SP5",
        PNS_data[Year], "2026"
    ),
    IF(_xlpm.sumValue = 0, "", _xlpm.sumValue)
)</f>
        <v/>
      </c>
      <c r="I199" s="31" t="str">
        <f>_xlfn.LET(
    _xlpm.sumValue, SUMIFS(
        PNS_data[Value],
        PNS_data[Country], FR_data[[#This Row],[Country]],
        PNS_data[National Society name], selected,
        PNS_data[Attribute], "EFs",
        PNS_data[Year], "2026"
    ),
    IF(_xlpm.sumValue = 0, "", _xlpm.sumValue)
)</f>
        <v/>
      </c>
      <c r="J199" s="32" t="str">
        <f>IF(SUM(FR_data[[#This Row],[Response - Disasters and Crises]:[Enabling Functions]])=0,"",SUM(FR_data[[#This Row],[Response - Disasters and Crises]:[Enabling Functions]]))</f>
        <v/>
      </c>
      <c r="K199" s="39"/>
      <c r="L199" s="30" t="str">
        <f>_xlfn.LET(
    _xlpm.sumValue, SUMIFS(
        PNS_data[Value],
        PNS_data[Country], FR_data[[#This Row],[Country]],
        PNS_data[National Society name], selected,
        PNS_data[Attribute], "SP1",
        PNS_data[Year], "2027"
    ),
    IF(_xlpm.sumValue = 0, "", _xlpm.sumValue)
)</f>
        <v/>
      </c>
      <c r="M199" s="31" t="str">
        <f>_xlfn.LET(
    _xlpm.sumValue, SUMIFS(
        PNS_data[Value],
        PNS_data[Country], FR_data[[#This Row],[Country]],
        PNS_data[National Society name], selected,
        PNS_data[Attribute], "SP2",
        PNS_data[Year], "2027"
    ),
    IF(_xlpm.sumValue = 0, "", _xlpm.sumValue)
)</f>
        <v/>
      </c>
      <c r="N199" s="31" t="str">
        <f>_xlfn.LET(
    _xlpm.sumValue, SUMIFS(
        PNS_data[Value],
        PNS_data[Country], FR_data[[#This Row],[Country]],
        PNS_data[National Society name], selected,
        PNS_data[Attribute], "SP3",
        PNS_data[Year], "2027"
    ),
    IF(_xlpm.sumValue = 0, "", _xlpm.sumValue)
)</f>
        <v/>
      </c>
      <c r="O199" s="31" t="str">
        <f>_xlfn.LET(
    _xlpm.sumValue, SUMIFS(
        PNS_data[Value],
        PNS_data[Country], FR_data[[#This Row],[Country]],
        PNS_data[National Society name], selected,
        PNS_data[Attribute], "SP4",
        PNS_data[Year], "2027"
    ),
    IF(_xlpm.sumValue = 0, "", _xlpm.sumValue)
)</f>
        <v/>
      </c>
      <c r="P199" s="31" t="str">
        <f>_xlfn.LET(
    _xlpm.sumValue, SUMIFS(
        PNS_data[Value],
        PNS_data[Country], FR_data[[#This Row],[Country]],
        PNS_data[National Society name], selected,
        PNS_data[Attribute], "SP5",
        PNS_data[Year], "2027"
    ),
    IF(_xlpm.sumValue = 0, "", _xlpm.sumValue)
)</f>
        <v/>
      </c>
      <c r="Q199" s="31" t="str">
        <f>_xlfn.LET(
    _xlpm.sumValue, SUMIFS(
        PNS_data[Value],
        PNS_data[Country], FR_data[[#This Row],[Country]],
        PNS_data[National Society name], selected,
        PNS_data[Attribute], "EFs",
        PNS_data[Year], "2027"
    ),
    IF(_xlpm.sumValue = 0, "", _xlpm.sumValue)
)</f>
        <v/>
      </c>
      <c r="R199" s="32" t="str">
        <f>IF(SUM(FR_data[[#This Row],[Response - Disasters and Crises ]:[Enabling Functions ]])=0,"",SUM(FR_data[[#This Row],[Response - Disasters and Crises ]:[Enabling Functions ]]))</f>
        <v/>
      </c>
      <c r="S199" s="39"/>
      <c r="T199" s="30" t="str">
        <f>_xlfn.LET(
    _xlpm.sumValue, SUMIFS(
        PNS_data[Value],
        PNS_data[Country], FR_data[[#This Row],[Country]],
        PNS_data[National Society name], selected,
        PNS_data[Attribute], "SP1",
        PNS_data[Year], "2028"
    ),
    IF(_xlpm.sumValue = 0, "", _xlpm.sumValue)
)</f>
        <v/>
      </c>
      <c r="U199" s="31" t="str">
        <f>_xlfn.LET(
    _xlpm.sumValue, SUMIFS(
        PNS_data[Value],
        PNS_data[Country], FR_data[[#This Row],[Country]],
        PNS_data[National Society name], selected,
        PNS_data[Attribute], "SP2",
        PNS_data[Year], "2028"
    ),
    IF(_xlpm.sumValue = 0, "", _xlpm.sumValue)
)</f>
        <v/>
      </c>
      <c r="V199" s="31" t="str">
        <f>_xlfn.LET(
    _xlpm.sumValue, SUMIFS(
        PNS_data[Value],
        PNS_data[Country], FR_data[[#This Row],[Country]],
        PNS_data[National Society name], selected,
        PNS_data[Attribute], "SP3",
        PNS_data[Year], "2028"
    ),
    IF(_xlpm.sumValue = 0, "", _xlpm.sumValue)
)</f>
        <v/>
      </c>
      <c r="W199" s="31" t="str">
        <f>_xlfn.LET(
    _xlpm.sumValue, SUMIFS(
        PNS_data[Value],
        PNS_data[Country], FR_data[[#This Row],[Country]],
        PNS_data[National Society name], selected,
        PNS_data[Attribute], "SP4",
        PNS_data[Year], "2028"
    ),
    IF(_xlpm.sumValue = 0, "", _xlpm.sumValue)
)</f>
        <v/>
      </c>
      <c r="X199" s="31" t="str">
        <f>_xlfn.LET(
    _xlpm.sumValue, SUMIFS(
        PNS_data[Value],
        PNS_data[Country], FR_data[[#This Row],[Country]],
        PNS_data[National Society name], selected,
        PNS_data[Attribute], "SP5",
        PNS_data[Year], "2028"
    ),
    IF(_xlpm.sumValue = 0, "", _xlpm.sumValue)
)</f>
        <v/>
      </c>
      <c r="Y199" s="31" t="str">
        <f>_xlfn.LET(
    _xlpm.sumValue, SUMIFS(
        PNS_data[Value],
        PNS_data[Country], FR_data[[#This Row],[Country]],
        PNS_data[National Society name], selected,
        PNS_data[Attribute], "EFs",
        PNS_data[Year], "2028"
    ),
    IF(_xlpm.sumValue = 0, "", _xlpm.sumValue)
)</f>
        <v/>
      </c>
      <c r="Z199" s="32" t="str">
        <f>IF(SUM(FR_data[[#This Row],[Response - Disasters and Crises  ]:[Enabling Functions  ]])=0,"",SUM(FR_data[[#This Row],[Response - Disasters and Crises  ]:[Enabling Functions  ]]))</f>
        <v/>
      </c>
      <c r="AA199" s="41"/>
    </row>
    <row r="200" spans="1:27" x14ac:dyDescent="0.3">
      <c r="A200" s="11" t="s">
        <v>363</v>
      </c>
      <c r="B200" s="11" t="s">
        <v>433</v>
      </c>
      <c r="C200" s="11" t="s">
        <v>54</v>
      </c>
      <c r="D200" s="30">
        <f>_xlfn.LET(
    _xlpm.sumValue, SUMIFS(
        PNS_data[Value],
        PNS_data[Country], FR_data[[#This Row],[Country]],
        PNS_data[National Society name], selected,
        PNS_data[Attribute], "SP1",
        PNS_data[Year], "2026"
    ),
    IF(_xlpm.sumValue = 0, "", _xlpm.sumValue)
)</f>
        <v>150000</v>
      </c>
      <c r="E200" s="31">
        <f>_xlfn.LET(
    _xlpm.sumValue, SUMIFS(
        PNS_data[Value],
        PNS_data[Country], FR_data[[#This Row],[Country]],
        PNS_data[National Society name], selected,
        PNS_data[Attribute], "SP2",
        PNS_data[Year], "2026"
    ),
    IF(_xlpm.sumValue = 0, "", _xlpm.sumValue)
)</f>
        <v>1000000</v>
      </c>
      <c r="F200" s="31">
        <f>_xlfn.LET(
    _xlpm.sumValue, SUMIFS(
        PNS_data[Value],
        PNS_data[Country], FR_data[[#This Row],[Country]],
        PNS_data[National Society name], selected,
        PNS_data[Attribute], "SP3",
        PNS_data[Year], "2026"
    ),
    IF(_xlpm.sumValue = 0, "", _xlpm.sumValue)
)</f>
        <v>100000</v>
      </c>
      <c r="G200" s="31">
        <f>_xlfn.LET(
    _xlpm.sumValue, SUMIFS(
        PNS_data[Value],
        PNS_data[Country], FR_data[[#This Row],[Country]],
        PNS_data[National Society name], selected,
        PNS_data[Attribute], "SP4",
        PNS_data[Year], "2026"
    ),
    IF(_xlpm.sumValue = 0, "", _xlpm.sumValue)
)</f>
        <v>50000</v>
      </c>
      <c r="H200" s="31">
        <f>_xlfn.LET(
    _xlpm.sumValue, SUMIFS(
        PNS_data[Value],
        PNS_data[Country], FR_data[[#This Row],[Country]],
        PNS_data[National Society name], selected,
        PNS_data[Attribute], "SP5",
        PNS_data[Year], "2026"
    ),
    IF(_xlpm.sumValue = 0, "", _xlpm.sumValue)
)</f>
        <v>150000</v>
      </c>
      <c r="I200" s="31">
        <f>_xlfn.LET(
    _xlpm.sumValue, SUMIFS(
        PNS_data[Value],
        PNS_data[Country], FR_data[[#This Row],[Country]],
        PNS_data[National Society name], selected,
        PNS_data[Attribute], "EFs",
        PNS_data[Year], "2026"
    ),
    IF(_xlpm.sumValue = 0, "", _xlpm.sumValue)
)</f>
        <v>300000</v>
      </c>
      <c r="J200" s="32">
        <f>IF(SUM(FR_data[[#This Row],[Response - Disasters and Crises]:[Enabling Functions]])=0,"",SUM(FR_data[[#This Row],[Response - Disasters and Crises]:[Enabling Functions]]))</f>
        <v>1750000</v>
      </c>
      <c r="K200" s="39"/>
      <c r="L200" s="30">
        <f>_xlfn.LET(
    _xlpm.sumValue, SUMIFS(
        PNS_data[Value],
        PNS_data[Country], FR_data[[#This Row],[Country]],
        PNS_data[National Society name], selected,
        PNS_data[Attribute], "SP1",
        PNS_data[Year], "2027"
    ),
    IF(_xlpm.sumValue = 0, "", _xlpm.sumValue)
)</f>
        <v>150000</v>
      </c>
      <c r="M200" s="31">
        <f>_xlfn.LET(
    _xlpm.sumValue, SUMIFS(
        PNS_data[Value],
        PNS_data[Country], FR_data[[#This Row],[Country]],
        PNS_data[National Society name], selected,
        PNS_data[Attribute], "SP2",
        PNS_data[Year], "2027"
    ),
    IF(_xlpm.sumValue = 0, "", _xlpm.sumValue)
)</f>
        <v>700000</v>
      </c>
      <c r="N200" s="31">
        <f>_xlfn.LET(
    _xlpm.sumValue, SUMIFS(
        PNS_data[Value],
        PNS_data[Country], FR_data[[#This Row],[Country]],
        PNS_data[National Society name], selected,
        PNS_data[Attribute], "SP3",
        PNS_data[Year], "2027"
    ),
    IF(_xlpm.sumValue = 0, "", _xlpm.sumValue)
)</f>
        <v>100000</v>
      </c>
      <c r="O200" s="31">
        <f>_xlfn.LET(
    _xlpm.sumValue, SUMIFS(
        PNS_data[Value],
        PNS_data[Country], FR_data[[#This Row],[Country]],
        PNS_data[National Society name], selected,
        PNS_data[Attribute], "SP4",
        PNS_data[Year], "2027"
    ),
    IF(_xlpm.sumValue = 0, "", _xlpm.sumValue)
)</f>
        <v>50000</v>
      </c>
      <c r="P200" s="31">
        <f>_xlfn.LET(
    _xlpm.sumValue, SUMIFS(
        PNS_data[Value],
        PNS_data[Country], FR_data[[#This Row],[Country]],
        PNS_data[National Society name], selected,
        PNS_data[Attribute], "SP5",
        PNS_data[Year], "2027"
    ),
    IF(_xlpm.sumValue = 0, "", _xlpm.sumValue)
)</f>
        <v>100000</v>
      </c>
      <c r="Q200" s="31">
        <f>_xlfn.LET(
    _xlpm.sumValue, SUMIFS(
        PNS_data[Value],
        PNS_data[Country], FR_data[[#This Row],[Country]],
        PNS_data[National Society name], selected,
        PNS_data[Attribute], "EFs",
        PNS_data[Year], "2027"
    ),
    IF(_xlpm.sumValue = 0, "", _xlpm.sumValue)
)</f>
        <v>300000</v>
      </c>
      <c r="R200" s="32">
        <f>IF(SUM(FR_data[[#This Row],[Response - Disasters and Crises ]:[Enabling Functions ]])=0,"",SUM(FR_data[[#This Row],[Response - Disasters and Crises ]:[Enabling Functions ]]))</f>
        <v>1400000</v>
      </c>
      <c r="S200" s="39"/>
      <c r="T200" s="30">
        <f>_xlfn.LET(
    _xlpm.sumValue, SUMIFS(
        PNS_data[Value],
        PNS_data[Country], FR_data[[#This Row],[Country]],
        PNS_data[National Society name], selected,
        PNS_data[Attribute], "SP1",
        PNS_data[Year], "2028"
    ),
    IF(_xlpm.sumValue = 0, "", _xlpm.sumValue)
)</f>
        <v>100000</v>
      </c>
      <c r="U200" s="31">
        <f>_xlfn.LET(
    _xlpm.sumValue, SUMIFS(
        PNS_data[Value],
        PNS_data[Country], FR_data[[#This Row],[Country]],
        PNS_data[National Society name], selected,
        PNS_data[Attribute], "SP2",
        PNS_data[Year], "2028"
    ),
    IF(_xlpm.sumValue = 0, "", _xlpm.sumValue)
)</f>
        <v>600000</v>
      </c>
      <c r="V200" s="31">
        <f>_xlfn.LET(
    _xlpm.sumValue, SUMIFS(
        PNS_data[Value],
        PNS_data[Country], FR_data[[#This Row],[Country]],
        PNS_data[National Society name], selected,
        PNS_data[Attribute], "SP3",
        PNS_data[Year], "2028"
    ),
    IF(_xlpm.sumValue = 0, "", _xlpm.sumValue)
)</f>
        <v>100000</v>
      </c>
      <c r="W200" s="31">
        <f>_xlfn.LET(
    _xlpm.sumValue, SUMIFS(
        PNS_data[Value],
        PNS_data[Country], FR_data[[#This Row],[Country]],
        PNS_data[National Society name], selected,
        PNS_data[Attribute], "SP4",
        PNS_data[Year], "2028"
    ),
    IF(_xlpm.sumValue = 0, "", _xlpm.sumValue)
)</f>
        <v>50000</v>
      </c>
      <c r="X200" s="31">
        <f>_xlfn.LET(
    _xlpm.sumValue, SUMIFS(
        PNS_data[Value],
        PNS_data[Country], FR_data[[#This Row],[Country]],
        PNS_data[National Society name], selected,
        PNS_data[Attribute], "SP5",
        PNS_data[Year], "2028"
    ),
    IF(_xlpm.sumValue = 0, "", _xlpm.sumValue)
)</f>
        <v>100000</v>
      </c>
      <c r="Y200" s="31">
        <f>_xlfn.LET(
    _xlpm.sumValue, SUMIFS(
        PNS_data[Value],
        PNS_data[Country], FR_data[[#This Row],[Country]],
        PNS_data[National Society name], selected,
        PNS_data[Attribute], "EFs",
        PNS_data[Year], "2028"
    ),
    IF(_xlpm.sumValue = 0, "", _xlpm.sumValue)
)</f>
        <v>300000</v>
      </c>
      <c r="Z200" s="32">
        <f>IF(SUM(FR_data[[#This Row],[Response - Disasters and Crises  ]:[Enabling Functions  ]])=0,"",SUM(FR_data[[#This Row],[Response - Disasters and Crises  ]:[Enabling Functions  ]]))</f>
        <v>1250000</v>
      </c>
      <c r="AA200" s="41"/>
    </row>
    <row r="201" spans="1:27" x14ac:dyDescent="0.3">
      <c r="A201" s="11" t="s">
        <v>375</v>
      </c>
      <c r="B201" s="11" t="s">
        <v>433</v>
      </c>
      <c r="C201" s="11" t="s">
        <v>376</v>
      </c>
      <c r="D201" s="30" t="str">
        <f>_xlfn.LET(
    _xlpm.sumValue, SUMIFS(
        PNS_data[Value],
        PNS_data[Country], FR_data[[#This Row],[Country]],
        PNS_data[National Society name], selected,
        PNS_data[Attribute], "SP1",
        PNS_data[Year], "2026"
    ),
    IF(_xlpm.sumValue = 0, "", _xlpm.sumValue)
)</f>
        <v/>
      </c>
      <c r="E201" s="31" t="str">
        <f>_xlfn.LET(
    _xlpm.sumValue, SUMIFS(
        PNS_data[Value],
        PNS_data[Country], FR_data[[#This Row],[Country]],
        PNS_data[National Society name], selected,
        PNS_data[Attribute], "SP2",
        PNS_data[Year], "2026"
    ),
    IF(_xlpm.sumValue = 0, "", _xlpm.sumValue)
)</f>
        <v/>
      </c>
      <c r="F201" s="31" t="str">
        <f>_xlfn.LET(
    _xlpm.sumValue, SUMIFS(
        PNS_data[Value],
        PNS_data[Country], FR_data[[#This Row],[Country]],
        PNS_data[National Society name], selected,
        PNS_data[Attribute], "SP3",
        PNS_data[Year], "2026"
    ),
    IF(_xlpm.sumValue = 0, "", _xlpm.sumValue)
)</f>
        <v/>
      </c>
      <c r="G201" s="31" t="str">
        <f>_xlfn.LET(
    _xlpm.sumValue, SUMIFS(
        PNS_data[Value],
        PNS_data[Country], FR_data[[#This Row],[Country]],
        PNS_data[National Society name], selected,
        PNS_data[Attribute], "SP4",
        PNS_data[Year], "2026"
    ),
    IF(_xlpm.sumValue = 0, "", _xlpm.sumValue)
)</f>
        <v/>
      </c>
      <c r="H201" s="31" t="str">
        <f>_xlfn.LET(
    _xlpm.sumValue, SUMIFS(
        PNS_data[Value],
        PNS_data[Country], FR_data[[#This Row],[Country]],
        PNS_data[National Society name], selected,
        PNS_data[Attribute], "SP5",
        PNS_data[Year], "2026"
    ),
    IF(_xlpm.sumValue = 0, "", _xlpm.sumValue)
)</f>
        <v/>
      </c>
      <c r="I201" s="31" t="str">
        <f>_xlfn.LET(
    _xlpm.sumValue, SUMIFS(
        PNS_data[Value],
        PNS_data[Country], FR_data[[#This Row],[Country]],
        PNS_data[National Society name], selected,
        PNS_data[Attribute], "EFs",
        PNS_data[Year], "2026"
    ),
    IF(_xlpm.sumValue = 0, "", _xlpm.sumValue)
)</f>
        <v/>
      </c>
      <c r="J201" s="32" t="str">
        <f>IF(SUM(FR_data[[#This Row],[Response - Disasters and Crises]:[Enabling Functions]])=0,"",SUM(FR_data[[#This Row],[Response - Disasters and Crises]:[Enabling Functions]]))</f>
        <v/>
      </c>
      <c r="K201" s="39"/>
      <c r="L201" s="30" t="str">
        <f>_xlfn.LET(
    _xlpm.sumValue, SUMIFS(
        PNS_data[Value],
        PNS_data[Country], FR_data[[#This Row],[Country]],
        PNS_data[National Society name], selected,
        PNS_data[Attribute], "SP1",
        PNS_data[Year], "2027"
    ),
    IF(_xlpm.sumValue = 0, "", _xlpm.sumValue)
)</f>
        <v/>
      </c>
      <c r="M201" s="31" t="str">
        <f>_xlfn.LET(
    _xlpm.sumValue, SUMIFS(
        PNS_data[Value],
        PNS_data[Country], FR_data[[#This Row],[Country]],
        PNS_data[National Society name], selected,
        PNS_data[Attribute], "SP2",
        PNS_data[Year], "2027"
    ),
    IF(_xlpm.sumValue = 0, "", _xlpm.sumValue)
)</f>
        <v/>
      </c>
      <c r="N201" s="31" t="str">
        <f>_xlfn.LET(
    _xlpm.sumValue, SUMIFS(
        PNS_data[Value],
        PNS_data[Country], FR_data[[#This Row],[Country]],
        PNS_data[National Society name], selected,
        PNS_data[Attribute], "SP3",
        PNS_data[Year], "2027"
    ),
    IF(_xlpm.sumValue = 0, "", _xlpm.sumValue)
)</f>
        <v/>
      </c>
      <c r="O201" s="31" t="str">
        <f>_xlfn.LET(
    _xlpm.sumValue, SUMIFS(
        PNS_data[Value],
        PNS_data[Country], FR_data[[#This Row],[Country]],
        PNS_data[National Society name], selected,
        PNS_data[Attribute], "SP4",
        PNS_data[Year], "2027"
    ),
    IF(_xlpm.sumValue = 0, "", _xlpm.sumValue)
)</f>
        <v/>
      </c>
      <c r="P201" s="31" t="str">
        <f>_xlfn.LET(
    _xlpm.sumValue, SUMIFS(
        PNS_data[Value],
        PNS_data[Country], FR_data[[#This Row],[Country]],
        PNS_data[National Society name], selected,
        PNS_data[Attribute], "SP5",
        PNS_data[Year], "2027"
    ),
    IF(_xlpm.sumValue = 0, "", _xlpm.sumValue)
)</f>
        <v/>
      </c>
      <c r="Q201" s="31" t="str">
        <f>_xlfn.LET(
    _xlpm.sumValue, SUMIFS(
        PNS_data[Value],
        PNS_data[Country], FR_data[[#This Row],[Country]],
        PNS_data[National Society name], selected,
        PNS_data[Attribute], "EFs",
        PNS_data[Year], "2027"
    ),
    IF(_xlpm.sumValue = 0, "", _xlpm.sumValue)
)</f>
        <v/>
      </c>
      <c r="R201" s="32" t="str">
        <f>IF(SUM(FR_data[[#This Row],[Response - Disasters and Crises ]:[Enabling Functions ]])=0,"",SUM(FR_data[[#This Row],[Response - Disasters and Crises ]:[Enabling Functions ]]))</f>
        <v/>
      </c>
      <c r="S201" s="39"/>
      <c r="T201" s="30" t="str">
        <f>_xlfn.LET(
    _xlpm.sumValue, SUMIFS(
        PNS_data[Value],
        PNS_data[Country], FR_data[[#This Row],[Country]],
        PNS_data[National Society name], selected,
        PNS_data[Attribute], "SP1",
        PNS_data[Year], "2028"
    ),
    IF(_xlpm.sumValue = 0, "", _xlpm.sumValue)
)</f>
        <v/>
      </c>
      <c r="U201" s="31" t="str">
        <f>_xlfn.LET(
    _xlpm.sumValue, SUMIFS(
        PNS_data[Value],
        PNS_data[Country], FR_data[[#This Row],[Country]],
        PNS_data[National Society name], selected,
        PNS_data[Attribute], "SP2",
        PNS_data[Year], "2028"
    ),
    IF(_xlpm.sumValue = 0, "", _xlpm.sumValue)
)</f>
        <v/>
      </c>
      <c r="V201" s="31" t="str">
        <f>_xlfn.LET(
    _xlpm.sumValue, SUMIFS(
        PNS_data[Value],
        PNS_data[Country], FR_data[[#This Row],[Country]],
        PNS_data[National Society name], selected,
        PNS_data[Attribute], "SP3",
        PNS_data[Year], "2028"
    ),
    IF(_xlpm.sumValue = 0, "", _xlpm.sumValue)
)</f>
        <v/>
      </c>
      <c r="W201" s="31" t="str">
        <f>_xlfn.LET(
    _xlpm.sumValue, SUMIFS(
        PNS_data[Value],
        PNS_data[Country], FR_data[[#This Row],[Country]],
        PNS_data[National Society name], selected,
        PNS_data[Attribute], "SP4",
        PNS_data[Year], "2028"
    ),
    IF(_xlpm.sumValue = 0, "", _xlpm.sumValue)
)</f>
        <v/>
      </c>
      <c r="X201" s="31" t="str">
        <f>_xlfn.LET(
    _xlpm.sumValue, SUMIFS(
        PNS_data[Value],
        PNS_data[Country], FR_data[[#This Row],[Country]],
        PNS_data[National Society name], selected,
        PNS_data[Attribute], "SP5",
        PNS_data[Year], "2028"
    ),
    IF(_xlpm.sumValue = 0, "", _xlpm.sumValue)
)</f>
        <v/>
      </c>
      <c r="Y201" s="31" t="str">
        <f>_xlfn.LET(
    _xlpm.sumValue, SUMIFS(
        PNS_data[Value],
        PNS_data[Country], FR_data[[#This Row],[Country]],
        PNS_data[National Society name], selected,
        PNS_data[Attribute], "EFs",
        PNS_data[Year], "2028"
    ),
    IF(_xlpm.sumValue = 0, "", _xlpm.sumValue)
)</f>
        <v/>
      </c>
      <c r="Z201" s="32" t="str">
        <f>IF(SUM(FR_data[[#This Row],[Response - Disasters and Crises  ]:[Enabling Functions  ]])=0,"",SUM(FR_data[[#This Row],[Response - Disasters and Crises  ]:[Enabling Functions  ]]))</f>
        <v/>
      </c>
      <c r="AA201" s="41"/>
    </row>
    <row r="202" spans="1:27" x14ac:dyDescent="0.3">
      <c r="A202" s="11" t="s">
        <v>104</v>
      </c>
      <c r="B202" s="11" t="s">
        <v>433</v>
      </c>
      <c r="C202" s="11" t="s">
        <v>105</v>
      </c>
      <c r="D202" s="30" t="str">
        <f>_xlfn.LET(
    _xlpm.sumValue, SUMIFS(
        PNS_data[Value],
        PNS_data[Country], FR_data[[#This Row],[Country]],
        PNS_data[National Society name], selected,
        PNS_data[Attribute], "SP1",
        PNS_data[Year], "2026"
    ),
    IF(_xlpm.sumValue = 0, "", _xlpm.sumValue)
)</f>
        <v/>
      </c>
      <c r="E202" s="31" t="str">
        <f>_xlfn.LET(
    _xlpm.sumValue, SUMIFS(
        PNS_data[Value],
        PNS_data[Country], FR_data[[#This Row],[Country]],
        PNS_data[National Society name], selected,
        PNS_data[Attribute], "SP2",
        PNS_data[Year], "2026"
    ),
    IF(_xlpm.sumValue = 0, "", _xlpm.sumValue)
)</f>
        <v/>
      </c>
      <c r="F202" s="31" t="str">
        <f>_xlfn.LET(
    _xlpm.sumValue, SUMIFS(
        PNS_data[Value],
        PNS_data[Country], FR_data[[#This Row],[Country]],
        PNS_data[National Society name], selected,
        PNS_data[Attribute], "SP3",
        PNS_data[Year], "2026"
    ),
    IF(_xlpm.sumValue = 0, "", _xlpm.sumValue)
)</f>
        <v/>
      </c>
      <c r="G202" s="31" t="str">
        <f>_xlfn.LET(
    _xlpm.sumValue, SUMIFS(
        PNS_data[Value],
        PNS_data[Country], FR_data[[#This Row],[Country]],
        PNS_data[National Society name], selected,
        PNS_data[Attribute], "SP4",
        PNS_data[Year], "2026"
    ),
    IF(_xlpm.sumValue = 0, "", _xlpm.sumValue)
)</f>
        <v/>
      </c>
      <c r="H202" s="31" t="str">
        <f>_xlfn.LET(
    _xlpm.sumValue, SUMIFS(
        PNS_data[Value],
        PNS_data[Country], FR_data[[#This Row],[Country]],
        PNS_data[National Society name], selected,
        PNS_data[Attribute], "SP5",
        PNS_data[Year], "2026"
    ),
    IF(_xlpm.sumValue = 0, "", _xlpm.sumValue)
)</f>
        <v/>
      </c>
      <c r="I202" s="31" t="str">
        <f>_xlfn.LET(
    _xlpm.sumValue, SUMIFS(
        PNS_data[Value],
        PNS_data[Country], FR_data[[#This Row],[Country]],
        PNS_data[National Society name], selected,
        PNS_data[Attribute], "EFs",
        PNS_data[Year], "2026"
    ),
    IF(_xlpm.sumValue = 0, "", _xlpm.sumValue)
)</f>
        <v/>
      </c>
      <c r="J202" s="32" t="str">
        <f>IF(SUM(FR_data[[#This Row],[Response - Disasters and Crises]:[Enabling Functions]])=0,"",SUM(FR_data[[#This Row],[Response - Disasters and Crises]:[Enabling Functions]]))</f>
        <v/>
      </c>
      <c r="K202" s="39"/>
      <c r="L202" s="30" t="str">
        <f>_xlfn.LET(
    _xlpm.sumValue, SUMIFS(
        PNS_data[Value],
        PNS_data[Country], FR_data[[#This Row],[Country]],
        PNS_data[National Society name], selected,
        PNS_data[Attribute], "SP1",
        PNS_data[Year], "2027"
    ),
    IF(_xlpm.sumValue = 0, "", _xlpm.sumValue)
)</f>
        <v/>
      </c>
      <c r="M202" s="31" t="str">
        <f>_xlfn.LET(
    _xlpm.sumValue, SUMIFS(
        PNS_data[Value],
        PNS_data[Country], FR_data[[#This Row],[Country]],
        PNS_data[National Society name], selected,
        PNS_data[Attribute], "SP2",
        PNS_data[Year], "2027"
    ),
    IF(_xlpm.sumValue = 0, "", _xlpm.sumValue)
)</f>
        <v/>
      </c>
      <c r="N202" s="31" t="str">
        <f>_xlfn.LET(
    _xlpm.sumValue, SUMIFS(
        PNS_data[Value],
        PNS_data[Country], FR_data[[#This Row],[Country]],
        PNS_data[National Society name], selected,
        PNS_data[Attribute], "SP3",
        PNS_data[Year], "2027"
    ),
    IF(_xlpm.sumValue = 0, "", _xlpm.sumValue)
)</f>
        <v/>
      </c>
      <c r="O202" s="31" t="str">
        <f>_xlfn.LET(
    _xlpm.sumValue, SUMIFS(
        PNS_data[Value],
        PNS_data[Country], FR_data[[#This Row],[Country]],
        PNS_data[National Society name], selected,
        PNS_data[Attribute], "SP4",
        PNS_data[Year], "2027"
    ),
    IF(_xlpm.sumValue = 0, "", _xlpm.sumValue)
)</f>
        <v/>
      </c>
      <c r="P202" s="31" t="str">
        <f>_xlfn.LET(
    _xlpm.sumValue, SUMIFS(
        PNS_data[Value],
        PNS_data[Country], FR_data[[#This Row],[Country]],
        PNS_data[National Society name], selected,
        PNS_data[Attribute], "SP5",
        PNS_data[Year], "2027"
    ),
    IF(_xlpm.sumValue = 0, "", _xlpm.sumValue)
)</f>
        <v/>
      </c>
      <c r="Q202" s="31" t="str">
        <f>_xlfn.LET(
    _xlpm.sumValue, SUMIFS(
        PNS_data[Value],
        PNS_data[Country], FR_data[[#This Row],[Country]],
        PNS_data[National Society name], selected,
        PNS_data[Attribute], "EFs",
        PNS_data[Year], "2027"
    ),
    IF(_xlpm.sumValue = 0, "", _xlpm.sumValue)
)</f>
        <v/>
      </c>
      <c r="R202" s="32" t="str">
        <f>IF(SUM(FR_data[[#This Row],[Response - Disasters and Crises ]:[Enabling Functions ]])=0,"",SUM(FR_data[[#This Row],[Response - Disasters and Crises ]:[Enabling Functions ]]))</f>
        <v/>
      </c>
      <c r="S202" s="39"/>
      <c r="T202" s="30" t="str">
        <f>_xlfn.LET(
    _xlpm.sumValue, SUMIFS(
        PNS_data[Value],
        PNS_data[Country], FR_data[[#This Row],[Country]],
        PNS_data[National Society name], selected,
        PNS_data[Attribute], "SP1",
        PNS_data[Year], "2028"
    ),
    IF(_xlpm.sumValue = 0, "", _xlpm.sumValue)
)</f>
        <v/>
      </c>
      <c r="U202" s="31" t="str">
        <f>_xlfn.LET(
    _xlpm.sumValue, SUMIFS(
        PNS_data[Value],
        PNS_data[Country], FR_data[[#This Row],[Country]],
        PNS_data[National Society name], selected,
        PNS_data[Attribute], "SP2",
        PNS_data[Year], "2028"
    ),
    IF(_xlpm.sumValue = 0, "", _xlpm.sumValue)
)</f>
        <v/>
      </c>
      <c r="V202" s="31" t="str">
        <f>_xlfn.LET(
    _xlpm.sumValue, SUMIFS(
        PNS_data[Value],
        PNS_data[Country], FR_data[[#This Row],[Country]],
        PNS_data[National Society name], selected,
        PNS_data[Attribute], "SP3",
        PNS_data[Year], "2028"
    ),
    IF(_xlpm.sumValue = 0, "", _xlpm.sumValue)
)</f>
        <v/>
      </c>
      <c r="W202" s="31" t="str">
        <f>_xlfn.LET(
    _xlpm.sumValue, SUMIFS(
        PNS_data[Value],
        PNS_data[Country], FR_data[[#This Row],[Country]],
        PNS_data[National Society name], selected,
        PNS_data[Attribute], "SP4",
        PNS_data[Year], "2028"
    ),
    IF(_xlpm.sumValue = 0, "", _xlpm.sumValue)
)</f>
        <v/>
      </c>
      <c r="X202" s="31" t="str">
        <f>_xlfn.LET(
    _xlpm.sumValue, SUMIFS(
        PNS_data[Value],
        PNS_data[Country], FR_data[[#This Row],[Country]],
        PNS_data[National Society name], selected,
        PNS_data[Attribute], "SP5",
        PNS_data[Year], "2028"
    ),
    IF(_xlpm.sumValue = 0, "", _xlpm.sumValue)
)</f>
        <v/>
      </c>
      <c r="Y202" s="31" t="str">
        <f>_xlfn.LET(
    _xlpm.sumValue, SUMIFS(
        PNS_data[Value],
        PNS_data[Country], FR_data[[#This Row],[Country]],
        PNS_data[National Society name], selected,
        PNS_data[Attribute], "EFs",
        PNS_data[Year], "2028"
    ),
    IF(_xlpm.sumValue = 0, "", _xlpm.sumValue)
)</f>
        <v/>
      </c>
      <c r="Z202" s="32" t="str">
        <f>IF(SUM(FR_data[[#This Row],[Response - Disasters and Crises  ]:[Enabling Functions  ]])=0,"",SUM(FR_data[[#This Row],[Response - Disasters and Crises  ]:[Enabling Functions  ]]))</f>
        <v/>
      </c>
      <c r="AA202" s="41"/>
    </row>
    <row r="203" spans="1:27" ht="15" thickBot="1" x14ac:dyDescent="0.35">
      <c r="A203" s="11" t="s">
        <v>401</v>
      </c>
      <c r="B203" s="11" t="s">
        <v>433</v>
      </c>
      <c r="C203" s="11" t="s">
        <v>35</v>
      </c>
      <c r="D203" s="33" t="str">
        <f>_xlfn.LET(
    _xlpm.sumValue, SUMIFS(
        PNS_data[Value],
        PNS_data[Country], FR_data[[#This Row],[Country]],
        PNS_data[National Society name], selected,
        PNS_data[Attribute], "SP1",
        PNS_data[Year], "2026"
    ),
    IF(_xlpm.sumValue = 0, "", _xlpm.sumValue)
)</f>
        <v/>
      </c>
      <c r="E203" s="34" t="str">
        <f>_xlfn.LET(
    _xlpm.sumValue, SUMIFS(
        PNS_data[Value],
        PNS_data[Country], FR_data[[#This Row],[Country]],
        PNS_data[National Society name], selected,
        PNS_data[Attribute], "SP2",
        PNS_data[Year], "2026"
    ),
    IF(_xlpm.sumValue = 0, "", _xlpm.sumValue)
)</f>
        <v/>
      </c>
      <c r="F203" s="34" t="str">
        <f>_xlfn.LET(
    _xlpm.sumValue, SUMIFS(
        PNS_data[Value],
        PNS_data[Country], FR_data[[#This Row],[Country]],
        PNS_data[National Society name], selected,
        PNS_data[Attribute], "SP3",
        PNS_data[Year], "2026"
    ),
    IF(_xlpm.sumValue = 0, "", _xlpm.sumValue)
)</f>
        <v/>
      </c>
      <c r="G203" s="34" t="str">
        <f>_xlfn.LET(
    _xlpm.sumValue, SUMIFS(
        PNS_data[Value],
        PNS_data[Country], FR_data[[#This Row],[Country]],
        PNS_data[National Society name], selected,
        PNS_data[Attribute], "SP4",
        PNS_data[Year], "2026"
    ),
    IF(_xlpm.sumValue = 0, "", _xlpm.sumValue)
)</f>
        <v/>
      </c>
      <c r="H203" s="34" t="str">
        <f>_xlfn.LET(
    _xlpm.sumValue, SUMIFS(
        PNS_data[Value],
        PNS_data[Country], FR_data[[#This Row],[Country]],
        PNS_data[National Society name], selected,
        PNS_data[Attribute], "SP5",
        PNS_data[Year], "2026"
    ),
    IF(_xlpm.sumValue = 0, "", _xlpm.sumValue)
)</f>
        <v/>
      </c>
      <c r="I203" s="34" t="str">
        <f>_xlfn.LET(
    _xlpm.sumValue, SUMIFS(
        PNS_data[Value],
        PNS_data[Country], FR_data[[#This Row],[Country]],
        PNS_data[National Society name], selected,
        PNS_data[Attribute], "EFs",
        PNS_data[Year], "2026"
    ),
    IF(_xlpm.sumValue = 0, "", _xlpm.sumValue)
)</f>
        <v/>
      </c>
      <c r="J203" s="35" t="str">
        <f>IF(SUM(FR_data[[#This Row],[Response - Disasters and Crises]:[Enabling Functions]])=0,"",SUM(FR_data[[#This Row],[Response - Disasters and Crises]:[Enabling Functions]]))</f>
        <v/>
      </c>
      <c r="K203" s="40"/>
      <c r="L203" s="33" t="str">
        <f>_xlfn.LET(
    _xlpm.sumValue, SUMIFS(
        PNS_data[Value],
        PNS_data[Country], FR_data[[#This Row],[Country]],
        PNS_data[National Society name], selected,
        PNS_data[Attribute], "SP1",
        PNS_data[Year], "2027"
    ),
    IF(_xlpm.sumValue = 0, "", _xlpm.sumValue)
)</f>
        <v/>
      </c>
      <c r="M203" s="34" t="str">
        <f>_xlfn.LET(
    _xlpm.sumValue, SUMIFS(
        PNS_data[Value],
        PNS_data[Country], FR_data[[#This Row],[Country]],
        PNS_data[National Society name], selected,
        PNS_data[Attribute], "SP2",
        PNS_data[Year], "2027"
    ),
    IF(_xlpm.sumValue = 0, "", _xlpm.sumValue)
)</f>
        <v/>
      </c>
      <c r="N203" s="34" t="str">
        <f>_xlfn.LET(
    _xlpm.sumValue, SUMIFS(
        PNS_data[Value],
        PNS_data[Country], FR_data[[#This Row],[Country]],
        PNS_data[National Society name], selected,
        PNS_data[Attribute], "SP3",
        PNS_data[Year], "2027"
    ),
    IF(_xlpm.sumValue = 0, "", _xlpm.sumValue)
)</f>
        <v/>
      </c>
      <c r="O203" s="34" t="str">
        <f>_xlfn.LET(
    _xlpm.sumValue, SUMIFS(
        PNS_data[Value],
        PNS_data[Country], FR_data[[#This Row],[Country]],
        PNS_data[National Society name], selected,
        PNS_data[Attribute], "SP4",
        PNS_data[Year], "2027"
    ),
    IF(_xlpm.sumValue = 0, "", _xlpm.sumValue)
)</f>
        <v/>
      </c>
      <c r="P203" s="34" t="str">
        <f>_xlfn.LET(
    _xlpm.sumValue, SUMIFS(
        PNS_data[Value],
        PNS_data[Country], FR_data[[#This Row],[Country]],
        PNS_data[National Society name], selected,
        PNS_data[Attribute], "SP5",
        PNS_data[Year], "2027"
    ),
    IF(_xlpm.sumValue = 0, "", _xlpm.sumValue)
)</f>
        <v/>
      </c>
      <c r="Q203" s="34" t="str">
        <f>_xlfn.LET(
    _xlpm.sumValue, SUMIFS(
        PNS_data[Value],
        PNS_data[Country], FR_data[[#This Row],[Country]],
        PNS_data[National Society name], selected,
        PNS_data[Attribute], "EFs",
        PNS_data[Year], "2027"
    ),
    IF(_xlpm.sumValue = 0, "", _xlpm.sumValue)
)</f>
        <v/>
      </c>
      <c r="R203" s="35" t="str">
        <f>IF(SUM(FR_data[[#This Row],[Response - Disasters and Crises ]:[Enabling Functions ]])=0,"",SUM(FR_data[[#This Row],[Response - Disasters and Crises ]:[Enabling Functions ]]))</f>
        <v/>
      </c>
      <c r="S203" s="40"/>
      <c r="T203" s="33" t="str">
        <f>_xlfn.LET(
    _xlpm.sumValue, SUMIFS(
        PNS_data[Value],
        PNS_data[Country], FR_data[[#This Row],[Country]],
        PNS_data[National Society name], selected,
        PNS_data[Attribute], "SP1",
        PNS_data[Year], "2028"
    ),
    IF(_xlpm.sumValue = 0, "", _xlpm.sumValue)
)</f>
        <v/>
      </c>
      <c r="U203" s="34" t="str">
        <f>_xlfn.LET(
    _xlpm.sumValue, SUMIFS(
        PNS_data[Value],
        PNS_data[Country], FR_data[[#This Row],[Country]],
        PNS_data[National Society name], selected,
        PNS_data[Attribute], "SP2",
        PNS_data[Year], "2028"
    ),
    IF(_xlpm.sumValue = 0, "", _xlpm.sumValue)
)</f>
        <v/>
      </c>
      <c r="V203" s="34" t="str">
        <f>_xlfn.LET(
    _xlpm.sumValue, SUMIFS(
        PNS_data[Value],
        PNS_data[Country], FR_data[[#This Row],[Country]],
        PNS_data[National Society name], selected,
        PNS_data[Attribute], "SP3",
        PNS_data[Year], "2028"
    ),
    IF(_xlpm.sumValue = 0, "", _xlpm.sumValue)
)</f>
        <v/>
      </c>
      <c r="W203" s="34" t="str">
        <f>_xlfn.LET(
    _xlpm.sumValue, SUMIFS(
        PNS_data[Value],
        PNS_data[Country], FR_data[[#This Row],[Country]],
        PNS_data[National Society name], selected,
        PNS_data[Attribute], "SP4",
        PNS_data[Year], "2028"
    ),
    IF(_xlpm.sumValue = 0, "", _xlpm.sumValue)
)</f>
        <v/>
      </c>
      <c r="X203" s="34" t="str">
        <f>_xlfn.LET(
    _xlpm.sumValue, SUMIFS(
        PNS_data[Value],
        PNS_data[Country], FR_data[[#This Row],[Country]],
        PNS_data[National Society name], selected,
        PNS_data[Attribute], "SP5",
        PNS_data[Year], "2028"
    ),
    IF(_xlpm.sumValue = 0, "", _xlpm.sumValue)
)</f>
        <v/>
      </c>
      <c r="Y203" s="34" t="str">
        <f>_xlfn.LET(
    _xlpm.sumValue, SUMIFS(
        PNS_data[Value],
        PNS_data[Country], FR_data[[#This Row],[Country]],
        PNS_data[National Society name], selected,
        PNS_data[Attribute], "EFs",
        PNS_data[Year], "2028"
    ),
    IF(_xlpm.sumValue = 0, "", _xlpm.sumValue)
)</f>
        <v/>
      </c>
      <c r="Z203" s="35" t="str">
        <f>IF(SUM(FR_data[[#This Row],[Response - Disasters and Crises  ]:[Enabling Functions  ]])=0,"",SUM(FR_data[[#This Row],[Response - Disasters and Crises  ]:[Enabling Functions  ]]))</f>
        <v/>
      </c>
      <c r="AA203" s="42"/>
    </row>
    <row r="204" spans="1:27" x14ac:dyDescent="0.3">
      <c r="A204" s="3"/>
      <c r="B204" s="3"/>
      <c r="C204" s="3"/>
      <c r="D204" s="4"/>
      <c r="E204" s="4"/>
      <c r="F204" s="4"/>
      <c r="G204" s="4"/>
      <c r="H204" s="4"/>
      <c r="I204" s="4"/>
      <c r="J204" s="5"/>
      <c r="K204" s="5"/>
      <c r="L204" s="4"/>
      <c r="M204" s="4"/>
      <c r="N204" s="4"/>
      <c r="O204" s="4"/>
      <c r="P204" s="4"/>
      <c r="Q204" s="4"/>
      <c r="R204" s="5"/>
      <c r="S204" s="5"/>
      <c r="T204" s="4"/>
      <c r="U204" s="4"/>
      <c r="V204" s="4"/>
      <c r="W204" s="4"/>
      <c r="X204" s="4"/>
      <c r="Y204" s="4"/>
      <c r="Z204" s="6"/>
      <c r="AA204" s="6"/>
    </row>
  </sheetData>
  <sheetProtection formatCells="0" formatColumns="0" formatRows="0" sort="0" autoFilter="0"/>
  <mergeCells count="12">
    <mergeCell ref="T9:Z9"/>
    <mergeCell ref="L8:S8"/>
    <mergeCell ref="T8:AA8"/>
    <mergeCell ref="C3:C4"/>
    <mergeCell ref="E2:M5"/>
    <mergeCell ref="B6:I6"/>
    <mergeCell ref="L9:R9"/>
    <mergeCell ref="A10:C10"/>
    <mergeCell ref="A3:B4"/>
    <mergeCell ref="B5:C5"/>
    <mergeCell ref="D9:J9"/>
    <mergeCell ref="D8:K8"/>
  </mergeCells>
  <phoneticPr fontId="3" type="noConversion"/>
  <dataValidations count="1">
    <dataValidation type="list" allowBlank="1" showInputMessage="1" showErrorMessage="1" sqref="C3" xr:uid="{E9691B39-E13C-41B4-9E9B-DB37EE457E96}">
      <formula1>PNS</formula1>
    </dataValidation>
  </dataValidations>
  <pageMargins left="0.7" right="0.7" top="0.75" bottom="0.75" header="0.3" footer="0.3"/>
  <pageSetup paperSize="9" orientation="portrait" verticalDpi="0" r:id="rId1"/>
  <ignoredErrors>
    <ignoredError sqref="J13:J203 J12 R12 R13:R203 Z12 Z13:Z203" unlockedFormula="1"/>
  </ignoredErrors>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4BE6C-D890-4A0F-9372-B7C56EEDFCAF}">
  <sheetPr codeName="Sheet4"/>
  <dimension ref="A1:H194"/>
  <sheetViews>
    <sheetView topLeftCell="B1" workbookViewId="0">
      <selection activeCell="D14" sqref="D14"/>
    </sheetView>
  </sheetViews>
  <sheetFormatPr defaultRowHeight="14.4" x14ac:dyDescent="0.3"/>
  <cols>
    <col min="1" max="1" width="6.77734375" hidden="1" customWidth="1"/>
    <col min="2" max="2" width="21.5546875" style="26" bestFit="1" customWidth="1"/>
    <col min="3" max="3" width="34.33203125" style="26" bestFit="1" customWidth="1"/>
    <col min="4" max="8" width="21.6640625" style="15" customWidth="1"/>
  </cols>
  <sheetData>
    <row r="1" spans="1:8" ht="81" customHeight="1" x14ac:dyDescent="0.3">
      <c r="A1" s="19" t="s">
        <v>426</v>
      </c>
      <c r="B1" s="20" t="s">
        <v>425</v>
      </c>
      <c r="C1" s="20" t="s">
        <v>0</v>
      </c>
      <c r="D1" s="21" t="s">
        <v>456</v>
      </c>
      <c r="E1" s="21" t="s">
        <v>469</v>
      </c>
      <c r="F1" s="21" t="s">
        <v>457</v>
      </c>
      <c r="G1" s="21" t="s">
        <v>470</v>
      </c>
      <c r="H1" s="21" t="s">
        <v>471</v>
      </c>
    </row>
    <row r="2" spans="1:8" x14ac:dyDescent="0.3">
      <c r="A2" s="17" t="s">
        <v>110</v>
      </c>
      <c r="B2" s="23" t="s">
        <v>109</v>
      </c>
      <c r="C2" s="23" t="s">
        <v>88</v>
      </c>
      <c r="D2" s="43"/>
      <c r="E2" s="43"/>
      <c r="F2" s="43"/>
      <c r="G2" s="43"/>
      <c r="H2" s="43"/>
    </row>
    <row r="3" spans="1:8" x14ac:dyDescent="0.3">
      <c r="A3" s="18" t="s">
        <v>138</v>
      </c>
      <c r="B3" s="24" t="s">
        <v>109</v>
      </c>
      <c r="C3" s="24" t="s">
        <v>74</v>
      </c>
      <c r="D3" s="44"/>
      <c r="E3" s="44"/>
      <c r="F3" s="44"/>
      <c r="G3" s="44"/>
      <c r="H3" s="44"/>
    </row>
    <row r="4" spans="1:8" x14ac:dyDescent="0.3">
      <c r="A4" s="17" t="s">
        <v>139</v>
      </c>
      <c r="B4" s="23" t="s">
        <v>109</v>
      </c>
      <c r="C4" s="23" t="s">
        <v>140</v>
      </c>
      <c r="D4" s="43"/>
      <c r="E4" s="43"/>
      <c r="F4" s="43"/>
      <c r="G4" s="43"/>
      <c r="H4" s="43"/>
    </row>
    <row r="5" spans="1:8" x14ac:dyDescent="0.3">
      <c r="A5" s="18" t="s">
        <v>134</v>
      </c>
      <c r="B5" s="24" t="s">
        <v>109</v>
      </c>
      <c r="C5" s="24" t="s">
        <v>75</v>
      </c>
      <c r="D5" s="44"/>
      <c r="E5" s="44"/>
      <c r="F5" s="44"/>
      <c r="G5" s="44"/>
      <c r="H5" s="44"/>
    </row>
    <row r="6" spans="1:8" x14ac:dyDescent="0.3">
      <c r="A6" s="17" t="s">
        <v>141</v>
      </c>
      <c r="B6" s="23" t="s">
        <v>109</v>
      </c>
      <c r="C6" s="23" t="s">
        <v>76</v>
      </c>
      <c r="D6" s="43"/>
      <c r="E6" s="43"/>
      <c r="F6" s="43"/>
      <c r="G6" s="43"/>
      <c r="H6" s="43"/>
    </row>
    <row r="7" spans="1:8" x14ac:dyDescent="0.3">
      <c r="A7" s="18" t="s">
        <v>148</v>
      </c>
      <c r="B7" s="24" t="s">
        <v>109</v>
      </c>
      <c r="C7" s="24" t="s">
        <v>149</v>
      </c>
      <c r="D7" s="44"/>
      <c r="E7" s="44"/>
      <c r="F7" s="44"/>
      <c r="G7" s="44"/>
      <c r="H7" s="44"/>
    </row>
    <row r="8" spans="1:8" x14ac:dyDescent="0.3">
      <c r="A8" s="17" t="s">
        <v>164</v>
      </c>
      <c r="B8" s="23" t="s">
        <v>109</v>
      </c>
      <c r="C8" s="23" t="s">
        <v>165</v>
      </c>
      <c r="D8" s="43"/>
      <c r="E8" s="43"/>
      <c r="F8" s="43"/>
      <c r="G8" s="43"/>
      <c r="H8" s="43"/>
    </row>
    <row r="9" spans="1:8" x14ac:dyDescent="0.3">
      <c r="A9" s="18" t="s">
        <v>150</v>
      </c>
      <c r="B9" s="24" t="s">
        <v>109</v>
      </c>
      <c r="C9" s="24" t="s">
        <v>151</v>
      </c>
      <c r="D9" s="44"/>
      <c r="E9" s="44"/>
      <c r="F9" s="44"/>
      <c r="G9" s="44"/>
      <c r="H9" s="44"/>
    </row>
    <row r="10" spans="1:8" x14ac:dyDescent="0.3">
      <c r="A10" s="17" t="s">
        <v>365</v>
      </c>
      <c r="B10" s="23" t="s">
        <v>109</v>
      </c>
      <c r="C10" s="23" t="s">
        <v>366</v>
      </c>
      <c r="D10" s="43"/>
      <c r="E10" s="43"/>
      <c r="F10" s="43"/>
      <c r="G10" s="43"/>
      <c r="H10" s="43"/>
    </row>
    <row r="11" spans="1:8" x14ac:dyDescent="0.3">
      <c r="A11" s="18" t="s">
        <v>181</v>
      </c>
      <c r="B11" s="24" t="s">
        <v>109</v>
      </c>
      <c r="C11" s="24" t="s">
        <v>29</v>
      </c>
      <c r="D11" s="44"/>
      <c r="E11" s="44"/>
      <c r="F11" s="44"/>
      <c r="G11" s="44"/>
      <c r="H11" s="44"/>
    </row>
    <row r="12" spans="1:8" x14ac:dyDescent="0.3">
      <c r="A12" s="17" t="s">
        <v>163</v>
      </c>
      <c r="B12" s="23" t="s">
        <v>109</v>
      </c>
      <c r="C12" s="23" t="s">
        <v>84</v>
      </c>
      <c r="D12" s="43"/>
      <c r="E12" s="43"/>
      <c r="F12" s="43"/>
      <c r="G12" s="43"/>
      <c r="H12" s="43"/>
    </row>
    <row r="13" spans="1:8" x14ac:dyDescent="0.3">
      <c r="A13" s="18" t="s">
        <v>172</v>
      </c>
      <c r="B13" s="24" t="s">
        <v>109</v>
      </c>
      <c r="C13" s="24" t="s">
        <v>77</v>
      </c>
      <c r="D13" s="44"/>
      <c r="E13" s="44"/>
      <c r="F13" s="44"/>
      <c r="G13" s="44"/>
      <c r="H13" s="44"/>
    </row>
    <row r="14" spans="1:8" x14ac:dyDescent="0.3">
      <c r="A14" s="17" t="s">
        <v>182</v>
      </c>
      <c r="B14" s="23" t="s">
        <v>109</v>
      </c>
      <c r="C14" s="23" t="s">
        <v>91</v>
      </c>
      <c r="D14" s="43"/>
      <c r="E14" s="43"/>
      <c r="F14" s="43"/>
      <c r="G14" s="43"/>
      <c r="H14" s="43"/>
    </row>
    <row r="15" spans="1:8" x14ac:dyDescent="0.3">
      <c r="A15" s="18" t="s">
        <v>206</v>
      </c>
      <c r="B15" s="24" t="s">
        <v>109</v>
      </c>
      <c r="C15" s="24" t="s">
        <v>207</v>
      </c>
      <c r="D15" s="44"/>
      <c r="E15" s="44"/>
      <c r="F15" s="44"/>
      <c r="G15" s="44"/>
      <c r="H15" s="44"/>
    </row>
    <row r="16" spans="1:8" x14ac:dyDescent="0.3">
      <c r="A16" s="17" t="s">
        <v>152</v>
      </c>
      <c r="B16" s="23" t="s">
        <v>109</v>
      </c>
      <c r="C16" s="23" t="s">
        <v>153</v>
      </c>
      <c r="D16" s="43"/>
      <c r="E16" s="43"/>
      <c r="F16" s="43"/>
      <c r="G16" s="43"/>
      <c r="H16" s="43"/>
    </row>
    <row r="17" spans="1:8" x14ac:dyDescent="0.3">
      <c r="A17" s="18" t="s">
        <v>364</v>
      </c>
      <c r="B17" s="24" t="s">
        <v>109</v>
      </c>
      <c r="C17" s="24" t="s">
        <v>79</v>
      </c>
      <c r="D17" s="44"/>
      <c r="E17" s="44"/>
      <c r="F17" s="44"/>
      <c r="G17" s="44"/>
      <c r="H17" s="44"/>
    </row>
    <row r="18" spans="1:8" x14ac:dyDescent="0.3">
      <c r="A18" s="17" t="s">
        <v>195</v>
      </c>
      <c r="B18" s="23" t="s">
        <v>109</v>
      </c>
      <c r="C18" s="23" t="s">
        <v>70</v>
      </c>
      <c r="D18" s="43"/>
      <c r="E18" s="43"/>
      <c r="F18" s="43"/>
      <c r="G18" s="43"/>
      <c r="H18" s="43"/>
    </row>
    <row r="19" spans="1:8" x14ac:dyDescent="0.3">
      <c r="A19" s="18" t="s">
        <v>202</v>
      </c>
      <c r="B19" s="24" t="s">
        <v>109</v>
      </c>
      <c r="C19" s="24" t="s">
        <v>203</v>
      </c>
      <c r="D19" s="44"/>
      <c r="E19" s="44"/>
      <c r="F19" s="44"/>
      <c r="G19" s="44"/>
      <c r="H19" s="44"/>
    </row>
    <row r="20" spans="1:8" x14ac:dyDescent="0.3">
      <c r="A20" s="17" t="s">
        <v>237</v>
      </c>
      <c r="B20" s="23" t="s">
        <v>109</v>
      </c>
      <c r="C20" s="23" t="s">
        <v>238</v>
      </c>
      <c r="D20" s="43"/>
      <c r="E20" s="43"/>
      <c r="F20" s="43"/>
      <c r="G20" s="43"/>
      <c r="H20" s="43"/>
    </row>
    <row r="21" spans="1:8" x14ac:dyDescent="0.3">
      <c r="A21" s="18" t="s">
        <v>208</v>
      </c>
      <c r="B21" s="24" t="s">
        <v>109</v>
      </c>
      <c r="C21" s="24" t="s">
        <v>209</v>
      </c>
      <c r="D21" s="44"/>
      <c r="E21" s="44"/>
      <c r="F21" s="44"/>
      <c r="G21" s="44"/>
      <c r="H21" s="44"/>
    </row>
    <row r="22" spans="1:8" x14ac:dyDescent="0.3">
      <c r="A22" s="17" t="s">
        <v>247</v>
      </c>
      <c r="B22" s="23" t="s">
        <v>109</v>
      </c>
      <c r="C22" s="23" t="s">
        <v>248</v>
      </c>
      <c r="D22" s="43"/>
      <c r="E22" s="43"/>
      <c r="F22" s="43"/>
      <c r="G22" s="43"/>
      <c r="H22" s="43"/>
    </row>
    <row r="23" spans="1:8" x14ac:dyDescent="0.3">
      <c r="A23" s="18" t="s">
        <v>250</v>
      </c>
      <c r="B23" s="24" t="s">
        <v>109</v>
      </c>
      <c r="C23" s="24" t="s">
        <v>89</v>
      </c>
      <c r="D23" s="44"/>
      <c r="E23" s="44"/>
      <c r="F23" s="44"/>
      <c r="G23" s="44"/>
      <c r="H23" s="44"/>
    </row>
    <row r="24" spans="1:8" x14ac:dyDescent="0.3">
      <c r="A24" s="17" t="s">
        <v>220</v>
      </c>
      <c r="B24" s="23" t="s">
        <v>109</v>
      </c>
      <c r="C24" s="23" t="s">
        <v>221</v>
      </c>
      <c r="D24" s="43"/>
      <c r="E24" s="43"/>
      <c r="F24" s="43"/>
      <c r="G24" s="43"/>
      <c r="H24" s="43"/>
    </row>
    <row r="25" spans="1:8" x14ac:dyDescent="0.3">
      <c r="A25" s="18" t="s">
        <v>256</v>
      </c>
      <c r="B25" s="24" t="s">
        <v>109</v>
      </c>
      <c r="C25" s="24" t="s">
        <v>257</v>
      </c>
      <c r="D25" s="44"/>
      <c r="E25" s="44"/>
      <c r="F25" s="44"/>
      <c r="G25" s="44"/>
      <c r="H25" s="44"/>
    </row>
    <row r="26" spans="1:8" x14ac:dyDescent="0.3">
      <c r="A26" s="17" t="s">
        <v>258</v>
      </c>
      <c r="B26" s="23" t="s">
        <v>109</v>
      </c>
      <c r="C26" s="23" t="s">
        <v>96</v>
      </c>
      <c r="D26" s="43"/>
      <c r="E26" s="43"/>
      <c r="F26" s="43"/>
      <c r="G26" s="43"/>
      <c r="H26" s="43"/>
    </row>
    <row r="27" spans="1:8" x14ac:dyDescent="0.3">
      <c r="A27" s="18" t="s">
        <v>267</v>
      </c>
      <c r="B27" s="24" t="s">
        <v>109</v>
      </c>
      <c r="C27" s="24" t="s">
        <v>46</v>
      </c>
      <c r="D27" s="44"/>
      <c r="E27" s="44"/>
      <c r="F27" s="44"/>
      <c r="G27" s="44"/>
      <c r="H27" s="44"/>
    </row>
    <row r="28" spans="1:8" x14ac:dyDescent="0.3">
      <c r="A28" s="17" t="s">
        <v>268</v>
      </c>
      <c r="B28" s="23" t="s">
        <v>109</v>
      </c>
      <c r="C28" s="23" t="s">
        <v>269</v>
      </c>
      <c r="D28" s="43"/>
      <c r="E28" s="43"/>
      <c r="F28" s="43"/>
      <c r="G28" s="43"/>
      <c r="H28" s="43"/>
    </row>
    <row r="29" spans="1:8" x14ac:dyDescent="0.3">
      <c r="A29" s="18" t="s">
        <v>274</v>
      </c>
      <c r="B29" s="24" t="s">
        <v>109</v>
      </c>
      <c r="C29" s="24" t="s">
        <v>78</v>
      </c>
      <c r="D29" s="44"/>
      <c r="E29" s="44"/>
      <c r="F29" s="44"/>
      <c r="G29" s="44"/>
      <c r="H29" s="44"/>
    </row>
    <row r="30" spans="1:8" x14ac:dyDescent="0.3">
      <c r="A30" s="17" t="s">
        <v>283</v>
      </c>
      <c r="B30" s="23" t="s">
        <v>109</v>
      </c>
      <c r="C30" s="23" t="s">
        <v>284</v>
      </c>
      <c r="D30" s="43"/>
      <c r="E30" s="43"/>
      <c r="F30" s="43"/>
      <c r="G30" s="43"/>
      <c r="H30" s="43"/>
    </row>
    <row r="31" spans="1:8" x14ac:dyDescent="0.3">
      <c r="A31" s="18" t="s">
        <v>285</v>
      </c>
      <c r="B31" s="24" t="s">
        <v>109</v>
      </c>
      <c r="C31" s="24" t="s">
        <v>286</v>
      </c>
      <c r="D31" s="44"/>
      <c r="E31" s="44"/>
      <c r="F31" s="44"/>
      <c r="G31" s="44"/>
      <c r="H31" s="44"/>
    </row>
    <row r="32" spans="1:8" x14ac:dyDescent="0.3">
      <c r="A32" s="17" t="s">
        <v>293</v>
      </c>
      <c r="B32" s="23" t="s">
        <v>109</v>
      </c>
      <c r="C32" s="23" t="s">
        <v>294</v>
      </c>
      <c r="D32" s="43"/>
      <c r="E32" s="43"/>
      <c r="F32" s="43"/>
      <c r="G32" s="43"/>
      <c r="H32" s="43"/>
    </row>
    <row r="33" spans="1:8" x14ac:dyDescent="0.3">
      <c r="A33" s="18" t="s">
        <v>297</v>
      </c>
      <c r="B33" s="24" t="s">
        <v>109</v>
      </c>
      <c r="C33" s="24" t="s">
        <v>298</v>
      </c>
      <c r="D33" s="44"/>
      <c r="E33" s="44"/>
      <c r="F33" s="44"/>
      <c r="G33" s="44"/>
      <c r="H33" s="44"/>
    </row>
    <row r="34" spans="1:8" x14ac:dyDescent="0.3">
      <c r="A34" s="17" t="s">
        <v>323</v>
      </c>
      <c r="B34" s="23" t="s">
        <v>109</v>
      </c>
      <c r="C34" s="23" t="s">
        <v>324</v>
      </c>
      <c r="D34" s="43"/>
      <c r="E34" s="43"/>
      <c r="F34" s="43"/>
      <c r="G34" s="43"/>
      <c r="H34" s="43"/>
    </row>
    <row r="35" spans="1:8" x14ac:dyDescent="0.3">
      <c r="A35" s="18" t="s">
        <v>271</v>
      </c>
      <c r="B35" s="24" t="s">
        <v>109</v>
      </c>
      <c r="C35" s="24" t="s">
        <v>80</v>
      </c>
      <c r="D35" s="44"/>
      <c r="E35" s="44"/>
      <c r="F35" s="44"/>
      <c r="G35" s="44"/>
      <c r="H35" s="44"/>
    </row>
    <row r="36" spans="1:8" x14ac:dyDescent="0.3">
      <c r="A36" s="17" t="s">
        <v>332</v>
      </c>
      <c r="B36" s="23" t="s">
        <v>109</v>
      </c>
      <c r="C36" s="23" t="s">
        <v>71</v>
      </c>
      <c r="D36" s="43"/>
      <c r="E36" s="43"/>
      <c r="F36" s="43"/>
      <c r="G36" s="43"/>
      <c r="H36" s="43"/>
    </row>
    <row r="37" spans="1:8" x14ac:dyDescent="0.3">
      <c r="A37" s="18" t="s">
        <v>359</v>
      </c>
      <c r="B37" s="24" t="s">
        <v>109</v>
      </c>
      <c r="C37" s="24" t="s">
        <v>360</v>
      </c>
      <c r="D37" s="44"/>
      <c r="E37" s="44"/>
      <c r="F37" s="44"/>
      <c r="G37" s="44"/>
      <c r="H37" s="44"/>
    </row>
    <row r="38" spans="1:8" x14ac:dyDescent="0.3">
      <c r="A38" s="17" t="s">
        <v>353</v>
      </c>
      <c r="B38" s="23" t="s">
        <v>109</v>
      </c>
      <c r="C38" s="23" t="s">
        <v>354</v>
      </c>
      <c r="D38" s="43"/>
      <c r="E38" s="43"/>
      <c r="F38" s="43"/>
      <c r="G38" s="43"/>
      <c r="H38" s="43"/>
    </row>
    <row r="39" spans="1:8" x14ac:dyDescent="0.3">
      <c r="A39" s="18" t="s">
        <v>340</v>
      </c>
      <c r="B39" s="24" t="s">
        <v>109</v>
      </c>
      <c r="C39" s="24" t="s">
        <v>53</v>
      </c>
      <c r="D39" s="44"/>
      <c r="E39" s="44"/>
      <c r="F39" s="44"/>
      <c r="G39" s="44"/>
      <c r="H39" s="44"/>
    </row>
    <row r="40" spans="1:8" x14ac:dyDescent="0.3">
      <c r="A40" s="17" t="s">
        <v>336</v>
      </c>
      <c r="B40" s="23" t="s">
        <v>109</v>
      </c>
      <c r="C40" s="23" t="s">
        <v>81</v>
      </c>
      <c r="D40" s="43"/>
      <c r="E40" s="43"/>
      <c r="F40" s="43"/>
      <c r="G40" s="43"/>
      <c r="H40" s="43"/>
    </row>
    <row r="41" spans="1:8" x14ac:dyDescent="0.3">
      <c r="A41" s="18" t="s">
        <v>355</v>
      </c>
      <c r="B41" s="24" t="s">
        <v>109</v>
      </c>
      <c r="C41" s="24" t="s">
        <v>52</v>
      </c>
      <c r="D41" s="44"/>
      <c r="E41" s="44"/>
      <c r="F41" s="44"/>
      <c r="G41" s="44"/>
      <c r="H41" s="44"/>
    </row>
    <row r="42" spans="1:8" x14ac:dyDescent="0.3">
      <c r="A42" s="17" t="s">
        <v>402</v>
      </c>
      <c r="B42" s="23" t="s">
        <v>109</v>
      </c>
      <c r="C42" s="23" t="s">
        <v>403</v>
      </c>
      <c r="D42" s="43"/>
      <c r="E42" s="43"/>
      <c r="F42" s="43"/>
      <c r="G42" s="43"/>
      <c r="H42" s="43"/>
    </row>
    <row r="43" spans="1:8" x14ac:dyDescent="0.3">
      <c r="A43" s="18" t="s">
        <v>358</v>
      </c>
      <c r="B43" s="24" t="s">
        <v>109</v>
      </c>
      <c r="C43" s="24" t="s">
        <v>36</v>
      </c>
      <c r="D43" s="44"/>
      <c r="E43" s="44"/>
      <c r="F43" s="44"/>
      <c r="G43" s="44"/>
      <c r="H43" s="44"/>
    </row>
    <row r="44" spans="1:8" x14ac:dyDescent="0.3">
      <c r="A44" s="17" t="s">
        <v>341</v>
      </c>
      <c r="B44" s="23" t="s">
        <v>109</v>
      </c>
      <c r="C44" s="23" t="s">
        <v>342</v>
      </c>
      <c r="D44" s="43"/>
      <c r="E44" s="43"/>
      <c r="F44" s="43"/>
      <c r="G44" s="43"/>
      <c r="H44" s="43"/>
    </row>
    <row r="45" spans="1:8" x14ac:dyDescent="0.3">
      <c r="A45" s="18" t="s">
        <v>384</v>
      </c>
      <c r="B45" s="24" t="s">
        <v>109</v>
      </c>
      <c r="C45" s="24" t="s">
        <v>55</v>
      </c>
      <c r="D45" s="44"/>
      <c r="E45" s="44"/>
      <c r="F45" s="44"/>
      <c r="G45" s="44"/>
      <c r="H45" s="44"/>
    </row>
    <row r="46" spans="1:8" x14ac:dyDescent="0.3">
      <c r="A46" s="17" t="s">
        <v>367</v>
      </c>
      <c r="B46" s="23" t="s">
        <v>109</v>
      </c>
      <c r="C46" s="23" t="s">
        <v>85</v>
      </c>
      <c r="D46" s="43"/>
      <c r="E46" s="43"/>
      <c r="F46" s="43"/>
      <c r="G46" s="43"/>
      <c r="H46" s="43"/>
    </row>
    <row r="47" spans="1:8" x14ac:dyDescent="0.3">
      <c r="A47" s="18" t="s">
        <v>387</v>
      </c>
      <c r="B47" s="24" t="s">
        <v>109</v>
      </c>
      <c r="C47" s="24" t="s">
        <v>72</v>
      </c>
      <c r="D47" s="44"/>
      <c r="E47" s="44"/>
      <c r="F47" s="44"/>
      <c r="G47" s="44"/>
      <c r="H47" s="44"/>
    </row>
    <row r="48" spans="1:8" x14ac:dyDescent="0.3">
      <c r="A48" s="17" t="s">
        <v>404</v>
      </c>
      <c r="B48" s="23" t="s">
        <v>109</v>
      </c>
      <c r="C48" s="23" t="s">
        <v>405</v>
      </c>
      <c r="D48" s="43"/>
      <c r="E48" s="43"/>
      <c r="F48" s="43"/>
      <c r="G48" s="43"/>
      <c r="H48" s="43"/>
    </row>
    <row r="49" spans="1:8" x14ac:dyDescent="0.3">
      <c r="A49" s="18" t="s">
        <v>406</v>
      </c>
      <c r="B49" s="24" t="s">
        <v>109</v>
      </c>
      <c r="C49" s="24" t="s">
        <v>407</v>
      </c>
      <c r="D49" s="44"/>
      <c r="E49" s="44"/>
      <c r="F49" s="44"/>
      <c r="G49" s="44"/>
      <c r="H49" s="44"/>
    </row>
    <row r="50" spans="1:8" x14ac:dyDescent="0.3">
      <c r="A50" s="17" t="s">
        <v>107</v>
      </c>
      <c r="B50" s="23" t="s">
        <v>106</v>
      </c>
      <c r="C50" s="23" t="s">
        <v>108</v>
      </c>
      <c r="D50" s="43"/>
      <c r="E50" s="43"/>
      <c r="F50" s="43"/>
      <c r="G50" s="43"/>
      <c r="H50" s="43"/>
    </row>
    <row r="51" spans="1:8" x14ac:dyDescent="0.3">
      <c r="A51" s="18" t="s">
        <v>111</v>
      </c>
      <c r="B51" s="24" t="s">
        <v>106</v>
      </c>
      <c r="C51" s="24" t="s">
        <v>39</v>
      </c>
      <c r="D51" s="44"/>
      <c r="E51" s="44"/>
      <c r="F51" s="44"/>
      <c r="G51" s="44"/>
      <c r="H51" s="44"/>
    </row>
    <row r="52" spans="1:8" x14ac:dyDescent="0.3">
      <c r="A52" s="17" t="s">
        <v>121</v>
      </c>
      <c r="B52" s="23" t="s">
        <v>106</v>
      </c>
      <c r="C52" s="23" t="s">
        <v>122</v>
      </c>
      <c r="D52" s="43"/>
      <c r="E52" s="43"/>
      <c r="F52" s="43"/>
      <c r="G52" s="43"/>
      <c r="H52" s="43"/>
    </row>
    <row r="53" spans="1:8" x14ac:dyDescent="0.3">
      <c r="A53" s="18" t="s">
        <v>126</v>
      </c>
      <c r="B53" s="24" t="s">
        <v>106</v>
      </c>
      <c r="C53" s="24" t="s">
        <v>127</v>
      </c>
      <c r="D53" s="44"/>
      <c r="E53" s="44"/>
      <c r="F53" s="44"/>
      <c r="G53" s="44"/>
      <c r="H53" s="44"/>
    </row>
    <row r="54" spans="1:8" x14ac:dyDescent="0.3">
      <c r="A54" s="17" t="s">
        <v>130</v>
      </c>
      <c r="B54" s="23" t="s">
        <v>106</v>
      </c>
      <c r="C54" s="23" t="s">
        <v>131</v>
      </c>
      <c r="D54" s="43"/>
      <c r="E54" s="43"/>
      <c r="F54" s="43"/>
      <c r="G54" s="43"/>
      <c r="H54" s="43"/>
    </row>
    <row r="55" spans="1:8" x14ac:dyDescent="0.3">
      <c r="A55" s="18" t="s">
        <v>135</v>
      </c>
      <c r="B55" s="24" t="s">
        <v>106</v>
      </c>
      <c r="C55" s="24" t="s">
        <v>136</v>
      </c>
      <c r="D55" s="44"/>
      <c r="E55" s="44"/>
      <c r="F55" s="44"/>
      <c r="G55" s="44"/>
      <c r="H55" s="44"/>
    </row>
    <row r="56" spans="1:8" x14ac:dyDescent="0.3">
      <c r="A56" s="17" t="s">
        <v>142</v>
      </c>
      <c r="B56" s="23" t="s">
        <v>106</v>
      </c>
      <c r="C56" s="23" t="s">
        <v>40</v>
      </c>
      <c r="D56" s="43"/>
      <c r="E56" s="43"/>
      <c r="F56" s="43"/>
      <c r="G56" s="43"/>
      <c r="H56" s="43"/>
    </row>
    <row r="57" spans="1:8" x14ac:dyDescent="0.3">
      <c r="A57" s="18" t="s">
        <v>159</v>
      </c>
      <c r="B57" s="24" t="s">
        <v>106</v>
      </c>
      <c r="C57" s="24" t="s">
        <v>160</v>
      </c>
      <c r="D57" s="44"/>
      <c r="E57" s="44"/>
      <c r="F57" s="44"/>
      <c r="G57" s="44"/>
      <c r="H57" s="44"/>
    </row>
    <row r="58" spans="1:8" x14ac:dyDescent="0.3">
      <c r="A58" s="17" t="s">
        <v>154</v>
      </c>
      <c r="B58" s="23" t="s">
        <v>106</v>
      </c>
      <c r="C58" s="23" t="s">
        <v>41</v>
      </c>
      <c r="D58" s="43"/>
      <c r="E58" s="43"/>
      <c r="F58" s="43"/>
      <c r="G58" s="43"/>
      <c r="H58" s="43"/>
    </row>
    <row r="59" spans="1:8" x14ac:dyDescent="0.3">
      <c r="A59" s="18" t="s">
        <v>157</v>
      </c>
      <c r="B59" s="24" t="s">
        <v>106</v>
      </c>
      <c r="C59" s="24" t="s">
        <v>158</v>
      </c>
      <c r="D59" s="44"/>
      <c r="E59" s="44"/>
      <c r="F59" s="44"/>
      <c r="G59" s="44"/>
      <c r="H59" s="44"/>
    </row>
    <row r="60" spans="1:8" x14ac:dyDescent="0.3">
      <c r="A60" s="17" t="s">
        <v>168</v>
      </c>
      <c r="B60" s="23" t="s">
        <v>106</v>
      </c>
      <c r="C60" s="23" t="s">
        <v>169</v>
      </c>
      <c r="D60" s="43"/>
      <c r="E60" s="43"/>
      <c r="F60" s="43"/>
      <c r="G60" s="43"/>
      <c r="H60" s="43"/>
    </row>
    <row r="61" spans="1:8" x14ac:dyDescent="0.3">
      <c r="A61" s="18" t="s">
        <v>170</v>
      </c>
      <c r="B61" s="24" t="s">
        <v>106</v>
      </c>
      <c r="C61" s="24" t="s">
        <v>171</v>
      </c>
      <c r="D61" s="44"/>
      <c r="E61" s="44"/>
      <c r="F61" s="44"/>
      <c r="G61" s="44"/>
      <c r="H61" s="44"/>
    </row>
    <row r="62" spans="1:8" x14ac:dyDescent="0.3">
      <c r="A62" s="17" t="s">
        <v>185</v>
      </c>
      <c r="B62" s="23" t="s">
        <v>106</v>
      </c>
      <c r="C62" s="23" t="s">
        <v>186</v>
      </c>
      <c r="D62" s="43"/>
      <c r="E62" s="43"/>
      <c r="F62" s="43"/>
      <c r="G62" s="43"/>
      <c r="H62" s="43"/>
    </row>
    <row r="63" spans="1:8" x14ac:dyDescent="0.3">
      <c r="A63" s="18" t="s">
        <v>187</v>
      </c>
      <c r="B63" s="24" t="s">
        <v>106</v>
      </c>
      <c r="C63" s="24" t="s">
        <v>188</v>
      </c>
      <c r="D63" s="44"/>
      <c r="E63" s="44"/>
      <c r="F63" s="44"/>
      <c r="G63" s="44"/>
      <c r="H63" s="44"/>
    </row>
    <row r="64" spans="1:8" x14ac:dyDescent="0.3">
      <c r="A64" s="17" t="s">
        <v>189</v>
      </c>
      <c r="B64" s="23" t="s">
        <v>106</v>
      </c>
      <c r="C64" s="23" t="s">
        <v>190</v>
      </c>
      <c r="D64" s="43"/>
      <c r="E64" s="43"/>
      <c r="F64" s="43"/>
      <c r="G64" s="43"/>
      <c r="H64" s="43"/>
    </row>
    <row r="65" spans="1:8" x14ac:dyDescent="0.3">
      <c r="A65" s="18" t="s">
        <v>361</v>
      </c>
      <c r="B65" s="24" t="s">
        <v>106</v>
      </c>
      <c r="C65" s="24" t="s">
        <v>362</v>
      </c>
      <c r="D65" s="44"/>
      <c r="E65" s="44"/>
      <c r="F65" s="44"/>
      <c r="G65" s="44"/>
      <c r="H65" s="44"/>
    </row>
    <row r="66" spans="1:8" x14ac:dyDescent="0.3">
      <c r="A66" s="17" t="s">
        <v>212</v>
      </c>
      <c r="B66" s="23" t="s">
        <v>106</v>
      </c>
      <c r="C66" s="23" t="s">
        <v>213</v>
      </c>
      <c r="D66" s="43"/>
      <c r="E66" s="43"/>
      <c r="F66" s="43"/>
      <c r="G66" s="43"/>
      <c r="H66" s="43"/>
    </row>
    <row r="67" spans="1:8" x14ac:dyDescent="0.3">
      <c r="A67" s="18" t="s">
        <v>161</v>
      </c>
      <c r="B67" s="24" t="s">
        <v>106</v>
      </c>
      <c r="C67" s="24" t="s">
        <v>162</v>
      </c>
      <c r="D67" s="44"/>
      <c r="E67" s="44"/>
      <c r="F67" s="44"/>
      <c r="G67" s="44"/>
      <c r="H67" s="44"/>
    </row>
    <row r="68" spans="1:8" x14ac:dyDescent="0.3">
      <c r="A68" s="17" t="s">
        <v>253</v>
      </c>
      <c r="B68" s="23" t="s">
        <v>106</v>
      </c>
      <c r="C68" s="23" t="s">
        <v>254</v>
      </c>
      <c r="D68" s="43"/>
      <c r="E68" s="43"/>
      <c r="F68" s="43"/>
      <c r="G68" s="43"/>
      <c r="H68" s="43"/>
    </row>
    <row r="69" spans="1:8" x14ac:dyDescent="0.3">
      <c r="A69" s="18" t="s">
        <v>218</v>
      </c>
      <c r="B69" s="24" t="s">
        <v>106</v>
      </c>
      <c r="C69" s="24" t="s">
        <v>219</v>
      </c>
      <c r="D69" s="44"/>
      <c r="E69" s="44"/>
      <c r="F69" s="44"/>
      <c r="G69" s="44"/>
      <c r="H69" s="44"/>
    </row>
    <row r="70" spans="1:8" x14ac:dyDescent="0.3">
      <c r="A70" s="17" t="s">
        <v>222</v>
      </c>
      <c r="B70" s="23" t="s">
        <v>106</v>
      </c>
      <c r="C70" s="23" t="s">
        <v>25</v>
      </c>
      <c r="D70" s="43"/>
      <c r="E70" s="43"/>
      <c r="F70" s="43"/>
      <c r="G70" s="43"/>
      <c r="H70" s="43"/>
    </row>
    <row r="71" spans="1:8" x14ac:dyDescent="0.3">
      <c r="A71" s="18" t="s">
        <v>210</v>
      </c>
      <c r="B71" s="24" t="s">
        <v>106</v>
      </c>
      <c r="C71" s="24" t="s">
        <v>211</v>
      </c>
      <c r="D71" s="44"/>
      <c r="E71" s="44"/>
      <c r="F71" s="44"/>
      <c r="G71" s="44"/>
      <c r="H71" s="44"/>
    </row>
    <row r="72" spans="1:8" x14ac:dyDescent="0.3">
      <c r="A72" s="17" t="s">
        <v>287</v>
      </c>
      <c r="B72" s="23" t="s">
        <v>106</v>
      </c>
      <c r="C72" s="23" t="s">
        <v>288</v>
      </c>
      <c r="D72" s="43"/>
      <c r="E72" s="43"/>
      <c r="F72" s="43"/>
      <c r="G72" s="43"/>
      <c r="H72" s="43"/>
    </row>
    <row r="73" spans="1:8" x14ac:dyDescent="0.3">
      <c r="A73" s="18" t="s">
        <v>272</v>
      </c>
      <c r="B73" s="24" t="s">
        <v>106</v>
      </c>
      <c r="C73" s="24" t="s">
        <v>273</v>
      </c>
      <c r="D73" s="44"/>
      <c r="E73" s="44"/>
      <c r="F73" s="44"/>
      <c r="G73" s="44"/>
      <c r="H73" s="44"/>
    </row>
    <row r="74" spans="1:8" x14ac:dyDescent="0.3">
      <c r="A74" s="17" t="s">
        <v>328</v>
      </c>
      <c r="B74" s="23" t="s">
        <v>106</v>
      </c>
      <c r="C74" s="23" t="s">
        <v>90</v>
      </c>
      <c r="D74" s="43"/>
      <c r="E74" s="43"/>
      <c r="F74" s="43"/>
      <c r="G74" s="43"/>
      <c r="H74" s="43"/>
    </row>
    <row r="75" spans="1:8" x14ac:dyDescent="0.3">
      <c r="A75" s="18" t="s">
        <v>307</v>
      </c>
      <c r="B75" s="24" t="s">
        <v>106</v>
      </c>
      <c r="C75" s="24" t="s">
        <v>42</v>
      </c>
      <c r="D75" s="44"/>
      <c r="E75" s="44"/>
      <c r="F75" s="44"/>
      <c r="G75" s="44"/>
      <c r="H75" s="44"/>
    </row>
    <row r="76" spans="1:8" x14ac:dyDescent="0.3">
      <c r="A76" s="17" t="s">
        <v>308</v>
      </c>
      <c r="B76" s="23" t="s">
        <v>106</v>
      </c>
      <c r="C76" s="23" t="s">
        <v>309</v>
      </c>
      <c r="D76" s="43"/>
      <c r="E76" s="43"/>
      <c r="F76" s="43"/>
      <c r="G76" s="43"/>
      <c r="H76" s="43"/>
    </row>
    <row r="77" spans="1:8" x14ac:dyDescent="0.3">
      <c r="A77" s="18" t="s">
        <v>302</v>
      </c>
      <c r="B77" s="24" t="s">
        <v>106</v>
      </c>
      <c r="C77" s="24" t="s">
        <v>303</v>
      </c>
      <c r="D77" s="44"/>
      <c r="E77" s="44"/>
      <c r="F77" s="44"/>
      <c r="G77" s="44"/>
      <c r="H77" s="44"/>
    </row>
    <row r="78" spans="1:8" x14ac:dyDescent="0.3">
      <c r="A78" s="17" t="s">
        <v>329</v>
      </c>
      <c r="B78" s="23" t="s">
        <v>106</v>
      </c>
      <c r="C78" s="23" t="s">
        <v>330</v>
      </c>
      <c r="D78" s="43"/>
      <c r="E78" s="43"/>
      <c r="F78" s="43"/>
      <c r="G78" s="43"/>
      <c r="H78" s="43"/>
    </row>
    <row r="79" spans="1:8" x14ac:dyDescent="0.3">
      <c r="A79" s="18" t="s">
        <v>392</v>
      </c>
      <c r="B79" s="24" t="s">
        <v>106</v>
      </c>
      <c r="C79" s="24" t="s">
        <v>393</v>
      </c>
      <c r="D79" s="44"/>
      <c r="E79" s="44"/>
      <c r="F79" s="44"/>
      <c r="G79" s="44"/>
      <c r="H79" s="44"/>
    </row>
    <row r="80" spans="1:8" x14ac:dyDescent="0.3">
      <c r="A80" s="17" t="s">
        <v>356</v>
      </c>
      <c r="B80" s="23" t="s">
        <v>106</v>
      </c>
      <c r="C80" s="23" t="s">
        <v>357</v>
      </c>
      <c r="D80" s="43"/>
      <c r="E80" s="43"/>
      <c r="F80" s="43"/>
      <c r="G80" s="43"/>
      <c r="H80" s="43"/>
    </row>
    <row r="81" spans="1:8" x14ac:dyDescent="0.3">
      <c r="A81" s="18" t="s">
        <v>380</v>
      </c>
      <c r="B81" s="24" t="s">
        <v>106</v>
      </c>
      <c r="C81" s="24" t="s">
        <v>381</v>
      </c>
      <c r="D81" s="44"/>
      <c r="E81" s="44"/>
      <c r="F81" s="44"/>
      <c r="G81" s="44"/>
      <c r="H81" s="44"/>
    </row>
    <row r="82" spans="1:8" x14ac:dyDescent="0.3">
      <c r="A82" s="17" t="s">
        <v>388</v>
      </c>
      <c r="B82" s="23" t="s">
        <v>106</v>
      </c>
      <c r="C82" s="23" t="s">
        <v>389</v>
      </c>
      <c r="D82" s="43"/>
      <c r="E82" s="43"/>
      <c r="F82" s="43"/>
      <c r="G82" s="43"/>
      <c r="H82" s="43"/>
    </row>
    <row r="83" spans="1:8" x14ac:dyDescent="0.3">
      <c r="A83" s="18" t="s">
        <v>424</v>
      </c>
      <c r="B83" s="24" t="s">
        <v>106</v>
      </c>
      <c r="C83" s="24" t="s">
        <v>43</v>
      </c>
      <c r="D83" s="44"/>
      <c r="E83" s="44"/>
      <c r="F83" s="44"/>
      <c r="G83" s="44"/>
      <c r="H83" s="44"/>
    </row>
    <row r="84" spans="1:8" x14ac:dyDescent="0.3">
      <c r="A84" s="17" t="s">
        <v>394</v>
      </c>
      <c r="B84" s="23" t="s">
        <v>106</v>
      </c>
      <c r="C84" s="23" t="s">
        <v>395</v>
      </c>
      <c r="D84" s="43"/>
      <c r="E84" s="43"/>
      <c r="F84" s="43"/>
      <c r="G84" s="43"/>
      <c r="H84" s="43"/>
    </row>
    <row r="85" spans="1:8" x14ac:dyDescent="0.3">
      <c r="A85" s="18" t="s">
        <v>99</v>
      </c>
      <c r="B85" s="24" t="s">
        <v>98</v>
      </c>
      <c r="C85" s="24" t="s">
        <v>83</v>
      </c>
      <c r="D85" s="44"/>
      <c r="E85" s="44"/>
      <c r="F85" s="44"/>
      <c r="G85" s="44"/>
      <c r="H85" s="44"/>
    </row>
    <row r="86" spans="1:8" x14ac:dyDescent="0.3">
      <c r="A86" s="17" t="s">
        <v>113</v>
      </c>
      <c r="B86" s="23" t="s">
        <v>98</v>
      </c>
      <c r="C86" s="23" t="s">
        <v>114</v>
      </c>
      <c r="D86" s="43"/>
      <c r="E86" s="43"/>
      <c r="F86" s="43"/>
      <c r="G86" s="43"/>
      <c r="H86" s="43"/>
    </row>
    <row r="87" spans="1:8" x14ac:dyDescent="0.3">
      <c r="A87" s="18" t="s">
        <v>123</v>
      </c>
      <c r="B87" s="24" t="s">
        <v>98</v>
      </c>
      <c r="C87" s="24" t="s">
        <v>17</v>
      </c>
      <c r="D87" s="44"/>
      <c r="E87" s="44"/>
      <c r="F87" s="44"/>
      <c r="G87" s="44"/>
      <c r="H87" s="44"/>
    </row>
    <row r="88" spans="1:8" x14ac:dyDescent="0.3">
      <c r="A88" s="17" t="s">
        <v>132</v>
      </c>
      <c r="B88" s="23" t="s">
        <v>98</v>
      </c>
      <c r="C88" s="23" t="s">
        <v>133</v>
      </c>
      <c r="D88" s="43"/>
      <c r="E88" s="43"/>
      <c r="F88" s="43"/>
      <c r="G88" s="43"/>
      <c r="H88" s="43"/>
    </row>
    <row r="89" spans="1:8" x14ac:dyDescent="0.3">
      <c r="A89" s="18" t="s">
        <v>145</v>
      </c>
      <c r="B89" s="24" t="s">
        <v>98</v>
      </c>
      <c r="C89" s="24" t="s">
        <v>146</v>
      </c>
      <c r="D89" s="44"/>
      <c r="E89" s="44"/>
      <c r="F89" s="44"/>
      <c r="G89" s="44"/>
      <c r="H89" s="44"/>
    </row>
    <row r="90" spans="1:8" x14ac:dyDescent="0.3">
      <c r="A90" s="17" t="s">
        <v>147</v>
      </c>
      <c r="B90" s="23" t="s">
        <v>98</v>
      </c>
      <c r="C90" s="23" t="s">
        <v>11</v>
      </c>
      <c r="D90" s="43"/>
      <c r="E90" s="43"/>
      <c r="F90" s="43"/>
      <c r="G90" s="43"/>
      <c r="H90" s="43"/>
    </row>
    <row r="91" spans="1:8" x14ac:dyDescent="0.3">
      <c r="A91" s="18" t="s">
        <v>173</v>
      </c>
      <c r="B91" s="24" t="s">
        <v>98</v>
      </c>
      <c r="C91" s="24" t="s">
        <v>174</v>
      </c>
      <c r="D91" s="44"/>
      <c r="E91" s="44"/>
      <c r="F91" s="44"/>
      <c r="G91" s="44"/>
      <c r="H91" s="44"/>
    </row>
    <row r="92" spans="1:8" x14ac:dyDescent="0.3">
      <c r="A92" s="17" t="s">
        <v>166</v>
      </c>
      <c r="B92" s="23" t="s">
        <v>98</v>
      </c>
      <c r="C92" s="23" t="s">
        <v>167</v>
      </c>
      <c r="D92" s="43"/>
      <c r="E92" s="43"/>
      <c r="F92" s="43"/>
      <c r="G92" s="43"/>
      <c r="H92" s="43"/>
    </row>
    <row r="93" spans="1:8" x14ac:dyDescent="0.3">
      <c r="A93" s="18" t="s">
        <v>196</v>
      </c>
      <c r="B93" s="24" t="s">
        <v>98</v>
      </c>
      <c r="C93" s="24" t="s">
        <v>197</v>
      </c>
      <c r="D93" s="44"/>
      <c r="E93" s="44"/>
      <c r="F93" s="44"/>
      <c r="G93" s="44"/>
      <c r="H93" s="44"/>
    </row>
    <row r="94" spans="1:8" x14ac:dyDescent="0.3">
      <c r="A94" s="17" t="s">
        <v>227</v>
      </c>
      <c r="B94" s="23" t="s">
        <v>98</v>
      </c>
      <c r="C94" s="23" t="s">
        <v>45</v>
      </c>
      <c r="D94" s="43"/>
      <c r="E94" s="43"/>
      <c r="F94" s="43"/>
      <c r="G94" s="43"/>
      <c r="H94" s="43"/>
    </row>
    <row r="95" spans="1:8" x14ac:dyDescent="0.3">
      <c r="A95" s="18" t="s">
        <v>228</v>
      </c>
      <c r="B95" s="24" t="s">
        <v>98</v>
      </c>
      <c r="C95" s="24" t="s">
        <v>229</v>
      </c>
      <c r="D95" s="44"/>
      <c r="E95" s="44"/>
      <c r="F95" s="44"/>
      <c r="G95" s="44"/>
      <c r="H95" s="44"/>
    </row>
    <row r="96" spans="1:8" x14ac:dyDescent="0.3">
      <c r="A96" s="17" t="s">
        <v>216</v>
      </c>
      <c r="B96" s="23" t="s">
        <v>98</v>
      </c>
      <c r="C96" s="23" t="s">
        <v>217</v>
      </c>
      <c r="D96" s="43"/>
      <c r="E96" s="43"/>
      <c r="F96" s="43"/>
      <c r="G96" s="43"/>
      <c r="H96" s="43"/>
    </row>
    <row r="97" spans="1:8" x14ac:dyDescent="0.3">
      <c r="A97" s="18" t="s">
        <v>223</v>
      </c>
      <c r="B97" s="24" t="s">
        <v>98</v>
      </c>
      <c r="C97" s="24" t="s">
        <v>224</v>
      </c>
      <c r="D97" s="44"/>
      <c r="E97" s="44"/>
      <c r="F97" s="44"/>
      <c r="G97" s="44"/>
      <c r="H97" s="44"/>
    </row>
    <row r="98" spans="1:8" x14ac:dyDescent="0.3">
      <c r="A98" s="17" t="s">
        <v>200</v>
      </c>
      <c r="B98" s="23" t="s">
        <v>98</v>
      </c>
      <c r="C98" s="23" t="s">
        <v>201</v>
      </c>
      <c r="D98" s="43"/>
      <c r="E98" s="43"/>
      <c r="F98" s="43"/>
      <c r="G98" s="43"/>
      <c r="H98" s="43"/>
    </row>
    <row r="99" spans="1:8" x14ac:dyDescent="0.3">
      <c r="A99" s="18" t="s">
        <v>305</v>
      </c>
      <c r="B99" s="24" t="s">
        <v>98</v>
      </c>
      <c r="C99" s="24" t="s">
        <v>306</v>
      </c>
      <c r="D99" s="44"/>
      <c r="E99" s="44"/>
      <c r="F99" s="44"/>
      <c r="G99" s="44"/>
      <c r="H99" s="44"/>
    </row>
    <row r="100" spans="1:8" x14ac:dyDescent="0.3">
      <c r="A100" s="17" t="s">
        <v>249</v>
      </c>
      <c r="B100" s="23" t="s">
        <v>98</v>
      </c>
      <c r="C100" s="23" t="s">
        <v>9</v>
      </c>
      <c r="D100" s="43"/>
      <c r="E100" s="43"/>
      <c r="F100" s="43"/>
      <c r="G100" s="43"/>
      <c r="H100" s="43"/>
    </row>
    <row r="101" spans="1:8" x14ac:dyDescent="0.3">
      <c r="A101" s="18" t="s">
        <v>270</v>
      </c>
      <c r="B101" s="24" t="s">
        <v>98</v>
      </c>
      <c r="C101" s="24" t="s">
        <v>47</v>
      </c>
      <c r="D101" s="44"/>
      <c r="E101" s="44"/>
      <c r="F101" s="44"/>
      <c r="G101" s="44"/>
      <c r="H101" s="44"/>
    </row>
    <row r="102" spans="1:8" x14ac:dyDescent="0.3">
      <c r="A102" s="17" t="s">
        <v>419</v>
      </c>
      <c r="B102" s="23" t="s">
        <v>98</v>
      </c>
      <c r="C102" s="23" t="s">
        <v>420</v>
      </c>
      <c r="D102" s="43"/>
      <c r="E102" s="43"/>
      <c r="F102" s="43"/>
      <c r="G102" s="43"/>
      <c r="H102" s="43"/>
    </row>
    <row r="103" spans="1:8" x14ac:dyDescent="0.3">
      <c r="A103" s="18" t="s">
        <v>281</v>
      </c>
      <c r="B103" s="24" t="s">
        <v>98</v>
      </c>
      <c r="C103" s="24" t="s">
        <v>282</v>
      </c>
      <c r="D103" s="44"/>
      <c r="E103" s="44"/>
      <c r="F103" s="44"/>
      <c r="G103" s="44"/>
      <c r="H103" s="44"/>
    </row>
    <row r="104" spans="1:8" x14ac:dyDescent="0.3">
      <c r="A104" s="17" t="s">
        <v>243</v>
      </c>
      <c r="B104" s="23" t="s">
        <v>98</v>
      </c>
      <c r="C104" s="23" t="s">
        <v>244</v>
      </c>
      <c r="D104" s="43"/>
      <c r="E104" s="43"/>
      <c r="F104" s="43"/>
      <c r="G104" s="43"/>
      <c r="H104" s="43"/>
    </row>
    <row r="105" spans="1:8" x14ac:dyDescent="0.3">
      <c r="A105" s="18" t="s">
        <v>289</v>
      </c>
      <c r="B105" s="24" t="s">
        <v>98</v>
      </c>
      <c r="C105" s="24" t="s">
        <v>290</v>
      </c>
      <c r="D105" s="44"/>
      <c r="E105" s="44"/>
      <c r="F105" s="44"/>
      <c r="G105" s="44"/>
      <c r="H105" s="44"/>
    </row>
    <row r="106" spans="1:8" x14ac:dyDescent="0.3">
      <c r="A106" s="17" t="s">
        <v>296</v>
      </c>
      <c r="B106" s="23" t="s">
        <v>98</v>
      </c>
      <c r="C106" s="23" t="s">
        <v>69</v>
      </c>
      <c r="D106" s="43"/>
      <c r="E106" s="43"/>
      <c r="F106" s="43"/>
      <c r="G106" s="43"/>
      <c r="H106" s="43"/>
    </row>
    <row r="107" spans="1:8" x14ac:dyDescent="0.3">
      <c r="A107" s="18" t="s">
        <v>295</v>
      </c>
      <c r="B107" s="24" t="s">
        <v>98</v>
      </c>
      <c r="C107" s="24" t="s">
        <v>67</v>
      </c>
      <c r="D107" s="44"/>
      <c r="E107" s="44"/>
      <c r="F107" s="44"/>
      <c r="G107" s="44"/>
      <c r="H107" s="44"/>
    </row>
    <row r="108" spans="1:8" x14ac:dyDescent="0.3">
      <c r="A108" s="17" t="s">
        <v>299</v>
      </c>
      <c r="B108" s="23" t="s">
        <v>98</v>
      </c>
      <c r="C108" s="23" t="s">
        <v>300</v>
      </c>
      <c r="D108" s="43"/>
      <c r="E108" s="43"/>
      <c r="F108" s="43"/>
      <c r="G108" s="43"/>
      <c r="H108" s="43"/>
    </row>
    <row r="109" spans="1:8" x14ac:dyDescent="0.3">
      <c r="A109" s="18" t="s">
        <v>301</v>
      </c>
      <c r="B109" s="24" t="s">
        <v>98</v>
      </c>
      <c r="C109" s="24" t="s">
        <v>33</v>
      </c>
      <c r="D109" s="44"/>
      <c r="E109" s="44"/>
      <c r="F109" s="44"/>
      <c r="G109" s="44"/>
      <c r="H109" s="44"/>
    </row>
    <row r="110" spans="1:8" x14ac:dyDescent="0.3">
      <c r="A110" s="17" t="s">
        <v>421</v>
      </c>
      <c r="B110" s="23" t="s">
        <v>98</v>
      </c>
      <c r="C110" s="23" t="s">
        <v>422</v>
      </c>
      <c r="D110" s="43"/>
      <c r="E110" s="43"/>
      <c r="F110" s="43"/>
      <c r="G110" s="43"/>
      <c r="H110" s="43"/>
    </row>
    <row r="111" spans="1:8" x14ac:dyDescent="0.3">
      <c r="A111" s="18" t="s">
        <v>304</v>
      </c>
      <c r="B111" s="24" t="s">
        <v>98</v>
      </c>
      <c r="C111" s="24" t="s">
        <v>7</v>
      </c>
      <c r="D111" s="44"/>
      <c r="E111" s="44"/>
      <c r="F111" s="44"/>
      <c r="G111" s="44"/>
      <c r="H111" s="44"/>
    </row>
    <row r="112" spans="1:8" x14ac:dyDescent="0.3">
      <c r="A112" s="17" t="s">
        <v>310</v>
      </c>
      <c r="B112" s="23" t="s">
        <v>98</v>
      </c>
      <c r="C112" s="23" t="s">
        <v>44</v>
      </c>
      <c r="D112" s="43"/>
      <c r="E112" s="43"/>
      <c r="F112" s="43"/>
      <c r="G112" s="43"/>
      <c r="H112" s="43"/>
    </row>
    <row r="113" spans="1:8" x14ac:dyDescent="0.3">
      <c r="A113" s="18" t="s">
        <v>399</v>
      </c>
      <c r="B113" s="24" t="s">
        <v>98</v>
      </c>
      <c r="C113" s="24" t="s">
        <v>400</v>
      </c>
      <c r="D113" s="44"/>
      <c r="E113" s="44"/>
      <c r="F113" s="44"/>
      <c r="G113" s="44"/>
      <c r="H113" s="44"/>
    </row>
    <row r="114" spans="1:8" x14ac:dyDescent="0.3">
      <c r="A114" s="17" t="s">
        <v>345</v>
      </c>
      <c r="B114" s="23" t="s">
        <v>98</v>
      </c>
      <c r="C114" s="23" t="s">
        <v>346</v>
      </c>
      <c r="D114" s="43"/>
      <c r="E114" s="43"/>
      <c r="F114" s="43"/>
      <c r="G114" s="43"/>
      <c r="H114" s="43"/>
    </row>
    <row r="115" spans="1:8" x14ac:dyDescent="0.3">
      <c r="A115" s="18" t="s">
        <v>338</v>
      </c>
      <c r="B115" s="24" t="s">
        <v>98</v>
      </c>
      <c r="C115" s="24" t="s">
        <v>339</v>
      </c>
      <c r="D115" s="44"/>
      <c r="E115" s="44"/>
      <c r="F115" s="44"/>
      <c r="G115" s="44"/>
      <c r="H115" s="44"/>
    </row>
    <row r="116" spans="1:8" x14ac:dyDescent="0.3">
      <c r="A116" s="17" t="s">
        <v>311</v>
      </c>
      <c r="B116" s="23" t="s">
        <v>98</v>
      </c>
      <c r="C116" s="23" t="s">
        <v>312</v>
      </c>
      <c r="D116" s="43"/>
      <c r="E116" s="43"/>
      <c r="F116" s="43"/>
      <c r="G116" s="43"/>
      <c r="H116" s="43"/>
    </row>
    <row r="117" spans="1:8" x14ac:dyDescent="0.3">
      <c r="A117" s="18" t="s">
        <v>368</v>
      </c>
      <c r="B117" s="24" t="s">
        <v>98</v>
      </c>
      <c r="C117" s="24" t="s">
        <v>8</v>
      </c>
      <c r="D117" s="44"/>
      <c r="E117" s="44"/>
      <c r="F117" s="44"/>
      <c r="G117" s="44"/>
      <c r="H117" s="44"/>
    </row>
    <row r="118" spans="1:8" x14ac:dyDescent="0.3">
      <c r="A118" s="17" t="s">
        <v>371</v>
      </c>
      <c r="B118" s="23" t="s">
        <v>98</v>
      </c>
      <c r="C118" s="23" t="s">
        <v>372</v>
      </c>
      <c r="D118" s="43"/>
      <c r="E118" s="43"/>
      <c r="F118" s="43"/>
      <c r="G118" s="43"/>
      <c r="H118" s="43"/>
    </row>
    <row r="119" spans="1:8" x14ac:dyDescent="0.3">
      <c r="A119" s="18" t="s">
        <v>377</v>
      </c>
      <c r="B119" s="24" t="s">
        <v>98</v>
      </c>
      <c r="C119" s="24" t="s">
        <v>378</v>
      </c>
      <c r="D119" s="44"/>
      <c r="E119" s="44"/>
      <c r="F119" s="44"/>
      <c r="G119" s="44"/>
      <c r="H119" s="44"/>
    </row>
    <row r="120" spans="1:8" x14ac:dyDescent="0.3">
      <c r="A120" s="17" t="s">
        <v>382</v>
      </c>
      <c r="B120" s="23" t="s">
        <v>98</v>
      </c>
      <c r="C120" s="23" t="s">
        <v>383</v>
      </c>
      <c r="D120" s="43"/>
      <c r="E120" s="43"/>
      <c r="F120" s="43"/>
      <c r="G120" s="43"/>
      <c r="H120" s="43"/>
    </row>
    <row r="121" spans="1:8" x14ac:dyDescent="0.3">
      <c r="A121" s="18" t="s">
        <v>397</v>
      </c>
      <c r="B121" s="24" t="s">
        <v>98</v>
      </c>
      <c r="C121" s="24" t="s">
        <v>398</v>
      </c>
      <c r="D121" s="44"/>
      <c r="E121" s="44"/>
      <c r="F121" s="44"/>
      <c r="G121" s="44"/>
      <c r="H121" s="44"/>
    </row>
    <row r="122" spans="1:8" x14ac:dyDescent="0.3">
      <c r="A122" s="17" t="s">
        <v>396</v>
      </c>
      <c r="B122" s="23" t="s">
        <v>98</v>
      </c>
      <c r="C122" s="23" t="s">
        <v>12</v>
      </c>
      <c r="D122" s="43"/>
      <c r="E122" s="43"/>
      <c r="F122" s="43"/>
      <c r="G122" s="43"/>
      <c r="H122" s="43"/>
    </row>
    <row r="123" spans="1:8" x14ac:dyDescent="0.3">
      <c r="A123" s="18" t="s">
        <v>101</v>
      </c>
      <c r="B123" s="24" t="s">
        <v>100</v>
      </c>
      <c r="C123" s="24" t="s">
        <v>13</v>
      </c>
      <c r="D123" s="44"/>
      <c r="E123" s="44"/>
      <c r="F123" s="44"/>
      <c r="G123" s="44"/>
      <c r="H123" s="44"/>
    </row>
    <row r="124" spans="1:8" x14ac:dyDescent="0.3">
      <c r="A124" s="17" t="s">
        <v>102</v>
      </c>
      <c r="B124" s="23" t="s">
        <v>100</v>
      </c>
      <c r="C124" s="23" t="s">
        <v>103</v>
      </c>
      <c r="D124" s="43"/>
      <c r="E124" s="43"/>
      <c r="F124" s="43"/>
      <c r="G124" s="43"/>
      <c r="H124" s="43"/>
    </row>
    <row r="125" spans="1:8" x14ac:dyDescent="0.3">
      <c r="A125" s="18" t="s">
        <v>112</v>
      </c>
      <c r="B125" s="24" t="s">
        <v>100</v>
      </c>
      <c r="C125" s="24" t="s">
        <v>16</v>
      </c>
      <c r="D125" s="44"/>
      <c r="E125" s="44"/>
      <c r="F125" s="44"/>
      <c r="G125" s="44"/>
      <c r="H125" s="44"/>
    </row>
    <row r="126" spans="1:8" x14ac:dyDescent="0.3">
      <c r="A126" s="17" t="s">
        <v>115</v>
      </c>
      <c r="B126" s="23" t="s">
        <v>100</v>
      </c>
      <c r="C126" s="23" t="s">
        <v>116</v>
      </c>
      <c r="D126" s="43"/>
      <c r="E126" s="43"/>
      <c r="F126" s="43"/>
      <c r="G126" s="43"/>
      <c r="H126" s="43"/>
    </row>
    <row r="127" spans="1:8" x14ac:dyDescent="0.3">
      <c r="A127" s="18" t="s">
        <v>117</v>
      </c>
      <c r="B127" s="24" t="s">
        <v>100</v>
      </c>
      <c r="C127" s="24" t="s">
        <v>118</v>
      </c>
      <c r="D127" s="44"/>
      <c r="E127" s="44"/>
      <c r="F127" s="44"/>
      <c r="G127" s="44"/>
      <c r="H127" s="44"/>
    </row>
    <row r="128" spans="1:8" x14ac:dyDescent="0.3">
      <c r="A128" s="17" t="s">
        <v>124</v>
      </c>
      <c r="B128" s="23" t="s">
        <v>100</v>
      </c>
      <c r="C128" s="23" t="s">
        <v>30</v>
      </c>
      <c r="D128" s="43"/>
      <c r="E128" s="43"/>
      <c r="F128" s="43"/>
      <c r="G128" s="43"/>
      <c r="H128" s="43"/>
    </row>
    <row r="129" spans="1:8" x14ac:dyDescent="0.3">
      <c r="A129" s="18" t="s">
        <v>128</v>
      </c>
      <c r="B129" s="24" t="s">
        <v>100</v>
      </c>
      <c r="C129" s="24" t="s">
        <v>129</v>
      </c>
      <c r="D129" s="44"/>
      <c r="E129" s="44"/>
      <c r="F129" s="44"/>
      <c r="G129" s="44"/>
      <c r="H129" s="44"/>
    </row>
    <row r="130" spans="1:8" x14ac:dyDescent="0.3">
      <c r="A130" s="17" t="s">
        <v>125</v>
      </c>
      <c r="B130" s="23" t="s">
        <v>100</v>
      </c>
      <c r="C130" s="23" t="s">
        <v>58</v>
      </c>
      <c r="D130" s="43"/>
      <c r="E130" s="43"/>
      <c r="F130" s="43"/>
      <c r="G130" s="43"/>
      <c r="H130" s="43"/>
    </row>
    <row r="131" spans="1:8" x14ac:dyDescent="0.3">
      <c r="A131" s="18" t="s">
        <v>137</v>
      </c>
      <c r="B131" s="24" t="s">
        <v>100</v>
      </c>
      <c r="C131" s="24" t="s">
        <v>24</v>
      </c>
      <c r="D131" s="44"/>
      <c r="E131" s="44"/>
      <c r="F131" s="44"/>
      <c r="G131" s="44"/>
      <c r="H131" s="44"/>
    </row>
    <row r="132" spans="1:8" x14ac:dyDescent="0.3">
      <c r="A132" s="17" t="s">
        <v>410</v>
      </c>
      <c r="B132" s="23" t="s">
        <v>100</v>
      </c>
      <c r="C132" s="23" t="s">
        <v>60</v>
      </c>
      <c r="D132" s="43"/>
      <c r="E132" s="43"/>
      <c r="F132" s="43"/>
      <c r="G132" s="43"/>
      <c r="H132" s="43"/>
    </row>
    <row r="133" spans="1:8" x14ac:dyDescent="0.3">
      <c r="A133" s="18" t="s">
        <v>175</v>
      </c>
      <c r="B133" s="24" t="s">
        <v>100</v>
      </c>
      <c r="C133" s="24" t="s">
        <v>176</v>
      </c>
      <c r="D133" s="44"/>
      <c r="E133" s="44"/>
      <c r="F133" s="44"/>
      <c r="G133" s="44"/>
      <c r="H133" s="44"/>
    </row>
    <row r="134" spans="1:8" x14ac:dyDescent="0.3">
      <c r="A134" s="17" t="s">
        <v>177</v>
      </c>
      <c r="B134" s="23" t="s">
        <v>100</v>
      </c>
      <c r="C134" s="23" t="s">
        <v>178</v>
      </c>
      <c r="D134" s="43"/>
      <c r="E134" s="43"/>
      <c r="F134" s="43"/>
      <c r="G134" s="43"/>
      <c r="H134" s="43"/>
    </row>
    <row r="135" spans="1:8" x14ac:dyDescent="0.3">
      <c r="A135" s="18" t="s">
        <v>183</v>
      </c>
      <c r="B135" s="24" t="s">
        <v>100</v>
      </c>
      <c r="C135" s="24" t="s">
        <v>184</v>
      </c>
      <c r="D135" s="44"/>
      <c r="E135" s="44"/>
      <c r="F135" s="44"/>
      <c r="G135" s="44"/>
      <c r="H135" s="44"/>
    </row>
    <row r="136" spans="1:8" x14ac:dyDescent="0.3">
      <c r="A136" s="17" t="s">
        <v>193</v>
      </c>
      <c r="B136" s="23" t="s">
        <v>100</v>
      </c>
      <c r="C136" s="23" t="s">
        <v>194</v>
      </c>
      <c r="D136" s="43"/>
      <c r="E136" s="43"/>
      <c r="F136" s="43"/>
      <c r="G136" s="43"/>
      <c r="H136" s="43"/>
    </row>
    <row r="137" spans="1:8" x14ac:dyDescent="0.3">
      <c r="A137" s="18" t="s">
        <v>198</v>
      </c>
      <c r="B137" s="24" t="s">
        <v>100</v>
      </c>
      <c r="C137" s="24" t="s">
        <v>199</v>
      </c>
      <c r="D137" s="44"/>
      <c r="E137" s="44"/>
      <c r="F137" s="44"/>
      <c r="G137" s="44"/>
      <c r="H137" s="44"/>
    </row>
    <row r="138" spans="1:8" x14ac:dyDescent="0.3">
      <c r="A138" s="17" t="s">
        <v>411</v>
      </c>
      <c r="B138" s="23" t="s">
        <v>100</v>
      </c>
      <c r="C138" s="23" t="s">
        <v>412</v>
      </c>
      <c r="D138" s="43"/>
      <c r="E138" s="43"/>
      <c r="F138" s="43"/>
      <c r="G138" s="43"/>
      <c r="H138" s="43"/>
    </row>
    <row r="139" spans="1:8" x14ac:dyDescent="0.3">
      <c r="A139" s="18" t="s">
        <v>241</v>
      </c>
      <c r="B139" s="24" t="s">
        <v>100</v>
      </c>
      <c r="C139" s="24" t="s">
        <v>242</v>
      </c>
      <c r="D139" s="44"/>
      <c r="E139" s="44"/>
      <c r="F139" s="44"/>
      <c r="G139" s="44"/>
      <c r="H139" s="44"/>
    </row>
    <row r="140" spans="1:8" x14ac:dyDescent="0.3">
      <c r="A140" s="17" t="s">
        <v>204</v>
      </c>
      <c r="B140" s="23" t="s">
        <v>100</v>
      </c>
      <c r="C140" s="23" t="s">
        <v>205</v>
      </c>
      <c r="D140" s="43"/>
      <c r="E140" s="43"/>
      <c r="F140" s="43"/>
      <c r="G140" s="43"/>
      <c r="H140" s="43"/>
    </row>
    <row r="141" spans="1:8" x14ac:dyDescent="0.3">
      <c r="A141" s="18" t="s">
        <v>155</v>
      </c>
      <c r="B141" s="24" t="s">
        <v>100</v>
      </c>
      <c r="C141" s="24" t="s">
        <v>156</v>
      </c>
      <c r="D141" s="44"/>
      <c r="E141" s="44"/>
      <c r="F141" s="44"/>
      <c r="G141" s="44"/>
      <c r="H141" s="44"/>
    </row>
    <row r="142" spans="1:8" x14ac:dyDescent="0.3">
      <c r="A142" s="17" t="s">
        <v>225</v>
      </c>
      <c r="B142" s="23" t="s">
        <v>100</v>
      </c>
      <c r="C142" s="23" t="s">
        <v>226</v>
      </c>
      <c r="D142" s="43"/>
      <c r="E142" s="43"/>
      <c r="F142" s="43"/>
      <c r="G142" s="43"/>
      <c r="H142" s="43"/>
    </row>
    <row r="143" spans="1:8" x14ac:dyDescent="0.3">
      <c r="A143" s="18" t="s">
        <v>415</v>
      </c>
      <c r="B143" s="24" t="s">
        <v>100</v>
      </c>
      <c r="C143" s="24" t="s">
        <v>416</v>
      </c>
      <c r="D143" s="44"/>
      <c r="E143" s="44"/>
      <c r="F143" s="44"/>
      <c r="G143" s="44"/>
      <c r="H143" s="44"/>
    </row>
    <row r="144" spans="1:8" x14ac:dyDescent="0.3">
      <c r="A144" s="17" t="s">
        <v>231</v>
      </c>
      <c r="B144" s="23" t="s">
        <v>100</v>
      </c>
      <c r="C144" s="23" t="s">
        <v>232</v>
      </c>
      <c r="D144" s="43"/>
      <c r="E144" s="43"/>
      <c r="F144" s="43"/>
      <c r="G144" s="43"/>
      <c r="H144" s="43"/>
    </row>
    <row r="145" spans="1:8" x14ac:dyDescent="0.3">
      <c r="A145" s="18" t="s">
        <v>233</v>
      </c>
      <c r="B145" s="24" t="s">
        <v>100</v>
      </c>
      <c r="C145" s="24" t="s">
        <v>234</v>
      </c>
      <c r="D145" s="44"/>
      <c r="E145" s="44"/>
      <c r="F145" s="44"/>
      <c r="G145" s="44"/>
      <c r="H145" s="44"/>
    </row>
    <row r="146" spans="1:8" x14ac:dyDescent="0.3">
      <c r="A146" s="17" t="s">
        <v>235</v>
      </c>
      <c r="B146" s="23" t="s">
        <v>100</v>
      </c>
      <c r="C146" s="23" t="s">
        <v>236</v>
      </c>
      <c r="D146" s="43"/>
      <c r="E146" s="43"/>
      <c r="F146" s="43"/>
      <c r="G146" s="43"/>
      <c r="H146" s="43"/>
    </row>
    <row r="147" spans="1:8" x14ac:dyDescent="0.3">
      <c r="A147" s="18" t="s">
        <v>417</v>
      </c>
      <c r="B147" s="24" t="s">
        <v>100</v>
      </c>
      <c r="C147" s="24" t="s">
        <v>418</v>
      </c>
      <c r="D147" s="44"/>
      <c r="E147" s="44"/>
      <c r="F147" s="44"/>
      <c r="G147" s="44"/>
      <c r="H147" s="44"/>
    </row>
    <row r="148" spans="1:8" x14ac:dyDescent="0.3">
      <c r="A148" s="17" t="s">
        <v>413</v>
      </c>
      <c r="B148" s="23" t="s">
        <v>100</v>
      </c>
      <c r="C148" s="23" t="s">
        <v>414</v>
      </c>
      <c r="D148" s="43"/>
      <c r="E148" s="43"/>
      <c r="F148" s="43"/>
      <c r="G148" s="43"/>
      <c r="H148" s="43"/>
    </row>
    <row r="149" spans="1:8" x14ac:dyDescent="0.3">
      <c r="A149" s="18" t="s">
        <v>251</v>
      </c>
      <c r="B149" s="24" t="s">
        <v>100</v>
      </c>
      <c r="C149" s="24" t="s">
        <v>252</v>
      </c>
      <c r="D149" s="44"/>
      <c r="E149" s="44"/>
      <c r="F149" s="44"/>
      <c r="G149" s="44"/>
      <c r="H149" s="44"/>
    </row>
    <row r="150" spans="1:8" x14ac:dyDescent="0.3">
      <c r="A150" s="17" t="s">
        <v>260</v>
      </c>
      <c r="B150" s="23" t="s">
        <v>100</v>
      </c>
      <c r="C150" s="23" t="s">
        <v>261</v>
      </c>
      <c r="D150" s="43"/>
      <c r="E150" s="43"/>
      <c r="F150" s="43"/>
      <c r="G150" s="43"/>
      <c r="H150" s="43"/>
    </row>
    <row r="151" spans="1:8" x14ac:dyDescent="0.3">
      <c r="A151" s="18" t="s">
        <v>262</v>
      </c>
      <c r="B151" s="24" t="s">
        <v>100</v>
      </c>
      <c r="C151" s="24" t="s">
        <v>263</v>
      </c>
      <c r="D151" s="44"/>
      <c r="E151" s="44"/>
      <c r="F151" s="44"/>
      <c r="G151" s="44"/>
      <c r="H151" s="44"/>
    </row>
    <row r="152" spans="1:8" x14ac:dyDescent="0.3">
      <c r="A152" s="17" t="s">
        <v>264</v>
      </c>
      <c r="B152" s="23" t="s">
        <v>100</v>
      </c>
      <c r="C152" s="23" t="s">
        <v>265</v>
      </c>
      <c r="D152" s="43"/>
      <c r="E152" s="43"/>
      <c r="F152" s="43"/>
      <c r="G152" s="43"/>
      <c r="H152" s="43"/>
    </row>
    <row r="153" spans="1:8" x14ac:dyDescent="0.3">
      <c r="A153" s="18" t="s">
        <v>277</v>
      </c>
      <c r="B153" s="24" t="s">
        <v>100</v>
      </c>
      <c r="C153" s="24" t="s">
        <v>278</v>
      </c>
      <c r="D153" s="44"/>
      <c r="E153" s="44"/>
      <c r="F153" s="44"/>
      <c r="G153" s="44"/>
      <c r="H153" s="44"/>
    </row>
    <row r="154" spans="1:8" x14ac:dyDescent="0.3">
      <c r="A154" s="17" t="s">
        <v>319</v>
      </c>
      <c r="B154" s="23" t="s">
        <v>100</v>
      </c>
      <c r="C154" s="23" t="s">
        <v>320</v>
      </c>
      <c r="D154" s="43"/>
      <c r="E154" s="43"/>
      <c r="F154" s="43"/>
      <c r="G154" s="43"/>
      <c r="H154" s="43"/>
    </row>
    <row r="155" spans="1:8" x14ac:dyDescent="0.3">
      <c r="A155" s="18" t="s">
        <v>321</v>
      </c>
      <c r="B155" s="24" t="s">
        <v>100</v>
      </c>
      <c r="C155" s="24" t="s">
        <v>322</v>
      </c>
      <c r="D155" s="44"/>
      <c r="E155" s="44"/>
      <c r="F155" s="44"/>
      <c r="G155" s="44"/>
      <c r="H155" s="44"/>
    </row>
    <row r="156" spans="1:8" x14ac:dyDescent="0.3">
      <c r="A156" s="17" t="s">
        <v>423</v>
      </c>
      <c r="B156" s="23" t="s">
        <v>100</v>
      </c>
      <c r="C156" s="23" t="s">
        <v>48</v>
      </c>
      <c r="D156" s="43"/>
      <c r="E156" s="43"/>
      <c r="F156" s="43"/>
      <c r="G156" s="43"/>
      <c r="H156" s="43"/>
    </row>
    <row r="157" spans="1:8" x14ac:dyDescent="0.3">
      <c r="A157" s="18" t="s">
        <v>275</v>
      </c>
      <c r="B157" s="24" t="s">
        <v>100</v>
      </c>
      <c r="C157" s="24" t="s">
        <v>276</v>
      </c>
      <c r="D157" s="44"/>
      <c r="E157" s="44"/>
      <c r="F157" s="44"/>
      <c r="G157" s="44"/>
      <c r="H157" s="44"/>
    </row>
    <row r="158" spans="1:8" x14ac:dyDescent="0.3">
      <c r="A158" s="17" t="s">
        <v>325</v>
      </c>
      <c r="B158" s="23" t="s">
        <v>100</v>
      </c>
      <c r="C158" s="23" t="s">
        <v>59</v>
      </c>
      <c r="D158" s="43"/>
      <c r="E158" s="43"/>
      <c r="F158" s="43"/>
      <c r="G158" s="43"/>
      <c r="H158" s="43"/>
    </row>
    <row r="159" spans="1:8" x14ac:dyDescent="0.3">
      <c r="A159" s="18" t="s">
        <v>279</v>
      </c>
      <c r="B159" s="24" t="s">
        <v>100</v>
      </c>
      <c r="C159" s="24" t="s">
        <v>280</v>
      </c>
      <c r="D159" s="44"/>
      <c r="E159" s="44"/>
      <c r="F159" s="44"/>
      <c r="G159" s="44"/>
      <c r="H159" s="44"/>
    </row>
    <row r="160" spans="1:8" x14ac:dyDescent="0.3">
      <c r="A160" s="17" t="s">
        <v>313</v>
      </c>
      <c r="B160" s="23" t="s">
        <v>100</v>
      </c>
      <c r="C160" s="23" t="s">
        <v>314</v>
      </c>
      <c r="D160" s="43"/>
      <c r="E160" s="43"/>
      <c r="F160" s="43"/>
      <c r="G160" s="43"/>
      <c r="H160" s="43"/>
    </row>
    <row r="161" spans="1:8" x14ac:dyDescent="0.3">
      <c r="A161" s="18" t="s">
        <v>315</v>
      </c>
      <c r="B161" s="24" t="s">
        <v>100</v>
      </c>
      <c r="C161" s="24" t="s">
        <v>316</v>
      </c>
      <c r="D161" s="44"/>
      <c r="E161" s="44"/>
      <c r="F161" s="44"/>
      <c r="G161" s="44"/>
      <c r="H161" s="44"/>
    </row>
    <row r="162" spans="1:8" x14ac:dyDescent="0.3">
      <c r="A162" s="17" t="s">
        <v>331</v>
      </c>
      <c r="B162" s="23" t="s">
        <v>100</v>
      </c>
      <c r="C162" s="23" t="s">
        <v>49</v>
      </c>
      <c r="D162" s="43"/>
      <c r="E162" s="43"/>
      <c r="F162" s="43"/>
      <c r="G162" s="43"/>
      <c r="H162" s="43"/>
    </row>
    <row r="163" spans="1:8" x14ac:dyDescent="0.3">
      <c r="A163" s="18" t="s">
        <v>333</v>
      </c>
      <c r="B163" s="24" t="s">
        <v>100</v>
      </c>
      <c r="C163" s="24" t="s">
        <v>31</v>
      </c>
      <c r="D163" s="44"/>
      <c r="E163" s="44"/>
      <c r="F163" s="44"/>
      <c r="G163" s="44"/>
      <c r="H163" s="44"/>
    </row>
    <row r="164" spans="1:8" x14ac:dyDescent="0.3">
      <c r="A164" s="17" t="s">
        <v>351</v>
      </c>
      <c r="B164" s="23" t="s">
        <v>100</v>
      </c>
      <c r="C164" s="23" t="s">
        <v>352</v>
      </c>
      <c r="D164" s="43"/>
      <c r="E164" s="43"/>
      <c r="F164" s="43"/>
      <c r="G164" s="43"/>
      <c r="H164" s="43"/>
    </row>
    <row r="165" spans="1:8" x14ac:dyDescent="0.3">
      <c r="A165" s="18" t="s">
        <v>337</v>
      </c>
      <c r="B165" s="24" t="s">
        <v>100</v>
      </c>
      <c r="C165" s="24" t="s">
        <v>51</v>
      </c>
      <c r="D165" s="44"/>
      <c r="E165" s="44"/>
      <c r="F165" s="44"/>
      <c r="G165" s="44"/>
      <c r="H165" s="44"/>
    </row>
    <row r="166" spans="1:8" x14ac:dyDescent="0.3">
      <c r="A166" s="17" t="s">
        <v>349</v>
      </c>
      <c r="B166" s="23" t="s">
        <v>100</v>
      </c>
      <c r="C166" s="23" t="s">
        <v>350</v>
      </c>
      <c r="D166" s="43"/>
      <c r="E166" s="43"/>
      <c r="F166" s="43"/>
      <c r="G166" s="43"/>
      <c r="H166" s="43"/>
    </row>
    <row r="167" spans="1:8" x14ac:dyDescent="0.3">
      <c r="A167" s="18" t="s">
        <v>347</v>
      </c>
      <c r="B167" s="24" t="s">
        <v>100</v>
      </c>
      <c r="C167" s="24" t="s">
        <v>348</v>
      </c>
      <c r="D167" s="44"/>
      <c r="E167" s="44"/>
      <c r="F167" s="44"/>
      <c r="G167" s="44"/>
      <c r="H167" s="44"/>
    </row>
    <row r="168" spans="1:8" x14ac:dyDescent="0.3">
      <c r="A168" s="17" t="s">
        <v>239</v>
      </c>
      <c r="B168" s="23" t="s">
        <v>100</v>
      </c>
      <c r="C168" s="23" t="s">
        <v>240</v>
      </c>
      <c r="D168" s="43"/>
      <c r="E168" s="43"/>
      <c r="F168" s="43"/>
      <c r="G168" s="43"/>
      <c r="H168" s="43"/>
    </row>
    <row r="169" spans="1:8" x14ac:dyDescent="0.3">
      <c r="A169" s="18" t="s">
        <v>343</v>
      </c>
      <c r="B169" s="24" t="s">
        <v>100</v>
      </c>
      <c r="C169" s="24" t="s">
        <v>344</v>
      </c>
      <c r="D169" s="44"/>
      <c r="E169" s="44"/>
      <c r="F169" s="44"/>
      <c r="G169" s="44"/>
      <c r="H169" s="44"/>
    </row>
    <row r="170" spans="1:8" x14ac:dyDescent="0.3">
      <c r="A170" s="17" t="s">
        <v>179</v>
      </c>
      <c r="B170" s="23" t="s">
        <v>100</v>
      </c>
      <c r="C170" s="23" t="s">
        <v>180</v>
      </c>
      <c r="D170" s="43"/>
      <c r="E170" s="43"/>
      <c r="F170" s="43"/>
      <c r="G170" s="43"/>
      <c r="H170" s="43"/>
    </row>
    <row r="171" spans="1:8" x14ac:dyDescent="0.3">
      <c r="A171" s="18" t="s">
        <v>369</v>
      </c>
      <c r="B171" s="24" t="s">
        <v>100</v>
      </c>
      <c r="C171" s="24" t="s">
        <v>370</v>
      </c>
      <c r="D171" s="44"/>
      <c r="E171" s="44"/>
      <c r="F171" s="44"/>
      <c r="G171" s="44"/>
      <c r="H171" s="44"/>
    </row>
    <row r="172" spans="1:8" x14ac:dyDescent="0.3">
      <c r="A172" s="17" t="s">
        <v>379</v>
      </c>
      <c r="B172" s="23" t="s">
        <v>100</v>
      </c>
      <c r="C172" s="23" t="s">
        <v>57</v>
      </c>
      <c r="D172" s="43"/>
      <c r="E172" s="43"/>
      <c r="F172" s="43"/>
      <c r="G172" s="43"/>
      <c r="H172" s="43"/>
    </row>
    <row r="173" spans="1:8" x14ac:dyDescent="0.3">
      <c r="A173" s="18" t="s">
        <v>373</v>
      </c>
      <c r="B173" s="24" t="s">
        <v>100</v>
      </c>
      <c r="C173" s="24" t="s">
        <v>374</v>
      </c>
      <c r="D173" s="44"/>
      <c r="E173" s="44"/>
      <c r="F173" s="44"/>
      <c r="G173" s="44"/>
      <c r="H173" s="44"/>
    </row>
    <row r="174" spans="1:8" x14ac:dyDescent="0.3">
      <c r="A174" s="17" t="s">
        <v>385</v>
      </c>
      <c r="B174" s="23" t="s">
        <v>100</v>
      </c>
      <c r="C174" s="23" t="s">
        <v>386</v>
      </c>
      <c r="D174" s="43"/>
      <c r="E174" s="43"/>
      <c r="F174" s="43"/>
      <c r="G174" s="43"/>
      <c r="H174" s="43"/>
    </row>
    <row r="175" spans="1:8" x14ac:dyDescent="0.3">
      <c r="A175" s="18" t="s">
        <v>143</v>
      </c>
      <c r="B175" s="24" t="s">
        <v>100</v>
      </c>
      <c r="C175" s="24" t="s">
        <v>144</v>
      </c>
      <c r="D175" s="44"/>
      <c r="E175" s="44"/>
      <c r="F175" s="44"/>
      <c r="G175" s="44"/>
      <c r="H175" s="44"/>
    </row>
    <row r="176" spans="1:8" x14ac:dyDescent="0.3">
      <c r="A176" s="17" t="s">
        <v>390</v>
      </c>
      <c r="B176" s="23" t="s">
        <v>100</v>
      </c>
      <c r="C176" s="23" t="s">
        <v>391</v>
      </c>
      <c r="D176" s="43"/>
      <c r="E176" s="43"/>
      <c r="F176" s="43"/>
      <c r="G176" s="43"/>
      <c r="H176" s="43"/>
    </row>
    <row r="177" spans="1:8" x14ac:dyDescent="0.3">
      <c r="A177" s="18" t="s">
        <v>408</v>
      </c>
      <c r="B177" s="24" t="s">
        <v>433</v>
      </c>
      <c r="C177" s="24" t="s">
        <v>409</v>
      </c>
      <c r="D177" s="44"/>
      <c r="E177" s="44"/>
      <c r="F177" s="44"/>
      <c r="G177" s="44"/>
      <c r="H177" s="44"/>
    </row>
    <row r="178" spans="1:8" x14ac:dyDescent="0.3">
      <c r="A178" s="17" t="s">
        <v>119</v>
      </c>
      <c r="B178" s="23" t="s">
        <v>433</v>
      </c>
      <c r="C178" s="23" t="s">
        <v>120</v>
      </c>
      <c r="D178" s="43"/>
      <c r="E178" s="43"/>
      <c r="F178" s="43"/>
      <c r="G178" s="43"/>
      <c r="H178" s="43"/>
    </row>
    <row r="179" spans="1:8" x14ac:dyDescent="0.3">
      <c r="A179" s="18" t="s">
        <v>191</v>
      </c>
      <c r="B179" s="24" t="s">
        <v>433</v>
      </c>
      <c r="C179" s="24" t="s">
        <v>192</v>
      </c>
      <c r="D179" s="44"/>
      <c r="E179" s="44"/>
      <c r="F179" s="44"/>
      <c r="G179" s="44"/>
      <c r="H179" s="44"/>
    </row>
    <row r="180" spans="1:8" x14ac:dyDescent="0.3">
      <c r="A180" s="17" t="s">
        <v>266</v>
      </c>
      <c r="B180" s="23" t="s">
        <v>433</v>
      </c>
      <c r="C180" s="23" t="s">
        <v>92</v>
      </c>
      <c r="D180" s="43"/>
      <c r="E180" s="43"/>
      <c r="F180" s="43"/>
      <c r="G180" s="43"/>
      <c r="H180" s="43"/>
    </row>
    <row r="181" spans="1:8" x14ac:dyDescent="0.3">
      <c r="A181" s="18" t="s">
        <v>230</v>
      </c>
      <c r="B181" s="24" t="s">
        <v>433</v>
      </c>
      <c r="C181" s="24" t="s">
        <v>82</v>
      </c>
      <c r="D181" s="44"/>
      <c r="E181" s="44"/>
      <c r="F181" s="44"/>
      <c r="G181" s="44"/>
      <c r="H181" s="44"/>
    </row>
    <row r="182" spans="1:8" x14ac:dyDescent="0.3">
      <c r="A182" s="17" t="s">
        <v>214</v>
      </c>
      <c r="B182" s="23" t="s">
        <v>433</v>
      </c>
      <c r="C182" s="23" t="s">
        <v>215</v>
      </c>
      <c r="D182" s="43"/>
      <c r="E182" s="43"/>
      <c r="F182" s="43"/>
      <c r="G182" s="43"/>
      <c r="H182" s="43"/>
    </row>
    <row r="183" spans="1:8" x14ac:dyDescent="0.3">
      <c r="A183" s="18" t="s">
        <v>245</v>
      </c>
      <c r="B183" s="24" t="s">
        <v>433</v>
      </c>
      <c r="C183" s="24" t="s">
        <v>246</v>
      </c>
      <c r="D183" s="44"/>
      <c r="E183" s="44"/>
      <c r="F183" s="44"/>
      <c r="G183" s="44"/>
      <c r="H183" s="44"/>
    </row>
    <row r="184" spans="1:8" x14ac:dyDescent="0.3">
      <c r="A184" s="17" t="s">
        <v>255</v>
      </c>
      <c r="B184" s="23" t="s">
        <v>433</v>
      </c>
      <c r="C184" s="23" t="s">
        <v>61</v>
      </c>
      <c r="D184" s="43"/>
      <c r="E184" s="43"/>
      <c r="F184" s="43"/>
      <c r="G184" s="43"/>
      <c r="H184" s="43"/>
    </row>
    <row r="185" spans="1:8" x14ac:dyDescent="0.3">
      <c r="A185" s="18" t="s">
        <v>259</v>
      </c>
      <c r="B185" s="24" t="s">
        <v>433</v>
      </c>
      <c r="C185" s="24" t="s">
        <v>32</v>
      </c>
      <c r="D185" s="44"/>
      <c r="E185" s="44"/>
      <c r="F185" s="44"/>
      <c r="G185" s="44"/>
      <c r="H185" s="44"/>
    </row>
    <row r="186" spans="1:8" x14ac:dyDescent="0.3">
      <c r="A186" s="17" t="s">
        <v>291</v>
      </c>
      <c r="B186" s="23" t="s">
        <v>433</v>
      </c>
      <c r="C186" s="23" t="s">
        <v>292</v>
      </c>
      <c r="D186" s="43"/>
      <c r="E186" s="43"/>
      <c r="F186" s="43"/>
      <c r="G186" s="43"/>
      <c r="H186" s="43"/>
    </row>
    <row r="187" spans="1:8" x14ac:dyDescent="0.3">
      <c r="A187" s="18" t="s">
        <v>326</v>
      </c>
      <c r="B187" s="24" t="s">
        <v>433</v>
      </c>
      <c r="C187" s="24" t="s">
        <v>327</v>
      </c>
      <c r="D187" s="44"/>
      <c r="E187" s="44"/>
      <c r="F187" s="44"/>
      <c r="G187" s="44"/>
      <c r="H187" s="44"/>
    </row>
    <row r="188" spans="1:8" x14ac:dyDescent="0.3">
      <c r="A188" s="17" t="s">
        <v>317</v>
      </c>
      <c r="B188" s="23" t="s">
        <v>433</v>
      </c>
      <c r="C188" s="23" t="s">
        <v>318</v>
      </c>
      <c r="D188" s="43"/>
      <c r="E188" s="43"/>
      <c r="F188" s="43"/>
      <c r="G188" s="43"/>
      <c r="H188" s="43"/>
    </row>
    <row r="189" spans="1:8" x14ac:dyDescent="0.3">
      <c r="A189" s="18" t="s">
        <v>334</v>
      </c>
      <c r="B189" s="24" t="s">
        <v>433</v>
      </c>
      <c r="C189" s="24" t="s">
        <v>335</v>
      </c>
      <c r="D189" s="44"/>
      <c r="E189" s="44"/>
      <c r="F189" s="44"/>
      <c r="G189" s="44"/>
      <c r="H189" s="44"/>
    </row>
    <row r="190" spans="1:8" x14ac:dyDescent="0.3">
      <c r="A190" s="17" t="s">
        <v>363</v>
      </c>
      <c r="B190" s="23" t="s">
        <v>433</v>
      </c>
      <c r="C190" s="23" t="s">
        <v>54</v>
      </c>
      <c r="D190" s="43"/>
      <c r="E190" s="43"/>
      <c r="F190" s="43"/>
      <c r="G190" s="43"/>
      <c r="H190" s="43"/>
    </row>
    <row r="191" spans="1:8" x14ac:dyDescent="0.3">
      <c r="A191" s="18" t="s">
        <v>375</v>
      </c>
      <c r="B191" s="24" t="s">
        <v>433</v>
      </c>
      <c r="C191" s="24" t="s">
        <v>376</v>
      </c>
      <c r="D191" s="44"/>
      <c r="E191" s="44"/>
      <c r="F191" s="44"/>
      <c r="G191" s="44"/>
      <c r="H191" s="44"/>
    </row>
    <row r="192" spans="1:8" x14ac:dyDescent="0.3">
      <c r="A192" s="17" t="s">
        <v>104</v>
      </c>
      <c r="B192" s="23" t="s">
        <v>433</v>
      </c>
      <c r="C192" s="23" t="s">
        <v>105</v>
      </c>
      <c r="D192" s="43"/>
      <c r="E192" s="43"/>
      <c r="F192" s="43"/>
      <c r="G192" s="43"/>
      <c r="H192" s="43"/>
    </row>
    <row r="193" spans="1:8" x14ac:dyDescent="0.3">
      <c r="A193" s="22" t="s">
        <v>401</v>
      </c>
      <c r="B193" s="25" t="s">
        <v>433</v>
      </c>
      <c r="C193" s="25" t="s">
        <v>35</v>
      </c>
      <c r="D193" s="45"/>
      <c r="E193" s="45"/>
      <c r="F193" s="45"/>
      <c r="G193" s="45"/>
      <c r="H193" s="45"/>
    </row>
    <row r="194" spans="1:8" x14ac:dyDescent="0.3">
      <c r="D194" s="16"/>
      <c r="E194" s="16"/>
      <c r="F194" s="16"/>
      <c r="G194" s="16"/>
      <c r="H194" s="16"/>
    </row>
  </sheetData>
  <sheetProtection algorithmName="SHA-512" hashValue="DCCipGc+pGSjkVFU/4ZTYe9RT1ZsY5tXKx7Ch3obZLYtHoVNfd1uP5kdNYso0imu/RrI6udLQS0LwhKR7eb2hQ==" saltValue="FCS0Y3SWXCgvkIcCLsqkQw==" spinCount="100000" sheet="1" objects="1" scenarios="1" formatCells="0" formatColumns="0" formatRows="0" sort="0" autoFilter="0"/>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90A46C601EF784FB4DBF90453A8B30A" ma:contentTypeVersion="20" ma:contentTypeDescription="Create a new document." ma:contentTypeScope="" ma:versionID="04ae43cd61c236257f41580e830362ba">
  <xsd:schema xmlns:xsd="http://www.w3.org/2001/XMLSchema" xmlns:xs="http://www.w3.org/2001/XMLSchema" xmlns:p="http://schemas.microsoft.com/office/2006/metadata/properties" xmlns:ns2="67bd97f6-f5f5-4f29-8f0d-e757ed3ec3ad" xmlns:ns3="ffb314bc-7b2d-45ce-a517-7d370eafd82d" targetNamespace="http://schemas.microsoft.com/office/2006/metadata/properties" ma:root="true" ma:fieldsID="203b84fffd410675164ba71041c58b17" ns2:_="" ns3:_="">
    <xsd:import namespace="67bd97f6-f5f5-4f29-8f0d-e757ed3ec3ad"/>
    <xsd:import namespace="ffb314bc-7b2d-45ce-a517-7d370eafd82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Summar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bd97f6-f5f5-4f29-8f0d-e757ed3ec3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description=""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14f832c-f6f1-485d-8901-6765a4832c56"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Summary" ma:index="25" nillable="true" ma:displayName="Summary" ma:description="Summary of document content" ma:format="Dropdown" ma:internalName="Summary">
      <xsd:simpleType>
        <xsd:restriction base="dms:Text">
          <xsd:maxLength value="255"/>
        </xsd:restriction>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b314bc-7b2d-45ce-a517-7d370eafd82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7bd8c229-fb44-4a46-a07d-edf5d86c7a44}" ma:internalName="TaxCatchAll" ma:showField="CatchAllData" ma:web="ffb314bc-7b2d-45ce-a517-7d370eafd8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fb314bc-7b2d-45ce-a517-7d370eafd82d" xsi:nil="true"/>
    <lcf76f155ced4ddcb4097134ff3c332f xmlns="67bd97f6-f5f5-4f29-8f0d-e757ed3ec3ad">
      <Terms xmlns="http://schemas.microsoft.com/office/infopath/2007/PartnerControls"/>
    </lcf76f155ced4ddcb4097134ff3c332f>
    <Summary xmlns="67bd97f6-f5f5-4f29-8f0d-e757ed3ec3ad" xsi:nil="true"/>
  </documentManagement>
</p:properties>
</file>

<file path=customXml/item4.xml>��
</file>

<file path=customXml/itemProps1.xml><?xml version="1.0" encoding="utf-8"?>
<ds:datastoreItem xmlns:ds="http://schemas.openxmlformats.org/officeDocument/2006/customXml" ds:itemID="{92FF9515-0800-433F-86BB-D1617AF58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bd97f6-f5f5-4f29-8f0d-e757ed3ec3ad"/>
    <ds:schemaRef ds:uri="ffb314bc-7b2d-45ce-a517-7d370eafd8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DC70919-8708-44E6-BB56-6E349D138415}">
  <ds:schemaRefs>
    <ds:schemaRef ds:uri="http://schemas.microsoft.com/sharepoint/v3/contenttype/forms"/>
  </ds:schemaRefs>
</ds:datastoreItem>
</file>

<file path=customXml/itemProps3.xml><?xml version="1.0" encoding="utf-8"?>
<ds:datastoreItem xmlns:ds="http://schemas.openxmlformats.org/officeDocument/2006/customXml" ds:itemID="{E7D7A2D8-EC0C-460B-B5CC-91E90BDF0515}">
  <ds:schemaRefs>
    <ds:schemaRef ds:uri="http://schemas.microsoft.com/office/2006/documentManagement/types"/>
    <ds:schemaRef ds:uri="ffb314bc-7b2d-45ce-a517-7d370eafd82d"/>
    <ds:schemaRef ds:uri="http://purl.org/dc/elements/1.1/"/>
    <ds:schemaRef ds:uri="http://schemas.openxmlformats.org/package/2006/metadata/core-properties"/>
    <ds:schemaRef ds:uri="http://schemas.microsoft.com/office/infopath/2007/PartnerControls"/>
    <ds:schemaRef ds:uri="http://purl.org/dc/terms/"/>
    <ds:schemaRef ds:uri="67bd97f6-f5f5-4f29-8f0d-e757ed3ec3ad"/>
    <ds:schemaRef ds:uri="http://schemas.microsoft.com/office/2006/metadata/properties"/>
    <ds:schemaRef ds:uri="http://www.w3.org/XML/1998/namespace"/>
    <ds:schemaRef ds:uri="http://purl.org/dc/dcmitype/"/>
  </ds:schemaRefs>
</ds:datastoreItem>
</file>

<file path=customXml/itemProps4.xml><?xml version="1.0" encoding="utf-8"?>
<ds:datastoreItem xmlns:ds="http://schemas.openxmlformats.org/officeDocument/2006/customXml" ds:itemID="{4D549FE2-9D0B-4A3E-98E9-90D85EABDD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FR data</vt:lpstr>
      <vt:lpstr>Funding Requirement</vt:lpstr>
      <vt:lpstr>PNS Staff Presence</vt:lpstr>
      <vt:lpstr>PNS</vt:lpstr>
      <vt:lpstr>'Funding Requirement'!selected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Haytham ALSOUFI</dc:creator>
  <cp:keywords/>
  <dc:description/>
  <cp:lastModifiedBy>Haytham ALSOUFI</cp:lastModifiedBy>
  <cp:revision/>
  <dcterms:created xsi:type="dcterms:W3CDTF">2023-09-22T14:33:39Z</dcterms:created>
  <dcterms:modified xsi:type="dcterms:W3CDTF">2026-05-11T10:16:17Z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627b15a-80ec-4ef7-8353-f32e3c89bf3e_Enabled">
    <vt:lpwstr>true</vt:lpwstr>
  </property>
  <property fmtid="{D5CDD505-2E9C-101B-9397-08002B2CF9AE}" pid="3" name="MSIP_Label_6627b15a-80ec-4ef7-8353-f32e3c89bf3e_SetDate">
    <vt:lpwstr>2023-09-22T14:37:38Z</vt:lpwstr>
  </property>
  <property fmtid="{D5CDD505-2E9C-101B-9397-08002B2CF9AE}" pid="4" name="MSIP_Label_6627b15a-80ec-4ef7-8353-f32e3c89bf3e_Method">
    <vt:lpwstr>Privileged</vt:lpwstr>
  </property>
  <property fmtid="{D5CDD505-2E9C-101B-9397-08002B2CF9AE}" pid="5" name="MSIP_Label_6627b15a-80ec-4ef7-8353-f32e3c89bf3e_Name">
    <vt:lpwstr>IFRC Internal</vt:lpwstr>
  </property>
  <property fmtid="{D5CDD505-2E9C-101B-9397-08002B2CF9AE}" pid="6" name="MSIP_Label_6627b15a-80ec-4ef7-8353-f32e3c89bf3e_SiteId">
    <vt:lpwstr>a2b53be5-734e-4e6c-ab0d-d184f60fd917</vt:lpwstr>
  </property>
  <property fmtid="{D5CDD505-2E9C-101B-9397-08002B2CF9AE}" pid="7" name="MSIP_Label_6627b15a-80ec-4ef7-8353-f32e3c89bf3e_ActionId">
    <vt:lpwstr>0d680381-1be9-42cf-b840-9d28ce4ae8dc</vt:lpwstr>
  </property>
  <property fmtid="{D5CDD505-2E9C-101B-9397-08002B2CF9AE}" pid="8" name="MSIP_Label_6627b15a-80ec-4ef7-8353-f32e3c89bf3e_ContentBits">
    <vt:lpwstr>2</vt:lpwstr>
  </property>
  <property fmtid="{D5CDD505-2E9C-101B-9397-08002B2CF9AE}" pid="9" name="ContentTypeId">
    <vt:lpwstr>0x010100690A46C601EF784FB4DBF90453A8B30A</vt:lpwstr>
  </property>
  <property fmtid="{D5CDD505-2E9C-101B-9397-08002B2CF9AE}" pid="10" name="MediaServiceImageTags">
    <vt:lpwstr/>
  </property>
</Properties>
</file>