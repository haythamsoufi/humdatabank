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ifrcorg.sharepoint.com/sites/THEFDRSTEAM/Shared Documents/FDRS/Data Collection/Questionnaires/2025/"/>
    </mc:Choice>
  </mc:AlternateContent>
  <xr:revisionPtr revIDLastSave="3293" documentId="8_{442E905E-03C0-433E-BE2C-59A8668E4DA7}" xr6:coauthVersionLast="47" xr6:coauthVersionMax="47" xr10:uidLastSave="{E2467451-E04F-4D7A-AA39-C4D873D4930E}"/>
  <workbookProtection workbookAlgorithmName="SHA-512" workbookHashValue="QyoYywCsDniB5Oedx/9dSA/8n0pk2qAm9sM6SXEUwutwAQe8I94qDHZCP+OzHwZuWrVjjNq+Cj5Lo/Jm766eSA==" workbookSaltValue="bL2RFYaCWaiXUfAMMEB0vQ==" workbookSpinCount="100000" lockStructure="1"/>
  <bookViews>
    <workbookView xWindow="-120" yWindow="-120" windowWidth="29040" windowHeight="15720" xr2:uid="{00000000-000D-0000-FFFF-FFFF00000000}"/>
  </bookViews>
  <sheets>
    <sheet name="Indicator Data" sheetId="1" r:id="rId1"/>
    <sheet name="Translations" sheetId="2" state="hidden" r:id="rId2"/>
  </sheets>
  <definedNames>
    <definedName name="Language">'Indicator Data'!$V$5</definedName>
    <definedName name="NoLANG" comment="Dynamically translates 'No'">'Indicator Data'!$E$426</definedName>
    <definedName name="YesLANG" comment="Dynamically translates 'Yes'">'Indicator Data'!$D$426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3" i="1" l="1"/>
  <c r="N274" i="1"/>
  <c r="N260" i="1"/>
  <c r="N246" i="1"/>
  <c r="R198" i="1"/>
  <c r="N216" i="1"/>
  <c r="F35" i="1"/>
  <c r="B36" i="1"/>
  <c r="F32" i="1"/>
  <c r="B33" i="1"/>
  <c r="B405" i="1"/>
  <c r="B404" i="1"/>
  <c r="B391" i="1"/>
  <c r="B390" i="1"/>
  <c r="B377" i="1"/>
  <c r="B376" i="1"/>
  <c r="B359" i="1"/>
  <c r="B358" i="1"/>
  <c r="B345" i="1"/>
  <c r="B344" i="1"/>
  <c r="B327" i="1"/>
  <c r="B326" i="1"/>
  <c r="B313" i="1"/>
  <c r="B312" i="1"/>
  <c r="B299" i="1"/>
  <c r="B298" i="1"/>
  <c r="B285" i="1"/>
  <c r="B284" i="1"/>
  <c r="B271" i="1"/>
  <c r="B272" i="1"/>
  <c r="B270" i="1"/>
  <c r="B257" i="1"/>
  <c r="B256" i="1"/>
  <c r="B243" i="1"/>
  <c r="B242" i="1"/>
  <c r="B229" i="1"/>
  <c r="B228" i="1"/>
  <c r="B213" i="1"/>
  <c r="B212" i="1"/>
  <c r="B199" i="1"/>
  <c r="B198" i="1"/>
  <c r="B173" i="1"/>
  <c r="B172" i="1"/>
  <c r="B157" i="1"/>
  <c r="B156" i="1"/>
  <c r="B96" i="1"/>
  <c r="B95" i="1"/>
  <c r="B87" i="1"/>
  <c r="B86" i="1"/>
  <c r="B74" i="1"/>
  <c r="B73" i="1"/>
  <c r="B64" i="1"/>
  <c r="B63" i="1"/>
  <c r="B56" i="1"/>
  <c r="B55" i="1"/>
  <c r="B42" i="1"/>
  <c r="B43" i="1"/>
  <c r="B20" i="1"/>
  <c r="B19" i="1"/>
  <c r="L164" i="1"/>
  <c r="D225" i="1"/>
  <c r="P105" i="1"/>
  <c r="B10" i="1"/>
  <c r="D253" i="1"/>
  <c r="P9" i="1"/>
  <c r="J9" i="1"/>
  <c r="S402" i="1"/>
  <c r="B138" i="1"/>
  <c r="B134" i="1"/>
  <c r="T203" i="1"/>
  <c r="D170" i="1" l="1"/>
  <c r="L48" i="1"/>
  <c r="V408" i="1"/>
  <c r="V395" i="1"/>
  <c r="V382" i="1"/>
  <c r="V351" i="1"/>
  <c r="V362" i="1"/>
  <c r="V331" i="1"/>
  <c r="V316" i="1"/>
  <c r="V303" i="1"/>
  <c r="V288" i="1"/>
  <c r="V274" i="1"/>
  <c r="V261" i="1"/>
  <c r="V247" i="1"/>
  <c r="V235" i="1"/>
  <c r="V217" i="1"/>
  <c r="V202" i="1"/>
  <c r="J426" i="1"/>
  <c r="L79" i="1"/>
  <c r="L178" i="1"/>
  <c r="L204" i="1"/>
  <c r="L218" i="1"/>
  <c r="L234" i="1"/>
  <c r="L248" i="1"/>
  <c r="L262" i="1"/>
  <c r="L276" i="1"/>
  <c r="L290" i="1"/>
  <c r="L304" i="1"/>
  <c r="L318" i="1"/>
  <c r="L332" i="1"/>
  <c r="L350" i="1"/>
  <c r="L364" i="1"/>
  <c r="L382" i="1"/>
  <c r="L396" i="1"/>
  <c r="L410" i="1"/>
  <c r="B35" i="1"/>
  <c r="B32" i="1"/>
  <c r="AA33" i="1"/>
  <c r="B108" i="1"/>
  <c r="AA112" i="1"/>
  <c r="F109" i="1"/>
  <c r="F108" i="1"/>
  <c r="F107" i="1"/>
  <c r="F106" i="1"/>
  <c r="F105" i="1"/>
  <c r="AA105" i="1"/>
  <c r="B111" i="1"/>
  <c r="AA113" i="1"/>
  <c r="B170" i="1"/>
  <c r="O71" i="1"/>
  <c r="O93" i="1"/>
  <c r="I153" i="1"/>
  <c r="I169" i="1"/>
  <c r="I194" i="1"/>
  <c r="I208" i="1"/>
  <c r="I224" i="1"/>
  <c r="I238" i="1"/>
  <c r="I252" i="1"/>
  <c r="I266" i="1"/>
  <c r="I280" i="1"/>
  <c r="I294" i="1"/>
  <c r="I308" i="1"/>
  <c r="I322" i="1"/>
  <c r="I340" i="1"/>
  <c r="I354" i="1"/>
  <c r="I400" i="1"/>
  <c r="I386" i="1"/>
  <c r="I372" i="1"/>
  <c r="D153" i="1"/>
  <c r="D169" i="1"/>
  <c r="D194" i="1"/>
  <c r="D208" i="1"/>
  <c r="D224" i="1"/>
  <c r="D238" i="1"/>
  <c r="D252" i="1"/>
  <c r="D266" i="1"/>
  <c r="D280" i="1"/>
  <c r="D294" i="1"/>
  <c r="D308" i="1"/>
  <c r="D322" i="1"/>
  <c r="D340" i="1"/>
  <c r="D354" i="1"/>
  <c r="D372" i="1"/>
  <c r="D386" i="1"/>
  <c r="D400" i="1"/>
  <c r="R40" i="1"/>
  <c r="R53" i="1"/>
  <c r="N408" i="1"/>
  <c r="N394" i="1"/>
  <c r="N380" i="1"/>
  <c r="N362" i="1"/>
  <c r="N348" i="1"/>
  <c r="N330" i="1"/>
  <c r="N316" i="1"/>
  <c r="N302" i="1"/>
  <c r="N232" i="1"/>
  <c r="C111" i="1"/>
  <c r="N59" i="1"/>
  <c r="N46" i="1"/>
  <c r="N288" i="1"/>
  <c r="D196" i="1"/>
  <c r="D210" i="1"/>
  <c r="D226" i="1"/>
  <c r="D240" i="1"/>
  <c r="D268" i="1"/>
  <c r="D254" i="1"/>
  <c r="D296" i="1"/>
  <c r="D282" i="1"/>
  <c r="D310" i="1"/>
  <c r="D324" i="1"/>
  <c r="D342" i="1"/>
  <c r="D356" i="1"/>
  <c r="D374" i="1"/>
  <c r="D388" i="1"/>
  <c r="D402" i="1"/>
  <c r="D401" i="1"/>
  <c r="D387" i="1"/>
  <c r="D373" i="1"/>
  <c r="D355" i="1"/>
  <c r="D341" i="1"/>
  <c r="D309" i="1"/>
  <c r="D295" i="1"/>
  <c r="D281" i="1"/>
  <c r="D267" i="1"/>
  <c r="D239" i="1"/>
  <c r="D209" i="1"/>
  <c r="D195" i="1"/>
  <c r="D154" i="1"/>
  <c r="D93" i="1"/>
  <c r="D84" i="1"/>
  <c r="D71" i="1"/>
  <c r="D61" i="1"/>
  <c r="D53" i="1"/>
  <c r="N54" i="1"/>
  <c r="D17" i="1"/>
  <c r="N41" i="1"/>
  <c r="B255" i="1"/>
  <c r="R61" i="1"/>
  <c r="O84" i="1"/>
  <c r="D40" i="1"/>
  <c r="U5" i="1"/>
  <c r="B2" i="1"/>
  <c r="P2" i="1"/>
  <c r="J10" i="1"/>
  <c r="L25" i="1"/>
  <c r="H426" i="1"/>
  <c r="G426" i="1"/>
  <c r="F426" i="1"/>
  <c r="B27" i="1"/>
  <c r="E426" i="1"/>
  <c r="D426" i="1"/>
  <c r="K27" i="1" s="1"/>
  <c r="J2" i="1"/>
  <c r="T409" i="1"/>
  <c r="B412" i="1"/>
  <c r="B398" i="1"/>
  <c r="B384" i="1"/>
  <c r="B366" i="1"/>
  <c r="B352" i="1"/>
  <c r="B334" i="1"/>
  <c r="B320" i="1"/>
  <c r="B306" i="1"/>
  <c r="B292" i="1"/>
  <c r="B290" i="1"/>
  <c r="B278" i="1"/>
  <c r="B264" i="1"/>
  <c r="B250" i="1"/>
  <c r="B236" i="1"/>
  <c r="B220" i="1"/>
  <c r="B206" i="1"/>
  <c r="B180" i="1"/>
  <c r="B166" i="1"/>
  <c r="B81" i="1"/>
  <c r="B50" i="1"/>
  <c r="J8" i="1"/>
  <c r="B25" i="1"/>
  <c r="L370" i="1"/>
  <c r="K368" i="1"/>
  <c r="K338" i="1"/>
  <c r="K336" i="1"/>
  <c r="J29" i="1"/>
  <c r="F29" i="1"/>
  <c r="O29" i="1"/>
  <c r="B15" i="1"/>
  <c r="B1" i="1"/>
  <c r="O16" i="1"/>
  <c r="B423" i="1"/>
  <c r="B420" i="1"/>
  <c r="S387" i="1"/>
  <c r="B370" i="1"/>
  <c r="B368" i="1"/>
  <c r="S356" i="1"/>
  <c r="S341" i="1"/>
  <c r="B338" i="1"/>
  <c r="B336" i="1"/>
  <c r="S295" i="1"/>
  <c r="S282" i="1"/>
  <c r="B162" i="1"/>
  <c r="M136" i="1"/>
  <c r="B118" i="1"/>
  <c r="M120" i="1"/>
  <c r="P8" i="1"/>
  <c r="P11" i="1"/>
  <c r="P10" i="1"/>
  <c r="J11" i="1"/>
  <c r="B9" i="1"/>
  <c r="B7" i="1"/>
  <c r="O24" i="1"/>
  <c r="O26" i="1"/>
  <c r="O25" i="1"/>
  <c r="O23" i="1"/>
  <c r="S373" i="1"/>
  <c r="S253" i="1"/>
  <c r="S323" i="1"/>
  <c r="S310" i="1"/>
  <c r="S268" i="1"/>
  <c r="S240" i="1"/>
  <c r="S225" i="1"/>
  <c r="S210" i="1"/>
  <c r="S196" i="1"/>
  <c r="R171" i="1"/>
  <c r="P155" i="1"/>
  <c r="B117" i="1"/>
  <c r="O95" i="1"/>
  <c r="O86" i="1" s="1"/>
  <c r="D137" i="1"/>
  <c r="D121" i="1"/>
  <c r="I121" i="1"/>
  <c r="D136" i="1"/>
  <c r="I137" i="1"/>
  <c r="G109" i="1"/>
  <c r="G108" i="1"/>
  <c r="G107" i="1"/>
  <c r="G106" i="1"/>
  <c r="G105" i="1"/>
  <c r="T112" i="1"/>
  <c r="S112" i="1"/>
  <c r="R112" i="1"/>
  <c r="P112" i="1"/>
  <c r="O112" i="1"/>
  <c r="M112" i="1"/>
  <c r="L112" i="1"/>
  <c r="K112" i="1"/>
  <c r="J112" i="1"/>
  <c r="I112" i="1"/>
  <c r="G112" i="1"/>
  <c r="F112" i="1"/>
  <c r="E112" i="1"/>
  <c r="C112" i="1"/>
  <c r="B112" i="1"/>
  <c r="D120" i="1"/>
  <c r="B133" i="1"/>
  <c r="B150" i="1"/>
  <c r="B102" i="1"/>
  <c r="B14" i="1"/>
  <c r="R403" i="1"/>
  <c r="R389" i="1"/>
  <c r="R375" i="1"/>
  <c r="R357" i="1"/>
  <c r="R343" i="1"/>
  <c r="R325" i="1"/>
  <c r="R311" i="1"/>
  <c r="R297" i="1"/>
  <c r="R283" i="1"/>
  <c r="R269" i="1"/>
  <c r="R255" i="1"/>
  <c r="R241" i="1"/>
  <c r="R227" i="1"/>
  <c r="R211" i="1"/>
  <c r="R197" i="1"/>
  <c r="P171" i="1"/>
  <c r="O155" i="1"/>
  <c r="M94" i="1"/>
  <c r="M85" i="1"/>
  <c r="M72" i="1"/>
  <c r="P62" i="1"/>
  <c r="P54" i="1"/>
  <c r="P41" i="1"/>
  <c r="M18" i="1"/>
  <c r="B183" i="1"/>
  <c r="B222" i="1"/>
  <c r="B151" i="1"/>
  <c r="B115" i="1"/>
  <c r="B103" i="1"/>
  <c r="B69" i="1"/>
  <c r="O73" i="1"/>
  <c r="B29" i="1"/>
  <c r="B426" i="1"/>
  <c r="T236" i="1" s="1"/>
  <c r="T201" i="1"/>
  <c r="T216" i="1"/>
  <c r="T234" i="1"/>
  <c r="T246" i="1"/>
  <c r="T260" i="1"/>
  <c r="T273" i="1"/>
  <c r="T287" i="1"/>
  <c r="T302" i="1"/>
  <c r="T315" i="1"/>
  <c r="T330" i="1"/>
  <c r="T350" i="1"/>
  <c r="T361" i="1"/>
  <c r="T381" i="1"/>
  <c r="T394" i="1"/>
  <c r="T407" i="1"/>
  <c r="B410" i="1"/>
  <c r="B396" i="1"/>
  <c r="B382" i="1"/>
  <c r="B364" i="1"/>
  <c r="B350" i="1"/>
  <c r="B332" i="1"/>
  <c r="B318" i="1"/>
  <c r="B304" i="1"/>
  <c r="B276" i="1"/>
  <c r="B262" i="1"/>
  <c r="B248" i="1"/>
  <c r="B234" i="1"/>
  <c r="B218" i="1"/>
  <c r="B204" i="1"/>
  <c r="B178" i="1"/>
  <c r="B164" i="1"/>
  <c r="P403" i="1"/>
  <c r="P389" i="1"/>
  <c r="P375" i="1"/>
  <c r="P357" i="1"/>
  <c r="P343" i="1"/>
  <c r="P325" i="1"/>
  <c r="P311" i="1"/>
  <c r="P297" i="1"/>
  <c r="P283" i="1"/>
  <c r="P269" i="1"/>
  <c r="P255" i="1"/>
  <c r="P241" i="1"/>
  <c r="P227" i="1"/>
  <c r="P211" i="1"/>
  <c r="P197" i="1"/>
  <c r="N171" i="1"/>
  <c r="M155" i="1"/>
  <c r="L94" i="1"/>
  <c r="L85" i="1"/>
  <c r="B408" i="1"/>
  <c r="B407" i="1"/>
  <c r="B406" i="1"/>
  <c r="B403" i="1"/>
  <c r="B394" i="1"/>
  <c r="B393" i="1"/>
  <c r="B392" i="1"/>
  <c r="B389" i="1"/>
  <c r="B380" i="1"/>
  <c r="B379" i="1"/>
  <c r="B378" i="1"/>
  <c r="B375" i="1"/>
  <c r="B362" i="1"/>
  <c r="B361" i="1"/>
  <c r="B360" i="1"/>
  <c r="B357" i="1"/>
  <c r="B348" i="1"/>
  <c r="B347" i="1"/>
  <c r="B346" i="1"/>
  <c r="B343" i="1"/>
  <c r="B330" i="1"/>
  <c r="B329" i="1"/>
  <c r="B328" i="1"/>
  <c r="B325" i="1"/>
  <c r="B316" i="1"/>
  <c r="B315" i="1"/>
  <c r="B314" i="1"/>
  <c r="B311" i="1"/>
  <c r="B302" i="1"/>
  <c r="B301" i="1"/>
  <c r="B300" i="1"/>
  <c r="B297" i="1"/>
  <c r="B288" i="1"/>
  <c r="B287" i="1"/>
  <c r="B286" i="1"/>
  <c r="B283" i="1"/>
  <c r="B274" i="1"/>
  <c r="B273" i="1"/>
  <c r="B269" i="1"/>
  <c r="B260" i="1"/>
  <c r="B259" i="1"/>
  <c r="B258" i="1"/>
  <c r="B246" i="1"/>
  <c r="B245" i="1"/>
  <c r="B244" i="1"/>
  <c r="B241" i="1"/>
  <c r="B232" i="1"/>
  <c r="B231" i="1"/>
  <c r="B230" i="1"/>
  <c r="B227" i="1"/>
  <c r="B216" i="1"/>
  <c r="B215" i="1"/>
  <c r="B214" i="1"/>
  <c r="B211" i="1"/>
  <c r="B202" i="1"/>
  <c r="B201" i="1"/>
  <c r="B200" i="1"/>
  <c r="B197" i="1"/>
  <c r="B176" i="1"/>
  <c r="B175" i="1"/>
  <c r="B174" i="1"/>
  <c r="B171" i="1"/>
  <c r="B160" i="1"/>
  <c r="B159" i="1"/>
  <c r="B158" i="1"/>
  <c r="B155" i="1"/>
  <c r="B99" i="1"/>
  <c r="B98" i="1"/>
  <c r="B97" i="1"/>
  <c r="B94" i="1"/>
  <c r="B90" i="1"/>
  <c r="B89" i="1"/>
  <c r="B88" i="1"/>
  <c r="B85" i="1"/>
  <c r="B77" i="1"/>
  <c r="B76" i="1"/>
  <c r="B75" i="1"/>
  <c r="B72" i="1"/>
  <c r="L72" i="1"/>
  <c r="N62" i="1"/>
  <c r="B79" i="1"/>
  <c r="R63" i="1"/>
  <c r="R55" i="1"/>
  <c r="B67" i="1"/>
  <c r="B66" i="1"/>
  <c r="B65" i="1"/>
  <c r="B62" i="1"/>
  <c r="R42" i="1"/>
  <c r="B59" i="1"/>
  <c r="B58" i="1"/>
  <c r="B57" i="1"/>
  <c r="B54" i="1"/>
  <c r="B38" i="1"/>
  <c r="B48" i="1"/>
  <c r="B46" i="1"/>
  <c r="B45" i="1"/>
  <c r="B44" i="1"/>
  <c r="B41" i="1"/>
  <c r="B31" i="1"/>
  <c r="K29" i="1"/>
  <c r="B21" i="1"/>
  <c r="B22" i="1"/>
  <c r="B23" i="1"/>
  <c r="L18" i="1"/>
  <c r="B18" i="1"/>
  <c r="K206" i="1" l="1"/>
  <c r="K320" i="1"/>
  <c r="K236" i="1"/>
  <c r="K352" i="1"/>
  <c r="K250" i="1"/>
  <c r="K366" i="1"/>
  <c r="K50" i="1"/>
  <c r="L50" i="1" s="1"/>
  <c r="M50" i="1" s="1"/>
  <c r="K264" i="1"/>
  <c r="K384" i="1"/>
  <c r="K81" i="1"/>
  <c r="K278" i="1"/>
  <c r="K398" i="1"/>
  <c r="K166" i="1"/>
  <c r="K292" i="1"/>
  <c r="K412" i="1"/>
  <c r="K180" i="1"/>
  <c r="K306" i="1"/>
  <c r="K220" i="1"/>
  <c r="K334" i="1"/>
  <c r="T317" i="1"/>
  <c r="T304" i="1"/>
  <c r="T218" i="1"/>
  <c r="T262" i="1"/>
  <c r="T248" i="1"/>
  <c r="T396" i="1"/>
  <c r="T383" i="1"/>
  <c r="T363" i="1"/>
  <c r="T352" i="1"/>
  <c r="T332" i="1"/>
  <c r="T289" i="1"/>
  <c r="T275" i="1"/>
  <c r="AA366" i="1"/>
  <c r="AA382" i="1"/>
  <c r="AA381" i="1"/>
  <c r="AA303" i="1"/>
  <c r="AA304" i="1"/>
  <c r="AA248" i="1"/>
  <c r="AA247" i="1"/>
  <c r="AA396" i="1"/>
  <c r="AA395" i="1"/>
  <c r="AA408" i="1"/>
  <c r="AA410" i="1"/>
  <c r="AA362" i="1"/>
  <c r="AA364" i="1"/>
  <c r="AA331" i="1"/>
  <c r="AA351" i="1"/>
  <c r="AA350" i="1"/>
  <c r="AA332" i="1"/>
  <c r="AA318" i="1"/>
  <c r="AA316" i="1"/>
  <c r="AA290" i="1"/>
  <c r="AA288" i="1"/>
  <c r="AA274" i="1"/>
  <c r="AA276" i="1"/>
  <c r="AA262" i="1"/>
  <c r="AA261" i="1"/>
  <c r="AA234" i="1"/>
  <c r="AA235" i="1"/>
  <c r="AA217" i="1"/>
  <c r="AA218" i="1"/>
  <c r="AA204" i="1"/>
  <c r="AA178" i="1"/>
  <c r="AA164" i="1"/>
  <c r="AA79" i="1"/>
  <c r="AA48" i="1"/>
  <c r="O156" i="1"/>
  <c r="O157" i="1"/>
  <c r="O158" i="1"/>
  <c r="O159" i="1"/>
  <c r="D160" i="1"/>
  <c r="E160" i="1"/>
  <c r="F160" i="1"/>
  <c r="G160" i="1"/>
  <c r="I160" i="1"/>
  <c r="J160" i="1"/>
  <c r="K160" i="1"/>
  <c r="L160" i="1"/>
  <c r="M160" i="1"/>
  <c r="O160" i="1" l="1"/>
  <c r="B154" i="1" s="1"/>
  <c r="P394" i="1"/>
  <c r="M394" i="1"/>
  <c r="L394" i="1"/>
  <c r="K394" i="1"/>
  <c r="J394" i="1"/>
  <c r="I394" i="1"/>
  <c r="G394" i="1"/>
  <c r="F394" i="1"/>
  <c r="E394" i="1"/>
  <c r="D394" i="1"/>
  <c r="R393" i="1"/>
  <c r="R392" i="1"/>
  <c r="R391" i="1"/>
  <c r="R390" i="1"/>
  <c r="P408" i="1"/>
  <c r="M408" i="1"/>
  <c r="L408" i="1"/>
  <c r="K408" i="1"/>
  <c r="J408" i="1"/>
  <c r="I408" i="1"/>
  <c r="G408" i="1"/>
  <c r="F408" i="1"/>
  <c r="E408" i="1"/>
  <c r="D408" i="1"/>
  <c r="R407" i="1"/>
  <c r="R406" i="1"/>
  <c r="R405" i="1"/>
  <c r="R404" i="1"/>
  <c r="AA26" i="1"/>
  <c r="AA412" i="1"/>
  <c r="AA398" i="1"/>
  <c r="AA384" i="1"/>
  <c r="AA370" i="1"/>
  <c r="AA368" i="1"/>
  <c r="AA352" i="1"/>
  <c r="AA320" i="1"/>
  <c r="AA306" i="1"/>
  <c r="AA292" i="1"/>
  <c r="AA278" i="1"/>
  <c r="AA264" i="1"/>
  <c r="AA250" i="1"/>
  <c r="AA236" i="1"/>
  <c r="AA220" i="1"/>
  <c r="AA206" i="1"/>
  <c r="AA336" i="1"/>
  <c r="AA340" i="1"/>
  <c r="AA180" i="1"/>
  <c r="AA166" i="1"/>
  <c r="AA81" i="1"/>
  <c r="AA49" i="1"/>
  <c r="AA25" i="1"/>
  <c r="AA155" i="1" l="1"/>
  <c r="R394" i="1"/>
  <c r="R408" i="1"/>
  <c r="AA107" i="1"/>
  <c r="AA106" i="1"/>
  <c r="AA29" i="1"/>
  <c r="AA36" i="1"/>
  <c r="AA387" i="1" l="1"/>
  <c r="B387" i="1"/>
  <c r="AA400" i="1"/>
  <c r="B401" i="1"/>
  <c r="M76" i="1"/>
  <c r="P45" i="1"/>
  <c r="P380" i="1"/>
  <c r="M380" i="1"/>
  <c r="L380" i="1"/>
  <c r="K380" i="1"/>
  <c r="J380" i="1"/>
  <c r="I380" i="1"/>
  <c r="G380" i="1"/>
  <c r="F380" i="1"/>
  <c r="E380" i="1"/>
  <c r="D380" i="1"/>
  <c r="R379" i="1"/>
  <c r="R378" i="1"/>
  <c r="R377" i="1"/>
  <c r="R376" i="1"/>
  <c r="P362" i="1"/>
  <c r="M362" i="1"/>
  <c r="L362" i="1"/>
  <c r="K362" i="1"/>
  <c r="J362" i="1"/>
  <c r="I362" i="1"/>
  <c r="G362" i="1"/>
  <c r="F362" i="1"/>
  <c r="E362" i="1"/>
  <c r="D362" i="1"/>
  <c r="R361" i="1"/>
  <c r="R360" i="1"/>
  <c r="R359" i="1"/>
  <c r="R358" i="1"/>
  <c r="P348" i="1"/>
  <c r="M348" i="1"/>
  <c r="L348" i="1"/>
  <c r="K348" i="1"/>
  <c r="J348" i="1"/>
  <c r="I348" i="1"/>
  <c r="G348" i="1"/>
  <c r="F348" i="1"/>
  <c r="E348" i="1"/>
  <c r="D348" i="1"/>
  <c r="R347" i="1"/>
  <c r="R346" i="1"/>
  <c r="R345" i="1"/>
  <c r="R344" i="1"/>
  <c r="P330" i="1"/>
  <c r="M330" i="1"/>
  <c r="L330" i="1"/>
  <c r="K330" i="1"/>
  <c r="J330" i="1"/>
  <c r="I330" i="1"/>
  <c r="G330" i="1"/>
  <c r="F330" i="1"/>
  <c r="E330" i="1"/>
  <c r="D330" i="1"/>
  <c r="R329" i="1"/>
  <c r="R328" i="1"/>
  <c r="R327" i="1"/>
  <c r="R326" i="1"/>
  <c r="P316" i="1"/>
  <c r="M316" i="1"/>
  <c r="L316" i="1"/>
  <c r="K316" i="1"/>
  <c r="J316" i="1"/>
  <c r="I316" i="1"/>
  <c r="G316" i="1"/>
  <c r="F316" i="1"/>
  <c r="E316" i="1"/>
  <c r="D316" i="1"/>
  <c r="R315" i="1"/>
  <c r="R314" i="1"/>
  <c r="R313" i="1"/>
  <c r="R312" i="1"/>
  <c r="P302" i="1"/>
  <c r="M302" i="1"/>
  <c r="L302" i="1"/>
  <c r="K302" i="1"/>
  <c r="J302" i="1"/>
  <c r="I302" i="1"/>
  <c r="G302" i="1"/>
  <c r="F302" i="1"/>
  <c r="E302" i="1"/>
  <c r="D302" i="1"/>
  <c r="R301" i="1"/>
  <c r="R300" i="1"/>
  <c r="R299" i="1"/>
  <c r="R298" i="1"/>
  <c r="P288" i="1"/>
  <c r="M288" i="1"/>
  <c r="L288" i="1"/>
  <c r="K288" i="1"/>
  <c r="J288" i="1"/>
  <c r="I288" i="1"/>
  <c r="G288" i="1"/>
  <c r="F288" i="1"/>
  <c r="E288" i="1"/>
  <c r="D288" i="1"/>
  <c r="R287" i="1"/>
  <c r="R286" i="1"/>
  <c r="R285" i="1"/>
  <c r="R284" i="1"/>
  <c r="P274" i="1"/>
  <c r="M274" i="1"/>
  <c r="L274" i="1"/>
  <c r="K274" i="1"/>
  <c r="J274" i="1"/>
  <c r="I274" i="1"/>
  <c r="G274" i="1"/>
  <c r="F274" i="1"/>
  <c r="E274" i="1"/>
  <c r="D274" i="1"/>
  <c r="R273" i="1"/>
  <c r="R272" i="1"/>
  <c r="R271" i="1"/>
  <c r="R270" i="1"/>
  <c r="P260" i="1"/>
  <c r="M260" i="1"/>
  <c r="L260" i="1"/>
  <c r="K260" i="1"/>
  <c r="J260" i="1"/>
  <c r="I260" i="1"/>
  <c r="G260" i="1"/>
  <c r="F260" i="1"/>
  <c r="E260" i="1"/>
  <c r="D260" i="1"/>
  <c r="R259" i="1"/>
  <c r="R258" i="1"/>
  <c r="R257" i="1"/>
  <c r="R256" i="1"/>
  <c r="P246" i="1"/>
  <c r="M246" i="1"/>
  <c r="L246" i="1"/>
  <c r="K246" i="1"/>
  <c r="J246" i="1"/>
  <c r="I246" i="1"/>
  <c r="G246" i="1"/>
  <c r="F246" i="1"/>
  <c r="E246" i="1"/>
  <c r="D246" i="1"/>
  <c r="R245" i="1"/>
  <c r="R244" i="1"/>
  <c r="R243" i="1"/>
  <c r="R242" i="1"/>
  <c r="P232" i="1"/>
  <c r="M232" i="1"/>
  <c r="L232" i="1"/>
  <c r="K232" i="1"/>
  <c r="J232" i="1"/>
  <c r="I232" i="1"/>
  <c r="G232" i="1"/>
  <c r="F232" i="1"/>
  <c r="E232" i="1"/>
  <c r="D232" i="1"/>
  <c r="R231" i="1"/>
  <c r="R230" i="1"/>
  <c r="R229" i="1"/>
  <c r="R228" i="1"/>
  <c r="P216" i="1"/>
  <c r="M216" i="1"/>
  <c r="L216" i="1"/>
  <c r="K216" i="1"/>
  <c r="J216" i="1"/>
  <c r="I216" i="1"/>
  <c r="G216" i="1"/>
  <c r="F216" i="1"/>
  <c r="E216" i="1"/>
  <c r="D216" i="1"/>
  <c r="R215" i="1"/>
  <c r="R214" i="1"/>
  <c r="R213" i="1"/>
  <c r="R212" i="1"/>
  <c r="P202" i="1"/>
  <c r="N202" i="1"/>
  <c r="M202" i="1"/>
  <c r="L202" i="1"/>
  <c r="K202" i="1"/>
  <c r="J202" i="1"/>
  <c r="I202" i="1"/>
  <c r="G202" i="1"/>
  <c r="F202" i="1"/>
  <c r="E202" i="1"/>
  <c r="D202" i="1"/>
  <c r="R201" i="1"/>
  <c r="R200" i="1"/>
  <c r="R199" i="1"/>
  <c r="N176" i="1"/>
  <c r="M176" i="1"/>
  <c r="L176" i="1"/>
  <c r="K176" i="1"/>
  <c r="J176" i="1"/>
  <c r="I176" i="1"/>
  <c r="G176" i="1"/>
  <c r="F176" i="1"/>
  <c r="E176" i="1"/>
  <c r="D176" i="1"/>
  <c r="P175" i="1"/>
  <c r="P174" i="1"/>
  <c r="P173" i="1"/>
  <c r="P172" i="1"/>
  <c r="AA109" i="1"/>
  <c r="AA108" i="1"/>
  <c r="L99" i="1"/>
  <c r="K99" i="1"/>
  <c r="J99" i="1"/>
  <c r="I99" i="1"/>
  <c r="G99" i="1"/>
  <c r="F99" i="1"/>
  <c r="E99" i="1"/>
  <c r="D99" i="1"/>
  <c r="M98" i="1"/>
  <c r="M97" i="1"/>
  <c r="M96" i="1"/>
  <c r="M95" i="1"/>
  <c r="L90" i="1"/>
  <c r="K90" i="1"/>
  <c r="J90" i="1"/>
  <c r="I90" i="1"/>
  <c r="G90" i="1"/>
  <c r="F90" i="1"/>
  <c r="E90" i="1"/>
  <c r="D90" i="1"/>
  <c r="M89" i="1"/>
  <c r="M88" i="1"/>
  <c r="M87" i="1"/>
  <c r="M86" i="1"/>
  <c r="L77" i="1"/>
  <c r="K77" i="1"/>
  <c r="J77" i="1"/>
  <c r="I77" i="1"/>
  <c r="G77" i="1"/>
  <c r="F77" i="1"/>
  <c r="E77" i="1"/>
  <c r="D77" i="1"/>
  <c r="M75" i="1"/>
  <c r="M74" i="1"/>
  <c r="M73" i="1"/>
  <c r="N67" i="1"/>
  <c r="M67" i="1"/>
  <c r="L67" i="1"/>
  <c r="K67" i="1"/>
  <c r="J67" i="1"/>
  <c r="I67" i="1"/>
  <c r="G67" i="1"/>
  <c r="F67" i="1"/>
  <c r="E67" i="1"/>
  <c r="D67" i="1"/>
  <c r="P66" i="1"/>
  <c r="P65" i="1"/>
  <c r="P64" i="1"/>
  <c r="P63" i="1"/>
  <c r="M59" i="1"/>
  <c r="L59" i="1"/>
  <c r="K59" i="1"/>
  <c r="J59" i="1"/>
  <c r="I59" i="1"/>
  <c r="G59" i="1"/>
  <c r="F59" i="1"/>
  <c r="E59" i="1"/>
  <c r="D59" i="1"/>
  <c r="P58" i="1"/>
  <c r="P57" i="1"/>
  <c r="P56" i="1"/>
  <c r="P55" i="1"/>
  <c r="AA54" i="1"/>
  <c r="M46" i="1"/>
  <c r="L46" i="1"/>
  <c r="K46" i="1"/>
  <c r="J46" i="1"/>
  <c r="I46" i="1"/>
  <c r="G46" i="1"/>
  <c r="F46" i="1"/>
  <c r="E46" i="1"/>
  <c r="D46" i="1"/>
  <c r="P44" i="1"/>
  <c r="P43" i="1"/>
  <c r="P42" i="1"/>
  <c r="L23" i="1"/>
  <c r="K23" i="1"/>
  <c r="J23" i="1"/>
  <c r="I23" i="1"/>
  <c r="F23" i="1"/>
  <c r="D23" i="1"/>
  <c r="M22" i="1"/>
  <c r="M21" i="1"/>
  <c r="M20" i="1"/>
  <c r="M19" i="1"/>
  <c r="M23" i="1" l="1"/>
  <c r="B17" i="1" s="1"/>
  <c r="P67" i="1"/>
  <c r="P59" i="1"/>
  <c r="P176" i="1"/>
  <c r="M99" i="1"/>
  <c r="M77" i="1"/>
  <c r="R216" i="1"/>
  <c r="B209" i="1" s="1"/>
  <c r="R316" i="1"/>
  <c r="B309" i="1" s="1"/>
  <c r="R380" i="1"/>
  <c r="B373" i="1" s="1"/>
  <c r="R202" i="1"/>
  <c r="B195" i="1" s="1"/>
  <c r="M90" i="1"/>
  <c r="B84" i="1" s="1"/>
  <c r="R288" i="1"/>
  <c r="R232" i="1"/>
  <c r="R362" i="1"/>
  <c r="B355" i="1" s="1"/>
  <c r="P46" i="1"/>
  <c r="R274" i="1"/>
  <c r="B267" i="1" s="1"/>
  <c r="R348" i="1"/>
  <c r="B341" i="1" s="1"/>
  <c r="R246" i="1"/>
  <c r="R330" i="1"/>
  <c r="R260" i="1"/>
  <c r="R302" i="1"/>
  <c r="B295" i="1" s="1"/>
  <c r="AA322" i="1" l="1"/>
  <c r="B323" i="1"/>
  <c r="AA238" i="1"/>
  <c r="B239" i="1"/>
  <c r="AA61" i="1"/>
  <c r="B61" i="1"/>
  <c r="AA252" i="1"/>
  <c r="B253" i="1"/>
  <c r="AA40" i="1"/>
  <c r="B40" i="1"/>
  <c r="AA224" i="1"/>
  <c r="B225" i="1"/>
  <c r="AA93" i="1"/>
  <c r="B93" i="1"/>
  <c r="AA280" i="1"/>
  <c r="B281" i="1"/>
  <c r="AA71" i="1"/>
  <c r="B71" i="1"/>
  <c r="B53" i="1"/>
  <c r="AA53" i="1"/>
  <c r="AA22" i="1"/>
  <c r="AA85" i="1"/>
  <c r="AA308" i="1"/>
  <c r="AA294" i="1"/>
  <c r="AA354" i="1"/>
  <c r="AA208" i="1"/>
  <c r="AA341" i="1"/>
  <c r="AA194" i="1"/>
  <c r="AA169" i="1"/>
  <c r="AA266" i="1"/>
  <c r="AA372" i="1"/>
  <c r="AA202" i="1" l="1"/>
  <c r="B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Mohammed Haytham ALSOUFI</author>
  </authors>
  <commentList>
    <comment ref="B9" authorId="0" shapeId="0" xr:uid="{A7A8A739-42AA-4E77-A51A-F2E38BF9E8F0}">
      <text>
        <r>
          <rPr>
            <sz val="9"/>
            <color indexed="81"/>
            <rFont val="Tahoma"/>
            <family val="2"/>
          </rPr>
          <t xml:space="preserve">
The name of the National Society whose data will be entered in the rest of the Questionnaire. For the purposes of the FDRS, the data will cover all RCRC activities on the National Society’s national territory including work conducted by Partner National Societies and/or IFRC Secretariat, by autonomous Local Units, and, in some cases, by Corporate Members.
</t>
        </r>
      </text>
    </comment>
    <comment ref="B10" authorId="0" shapeId="0" xr:uid="{61C037BB-77C7-43EC-846E-F46DE1A64612}">
      <text>
        <r>
          <rPr>
            <sz val="9"/>
            <color indexed="81"/>
            <rFont val="Tahoma"/>
            <family val="2"/>
          </rPr>
          <t>The year to which the data in the Form refers i.e. 2017, 2018 etc: Usually a calendar year. Please check the User Guide (p.12-13) for further instructions if the National Society reporting year differs (for example, does not begin in January)</t>
        </r>
      </text>
    </comment>
    <comment ref="G105" authorId="0" shapeId="0" xr:uid="{284B9835-DADF-4F13-8D29-467195D4BF9F}">
      <text>
        <r>
          <rPr>
            <sz val="9"/>
            <color indexed="81"/>
            <rFont val="Tahoma"/>
            <family val="2"/>
          </rPr>
          <t>Currency, according to International Organization for Standardization (ISO) codes. The National Society decides in which currency it will report its financial figures – usually this is the same currency for all its financial data including its financial statements.</t>
        </r>
      </text>
    </comment>
    <comment ref="G106" authorId="0" shapeId="0" xr:uid="{47F4308D-CA3E-454C-8D33-534FE100D42A}">
      <text>
        <r>
          <rPr>
            <sz val="9"/>
            <color indexed="81"/>
            <rFont val="Tahoma"/>
            <family val="2"/>
          </rPr>
          <t>The time frame may sometimes be different for Income and Expenditure than for the other FDRS Indicators. National Societies which do not have a financial reporting year that follows the calendar year (1 January – 31 December) should report their financial data for that calendar year which overlaps most with their financial year. For example, data for a financial year April 2020 to March 2021 is submitted in FDRS Reporting Year 2020.  
Please check the User Guide (p.12, 14 and 15) for further instructions</t>
        </r>
      </text>
    </comment>
    <comment ref="G108" authorId="0" shapeId="0" xr:uid="{46A316B6-67EF-4BB8-A803-A6B3AEE38832}">
      <text>
        <r>
          <rPr>
            <sz val="9"/>
            <color indexed="81"/>
            <rFont val="Tahoma"/>
            <family val="2"/>
          </rPr>
          <t xml:space="preserve">The fiscal value of money, material goods, and services received by the reporting National Society during the Reporting Year, from any source, excluding internal transfers within the reporting National Society.
Please check the User Guide (p.14-15) for further instructions
</t>
        </r>
      </text>
    </comment>
    <comment ref="G109" authorId="0" shapeId="0" xr:uid="{A1431C24-AC65-4A67-9583-A4C3025C65C7}">
      <text>
        <r>
          <rPr>
            <sz val="9"/>
            <color indexed="81"/>
            <rFont val="Tahoma"/>
            <family val="2"/>
          </rPr>
          <t>The fiscal value of money, material goods, and services which the Reporting National Society spends during the Reporting Year, excluding internal transfers within the reporting National Society.  
Please check the User Guide (p.16) for further instructions.</t>
        </r>
      </text>
    </comment>
    <comment ref="B370" authorId="0" shapeId="0" xr:uid="{2299EC2B-42E9-4D5B-B745-AD1BB6BD5EF0}">
      <text>
        <r>
          <rPr>
            <sz val="9"/>
            <color indexed="81"/>
            <rFont val="Tahoma"/>
            <family val="2"/>
          </rPr>
          <t>Climate campaigns aim to promote behaviours both by individuals and society to reduce greenhouse gas emissions and adapt and protect themselves and their societies from the impacts of climate change. Environmental campaigns aim to promote public behaviour change to reduce pollution, biodiversity loss and ecosystem degradation.
Campaigns refers to a process that promotes and supports positive behaviour change related to a problem/issue. It goes through several stages, from learning about the problem, having a positive opinion about a change of behaviour to tackle the problem, developing an intention to change behaviour incorporating the new behaviour into one’s habits and finally promoting this behaviour to others.</t>
        </r>
      </text>
    </comment>
  </commentList>
</comments>
</file>

<file path=xl/sharedStrings.xml><?xml version="1.0" encoding="utf-8"?>
<sst xmlns="http://schemas.openxmlformats.org/spreadsheetml/2006/main" count="24105" uniqueCount="12388">
  <si>
    <t>to do:</t>
  </si>
  <si>
    <t xml:space="preserve">hide this coulem </t>
  </si>
  <si>
    <t>https://data-api.ifrc.org/Backoffice</t>
  </si>
  <si>
    <t>lock the sheet</t>
  </si>
  <si>
    <t>EN</t>
  </si>
  <si>
    <t>≤29</t>
  </si>
  <si>
    <t xml:space="preserve">30-39 </t>
  </si>
  <si>
    <t xml:space="preserve">40-49 </t>
  </si>
  <si>
    <t>50-59</t>
  </si>
  <si>
    <t>60-69</t>
  </si>
  <si>
    <t>70-79</t>
  </si>
  <si>
    <t>80+</t>
  </si>
  <si>
    <r>
      <t>6</t>
    </r>
    <r>
      <rPr>
        <sz val="11"/>
        <color theme="0"/>
        <rFont val="Arial"/>
        <family val="2"/>
      </rPr>
      <t>t</t>
    </r>
    <r>
      <rPr>
        <sz val="11"/>
        <color theme="1"/>
        <rFont val="Arial"/>
        <family val="2"/>
      </rPr>
      <t>-12</t>
    </r>
  </si>
  <si>
    <t>13-17</t>
  </si>
  <si>
    <t xml:space="preserve">18-29 </t>
  </si>
  <si>
    <t>18-29</t>
  </si>
  <si>
    <t>dd/mm/yyyy</t>
  </si>
  <si>
    <t>0-5</t>
  </si>
  <si>
    <t>Section 4: Additional Information and Feedback</t>
  </si>
  <si>
    <t>Any important extra information about the data reported in the Form</t>
  </si>
  <si>
    <t>TranslationKeyId</t>
  </si>
  <si>
    <t>Page</t>
  </si>
  <si>
    <t>Key</t>
  </si>
  <si>
    <t>ApplicationId</t>
  </si>
  <si>
    <t>en</t>
  </si>
  <si>
    <t>fr</t>
  </si>
  <si>
    <t>es</t>
  </si>
  <si>
    <t>ar</t>
  </si>
  <si>
    <t>language</t>
  </si>
  <si>
    <t>Arabic</t>
  </si>
  <si>
    <t>Arabe</t>
  </si>
  <si>
    <t>Árabe</t>
  </si>
  <si>
    <t>العربية</t>
  </si>
  <si>
    <t>Spanish</t>
  </si>
  <si>
    <t>Espagnol</t>
  </si>
  <si>
    <t>Español</t>
  </si>
  <si>
    <t>الإسبانية</t>
  </si>
  <si>
    <t>French</t>
  </si>
  <si>
    <t>Français</t>
  </si>
  <si>
    <t>Francés</t>
  </si>
  <si>
    <t>الفرنسية</t>
  </si>
  <si>
    <t>English</t>
  </si>
  <si>
    <t>Anglais</t>
  </si>
  <si>
    <t>Inglés</t>
  </si>
  <si>
    <t>الإنجليزية</t>
  </si>
  <si>
    <t>form</t>
  </si>
  <si>
    <t>discardchanges</t>
  </si>
  <si>
    <t>Discard changes</t>
  </si>
  <si>
    <t>Rejeter les modifications</t>
  </si>
  <si>
    <t>Descartar cambios</t>
  </si>
  <si>
    <t>????? ?????????</t>
  </si>
  <si>
    <t>unsavedchangescancel</t>
  </si>
  <si>
    <t>Cancel</t>
  </si>
  <si>
    <t>Annuler</t>
  </si>
  <si>
    <t>Cancelar</t>
  </si>
  <si>
    <t>??? ?????????</t>
  </si>
  <si>
    <t>savechanges</t>
  </si>
  <si>
    <t>Save changes</t>
  </si>
  <si>
    <t>Enregistrer les modifications</t>
  </si>
  <si>
    <t>Guardar cambios</t>
  </si>
  <si>
    <t>?????</t>
  </si>
  <si>
    <t>unsavedchanges</t>
  </si>
  <si>
    <t>You have {0} unsaved change(s).</t>
  </si>
  <si>
    <t>Vous avez {0} changement(s) non sauvegardé(s)</t>
  </si>
  <si>
    <t>Tienen {0} cambio(s) sin guardar</t>
  </si>
  <si>
    <t>???? {0} ??????? ??? ??????</t>
  </si>
  <si>
    <t>unsavedchangestitle</t>
  </si>
  <si>
    <t>Unsaved changes alert</t>
  </si>
  <si>
    <t>Alerte aux changements non sauvegardés</t>
  </si>
  <si>
    <t>Alerta de cambios no guardados</t>
  </si>
  <si>
    <t>????? ????????? ??? ????????</t>
  </si>
  <si>
    <t>documents</t>
  </si>
  <si>
    <t>savealert</t>
  </si>
  <si>
    <t>Editing document details may require another approval before get published.</t>
  </si>
  <si>
    <t>NULL</t>
  </si>
  <si>
    <t>approvedocumentconfirmmessage</t>
  </si>
  <si>
    <t>Are you sure to approve the publication of this document?</t>
  </si>
  <si>
    <t>rejectdocumentconfirmmessage</t>
  </si>
  <si>
    <t>Are you sure to reject the publication of this document?</t>
  </si>
  <si>
    <t>nsinformationreject_button</t>
  </si>
  <si>
    <t>Reject</t>
  </si>
  <si>
    <t>resetexchangerate</t>
  </si>
  <si>
    <t>Reset rate to default</t>
  </si>
  <si>
    <t>previoussectionnosave</t>
  </si>
  <si>
    <t>Previous section (no save)</t>
  </si>
  <si>
    <t>nextsectionnosave</t>
  </si>
  <si>
    <t>Next section (no save)</t>
  </si>
  <si>
    <t>totalexpenditurechf</t>
  </si>
  <si>
    <t>Total Expenditure CHF value</t>
  </si>
  <si>
    <t>totalincomechf</t>
  </si>
  <si>
    <t>Total Income CHF value</t>
  </si>
  <si>
    <t>appliedexchangerateupdate</t>
  </si>
  <si>
    <t>Update</t>
  </si>
  <si>
    <t>appliedexchangerate</t>
  </si>
  <si>
    <t xml:space="preserve">Applied exchange rate: </t>
  </si>
  <si>
    <t>formkpi</t>
  </si>
  <si>
    <t>kpi_cur_codelongdescription</t>
  </si>
  <si>
    <t>kpi_cur_codedescription</t>
  </si>
  <si>
    <t>kpi_donblood_isdatanotcollectedlongdescription</t>
  </si>
  <si>
    <t>kpi_donblood_isdatanotcollecteddescription</t>
  </si>
  <si>
    <t>curlongdescription</t>
  </si>
  <si>
    <t>curdescription</t>
  </si>
  <si>
    <t>kpi_nobrancheslongdescription</t>
  </si>
  <si>
    <t>kpi_nobranchesdescription</t>
  </si>
  <si>
    <t>kpi_enddatelongdescription</t>
  </si>
  <si>
    <t>kpi_enddatedescription</t>
  </si>
  <si>
    <t>kpi_startdatelongdescription</t>
  </si>
  <si>
    <t>kpi_startdatedescription</t>
  </si>
  <si>
    <t>our audited financial statements</t>
  </si>
  <si>
    <t>Our Audited Financial Statements</t>
  </si>
  <si>
    <t>our audited financial statements (external approval needed)</t>
  </si>
  <si>
    <t>Our Audited Financial Statements (External Approval Needed)</t>
  </si>
  <si>
    <t>our unaudited financial statement</t>
  </si>
  <si>
    <t>Our Unaudited Financial Statement</t>
  </si>
  <si>
    <t>our emblem law</t>
  </si>
  <si>
    <t>Our Emblem Law</t>
  </si>
  <si>
    <t>our statutes in force</t>
  </si>
  <si>
    <t>Our Statutes in Force</t>
  </si>
  <si>
    <t>our red cross law</t>
  </si>
  <si>
    <t>Our Red Cross Law</t>
  </si>
  <si>
    <t>other</t>
  </si>
  <si>
    <t>Other</t>
  </si>
  <si>
    <t>picture of the year</t>
  </si>
  <si>
    <t>Picture of the Year</t>
  </si>
  <si>
    <t>our strategic plan</t>
  </si>
  <si>
    <t>Our Strategic Plan</t>
  </si>
  <si>
    <t>our annual report</t>
  </si>
  <si>
    <t>Our Annual Report</t>
  </si>
  <si>
    <t>frontend</t>
  </si>
  <si>
    <t>highlighthome2_2025</t>
  </si>
  <si>
    <t>highlighthome2_2024</t>
  </si>
  <si>
    <t>highlighthome2_2023</t>
  </si>
  <si>
    <t>The unprecedented challenges the COVID-19 pandemic presented us with led National Societies and their partners to find new, innovative ways to diversify the sources of income, reaching a significant high in 2020.</t>
  </si>
  <si>
    <t>Les défis sans précédent que la pandémie de COVID-19 nous a présentés ont conduit les Sociétés nationales et leurs partenaires à trouver des moyens nouveaux et innovants pour diversifier les sources de revenus, atteignant un sommet significatif en 2020.</t>
  </si>
  <si>
    <t>Los desafíos sin precedentes que nos planteó la pandemia de COVID-19 llevaron a las Sociedades Nacionales y a sus asociados a encontrar formas nuevas e innovadoras de diversificar las fuentes de ingresos, alcanzando un alto nivel en 2020.</t>
  </si>
  <si>
    <t>highlighthome1_2025</t>
  </si>
  <si>
    <t>highlighthome1_2024</t>
  </si>
  <si>
    <t>highlighthome1_2023</t>
  </si>
  <si>
    <t>Over 22,4 million people worldwide donated blood in 2020 with one of our National Societies.</t>
  </si>
  <si>
    <t>Plus de 22,4 millions de personnes dans le monde ont donné leur sang en 2020 auprès de l'une de nos sociétés nationales.</t>
  </si>
  <si>
    <t>Más de 22,4 millones de personas en todo el mundo donaron sangre en 2020 con alguna de nuestras Sociedades Nacionales</t>
  </si>
  <si>
    <t>common</t>
  </si>
  <si>
    <t>wordlimitreached</t>
  </si>
  <si>
    <t>One or more question(s) reached the word limitation.</t>
  </si>
  <si>
    <t>La limite de mots est atteinte pour une ou plusieurs question(s).</t>
  </si>
  <si>
    <t>Bajo una o más preguntas ha excedido la cantidad máxima de palabras</t>
  </si>
  <si>
    <t>بلغت مسألة واحدة أو أكثر الحد العالمي.</t>
  </si>
  <si>
    <t>kpi_completionlongdescription</t>
  </si>
  <si>
    <t>kpi_completiondescription</t>
  </si>
  <si>
    <t>menu</t>
  </si>
  <si>
    <t>usersummary</t>
  </si>
  <si>
    <t>User Summary</t>
  </si>
  <si>
    <t>noresult</t>
  </si>
  <si>
    <t>No result</t>
  </si>
  <si>
    <t>refresh</t>
  </si>
  <si>
    <t>Refresh Result</t>
  </si>
  <si>
    <t>_unique</t>
  </si>
  <si>
    <t>Unique selection</t>
  </si>
  <si>
    <t>edit</t>
  </si>
  <si>
    <t>Edit</t>
  </si>
  <si>
    <t>_nozoneaccess</t>
  </si>
  <si>
    <t>No access</t>
  </si>
  <si>
    <t>active</t>
  </si>
  <si>
    <t>Active</t>
  </si>
  <si>
    <t>_all</t>
  </si>
  <si>
    <t>All</t>
  </si>
  <si>
    <t>formreadonly</t>
  </si>
  <si>
    <t>Reader</t>
  </si>
  <si>
    <t>editor</t>
  </si>
  <si>
    <t>Editor</t>
  </si>
  <si>
    <t>datamanager</t>
  </si>
  <si>
    <t>Data manager</t>
  </si>
  <si>
    <t>coordinator</t>
  </si>
  <si>
    <t>Coordinator</t>
  </si>
  <si>
    <t>administrator</t>
  </si>
  <si>
    <t>Admin</t>
  </si>
  <si>
    <t>access</t>
  </si>
  <si>
    <t>NS access</t>
  </si>
  <si>
    <t>role</t>
  </si>
  <si>
    <t>Highest Role</t>
  </si>
  <si>
    <t>title</t>
  </si>
  <si>
    <t>Title</t>
  </si>
  <si>
    <t>email</t>
  </si>
  <si>
    <t>Email</t>
  </si>
  <si>
    <t>name</t>
  </si>
  <si>
    <t>Name</t>
  </si>
  <si>
    <t>result</t>
  </si>
  <si>
    <t>Result</t>
  </si>
  <si>
    <t>pagetitle</t>
  </si>
  <si>
    <t>nsinformationapprove_button</t>
  </si>
  <si>
    <t>Approve</t>
  </si>
  <si>
    <t>_nolocalunitsprovided</t>
  </si>
  <si>
    <t>Field must be filled in for &lt;b&gt;Number of local units&lt;/b&gt;</t>
  </si>
  <si>
    <t>_nobranchesprovided</t>
  </si>
  <si>
    <t>Field must be filled in for &lt;b&gt;Number of branches&lt;/b&gt;</t>
  </si>
  <si>
    <t>remainingcharacters</t>
  </si>
  <si>
    <t>Remaining characters:</t>
  </si>
  <si>
    <t>Caractères restants :</t>
  </si>
  <si>
    <t>Caracteres restantes:</t>
  </si>
  <si>
    <t>الحروف المتبقية:</t>
  </si>
  <si>
    <t>remainingwords</t>
  </si>
  <si>
    <t>Remaining words:</t>
  </si>
  <si>
    <t>Mots restants :</t>
  </si>
  <si>
    <t>Palabras restantes:</t>
  </si>
  <si>
    <t>الكلمات المتبقية:</t>
  </si>
  <si>
    <t>survey</t>
  </si>
  <si>
    <t>Survey</t>
  </si>
  <si>
    <t>Enquête</t>
  </si>
  <si>
    <t>Encuesta</t>
  </si>
  <si>
    <t>دراسة استقصائية</t>
  </si>
  <si>
    <t>yes</t>
  </si>
  <si>
    <t>YES</t>
  </si>
  <si>
    <t>localbranchdescriptionshort</t>
  </si>
  <si>
    <t xml:space="preserve">Red Cross Red Crescent Branches are an organizational entity, which </t>
  </si>
  <si>
    <t xml:space="preserve">Les branches de la Croix-Rouge et du Croissant-Rouge sont une entité organisationnelle, qui </t>
  </si>
  <si>
    <t xml:space="preserve">Las sucursales de la Cruz Roja y de la Medialuna Roja son una entidad organizativa que </t>
  </si>
  <si>
    <t>receivedsupportamountchf</t>
  </si>
  <si>
    <t>CHF received:</t>
  </si>
  <si>
    <t>CHF reçu:</t>
  </si>
  <si>
    <t>CHF recibido:</t>
  </si>
  <si>
    <t>:ليس لدينا هذا </t>
  </si>
  <si>
    <t>supportedamountchf</t>
  </si>
  <si>
    <t>CHF provided:</t>
  </si>
  <si>
    <t>CHF fourni:</t>
  </si>
  <si>
    <t>CHF proporcionado:</t>
  </si>
  <si>
    <t>:الفرنك السويسري المقدم</t>
  </si>
  <si>
    <t>numberoflocalbranches</t>
  </si>
  <si>
    <t>Number of branches</t>
  </si>
  <si>
    <t>Nombre de Branches</t>
  </si>
  <si>
    <t>Número de sucursales</t>
  </si>
  <si>
    <t>عدد فروع الجمعية الوطنية للصليب الأحمر</t>
  </si>
  <si>
    <t>localbranchdescriptionlong</t>
  </si>
  <si>
    <t>Red Cross Red Crescent Branches are an organizational entity, which serve as a neutral space offered to community members to self organize, facilitate volunteering opportunities to deliver humanitarian assistance, enhance community resilience, and create a platform to mobilize local support. Its roles, responsibilities and relationships with the National Headquarters are defined through National Societies’ Statutes. It has a local-level decision-making mechanism through its Branch members, board and volunteers, equally defined through the National Societies’ Statutes.</t>
  </si>
  <si>
    <t>Les branches de la Croix-Rouge et du Croissant-Rouge sont une entité organisationnelle, qui servent d'espace neutre offert aux membres de la communauté pour s'auto-organiser, faciliter les opportunités de bénévolat pour fournir une assistance humanitaire, renforcer la résilience communautaire et créer une plateforme pour mobiliser le soutien local. Une branche possède ses rôles, responsabilités et relations avec le siège national, définis à travers les statuts des Sociétés Nationales. Elle dispose d'un mécanisme de prise de décision au niveau local à travers ses membres de la branche, son conseil et ses bénévoles, également définis à travers les statuts des Sociétés Nationales.</t>
  </si>
  <si>
    <t>Las sucursales de la Cruz Roja y de la Medialuna Roja son una entidad organizativa que sirve como un espacio neutral que se ofrece a los miembros de la comunidad para autoorganizarse, facilitar oportunidades de voluntariado para brindar asistencia humanitaria, mejorar la resiliencia de la comunidad y crear una plataforma para movilizar el apoyo local. Sus roles y responsabilidades y su relación con el Cuartel General Nacional definidos a través de los Estatutos de las Sociedades Nacionales, incluyendo el nivel de autonomía otorgado, especialmente en el área de su estatus legal, movilizando recursos locales y construyendo asociaciones locales, y las decisiones que toma. Cuenta con un mecanismo de toma de decisiones a nivel local a través de sus miembros de la Sucursal, su junta y voluntarios, igualmente definido por los Estatutos de las Sociedades Nacionales.</t>
  </si>
  <si>
    <t>kpidata</t>
  </si>
  <si>
    <t>nocalcsummary</t>
  </si>
  <si>
    <t>This form opened in &lt;b&gt;read only&lt;/b&gt; mode without automatic calculation of totals fields. You can reopen the form in &lt;i&gt;write mode&lt;/i&gt;, but it is possible that some older, manually added totals data is being overwritten by automatic calculation of the table.</t>
  </si>
  <si>
    <t>Ce formulaire est ouvert en &lt;b&gt;lecture seule&lt;/b&gt;, le calcul automatique des totaux n'est donc pas activé. Vous pouvez rouvrir le formulaire en &lt;i&gt;mode écriture&lt;/i&gt;, mais il est possible que les totaux anciens ayant été saisis manuellement soient écrasés du fait de l'activation du calcul automatique des totaux.</t>
  </si>
  <si>
    <t>Este formulario abierto en modo &lt;b&gt;solo lectura&lt;b&gt; sin cálculo automático en los campos totales. Puede reabrir este formulario en &lt;i&gt;modo escritura&lt;/i&gt;, pero es posible que algunos totales previos, manualmente añadidos, sean reemplazados por el cálculo automático de la tabla.</t>
  </si>
  <si>
    <t>هذه الاستمارة مفتوحة بموجب &lt;b&gt;lecture seule&lt;/b&gt;، وبالتالي فإن الحساب التلقائي للمجاميع ليس مفعّلا. بوسعك فتح الاستمارة بموجب &lt;i&gt;mode écriture&lt;/i&gt;، وغير انه يمكن أن تحذف المجاميع القديمة التي تم تدوينها  يدويا بفعل تفعيل الحساب التلقائي للمجاميع.</t>
  </si>
  <si>
    <t>nsddefinitionsdata.kpi_reachltspd_cpd</t>
  </si>
  <si>
    <t>National Society services to strengthen community resilience, improve health, and address the needs of the most vulnerable.</t>
  </si>
  <si>
    <t>prefilledtext</t>
  </si>
  <si>
    <t>Data from Annual Report {0}. Please adjust this number if your final data is available.</t>
  </si>
  <si>
    <t>Données du Rapport Annuel {0}. Veuillez ajuster ce chiffre si vos données finales sont disponibles.</t>
  </si>
  <si>
    <t>Datos extraídos del Reporte Anual {0}. Por favor, ajusten el valor si los datos finales están disponibles.</t>
  </si>
  <si>
    <t>highlighthome2_2018</t>
  </si>
  <si>
    <t>highlighthome1_2018</t>
  </si>
  <si>
    <t>highlighthome2_2019</t>
  </si>
  <si>
    <t>highlighthome1_2019</t>
  </si>
  <si>
    <t>highlighthome2_2020</t>
  </si>
  <si>
    <t>highlighthome1_2020</t>
  </si>
  <si>
    <t>highlighthome2_2021</t>
  </si>
  <si>
    <t>highlighthome1_2021</t>
  </si>
  <si>
    <t>highlighthome2_2022</t>
  </si>
  <si>
    <t>highlighthome1_2022</t>
  </si>
  <si>
    <t>report</t>
  </si>
  <si>
    <t>googleanalytics</t>
  </si>
  <si>
    <t>Google Analytics</t>
  </si>
  <si>
    <t>useranalytics</t>
  </si>
  <si>
    <t>User Analytics Reports</t>
  </si>
  <si>
    <t>submit</t>
  </si>
  <si>
    <t>Submit</t>
  </si>
  <si>
    <t>Remitir</t>
  </si>
  <si>
    <t>submitanyway</t>
  </si>
  <si>
    <t>Submit anyway</t>
  </si>
  <si>
    <t>userguide</t>
  </si>
  <si>
    <t>User Guide</t>
  </si>
  <si>
    <t>neclist</t>
  </si>
  <si>
    <t>List</t>
  </si>
  <si>
    <t>Liste</t>
  </si>
  <si>
    <t>Lista</t>
  </si>
  <si>
    <t>قائمة</t>
  </si>
  <si>
    <t>nec</t>
  </si>
  <si>
    <t>Consolidated dashboard</t>
  </si>
  <si>
    <t>cbfadmin</t>
  </si>
  <si>
    <t>CBF Admin</t>
  </si>
  <si>
    <t>CBF Administrateur</t>
  </si>
  <si>
    <t>CBF Administrador</t>
  </si>
  <si>
    <t>CBF مسؤل</t>
  </si>
  <si>
    <t>cbflist</t>
  </si>
  <si>
    <t>cbfform</t>
  </si>
  <si>
    <t>Form</t>
  </si>
  <si>
    <t>Formulaire</t>
  </si>
  <si>
    <t>Forma</t>
  </si>
  <si>
    <t>استمارة</t>
  </si>
  <si>
    <t>cbf</t>
  </si>
  <si>
    <t>CBF</t>
  </si>
  <si>
    <t>crramonitoringreport</t>
  </si>
  <si>
    <t>CRRA Monitoring Report</t>
  </si>
  <si>
    <t>Rapport de suivi CRRA</t>
  </si>
  <si>
    <t>Informe de seguimiento de la CRRA</t>
  </si>
  <si>
    <t>تقرير رصد استعراض القدرات وتقييم المخاطر</t>
  </si>
  <si>
    <t>riskassessmentguides</t>
  </si>
  <si>
    <t>Risk Assessment Resources</t>
  </si>
  <si>
    <t>Ressources pour l'évaluation des risques</t>
  </si>
  <si>
    <t>Recursos para la evaluación de riesgos</t>
  </si>
  <si>
    <t>مراجع تقييم المخاطر</t>
  </si>
  <si>
    <t>capacityreviewguides</t>
  </si>
  <si>
    <t>Capacity Review Resources</t>
  </si>
  <si>
    <t>Ressources pour l'évaluation des capacités</t>
  </si>
  <si>
    <t>Recursos para el examen de las capacidades</t>
  </si>
  <si>
    <t>مراجع استعراض القدرات</t>
  </si>
  <si>
    <t>buttonsave2_button</t>
  </si>
  <si>
    <t>Modify data</t>
  </si>
  <si>
    <t>skipped</t>
  </si>
  <si>
    <t>Skipped</t>
  </si>
  <si>
    <t>Omitido</t>
  </si>
  <si>
    <t>buttonreopenall_button</t>
  </si>
  <si>
    <t>Reopen section</t>
  </si>
  <si>
    <t>Rouvrir tout</t>
  </si>
  <si>
    <t>Reabrir todo</t>
  </si>
  <si>
    <t>nsdashboard</t>
  </si>
  <si>
    <t>year</t>
  </si>
  <si>
    <t>Year :</t>
  </si>
  <si>
    <t>Année :</t>
  </si>
  <si>
    <t>Año :</t>
  </si>
  <si>
    <t>السنة</t>
  </si>
  <si>
    <t>back</t>
  </si>
  <si>
    <t>Back</t>
  </si>
  <si>
    <t>Dos</t>
  </si>
  <si>
    <t>Atrás</t>
  </si>
  <si>
    <t>عودة</t>
  </si>
  <si>
    <t>_datamustbefillednoswitch</t>
  </si>
  <si>
    <t>Table must be filled in for</t>
  </si>
  <si>
    <t>Le tableau doit être rempli pour cet indicateur</t>
  </si>
  <si>
    <t>Se debe rellenar el cuadro de</t>
  </si>
  <si>
    <t>nsinformation</t>
  </si>
  <si>
    <t>Dashboard</t>
  </si>
  <si>
    <t>Informations sur la Société nationale</t>
  </si>
  <si>
    <t>Información sobre la Sociedad Nacional</t>
  </si>
  <si>
    <t>معلومات عن الجمعية الوطنية</t>
  </si>
  <si>
    <t>delete</t>
  </si>
  <si>
    <t>Delete</t>
  </si>
  <si>
    <t>Supprimer</t>
  </si>
  <si>
    <t>Borrar</t>
  </si>
  <si>
    <t>حذف</t>
  </si>
  <si>
    <t>Modifier</t>
  </si>
  <si>
    <t>Editar</t>
  </si>
  <si>
    <t>تحرير</t>
  </si>
  <si>
    <t>formstep2</t>
  </si>
  <si>
    <t>KPI Data Step 2</t>
  </si>
  <si>
    <t>Phase 2 : Données relatives aux indicateurs clés</t>
  </si>
  <si>
    <t>Fase 2 - Indicadores principales</t>
  </si>
  <si>
    <t>بيانات مؤشر الأداء الرئيسي-المرحلة 2</t>
  </si>
  <si>
    <t>header</t>
  </si>
  <si>
    <t>IFRC DATA INITIATIVES</t>
  </si>
  <si>
    <t>INITIATIVES DE LA FÉDÉRATION LIÉES AUX DONNÉES</t>
  </si>
  <si>
    <t>INICIATIVAS DE LA FEDERACIÓN INTERNACIONAL EN RELACIÓN A LA GESTIÓN DE DATOS</t>
  </si>
  <si>
    <t>مبادرات الاتحاد الدولي الخاصة بجمع البيانات</t>
  </si>
  <si>
    <t>downloadxlsinsteadofcsv</t>
  </si>
  <si>
    <t>Download XLSX instead of CSV</t>
  </si>
  <si>
    <t>Descargar XLSX en lugar de CSV</t>
  </si>
  <si>
    <t>nscontacts</t>
  </si>
  <si>
    <t>Contacts of National Societies</t>
  </si>
  <si>
    <t>Contacts des Sociétés nationales</t>
  </si>
  <si>
    <t>Contactos de Sociedades Nacionales</t>
  </si>
  <si>
    <t>بيانات الاتصال للجمعيات الوطنية</t>
  </si>
  <si>
    <t>cashtransferprogramming</t>
  </si>
  <si>
    <t>Cash transfer programming</t>
  </si>
  <si>
    <t>Transferts monétaires</t>
  </si>
  <si>
    <t>TRANSFERENCIAS MONETARIAS</t>
  </si>
  <si>
    <t>برامج التحويلات النقدية</t>
  </si>
  <si>
    <t>kpi_notesreach</t>
  </si>
  <si>
    <t>NOTES AND FEEDBACK</t>
  </si>
  <si>
    <t>NOTES ET COMMENTAIRES</t>
  </si>
  <si>
    <t>NOTAS Y COMENTARIOS</t>
  </si>
  <si>
    <t>ملاحظات وتعليقات</t>
  </si>
  <si>
    <t>kpi_notesreachtitle</t>
  </si>
  <si>
    <t>Notes</t>
  </si>
  <si>
    <t>Veuillez indiquer toute information importante, toute limitation des données ou tout autre commentaire concernant cette section.</t>
  </si>
  <si>
    <t>Por favor, indique cualquier información importante, cualquier limitación de los datos, o cualquier otro comentario sobre esta sección.</t>
  </si>
  <si>
    <t>يرجى الإشارة إلى أي معلومات مهمة ، أو أي قيود على البيانات ، أو أي ملاحظات أخرى بخصوص هذا القسم</t>
  </si>
  <si>
    <t>kpi_notesfinancetitle</t>
  </si>
  <si>
    <t>Any important extra information regarding this section about data reported in the form, any data limitations, or any feedback.</t>
  </si>
  <si>
    <t>kpi_notesfinance</t>
  </si>
  <si>
    <t>agegendertable</t>
  </si>
  <si>
    <t>dontknow</t>
  </si>
  <si>
    <t>I don't know</t>
  </si>
  <si>
    <t>no</t>
  </si>
  <si>
    <t>NO</t>
  </si>
  <si>
    <t>NON</t>
  </si>
  <si>
    <t>لا</t>
  </si>
  <si>
    <t>OUI</t>
  </si>
  <si>
    <t>SÍ</t>
  </si>
  <si>
    <t>نعم</t>
  </si>
  <si>
    <t>kpi_notesgoverningboardtitle</t>
  </si>
  <si>
    <t>kpi_notesgoverningboard</t>
  </si>
  <si>
    <t>indicator</t>
  </si>
  <si>
    <t>editbtn</t>
  </si>
  <si>
    <t>validation matrix</t>
  </si>
  <si>
    <t>Validation matrix</t>
  </si>
  <si>
    <t>quality assurance</t>
  </si>
  <si>
    <t>Quality Assurance</t>
  </si>
  <si>
    <t>publications</t>
  </si>
  <si>
    <t>Publications</t>
  </si>
  <si>
    <t>kpi_idlongdescription</t>
  </si>
  <si>
    <t>kpi_iddescription</t>
  </si>
  <si>
    <t>test</t>
  </si>
  <si>
    <t>Validation Matrix</t>
  </si>
  <si>
    <t>dashboards</t>
  </si>
  <si>
    <t>Dashboards</t>
  </si>
  <si>
    <t>Rapports de tiers</t>
  </si>
  <si>
    <t>Informes de terceros</t>
  </si>
  <si>
    <t>تقارير الأطراف الأخرى</t>
  </si>
  <si>
    <t>kpi</t>
  </si>
  <si>
    <t>FDRS Indicators</t>
  </si>
  <si>
    <t>visible</t>
  </si>
  <si>
    <t>Visible</t>
  </si>
  <si>
    <t>Indicators</t>
  </si>
  <si>
    <t>upload</t>
  </si>
  <si>
    <t>Upload</t>
  </si>
  <si>
    <t>nsdocumentpagedocuments</t>
  </si>
  <si>
    <t>National Society documents</t>
  </si>
  <si>
    <t>nationalsociety</t>
  </si>
  <si>
    <t>National Society</t>
  </si>
  <si>
    <t>Société nationale</t>
  </si>
  <si>
    <t>Sociedad Nacional</t>
  </si>
  <si>
    <t>الجمعية الوطنية</t>
  </si>
  <si>
    <t>editnstitle</t>
  </si>
  <si>
    <t>Edit National Society information</t>
  </si>
  <si>
    <t>headertext</t>
  </si>
  <si>
    <t>Welcome To FDRS Backoffice</t>
  </si>
  <si>
    <t>Bienvenue au Backoffice FDRS</t>
  </si>
  <si>
    <t>Bienvenido(a) al sitio de FDRS</t>
  </si>
  <si>
    <t>mapimputedlegend.legenddefinitiontext1</t>
  </si>
  <si>
    <t>Read more.</t>
  </si>
  <si>
    <t>Lee mas.</t>
  </si>
  <si>
    <t>اقرأ أكثر.</t>
  </si>
  <si>
    <t>mapimputedlegend.legenddefinitiontext0</t>
  </si>
  <si>
    <t>As data is missing for some National Societies, data fluctuations may be misleading: trend lines can drop for a given year when there is missing data, and some National Societies are excluded from the total and then appear again in another year. In order to better represent the network and better count everyone, FDRS has imputed this data.</t>
  </si>
  <si>
    <t>Dado que faltan datos de algunas Sociedades Nacionales, las fluctuaciones de los datos pueden ser engañosas: las líneas de tendencia pueden descender para un año determinado cuando faltan datos, y algunas Sociedades Nacionales se excluyen del total y luego vuelven a aparecer en otro año. Para representar mejor la red y contar mejor a todos, FDRS ha imputado estos datos.</t>
  </si>
  <si>
    <t>نظرًا لأن البيانات مفقودة بالنسبة لبعض الجمعيات الوطنية ، فقد تكون تقلبات البيانات مضللة: يمكن أن تنخفض خطوط الاتجاه لسنة معينة عند وجود بيانات مفقودة ، ويتم استبعاد بعض الجمعيات الوطنية من الإجمالي ثم تظهر مرة أخرى في عام آخر. من أجل تمثيل الشبكة بشكل أفضل وإحصاء الجميع بشكل أفضل ، أرجع FDRS هذه البيانات.</t>
  </si>
  <si>
    <t>mapimputedlegend.nsdatalegendtext</t>
  </si>
  <si>
    <t>Reported value</t>
  </si>
  <si>
    <t>Valeur déclarée</t>
  </si>
  <si>
    <t>Valor informado</t>
  </si>
  <si>
    <t>القيمة المبلغ عنها</t>
  </si>
  <si>
    <t>mapimputedlegend.imputedlegendtext</t>
  </si>
  <si>
    <t>Imputed Value</t>
  </si>
  <si>
    <t>Valeur imputée</t>
  </si>
  <si>
    <t>Valor imputado</t>
  </si>
  <si>
    <t>القيمة المقدرة</t>
  </si>
  <si>
    <t>maptooltip.valuessourcens</t>
  </si>
  <si>
    <t>Reported data</t>
  </si>
  <si>
    <t>Données rapportées</t>
  </si>
  <si>
    <t>Datos reportados</t>
  </si>
  <si>
    <t>البيانات المبلغ عنها</t>
  </si>
  <si>
    <t>maptooltip.valuessourceimputed</t>
  </si>
  <si>
    <t>Imputed data</t>
  </si>
  <si>
    <t>Données imputées</t>
  </si>
  <si>
    <t>Datos imputados</t>
  </si>
  <si>
    <t>البيانات المتضمنة</t>
  </si>
  <si>
    <t>world</t>
  </si>
  <si>
    <t>World</t>
  </si>
  <si>
    <t>Monde</t>
  </si>
  <si>
    <t>Mundo</t>
  </si>
  <si>
    <t>العالمية</t>
  </si>
  <si>
    <t>whoweare.title</t>
  </si>
  <si>
    <t>Who we are</t>
  </si>
  <si>
    <t>Qui nous sommes</t>
  </si>
  <si>
    <t>Nuestra Identidad</t>
  </si>
  <si>
    <t>من نحن</t>
  </si>
  <si>
    <t>whoweare.slug</t>
  </si>
  <si>
    <t>who-we-are</t>
  </si>
  <si>
    <t>whoweare.sections.1.title</t>
  </si>
  <si>
    <t>Our resources</t>
  </si>
  <si>
    <t>Nos ressources</t>
  </si>
  <si>
    <t>Recursos</t>
  </si>
  <si>
    <t>مواردنا</t>
  </si>
  <si>
    <t>whoweare.sections.1.blocks.9</t>
  </si>
  <si>
    <t>Each National Society is unique and its profile can be consulted on www.ifrc.org/data. At the same time, the IFRC is founded on the notion of mutually respectful solidarity among National Societies through sharing knowledge, practical expertise, other capacities, and financial resources.</t>
  </si>
  <si>
    <t>Toutes les Sociétés nationales sont différentes, comme le montrent les profils disponibles à l’adresse www.ifrc.org/data. Reste que la Fédération est fondée sur la solidarité et le respect mutuel entre les Sociétés nationales, lesquels se manifestent par le partage des connaissances, des expériences pratiques, des ressources financières et d’autres capacités.</t>
  </si>
  <si>
    <t>Cada Sociedad Nacional tiene características singulares que constan en la sección de datos www.ifrc.org/data. Sin embargo, conviene también recordar que la Federación Internacional se cimienta sobre la noción de la respetuosa solidaridad entre las Sociedades Nacionales a través de esfuerzos encaminados a compartir conocimientos, pericia, recursos financieros y otras competencias.</t>
  </si>
  <si>
    <t>وتُعتبر كل جمعية من الجمعيات الوطنية فريدة في حد ذاتها، ويمكن الاطلاع على لمحة مختصرة عن كل منها عن طريق الرابط التالي: www.ifrc.org/data. ويقوم الاتحاد الدولي في الوقت نفسه على فكرة التضامن في ظل احترام متبادل بين الجمعيات الوطنية من خلال تبادل المعارف والخبرات العملية والقدرات الأخرى والموارد المالية.</t>
  </si>
  <si>
    <t>whoweare.sections.1.blocks.8.type</t>
  </si>
  <si>
    <t>tabs</t>
  </si>
  <si>
    <t>whoweare.sections.1.blocks.8.title</t>
  </si>
  <si>
    <t>Regional budgets</t>
  </si>
  <si>
    <t>Budgets régionaux</t>
  </si>
  <si>
    <t>Ingresos y Gastos</t>
  </si>
  <si>
    <t>الميزانيات الإقليمية</t>
  </si>
  <si>
    <t>whoweare.sections.1.blocks.8.tabs.1.name</t>
  </si>
  <si>
    <t>Expenses</t>
  </si>
  <si>
    <t>Dépenses</t>
  </si>
  <si>
    <t>Gastos</t>
  </si>
  <si>
    <t>النفقات</t>
  </si>
  <si>
    <t>whoweare.sections.1.blocks.8.tabs.1.dataset.4.second</t>
  </si>
  <si>
    <t>whoweare.sections.1.blocks.8.tabs.1.dataset.4.rest</t>
  </si>
  <si>
    <t>whoweare.sections.1.blocks.8.tabs.1.dataset.4.names.1</t>
  </si>
  <si>
    <t>??</t>
  </si>
  <si>
    <t>whoweare.sections.1.blocks.8.tabs.1.dataset.4.names.0</t>
  </si>
  <si>
    <t>whoweare.sections.1.blocks.8.tabs.1.dataset.4.name</t>
  </si>
  <si>
    <t>Americas</t>
  </si>
  <si>
    <t>Amériques</t>
  </si>
  <si>
    <t>Américas</t>
  </si>
  <si>
    <t>الأمريكتان</t>
  </si>
  <si>
    <t>whoweare.sections.1.blocks.8.tabs.1.dataset.4.index</t>
  </si>
  <si>
    <t>whoweare.sections.1.blocks.8.tabs.1.dataset.4.first</t>
  </si>
  <si>
    <t>whoweare.sections.1.blocks.8.tabs.1.dataset.3.second</t>
  </si>
  <si>
    <t>whoweare.sections.1.blocks.8.tabs.1.dataset.3.rest</t>
  </si>
  <si>
    <t>whoweare.sections.1.blocks.8.tabs.1.dataset.3.names.1</t>
  </si>
  <si>
    <t>whoweare.sections.1.blocks.8.tabs.1.dataset.3.names.0</t>
  </si>
  <si>
    <t>whoweare.sections.1.blocks.8.tabs.1.dataset.3.name</t>
  </si>
  <si>
    <t>Middle East and North Africa</t>
  </si>
  <si>
    <t>Moyen-Orient et Afrique du Nord</t>
  </si>
  <si>
    <t>Medio Oriente y África del Norte</t>
  </si>
  <si>
    <t>الشرق الأوسط وشمال أفريقيا</t>
  </si>
  <si>
    <t>whoweare.sections.1.blocks.8.tabs.1.dataset.3.index</t>
  </si>
  <si>
    <t>whoweare.sections.1.blocks.8.tabs.1.dataset.3.first</t>
  </si>
  <si>
    <t>whoweare.sections.1.blocks.8.tabs.1.dataset.2.second</t>
  </si>
  <si>
    <t>whoweare.sections.1.blocks.8.tabs.1.dataset.2.rest</t>
  </si>
  <si>
    <t>whoweare.sections.1.blocks.8.tabs.1.dataset.2.names.1</t>
  </si>
  <si>
    <t>whoweare.sections.1.blocks.8.tabs.1.dataset.2.names.0</t>
  </si>
  <si>
    <t>United States Red Cross</t>
  </si>
  <si>
    <t>Croix-Rouge américaine</t>
  </si>
  <si>
    <t>الصليب الأحمر الأمريكي</t>
  </si>
  <si>
    <t>whoweare.sections.1.blocks.8.tabs.1.dataset.2.name</t>
  </si>
  <si>
    <t>Africa</t>
  </si>
  <si>
    <t>Afrique</t>
  </si>
  <si>
    <t>África</t>
  </si>
  <si>
    <t>أفريقيا</t>
  </si>
  <si>
    <t>whoweare.sections.1.blocks.8.tabs.1.dataset.2.index</t>
  </si>
  <si>
    <t>whoweare.sections.1.blocks.8.tabs.1.dataset.2.first</t>
  </si>
  <si>
    <t>whoweare.sections.1.blocks.8.tabs.1.dataset.1.second</t>
  </si>
  <si>
    <t>whoweare.sections.1.blocks.8.tabs.1.dataset.1.rest</t>
  </si>
  <si>
    <t>whoweare.sections.1.blocks.8.tabs.1.dataset.1.names.1</t>
  </si>
  <si>
    <t>French Red Cross</t>
  </si>
  <si>
    <t>Croix-Rouge française</t>
  </si>
  <si>
    <t>الصليب الأحمر الفرنسي</t>
  </si>
  <si>
    <t>whoweare.sections.1.blocks.8.tabs.1.dataset.1.names.0</t>
  </si>
  <si>
    <t>German Red Cross</t>
  </si>
  <si>
    <t>Croix-Rouge allemande</t>
  </si>
  <si>
    <t>الصليب الأحمر الألماني</t>
  </si>
  <si>
    <t>whoweare.sections.1.blocks.8.tabs.1.dataset.1.name</t>
  </si>
  <si>
    <t>Europe</t>
  </si>
  <si>
    <t>Europa</t>
  </si>
  <si>
    <t>أوروبا</t>
  </si>
  <si>
    <t>whoweare.sections.1.blocks.8.tabs.1.dataset.1.index</t>
  </si>
  <si>
    <t>whoweare.sections.1.blocks.8.tabs.1.dataset.1.first</t>
  </si>
  <si>
    <t>whoweare.sections.1.blocks.8.tabs.1.dataset.0.second</t>
  </si>
  <si>
    <t>whoweare.sections.1.blocks.8.tabs.1.dataset.0.rest</t>
  </si>
  <si>
    <t>whoweare.sections.1.blocks.8.tabs.1.dataset.0.names.1</t>
  </si>
  <si>
    <t>Australian Red Cross</t>
  </si>
  <si>
    <t>Croix-Rouge australienne</t>
  </si>
  <si>
    <t>الصليب الأحمر الأسترالي</t>
  </si>
  <si>
    <t>whoweare.sections.1.blocks.8.tabs.1.dataset.0.names.0</t>
  </si>
  <si>
    <t>Japanese Red Cross Society</t>
  </si>
  <si>
    <t>Société de la Croix-Rouge du Japon</t>
  </si>
  <si>
    <t>جمعية الصليب الأحمر الياباني</t>
  </si>
  <si>
    <t>whoweare.sections.1.blocks.8.tabs.1.dataset.0.name</t>
  </si>
  <si>
    <t>Asia and The Pacific</t>
  </si>
  <si>
    <t>Asie-Pacifique</t>
  </si>
  <si>
    <t>Asia-Pacífico</t>
  </si>
  <si>
    <t>آسيا والمحيط الهادئ</t>
  </si>
  <si>
    <t>whoweare.sections.1.blocks.8.tabs.1.dataset.0.index</t>
  </si>
  <si>
    <t>whoweare.sections.1.blocks.8.tabs.1.dataset.0.first</t>
  </si>
  <si>
    <t>whoweare.sections.1.blocks.8.tabs.1.caption</t>
  </si>
  <si>
    <t>Source: FDRS</t>
  </si>
  <si>
    <t>Fuente: Banco de datos y sistema de información general interno de la Federación Internacional</t>
  </si>
  <si>
    <t>المصدر: قاعدة البيانات ونظام الإفادة في الاتحاد الدولي</t>
  </si>
  <si>
    <t>whoweare.sections.1.blocks.8.tabs.0.name</t>
  </si>
  <si>
    <t>Income</t>
  </si>
  <si>
    <t>Recettes</t>
  </si>
  <si>
    <t>Ingresos</t>
  </si>
  <si>
    <t>الدخل</t>
  </si>
  <si>
    <t>whoweare.sections.1.blocks.8.tabs.0.dataset.4.second</t>
  </si>
  <si>
    <t>whoweare.sections.1.blocks.8.tabs.0.dataset.4.rest</t>
  </si>
  <si>
    <t>whoweare.sections.1.blocks.8.tabs.0.dataset.4.names.1</t>
  </si>
  <si>
    <t>whoweare.sections.1.blocks.8.tabs.0.dataset.4.names.0</t>
  </si>
  <si>
    <t>whoweare.sections.1.blocks.8.tabs.0.dataset.4.name</t>
  </si>
  <si>
    <t>whoweare.sections.1.blocks.8.tabs.0.dataset.4.index</t>
  </si>
  <si>
    <t>whoweare.sections.1.blocks.8.tabs.0.dataset.4.first</t>
  </si>
  <si>
    <t>whoweare.sections.1.blocks.8.tabs.0.dataset.3.second</t>
  </si>
  <si>
    <t>whoweare.sections.1.blocks.8.tabs.0.dataset.3.rest</t>
  </si>
  <si>
    <t>whoweare.sections.1.blocks.8.tabs.0.dataset.3.names.1</t>
  </si>
  <si>
    <t>whoweare.sections.1.blocks.8.tabs.0.dataset.3.names.0</t>
  </si>
  <si>
    <t>whoweare.sections.1.blocks.8.tabs.0.dataset.3.name</t>
  </si>
  <si>
    <t>whoweare.sections.1.blocks.8.tabs.0.dataset.3.index</t>
  </si>
  <si>
    <t>whoweare.sections.1.blocks.8.tabs.0.dataset.3.first</t>
  </si>
  <si>
    <t>whoweare.sections.1.blocks.8.tabs.0.dataset.2.second</t>
  </si>
  <si>
    <t>whoweare.sections.1.blocks.8.tabs.0.dataset.2.rest</t>
  </si>
  <si>
    <t>whoweare.sections.1.blocks.8.tabs.0.dataset.2.names.1</t>
  </si>
  <si>
    <t>whoweare.sections.1.blocks.8.tabs.0.dataset.2.names.0</t>
  </si>
  <si>
    <t>whoweare.sections.1.blocks.8.tabs.0.dataset.2.name</t>
  </si>
  <si>
    <t>whoweare.sections.1.blocks.8.tabs.0.dataset.2.index</t>
  </si>
  <si>
    <t>whoweare.sections.1.blocks.8.tabs.0.dataset.2.first</t>
  </si>
  <si>
    <t>whoweare.sections.1.blocks.8.tabs.0.dataset.1.second</t>
  </si>
  <si>
    <t>whoweare.sections.1.blocks.8.tabs.0.dataset.1.rest</t>
  </si>
  <si>
    <t>whoweare.sections.1.blocks.8.tabs.0.dataset.1.names.1</t>
  </si>
  <si>
    <t>whoweare.sections.1.blocks.8.tabs.0.dataset.1.names.0</t>
  </si>
  <si>
    <t>whoweare.sections.1.blocks.8.tabs.0.dataset.1.name</t>
  </si>
  <si>
    <t>whoweare.sections.1.blocks.8.tabs.0.dataset.1.index</t>
  </si>
  <si>
    <t>whoweare.sections.1.blocks.8.tabs.0.dataset.1.first</t>
  </si>
  <si>
    <t>whoweare.sections.1.blocks.8.tabs.0.dataset.0.second</t>
  </si>
  <si>
    <t>whoweare.sections.1.blocks.8.tabs.0.dataset.0.rest</t>
  </si>
  <si>
    <t>whoweare.sections.1.blocks.8.tabs.0.dataset.0.names.1</t>
  </si>
  <si>
    <t>whoweare.sections.1.blocks.8.tabs.0.dataset.0.names.0</t>
  </si>
  <si>
    <t>whoweare.sections.1.blocks.8.tabs.0.dataset.0.name</t>
  </si>
  <si>
    <t>whoweare.sections.1.blocks.8.tabs.0.dataset.0.index</t>
  </si>
  <si>
    <t>whoweare.sections.1.blocks.8.tabs.0.dataset.0.first</t>
  </si>
  <si>
    <t>whoweare.sections.1.blocks.8.tabs.0.caption</t>
  </si>
  <si>
    <t>whoweare.sections.1.blocks.7</t>
  </si>
  <si>
    <t>The Japanese Red Cross Society has the largest income but, in aggregate, the wealthiest National Societies are in Europe. Expenditure mirrors this trend. The largest numbers of paid staff are also in Europe, reflecting the tendency of richer National Societies to rely more on paid workers than volunteers, especially for services that are paid for or subsidised by national and local authorities.</t>
  </si>
  <si>
    <t>La Société de la Croix-Rouge du Japon affiche les recettes les plus élevées, mais, dans l’ensemble, les Sociétés nationales les plus riches sont situées en Europe. De manière générale, le niveau des dépenses correspond au niveau des recettes. Les Sociétés nationales comptant le plus d’employés rémunérés sont également situées en Europe, ce qui reflète la tendance des Sociétés nationales les plus riches à s’en remettre davantage à des travailleurs rémunérés qu’à des volontaires, en particulier en ce qui concerne la prestation de services financés ou subventionnés par les autorités nationales et locales.</t>
  </si>
  <si>
    <t>La Cruz Roja Japonesa cuenta con los ingresos más elevados pero, en conjunto, las Sociedades Nacionales más pudientes se encuentran en Europa. Los gastos reflejan esa tendencia. La mayor cantidad de miembros de personal asalariado también se encuentra en Europa, en clara correlación con la tendencia de las Sociedades Nacionales más ricas a recurrir a colaboradores remunerados más que a voluntarios, en particular en lo que concierne a servicios que pagan o subsidian las autoridades locales o nacionales.</t>
  </si>
  <si>
    <t>ويسجّل الصليب الأحمر الياباني أعلى إيرادات، ولكن توجد أكثر الجمعيات الوطنية غنى إجمالاً في أوروبا. ويعكس الإنفاق هذا الاتجاه. ويوجد أكبر عدد من الموظفين الذين يتقاضون رواتب في أوروبا أيضاً مما يشير إلى ميل الجمعيات الوطنية الغنية نحو الاعتماد على العاملين مقابل أجر أكثر من اعتمادها على المتطوعين، ولا سيما بالنسبة إلى الخدمات التي تتولى السلطات الوطنية والمحلية دفع تكاليفها أو دعمها.</t>
  </si>
  <si>
    <t>whoweare.sections.1.blocks.6.type</t>
  </si>
  <si>
    <t>whoweare.sections.1.blocks.6.title</t>
  </si>
  <si>
    <t>Regional resources</t>
  </si>
  <si>
    <t>Ressources régionales</t>
  </si>
  <si>
    <t>Recursos regionales</t>
  </si>
  <si>
    <t>الموارد الإقليمية</t>
  </si>
  <si>
    <t>whoweare.sections.1.blocks.6.tabs.2.name</t>
  </si>
  <si>
    <t>Paid staff</t>
  </si>
  <si>
    <t>Employés rémunérés</t>
  </si>
  <si>
    <t>Personal remunerado</t>
  </si>
  <si>
    <t>العاملون</t>
  </si>
  <si>
    <t>whoweare.sections.1.blocks.6.tabs.2.dataset.4.second</t>
  </si>
  <si>
    <t>whoweare.sections.1.blocks.6.tabs.2.dataset.4.rest</t>
  </si>
  <si>
    <t>whoweare.sections.1.blocks.6.tabs.2.dataset.4.names.1</t>
  </si>
  <si>
    <t>whoweare.sections.1.blocks.6.tabs.2.dataset.4.names.0</t>
  </si>
  <si>
    <t>whoweare.sections.1.blocks.6.tabs.2.dataset.4.name</t>
  </si>
  <si>
    <t>whoweare.sections.1.blocks.6.tabs.2.dataset.4.index</t>
  </si>
  <si>
    <t>whoweare.sections.1.blocks.6.tabs.2.dataset.4.first</t>
  </si>
  <si>
    <t>whoweare.sections.1.blocks.6.tabs.2.dataset.3.second</t>
  </si>
  <si>
    <t>whoweare.sections.1.blocks.6.tabs.2.dataset.3.rest</t>
  </si>
  <si>
    <t>whoweare.sections.1.blocks.6.tabs.2.dataset.3.names.1</t>
  </si>
  <si>
    <t>whoweare.sections.1.blocks.6.tabs.2.dataset.3.names.0</t>
  </si>
  <si>
    <t>whoweare.sections.1.blocks.6.tabs.2.dataset.3.name</t>
  </si>
  <si>
    <t>whoweare.sections.1.blocks.6.tabs.2.dataset.3.index</t>
  </si>
  <si>
    <t>whoweare.sections.1.blocks.6.tabs.2.dataset.3.first</t>
  </si>
  <si>
    <t>whoweare.sections.1.blocks.6.tabs.2.dataset.2.second</t>
  </si>
  <si>
    <t>whoweare.sections.1.blocks.6.tabs.2.dataset.2.rest</t>
  </si>
  <si>
    <t>whoweare.sections.1.blocks.6.tabs.2.dataset.2.names.1</t>
  </si>
  <si>
    <t>whoweare.sections.1.blocks.6.tabs.2.dataset.2.names.0</t>
  </si>
  <si>
    <t>whoweare.sections.1.blocks.6.tabs.2.dataset.2.name</t>
  </si>
  <si>
    <t>América</t>
  </si>
  <si>
    <t>whoweare.sections.1.blocks.6.tabs.2.dataset.2.index</t>
  </si>
  <si>
    <t>whoweare.sections.1.blocks.6.tabs.2.dataset.2.first</t>
  </si>
  <si>
    <t>whoweare.sections.1.blocks.6.tabs.2.dataset.1.second</t>
  </si>
  <si>
    <t>whoweare.sections.1.blocks.6.tabs.2.dataset.1.rest</t>
  </si>
  <si>
    <t>whoweare.sections.1.blocks.6.tabs.2.dataset.1.names.1</t>
  </si>
  <si>
    <t>Chinese Red Cross</t>
  </si>
  <si>
    <t>Croix-Rouge chinoise</t>
  </si>
  <si>
    <t>جمعية الصليب الأحمر الصيني</t>
  </si>
  <si>
    <t>whoweare.sections.1.blocks.6.tabs.2.dataset.1.names.0</t>
  </si>
  <si>
    <t>whoweare.sections.1.blocks.6.tabs.2.dataset.1.name</t>
  </si>
  <si>
    <t>Asia y el Pacífico</t>
  </si>
  <si>
    <t>whoweare.sections.1.blocks.6.tabs.2.dataset.1.index</t>
  </si>
  <si>
    <t>whoweare.sections.1.blocks.6.tabs.2.dataset.1.first</t>
  </si>
  <si>
    <t>whoweare.sections.1.blocks.6.tabs.2.dataset.0.second</t>
  </si>
  <si>
    <t>whoweare.sections.1.blocks.6.tabs.2.dataset.0.rest</t>
  </si>
  <si>
    <t>whoweare.sections.1.blocks.6.tabs.2.dataset.0.names.1</t>
  </si>
  <si>
    <t>whoweare.sections.1.blocks.6.tabs.2.dataset.0.names.0</t>
  </si>
  <si>
    <t>whoweare.sections.1.blocks.6.tabs.2.dataset.0.name</t>
  </si>
  <si>
    <t>whoweare.sections.1.blocks.6.tabs.2.dataset.0.index</t>
  </si>
  <si>
    <t>whoweare.sections.1.blocks.6.tabs.2.dataset.0.first</t>
  </si>
  <si>
    <t>whoweare.sections.1.blocks.6.tabs.2.caption</t>
  </si>
  <si>
    <t>whoweare.sections.1.blocks.6.tabs.1.name</t>
  </si>
  <si>
    <t>Volunteers</t>
  </si>
  <si>
    <t>Volontaires</t>
  </si>
  <si>
    <t>Voluntarios</t>
  </si>
  <si>
    <t>المتطوعون</t>
  </si>
  <si>
    <t>whoweare.sections.1.blocks.6.tabs.1.dataset.4.second</t>
  </si>
  <si>
    <t>whoweare.sections.1.blocks.6.tabs.1.dataset.4.rest</t>
  </si>
  <si>
    <t>whoweare.sections.1.blocks.6.tabs.1.dataset.4.names.1</t>
  </si>
  <si>
    <t>whoweare.sections.1.blocks.6.tabs.1.dataset.4.names.0</t>
  </si>
  <si>
    <t>whoweare.sections.1.blocks.6.tabs.1.dataset.4.name</t>
  </si>
  <si>
    <t>whoweare.sections.1.blocks.6.tabs.1.dataset.4.index</t>
  </si>
  <si>
    <t>whoweare.sections.1.blocks.6.tabs.1.dataset.4.first</t>
  </si>
  <si>
    <t>whoweare.sections.1.blocks.6.tabs.1.dataset.3.second</t>
  </si>
  <si>
    <t>whoweare.sections.1.blocks.6.tabs.1.dataset.3.rest</t>
  </si>
  <si>
    <t>whoweare.sections.1.blocks.6.tabs.1.dataset.3.names.1</t>
  </si>
  <si>
    <t>whoweare.sections.1.blocks.6.tabs.1.dataset.3.names.0</t>
  </si>
  <si>
    <t>whoweare.sections.1.blocks.6.tabs.1.dataset.3.name</t>
  </si>
  <si>
    <t>whoweare.sections.1.blocks.6.tabs.1.dataset.3.index</t>
  </si>
  <si>
    <t>whoweare.sections.1.blocks.6.tabs.1.dataset.3.first</t>
  </si>
  <si>
    <t>whoweare.sections.1.blocks.6.tabs.1.dataset.2.second</t>
  </si>
  <si>
    <t>whoweare.sections.1.blocks.6.tabs.1.dataset.2.rest</t>
  </si>
  <si>
    <t>whoweare.sections.1.blocks.6.tabs.1.dataset.2.names.1</t>
  </si>
  <si>
    <t>whoweare.sections.1.blocks.6.tabs.1.dataset.2.names.0</t>
  </si>
  <si>
    <t>Nigeria</t>
  </si>
  <si>
    <t>Nigéria</t>
  </si>
  <si>
    <t>نيجيريا</t>
  </si>
  <si>
    <t>whoweare.sections.1.blocks.6.tabs.1.dataset.2.name</t>
  </si>
  <si>
    <t>whoweare.sections.1.blocks.6.tabs.1.dataset.2.index</t>
  </si>
  <si>
    <t>whoweare.sections.1.blocks.6.tabs.1.dataset.2.first</t>
  </si>
  <si>
    <t>whoweare.sections.1.blocks.6.tabs.1.dataset.1.second</t>
  </si>
  <si>
    <t>whoweare.sections.1.blocks.6.tabs.1.dataset.1.rest</t>
  </si>
  <si>
    <t>whoweare.sections.1.blocks.6.tabs.1.dataset.1.names.1</t>
  </si>
  <si>
    <t>whoweare.sections.1.blocks.6.tabs.1.dataset.1.names.0</t>
  </si>
  <si>
    <t>Red Crescent Society of the Islamic Republic of Iran</t>
  </si>
  <si>
    <t>Société du Croissant-Rouge de la République islamique dIran</t>
  </si>
  <si>
    <t>جمعية الهلال الأحمر لجمهورية إيران الإسلامية</t>
  </si>
  <si>
    <t>whoweare.sections.1.blocks.6.tabs.1.dataset.1.name</t>
  </si>
  <si>
    <t>whoweare.sections.1.blocks.6.tabs.1.dataset.1.index</t>
  </si>
  <si>
    <t>whoweare.sections.1.blocks.6.tabs.1.dataset.1.first</t>
  </si>
  <si>
    <t>whoweare.sections.1.blocks.6.tabs.1.dataset.0.second</t>
  </si>
  <si>
    <t>whoweare.sections.1.blocks.6.tabs.1.dataset.0.rest</t>
  </si>
  <si>
    <t>whoweare.sections.1.blocks.6.tabs.1.dataset.0.names.1</t>
  </si>
  <si>
    <t>whoweare.sections.1.blocks.6.tabs.1.dataset.0.names.0</t>
  </si>
  <si>
    <t>India Red Cross Society</t>
  </si>
  <si>
    <t>Croix-Rouge de lInde</t>
  </si>
  <si>
    <t>جمعية الصليب الأحمر الهندي</t>
  </si>
  <si>
    <t>whoweare.sections.1.blocks.6.tabs.1.dataset.0.name</t>
  </si>
  <si>
    <t>whoweare.sections.1.blocks.6.tabs.1.dataset.0.index</t>
  </si>
  <si>
    <t>whoweare.sections.1.blocks.6.tabs.1.dataset.0.first</t>
  </si>
  <si>
    <t>whoweare.sections.1.blocks.6.tabs.1.caption</t>
  </si>
  <si>
    <t>whoweare.sections.1.blocks.6.tabs.0.name</t>
  </si>
  <si>
    <t>Local units</t>
  </si>
  <si>
    <t>Unités locales</t>
  </si>
  <si>
    <t>Unidades locales</t>
  </si>
  <si>
    <t>الوحدات المحلية</t>
  </si>
  <si>
    <t>whoweare.sections.1.blocks.6.tabs.0.dataset.4.second</t>
  </si>
  <si>
    <t>whoweare.sections.1.blocks.6.tabs.0.dataset.4.rest</t>
  </si>
  <si>
    <t>whoweare.sections.1.blocks.6.tabs.0.dataset.4.names.1</t>
  </si>
  <si>
    <t>whoweare.sections.1.blocks.6.tabs.0.dataset.4.names.0</t>
  </si>
  <si>
    <t>whoweare.sections.1.blocks.6.tabs.0.dataset.4.name</t>
  </si>
  <si>
    <t>whoweare.sections.1.blocks.6.tabs.0.dataset.4.index</t>
  </si>
  <si>
    <t>whoweare.sections.1.blocks.6.tabs.0.dataset.4.first</t>
  </si>
  <si>
    <t>whoweare.sections.1.blocks.6.tabs.0.dataset.3.second</t>
  </si>
  <si>
    <t>whoweare.sections.1.blocks.6.tabs.0.dataset.3.rest</t>
  </si>
  <si>
    <t>whoweare.sections.1.blocks.6.tabs.0.dataset.3.names.1</t>
  </si>
  <si>
    <t>whoweare.sections.1.blocks.6.tabs.0.dataset.3.names.0</t>
  </si>
  <si>
    <t>whoweare.sections.1.blocks.6.tabs.0.dataset.3.name</t>
  </si>
  <si>
    <t>whoweare.sections.1.blocks.6.tabs.0.dataset.3.index</t>
  </si>
  <si>
    <t>whoweare.sections.1.blocks.6.tabs.0.dataset.3.first</t>
  </si>
  <si>
    <t>whoweare.sections.1.blocks.6.tabs.0.dataset.2.second</t>
  </si>
  <si>
    <t>whoweare.sections.1.blocks.6.tabs.0.dataset.2.rest</t>
  </si>
  <si>
    <t>whoweare.sections.1.blocks.6.tabs.0.dataset.2.names.1</t>
  </si>
  <si>
    <t>whoweare.sections.1.blocks.6.tabs.0.dataset.2.names.0</t>
  </si>
  <si>
    <t>Malagasy Red Cross Society</t>
  </si>
  <si>
    <t>Croix-Rouge malagasy</t>
  </si>
  <si>
    <t>جمعية الصليب الأحمر في مدغشقر</t>
  </si>
  <si>
    <t>whoweare.sections.1.blocks.6.tabs.0.dataset.2.name</t>
  </si>
  <si>
    <t>whoweare.sections.1.blocks.6.tabs.0.dataset.2.index</t>
  </si>
  <si>
    <t>whoweare.sections.1.blocks.6.tabs.0.dataset.2.first</t>
  </si>
  <si>
    <t>whoweare.sections.1.blocks.6.tabs.0.dataset.1.second</t>
  </si>
  <si>
    <t>whoweare.sections.1.blocks.6.tabs.0.dataset.1.rest</t>
  </si>
  <si>
    <t>whoweare.sections.1.blocks.6.tabs.0.dataset.1.names.1</t>
  </si>
  <si>
    <t>whoweare.sections.1.blocks.6.tabs.0.dataset.1.names.0</t>
  </si>
  <si>
    <t>whoweare.sections.1.blocks.6.tabs.0.dataset.1.name</t>
  </si>
  <si>
    <t>whoweare.sections.1.blocks.6.tabs.0.dataset.1.index</t>
  </si>
  <si>
    <t>whoweare.sections.1.blocks.6.tabs.0.dataset.1.first</t>
  </si>
  <si>
    <t>whoweare.sections.1.blocks.6.tabs.0.dataset.0.second</t>
  </si>
  <si>
    <t>whoweare.sections.1.blocks.6.tabs.0.dataset.0.rest</t>
  </si>
  <si>
    <t>whoweare.sections.1.blocks.6.tabs.0.dataset.0.names.1</t>
  </si>
  <si>
    <t>Vietnam Red Cross Society</t>
  </si>
  <si>
    <t>Croix-Rouge du Viet Nam</t>
  </si>
  <si>
    <t>الصليب الأحمر الفيتنامي</t>
  </si>
  <si>
    <t>whoweare.sections.1.blocks.6.tabs.0.dataset.0.names.0</t>
  </si>
  <si>
    <t>Red Cross Society of China</t>
  </si>
  <si>
    <t>whoweare.sections.1.blocks.6.tabs.0.dataset.0.name</t>
  </si>
  <si>
    <t>whoweare.sections.1.blocks.6.tabs.0.dataset.0.index</t>
  </si>
  <si>
    <t>whoweare.sections.1.blocks.6.tabs.0.dataset.0.first</t>
  </si>
  <si>
    <t>whoweare.sections.1.blocks.6.tabs.0.caption</t>
  </si>
  <si>
    <t>whoweare.sections.1.blocks.5</t>
  </si>
  <si>
    <t>Our presence around the world is rooted in diverse demographical, social, and economic contexts. As expected, National Societies in the Asia Pacific region, the biggest and most populous part of the world, have the largest number of local units that provide the base for the biggest numbers of volunteers.</t>
  </si>
  <si>
    <t>Notre présence dans le monde est liée à différents contextes démographiques, sociaux et économiques. Sans surprise, les Sociétés nationales de la région Asie-Pacifique, la région la plus vaste et la plus peuplée du monde, comptent le plus grand nombre d’unités locales lesquelles disposent du plus important vivier de volontaires.</t>
  </si>
  <si>
    <t>Nuestra presencia en el mundo corresponde a diversos contextos demográficos, sociales y económicos. Sin sorpresa, las Sociedades Nacionales de países localizados en la región de Asia y el Pacífico, la zona más vasta y poblada del mundo, cuentan con la mayor cantidad de secciones locales con las cuales colabora el más numeroso cuerpo de voluntarios.</t>
  </si>
  <si>
    <t>وتوطد وجودنا في جميع بقاع العالم في سياقات ديموغرافية واجتماعية واقتصادية متنوعة. وكما هو متوقع، فإن الجمعيات الوطنية في منطقة آسيا والمحيط الهادئ، وهي أكبر بقاع العالم من حيث المساحة و أكثرها سكاناً، لديها أكبر عدد من الوحدات المحلية وتوفر من ثم قاعدة لأكبر عدد من المتطوعين.</t>
  </si>
  <si>
    <t>whoweare.sections.1.blocks.4.type</t>
  </si>
  <si>
    <t>chart</t>
  </si>
  <si>
    <t>graphique</t>
  </si>
  <si>
    <t>gráfico</t>
  </si>
  <si>
    <t>whoweare.sections.1.blocks.4.translations.nationalsocieties</t>
  </si>
  <si>
    <t>National Societies</t>
  </si>
  <si>
    <t>Sociétés Nationales</t>
  </si>
  <si>
    <t>Sociedades Nacionales</t>
  </si>
  <si>
    <t>الجمعيات الوطنية</t>
  </si>
  <si>
    <t>whoweare.sections.1.blocks.4.translations.income</t>
  </si>
  <si>
    <t>whoweare.sections.1.blocks.4.translations.ifrcsecretariat</t>
  </si>
  <si>
    <t>IFRC secretariat</t>
  </si>
  <si>
    <t>Secrétariat de la Fédération</t>
  </si>
  <si>
    <t>Secretaría de la Federación Internacional</t>
  </si>
  <si>
    <t>whoweare.sections.1.blocks.4.translations.expenses</t>
  </si>
  <si>
    <t>Dépenses</t>
  </si>
  <si>
    <t>whoweare.sections.1.blocks.4.title</t>
  </si>
  <si>
    <t>Income and Expenditure</t>
  </si>
  <si>
    <t>Recettes et dépenses</t>
  </si>
  <si>
    <t>مواردنا المالية</t>
  </si>
  <si>
    <t>whoweare.sections.1.blocks.4.caption</t>
  </si>
  <si>
    <t>whoweare.sections.1.blocks.3</t>
  </si>
  <si>
    <t>National Societies gave 35.4 million Swiss francs in statutory membership fees to the IFRC secretariat. This, together with an additional 263 million Swiss francs in voluntary contributions, and services and other income of 47.1 million Swiss francs, made up the IFRC secretariat’s income of 345.5 million Swiss francs in 2013. During the same year, the IFRC secretariat spent 365.3 million Swiss francs and employed 2,920 staff.</t>
  </si>
  <si>
    <t>Les Sociétés nationales ont versé 35,4 millions de francs suisses au Secrétariat de la Fédération au titre des contributions statutaires des membres. À cette somme se sont ajoutés 263 millions de francs suisses provenant des contributions volontaires, ainsi que 47,1 millions de francs suisses provenant de la prestation de services et d’autres revenus, portant ainsi le total des recettes du Secrétariat de la Fédération à 345,5 millions de francs suisses en 2013. Au cours de la même année, le Secrétariat de la Fédération a dépensé 365,3 millions de francs suisses et employé 2 920 personnes.</t>
  </si>
  <si>
    <t>Las Sociedades Nacionales remitieron a la secretaría de la Federación Internacional 35,4 millones de francos suizos por concepto de contribuciones. A este valor se añaden 263 millones de francos suizos procedentes de contribuciones voluntarias y 47,1 millones de francos suizos correspondientes a servicios y otros ingresos que constituyeron el ingreso total de la secretaría de la Federación Internacional, cifrado en 345,5 millones de francos suizos en 2013. En ese año, la secretaría invirtió 365,3 millones de francos suizos y empleaba a 2 920 personas.</t>
  </si>
  <si>
    <t>وقامت الجمعيات الوطنية بتسديد مبلغ 35.4 مليون فرنك سويسري في شكل رسوم العضوية المقررة للأمانة، بالإضافة لمبلغ إضافي قدره 263 مليون فرنك سويسري في صورة مساهمات طوعية، وقدمت أيضاً خدمات و إيرادات أخرى بلغت 47.1 مليون فرنك سويسري، وهي تشكّل مجتمعة دخل الأمانة البالغ 345.5 مليون فرنك سويسري في عام 2013 . وأنفقت الأمانة خلال العام نفسه 365.3 مليون فرنك سويسري، كما قامت بتعيين 2,920 موظفاً.</t>
  </si>
  <si>
    <t>whoweare.sections.1.blocks.2</t>
  </si>
  <si>
    <t>National Societies received an income of about 30.8 billion Swiss francs and spent 30.4 billion Swiss francs in 2013. Most of the income of National Societies is raised and spent domestically on their own programmes. This does not capture the total value of Red Cross and Red Crescent work, because it does not include the many in-kind domestic contributions and services provided voluntarily.</t>
  </si>
  <si>
    <t>En 2013, les recettes des Sociétés nationales se sont élevées à environ 30,8 milliards de francs suisses, et leurs dépenses, à 30,4 milliards de francs suisses. La plus grande partie des recettes des Sociétés nationales est levée au niveau national et dépensée au titre des programmes menés dans leurs pays respectifs. Ces chiffres ne sont pas représentatifs de la valeur totale du travail réalisé par la Croix-Rouge et le Croissant-Rouge, car ils ne tiennent pas compte des nombreuses contributions en nature des pays ni des services fournis de manière volontaire.</t>
  </si>
  <si>
    <t>Las Sociedades Nacionales denotaron ingresos de alrededor de treinta mil ochocientos millones de francos suizos (CHF 30 800 millones) y egresos por valor de treinta mil cuatrocientos millones de francos suizos (CHF 30 400 millones) en 2013. La mayor parte de los ingresos de las Sociedades Nacionales proceden de sus respectivos países y se invierte en los programas que estas ejecutan. Sin embargo, ello no refleja a cabalidad el valor del trabajo de las organizaciones de la Cruz Roja y de la Media Luna Roja pues no se incluye las numerosas donaciones en especie y los servicios prestados a título voluntario.</t>
  </si>
  <si>
    <t>وقد استطاعت الجمعيات الوطنية أن تحصد إيرادات تناهز 30.8 مليار فرنك سويسري، وبلغت نفقاتها 30.4 مليار فرنك سويسري في عام 2013 . وتجمع الجمعيات الوطنية معظم دخلها وتُنفقه محلياً على البرامج الخاصة بها. بيد أن تلك الأرقام لا تعكس القيمة الإجمالية لعمل الصليب الأحمر والهلال الأحمر لأنها لا تتضمن العديد من المساهمات العينية والخدمات المقدمة طوعاً على الصعيد المحلي.</t>
  </si>
  <si>
    <t>whoweare.sections.1.blocks.12</t>
  </si>
  <si>
    <t>The location of major disasters also skews heavily where most international assistance is deployed. The bulk goes to emergency response, along with longer-term development type programmes to reduce risk and vulnerability. This may be responsible for crowding out investment in building the capacity of the National Societies themselves.</t>
  </si>
  <si>
    <t>Les lieux où se produisent les catastrophes de grande ampleur influencent eux aussi de manière considérable l’utilisation qui est faite de l’aide internationale. L’essentiel des contributions est affecté aux secours d’urgence, ainsi qu’aux programmes de développement à plus long terme visant à réduire les risques et la vulnérabilité, ce qui peut expliquer le manque d’investissements dans le renforcement des capacités des Sociétés nationales.</t>
  </si>
  <si>
    <t>La ubicación de las grandes catástrofes también determina en gran medida dónde se despliega la mayor parte de la ayuda internacional. La mayor parte se destina a la respuesta de emergencia, junto con programas de tipo de desarrollo a largo plazo para reducir el riesgo y la vulnerabilidad. Esto puede ser responsable de desplazar la inversión en el fortalecimiento de la capacidad de las propias Sociedades Nacionales.</t>
  </si>
  <si>
    <t>ويحدد موقع الكوارث الكبرى إلى حد كبير أيضاً المكان الذي تنتشر فيه معظم المساعدات الدولية، حيث ينصرف الجزء الأكبر منها للاستجابة لحالات الطوارئ، إلى جانب البرامج الإنمائية طويلة الأجل الرامية إلى الحد من المخاطر ومواطن الضعف. وقد يكون هذا السبب وراء تكثيف الاستثمار في مجال بناء قدرات الجمعيات الوطنية نفسها.</t>
  </si>
  <si>
    <t>whoweare.sections.1.blocks.11.type</t>
  </si>
  <si>
    <t>whoweare.sections.1.blocks.11.title</t>
  </si>
  <si>
    <t>Worldwide humanitarian contributions</t>
  </si>
  <si>
    <t>Contributions humanitaires</t>
  </si>
  <si>
    <t>Respuesta a los llamamientos emitidos por la Federación Internacional entre 2010 y 2014 y principales Sociedades Nacionales beneficiarias</t>
  </si>
  <si>
    <t>المساهمات الإنسانية في جميع أنحاء العالم</t>
  </si>
  <si>
    <t>whoweare.sections.1.blocks.11.tabs.1.name</t>
  </si>
  <si>
    <t>Recipients</t>
  </si>
  <si>
    <t>Bénéficiaires</t>
  </si>
  <si>
    <t>Beneficiarias</t>
  </si>
  <si>
    <t>المتلقون</t>
  </si>
  <si>
    <t>whoweare.sections.1.blocks.11.tabs.1.headers.3</t>
  </si>
  <si>
    <t>%</t>
  </si>
  <si>
    <t>Porcentaje %</t>
  </si>
  <si>
    <t>whoweare.sections.1.blocks.11.tabs.1.headers.2</t>
  </si>
  <si>
    <t>Total (CHF millions)</t>
  </si>
  <si>
    <t>Total</t>
  </si>
  <si>
    <t>Total (millones de francos suizos)</t>
  </si>
  <si>
    <t>الإجمالي (بملايين الفرنكات السويسرية)</t>
  </si>
  <si>
    <t>whoweare.sections.1.blocks.11.tabs.1.headers.1</t>
  </si>
  <si>
    <t>Sociedades Nacionales beneficiarias de</t>
  </si>
  <si>
    <t>whoweare.sections.1.blocks.11.tabs.1.headers.0</t>
  </si>
  <si>
    <t>Rank</t>
  </si>
  <si>
    <t>Classement</t>
  </si>
  <si>
    <t>Clas.</t>
  </si>
  <si>
    <t>الترتيب</t>
  </si>
  <si>
    <t>whoweare.sections.1.blocks.11.tabs.1.dataset.9.total</t>
  </si>
  <si>
    <t>whoweare.sections.1.blocks.11.tabs.1.dataset.9.rank</t>
  </si>
  <si>
    <t>whoweare.sections.1.blocks.11.tabs.1.dataset.9.percent</t>
  </si>
  <si>
    <t>whoweare.sections.1.blocks.11.tabs.1.dataset.9.nationalsociety</t>
  </si>
  <si>
    <t>Sri Lanka</t>
  </si>
  <si>
    <t>سري لانكا</t>
  </si>
  <si>
    <t>whoweare.sections.1.blocks.11.tabs.1.dataset.8.total</t>
  </si>
  <si>
    <t>whoweare.sections.1.blocks.11.tabs.1.dataset.8.rank</t>
  </si>
  <si>
    <t>whoweare.sections.1.blocks.11.tabs.1.dataset.8.percent</t>
  </si>
  <si>
    <t>whoweare.sections.1.blocks.11.tabs.1.dataset.8.nationalsociety</t>
  </si>
  <si>
    <t>DPR Korea</t>
  </si>
  <si>
    <t>République populaire démocratique de Corée</t>
  </si>
  <si>
    <t>كوريا الشعبية الديمقراطية</t>
  </si>
  <si>
    <t>whoweare.sections.1.blocks.11.tabs.1.dataset.7.total</t>
  </si>
  <si>
    <t>whoweare.sections.1.blocks.11.tabs.1.dataset.7.rank</t>
  </si>
  <si>
    <t>whoweare.sections.1.blocks.11.tabs.1.dataset.7.percent</t>
  </si>
  <si>
    <t>whoweare.sections.1.blocks.11.tabs.1.dataset.7.nationalsociety</t>
  </si>
  <si>
    <t>Turkey</t>
  </si>
  <si>
    <t>Turquie</t>
  </si>
  <si>
    <t>تركيا</t>
  </si>
  <si>
    <t>whoweare.sections.1.blocks.11.tabs.1.dataset.6.total</t>
  </si>
  <si>
    <t>whoweare.sections.1.blocks.11.tabs.1.dataset.6.rank</t>
  </si>
  <si>
    <t>whoweare.sections.1.blocks.11.tabs.1.dataset.6.percent</t>
  </si>
  <si>
    <t>whoweare.sections.1.blocks.11.tabs.1.dataset.6.nationalsociety</t>
  </si>
  <si>
    <t>Afghanistan</t>
  </si>
  <si>
    <t>أفغانستان</t>
  </si>
  <si>
    <t>whoweare.sections.1.blocks.11.tabs.1.dataset.5.total</t>
  </si>
  <si>
    <t>whoweare.sections.1.blocks.11.tabs.1.dataset.5.rank</t>
  </si>
  <si>
    <t>whoweare.sections.1.blocks.11.tabs.1.dataset.5.percent</t>
  </si>
  <si>
    <t>whoweare.sections.1.blocks.11.tabs.1.dataset.5.nationalsociety</t>
  </si>
  <si>
    <t>Kenya</t>
  </si>
  <si>
    <t>كينيا</t>
  </si>
  <si>
    <t>whoweare.sections.1.blocks.11.tabs.1.dataset.4.total</t>
  </si>
  <si>
    <t>whoweare.sections.1.blocks.11.tabs.1.dataset.4.rank</t>
  </si>
  <si>
    <t>whoweare.sections.1.blocks.11.tabs.1.dataset.4.percent</t>
  </si>
  <si>
    <t>whoweare.sections.1.blocks.11.tabs.1.dataset.4.nationalsociety</t>
  </si>
  <si>
    <t>Sierra Leone</t>
  </si>
  <si>
    <t>سيراليون</t>
  </si>
  <si>
    <t>whoweare.sections.1.blocks.11.tabs.1.dataset.3.total</t>
  </si>
  <si>
    <t>whoweare.sections.1.blocks.11.tabs.1.dataset.3.rank</t>
  </si>
  <si>
    <t>whoweare.sections.1.blocks.11.tabs.1.dataset.3.percent</t>
  </si>
  <si>
    <t>whoweare.sections.1.blocks.11.tabs.1.dataset.3.nationalsociety</t>
  </si>
  <si>
    <t>Syria</t>
  </si>
  <si>
    <t>Syrie</t>
  </si>
  <si>
    <t>سورية</t>
  </si>
  <si>
    <t>whoweare.sections.1.blocks.11.tabs.1.dataset.2.total</t>
  </si>
  <si>
    <t>whoweare.sections.1.blocks.11.tabs.1.dataset.2.rank</t>
  </si>
  <si>
    <t>whoweare.sections.1.blocks.11.tabs.1.dataset.2.percent</t>
  </si>
  <si>
    <t>whoweare.sections.1.blocks.11.tabs.1.dataset.2.nationalsociety</t>
  </si>
  <si>
    <t>Pakistan</t>
  </si>
  <si>
    <t>باكستان</t>
  </si>
  <si>
    <t>whoweare.sections.1.blocks.11.tabs.1.dataset.16.total</t>
  </si>
  <si>
    <t>whoweare.sections.1.blocks.11.tabs.1.dataset.16.rank</t>
  </si>
  <si>
    <t>-</t>
  </si>
  <si>
    <t>whoweare.sections.1.blocks.11.tabs.1.dataset.16.percent</t>
  </si>
  <si>
    <t>whoweare.sections.1.blocks.11.tabs.1.dataset.16.nationalsociety</t>
  </si>
  <si>
    <t>Others</t>
  </si>
  <si>
    <t>Autres</t>
  </si>
  <si>
    <t>Otros</t>
  </si>
  <si>
    <t>باقي المتلقين</t>
  </si>
  <si>
    <t>whoweare.sections.1.blocks.11.tabs.1.dataset.15.total</t>
  </si>
  <si>
    <t>whoweare.sections.1.blocks.11.tabs.1.dataset.15.rank</t>
  </si>
  <si>
    <t>whoweare.sections.1.blocks.11.tabs.1.dataset.15.percent</t>
  </si>
  <si>
    <t>whoweare.sections.1.blocks.11.tabs.1.dataset.15.nationalsociety</t>
  </si>
  <si>
    <t>Next 15 recipients</t>
  </si>
  <si>
    <t>Bénéficiaires suivants</t>
  </si>
  <si>
    <t>Los 15 siguientes beneficiarios</t>
  </si>
  <si>
    <t>المتلقون الخمسة عشر التاليون</t>
  </si>
  <si>
    <t>whoweare.sections.1.blocks.11.tabs.1.dataset.14.total</t>
  </si>
  <si>
    <t>whoweare.sections.1.blocks.11.tabs.1.dataset.14.rank</t>
  </si>
  <si>
    <t>whoweare.sections.1.blocks.11.tabs.1.dataset.14.percent</t>
  </si>
  <si>
    <t>whoweare.sections.1.blocks.11.tabs.1.dataset.14.nationalsociety</t>
  </si>
  <si>
    <t>Bangladesh</t>
  </si>
  <si>
    <t>بنغلاديش</t>
  </si>
  <si>
    <t>whoweare.sections.1.blocks.11.tabs.1.dataset.13.total</t>
  </si>
  <si>
    <t>whoweare.sections.1.blocks.11.tabs.1.dataset.13.rank</t>
  </si>
  <si>
    <t>whoweare.sections.1.blocks.11.tabs.1.dataset.13.percent</t>
  </si>
  <si>
    <t>whoweare.sections.1.blocks.11.tabs.1.dataset.13.nationalsociety</t>
  </si>
  <si>
    <t>Somalia</t>
  </si>
  <si>
    <t>Somalie</t>
  </si>
  <si>
    <t>الصومال</t>
  </si>
  <si>
    <t>whoweare.sections.1.blocks.11.tabs.1.dataset.12.total</t>
  </si>
  <si>
    <t>whoweare.sections.1.blocks.11.tabs.1.dataset.12.rank</t>
  </si>
  <si>
    <t>whoweare.sections.1.blocks.11.tabs.1.dataset.12.percent</t>
  </si>
  <si>
    <t>whoweare.sections.1.blocks.11.tabs.1.dataset.12.nationalsociety</t>
  </si>
  <si>
    <t>Sudan</t>
  </si>
  <si>
    <t>Soudan</t>
  </si>
  <si>
    <t>السودان</t>
  </si>
  <si>
    <t>whoweare.sections.1.blocks.11.tabs.1.dataset.11.total</t>
  </si>
  <si>
    <t>whoweare.sections.1.blocks.11.tabs.1.dataset.11.rank</t>
  </si>
  <si>
    <t>whoweare.sections.1.blocks.11.tabs.1.dataset.11.percent</t>
  </si>
  <si>
    <t>whoweare.sections.1.blocks.11.tabs.1.dataset.11.nationalsociety</t>
  </si>
  <si>
    <t>Ethiopia</t>
  </si>
  <si>
    <t>Éthiopie</t>
  </si>
  <si>
    <t>إثيوبيا</t>
  </si>
  <si>
    <t>whoweare.sections.1.blocks.11.tabs.1.dataset.10.total</t>
  </si>
  <si>
    <t>whoweare.sections.1.blocks.11.tabs.1.dataset.10.rank</t>
  </si>
  <si>
    <t>whoweare.sections.1.blocks.11.tabs.1.dataset.10.percent</t>
  </si>
  <si>
    <t>whoweare.sections.1.blocks.11.tabs.1.dataset.10.nationalsociety</t>
  </si>
  <si>
    <t>Liberia</t>
  </si>
  <si>
    <t>Libéria</t>
  </si>
  <si>
    <t>ليبيريا</t>
  </si>
  <si>
    <t>whoweare.sections.1.blocks.11.tabs.1.dataset.1.total</t>
  </si>
  <si>
    <t>whoweare.sections.1.blocks.11.tabs.1.dataset.1.rank</t>
  </si>
  <si>
    <t>whoweare.sections.1.blocks.11.tabs.1.dataset.1.percent</t>
  </si>
  <si>
    <t>whoweare.sections.1.blocks.11.tabs.1.dataset.1.nationalsociety</t>
  </si>
  <si>
    <t>Philippines</t>
  </si>
  <si>
    <t>الفلبين</t>
  </si>
  <si>
    <t>whoweare.sections.1.blocks.11.tabs.1.dataset.0.total</t>
  </si>
  <si>
    <t>whoweare.sections.1.blocks.11.tabs.1.dataset.0.rank</t>
  </si>
  <si>
    <t>whoweare.sections.1.blocks.11.tabs.1.dataset.0.percent</t>
  </si>
  <si>
    <t>whoweare.sections.1.blocks.11.tabs.1.dataset.0.nationalsociety</t>
  </si>
  <si>
    <t>Haiti</t>
  </si>
  <si>
    <t>Haïti</t>
  </si>
  <si>
    <t>هايتي</t>
  </si>
  <si>
    <t>whoweare.sections.1.blocks.11.tabs.1.caption</t>
  </si>
  <si>
    <t>Source: Finance Department</t>
  </si>
  <si>
    <t>Financements internationaux – principaux bénéficiaires (données cumulées 2010-2014, en millions de francs suisses)</t>
  </si>
  <si>
    <t>Fuente: Departamento de Finanzas</t>
  </si>
  <si>
    <t>المصدر: قسم الشؤون المالية</t>
  </si>
  <si>
    <t>whoweare.sections.1.blocks.11.tabs.0.name</t>
  </si>
  <si>
    <t>Contributors</t>
  </si>
  <si>
    <t>Donateurs</t>
  </si>
  <si>
    <t>Contribuyentes</t>
  </si>
  <si>
    <t>المساهم</t>
  </si>
  <si>
    <t>whoweare.sections.1.blocks.11.tabs.0.headers.3</t>
  </si>
  <si>
    <t>whoweare.sections.1.blocks.11.tabs.0.headers.2</t>
  </si>
  <si>
    <t>whoweare.sections.1.blocks.11.tabs.0.headers.1</t>
  </si>
  <si>
    <t>Donor</t>
  </si>
  <si>
    <t>whoweare.sections.1.blocks.11.tabs.0.headers.0</t>
  </si>
  <si>
    <t>whoweare.sections.1.blocks.11.tabs.0.dataset.9.total</t>
  </si>
  <si>
    <t>whoweare.sections.1.blocks.11.tabs.0.dataset.9.rank</t>
  </si>
  <si>
    <t>whoweare.sections.1.blocks.11.tabs.0.dataset.9.percent</t>
  </si>
  <si>
    <t>whoweare.sections.1.blocks.11.tabs.0.dataset.9.donor</t>
  </si>
  <si>
    <t>United States Government</t>
  </si>
  <si>
    <t>Gouvernement des États-Unis</t>
  </si>
  <si>
    <t>حكومة الولايات المتحدة</t>
  </si>
  <si>
    <t>whoweare.sections.1.blocks.11.tabs.0.dataset.8.total</t>
  </si>
  <si>
    <t>whoweare.sections.1.blocks.11.tabs.0.dataset.8.rank</t>
  </si>
  <si>
    <t>whoweare.sections.1.blocks.11.tabs.0.dataset.8.percent</t>
  </si>
  <si>
    <t>whoweare.sections.1.blocks.11.tabs.0.dataset.8.donor</t>
  </si>
  <si>
    <t>Finnish Red Cross</t>
  </si>
  <si>
    <t>Croix-Rouge finlandaise</t>
  </si>
  <si>
    <t>الصليب الأحمر الفنلندي</t>
  </si>
  <si>
    <t>whoweare.sections.1.blocks.11.tabs.0.dataset.7.total</t>
  </si>
  <si>
    <t>whoweare.sections.1.blocks.11.tabs.0.dataset.7.rank</t>
  </si>
  <si>
    <t>whoweare.sections.1.blocks.11.tabs.0.dataset.7.percent</t>
  </si>
  <si>
    <t>whoweare.sections.1.blocks.11.tabs.0.dataset.7.donor</t>
  </si>
  <si>
    <t>Société de la Croix-Rouge du Japon</t>
  </si>
  <si>
    <t>whoweare.sections.1.blocks.11.tabs.0.dataset.6.total</t>
  </si>
  <si>
    <t>whoweare.sections.1.blocks.11.tabs.0.dataset.6.rank</t>
  </si>
  <si>
    <t>whoweare.sections.1.blocks.11.tabs.0.dataset.6.percent</t>
  </si>
  <si>
    <t>whoweare.sections.1.blocks.11.tabs.0.dataset.6.donor</t>
  </si>
  <si>
    <t>Netherlands Red Cross</t>
  </si>
  <si>
    <t>Croix-Rouge néerlandaise</t>
  </si>
  <si>
    <t>الصليب الأحمر الهولندي</t>
  </si>
  <si>
    <t>whoweare.sections.1.blocks.11.tabs.0.dataset.5.total</t>
  </si>
  <si>
    <t>whoweare.sections.1.blocks.11.tabs.0.dataset.5.rank</t>
  </si>
  <si>
    <t>whoweare.sections.1.blocks.11.tabs.0.dataset.5.percent</t>
  </si>
  <si>
    <t>whoweare.sections.1.blocks.11.tabs.0.dataset.5.donor</t>
  </si>
  <si>
    <t>American Red Cross</t>
  </si>
  <si>
    <t>Croix-Rouge américaine</t>
  </si>
  <si>
    <t>whoweare.sections.1.blocks.11.tabs.0.dataset.4.total</t>
  </si>
  <si>
    <t>whoweare.sections.1.blocks.11.tabs.0.dataset.4.rank</t>
  </si>
  <si>
    <t>whoweare.sections.1.blocks.11.tabs.0.dataset.4.percent</t>
  </si>
  <si>
    <t>whoweare.sections.1.blocks.11.tabs.0.dataset.4.donor</t>
  </si>
  <si>
    <t>Norwegian Red Cross</t>
  </si>
  <si>
    <t>Croix-Rouge de Norvège</t>
  </si>
  <si>
    <t>الصليب الأحمر النرويجي</t>
  </si>
  <si>
    <t>whoweare.sections.1.blocks.11.tabs.0.dataset.3.total</t>
  </si>
  <si>
    <t>whoweare.sections.1.blocks.11.tabs.0.dataset.3.rank</t>
  </si>
  <si>
    <t>whoweare.sections.1.blocks.11.tabs.0.dataset.3.percent</t>
  </si>
  <si>
    <t>whoweare.sections.1.blocks.11.tabs.0.dataset.3.donor</t>
  </si>
  <si>
    <t>British Red Cross</t>
  </si>
  <si>
    <t>Croix-Rouge britannique</t>
  </si>
  <si>
    <t>الصليب الأحمر البريطاني</t>
  </si>
  <si>
    <t>whoweare.sections.1.blocks.11.tabs.0.dataset.2.total</t>
  </si>
  <si>
    <t>whoweare.sections.1.blocks.11.tabs.0.dataset.2.rank</t>
  </si>
  <si>
    <t>whoweare.sections.1.blocks.11.tabs.0.dataset.2.percent</t>
  </si>
  <si>
    <t>whoweare.sections.1.blocks.11.tabs.0.dataset.2.donor</t>
  </si>
  <si>
    <t>European Commission</t>
  </si>
  <si>
    <t>Commission européenne</t>
  </si>
  <si>
    <t>المفوضية الأوروبية</t>
  </si>
  <si>
    <t>whoweare.sections.1.blocks.11.tabs.0.dataset.16.total</t>
  </si>
  <si>
    <t>whoweare.sections.1.blocks.11.tabs.0.dataset.16.rank</t>
  </si>
  <si>
    <t>whoweare.sections.1.blocks.11.tabs.0.dataset.16.percent</t>
  </si>
  <si>
    <t>whoweare.sections.1.blocks.11.tabs.0.dataset.16.donor</t>
  </si>
  <si>
    <t>Other contributors</t>
  </si>
  <si>
    <t>Autres donateurs</t>
  </si>
  <si>
    <t>باقي المساهمين</t>
  </si>
  <si>
    <t>whoweare.sections.1.blocks.11.tabs.0.dataset.15.total</t>
  </si>
  <si>
    <t>whoweare.sections.1.blocks.11.tabs.0.dataset.15.rank</t>
  </si>
  <si>
    <t>whoweare.sections.1.blocks.11.tabs.0.dataset.15.percent</t>
  </si>
  <si>
    <t>whoweare.sections.1.blocks.11.tabs.0.dataset.15.donor</t>
  </si>
  <si>
    <t>Next 25 contributors</t>
  </si>
  <si>
    <t>25 donateurs suivants</t>
  </si>
  <si>
    <t>الخمسة وعشرون مساهماً التاليين</t>
  </si>
  <si>
    <t>whoweare.sections.1.blocks.11.tabs.0.dataset.14.total</t>
  </si>
  <si>
    <t>whoweare.sections.1.blocks.11.tabs.0.dataset.14.rank</t>
  </si>
  <si>
    <t>whoweare.sections.1.blocks.11.tabs.0.dataset.14.percent</t>
  </si>
  <si>
    <t>whoweare.sections.1.blocks.11.tabs.0.dataset.14.donor</t>
  </si>
  <si>
    <t>Swiss Red Cross</t>
  </si>
  <si>
    <t>Croix-Rouge suisse</t>
  </si>
  <si>
    <t>الصليب الأحمر السويسري</t>
  </si>
  <si>
    <t>whoweare.sections.1.blocks.11.tabs.0.dataset.13.total</t>
  </si>
  <si>
    <t>whoweare.sections.1.blocks.11.tabs.0.dataset.13.rank</t>
  </si>
  <si>
    <t>whoweare.sections.1.blocks.11.tabs.0.dataset.13.percent</t>
  </si>
  <si>
    <t>whoweare.sections.1.blocks.11.tabs.0.dataset.13.donor</t>
  </si>
  <si>
    <t>Danish Red Cross</t>
  </si>
  <si>
    <t>Croix-Rouge danoise</t>
  </si>
  <si>
    <t>الصليب الأحمر الدانمركي</t>
  </si>
  <si>
    <t>whoweare.sections.1.blocks.11.tabs.0.dataset.12.total</t>
  </si>
  <si>
    <t>whoweare.sections.1.blocks.11.tabs.0.dataset.12.rank</t>
  </si>
  <si>
    <t>whoweare.sections.1.blocks.11.tabs.0.dataset.12.percent</t>
  </si>
  <si>
    <t>whoweare.sections.1.blocks.11.tabs.0.dataset.12.donor</t>
  </si>
  <si>
    <t>whoweare.sections.1.blocks.11.tabs.0.dataset.11.total</t>
  </si>
  <si>
    <t>whoweare.sections.1.blocks.11.tabs.0.dataset.11.rank</t>
  </si>
  <si>
    <t>whoweare.sections.1.blocks.11.tabs.0.dataset.11.percent</t>
  </si>
  <si>
    <t>whoweare.sections.1.blocks.11.tabs.0.dataset.11.donor</t>
  </si>
  <si>
    <t>Japanese Government</t>
  </si>
  <si>
    <t>Gouvernement japonais</t>
  </si>
  <si>
    <t>الحكومة اليابانية</t>
  </si>
  <si>
    <t>whoweare.sections.1.blocks.11.tabs.0.dataset.10.total</t>
  </si>
  <si>
    <t>whoweare.sections.1.blocks.11.tabs.0.dataset.10.rank</t>
  </si>
  <si>
    <t>whoweare.sections.1.blocks.11.tabs.0.dataset.10.percent</t>
  </si>
  <si>
    <t>whoweare.sections.1.blocks.11.tabs.0.dataset.10.donor</t>
  </si>
  <si>
    <t>British Government</t>
  </si>
  <si>
    <t>Gouvernement britannique</t>
  </si>
  <si>
    <t>الحكومة البريطانية</t>
  </si>
  <si>
    <t>whoweare.sections.1.blocks.11.tabs.0.dataset.1.total</t>
  </si>
  <si>
    <t>whoweare.sections.1.blocks.11.tabs.0.dataset.1.rank</t>
  </si>
  <si>
    <t>whoweare.sections.1.blocks.11.tabs.0.dataset.1.percent</t>
  </si>
  <si>
    <t>whoweare.sections.1.blocks.11.tabs.0.dataset.1.donor</t>
  </si>
  <si>
    <t>Canadian Red Cross</t>
  </si>
  <si>
    <t>Société canadienne de la Croix-Rouge</t>
  </si>
  <si>
    <t>الصليب الأحمر الكندي</t>
  </si>
  <si>
    <t>whoweare.sections.1.blocks.11.tabs.0.dataset.0.total</t>
  </si>
  <si>
    <t>whoweare.sections.1.blocks.11.tabs.0.dataset.0.rank</t>
  </si>
  <si>
    <t>whoweare.sections.1.blocks.11.tabs.0.dataset.0.percent</t>
  </si>
  <si>
    <t>whoweare.sections.1.blocks.11.tabs.0.dataset.0.donor</t>
  </si>
  <si>
    <t>Swedish Red Cross</t>
  </si>
  <si>
    <t>Croix-Rouge suédoise</t>
  </si>
  <si>
    <t>الصليب الأحمر السويدي</t>
  </si>
  <si>
    <t>whoweare.sections.1.blocks.11.tabs.0.caption</t>
  </si>
  <si>
    <t>Contributions au titre des appels d’urgence entre 2010 et 2014 - principaux donateurs (en espèces, en nature et en services, en millions de francs suisses)</t>
  </si>
  <si>
    <t>whoweare.sections.1.blocks.11.caption</t>
  </si>
  <si>
    <t>List of largest contributors in cash, kind and services, CHF millions.</t>
  </si>
  <si>
    <t>Liste des plus gros contributeurs en espèces, en nature et en services, en millions de CHF.</t>
  </si>
  <si>
    <t>Lista de los mayores contribuyentes en efectivo, especie y servicios, en millones de CHF.</t>
  </si>
  <si>
    <t>الجمعيات التي كان لها أكبر المساهمات (مساهمات نقدية، أو عينية، أو بتقديم خدمات، بملايين الفرنكات السويسرية).</t>
  </si>
  <si>
    <t>whoweare.sections.1.blocks.10</t>
  </si>
  <si>
    <t>However, we do not know the total magnitude of what National Societies spend in international assistance, as much of this is done bilaterally. The Federation-wide Databank and Reporting System will seek to reflect this in the future. Meanwhile, an indication can be found in the response to IFRC appeals. Between 2010 and 2014, National Societies, governments, and others contributed more than 1.5 billion Swiss francs. There are considerable year-on-year fluctuations, mostly due to the pattern of major emergencies.</t>
  </si>
  <si>
    <t>Toutefois, nous ne connaissons pas le volume total des dépenses que les Sociétés nationales consacrent à l’aide internationale, une grande partie de cette aide étant fournie de manière bilatérale. Des efforts seront faits à l’avenir pour que cette donnée soit reflétée dans la Base de données et le système de compte rendu à l’échelle de la Fédération. En attendant, les contributions au titre des appels lancés par la Fédération constituent une première indication, les Sociétés nationales, les gouvernements et d’autres donateurs ayant versé plus de 1,5 milliard de francs suisses entre 2010 et 2014. Les montants varient considérablement d’une année à l’autre, en fonction principalement du schéma des catastrophes de grande ampleur.</t>
  </si>
  <si>
    <t>No obstante, se desconoce la magnitud exacta de la inversión de las Sociedades Nacionales en la asistencia internacional en vista de que gran parte de este esfuerzo reviste carácter bilateral. El banco de datos y sistema general interno de información intentará reflejar este aspecto en el futuro. Mientras tanto, las aportaciones efectuadas a llamamientos de la Federación Internacional vierten cierta luz al respecto. Entre 2010 y 2014, las Sociedades Nacionales, los gobiernos, y otras fuentes, aportaron más de mil quinientos millones de francos suizos (CHF 1 500 millones). Las considerables fluctuaciones registradas de un año a otro se explican por los patrones de las emergencias de gran envergadura.</t>
  </si>
  <si>
    <t>بيد أننا لا يمكن أن نحصي مُجمل ما تنفقه الجمعيات الوطنية على المساعدات الدولية، حيث إن الجزء الأكبر منه يتم على مستوى ثنائي. وسوف تسعى قاعدة البيانات ونظام الإفادة في الاتحاد الدولي إلى توضيح تلك الصورة في المستقبل. ويوجد في الوقت نفسه مؤشر يمكن الاستدلال منه على حجم الإنفاق وهو الاستجابة للنداءات التي يصدرها الاتحاد الدولي. فقد بلغت مساهمات الجمعيات الوطنية والحكومات فضلاً عن جهات أخرى أكثر من 1.5 مليار فرنك سويسري خلال الفترة من 2010 وحتى 2014. وهناك تباينات كبيرة من عام إلى عام يُعزى معظمها إلى نمط حالات الطوارئ الكبرى.</t>
  </si>
  <si>
    <t>whoweare.sections.1.blocks.1.type</t>
  </si>
  <si>
    <t>whoweare.sections.1.blocks.1.translations.volunteers</t>
  </si>
  <si>
    <t>Volontaires des Sociétés nationales</t>
  </si>
  <si>
    <t>whoweare.sections.1.blocks.1.translations.secretariatstaff</t>
  </si>
  <si>
    <t>Secretariat staff</t>
  </si>
  <si>
    <t>Personnel du Secrétariat de la Fédération</t>
  </si>
  <si>
    <t>Personal de la secretaría</t>
  </si>
  <si>
    <t>موظفو أمانة الاتحاد الدولي</t>
  </si>
  <si>
    <t>whoweare.sections.1.blocks.1.translations.paidstaff</t>
  </si>
  <si>
    <t>Personnel des Sociétés nationales</t>
  </si>
  <si>
    <t>Personal renumerado</t>
  </si>
  <si>
    <t>whoweare.sections.1.blocks.1.translations.nationalsocietyvolunteers</t>
  </si>
  <si>
    <t>National Society Volunteers</t>
  </si>
  <si>
    <t>Volontaires de la Société nationale</t>
  </si>
  <si>
    <t>Voluntarios que prestan servicio en las Sociedades Nacionales</t>
  </si>
  <si>
    <t>المتطوعون في الجمعيات الوطنية</t>
  </si>
  <si>
    <t>whoweare.sections.1.blocks.1.translations.nationalsocietystaff</t>
  </si>
  <si>
    <t>National Society Staff</t>
  </si>
  <si>
    <t>Personnel de la Société nationale</t>
  </si>
  <si>
    <t>Miembros del personal de las Sociedades Nacionales</t>
  </si>
  <si>
    <t>العاملون في الجمعيات الوطنية</t>
  </si>
  <si>
    <t>whoweare.sections.1.blocks.1.translations.male</t>
  </si>
  <si>
    <t>Male</t>
  </si>
  <si>
    <t>Hommes</t>
  </si>
  <si>
    <t>Hombres</t>
  </si>
  <si>
    <t>الذكور</t>
  </si>
  <si>
    <t>whoweare.sections.1.blocks.1.translations.ifrcsecretariatstaff</t>
  </si>
  <si>
    <t>IFRC Secretariat Staff</t>
  </si>
  <si>
    <t>Personnel du Secrétariat de la FICR</t>
  </si>
  <si>
    <t>Miembros del personal de la secretaría de la Federación Internacional</t>
  </si>
  <si>
    <t>whoweare.sections.1.blocks.1.translations.female</t>
  </si>
  <si>
    <t>Female</t>
  </si>
  <si>
    <t>Femmes</t>
  </si>
  <si>
    <t>Mujeres</t>
  </si>
  <si>
    <t>الإناث</t>
  </si>
  <si>
    <t>whoweare.sections.1.blocks.1.title</t>
  </si>
  <si>
    <t>Human Resources in National Societies</t>
  </si>
  <si>
    <t>Nos ressources humaines</t>
  </si>
  <si>
    <t>Recursos humanos de la Federación Internacional</t>
  </si>
  <si>
    <t>مواردنا البشرية</t>
  </si>
  <si>
    <t>whoweare.sections.1.blocks.1.caption</t>
  </si>
  <si>
    <t>Source: FDRS, Human Resources Department</t>
  </si>
  <si>
    <t>Source: FDRS, département Ressources humaines</t>
  </si>
  <si>
    <t>Fuente: Departamento de Recursos Humanos y banco de datos y sistema de información general interno de la Federación Internacional</t>
  </si>
  <si>
    <t>المصدر: قاعدة البيانات ونظام ا لإفادة في الاتحاد الدولي، قسم الموارد البشرية</t>
  </si>
  <si>
    <t>whoweare.sections.1.blocks.0</t>
  </si>
  <si>
    <t>Our greatest strength is in the people who are with us. In 2013, National Societies reported that they had a membership of 80 million. They had some 452,000 paid staff and mobilised a further 16 million volunteers, giving an overall volunteer to staff ratio of 35 to 1, with just under half of the volunteers being female</t>
  </si>
  <si>
    <t>Notre plus grande force, ce sont les individus qui œuvrent à nos côtés. En 2013, les Sociétés nationales ont indiqué qu’elles comptaient 80 millions de membres, 452 000 employés rémunérés et 16 millions de volontaires, la proportion d’employés par rapport au nombre de volontaires étant d’un employé pour 35 volontaires, dont près de la moitié sont des femmes.</t>
  </si>
  <si>
    <t>Nuestra mayor fortaleza reside en las personas que nos acompañan. En 2013, las Sociedades Nacionales en conjunto contaban con ochenta (80) millones de miembros. Figuraban en plantilla cuatrocientos cincuenta y dos mil (452 000) miembros del personal y movilizaban a cerca de dieciséis (16) millones de voluntarios, con un índice de treinta y cinco voluntarios por cada miembro del personal y un cincuenta por ciento (50%) de mujeres entre los voluntarios.</t>
  </si>
  <si>
    <t>الناس هم مصدر قوتنا العظمى، فهم الذين يعضدون عملنا ويقفون بجانبنا. وقد ذكرت الجمعيات الوطنية في عام 2013 أن حجم عضويتها يضم 80 مليون عضو، و أن لديها حوالي 452.000 موظف يتقاضون رواتب و أنها استطاعت أن تحشد 16 مليون متطوع ونيف، وأن النسبة العامة للمتطوعين بالمقارنة مع الموظفين تبلغ 35 - 1، وأن الإناث يشكّلن نسبة تقل قليلاً عن نصف المتطوعين.</t>
  </si>
  <si>
    <t>whoweare.sections.0.title</t>
  </si>
  <si>
    <t>Our network</t>
  </si>
  <si>
    <t>Notre réseau</t>
  </si>
  <si>
    <t>Red de colaboración</t>
  </si>
  <si>
    <t>شبكتنا</t>
  </si>
  <si>
    <t>whoweare.sections.0.blocks.6.type</t>
  </si>
  <si>
    <t>whoweare.sections.0.blocks.6.title</t>
  </si>
  <si>
    <t>A decentralised IFRC secretariat to serve its members</t>
  </si>
  <si>
    <t>Secrétariat de la Fédération : une structure décentralisée pour servir au mieux les membres</t>
  </si>
  <si>
    <t>Descentralización de la secretaría de la Federación Internacional al servicio de sus miembros</t>
  </si>
  <si>
    <t>أمانة للاتحاد الدولي ذات طبيعة لا مركزية، تقوم على خدمة أعضائه</t>
  </si>
  <si>
    <t>whoweare.sections.0.blocks.6.dataset</t>
  </si>
  <si>
    <t>/api/data/headquarters.json</t>
  </si>
  <si>
    <t>/api/data/headquarters-fr.json</t>
  </si>
  <si>
    <t>whoweare.sections.0.blocks.6.caption</t>
  </si>
  <si>
    <t>Source: Human Resources Department; The maps used do not imply the expression of any opinion on the part of the International Federation of Red Cross and Red Crescent Societies or National Societies concerning the legal status of a territory or of its authorities.</t>
  </si>
  <si>
    <t>Lieux où le Secrétariat de la Fédération internationale est présent.</t>
  </si>
  <si>
    <t>Fuente: Departamento de Recursos Humanos</t>
  </si>
  <si>
    <t>المصدر: قسم الموارد البشرية. لا يقصد باستخدام هذه الخرائط التعبير عن أي رأي من جانب الاتحاد الدولي لجمعيات الصليب الأحمر والهلال الأحمر أو الجمعيات الوطنية فيما يتعلق بالوضع القانوني لمنطقة أو سلطات أي منها.</t>
  </si>
  <si>
    <t>whoweare.sections.0.blocks.5</t>
  </si>
  <si>
    <t>Connecting the National Societies and representing them globally is the IFRC secretariat headquartered in Geneva, and together they constitute the International Federation of Red Cross and Red Crescent Societies. In 2015, the IFRC secretariat has a decentralised worldwide presence through its headquarters, five regional offices, 19 country cluster support teams, 51 country offices, three international liaison offices, five hubs for our global logistics service, and several temporary field offices based on service requirements.</t>
  </si>
  <si>
    <t>Le Secrétariat de la Fédération, dont le siège est à Genève, a pour mission d’assurer la liaison entre les Sociétés nationales et de les représenter à l’échelle mondiale. Ensemble, ils constituent la Fédération internationale des Sociétés de la Croix-Rouge et du Croissant-Rouge. Le Secrétariat est présent dans le monde entier grâce à son siège, cinq bureaux régionaux, 19 équipes sectorielles de soutien de pays, 51 bureaux de pays, trois bureaux internationaux de liaison, cinq pôles consacrés aux services mondiaux de logistique et plusieurs bureaux de terrain mis en place de manière temporaire, en fonction des besoins en matière de services</t>
  </si>
  <si>
    <t>Las Sociedades Nacionales cuentan con una secretaría, sita en Ginebra, que las vincula y las representa a nivel internacional y, en conjunto, constituyen la Federación Internacional de Sociedades de la Cruz Roja y de la Media Luna Roja (Federación Internacional). En 2015, la secretaría mantiene una presencia descentralizada en todo el mundo a través de su oficina central, cinco oficinas regionales, diecinueve unidades temáticas de apoyo en los países, cincuenta y una (51) oficinas de representación en países individuales, tres oficinas internacionales de enlace, cinco centros de distribución del Servicio Mundial de Logística, y varias oficinas provisionales sobre el terreno en función de las necesidades de las operaciones.</t>
  </si>
  <si>
    <t>وتربط أمانة الاتحاد الدولي ومقرها في جنيف بين الجمعيات الوطنية وتمثّلها على الصعيد العالمي، وتشكل الأمانة والجمعيات الوطنية معاً كيان الاتحاد الدولي لجمعيات الصليب الأحمر والهلال الأحمر. وقد تأكد الطابع اللامركزي ل لأمانة في عام 2015 من خلال إنشاء خمسة مكاتب إقليمية موزعة على جميع أنحاء العالم، بالإضافة إلى 19 فريقا من فرق دعم المجموعات القطرية و 51 مكتباً قطرياً، وثلاثة مكاتب اتصال دولية، وخمسة مراكز للخدمات اللوجستية العالمية، وعدة مكاتب ميدانية مؤقتة تُنشأ على أساس متطلبات تقديم الخدمات.</t>
  </si>
  <si>
    <t>whoweare.sections.0.blocks.4</t>
  </si>
  <si>
    <t>The regional and local branches of our National Societies are dispersed across numerous towns, villages, and neighbourhoods. Together with their headquarters, these constitute the world’s largest humanitarian network.</t>
  </si>
  <si>
    <t>Les sections régionales et locales des Sociétés nationales sont réparties dans de nombreux quartiers, villages et villes. Elles constituent, avec le siège, le réseau humanitaire le plus vaste du monde.</t>
  </si>
  <si>
    <t>Las secciones locales y regionales de las Sociedades Nacionales abarcan diversos vecindarios, aldeas y pueblos que, sumados a las oficinas centrales, forman la red humanitaria más vasta del mundo.</t>
  </si>
  <si>
    <t>وتتوزع الفروع الإقليمية والمحلية لجمعياتنا الوطنية عبر العديد من المدن والقرى والأحياء، وهي تشكل مع مقارها الرئيسية أكبر شبكة إنسانية في العالم قاطبة.</t>
  </si>
  <si>
    <t>whoweare.sections.0.blocks.3</t>
  </si>
  <si>
    <t>These are not exclusive categories and people may associate themselves with more than one community. Neither are communities static: they are constantly changing as internal and external circumstances influence their dynamics.</t>
  </si>
  <si>
    <t>Cette liste n’est pas exhaustive et certaines personnes peuvent faire partie de plusieurs communautés. Les communautés ne sont pas statiques: elles évoluent constamment car leur dynamique est influencée par les circonstances internes et externes.</t>
  </si>
  <si>
    <t xml:space="preserve">No se trata de categorías exclusivas y una persona puede formar parte de una o varias comunidades. Tampoco se trata de estructuras estáticas sino en constante transformación, a medida que las circunstancias internas y externas modifican la dinámica de las comunidades. </t>
  </si>
  <si>
    <t>ولا يُنظر إلى تلك الفئات على أنها جامعة مانعة؛ ويجوز أن يرتبط الناس بأكثر من مجتمع محلي واحد. كما أن المجتمعات المحلية نفسها ليست ثابتة أو جامدة، بل هي في حالة تغيّر مستمر وفقاً لتأثير الظروف الداخلية والخارجية على القوى المحركة فيها.</t>
  </si>
  <si>
    <t>whoweare.sections.0.blocks.2.type</t>
  </si>
  <si>
    <t>whoweare.sections.0.blocks.2.title</t>
  </si>
  <si>
    <t>Growth of National Societies</t>
  </si>
  <si>
    <t>La croissance de notre réseau</t>
  </si>
  <si>
    <t>Una red en constante crecimiento</t>
  </si>
  <si>
    <t>تنامي شبكتنا</t>
  </si>
  <si>
    <t>whoweare.sections.0.blocks.2.labels.0</t>
  </si>
  <si>
    <t>Sociétés nationales</t>
  </si>
  <si>
    <t>whoweare.sections.0.blocks.2.dataset.9.year</t>
  </si>
  <si>
    <t>whoweare.sections.0.blocks.2.dataset.9.members</t>
  </si>
  <si>
    <t>whoweare.sections.0.blocks.2.dataset.8.year</t>
  </si>
  <si>
    <t>whoweare.sections.0.blocks.2.dataset.8.members</t>
  </si>
  <si>
    <t>whoweare.sections.0.blocks.2.dataset.7.year</t>
  </si>
  <si>
    <t>whoweare.sections.0.blocks.2.dataset.7.members</t>
  </si>
  <si>
    <t>whoweare.sections.0.blocks.2.dataset.6.year</t>
  </si>
  <si>
    <t>whoweare.sections.0.blocks.2.dataset.6.members</t>
  </si>
  <si>
    <t>whoweare.sections.0.blocks.2.dataset.58.year</t>
  </si>
  <si>
    <t>whoweare.sections.0.blocks.2.dataset.58.members</t>
  </si>
  <si>
    <t>whoweare.sections.0.blocks.2.dataset.57.year</t>
  </si>
  <si>
    <t>whoweare.sections.0.blocks.2.dataset.57.members</t>
  </si>
  <si>
    <t>whoweare.sections.0.blocks.2.dataset.56.year</t>
  </si>
  <si>
    <t>whoweare.sections.0.blocks.2.dataset.56.members</t>
  </si>
  <si>
    <t>whoweare.sections.0.blocks.2.dataset.55.year</t>
  </si>
  <si>
    <t>whoweare.sections.0.blocks.2.dataset.55.members</t>
  </si>
  <si>
    <t>whoweare.sections.0.blocks.2.dataset.54.year</t>
  </si>
  <si>
    <t>whoweare.sections.0.blocks.2.dataset.54.members</t>
  </si>
  <si>
    <t>whoweare.sections.0.blocks.2.dataset.53.year</t>
  </si>
  <si>
    <t>whoweare.sections.0.blocks.2.dataset.53.members</t>
  </si>
  <si>
    <t>whoweare.sections.0.blocks.2.dataset.52.year</t>
  </si>
  <si>
    <t>whoweare.sections.0.blocks.2.dataset.52.members</t>
  </si>
  <si>
    <t>whoweare.sections.0.blocks.2.dataset.51.year</t>
  </si>
  <si>
    <t>whoweare.sections.0.blocks.2.dataset.51.members</t>
  </si>
  <si>
    <t>whoweare.sections.0.blocks.2.dataset.50.year</t>
  </si>
  <si>
    <t>whoweare.sections.0.blocks.2.dataset.50.members</t>
  </si>
  <si>
    <t>whoweare.sections.0.blocks.2.dataset.5.year</t>
  </si>
  <si>
    <t>whoweare.sections.0.blocks.2.dataset.5.members</t>
  </si>
  <si>
    <t>whoweare.sections.0.blocks.2.dataset.49.year</t>
  </si>
  <si>
    <t>whoweare.sections.0.blocks.2.dataset.49.members</t>
  </si>
  <si>
    <t>whoweare.sections.0.blocks.2.dataset.48.year</t>
  </si>
  <si>
    <t>whoweare.sections.0.blocks.2.dataset.48.members</t>
  </si>
  <si>
    <t>whoweare.sections.0.blocks.2.dataset.47.year</t>
  </si>
  <si>
    <t>whoweare.sections.0.blocks.2.dataset.47.members</t>
  </si>
  <si>
    <t>whoweare.sections.0.blocks.2.dataset.46.year</t>
  </si>
  <si>
    <t>whoweare.sections.0.blocks.2.dataset.46.members</t>
  </si>
  <si>
    <t>whoweare.sections.0.blocks.2.dataset.45.year</t>
  </si>
  <si>
    <t>whoweare.sections.0.blocks.2.dataset.45.members</t>
  </si>
  <si>
    <t>whoweare.sections.0.blocks.2.dataset.44.year</t>
  </si>
  <si>
    <t>whoweare.sections.0.blocks.2.dataset.44.members</t>
  </si>
  <si>
    <t>whoweare.sections.0.blocks.2.dataset.43.year</t>
  </si>
  <si>
    <t>whoweare.sections.0.blocks.2.dataset.43.members</t>
  </si>
  <si>
    <t>whoweare.sections.0.blocks.2.dataset.42.year</t>
  </si>
  <si>
    <t>whoweare.sections.0.blocks.2.dataset.42.members</t>
  </si>
  <si>
    <t>whoweare.sections.0.blocks.2.dataset.41.year</t>
  </si>
  <si>
    <t>whoweare.sections.0.blocks.2.dataset.41.members</t>
  </si>
  <si>
    <t>whoweare.sections.0.blocks.2.dataset.40.year</t>
  </si>
  <si>
    <t>whoweare.sections.0.blocks.2.dataset.40.members</t>
  </si>
  <si>
    <t>whoweare.sections.0.blocks.2.dataset.4.year</t>
  </si>
  <si>
    <t>whoweare.sections.0.blocks.2.dataset.4.members</t>
  </si>
  <si>
    <t>whoweare.sections.0.blocks.2.dataset.39.year</t>
  </si>
  <si>
    <t>whoweare.sections.0.blocks.2.dataset.39.members</t>
  </si>
  <si>
    <t>whoweare.sections.0.blocks.2.dataset.38.year</t>
  </si>
  <si>
    <t>whoweare.sections.0.blocks.2.dataset.38.members</t>
  </si>
  <si>
    <t>whoweare.sections.0.blocks.2.dataset.37.year</t>
  </si>
  <si>
    <t>whoweare.sections.0.blocks.2.dataset.37.members</t>
  </si>
  <si>
    <t>whoweare.sections.0.blocks.2.dataset.36.year</t>
  </si>
  <si>
    <t>whoweare.sections.0.blocks.2.dataset.36.members</t>
  </si>
  <si>
    <t>whoweare.sections.0.blocks.2.dataset.35.year</t>
  </si>
  <si>
    <t>whoweare.sections.0.blocks.2.dataset.35.members</t>
  </si>
  <si>
    <t>whoweare.sections.0.blocks.2.dataset.34.year</t>
  </si>
  <si>
    <t>whoweare.sections.0.blocks.2.dataset.34.members</t>
  </si>
  <si>
    <t>whoweare.sections.0.blocks.2.dataset.33.year</t>
  </si>
  <si>
    <t>whoweare.sections.0.blocks.2.dataset.33.members</t>
  </si>
  <si>
    <t>whoweare.sections.0.blocks.2.dataset.32.year</t>
  </si>
  <si>
    <t>whoweare.sections.0.blocks.2.dataset.32.members</t>
  </si>
  <si>
    <t>whoweare.sections.0.blocks.2.dataset.31.year</t>
  </si>
  <si>
    <t>whoweare.sections.0.blocks.2.dataset.31.members</t>
  </si>
  <si>
    <t>whoweare.sections.0.blocks.2.dataset.30.year</t>
  </si>
  <si>
    <t>whoweare.sections.0.blocks.2.dataset.30.members</t>
  </si>
  <si>
    <t>whoweare.sections.0.blocks.2.dataset.3.year</t>
  </si>
  <si>
    <t>whoweare.sections.0.blocks.2.dataset.3.members</t>
  </si>
  <si>
    <t>whoweare.sections.0.blocks.2.dataset.29.year</t>
  </si>
  <si>
    <t>whoweare.sections.0.blocks.2.dataset.29.members</t>
  </si>
  <si>
    <t>whoweare.sections.0.blocks.2.dataset.28.year</t>
  </si>
  <si>
    <t>whoweare.sections.0.blocks.2.dataset.28.members</t>
  </si>
  <si>
    <t>whoweare.sections.0.blocks.2.dataset.27.year</t>
  </si>
  <si>
    <t>whoweare.sections.0.blocks.2.dataset.27.members</t>
  </si>
  <si>
    <t>whoweare.sections.0.blocks.2.dataset.26.year</t>
  </si>
  <si>
    <t>whoweare.sections.0.blocks.2.dataset.26.members</t>
  </si>
  <si>
    <t>whoweare.sections.0.blocks.2.dataset.25.year</t>
  </si>
  <si>
    <t>whoweare.sections.0.blocks.2.dataset.25.members</t>
  </si>
  <si>
    <t>whoweare.sections.0.blocks.2.dataset.24.year</t>
  </si>
  <si>
    <t>whoweare.sections.0.blocks.2.dataset.24.members</t>
  </si>
  <si>
    <t>whoweare.sections.0.blocks.2.dataset.23.year</t>
  </si>
  <si>
    <t>whoweare.sections.0.blocks.2.dataset.23.members</t>
  </si>
  <si>
    <t>whoweare.sections.0.blocks.2.dataset.22.year</t>
  </si>
  <si>
    <t>whoweare.sections.0.blocks.2.dataset.22.members</t>
  </si>
  <si>
    <t>whoweare.sections.0.blocks.2.dataset.21.year</t>
  </si>
  <si>
    <t>whoweare.sections.0.blocks.2.dataset.21.members</t>
  </si>
  <si>
    <t>whoweare.sections.0.blocks.2.dataset.20.year</t>
  </si>
  <si>
    <t>whoweare.sections.0.blocks.2.dataset.20.members</t>
  </si>
  <si>
    <t>whoweare.sections.0.blocks.2.dataset.2.year</t>
  </si>
  <si>
    <t>whoweare.sections.0.blocks.2.dataset.2.members</t>
  </si>
  <si>
    <t>whoweare.sections.0.blocks.2.dataset.19.year</t>
  </si>
  <si>
    <t>whoweare.sections.0.blocks.2.dataset.19.members</t>
  </si>
  <si>
    <t>whoweare.sections.0.blocks.2.dataset.18.year</t>
  </si>
  <si>
    <t>whoweare.sections.0.blocks.2.dataset.18.members</t>
  </si>
  <si>
    <t>whoweare.sections.0.blocks.2.dataset.17.year</t>
  </si>
  <si>
    <t>whoweare.sections.0.blocks.2.dataset.17.members</t>
  </si>
  <si>
    <t>whoweare.sections.0.blocks.2.dataset.16.year</t>
  </si>
  <si>
    <t>whoweare.sections.0.blocks.2.dataset.16.members</t>
  </si>
  <si>
    <t>whoweare.sections.0.blocks.2.dataset.15.year</t>
  </si>
  <si>
    <t>whoweare.sections.0.blocks.2.dataset.15.members</t>
  </si>
  <si>
    <t>whoweare.sections.0.blocks.2.dataset.14.year</t>
  </si>
  <si>
    <t>whoweare.sections.0.blocks.2.dataset.14.members</t>
  </si>
  <si>
    <t>whoweare.sections.0.blocks.2.dataset.13.year</t>
  </si>
  <si>
    <t>whoweare.sections.0.blocks.2.dataset.13.members</t>
  </si>
  <si>
    <t>whoweare.sections.0.blocks.2.dataset.12.year</t>
  </si>
  <si>
    <t>whoweare.sections.0.blocks.2.dataset.12.members</t>
  </si>
  <si>
    <t>whoweare.sections.0.blocks.2.dataset.11.year</t>
  </si>
  <si>
    <t>whoweare.sections.0.blocks.2.dataset.11.members</t>
  </si>
  <si>
    <t>whoweare.sections.0.blocks.2.dataset.10.year</t>
  </si>
  <si>
    <t>whoweare.sections.0.blocks.2.dataset.10.members</t>
  </si>
  <si>
    <t>whoweare.sections.0.blocks.2.dataset.1.year</t>
  </si>
  <si>
    <t>whoweare.sections.0.blocks.2.dataset.1.members</t>
  </si>
  <si>
    <t>whoweare.sections.0.blocks.2.dataset.0.year</t>
  </si>
  <si>
    <t>whoweare.sections.0.blocks.2.dataset.0.members</t>
  </si>
  <si>
    <t>whoweare.sections.0.blocks.2.caption</t>
  </si>
  <si>
    <t>Source: Administration Department</t>
  </si>
  <si>
    <t>Fuente: Departamento de Administración</t>
  </si>
  <si>
    <t>المصدر: قسم الشؤون الإدارية</t>
  </si>
  <si>
    <t>whoweare.sections.0.blocks.2.axislabels.y</t>
  </si>
  <si>
    <t>whoweare.sections.0.blocks.2.axislabels.x</t>
  </si>
  <si>
    <t>Years</t>
  </si>
  <si>
    <t>Années</t>
  </si>
  <si>
    <t>Años</t>
  </si>
  <si>
    <t>سنوات</t>
  </si>
  <si>
    <t>whoweare.sections.0.blocks.1.3</t>
  </si>
  <si>
    <t>People who come together – including virtually – due to shared interests.</t>
  </si>
  <si>
    <t>à un groupe de personnes réunies (y compris de manière virtuelle) par des intérêts communs.</t>
  </si>
  <si>
    <t>se congregan de alguna manera (incluso de forma virtual) en torno a un interés común</t>
  </si>
  <si>
    <t>أناس يجتمعون معاً بالفعل – أو افتراضياً - بسبب مصالح مشتركة.</t>
  </si>
  <si>
    <t>whoweare.sections.0.blocks.1.2</t>
  </si>
  <si>
    <t>People who are exposed to the same or similar risks and vulnerabilities, or political and economic factors</t>
  </si>
  <si>
    <t>à un groupe de personnes exposées à des risques et à des vulnérabilités identiques ou similaires, ou aux mêmes facteurs politiques et économiques</t>
  </si>
  <si>
    <t>están expuestas a riesgos, vulnerabilidades, factores económicos o circunstancias políticas idénticos o similares</t>
  </si>
  <si>
    <t>أناس يتعرضون للمخاطر نفسها أو لمخاطر شبيهة ولديهم نقاط ضعف متشابهة، أو يتأثرون بعوامل سياسية واقتصادية متشابهة</t>
  </si>
  <si>
    <t>whoweare.sections.0.blocks.1.1</t>
  </si>
  <si>
    <t>People sharing a common identity, culture, values, and norms that have emerged according to a social structure</t>
  </si>
  <si>
    <t>à un groupe de personnes qui ont une identité, une culture, des valeurs et des normes communes et qui est organisé selon une certaine structure sociale</t>
  </si>
  <si>
    <t>comparten una determinada identidad, cultura, valores y normas surgidas bajo una estructura social</t>
  </si>
  <si>
    <t>أشخاص لديهم هوية مشتركة، وثقافة وقيماً ومعايير مشتركة برزت وفقاً لبنية اجتماعية محددة</t>
  </si>
  <si>
    <t>whoweare.sections.0.blocks.1.0</t>
  </si>
  <si>
    <t>People living in a defined geographical area</t>
  </si>
  <si>
    <t>à un groupe de personnes vivant dans une zone géographique donnée</t>
  </si>
  <si>
    <t>habitan en una determinada zona geográfica</t>
  </si>
  <si>
    <t>أناس يعيشون في منطقة جغرافية محددة</t>
  </si>
  <si>
    <t>whoweare.sections.0.blocks.0</t>
  </si>
  <si>
    <t>Our National Societies organise their efforts through more than 160,000 local units – branches or chapters – located within the communities from which they arise and that they serve. Our communities come in various shapes and forms, and diversity is our particular strength. For us, the term community refers to:</t>
  </si>
  <si>
    <t>Les Sociétés nationales organisent leurs efforts par le biais de plus de 160 000 unités locales (sections ou antennes) installées au sein des communautés qu’elles servent. Chaque communauté est différente et cette diversité constitue notre point fort. Pour nous, le terme «communauté» fait référence:</t>
  </si>
  <si>
    <t>Las Sociedades Nacionales miembros organizan sus esfuerzos a través de ciento sesenta mil (160 000) unidades locales (también denominadas secciones o filiales) constituidas en el seno de las comunidades a las que prestan servicios e integradas por miembros de estas. Las comunidades beneficiarias tienen diferentes características, estructuras y modalidades de organización, siendo la diversidad una de las principales fortalezas de la organización. En el contexto de la Federación Internacional, el término comunidad se refiere a personas que:</t>
  </si>
  <si>
    <t>تنظّم جمعياتنا الوطنية جهودها من خلال ما يربو على 160,000 وحدة محلية - فروع أو شعب محلية - توجد مقارها في المجتمعات المحلية التي نشأت تلك الوحدات من رحمها وتقدم خدماتها إليها. وتتباين أشكال مجتمعاتنا المحلية ونماذجها، حيث يُعدّ التنوع مصدر قوتنا الفريدة. ويشير مصطلح المجتمع المحلي بالنسبة لنا إلى ما يلي:</t>
  </si>
  <si>
    <t>whoweare.nextchapter.title</t>
  </si>
  <si>
    <t>What we do</t>
  </si>
  <si>
    <t>Ce que nous faisons</t>
  </si>
  <si>
    <t>Nuestra labor</t>
  </si>
  <si>
    <t>عملنا</t>
  </si>
  <si>
    <t>whoweare.nextchapter.subtitle</t>
  </si>
  <si>
    <t>Overview</t>
  </si>
  <si>
    <t>Aperçu</t>
  </si>
  <si>
    <t>Visión de conjunto</t>
  </si>
  <si>
    <t>نظرة عامة</t>
  </si>
  <si>
    <t>whoweare.nextchapter.slug</t>
  </si>
  <si>
    <t>what-we-do</t>
  </si>
  <si>
    <t>whoweare.nextchapter.heading</t>
  </si>
  <si>
    <t>Next chapter</t>
  </si>
  <si>
    <t>Prochain chapitre</t>
  </si>
  <si>
    <t>Capítulo siguiente</t>
  </si>
  <si>
    <t>الفصل التالي</t>
  </si>
  <si>
    <t>whoweare.nextchapter.chapter</t>
  </si>
  <si>
    <t>whoweare.intro</t>
  </si>
  <si>
    <t>The global Red Cross and Red Crescent family has grown steadily since its earliest origins in 1863, reaching 190 National Societies in 2015.</t>
  </si>
  <si>
    <t>Le réseau mondial de la Croix-Rouge et du Croissant-Rouge s’est étendu de manière continue depuis sa naissance en 1863. Il compte 190 Sociétés nationales depuis 2015.</t>
  </si>
  <si>
    <t>La Federación Internacional de Sociedades de la Cruz Roja y de la Media Luna Roja acusa constante crecimiento desde sus orígenes en 1863 y, desde 2015, cuenta con 190 Sociedades Nacionales.</t>
  </si>
  <si>
    <t>نمت أسرة الصليب الأحمر والهلال الأحمر العالمية بشكل مطرد منذ نشأتها عام 1863 ، ليصل عدد أعضائها إلى 190 جمعية وطنية في عام 2015.</t>
  </si>
  <si>
    <t>whoweare.chapter</t>
  </si>
  <si>
    <t>whatwedo.title</t>
  </si>
  <si>
    <t>whatwedo.slug</t>
  </si>
  <si>
    <t>whatwedo.sections.1.title</t>
  </si>
  <si>
    <t>Images from our Flickr photostream</t>
  </si>
  <si>
    <t>Images de notre photostream Flickr</t>
  </si>
  <si>
    <t>Imágenes de Flickr</t>
  </si>
  <si>
    <t>صورمن مجموعة صور فليكر</t>
  </si>
  <si>
    <t>whatwedo.sections.1.blocks.1</t>
  </si>
  <si>
    <t>Photo albums on Flickr</t>
  </si>
  <si>
    <t>Les albums photo sur Flickr</t>
  </si>
  <si>
    <t>Álbumes de fotos en Flickr</t>
  </si>
  <si>
    <t>ألبومات الصور على فليكر</t>
  </si>
  <si>
    <t>whatwedo.sections.1.blocks.0</t>
  </si>
  <si>
    <t>Check out the work of the National Societies around the world.</t>
  </si>
  <si>
    <t>Découvrez le travail des Sociétés nationales du monde entier.</t>
  </si>
  <si>
    <t>Echa un vistazo a la labor de las Sociedades Nacionales de todo el mundo.</t>
  </si>
  <si>
    <t>تحقق من عمل الجمعيات الوطنية في جميع أنحاء العالم.</t>
  </si>
  <si>
    <t>whatwedo.sections.0.title</t>
  </si>
  <si>
    <t>Strategy 2020</t>
  </si>
  <si>
    <t>Stratégie 2020</t>
  </si>
  <si>
    <t>Estrategia 2020</t>
  </si>
  <si>
    <t>الاستراتيجية حتى عام 2020</t>
  </si>
  <si>
    <t>whatwedo.sections.0.blocks.6</t>
  </si>
  <si>
    <t>Strategy 2020 Final Document</t>
  </si>
  <si>
    <t>Stratégie 2020 document</t>
  </si>
  <si>
    <t>http://www.ifrc.org/Global/Publications/general/strategy-2020.pdf</t>
  </si>
  <si>
    <t>الوثيقة النهائية للإستراتيجية حتى عام 2020</t>
  </si>
  <si>
    <t>whatwedo.sections.0.blocks.5</t>
  </si>
  <si>
    <t>whatwedo.sections.0.blocks.4</t>
  </si>
  <si>
    <t>Adopted by the Federations General Assembly in November 2009, Strategy 2020 was the result of extensive consultation within the International Red Cross and Red Crescent Movement and with our external partners. Guided by the statutes and strategy of the Movement, it consolidates previous policies and strategies and provides the basis for doing more, doing better and reaching further.</t>
  </si>
  <si>
    <t>Adoptée par l’Assemblée générale de la Fédération internationale en novembre 2009, la Stratégie 2020 est le résultat de larges consultations conduites au sein du Mouvement international de la Croix-Rouge et du Croissant-Rouge et avec nos partenaires extérieurs. Guidée par les Statuts et la Stratégie du Mouvement, elle fait la synthèse des politiques et des stratégies antérieures et sert d’assise aux activités qui seront menées pour faire plus, le faire mieux et aller plus loin.</t>
  </si>
  <si>
    <t xml:space="preserve">Aprobada por la Asamblea General de la Federación en noviembre de 2009, la Estrategia 2020 es el resultado de amplias consultas en el seno del Movimiento Internacional de la Cruz Roja y de la Media Luna Roja y con nuestros asociados externos. Guiada por los Estatutos del Movimiento y la Estrategia para el Movimiento, la Estrategia 2020 reúne políticas y estrategias anteriores y proporciona la base para hacer más, hacerlo mejor, lograr más. </t>
  </si>
  <si>
    <t>اعتمدت الهيئة العامة للاتحاد الدولي الاستراتيجية حتى عام 2020 في شهر تشرين الثاني/ نوفمبر؛ نتيجة لمناقشات مكثفة بين الحركة الدولية للصليب الأحمر والهلال الأحمر من جهة وبين شركائنا الخارجيين من جهة أخرى. مسترشدة في ذلك بالنظام الأساسي للحركة واستراتيجيتها، ومعززة للسياسات والاستراتيجيات السابقة. وتتيح الاستراتيجية أساساً لبذل المزيد والعمل بشكل أفضل.</t>
  </si>
  <si>
    <t>whatwedo.sections.0.blocks.3.2</t>
  </si>
  <si>
    <t>Function effectively as the International Federation.</t>
  </si>
  <si>
    <t>Fonctionner efficacement en tant que Fédération internationale</t>
  </si>
  <si>
    <t>Funcionar con eficacia como Federación Internacional.</t>
  </si>
  <si>
    <t>العمل بفعالية كاتحاد دولي.</t>
  </si>
  <si>
    <t>whatwedo.sections.0.blocks.3.1</t>
  </si>
  <si>
    <t>Pursue humanitarian diplomacy to prevent and reduce vulnerability in a globalized world.</t>
  </si>
  <si>
    <t>Mener des actions de diplomatie humanitaire pour prévenir et réduire la vulnérabilité dans un monde interdépendant</t>
  </si>
  <si>
    <t>Valernos de la diplomacia humanitaria para prevenir y reducir la vulnerabilidad en un mundo globalizado.</t>
  </si>
  <si>
    <t>انتهاج دبلوماسية إنسانية لتفادي مواطن الضعف والحد منها في عالم يتسم بالعولمة.</t>
  </si>
  <si>
    <t>whatwedo.sections.0.blocks.3.0</t>
  </si>
  <si>
    <t>Build strong National Red Cross and Red Crescent Societies.</t>
  </si>
  <si>
    <t>Bâtir des Sociétés nationales de la Croix-Rouge et du Croissant-Rouge fortes</t>
  </si>
  <si>
    <t>Construir Sociedades Nacionales de la Cruz Roja y de la Media Luna Roja fuertes.</t>
  </si>
  <si>
    <t>بناء جمعيات وطنية قوية للصليب الأحمر والهلال الأحمر.</t>
  </si>
  <si>
    <t>whatwedo.sections.0.blocks.2</t>
  </si>
  <si>
    <t>The enabling actions to deliver our Strategic Aims are to:</t>
  </si>
  <si>
    <t>Les actions facilitatrices, propices à la réalisation des objectifs stratégiques sont:</t>
  </si>
  <si>
    <t>Las acciones facilitadoras para lograr nuestros objetivos estratégicos son:</t>
  </si>
  <si>
    <t>أفعال التمكين المؤدية إلى تنفيذ أهدافنا الاستراتيجية هي:</t>
  </si>
  <si>
    <t>whatwedo.sections.0.blocks.1.2</t>
  </si>
  <si>
    <t>Promote social inclusion and a culture of non-violence and peace.</t>
  </si>
  <si>
    <t>Promouvoir l’intégration sociale et une culture de non-violence et de paix</t>
  </si>
  <si>
    <t>Promover la inclusión social y una cultura de no violencia y paz.</t>
  </si>
  <si>
    <t>تشجيع الاندماج الاجتماعي وثقافة السلام ونبذ العنف.</t>
  </si>
  <si>
    <t>whatwedo.sections.0.blocks.1.1</t>
  </si>
  <si>
    <t>Enable healthy and safe living.</t>
  </si>
  <si>
    <t>Promouvoir des modes de vie sains et sûrs</t>
  </si>
  <si>
    <t>Posibilitar una vida sana y segura.</t>
  </si>
  <si>
    <t>التمكين من أجل حياة صحية آمنة.</t>
  </si>
  <si>
    <t>whatwedo.sections.0.blocks.1.0</t>
  </si>
  <si>
    <t>Save lives, protect livelihoods, and strengthen recovery from disasters and crises.</t>
  </si>
  <si>
    <t>Sauver des vies, protéger les moyens d’existence et renforcer le relèvement après les catastrophes et les crises</t>
  </si>
  <si>
    <t>Salvar vidas, proteger los medios de sustento y apoyar la recuperación después de desastres y crisis.</t>
  </si>
  <si>
    <t>إنقاذ الحياة وحماية مصادر الرزق وتعزيز الانتعاش من الكوارث والأزمات.</t>
  </si>
  <si>
    <t>whatwedo.sections.0.blocks.0</t>
  </si>
  <si>
    <t>The strategic aims of Strategy 2020 are to:</t>
  </si>
  <si>
    <t>Les objectifs stratégiques de la Stratégie 2020 sont:</t>
  </si>
  <si>
    <t>Los objetivos estratégicos de la Estrategia 2020 son:</t>
  </si>
  <si>
    <t>أهداف الاستراتيجية حتى عام 2020 هي:</t>
  </si>
  <si>
    <t>whatwedo.nextchapter.title</t>
  </si>
  <si>
    <t>Living our fundamental principles</t>
  </si>
  <si>
    <t>Nos principes fondamentaux en action</t>
  </si>
  <si>
    <t>Los Principios Fundamentales En La Práctica Cotidiana</t>
  </si>
  <si>
    <t>مبادئُنا أساس عملنا</t>
  </si>
  <si>
    <t>whatwedo.nextchapter.subtitle</t>
  </si>
  <si>
    <t>whatwedo.nextchapter.slug</t>
  </si>
  <si>
    <t>living-our-fundamental-principles</t>
  </si>
  <si>
    <t>whatwedo.nextchapter.heading</t>
  </si>
  <si>
    <t>whatwedo.nextchapter.chapter</t>
  </si>
  <si>
    <t>whatwedo.intro</t>
  </si>
  <si>
    <t>Strategy 2020 is guiding the actions of the International Federation of Red Cross and Red Crescent Societies (IFRC) throughout this decade. It defines three strategic aims and three enabling actions for the IFRC and its member National Societies in order to achieve a common vision.</t>
  </si>
  <si>
    <t>La Stratégie 2020 guidera les actions de la Fédération internationale des Sociétés de la Croix-Rouge et du Croissant-Rouge au cours des dix prochaines années. Elle définit trois objectifs stratégiques et trois actions facilitatrices pour la Fédération internationale et ses Sociétés nationales membres, en vue de la réalisation de la vision commune.</t>
  </si>
  <si>
    <t>La Estrategia 2020 orientará la acción de la Federación Internacional de la Cruz Roja y de la Media Luna Roja durante los próximos diez años. Define tres objetivos estratégicos y tres acciones facilitadoras para la Federación Internacional y sus Sociedades Nacionales miembros a fin de lograr la visión común:</t>
  </si>
  <si>
    <t>إن الاستراتيجية حتى عام 2020 تجسد التصميم الجماعي للاتحاد الدولي لجمعيات الصليب الأحمر والهلال الأحمر على المضي قدماً فيما يتعلق بالتصدي للتحديات الرئيسية التي تواجه الإنسانية في العقد المقبل. وقد حددت ثلاثة أهداف استراتيجية تُمكن الاتحاد الدولي وجمعياته الوطنية الأعضاء من تحقيق رؤيتهم المشتركة.</t>
  </si>
  <si>
    <t>whatwedo.general.0</t>
  </si>
  <si>
    <t>to inspire, encourage, facilitate and promote at all times all forms of humanitarian activities by National Societies, with a view to preventing and alleviating human suffering, and thereby contributing to the maintenance and promotion of human dignity and peace in the world.</t>
  </si>
  <si>
    <t>inspirer, encourager, faciliter et promouvoir à tout moment toutes les formes dactivités humanitaires menées par les Sociétés nationales, en vue de prévenir et datténuer les souffrances humaines, et ainsi de contribuer au maintien et à la promotion de la dignité humaine et de la paix dans le monde.</t>
  </si>
  <si>
    <t>Inspirar, estimular, facilitar y promover continuamente y bajo todas sus formas las actividades humanitarias de las Sociedades Nacionales, con miras a prevenir y aliviar el sufrimiento humano, y aportar así su contribución al mantenimiento y a la promoción de la dignidad humana y la paz en el mundo.</t>
  </si>
  <si>
    <t>إلهام، وتعزيز، وتسهيل، وتشجيع مختلف أشكال النشاطات الإنسانية للجمعيات الوطنية في كل وقت، بهدف منع و تخفيف المعاناة الإنسانية، وبالتالي المساهمة في الحفاظ على والنهوض بكرامة الإنسان والسلام في العالم.</t>
  </si>
  <si>
    <t>whatwedo.chapter</t>
  </si>
  <si>
    <t>un_chf</t>
  </si>
  <si>
    <t>UN agencies &amp; other multilateral agencies</t>
  </si>
  <si>
    <t>Institutions des Nations Unies et autres entités multilatérales</t>
  </si>
  <si>
    <t>Organismos de las Naciones Unidas y otros organismos multilaterales</t>
  </si>
  <si>
    <t>منظمات تابعة للأمم المتحدة ومنظمات أخرى متعددة الأطراف</t>
  </si>
  <si>
    <t>un</t>
  </si>
  <si>
    <t>totalglobal</t>
  </si>
  <si>
    <t>Total Global</t>
  </si>
  <si>
    <t>Total mondial</t>
  </si>
  <si>
    <t>Total mundial</t>
  </si>
  <si>
    <t>total income 2019</t>
  </si>
  <si>
    <t>Total Income 2019</t>
  </si>
  <si>
    <t>Recettes totales 2019</t>
  </si>
  <si>
    <t>Ingresos totales 2019</t>
  </si>
  <si>
    <t>total expenditure 2019</t>
  </si>
  <si>
    <t>Total Expenditure 2019</t>
  </si>
  <si>
    <t>Dépenses totales 2019</t>
  </si>
  <si>
    <t>Gastos totales 2019</t>
  </si>
  <si>
    <t>successfullysubscribed</t>
  </si>
  <si>
    <t>¡Te has suscrito con éxito!</t>
  </si>
  <si>
    <t>Vous vous êtes enregistré avec succès!</t>
  </si>
  <si>
    <t>You have succesfully subscribed!</t>
  </si>
  <si>
    <t>subscribe</t>
  </si>
  <si>
    <t>Suscribe</t>
  </si>
  <si>
    <t xml:space="preserve">Sabonner </t>
  </si>
  <si>
    <t>Suscribir</t>
  </si>
  <si>
    <t>Subscribe</t>
  </si>
  <si>
    <t>submityourdata</t>
  </si>
  <si>
    <t>Submit Your Data</t>
  </si>
  <si>
    <t xml:space="preserve">Soumettre vos données </t>
  </si>
  <si>
    <t>Envíe sus datos</t>
  </si>
  <si>
    <t>stickymenu.faq5</t>
  </si>
  <si>
    <t>What are the data limitations?</t>
  </si>
  <si>
    <t>stickymenu.faq4</t>
  </si>
  <si>
    <t>What other data is available?</t>
  </si>
  <si>
    <t>stickymenu.faq3</t>
  </si>
  <si>
    <t>What are the three key documents?</t>
  </si>
  <si>
    <t>stickymenu.faq2</t>
  </si>
  <si>
    <t>What are the seven KPIs?</t>
  </si>
  <si>
    <t>stickymenu.faq1</t>
  </si>
  <si>
    <t>How was the data collected?</t>
  </si>
  <si>
    <t>stickymenu.faq0</t>
  </si>
  <si>
    <t>What is FDRS?</t>
  </si>
  <si>
    <t>stickymenu.faq</t>
  </si>
  <si>
    <t>Frequently Asked Questions</t>
  </si>
  <si>
    <t>stickymenu.secretariatstaff</t>
  </si>
  <si>
    <t>Personnel du Secrétariat</t>
  </si>
  <si>
    <t>Personal de la Secretaría</t>
  </si>
  <si>
    <t>stickymenu.reportsanddocuments</t>
  </si>
  <si>
    <t>Reports and Documents</t>
  </si>
  <si>
    <t>Rapports et documents</t>
  </si>
  <si>
    <t>Informes y documentos</t>
  </si>
  <si>
    <t>stickymenu.readourfaqs</t>
  </si>
  <si>
    <t>Read Our Faqs</t>
  </si>
  <si>
    <t xml:space="preserve">Lire notre foire aux questions </t>
  </si>
  <si>
    <t>Lea nuestras preguntas frecuentes</t>
  </si>
  <si>
    <t>stickymenu.qualityofdata</t>
  </si>
  <si>
    <t>Quality of Data</t>
  </si>
  <si>
    <t xml:space="preserve">Qualité des données </t>
  </si>
  <si>
    <t>Calidad de los datos</t>
  </si>
  <si>
    <t>stickymenu.qualityindex</t>
  </si>
  <si>
    <t>Quality Index</t>
  </si>
  <si>
    <t>Indice de qualité</t>
  </si>
  <si>
    <t>Índice de calidad</t>
  </si>
  <si>
    <t>stickymenu.keynationalsocietydata</t>
  </si>
  <si>
    <t>Key National Society Data</t>
  </si>
  <si>
    <t>Données clés des sociétés nationales</t>
  </si>
  <si>
    <t>Datos clave de la sociedad nacional</t>
  </si>
  <si>
    <t>stickymenu.keycountryfigures</t>
  </si>
  <si>
    <t>Key Country Figures</t>
  </si>
  <si>
    <t>Chiffres clés du pays</t>
  </si>
  <si>
    <t>Cifras clave del país</t>
  </si>
  <si>
    <t>stickymenu.jobclassificationgrades</t>
  </si>
  <si>
    <t>Job classification grades</t>
  </si>
  <si>
    <t>Grades de classification des emplois</t>
  </si>
  <si>
    <t>Grados de clasificación de los puestos de trabajo</t>
  </si>
  <si>
    <t>stickymenu.ifrcsecretariat</t>
  </si>
  <si>
    <t>Secrétariat de la Fédération</t>
  </si>
  <si>
    <t>stickymenu.fdrsvideos</t>
  </si>
  <si>
    <t>FDRS Videos</t>
  </si>
  <si>
    <t xml:space="preserve">Vidéos FDRS </t>
  </si>
  <si>
    <t>Videos de FDRS</t>
  </si>
  <si>
    <t>stickymenu.fdrsdocuments</t>
  </si>
  <si>
    <t>FDRS Documents</t>
  </si>
  <si>
    <t>Documents FDRS</t>
  </si>
  <si>
    <t>Documentos FDRS</t>
  </si>
  <si>
    <t>stickymenu.fdrsanalysis</t>
  </si>
  <si>
    <t>FDRS Analysis</t>
  </si>
  <si>
    <t>Analyse FDRS</t>
  </si>
  <si>
    <t>Análisis FDRS</t>
  </si>
  <si>
    <t>stickymenu.explorenationalsocietydata</t>
  </si>
  <si>
    <t>Explore National Society Data</t>
  </si>
  <si>
    <t>Explorer les données des Sociétés nationales</t>
  </si>
  <si>
    <t>Explore los datos de las sociedades nacionales</t>
  </si>
  <si>
    <t>stickymenu.everyonecountsreport</t>
  </si>
  <si>
    <t>Everyone counts report</t>
  </si>
  <si>
    <t>stickymenu.emergencyoperations</t>
  </si>
  <si>
    <t>Emergency Operations</t>
  </si>
  <si>
    <t>Opérations durgence</t>
  </si>
  <si>
    <t>Operaciones de emergencia</t>
  </si>
  <si>
    <t>stickymenu.dataplaybook</t>
  </si>
  <si>
    <t>Data Playbook</t>
  </si>
  <si>
    <t>stickymenu.datadownload</t>
  </si>
  <si>
    <t>Data Download</t>
  </si>
  <si>
    <t>Téléchargement des données</t>
  </si>
  <si>
    <t>Descarga de datos</t>
  </si>
  <si>
    <t>stickymenu.aboutfdrs</t>
  </si>
  <si>
    <t>About FDRS</t>
  </si>
  <si>
    <t>A propos de FDRS</t>
  </si>
  <si>
    <t>Sobre FDRS</t>
  </si>
  <si>
    <t>sourcesofincome</t>
  </si>
  <si>
    <t>Sources of Income</t>
  </si>
  <si>
    <t>Sources de revenus</t>
  </si>
  <si>
    <t>Fuentes de ingresos</t>
  </si>
  <si>
    <t>societies.titleparts.1</t>
  </si>
  <si>
    <t>profiles</t>
  </si>
  <si>
    <t>Initiatives de données</t>
  </si>
  <si>
    <t>perfiles</t>
  </si>
  <si>
    <t>societies.titleparts.0</t>
  </si>
  <si>
    <t>FICR</t>
  </si>
  <si>
    <t>لمحات عن</t>
  </si>
  <si>
    <t>societies.title</t>
  </si>
  <si>
    <t>National Society profiles</t>
  </si>
  <si>
    <t>Profils des Sociétés nationales</t>
  </si>
  <si>
    <t>Perfiles de las Sociedades Nacionales</t>
  </si>
  <si>
    <t>لمحات عن الجمعيات الوطنية</t>
  </si>
  <si>
    <t>societies.tabs.1.1</t>
  </si>
  <si>
    <t>profils</t>
  </si>
  <si>
    <t>societies.tabs.1.0</t>
  </si>
  <si>
    <t>societies.tabs.0.1</t>
  </si>
  <si>
    <t>visión de conjunto</t>
  </si>
  <si>
    <t>societies.tabs.0.0</t>
  </si>
  <si>
    <t>FICR global</t>
  </si>
  <si>
    <t>FICR mondiale</t>
  </si>
  <si>
    <t>الاتحاد الدولي</t>
  </si>
  <si>
    <t>societies.source</t>
  </si>
  <si>
    <t>source</t>
  </si>
  <si>
    <t>fuente</t>
  </si>
  <si>
    <t>المصدر</t>
  </si>
  <si>
    <t>societies.searchplaceholder</t>
  </si>
  <si>
    <t>Search...</t>
  </si>
  <si>
    <t>Rechercher...</t>
  </si>
  <si>
    <t>Buscar...</t>
  </si>
  <si>
    <t>بحث...</t>
  </si>
  <si>
    <t>societies.peoplereached</t>
  </si>
  <si>
    <t>Number of people reached</t>
  </si>
  <si>
    <t>Personnes ayant bénéficié</t>
  </si>
  <si>
    <t>Personas alcanzadas</t>
  </si>
  <si>
    <t>الناس الذين تم الوصول إليهم</t>
  </si>
  <si>
    <t>societies.nosocieties</t>
  </si>
  <si>
    <t>No National Societies found</t>
  </si>
  <si>
    <t>Aucune Société nationale trouvée</t>
  </si>
  <si>
    <t>No se han encontrado Sociedades Nacionales</t>
  </si>
  <si>
    <t>لم يتم العثور على جمعيات وطنية</t>
  </si>
  <si>
    <t>societies.nodocuments</t>
  </si>
  <si>
    <t>No documents</t>
  </si>
  <si>
    <t>Pas de documents</t>
  </si>
  <si>
    <t>No hay documentos</t>
  </si>
  <si>
    <t>لا يوجد وثائق</t>
  </si>
  <si>
    <t>societies.nationalsocieties</t>
  </si>
  <si>
    <t>Sociétés nationales</t>
  </si>
  <si>
    <t>societies.generatedtext.8</t>
  </si>
  <si>
    <t>female</t>
  </si>
  <si>
    <t>femelle</t>
  </si>
  <si>
    <t>mujeres</t>
  </si>
  <si>
    <t>إناث</t>
  </si>
  <si>
    <t>societies.generatedtext.7</t>
  </si>
  <si>
    <t>were male and</t>
  </si>
  <si>
    <t>ذكور</t>
  </si>
  <si>
    <t>societies.generatedtext.6</t>
  </si>
  <si>
    <t>, of which</t>
  </si>
  <si>
    <t>, dont</t>
  </si>
  <si>
    <t>, de los cuales</t>
  </si>
  <si>
    <t>من بينهم</t>
  </si>
  <si>
    <t>societies.generatedtext.5</t>
  </si>
  <si>
    <t>in</t>
  </si>
  <si>
    <t>dans</t>
  </si>
  <si>
    <t>في</t>
  </si>
  <si>
    <t>societies.generatedtext.4</t>
  </si>
  <si>
    <t>up from</t>
  </si>
  <si>
    <t>à partir</t>
  </si>
  <si>
    <t>desde</t>
  </si>
  <si>
    <t>من</t>
  </si>
  <si>
    <t>societies.generatedtext.3</t>
  </si>
  <si>
    <t>active volunteers</t>
  </si>
  <si>
    <t>bénévoles actifs</t>
  </si>
  <si>
    <t>voluntarios activos</t>
  </si>
  <si>
    <t>متطوعين ناشطين</t>
  </si>
  <si>
    <t>societies.generatedtext.2</t>
  </si>
  <si>
    <t>, it counted</t>
  </si>
  <si>
    <t>, ça comptait</t>
  </si>
  <si>
    <t>, contó</t>
  </si>
  <si>
    <t>وتعدّ</t>
  </si>
  <si>
    <t>societies.generatedtext.1</t>
  </si>
  <si>
    <t>In</t>
  </si>
  <si>
    <t>Dans</t>
  </si>
  <si>
    <t>En</t>
  </si>
  <si>
    <t>societies.generatedtext.0</t>
  </si>
  <si>
    <t>was admitted to the IFRC in</t>
  </si>
  <si>
    <t>a été admis à la FICR en</t>
  </si>
  <si>
    <t>Fue admitido en la FICR en</t>
  </si>
  <si>
    <t>دخلت في الاتحاد الدولي</t>
  </si>
  <si>
    <t>societies.fillertext.1</t>
  </si>
  <si>
    <t>are available below, as well as copies of additional key documents.</t>
  </si>
  <si>
    <t>sont disponibles ci-dessous, ainsi que des copies de documents clés supplémentaires.</t>
  </si>
  <si>
    <t>están disponibles a continuación, así como copias de documentos clave adicionales.</t>
  </si>
  <si>
    <t>متوفرة أدناه فضلاَ عن نسخ من الوثائق الرئيسية.</t>
  </si>
  <si>
    <t>societies.fillertext.0</t>
  </si>
  <si>
    <t>Key proxy indicators reported by the National Society since</t>
  </si>
  <si>
    <t>Les indicateurs clés rapportés par la Société nationale depuis</t>
  </si>
  <si>
    <t>Indicadores claves reportados por la Sociedad Nacional desde</t>
  </si>
  <si>
    <t>المؤشرات الرئيسية المفادة من قبل الجمعية الوطنية منذ</t>
  </si>
  <si>
    <t>societies.documents</t>
  </si>
  <si>
    <t>Documents issued</t>
  </si>
  <si>
    <t>Documents émis</t>
  </si>
  <si>
    <t>Documentos expedidos</t>
  </si>
  <si>
    <t>الوثائق الرئيسية الصادرة</t>
  </si>
  <si>
    <t>societies.callout.2</t>
  </si>
  <si>
    <t>Send your ideas to:</t>
  </si>
  <si>
    <t>Envoyez vos idées à:</t>
  </si>
  <si>
    <t>Envíe sus ideas a:</t>
  </si>
  <si>
    <t xml:space="preserve">أرسل أفكارك إلى </t>
  </si>
  <si>
    <t>societies.callout.1</t>
  </si>
  <si>
    <t>Help us improve data.ifrc.org</t>
  </si>
  <si>
    <t>Aidez-nous à améliorer data.ifrc.org</t>
  </si>
  <si>
    <t>Ayúdenos a mejorar data.ifrc.org</t>
  </si>
  <si>
    <t>ساعدنا على تحسين الموقع</t>
  </si>
  <si>
    <t>societies.callout.0</t>
  </si>
  <si>
    <t>What would you like to see here?</t>
  </si>
  <si>
    <t>Que voulez-vous voir ici?</t>
  </si>
  <si>
    <t>¿Qué le gustaría ver aquí?</t>
  </si>
  <si>
    <t>ماذا تريد أن ترى هنا؟</t>
  </si>
  <si>
    <t>si_chf</t>
  </si>
  <si>
    <t>Service income</t>
  </si>
  <si>
    <t>Recettes issues de la prestation de services</t>
  </si>
  <si>
    <t>Ingresos por servicio</t>
  </si>
  <si>
    <t>إيراد خدمات</t>
  </si>
  <si>
    <t>si</t>
  </si>
  <si>
    <t>sg</t>
  </si>
  <si>
    <t>Secretary General</t>
  </si>
  <si>
    <t>الأمين العام</t>
  </si>
  <si>
    <t>resources.countingpeoplereachedtext</t>
  </si>
  <si>
    <t>This project aims to provide a better understanding of and to promote the professional health services, capacities and resources of all National Societies by mapping all key professional health resources across the IFRC Network.</t>
  </si>
  <si>
    <t>Cette note technique fournit des conseils pour mesurer les personnes atteintes par les services fournis par notre réseau, y compris les services fournis dans le cadre dune opération durgence ou dun programme de développement, ou dans le cadre dun rapport annuel global.</t>
  </si>
  <si>
    <t>Esta nota técnica brinda orientación para medir las personas alcanzadas por los servicios proporcionados por nuestra red, incluidos los servicios brindados en operaciones de emergencia o programación de desarrollo, o como parte de los informes anuales generales.</t>
  </si>
  <si>
    <t>توفر هذه المذكرة الفنية إرشادات لقياس الأشخاص الذين تم الوصول إليهم من خلال الخدمات التي تقدمها شبكتنا ، بما في ذلك الخدمات المقدمة في عمليات الطوارئ أو برامج التطوير ، أو كجزء من التقارير السنوية الشاملة.</t>
  </si>
  <si>
    <t>resources.profhealthflyertext</t>
  </si>
  <si>
    <t>This technical note provides guidance for measuring people reached by services provided by our network, including services provided in an emergency operations or development programming, or as part of overall annual reporting.</t>
  </si>
  <si>
    <t>Ce projet vise à fournir une meilleure compréhension et à promouvoir les services, capacités et ressources de santé professionnels de toutes les Sociétés nationales en cartographiant toutes les principales ressources professionnelles de santé à travers le réseau de la FICR.</t>
  </si>
  <si>
    <t>Este proyecto tiene como objetivo proporcionar una mejor comprensión y promover los servicios, capacidades y recursos de salud profesional de todas las Sociedades Nacionales mediante el mapeo de todos los recursos profesionales de salud clave en la red de la FICR.</t>
  </si>
  <si>
    <t>يهدف هذا المشروع إلى توفير فهم أفضل للخدمات الصحية المهنية والقدرات والموارد لجميع الجمعيات الوطنية وتعزيزها من خلال تحديد جميع الموارد الصحية المهنية الرئيسية عبر شبكة الاتحاد الدولي لجمعيات الصليب الأحمر والهلال الأحمر.</t>
  </si>
  <si>
    <t>resources.everyonecountstext</t>
  </si>
  <si>
    <t>The Federation-wide Databank &amp; Reporting System (FDRS) is a repository of key National Society documents and data on a common set of important indicators, updated each year. Part 1 of this Guide gives information on the key documents that National Societies have to submit. Part 2 provides definitions of the FDRS indicators. Part 3 guides the user through the different sections of the FDRS Questionnaire. Clarifications, examples, and tips are also provided.</t>
  </si>
  <si>
    <t>La Base de données et système de compte rendu à l’échelle de la Fédération (FDRS) recense les documents et les données annuels clés des Sociétés nationales relatifs à un ensemble commun d’indicateurs importants. La première partie de ce guide donne des informations sur les principaux documents que les Sociétés nationales doivent fournir. La deuxième partie contient une définition des indicateurs du FDRS. La troisième partie guide l’utilisateur dans les différentes sections du Questionnaire du FDRS. Le guide fournit également des précisions, des exemples et des conseils.</t>
  </si>
  <si>
    <t>El banco de datos y sistema de información general interno de la Federación Internacional de Sociedades de la Cruz Roja y de la Media Luna Roja (Federación Internacional) es un repositorio general, actualizado anualmente, con documentos y datos fundamentales de las Sociedades Nacionales en relación con varios indicadores comunes.</t>
  </si>
  <si>
    <t>بنك البيانات ونظام الإبلاغ (FDRS) على مستوى الاتحاد هو مستودع للوثائق والبيانات الرئيسية للجمعية الوطنية حول مجموعة مشتركة من المؤشرات المهمة ، يتم تحديثها كل عام. يقدم الجزء الأول من هذا الدليل معلومات عن الوثائق الأساسية التي يتعين على الجمعيات الوطنية تقديمها. يقدم الجزء 2 تعريفات لمؤشرات FDRS. يوجه الجزء 3 المستخدم من خلال الأقسام المختلفة لاستبيان FDRS. كما يتم توفير التوضيحات والأمثلة والنصائح.</t>
  </si>
  <si>
    <t>resources.countingpeoplereached</t>
  </si>
  <si>
    <t>Counting people reached</t>
  </si>
  <si>
    <t>Compter les personnes atteintes</t>
  </si>
  <si>
    <t>Contando personas alcanzadas</t>
  </si>
  <si>
    <t>بلغ عدد الناس</t>
  </si>
  <si>
    <t>resources.profhealthflyerar</t>
  </si>
  <si>
    <t>Professional Health Services Mapping AR</t>
  </si>
  <si>
    <t>رسم خرائط الخدمات الصحية المهنية AR</t>
  </si>
  <si>
    <t>resources.profhealthflyerfr</t>
  </si>
  <si>
    <t>Professional Health Services Mapping FR</t>
  </si>
  <si>
    <t>رسم خرائط الخدمات الصحية المهنية FR</t>
  </si>
  <si>
    <t>resources.profhealthflyeres</t>
  </si>
  <si>
    <t>Professional Health Services Mapping ES</t>
  </si>
  <si>
    <t>رسم خرائط الخدمات الصحية المهنية ES</t>
  </si>
  <si>
    <t>resources.profhealthflyeren</t>
  </si>
  <si>
    <t>Professional Health Services Mapping EN</t>
  </si>
  <si>
    <t>رسم خرائط الخدمات الصحية المهنية EN</t>
  </si>
  <si>
    <t>resources.profhealthflyertitle</t>
  </si>
  <si>
    <t>Professional Health Services Mapping</t>
  </si>
  <si>
    <t>Cartographie des Services Professionels de Santé</t>
  </si>
  <si>
    <t>Mapeo de Servicios Profesionales de Salud</t>
  </si>
  <si>
    <t>تخطيط الخدمات الصحية المهنية</t>
  </si>
  <si>
    <t>resources.userguide</t>
  </si>
  <si>
    <t>Guide dutilisateur</t>
  </si>
  <si>
    <t>Guía del usuario</t>
  </si>
  <si>
    <t>دليل المستخدم</t>
  </si>
  <si>
    <t>resources.userguidear</t>
  </si>
  <si>
    <t>ARABIC</t>
  </si>
  <si>
    <t>عربى</t>
  </si>
  <si>
    <t>resources.userguidefr</t>
  </si>
  <si>
    <t>FRENCH</t>
  </si>
  <si>
    <t>resources.userguidees</t>
  </si>
  <si>
    <t>SPANISH</t>
  </si>
  <si>
    <t>الأسبانية</t>
  </si>
  <si>
    <t>resources.userguideen</t>
  </si>
  <si>
    <t>ENGLISH</t>
  </si>
  <si>
    <t>إنجليزي</t>
  </si>
  <si>
    <t>resources.title</t>
  </si>
  <si>
    <t>Resources</t>
  </si>
  <si>
    <t xml:space="preserve">Ressources </t>
  </si>
  <si>
    <t>موارد</t>
  </si>
  <si>
    <t>resources.readourfaqs</t>
  </si>
  <si>
    <t>Read our FAQs</t>
  </si>
  <si>
    <t>اقرأ الأسئلة الشائعة</t>
  </si>
  <si>
    <t>resources.qualityofdata.title</t>
  </si>
  <si>
    <t>Quality of data</t>
  </si>
  <si>
    <t>Qualité des données</t>
  </si>
  <si>
    <t>resources.qualityofdata.subtitle</t>
  </si>
  <si>
    <t>resources.fdrsvideos.title</t>
  </si>
  <si>
    <t>Vidéos FDRS</t>
  </si>
  <si>
    <t>resources.fdrsvideos.subtitle</t>
  </si>
  <si>
    <t>The following selection will walk you through the FDRS.</t>
  </si>
  <si>
    <t>La sélection suivante vous guidera à travers le FDRS.</t>
  </si>
  <si>
    <t>La siguiente selección lo guiará a través del FDRS.</t>
  </si>
  <si>
    <t>resources.fdrsdocuments.title</t>
  </si>
  <si>
    <t>Guidance Documents</t>
  </si>
  <si>
    <t>resources.fdrsdocuments.subtitle</t>
  </si>
  <si>
    <t>These documents are open source and you are free to read and/or download each in your preferred language.</t>
  </si>
  <si>
    <t>Ces documents sont open source et peuvent être utilisés selon.</t>
  </si>
  <si>
    <t>Estos documentos son de código abierto y se pueden utilizar según corresponda.</t>
  </si>
  <si>
    <t>These documents are open source and may be used as per.</t>
  </si>
  <si>
    <t>resources.dataplaybook.subtitle</t>
  </si>
  <si>
    <t>New! We have published the data playbook: 120 exercises, games, scenarios, slides and checklists to assist you and your teams on your data journey.</t>
  </si>
  <si>
    <t>Nouveau! Nous avons publié le data playbook : 120 exercices, jeux, scénarios, slides et checklists pour vous accompagner, vous et vos équipes, dans votre parcours data.</t>
  </si>
  <si>
    <t>¡Nuevo! Hemos publicado el libro de tácticas de datos: 120 ejercicios, juegos, escenarios, diapositivas y listas de verificación para asistir a usted y a sus equipos en su trayectoria con datos.</t>
  </si>
  <si>
    <t>جديد! لقد قمنا بنشر دليل البيانات: 120 تمرينًا ولعبة وسيناريوهات وعروض تقديمية وقوائم مراجعة لمساعدتك وفرقك في رحلة البيانات الخاصة بك.</t>
  </si>
  <si>
    <t>resources.dataplaybook.title</t>
  </si>
  <si>
    <t>Data playbook</t>
  </si>
  <si>
    <t>resources.datadownload.apitext1</t>
  </si>
  <si>
    <t>In addition to the ability to download our annual data using one of the buttons on top, we also offer you the opportunity to directly connect with our data through an API. Upon publishing our data, the API will be automatically updated and displaying the latest version of our dataset. Please contact out team for more information by sending an email to</t>
  </si>
  <si>
    <t>En plus de la possibilité de télécharger nos données annuelles en utilisant lun des boutons en haut, nous vous offrons également la possibilité de vous connecter directement à nos données via une API. Lors de la publication de nos données, lAPI sera automatiquement mise à jour et affichera la dernière version de notre jeu de données. Veuillez contacter notre équipe pour plus dinformations en envoyant un e-mail à</t>
  </si>
  <si>
    <t>Además de la posibilidad de descargar nuestros datos anuales usando uno de los botones en la parte superior, también le ofrecemos la oportunidad de conectarse directamente con nuestros datos a través de una Interfaz de Programación de Aplicaciones (API en inglés). Al publicar nuestros datos, la API se actualizará automáticamente y mostrará la última versión de nuestro conjunto de datos. Póngase en contacto con nuestro equipo para obtener más información enviando un correo electrónico a fdrs@ifrc.org</t>
  </si>
  <si>
    <t xml:space="preserve"> بالإضافة إلى القدرة على تنزيل بياناتنا السنوية باستخدام أحد الأزرار الموجودة في الأعلى ، نوفر لك أيضًا فرصة الاتصال مباشرة ببياناتنا من خلال واجهة برمجة التطبيقات API. عند نشر بياناتنا ، سيتم تحديث واجهة برمجة التطبيقات تلقائيًا وعرض أحدث إصدار من مجموعة البيانات الخاصة بنا. يرجى الاتصال بالفريق للحصول على مزيد من المعلومات عن طريق إرسال بريد إلكتروني إلى fdrs@ifrc.org</t>
  </si>
  <si>
    <t>resources.datadownload.apitext0</t>
  </si>
  <si>
    <t>New!</t>
  </si>
  <si>
    <t>Nouveau!</t>
  </si>
  <si>
    <t>¡Nuevo!</t>
  </si>
  <si>
    <t>جديد!</t>
  </si>
  <si>
    <t>resources.datadownload.title</t>
  </si>
  <si>
    <t>Data Download And API</t>
  </si>
  <si>
    <t>Téléchargement des données et Api</t>
  </si>
  <si>
    <t>Descarga de datos y Api</t>
  </si>
  <si>
    <t>Data Download and Api</t>
  </si>
  <si>
    <t>resources.datadownload.subtitle</t>
  </si>
  <si>
    <t>You can download the datasets used for various visualizations on FDRS. All the data is open source and available for your use.</t>
  </si>
  <si>
    <t>Vous pouvez télécharger les ensembles de données utilisés pour les différentes visualisations sur FDRS. Toutes les données sont open source et disponibles pour votre utilisation.</t>
  </si>
  <si>
    <t>Puede descargar los conjuntos de datos utilizados para varias visualizaciones en FDRS. Todos los datos son de código abierto y están disponibles para su uso.</t>
  </si>
  <si>
    <t>resources.datadownload.downloadfile.excel</t>
  </si>
  <si>
    <t>Download Excel File</t>
  </si>
  <si>
    <t>Télécharger le fichier Excel</t>
  </si>
  <si>
    <t>Descargar archivo de Excel</t>
  </si>
  <si>
    <t>resources.datadownload.downloadfile.csv</t>
  </si>
  <si>
    <t>Download CSV File</t>
  </si>
  <si>
    <t>Télécharger le fichier CSV</t>
  </si>
  <si>
    <t>Descargar archivo CSV</t>
  </si>
  <si>
    <t>resources.countingpeoplereachedguideen</t>
  </si>
  <si>
    <t>Counting People Reached Guide (EN)</t>
  </si>
  <si>
    <t>Guide de comptage des personnes couvertes (EN)</t>
  </si>
  <si>
    <t>Guía de Conteo de personas alcanzadas (EN)</t>
  </si>
  <si>
    <t>reportstrategic3.title</t>
  </si>
  <si>
    <t>Strategic aim 3</t>
  </si>
  <si>
    <t>Objectif stratégique 3</t>
  </si>
  <si>
    <t>Objetivo estratégico 3</t>
  </si>
  <si>
    <t>الهدف الاستراتيجي الثالث</t>
  </si>
  <si>
    <t>reportstrategic3.subtitle</t>
  </si>
  <si>
    <t>Social inclusion and a culture of non-violence and peace</t>
  </si>
  <si>
    <t>Promouvoir l’intégration sociale et une culture de non-violence et de paix</t>
  </si>
  <si>
    <t>Promover la inclusión social y una cultura de no violencia y paz</t>
  </si>
  <si>
    <t>تشجيع الاندماج الاجتماعي وثقافة السلام ونبذ العنف</t>
  </si>
  <si>
    <t>reportstrategic3.slug</t>
  </si>
  <si>
    <t>strategic-aim-3</t>
  </si>
  <si>
    <t>reportstrategic3.sections.4.title</t>
  </si>
  <si>
    <t>Migration</t>
  </si>
  <si>
    <t>La migration</t>
  </si>
  <si>
    <t>Migración</t>
  </si>
  <si>
    <t>الهجرة</t>
  </si>
  <si>
    <t>reportstrategic3.sections.4.blocks.7</t>
  </si>
  <si>
    <t>Red Cross and Red Crescent work with migrants involves humanitarian help and also more individual social assistance, legal protection, and personal support. National Societies are active on migration issues across all regions.</t>
  </si>
  <si>
    <t>Le travail de la Croix-Rouge et du Croissant-Rouge en faveur des migrants consiste à apporter une aide humanitaire et, au niveau individuel, à fournir une assistance sociale, une protection juridique et un soutien personnel. Les Sociétés nationales mènent des activités liées à la migration dans toutes les régions du monde.</t>
  </si>
  <si>
    <t>La labor de las organizaciones de la Cruz Roja y de la Media Luna Roja junto a los migrantes abarca la ayuda humanitaria, así como otro tipo de asistencia social individual, protección jurídica y apoyo personal. Las Sociedades Nacionales se ocupan de asuntos relativos a la migración en todas las regiones.</t>
  </si>
  <si>
    <t>ويرمي عمل الصليب الأحمر والهلال الأحمر مع المهاجرين إلى توفيرالمساعدة الإنسانية، بل و أيضاً المزيد من المساعدة الاجتماعية الفردية، والحماية القانونية والدعم الشخصي. وتعمل الجمعيات الوطنية بفعالية بشأن قضايا الهجرة في جميع المناطق.</t>
  </si>
  <si>
    <t>reportstrategic3.sections.4.blocks.6.type</t>
  </si>
  <si>
    <t>reportstrategic3.sections.4.blocks.6.title</t>
  </si>
  <si>
    <t>“Humanising” migrants: a matter of principle</t>
  </si>
  <si>
    <t>«Humaniser» les migrants: une question de principes</t>
  </si>
  <si>
    <t>“Humanización” de los migrantes: una cuestión de principios</t>
  </si>
  <si>
    <t xml:space="preserve"> «أنسنة » المهاجرين: مسألة مبدأ</t>
  </si>
  <si>
    <t>reportstrategic3.sections.4.blocks.6.items.9</t>
  </si>
  <si>
    <t>Alleviate migratory pressures on communities of origin</t>
  </si>
  <si>
    <t>Atténuer les pressions à l’émigration dans les pays d’origine</t>
  </si>
  <si>
    <t>Aliviar las presiones que determinan la migración en las comunidades de origen.</t>
  </si>
  <si>
    <t>تخفيف ضغوط الهجرة على مجتمعات المنشأ</t>
  </si>
  <si>
    <t>reportstrategic3.sections.4.blocks.6.items.8</t>
  </si>
  <si>
    <t>Respond to the displacement of populations</t>
  </si>
  <si>
    <t>Agir face aux déplacements de population</t>
  </si>
  <si>
    <t>Intervenir ante los desplazamientos de población.</t>
  </si>
  <si>
    <t>مواجهة نزوح السكّان</t>
  </si>
  <si>
    <t>reportstrategic3.sections.4.blocks.6.items.7</t>
  </si>
  <si>
    <t>Assist migrants in return</t>
  </si>
  <si>
    <t>Apporter une aide au retour</t>
  </si>
  <si>
    <t>Ayudar a los migrantes que regresan a sus países.</t>
  </si>
  <si>
    <t>مساعدة المهاجرين عند العودة</t>
  </si>
  <si>
    <t>reportstrategic3.sections.4.blocks.6.items.6</t>
  </si>
  <si>
    <t>Work along the migratory trails</t>
  </si>
  <si>
    <t>Agir tout au long des routes migratoires</t>
  </si>
  <si>
    <t>Trabajar a lo largo de las rutas de migración.</t>
  </si>
  <si>
    <t>العمل على طول مسارات الهجرة</t>
  </si>
  <si>
    <t>reportstrategic3.sections.4.blocks.6.items.5</t>
  </si>
  <si>
    <t>Build partnerships for migrants</t>
  </si>
  <si>
    <t>Établir des partenariats pour les migrants</t>
  </si>
  <si>
    <t>Establecer asociaciones a favor de los migrantes.</t>
  </si>
  <si>
    <t>إقامة شراكات من أجل المهاجرين</t>
  </si>
  <si>
    <t>reportstrategic3.sections.4.blocks.6.items.4</t>
  </si>
  <si>
    <t>Link assistance, protection, and humanitarian advocacy for migrants</t>
  </si>
  <si>
    <t>Lier l’assistance, la protection et le plaidoyer humanitaire en faveur des migrants</t>
  </si>
  <si>
    <t>Vincular la asistencia, la protección de los migrantes y la intercesión humanitaria en su favor.</t>
  </si>
  <si>
    <t>ربط المساعدة بالحماية والمناصرة الإنسانية لفائدة المهاجرين</t>
  </si>
  <si>
    <t>reportstrategic3.sections.4.blocks.6.items.3</t>
  </si>
  <si>
    <t>Recognise the rights of migrants</t>
  </si>
  <si>
    <t>Reconnaître les droits des migrants</t>
  </si>
  <si>
    <t>Reconocer los derechos de los migrantes.</t>
  </si>
  <si>
    <t>الاعتراف بحقوق المهاجرين</t>
  </si>
  <si>
    <t>reportstrategic3.sections.4.blocks.6.items.2</t>
  </si>
  <si>
    <t>Support the aspirations of migrants</t>
  </si>
  <si>
    <t>Soutenir les aspirations des migrants</t>
  </si>
  <si>
    <t>Ayudar a los migrantes a realizar sus aspiraciones.</t>
  </si>
  <si>
    <t>دعم تطلّعات المهاجرين</t>
  </si>
  <si>
    <t>reportstrategic3.sections.4.blocks.6.items.1</t>
  </si>
  <si>
    <t>Include migrants in humanitarian programming</t>
  </si>
  <si>
    <t>Inclure les migrants parmi les bénéficiaires des pro-grammes humanitaires</t>
  </si>
  <si>
    <t>Incluir a los migrantes en los programas humanitarios.</t>
  </si>
  <si>
    <t>إشراك المهاجرين في البرنامج الإنسانة</t>
  </si>
  <si>
    <t>reportstrategic3.sections.4.blocks.6.items.0</t>
  </si>
  <si>
    <t>Focus on the needs and vulnerabilities of migrants</t>
  </si>
  <si>
    <t>Se concentrer sur les besoins et la vulnérabilité des migrants</t>
  </si>
  <si>
    <t>Centrarse en las necesidades y la vulnerabilidad de los migrantes.</t>
  </si>
  <si>
    <t>التركيزعلى احتياجات المهاجرين ومواطن ضعفهم</t>
  </si>
  <si>
    <t>reportstrategic3.sections.4.blocks.6.caption</t>
  </si>
  <si>
    <t>General principles for Red Cross and Red Crescent action:</t>
  </si>
  <si>
    <t>Principes d’action généraux de la Croix-Rouge et du Croissant-Rouge :</t>
  </si>
  <si>
    <t>Principios generales que sustentan la acción de las organizaciones de la Cruz Roja y de la Media Luna Roja</t>
  </si>
  <si>
    <t>المبادئ العامة لعمل جمعيّات الصليب الأحمر والهلال الأحمر:</t>
  </si>
  <si>
    <t>reportstrategic3.sections.4.blocks.5</t>
  </si>
  <si>
    <t>We also urge governments throughout the world to respect migrants’ rights. One hundred and sixty-four governments out of 194 adopted a resolution on migration ensuring access, dignity, respect for diversity, and social inclusion, at the 31st International Conference of the Red Cross and Red Crescent in 2011.</t>
  </si>
  <si>
    <t>Nous exhortons les gouvernements du monde entier à respecter les droits des migrants. À la XXXIe Conférence internationale de la Croix-Rouge et du Croissant-Rouge, en 2011, 164 gouvernements sur 194 ont adopté une résolution sur la migration intitulée « garantir l’accès, la dignité, le respect de la diversité et l’intégration sociale ».</t>
  </si>
  <si>
    <t>Exhortamos a los gobiernos de todo el mundo a que respeten los derechos de los migrantes. Ciento sesenta y cuatro (164) de los ciento noventa y cuatro (194) Estados participantes en la XXXI Conferencia Internacional de la Cruz Roja y de la Media Luna Roja (2011) aprobaron una resolución sobre migración en la que se garantiza el acceso, el respeto de la dignidad y de la diversidad, así como la inclusión social.</t>
  </si>
  <si>
    <t>كما نحث الحكومات في جميع أنحاء العالم على احترام حقوق المهاجرين. وقد اعتمدت 164 حكومة من أصل 194 في المؤتمرالدولي الحادي والثلاثين للصليب الأحمر والهلال الأحمر في عام 2011 قراراً بشأن الهجرة لضمان الوصول إلي المهاجرين وصون كرامتهم واحترام تنوعهم، واحتوائهم اجتماعياً.</t>
  </si>
  <si>
    <t>reportstrategic3.sections.4.blocks.4</t>
  </si>
  <si>
    <t>Where migratory pressures are due to social or economic distress linked to environmental degradation, disasters and conflicts, the Red Cross and Red Crescent seeks to build resilience to alleviate pressures that induce people to migrate against their will and desire.</t>
  </si>
  <si>
    <t>Lorsque les pressions migratoires sont dues à des difficultés sociales ou économiques liées à une dégradation de l’environnement, à la survenue d’une catastrophe ou à l’éclatement d’un conflit, la Croix-Rouge et le CroissantRouge s’efforcent de renforcer la résilience des populations afin d’atténuer les facteurs qui poussent les individus à émigrer malgré leur volonté ou leur souhait de rester.</t>
  </si>
  <si>
    <t>En los países donde las presiones migratorias se originan en situaciones sociales y económicas adversas debido a la degradación del medio ambiente, las repercusiones de desastres o de conflictos, las organizaciones de la Cruz Roja y de la Media Luna Roja se esfuerzan por consolidar la capacidad de resistencia y recuperación para aligerar las presiones que inducen a las personas a que migren contra su deseo y voluntad.</t>
  </si>
  <si>
    <t>وحيث تعزى ضغوط الهجرة إلى الأوضاع الاجتماعية أو الاقتصادية الصعبة المرتبطة بالتدهور البيئي والكوارث والنزاعات، يسعى الصليب الأحمر والهلال الأحمر إلى تعزيز القدرة على الصمود للتخفيف من حدة الضغوط التي تجبر الناس على الهجرة ضد إرادتهم ورغبتهم.</t>
  </si>
  <si>
    <t>reportstrategic3.sections.4.blocks.3</t>
  </si>
  <si>
    <t>The Red Cross and Red Crescent is neither for nor against migration, but is committed to addressing the needs of vulnerable migrants regardless of their legal or administrative status. This means defending the principle of humanitarian access, ‘humanising’ migrants rather than excluding or stigmatising them, and helping them to find durable solutions for themselves in cooperation with originating and receiving communities. Migrants make many positive social, economic, cultural, and demographic contributions to their host countries. They also contribute substantially to their countries of origin, for example, through remittances that, in aggregate, far exceed the value of global development aid.</t>
  </si>
  <si>
    <t>Le Mouvement international de la Croix-Rouge et du Croissant-Rouge n’est ni pour ni contre la migration, mais il s’est donné pour mission de répondre aux besoins des migrants vulnérables, indépendamment de leur statut juridique ou administratif. Il s’agit de défendre le principe de l’accès humanitaire, d’« humaniser» les migrants plutôt que de les exclure ou de les stigmatiser, et de les aider à trouver des solutions durables à leur situation, en coopération avec les communautés d’origine et d’accueil. Les migrants contribuent de manière positive à la vie sociale, économique et culturelle, ainsi qu’à la démographie de leur pays d’accueil. Ils apportent également une importante contribution à leur pays d’origine, notamment par le biais d’envois de fonds, dont la somme totale dépasse de loin celle de l’aide mondiale au développement.</t>
  </si>
  <si>
    <t>Las organizaciones de la Cruz Roja y de la Media Luna Roja no están ni a favor ni en contra de la migración; no obstante, están determinadas en la atención de las necesidades de los migrantes vulnerables, independientemente de la condición jurídica o administrativa de estos. Ello supone la defensa del principio de acceso humanitario así como del “rostro humano” de los migrantes, en lugar de que sean objeto de exclusión o estigmatización, y la asistencia a los migrantes para que puedan encontrar soluciones duraderas a su situación en cooperación con las comunidades de origen y de acogida. Los migrantes aportan muchas contribuciones positivas de índole social, económica, cultural y demográfica en los países de acogida. Su contribución es igualmente significativa en los países de origen, por ejemplo, a través de las remesas cuyo valor agregado supera aquel de la asistencia mundial para el desarrollo.</t>
  </si>
  <si>
    <t>وليس الصليب الأحمر والهلال الأحمر مؤيدًا للهجرة ولا مناهضًا لها لكنه ملتزم بتلبية احتياجات المهاجرين الضعفاء بغض النظر عن مركزهم القانوني أو الإداري. وهذا يعني الدفاع عن مبدأ وصول منظمات المساعدة الإنسانية إلى المهاجرين، و « إضفاء الصفة الإنسانية » على المهاجرين، بدلاً من إقصائهم أو وصمهم، ومساعدتهم على العثورعلى حلول مستدامة لأنفسهم في التعاون مع المجتمعات الأصلية، والمجتمعات التي تستقبلهم. ويقدم المهاجرون العديد من الإسهامات الاجتماعية والاقتصادية والثقافية والديموغرافية الإيجابية لبلدانهم المضيفة. كما أنهم يسهمون بشكل رئيسي في بلدانهم الأصلية، من خلال مثلاً تحويلاتهم المالية التي تتجاوز بكثير قيمة المساعدات العالمية الإنمائية إجمالاً.</t>
  </si>
  <si>
    <t>reportstrategic3.sections.4.blocks.2</t>
  </si>
  <si>
    <t>As part of the migration process, they may be detained and deprived of their freedom. There are other challenges such as cultural and language barriers, discrimination and exclusion, or even violence to be overcome. Women, children, and unaccompanied minors among migrant populations are particularly at risk.</t>
  </si>
  <si>
    <t>Au cours du processus de migration, ils peuvent être détenus et privés de liberté. Ils peuvent également se heurter à d’autres obstacles, tels que les barrières culturelles et linguistiques, la discrimination et l’exclusion, voire la violence. Parmi la population migrante, les femmes, les enfants et les mineurs non accompagnés courent les plus grands risques.</t>
  </si>
  <si>
    <t>En el proceso de migración, podrían ser detenidos o verse privados de libertad. Deben, además, superar otras dificultades tales como las barreras culturales y el desconocimiento de idiomas, la discriminación, la exclusión e incluso la violencia. Las mujeres, los niños y los menores no acompañados corren particular riesgo.</t>
  </si>
  <si>
    <t>وقد يتعرضون في إطارعملية الهجرة للاحتجاز ويحرمون من حريتهم. وهناك تحديات أخرى مثل العوائق الثقافية واللغوية، والتمييز والإقصاء، أو حتى العنف، وهي عوائق يجب التغلب عليها. والفئات المعرضة بوجه خاص للخطر بين المهاجرين هي النساء والأطفال والقُصرغيرالمصحوبين.</t>
  </si>
  <si>
    <t>reportstrategic3.sections.4.blocks.1</t>
  </si>
  <si>
    <t>Many migrants succeed in establishing themselves in their new communities, but others face difficulties and it is these people who are of primary concern to us. With their traditional support systems removed, migrants are often unable to access basic health and welfare services. They may lose links with their families and communities, and be subject to people smuggling and trafficking, or be exploited in informal labour arrangements.</t>
  </si>
  <si>
    <t>De nombreux migrants réussissent à s’établir dans leur nouvelle communauté, mais d’autres se heurtent à des difficultés et ce sont ces personnes qui constituent pour nous une priorité. Loin de leurs systèmes de soutien habituels, les migrants n’ont souvent pas accès aux services essentiels de santé et de protection sociale. Ils peuvent perdre le contact avec leur famille et leur communauté, être victimes de la traite d’êtres humains ou être exploités dans le cadre d’accords de travail informels.</t>
  </si>
  <si>
    <t>Si bien muchos migrantes se establecen con éxito en nuevas comunidades, otros enfrentan dificultades y son, ellos, el centro de nuestra preocupación. Sin poder contar con sistemas tradicionales de apoyo, los migrantes no logran a menudo acceder a los servicios de atención de salud primaria ni de bienestar. Podrían perder contacto con sus familias y comunidades, caer presas del contrabando o la trata de personas, o ser objeto de explotación bajo arreglos de trabajo informal.</t>
  </si>
  <si>
    <t>وينجح العديد من المهاجرين في بناء أنفسهم في مجتمعاتهم الجديدة، لكن آخرين يواجهون مصاعب وهؤلاء الأشخاص هم شاغلنا الرئيسي. ونظراً لاختفاء أنظمة الدعم التقليدية للمهاجرين، لا يتمكن هؤلاء في كثير من الأحيان من الحصول على الخدمات الصحية وخدمات الرعاية الاجتماعية الأساسية. وقد يفقدون الاتصال بأسرهم ومجتمعاتهم، ويتعرضون للتهريب والاتجار أو للاستغلال في إطار ترتيبات عمل غير رسمية.</t>
  </si>
  <si>
    <t>reportstrategic3.sections.4.blocks.0</t>
  </si>
  <si>
    <t>Migration has occurred throughout history and migrants make up three per cent of the global population. This means that approximately every 1 in 35 people in the world is a migrant. Migrants are people who leave or flee their home to go to a new place – usually abroad – to seek better and safer surroundings. Migration can be voluntary or forced, but generally a combination of choices and constraints are involved.</t>
  </si>
  <si>
    <t>La migration n’est pas un phénomène nouveau et les migrants représentent 3 % de la population mondiale. Cela signifie qu’environ une personne sur 35 dans le monde est un migrant. Les migrants sont des individus qui quittent ou qui fuient leur domicile pour se rendre ailleurs (souvent à l’étranger), à la recherche d’un environnement meilleur et plus sûr. La migration peut être volontaire ou forcée, mais elle résulte généralement d’une combinaison de choix et de contraintes.</t>
  </si>
  <si>
    <t>La migración ha sido un fenómeno constante a lo largo de la historia y los migrantes representan el tres por ciento (3%) de la población mundial. Ello significa que, aproximadamente, uno de cada treinta y cinco habitantes del planeta es un migrante. Los migrantes son personas que abandonan sus hogares o se ven obligados a huir de ellos en busca de lugares –generalmente en el extranjero– en donde gocen de mejores condiciones de vida y mayor seguridad. La migración puede ser voluntaria o forzosa aunque usualmente se trata de una combinación de elecciones y factores limitantes.</t>
  </si>
  <si>
    <t>الهجرة ظاهرة حدثت على مر التاريخ، ويشكل المهاجرون ثلاثة في المائة من سكان العالم. وهذا يعني أن شخصًا واحدا من كل 35 شخصًا في العالم هو مهاجر. والمهاجرون هم أشخاص يتركون أوطانهم أويفرون منها للتوجه إلى مكان جديد - عادة في الخارج - سعياً إلى العيش فيظروف أفضل و أكثر أمانًا. ويمكن أن تحدث الهجرة طوعاً أو قسراً، لكنها عادة ما تنشأ عن مجموعة م الخيارات والقيود.</t>
  </si>
  <si>
    <t>reportstrategic3.sections.3.title</t>
  </si>
  <si>
    <t>Adding life to years</t>
  </si>
  <si>
    <t>Donner de la vie aux années</t>
  </si>
  <si>
    <t>Años llenos de vida: la contribución de los adultos mayores</t>
  </si>
  <si>
    <t>إضافة حياة لسنوات العمر</t>
  </si>
  <si>
    <t>reportstrategic3.sections.3.blocks.3</t>
  </si>
  <si>
    <t>The Red Cross and Red Crescent engagement with older people takes place in many diverse circumstances. To get a fuller picture, the Federation-wide Databank and Reporting System will introduce an age marker in future data collection as part of the strengthening of age and gender disaggregated reporting.</t>
  </si>
  <si>
    <t>L’engagement de la Croix-Rouge et du Croissant-Rouge à l’égard des personnes âgées revêt de nombreuses formes. Afin de dresser un tableau plus complet des activités et dans le cadre des efforts visant à encourager la communication de données ventilées par âge et par sexe, il est prévu d’introduire un indicateur relatif à l’âge dans la Base de données et le système de compte rendu à l’échelle de la Fédération.</t>
  </si>
  <si>
    <t>Las organizaciones de la Cruz Roja y de la Media Luna Roja ejecutan actividades en favor de los adultos mayores y colaboran con ellos de diversa manera. Para trazar un panorama más completo a este respecto, en futuras recopilaciones de información se incorporará un indicador de edad para favorecer el desglose de datos por edad y sexo.</t>
  </si>
  <si>
    <t>ويتفاعل الصليب الأحمر والهلال الأحمر مع المسنين في العديد من الظروف المختلفة. ومن أجل الحصول على صورة أكمل، سيدرج نظام الإفادة على مستوى الاتحاد الدولي علامة للسن في جمع البيانات في المستقبل كجزء من تعزيز الإبلاغ المصنف حسب السن والنوع الاجتماعي.</t>
  </si>
  <si>
    <t>reportstrategic3.sections.3.blocks.2</t>
  </si>
  <si>
    <t>Activities include schemes to help older people keep as fit and healthy as possible, and to prevent and tackle abuse. Advocating for transport, housing, and care services that are better tailored to their needs is matched by practical support from volunteers to help access them. A particular challenge exists in emergency situations where they have special needs that are often neglected.</t>
  </si>
  <si>
    <t>Les activités comprennent des programmes visant à aider les personnes âgées à rester aussi en forme et en bonne santé que possible, ainsi qu’à prévenir et à lutter contre la maltraitance. Les efforts de sensibilisation à la nécessité de mettre en place des services de transport, de logement et de soins mieux adaptés aux besoins des personnes âgées sont complétés par un soutien pratique des volontaires visant à aider ces personnes à accéder à ces services. Les situations d’urgence constituent un défi particulier, car les besoins spéciaux qu’elles génèrent chez les personnes âgées sont souvent négligés.</t>
  </si>
  <si>
    <t>Entre otras actividades figuran iniciativas para que los adultos mayores se mantengan saludables y en buen estado físico, así como para prevenir el maltrato y zanjarlo. Se aboga en favor de servicios de transporte, alojamiento y cuidado que correspondan mejor a las necesidades de los adultos mayores, aunado al apoyo práctico de voluntarios para que puedan acceder a esos servicios. Plantea particular dificultad la situación de los adultos mayores en casos de emergencia, en los cuales sus necesidades especiales suelen ser pasadas por alto.</t>
  </si>
  <si>
    <t>وتتضمن الأنشطة إعداد خطط لمساعدة المسنين على المحافظة على لياقتهم البدنية وصحتهم قدر الإمكان، ومنع إساءة معاملتهم والتصدي لذلك. وتقترن الدعوة إلى توفير مواصلات ومساكن وخدمات رعاية أنسب لاحتياجاتهم بتقديم المتطوعين للدعم العملي اللازم للمساعدة على الوصول إليهم. وتشكل حالات الطوارئ في هذا الصدد تحدياً خاصاً حيث تكون للمسنين احتياجات خاصة كثيراً ما يتم إغفالها.</t>
  </si>
  <si>
    <t>reportstrategic3.sections.3.blocks.1</t>
  </si>
  <si>
    <t>The Red Cross and Red Crescent seeks to build a positive image of ageing that recognises older people as an important resource for society thanks to their acquired knowledge and skills that are of huge benefit to younger generations. This means advocating for a socially inclusive enabling environment in favour of older people, and strengthening their capacities to be autonomous.</t>
  </si>
  <si>
    <t>Le réseau de la Croix-Rouge et du Croissant-Rouge s’attache à promouvoir une image positive du vieillissement, qui reconnaît que les personnes âgées sont une ressource importante pour la société et que leurs connaissances et leurs compétences sont extrêmement utiles pour les générations plus jeunes. Il s’agit donc de promouvoir les environnements propices à l’intégration sociale des personnes âgées et de renforcer les capacités de ces personnes de vivre de manière autonome.</t>
  </si>
  <si>
    <t>Las organizaciones de la Cruz Roja y de la Media Luna Roja desean consolidar una imagen positiva del envejecimiento en la cual se reconozca la importancia de los adultos mayores en la sociedad, en virtud de los conocimientos y destrezas que poseen y que pueden ser de gran beneficio para las generaciones más jóvenes. Ello supone la promoción de entornos sociales inclusivos que propicien la participación de las personas de edad y fortalezcan su autonomía.</t>
  </si>
  <si>
    <t>ويسعى الصليب الأحمر والهلال الأحمر إلى تكوين صورة إيجابية للشيخوخة تقر بأن المسنين يشكلون مورداً مهماً للمجتمع بفضل معارفهم ومهاراتهم المكتسبة التي تعود بالفائدة الكبيرة على الأجيال الأصغرسناً. وهذا يعني الدعوة إلي تهيئة ظروف مؤاتية تحتوي المسنين اجتماعياً وتعزز قدراتهم لكي يكونوا مستقلين.</t>
  </si>
  <si>
    <t>reportstrategic3.sections.3.blocks.0</t>
  </si>
  <si>
    <t>The world is ageing as people live longer. As per current trends, the number of people aged over 60 will more than treble to 2 billion by 2050, with 80 per cent of them living in low and middle-income countries. This is already having profound social and economic consequences.</t>
  </si>
  <si>
    <t>La population mondiale vieillit, car les individus vivent plus longtemps. Au vu des tendances actuelles, le nombre des plus de 60 ans devrait plus que tripler d’ici à 2050 pour atteindre deux milliards, dont 80% vivront dans des pays à revenu faible ou moyen. Cette évolution a déjà d’importantes conséquences sociales et économiques.</t>
  </si>
  <si>
    <t>El mundo envejece a medida que se prolonga la expectativa de vida. Conforme a las tendencias actuales, la cantidad de personas de sesenta años y edades superiores habrá triplicado con creces hasta 2050, situándose en cerca de dos mil millones de seres humanos que, en un ochenta por ciento (80%), vivirán en países de ingresos medios y bajos. Se observa ya las profundas consecuencias sociales y económicas de esta curva demográfica.</t>
  </si>
  <si>
    <t>إن العالم يشيخ لأن البشر أصبحوا يعيشون لفترة  أطول. واستناداً إلى الاتجاهات الراهنة، سيزيد عدد الأشخاص الذين تتجاوز أعمارهم الستين أكثر من ثلاثة أضعاف ليصل إلى ملياري شخص بحلول عام 2050 ، وسيعيش 80 في المائة منهم في البلدان ذات الدخل المنخفض وذات الدخل المتوسط. وسيترتب على ذلك بالفعل آثار اجتماعية واقتصادية مهمة.</t>
  </si>
  <si>
    <t>reportstrategic3.sections.2.title</t>
  </si>
  <si>
    <t>Agents of behavioural change</t>
  </si>
  <si>
    <t>Les agents du changement de comportement</t>
  </si>
  <si>
    <t>Agentes del cambio de comportamiento</t>
  </si>
  <si>
    <t>وسطاء تغيير السلوك</t>
  </si>
  <si>
    <t>reportstrategic3.sections.2.blocks.4.type</t>
  </si>
  <si>
    <t>case-study-simple</t>
  </si>
  <si>
    <t>reportstrategic3.sections.2.blocks.4.title</t>
  </si>
  <si>
    <t>I changed a lot in a very short period of time</t>
  </si>
  <si>
    <t>J’ai beaucoup changé en très peu de temps</t>
  </si>
  <si>
    <t>Cambié muchísimo en muy poco tiempo</t>
  </si>
  <si>
    <t>تغيّرتُ كثيرًا في فترة قصيرة جدًا</t>
  </si>
  <si>
    <t>reportstrategic3.sections.2.blocks.4.content.2</t>
  </si>
  <si>
    <t>A five-year impact study concluded: “The YABC initiative leverages the Red Cross and Red Crescent Fundamental Principles and humanitarian values to deliver sustained transformations of attitude and behaviour, cross-culturally and on a global scale, in an extremely short period and sustained over a long time. This makes it an outstanding model of best practice in peer education internationally and a worthy benchmark for behaviour change interventions inside and outside the International Red Cross and Red Crescent Movement.”</t>
  </si>
  <si>
    <t>Une étude quinquennale d’impact a conclu que «l’initiative YABC s’appuie sur les Principes fondamentaux et les valeurs humanitaires de la Croix-Rouge et du Croissant-Rouge afin de favoriser, dans un délai très court et sur une période de temps très longue, un changement durable d’attitude et de comportement entre les cultures et dans le monde, ce qui en fait un modèle exceptionnel de bonne pratique en matière d’éducation par les pairs à l’échelle internationale et une référence utile pour les interventions liées au changement de comportement à l’intérieur et à l’extérieur du Mouvement international de la Croix-Rouge et du Croissant-Rouge ».</t>
  </si>
  <si>
    <t>En un estudio sobre los efectos a cinco años se concluye que “la iniciativa sobre los jóvenes como agentes del cambio de comportamiento se sustenta en los principios fundamentales y los valores humanitarios de las organizaciones de la Cruz Roja y de la Media Luna Roja, y fomenta en muy poco tiempo, en diversos ámbitos culturales y a escala mundial, transformaciones duraderas a largo plazo de actitudes y comportamientos. Estas características hacen de la iniciativa un modelo notable de prácticas óptimas en materia de educación entre homólogos que ofrece una referencia tangible para las intervenciones destinadas a impulsar el cambio de comportamiento, tanto en el interior como en el exterior del Movimiento Internacional de la Cruz Roja y de la Media Luna Roja”.</t>
  </si>
  <si>
    <t>وفي هذا السياق، خلصت دراسة  أثر امتدّت على خمس سنوات إلى أنّ: «مبادرة ‘ الشباب كوسطاء لتغييرالسلوك’ توظّف المبادئ الأساسية والقيم الإنسانية لجمعيّات الصليب الأحمر والهلال الأحمر لتحقيق تحوّلات مستمرّة في الموقف والسلوك، على نطاق العالم وعلى مستوى مختلف الثقافات، في فترة قصيرة للغاية، ولكن مع تأثير ممتدّ لفترة طويلة، ما يجعل منها نموذجًا متميّزًا للممارسات الفضلى في مجال تعليم الأقران على المستوى الدولي، ومعيارًا مناسبًا لأنشطة تغيير السلوك داخل الحركة الدولية للصليب الأحمر والهلال الأحمر وخارجها .»</t>
  </si>
  <si>
    <t>reportstrategic3.sections.2.blocks.4.content.1</t>
  </si>
  <si>
    <t>The self-transformation in trainers and peer educators that YABC triggers results not only in changes in motivation, identity, vocabulary, and attitudes, but also in positive behaviours. This can have a domino effect that frequently improves their family, peer, and professional relationships.</t>
  </si>
  <si>
    <t>La transformation que l’Initiative entraîne chez les formateurs et les pairs éducateurs se traduit non seulement par une évolution de leur motivation, leur identité, leur vocabulaire et leurs attitudes mais aussi par des comportements positifs. Cela peut avoir un effet domino qui, souvent, améliore leurs relations familiales, professionnelles et avec leurs pairs.</t>
  </si>
  <si>
    <t>La iniciativa de los jóvenes como agentes del cambio de comportamiento suscita en instructores y formadores de homólogos una transformación interna que incide en las motivaciones, la identidad, el vocabulario y las actitudes, y además fomenta los comportamientos positivos. A menudo, su eventual efecto dominó suscita mejores relaciones familiares, profesionales, y con los pares.</t>
  </si>
  <si>
    <t>إنّ التحوّل الذاتي الذي تحدثه هذه المبادرة لدى المدرّبين ومعلّمي الأقران لايؤدّي إلى تغيّرات على مستوى الحافز، والهوية، والمفردات، والمواقف وحسب، بل إلى تغييرات إيجابية في السلوك أيضًا. ويمكن أن يكون لهذا التحوّل تأثير تعاقبي غالبًا ما يحسّن علاقاتهم العائلية والمهنيّة وعلاقاتهم مع أقرانهم.</t>
  </si>
  <si>
    <t>reportstrategic3.sections.2.blocks.4.content.0</t>
  </si>
  <si>
    <t>“This experience has been a turning point for me. Without this training, it would have taken me a lifetime to understand these issues and change myself,” said a YABC peer educator.</t>
  </si>
  <si>
    <t>“Cette expérience a marqué un tournant pour moi. Sans cette formation, il m’aurait fallu une vie pour comprendre ces questions et changer d’attitude”, avoue un pair éducateur de l’initiative « les jeunes en tant qu’agents du changement de comportement » (YABC).</t>
  </si>
  <si>
    <t>Un formador de homólogos que trabaja en el marco de la iniciativa sobre los jóvenes como agentes del cambio de comportamiento explicaba: “la experiencia supuso para mí un punto de inflexión. Sin esta formación, me habría tomado toda la vida entender determinadas cuestiones y cambiar mi actitud”.</t>
  </si>
  <si>
    <t>« شكّلت هذه التجربة نقطة تحوّل بالنسبة إليّ. فلولا هذا التدريب، لاستغرق فهمي لهذه المسائل وتغيير نفسي حياتي بأكملها »، على حدّ تعبير أحد معلّمي الأقران في إطار مبادرة ‘ الشباب كوسطاء لتغيير السلوك ’ .</t>
  </si>
  <si>
    <t>reportstrategic3.sections.2.blocks.3</t>
  </si>
  <si>
    <t xml:space="preserve">Context is important. When integrated into other Red Cross and Red Crescent work such as first aid, disaster and emergency management, migration, shelter, road safety, and psychosocial support, YABC strengthens not only what we do, but also how we do it. </t>
  </si>
  <si>
    <t>Le contexte est important. Lorsqu’elle est intégrée à d’autres activités de la Croix-Rouge et du CroissantRouge liées par exemple aux premiers secours, à la gestion des catastrophes et des situations d’urgence, à la migration, au logement, à la sécurité routière ou au soutien psychosocial, l’initiative YABC contribue à améliorer à la fois le résultat de nos actions et la manière dont nous les mettons en œuvre.</t>
  </si>
  <si>
    <t xml:space="preserve">El contexto es importante. Así, la incorporación de la perspectiva de esta iniciativa en otras actividades de las organizaciones de la Cruz Roja y de la Media Luna Roja tales como los primeros auxilios, la gestión de desastres y emergencias, la migración, el alojamiento provisional y de emergencia, la seguridad vial y el apoyo psicológico, fortalecerá tanto nuestra labor como nuestra forma de ejecutarla. </t>
  </si>
  <si>
    <t xml:space="preserve">والسياق في هذا الصدد مهم. فحين تدرج المبادرة في أعمال أخرى للصليب الأحمر والهلال الأحمر مثل الإسعافات الأولية، ومواجهة الكوارث، وإدارة حالات الطوارئ، والهجرة، وتوفير المأوى، وسلامة الطرق، والدعم النفسي الاجتماعي، تعزز المبادرة ما نقوم به، بل وتعزز أيضاً كيفية القيام به. </t>
  </si>
  <si>
    <t>reportstrategic3.sections.2.blocks.2</t>
  </si>
  <si>
    <t>YABC uses games, role-plays, simulation and visualisation exercises, storytelling, and artistic platforms to move learners out of their comfort zone while creating a safe and respectful environment where they are not told what to think or do, but where solutions are explored together. Learning comes from within and from trusted peer exchange so that individuals develop their own commitments through critical reflections.</t>
  </si>
  <si>
    <t>L’initiative YABC utilise le jeu, les jeux de rôle, la simulation, la visualisation, le récit oral et les performances artistiques pour faire sortir les participants de leur zone de confort tout en créant un environnement sûr et respectueux dans lequel ils sont libres de faire ou de penser ce qu’ils veulent et où ils étudient des solutions ensemble. L’apprentissage se fonde sur la réflexion personnelle et l’échange avec les autres, ce qui permet aux individus de développer leurs propres convictions en faisant preuve d’esprit critique.</t>
  </si>
  <si>
    <t>Se recurre a juegos, dramatizaciones, simulaciones, ejercicios de visualización, relatos, plataformas artísticas y el arte para extraer a los participantes de su zona de comodidad y situarlos en un ambiente seguro y de respeto en donde nadie les dice lo que deben hacer o pensar, sino en donde examinan juntos soluciones. Se trata de un aprendizaje interno y que emana del intercambio de ideas en medio de la confianza, de manera que las personas forjan sus propios objetivos a través de la reflexión crítica.</t>
  </si>
  <si>
    <t>وتستخدم المبادرة الألعاب، وتمثيل الأدوار، وتدريبات المحاكاة والعرض، ورواية القصص، والمنابر الفنية، والفنون لإخراج المتعلمين من مواقف المحاباة في ظل توفير بيئة آمنة تحترمهم حيث لا يُلقَنون الأفكار أو ما ينبغي لهم القيام به، بل يستكشفون الحلول معاً. ويأتي التعليم من التبادل فيما بين الأقران الموثوق فيهم ومنهم حتى يتسنى لألفراد تحديد التزاماتهم من خلال التفكير النقدي.</t>
  </si>
  <si>
    <t>reportstrategic3.sections.2.blocks.1</t>
  </si>
  <si>
    <t>YABC is about changing minds by touching hearts. It relies on peer education and a participant-centred, experiential approach – meaning that feelings, experiences, or the physical body, rather than intellectual analysis, are the entry points for developing self-awareness and skills in understanding societal issues such as discrimination, exclusion, and violence.</t>
  </si>
  <si>
    <t>L’initiative YABC vise à changer les mentalités en touchant les cœurs. Elle repose sur l’éducation par les pairs et se fonde sur une approche axée sur les participants et l’expérience : les sentiments, les expériences ou l’aspect physique, et non l’analyse intellectuelle, sont les points de départ qui permettent aux participants de renforcer leur prise de conscience et leur compréhension des problématiques sociétales telles que la discrimination, l’exclusion et la violence.</t>
  </si>
  <si>
    <t>Esta iniciativa busca un cambio de mentalidades a través de los corazones. Se fundamenta en la educación entre homólogos, centrada en los participantes, que privilegia un enfoque vivencial en el cual los sentimientos, las experiencias o las sensaciones corporales –y no el análisis intelectual– son los portales para favorecer la concienciación y la adquisición de destrezas que permitan comprender fenómenos de sociedad tales como la discriminación, la exclusión y la violencia.</t>
  </si>
  <si>
    <t>وتتعلق مبادرة الشباب كوسطاء في تغيير السلوك بتغيير العقليات عن طريق لمس العواطف. وهي تعتمد على توعية الأقران والتركيز على المشاركين، والنهج التجريبي - أي أن المشاعر أو الخبرات أو الكيان المادي، بدلاً من التحليل الفكري، هي نقاط تطوير الوعي الذاتي والمهارات الذاتية في فهم القضايا المجتمعية مثل التمييز والإقصاء والعنف.</t>
  </si>
  <si>
    <t>reportstrategic3.sections.2.blocks.0</t>
  </si>
  <si>
    <t>A sizeable number of projects on violence are led by youth with at least 52 National Societies (28 per cent) reporting that they do so. Youth as Agents of Behavioural Change (YABC) is the IFRC secretariat’s flagship initiative on the promotion of a culture of non-violence and peace. Created in 2008, it seeks to empower individuals as ethical leaders in their communities. Currently, there are more than 1,450 trained peer educators from 125 National Red Cross and Red Crescent Societies.</t>
  </si>
  <si>
    <t>De nombreux projets de lutte contre la violence sont dirigés par des jeunes, au moins 52 Sociétés nationales (28 %) ayant indiqué soutenir ce type de projets. L’initiative «Les jeunes en tant qu’agents du changement de comportement» (YABC) est l’initiative phare de la Fédération en ce qui concerne la promotion d’une culture de non-violence et de paix. Lancée en 2008, elle vise à donner aux individus les moyens de devenir des leaders éthiques au sein de leur communauté. À ce jour, plus de 1 450 éducateurs de pairs issus de 125 Sociétés nationales ont été formés.</t>
  </si>
  <si>
    <t>Los jóvenes encabezan una cantidad considerable de proyectos relativos a la violencia en unas cincuenta y dos (52) Sociedades Nacionales (28%) los jóvenes como agentes del cambio de comportamiento es la iniciativa emblemática de la Federación Internacional para la promoción de una cultura de no violencia y paz. Desde su establecimiento en 2008, está orientada a la habilitación de personas que sienten el norte ético en sus comunidades. En la actualidad existen más de 1 450 educadores de homólogos de ciento veinticinco (125) Sociedades Nacionales que han recibido formación específica.</t>
  </si>
  <si>
    <t>يقود الشباب عدداً كبيراً من المشاريع المتعلقة بالعنف حيث يفيد ما لا يقل عن 52 جمعية وطنية ( 28 في المائة ) بذلك. ومبادرة الشباب كوسطاء في تغيير السلوك هي مبادرة رائدة لأمانة الاتحاد في الترويج لثقافة من أجل ترويج السلام ونبذ العنف. وهذه المبادرة التي أطلقت في عام 2008 ، تسعى إلى تمكين الأفراد باعتبارهم قادة أخلاقيين في مجتمعاتهم. ويوجد حالياً ما يزيد على 1450 معلماً مدرباً من الأقران من 125 جمعية وطنية للصليب الأحمر والهلال الأحمر.</t>
  </si>
  <si>
    <t>reportstrategic3.sections.1.title</t>
  </si>
  <si>
    <t>Doing better in reducing violence</t>
  </si>
  <si>
    <t>Faire mieux dans le domaine de la lutte contre la violence</t>
  </si>
  <si>
    <t>Progresos en materia de reducción de la violencia</t>
  </si>
  <si>
    <t>العمل بشكل أفضل للتقليل من العنف</t>
  </si>
  <si>
    <t>reportstrategic3.sections.1.blocks.3.type</t>
  </si>
  <si>
    <t>reportstrategic3.sections.1.blocks.3.title</t>
  </si>
  <si>
    <t>“They wanted to kill”</t>
  </si>
  <si>
    <t>“Ils voulaient tuer”</t>
  </si>
  <si>
    <t>“Querían matarlos”</t>
  </si>
  <si>
    <t>«أرادوا أن يقتلوا»</t>
  </si>
  <si>
    <t>reportstrategic3.sections.1.blocks.3.content.1</t>
  </si>
  <si>
    <t>In response, the Kenya Red Cross Society developed a risk reduction project to defuse the risk of future violence. This included local peace committees, female-led joint income generation projects, dialogue with religious leaders, and school-based activities. Crucially, it also involved the Red Cross acting as a neutral, independent, and impartial facilitator.</t>
  </si>
  <si>
    <t>En réponse, la Croix-Rouge du Kenya a élaboré un programme afin de désamorcer les risques de violence future. Ce programme comprenait la mise en place de comités de paix locaux, des activités créatrices de revenus menées par des femmes, l’instauration d’un dialogue avec les chefs religieux et des activités scolaires. Surtout, il faisait de la Croix-Rouge un facilitateur neutre, indépendant et impartial.</t>
  </si>
  <si>
    <t xml:space="preserve"> Para hacer frente al problema, la Cruz Roja de Kenia puso en marcha un proyecto de reducción de riesgos destinado a frenar el peligro de violencia en el futuro. En este proyecto se incluyen comités locales de paz, proyectos conjuntos para la generación de ingresos dirigidos por mujeres, el diálogo con dirigentes religiosos y actividades escolares. La Cruz Roja de Kenia desempeña una función crucial pues asume la coordinación de las actividades con neutralidad, independencia e imparcialidad.</t>
  </si>
  <si>
    <t>استجابة لهذا، وضعت جمعية الصليب الأحمر مشروعًا لتقليل المخاطر من أجل نزع فتيل العنف ومنع تجدّده مستقب .ًال وقد شمل ذلك تكوين لجان سلام محليّة، وتنظيم مشاريع مشتركة مدرّة للدخل تقودها نساء، وإقامة حوار مع الزعماء الدينيين، وتطبيق أنشطة مدرسيّة. والأهمّ من ذلك أنّ الصليب الأحمر الكيني اضطلع بدور الوسيط المحايد والمستقلّ وغير المتحيّز.</t>
  </si>
  <si>
    <t>reportstrategic3.sections.1.blocks.3.content.0</t>
  </si>
  <si>
    <t>In 2012, Kenya’s Tana Delta region experienced extreme violence between farming and pastoralist communities over the sharing of limited land and water. One hundred and sixty people were killed and 112,000 people were displaced. Kony, a primary school student, recalls, “We were in school when we heard the first blast. One of my classmates said that it was a gunshot. It was very scary, and we began to run to the village which is a few metres from the school.”</t>
  </si>
  <si>
    <t>En 2012, la région du delta du Tana au Kenya a été le théâtre de violents affrontements entre les fermiers et les communautés pastorales au sujet du partage de ressources limitées en terres et en eau. Cent soixante personnes ont été tuées et 112 000 ont été déplacées. Kony, un élève de l’école primaire, se souvient : « nous étions à l’école quand nous avons entendu la première explosion. Un de mes camarades de classe a dit que c’était un coup de feu. Nous avons eu très peur et nous avons commencé à courir vers le village qui est à quelques mètres de l’école».</t>
  </si>
  <si>
    <t>En 2012, en la región de Delta Tana, en Kenia, se vivieron situaciones de extrema violencia entre comunidades de granjeros y de pastores, a raíz de desacuerdos relativos al reparto de las escasas tierras y del limitado abastecimiento de agua. Como consecuencia, murieron ciento seis personas y otras ciento doce mil fueron desplazadas. Kony, un colegial de primaria recuerda “estábamos en clase cuando oímos la primera explosión. Uno de mis compañeros dijo que se trataba de un disparo de arma de fuego. Era terrorífico y empezamos a correr hacia la aldea situada a unos pocos metros de la escuela”.</t>
  </si>
  <si>
    <t>في العام2012 ، شهدت منطقة تانا دلتا الكينيّة أعمال عنف شديدة بين المجتمعات المحلية الزراعية والمجتمعات المحلية الرعوية المتنازعة على الأراضي وموارد المياه المحدودة. كانت الحصيلة مقتل مائة وستّين شخصا وتهجير 112.000 شخص. ويروي طالب المدرسة الابتدائية، كوني، ما يتذكّره عن تلك الأحداث: «كنّا في المدرسة عندما سمعنا الدويّ الأول .أحد رفاقي في الصفّ قال إنّه صوت طلق ناريّ. كان الأمر مخيفًا جدًا، وبد أنا بالجري با اّجته القرية التي تبعد أ متارًا قليلة عن المدرسة» .</t>
  </si>
  <si>
    <t>reportstrategic3.sections.1.blocks.2.4</t>
  </si>
  <si>
    <t>Self-directed violence is reaching epidemic proportions. Fifty-eight per cent of all violent deaths globally are due to suicide. More needs to be done to overcome the obstacles posed by cultural and religious stigma and taboos, following the example of some National Societies who do so. Others are also addressing self-harm directly through efforts to reduce alcohol and substance misuse, and indirectly through psychosocial and mental health care services.</t>
  </si>
  <si>
    <t>La violence auto-infligée atteint des proportions épidémiques : 58 % de l’ensemble des décès liés à la violence dans le monde sont dus à des suicides. Davantage doit être fait pour lever les obstacles que représentent la stigmatisation et les tabous culturels et religieux, en suivant l’exemple des Sociétés nationales qui œuvrent déjà en ce sens. Certaines Sociétés nationales luttent de manière directe contre la violence auto-infligée en s’attachant à réduire l’abus d’alcool et de substances, et de manière indirecte en proposant des services de soins de santé mentale et de soutien psychosocial.</t>
  </si>
  <si>
    <t>Violencia autoinfligida – se trata de un fenómenos que cobra cariz epidémico. El cincuenta y ocho por ciento (58%) de las muertes violentas en el mundo corresponden a suicidios. Resulta imperioso inspirarse del ejemplo de ciertas Sociedades Nacionales y redoblar esfuerzos para salvar los obstáculos asociados a tabúes culturales o religiosos y a la estigmatización que conllevan. Otras Sociedades Nacionales abordan el problema de la violencia autoinfligida mediante iniciativas directas encaminadas a reducir el consumo indebido de alcohol y otras substancias, o de forma indirecta, a través de servicios de acompañamiento psicosocial y de atención de salud mental.</t>
  </si>
  <si>
    <t>يتخذ العنف الذاتي أبعاداً وبائية. فثمانية وخمسون بالمائة من جميع الوفيات بسبب العنف ترجع في جميع أنحاء العالم إلى الانتحار. وينبغي بذل المزيد من الجهود للتغلب على العقبات الناشئة عن الوصم لأسباب ثقافية ودينية والمحرمات، احتذاءا ببعض الجمعيات الوطنية التي تقوم بذلك. كما تتصدى جمعيات أخرى لظاهرة إيذاء الذات مباشرة من خلال الجهود الرامية إلى الحد من الإفراط في تعاطي الكحول والمخدرات، وبطريقة غيرمباشرة من خلال خدمات الرعاية الصحية النفسية الاجتماعية والعقلية.</t>
  </si>
  <si>
    <t>reportstrategic3.sections.1.blocks.2.3</t>
  </si>
  <si>
    <t>Community violence is an emerging area for Red Cross and Red Crescent intervention. This is a recognised consideration in disaster response where pre-existing or new tensions can impede relief operations. Elsewhere, some National Societies are tackling violence in public spaces by trying to halt or heal divides between conflicting groups. Examples include work to reduce inter-ethnic conflicts, mob violence, for example, during elections and sporting events, and urban and gang violence.</t>
  </si>
  <si>
    <t>La violence communautaire est un domaine d’intervention nouveau pour la Croix-Rouge et le CroissantRouge. Il s’agit d’une problématique reconnue des interventions en cas de catastrophe, des tensions préexistantes ou nouvelles pouvant entraver les opérations de secours. Certaines Sociétés nationales luttent contre la violence dans l’espace public en s’efforçant de faire cesser ou d’atténuer les divisions entre des groupes en conflit. Elles s’attachent par exemple à réduire les conflits interethniques et les émeutes, notamment lors d’élections ou de manifestations sportives, ainsi que la violence urbaine et la violence des gangs.</t>
  </si>
  <si>
    <t xml:space="preserve"> Violencia comunitaria – se trata de un nuevo ámbito de trabajo para las organizaciones de la Cruz Roja y de la Media Luna Roja cuya importancia se reconoce en las intervenciones a raíz de desastres pues las tensiones que pudieran existir o surgir pueden obstaculizar las operaciones de socorro. En otros contextos, algunas Sociedades Nacionales intentan disminuir la violencia en lugares públicos mediante la disipación o la eliminación de elementos de división entre grupos que se enfrentan. Por ejemplo, la labor para reducir conflictos entre grupos étnicos, o la violencia en multitudes, entre otros, durante elecciones o acontecimientos deportivos, la violencia urbana y de pandillas.</t>
  </si>
  <si>
    <t>العنف المجتمعي هو مجال جديد من مجالات عمل الصليب الأحمر والهلال الأحمر. وهو عنصر معترف به في مواجهة الكوارث حيث يمكن أن تعيق التوترات االقائمة أو الجديدة عمليات الإغاثة. وفي أماكن أخرى، تتصدى بعض الجمعيات الوطنية للعنف في المجالات العامة عن طريق وقف أو معالجة الانقسامات بين الجماعات المتنازعة. ومن جملة الأمثلة على ذلك السعي إلى الحد من النزاعات بين الطوائف الإثنية، والعنف الجماهيري، مثل العنف الحضري وعنف العصابات أثناء الانتخابات والمناسبات الرياضية.</t>
  </si>
  <si>
    <t>reportstrategic3.sections.1.blocks.2.2</t>
  </si>
  <si>
    <t>Violence against migrants is a growing area of preventative work including supporting refugees and internally displaced during and after crises, providing services for migrants and refugees arriving in a new country to help integrate them into host communities, and addressing human trafficking.</t>
  </si>
  <si>
    <t>La violence à l’encontre des migrants est un domaine dans lequel de plus en plus d’activités de prévention sont menées. Ces activités comprennent le soutien aux réfugiés et aux déplacés internes pendant et après les crises, la fourniture de services aux migrants et aux réfugiés arrivant dans un nouveau pays en vue de les aider à s’intégrer au sein des communautés hôtes et la lutte contre la traite des êtres humains.</t>
  </si>
  <si>
    <t>Violencia contra los migrantes – se trata de una esfera de prevención que se amplía e incluye el apoyo a los refugiados y los desplazados internos durante crisis y después de estas, así como la prestación de servicios para los migrantes y los refugiados que llegan a un nuevo país con el fin de favorecer su integración en las comunidades de acogida, y esfuerzos relativos a la trata de personas.</t>
  </si>
  <si>
    <t>العنف ضد المهاجرين هو من مجالات الوقاية المتنامية بما في ذلك دعم اللاجئين والمشردين داخلياً أثناء وبعد الأزمات، وتوفيرالخدمات للمهاجرين واللاجئين الذين يصلون إلى بلد جديد للمساعدة على إدماجهم في المجتمعات المضيفة، ومكافحة ظاهرة الاتجار بالبشر.</t>
  </si>
  <si>
    <t>reportstrategic3.sections.1.blocks.2.1</t>
  </si>
  <si>
    <t>Gender-based violence activities focus on preventing domestic violence, physical and sexual violence against women and girls, female genital mutilation, violence against men who have sex with men, and increasingly, violence in disasters and conflicts.</t>
  </si>
  <si>
    <t>Les activités de lutte contre la violence sexiste mettent l’accent sur la prévention de la violence familiale, physique et sexuelle à l’égard des femmes et des filles, les mutilations génitales féminines, la violence à l’égard des hommes qui ont des rapports sexuels avec d’autres hommes, et, de plus en plus, la violence dans les situations de catastrophe et de conflit.</t>
  </si>
  <si>
    <t>Violencia por motivos de género – estas actividades se centran en la prevención de la violencia doméstica, la violencia física y sexual contra mujeres y niñas, la mutilación genital de mujeres, la violencia contra hombres que tienen sexo con hombres, y la creciente violencia en situaciones de desastre y conflicto.</t>
  </si>
  <si>
    <t>أنشطة التصدي للعنف القائم على نوع الجنس تركز على درء العنف المنزلي، والعنف البدني والجنسي ضد النساء والفتيات، وتشويه الأعضاء التناسلية للأنثى، والعنف ضد الرجال الذين يمارسون الجنس مع الرجال؛ وبشكل متزايد العنف في ظل الكوارث والنزاعات.</t>
  </si>
  <si>
    <t>reportstrategic3.sections.1.blocks.2.0</t>
  </si>
  <si>
    <t>Child protection projects are usually implemented through schools, with those involving youth often led to them. Topics covered include bullying, physical, psychological and sexual abuse, trafficking, and youth conflict.</t>
  </si>
  <si>
    <t>Les projets relatifs à la protection de l’enfant sont habituellement menés dans les écoles, et ceux qui font participer les jeunes sont souvent dirigés par eux. Les sujets abordés incluent l’intimidation, les violences physiques, psychologiques et sexuelles, la traite des enfants et les conflits chez les jeunes.</t>
  </si>
  <si>
    <t>Protección infantil – se trata de proyectos usualmente ejecutados en contextos escolares y bajo el impulso de jóvenes cuando estos son el grupo concernido. Entre los temas, figuran el acoso y la intimidación, el maltrato físico o psicológico, el abuso sexual, la trata y los conflictos entre jóvenes.</t>
  </si>
  <si>
    <t>مشاريع حماية الطفل تنفذ عادة من خلال المدارس، ومنها تلك التي تتعلق بالشباب حيث يقودها في كثير من الأحيان الشباب أنفسهم. وتتضمن المواضيع التيشملتها التغطية التعذيب؛ والاعتداء البدني، وسوء المعاملة النفسية، والاعتداء الجنسي؛ والاتجار بالبشر؛ والنزاعات بين الشباب.</t>
  </si>
  <si>
    <t>reportstrategic3.sections.1.blocks.1.type</t>
  </si>
  <si>
    <t>reportstrategic3.sections.1.blocks.1.title</t>
  </si>
  <si>
    <t>reportstrategic3.sections.1.blocks.1.items.3.text.1</t>
  </si>
  <si>
    <t>address self-directed harm</t>
  </si>
  <si>
    <t>traiter les préjudices auto-dirigés</t>
  </si>
  <si>
    <t>abordan la violencia autoinfligida</t>
  </si>
  <si>
    <t>تعالج أذى النفس</t>
  </si>
  <si>
    <t>reportstrategic3.sections.1.blocks.1.items.3.text.0</t>
  </si>
  <si>
    <t>جمعية وطنية</t>
  </si>
  <si>
    <t>reportstrategic3.sections.1.blocks.1.items.3.number</t>
  </si>
  <si>
    <t>reportstrategic3.sections.1.blocks.1.items.3.img</t>
  </si>
  <si>
    <t>/img/chapters/6/address-self-directed-harm.svg</t>
  </si>
  <si>
    <t>reportstrategic3.sections.1.blocks.1.items.2.text.1</t>
  </si>
  <si>
    <t>tackle violence against migrants</t>
  </si>
  <si>
    <t>lutter contre la violence contre les migrants</t>
  </si>
  <si>
    <t>combaten la violencia contra los migrantes</t>
  </si>
  <si>
    <t>تتناول موضوع العنف ضد المهاجرين</t>
  </si>
  <si>
    <t>reportstrategic3.sections.1.blocks.1.items.2.text.0</t>
  </si>
  <si>
    <t>reportstrategic3.sections.1.blocks.1.items.2.number</t>
  </si>
  <si>
    <t>reportstrategic3.sections.1.blocks.1.items.2.img</t>
  </si>
  <si>
    <t>/img/chapters/6/tackle-violence-against-migrants.svg</t>
  </si>
  <si>
    <t>reportstrategic3.sections.1.blocks.1.items.1.text.1</t>
  </si>
  <si>
    <t>act against gender-based violence</t>
  </si>
  <si>
    <t>agir contre les violences basées sur le genre</t>
  </si>
  <si>
    <t>actúan contra la violencia basada en el género</t>
  </si>
  <si>
    <t>تناهض العنف القائم على نوع الجنس</t>
  </si>
  <si>
    <t>reportstrategic3.sections.1.blocks.1.items.1.text.0</t>
  </si>
  <si>
    <t>reportstrategic3.sections.1.blocks.1.items.1.number</t>
  </si>
  <si>
    <t>reportstrategic3.sections.1.blocks.1.items.1.img</t>
  </si>
  <si>
    <t>/img/chapters/6/act-against-gender-based-violence.svg</t>
  </si>
  <si>
    <t>reportstrategic3.sections.1.blocks.1.items.0.text.1</t>
  </si>
  <si>
    <t>work towards better child protection</t>
  </si>
  <si>
    <t>œuvrer pour une meilleure protection des enfants</t>
  </si>
  <si>
    <t>trabajan en la protección de la infancia</t>
  </si>
  <si>
    <t>تعمل على تحسين عملها بشأن حماية الطفل</t>
  </si>
  <si>
    <t>reportstrategic3.sections.1.blocks.1.items.0.text.0</t>
  </si>
  <si>
    <t>جمعيات الوطنية</t>
  </si>
  <si>
    <t>reportstrategic3.sections.1.blocks.1.items.0.number</t>
  </si>
  <si>
    <t>reportstrategic3.sections.1.blocks.1.items.0.img</t>
  </si>
  <si>
    <t>/img/chapters/6/child-protection.svg</t>
  </si>
  <si>
    <t>reportstrategic3.sections.1.blocks.1.caption</t>
  </si>
  <si>
    <t>The chart above shows...</t>
  </si>
  <si>
    <t>Le graphique ci-dessus montre...</t>
  </si>
  <si>
    <t>Fuente: Departamento de Principios y Valores</t>
  </si>
  <si>
    <t>الرسم البياني اعلاه يوضح ...</t>
  </si>
  <si>
    <t>reportstrategic3.sections.1.blocks.0</t>
  </si>
  <si>
    <t>Practical interventions by National Societies show the emergence of some common themes.</t>
  </si>
  <si>
    <t>Les activités que les Sociétés nationales mènent sur le terrain illustrent l’émergence de problématiques communes.</t>
  </si>
  <si>
    <t>De las intervenciones prácticas de las Sociedades Nacionales se desprenden los temas comunes expuestos a continuación.</t>
  </si>
  <si>
    <t>تبين بعض التدخلات العملية التي تقوم بها الجمعيات الوطنية ظهوربعض المواضيع المشتركة</t>
  </si>
  <si>
    <t>reportstrategic3.sections.0.title</t>
  </si>
  <si>
    <t>Global impact of violence</t>
  </si>
  <si>
    <t>L’impact de la violence au niveau mondial</t>
  </si>
  <si>
    <t>Consecuencias de la violencia a nivel mundial</t>
  </si>
  <si>
    <t>الأثار العالمية للعنف</t>
  </si>
  <si>
    <t>reportstrategic3.sections.0.blocks.3.type</t>
  </si>
  <si>
    <t>reportstrategic3.sections.0.blocks.3.title</t>
  </si>
  <si>
    <t>Economic impact</t>
  </si>
  <si>
    <t>Impact économique</t>
  </si>
  <si>
    <t>Repercusiones económicas</t>
  </si>
  <si>
    <t>التأثير الاقتصادي</t>
  </si>
  <si>
    <t>reportstrategic3.sections.0.blocks.3.dataset.2.y</t>
  </si>
  <si>
    <t>reportstrategic3.sections.0.blocks.3.dataset.2.x</t>
  </si>
  <si>
    <t>Interpersonal</t>
  </si>
  <si>
    <t>Violencia interpersonal</t>
  </si>
  <si>
    <t>بين الأشخاص</t>
  </si>
  <si>
    <t>reportstrategic3.sections.0.blocks.3.dataset.2.fill</t>
  </si>
  <si>
    <t>#FED02F</t>
  </si>
  <si>
    <t>reportstrategic3.sections.0.blocks.3.dataset.1.y</t>
  </si>
  <si>
    <t>reportstrategic3.sections.0.blocks.3.dataset.1.x</t>
  </si>
  <si>
    <t>Self-inflicted</t>
  </si>
  <si>
    <t>Violencia autoinfligida</t>
  </si>
  <si>
    <t>ذاتياً</t>
  </si>
  <si>
    <t>reportstrategic3.sections.0.blocks.3.dataset.1.fill</t>
  </si>
  <si>
    <t>#EE3224</t>
  </si>
  <si>
    <t>reportstrategic3.sections.0.blocks.3.dataset.0.y</t>
  </si>
  <si>
    <t>reportstrategic3.sections.0.blocks.3.dataset.0.x</t>
  </si>
  <si>
    <t>Collective</t>
  </si>
  <si>
    <t>Violencia colectiva</t>
  </si>
  <si>
    <t xml:space="preserve"> بشكل جماعي</t>
  </si>
  <si>
    <t>reportstrategic3.sections.0.blocks.3.dataset.0.fill</t>
  </si>
  <si>
    <t>#012A39</t>
  </si>
  <si>
    <t>reportstrategic3.sections.0.blocks.3.caption</t>
  </si>
  <si>
    <t>The cost of intimate partner and sexual violence for countries are very high. They include the provision of health, social, and legal services, and the value of lost earnings. The impact of violence can affect up to 4% of a country’s gross domestic product.</t>
  </si>
  <si>
    <t>Le coût de la violence entre partenaires intimes et de la violence sexuelle pour les pays est très élevé. Il comprend les dépenses liées à la fourniture de soins de santé et de services sociaux et juridiques, ainsi que le manque à gagner.</t>
  </si>
  <si>
    <t>La violencia sexual y la violencia contra la pareja conllevan costos muy elevados para los países. Suponen la prestación de servicios sanitarios, sociales y jurídicos y el valor correspondiente a la pérdida de ganancias. La violencia puede tener una repercusión de hasta un 4% sobre el producto interno bruto.</t>
  </si>
  <si>
    <t>تتكبد البلاد تكاليف باهظة بسبب الشريك الحميم والعنف الجنسي، تتضمن توفيرالخدمات الصحية والاجتماعية والقانونية وتكبد الأرباح المهدرة. يمكن للعنف أن يسبب ضرراً بنسبة تصل إلى 4٪ من الناتج المحلي الإجمالي لبلد ما.</t>
  </si>
  <si>
    <t>reportstrategic3.sections.0.blocks.2.type</t>
  </si>
  <si>
    <t>reportstrategic3.sections.0.blocks.2.title</t>
  </si>
  <si>
    <t>Health consequences</t>
  </si>
  <si>
    <t>Conséquences pour la santé</t>
  </si>
  <si>
    <t>Consecuencias sobre la salud</t>
  </si>
  <si>
    <t>العواقب الصحية</t>
  </si>
  <si>
    <t>reportstrategic3.sections.0.blocks.2.dataset.summaries.2.text</t>
  </si>
  <si>
    <t>Injuries</t>
  </si>
  <si>
    <t>Blessures</t>
  </si>
  <si>
    <t>Lesiones</t>
  </si>
  <si>
    <t>الإصابات</t>
  </si>
  <si>
    <t>reportstrategic3.sections.0.blocks.2.dataset.summaries.2.number</t>
  </si>
  <si>
    <t>unknown</t>
  </si>
  <si>
    <t>inconnu</t>
  </si>
  <si>
    <t>Desconocida</t>
  </si>
  <si>
    <t>(غير معلومة العدد)</t>
  </si>
  <si>
    <t>reportstrategic3.sections.0.blocks.2.dataset.summaries.1.text</t>
  </si>
  <si>
    <t>Hospitalisations per year</t>
  </si>
  <si>
    <t>Hospitalisations par an</t>
  </si>
  <si>
    <t>Hospitalizaciones al año</t>
  </si>
  <si>
    <t>العلاج سنوياً في المستشفى</t>
  </si>
  <si>
    <t>reportstrategic3.sections.0.blocks.2.dataset.summaries.1.number</t>
  </si>
  <si>
    <t>16M</t>
  </si>
  <si>
    <t>16 مليون</t>
  </si>
  <si>
    <t>reportstrategic3.sections.0.blocks.2.dataset.summaries.0.text</t>
  </si>
  <si>
    <t>Deaths per year</t>
  </si>
  <si>
    <t>Décès par jour</t>
  </si>
  <si>
    <t>Muertes al año</t>
  </si>
  <si>
    <t>حالة وفاة سنوياً</t>
  </si>
  <si>
    <t>reportstrategic3.sections.0.blocks.2.dataset.summaries.0.number</t>
  </si>
  <si>
    <t>1.3M</t>
  </si>
  <si>
    <t>reportstrategic3.sections.0.blocks.2.dataset.consequences.5.2</t>
  </si>
  <si>
    <t>alcohol</t>
  </si>
  <si>
    <t>y el alcohol</t>
  </si>
  <si>
    <t>reportstrategic3.sections.0.blocks.2.dataset.consequences.5.1</t>
  </si>
  <si>
    <t>tobacco, drugs, and</t>
  </si>
  <si>
    <t>tabac, drogues et</t>
  </si>
  <si>
    <t>abaco, las drogas</t>
  </si>
  <si>
    <t>reportstrategic3.sections.0.blocks.2.dataset.consequences.5.0</t>
  </si>
  <si>
    <t>Harmful use of</t>
  </si>
  <si>
    <t>Utilisation nocive de</t>
  </si>
  <si>
    <t>Uso nocivo del</t>
  </si>
  <si>
    <t xml:space="preserve">الاستخدام </t>
  </si>
  <si>
    <t>reportstrategic3.sections.0.blocks.2.dataset.consequences.4.2</t>
  </si>
  <si>
    <t>stress disorder</t>
  </si>
  <si>
    <t>trouble de stress</t>
  </si>
  <si>
    <t>postraumático</t>
  </si>
  <si>
    <t>الصدمة</t>
  </si>
  <si>
    <t>reportstrategic3.sections.0.blocks.2.dataset.consequences.4.1</t>
  </si>
  <si>
    <t>post traumatic</t>
  </si>
  <si>
    <t>post-traumatique</t>
  </si>
  <si>
    <t>trastornos de estrés</t>
  </si>
  <si>
    <t>واضطراب ما بعد</t>
  </si>
  <si>
    <t>reportstrategic3.sections.0.blocks.2.dataset.consequences.4.0</t>
  </si>
  <si>
    <t>Depression, anxiety,</t>
  </si>
  <si>
    <t>Dépression, anxiété,</t>
  </si>
  <si>
    <t>Depresión, ansiedad,</t>
  </si>
  <si>
    <t>الاكتئاب، والقلق،</t>
  </si>
  <si>
    <t>reportstrategic3.sections.0.blocks.2.dataset.consequences.3.3</t>
  </si>
  <si>
    <t>HIV</t>
  </si>
  <si>
    <t>VIH</t>
  </si>
  <si>
    <t>el VIH</t>
  </si>
  <si>
    <t xml:space="preserve"> فيروس نقص المناعة البشرية</t>
  </si>
  <si>
    <t>reportstrategic3.sections.0.blocks.2.dataset.consequences.3.2</t>
  </si>
  <si>
    <t>infections including</t>
  </si>
  <si>
    <t>inféctions comprenant</t>
  </si>
  <si>
    <t>sexual, incluido</t>
  </si>
  <si>
    <t>reportstrategic3.sections.0.blocks.2.dataset.consequences.3.1</t>
  </si>
  <si>
    <t>transmitted</t>
  </si>
  <si>
    <t>transmis</t>
  </si>
  <si>
    <t>transmitidas por vía</t>
  </si>
  <si>
    <t>الإصابة بالعدوى المنقولة</t>
  </si>
  <si>
    <t>reportstrategic3.sections.0.blocks.2.dataset.consequences.3.0</t>
  </si>
  <si>
    <t>Sexually</t>
  </si>
  <si>
    <t>Sexuellement</t>
  </si>
  <si>
    <t>Infecciones</t>
  </si>
  <si>
    <t>الإصابة بالعدوى المنقولة جنسياً بما في ذلك فيروس نقص المناعة البشرية</t>
  </si>
  <si>
    <t>reportstrategic3.sections.0.blocks.2.dataset.consequences.2.2</t>
  </si>
  <si>
    <t>induced abortions</t>
  </si>
  <si>
    <t>avortements provoqués</t>
  </si>
  <si>
    <t>abortos provocados</t>
  </si>
  <si>
    <t>إجهاض عمدي</t>
  </si>
  <si>
    <t>reportstrategic3.sections.0.blocks.2.dataset.consequences.2.1</t>
  </si>
  <si>
    <t>pregnancy</t>
  </si>
  <si>
    <t>grossesse</t>
  </si>
  <si>
    <t>involuntarios</t>
  </si>
  <si>
    <t xml:space="preserve">حالات حمل </t>
  </si>
  <si>
    <t>reportstrategic3.sections.0.blocks.2.dataset.consequences.2.0</t>
  </si>
  <si>
    <t>Unintended</t>
  </si>
  <si>
    <t>Non intentionnel</t>
  </si>
  <si>
    <t>Embarazos</t>
  </si>
  <si>
    <t>غيرمقصود</t>
  </si>
  <si>
    <t>reportstrategic3.sections.0.blocks.2.dataset.consequences.1</t>
  </si>
  <si>
    <t>Physical Injury</t>
  </si>
  <si>
    <t>Blessure physique</t>
  </si>
  <si>
    <t>Lesiones físicas</t>
  </si>
  <si>
    <t>إصابات بدنية</t>
  </si>
  <si>
    <t>reportstrategic3.sections.0.blocks.2.dataset.consequences.0</t>
  </si>
  <si>
    <t>Death</t>
  </si>
  <si>
    <t>Décès</t>
  </si>
  <si>
    <t>Muerte</t>
  </si>
  <si>
    <t>الوفاة</t>
  </si>
  <si>
    <t>reportstrategic3.sections.0.blocks.2.caption</t>
  </si>
  <si>
    <t>reportstrategic3.sections.0.blocks.1.3</t>
  </si>
  <si>
    <t>Mainstreaming interventions to address violence as part of other programmes and services is vital to prevent and mitigate on a sufficient scale.</t>
  </si>
  <si>
    <t>il est crucial d’intégrer les activités de lutte contre la violence à d’autres programmes et services pour atteindre les objectifs voulus en matière de prévention et d’atténuation.</t>
  </si>
  <si>
    <t>la integración de actividades destinadas a la consideración de la violencia dentro de otros programas y servicios es fundamental para la prevención y la mitigación de este fenómeno a suficiente escala.</t>
  </si>
  <si>
    <t>يشكل تعميم التدخلات للتصدي للعنف كجزء من البرامج والخدمات الألخرى أمراً أساسياً لمنع العنف والتخفيف من آثاره بالقدر الكافي.</t>
  </si>
  <si>
    <t>reportstrategic3.sections.0.blocks.1.2</t>
  </si>
  <si>
    <t>Evidence-based interventions are necessary to show measurable improvements in safety</t>
  </si>
  <si>
    <t>il est essentiel de mener des activités fondées sur des faits pour obtenir des améliorations mesurables en matière de sécurité;</t>
  </si>
  <si>
    <t>las intervenciones sustentadas en pruebas son necesarias para demostrar mejoramiento conmensurable en materia de seguridad;</t>
  </si>
  <si>
    <t>تعد التدخلات القائمة على الأدلة ضرورية لإبراز التحسينات الملموسة في مجال السلامة</t>
  </si>
  <si>
    <t>reportstrategic3.sections.0.blocks.1.1</t>
  </si>
  <si>
    <t>Framing violence as a public health issue can be a useful way to reduce it</t>
  </si>
  <si>
    <t>un moyen efficace de réduire la violence peut consister à la placer au rang de problème de santé publique ;</t>
  </si>
  <si>
    <t>la contextualización de la violencia como un problema de salud pública puede ser útil para reducirla;</t>
  </si>
  <si>
    <t>يمكن أن يكون تحديد إطار العنف باعتباره قضية صحية عامة طريقة مفيدة للحد منه</t>
  </si>
  <si>
    <t>reportstrategic3.sections.0.blocks.1.0</t>
  </si>
  <si>
    <t>Interpersonal violence such as abuse, exploitation, and trafficking are a clear risk in all circumstances</t>
  </si>
  <si>
    <t>la violence interpersonnelle, qui inclut les mauvais traitements, l’exploitation et la traite d’êtres humains, est un risque courant dans tous les contextes ;</t>
  </si>
  <si>
    <t>la violencia interpersonal en manifestaciones tales como el trato abusivo, la explotación y la trata de personas supone un claro riesgo en toda circunstancia;</t>
  </si>
  <si>
    <t>يشكل العنف بين الأفراد مثل سوء المعاملة، والاعتداء، والاتجار بالبشر خطراً واضحاً في جميع الظروف</t>
  </si>
  <si>
    <t>reportstrategic3.sections.0.blocks.0</t>
  </si>
  <si>
    <t>While violence is a pervasive and complex phenomenon that is often hidden or secret, and can occur anywhere and at any time, it is not inevitable. Often, it can be predicted, prevented, and mitigated. From the Red Cross and Red Crescent perspective, four broad considerations are especially relevant:</t>
  </si>
  <si>
    <t>Bien que la violence soit un phénomène répandu et complexe, souvent caché ou gardé secret, et pouvant survenir partout et à tout moment, elle n’est pas inévitable. Dans bien des cas, il est possible de prévoir, de prévenir et d’atténuer la violence. Du point de vue de la Croix-Rouge et du Croissant-Rouge, quatre grandes considérations sont particulièrement importantes:</t>
  </si>
  <si>
    <t>Aunque la violencia se caracteriza por su naturaleza insidiosa y compleja, el secreto o el velo que la oculta, y la posibilidad de que pueda ocurrir en cualquier lugar y momento, no se trata de un fenómeno inevitable. A menudo se puede predecir, prevenir y mitigar. Desde la perspectiva de las organizaciones de la Cruz Roja y de la Media Luna Roja, resultan particularmente pertinentes cuatro consideraciones amplias:</t>
  </si>
  <si>
    <t>ورغم أن العنف يشكل ظاهرة متفشية ومعقدة، تكون مستترة أوسرية في كثير من الأحيان، وأن من الممكن وقوعه في أي مكان وزمان، فهو ليس قدراً محتوماً. إذ يمكن في أحيان كثيرة التنبؤبه، ومنعه، والتخفيف من آثاره. وفي ر أي الصليب الأحمر والهلال الأحمر، تكتسي أربعة اعتبارات واسعة النطاق أهمية خاصة في هذا الصدد، وهذه الاعتبارات هي:</t>
  </si>
  <si>
    <t>reportstrategic3.nextchapter.title</t>
  </si>
  <si>
    <t>Strong national red cross and red crescent societies</t>
  </si>
  <si>
    <t>Bâtir des sociétés nationales de la croix-rouge et du croissant-rouge fortes</t>
  </si>
  <si>
    <t>Construir Sociedades Nacionales de la Cruz Roja y de la Media Luna Roja fuertes</t>
  </si>
  <si>
    <t>بناء جمعيات وطنية قوية للصليب الأحمر والهلال الأحمر</t>
  </si>
  <si>
    <t>reportstrategic3.nextchapter.subtitle</t>
  </si>
  <si>
    <t>Enabling action 1</t>
  </si>
  <si>
    <t>Action facilitatrice 1</t>
  </si>
  <si>
    <t>Acción facilitadora 1</t>
  </si>
  <si>
    <t>فعل التمكين الأول</t>
  </si>
  <si>
    <t>reportstrategic3.nextchapter.slug</t>
  </si>
  <si>
    <t>enabling-action-1</t>
  </si>
  <si>
    <t>reportstrategic3.nextchapter.heading</t>
  </si>
  <si>
    <t>reportstrategic3.nextchapter.chapter</t>
  </si>
  <si>
    <t>reportstrategic3.intro</t>
  </si>
  <si>
    <t>Violence touches everyone, affecting all countries and continents. It comes in many forms – self-directed, inter-personal, community, and collective – with devastating human, social, and economic consequences.</t>
  </si>
  <si>
    <t>La violence touche tous les individus, tous les pays et tous les continents. Elle revêt différentes formes (elle peut être auto-infligée, interpersonnelle, communautaire ou collective) et a des conséquences dévastatrices sur les plans humain, social et économique.</t>
  </si>
  <si>
    <t>La violencia es un fenómeno que nos concierne a todos y afecta a todos los países y continentes. Bajo diversas manifestaciones, la violencia –autoinfligida, entre personas, a nivel interpersonal comunitario o colectivo– conlleva devastadoras consecuencias humanas, sociales y económicas</t>
  </si>
  <si>
    <t>يمس العنف كل الأفراد، ويضر بكل البلدان والقارات. وهو يتخذ أشكالاً عدة - العنف الذاتي، والعنف بين الأفراد، والعنف في المجتمعات، والعنف الجماعي - حيث تترتب عليه عواقب إنسانية واجتماعية واقتصادية مدمرة.</t>
  </si>
  <si>
    <t>reportstrategic3.chapter</t>
  </si>
  <si>
    <t>reportstrategic2.title</t>
  </si>
  <si>
    <t>Strategic aim 2</t>
  </si>
  <si>
    <t>Objectif stratégique 2</t>
  </si>
  <si>
    <t>Objetivo estratégico 2</t>
  </si>
  <si>
    <t>الهدف الاستراتيجي الثاني</t>
  </si>
  <si>
    <t>reportstrategic2.subtitle</t>
  </si>
  <si>
    <t>Healthy and safe living</t>
  </si>
  <si>
    <t>Posibilitar una vida sana y segura</t>
  </si>
  <si>
    <t>حياة صحية وآمنة</t>
  </si>
  <si>
    <t>reportstrategic2.slug</t>
  </si>
  <si>
    <t>strategic-aim-2</t>
  </si>
  <si>
    <t>reportstrategic2.sections.5.title</t>
  </si>
  <si>
    <t>Water and sanitation</t>
  </si>
  <si>
    <t>L’eau et l’assainissement</t>
  </si>
  <si>
    <t>Agua y saneamiento</t>
  </si>
  <si>
    <t>الماء والصرف الصحي</t>
  </si>
  <si>
    <t>reportstrategic2.sections.5.blocks.2</t>
  </si>
  <si>
    <t>We are halfway through the period of the IFRC’s Global Water and Sanitation Initiative 2005–2025. The initial target for the Red Cross and Red Crescent was to benefit 5 million people by the end of 2015, but this has been greatly exceeded as we reach towards 15 million this year and set a higher ambition to double this within the next ten years</t>
  </si>
  <si>
    <t>Nous sommes à mi-parcours de la période mise en œuvre de l’Initiative mondiale de la Fédération pour l’eau et l’assainissement, qui s’étend de 2005 à 2025. L’objectif initial de la Croix-Rouge et du CroissantRouge était d’atteindre 5 millions de personnes à l’échéance 2015. Cet objectif a été largement dépassé puisque nous pensons atteindre 15 millions de personnes à la fin 2015. Dans ce contexte, nous avons revu notre objectif final à la hausse et prévu de doubler ce chiffre d’ici à 2025.</t>
  </si>
  <si>
    <t>Ha transcurrido la mitad del periodo que abarca la iniciativa mundial de agua y saneamiento de la Federación Internacional para 2005-2015. El objetivo fijado inicialmente residía en beneficiar a cinco millones de personas hasta finales de 2015, habiéndose superado con creces esa meta, pues el año concluirá con cerca de quince (15) millones de beneficiarios. Se aspira a duplicar esta cifra en los próximos diez años.</t>
  </si>
  <si>
    <t>وقد وصلنا إلى منتصف فترة مبادرة الاتحاد الدولي العالمية المعنية بالماء والصرف الصحي للفترة 2005 - 2025 . وكان الهدف الأولي للصليب الأحمر والهلال الأحمر من تلك المبادرة هو تغطية خمسة ملايين شخص بحلول نهاية عام 2015 ، لكننا تجاوزنا ذلك بكثير حيث وصلنا إلى زهاء 15 مليون شخص هذا العام وحيث أرسينا طموحاً أكبر لمضاعفة هذا العدد خلال السنوات العشر القادمة.</t>
  </si>
  <si>
    <t>reportstrategic2.sections.5.blocks.1.type</t>
  </si>
  <si>
    <t>reportstrategic2.sections.5.blocks.1.translations.2</t>
  </si>
  <si>
    <t>people have access to an improved toilet</t>
  </si>
  <si>
    <t>de personnes ont accès à des toilettes améliorées.</t>
  </si>
  <si>
    <t>personas tienen acceso a mejores instalaciones sanitarias.</t>
  </si>
  <si>
    <t>الأشخاص لديهم إمكانية الوصول إلى تحسين المرحاض</t>
  </si>
  <si>
    <t>reportstrategic2.sections.5.blocks.1.translations.1</t>
  </si>
  <si>
    <t>people benefited from water and sanitation services</t>
  </si>
  <si>
    <t>ont bénéficié de services d’approvisionnement en eau et d’assainissement.</t>
  </si>
  <si>
    <t>se benefician de servicios de agua y saneamiento</t>
  </si>
  <si>
    <t>الأشخاص المستفيدون من الخدمات المياه والصرف الصحي</t>
  </si>
  <si>
    <t>reportstrategic2.sections.5.blocks.1.translations.0</t>
  </si>
  <si>
    <t>people have access to safe drinking water</t>
  </si>
  <si>
    <t>de personnes ont accès à l’eau potable.</t>
  </si>
  <si>
    <t>personas tienen acceso na agua potable salubre</t>
  </si>
  <si>
    <t>الشخاص لديهم إمكانية الوصول إلى المياه الصالحة للشرب</t>
  </si>
  <si>
    <t>reportstrategic2.sections.5.blocks.1.title</t>
  </si>
  <si>
    <t>Water and sanitation predictions</t>
  </si>
  <si>
    <t>Nuestro objetivo</t>
  </si>
  <si>
    <t>خدمات الماء والصرف الصحي</t>
  </si>
  <si>
    <t>reportstrategic2.sections.5.blocks.1.caption</t>
  </si>
  <si>
    <t>Source: Health Department</t>
  </si>
  <si>
    <t>Source: Département de santé</t>
  </si>
  <si>
    <t>Fuente: Departamento de Salud</t>
  </si>
  <si>
    <t>المصدر : قسم الصحة</t>
  </si>
  <si>
    <t>reportstrategic2.sections.5.blocks.0</t>
  </si>
  <si>
    <t>Water and sanitation services are a key part of our emergency response interventions. Additionally, we have a long-term commitment to contribute towards the achievement of Millennium Development Goal 7 that aims to halve, by this year, the proportion of the population without sustainable access to safe drinking water and basic sanitation.</t>
  </si>
  <si>
    <t>Les services d’approvisionnement en eau et d’assainissement sont un aspect clé des interventions d’urgence. En outre, nous nous sommes engagés depuis longtemps à contribuer à la réalisation du 7e objectif du Millénaire pour le développement, qui vise à réduire de moitié, d’ici à la fin de cette année, le pourcentage de la population n’ayant pas accès à un approvisionnement en eau potable ni à des services d’assainissement de base.</t>
  </si>
  <si>
    <t>Los servicios de agua y saneamiento constituyen un aspecto esencial de la intervención a raíz de emergencias. La organización, además, está determinada a contribuir a la consecución del Objetivo de Desarrollo del Milenio 7 que apunta a la reducción, hasta este año, del cincuenta por ciento (50%) de personas que no gozan de acceso sostenible a fuentes de agua salubre y a servicios básicos de saneamiento.</t>
  </si>
  <si>
    <t>تشكل خدمات توفير خدمات الماء والصرف الصحي جزءاً رئيسياً من عملياتنا للإغاثة في حالات الطوارئ. كما أن لدينا التزام طويل الأمد بالإسهام في تحقيق الهدف الإنمائي السابع لأللفية الذي يرمي إلى الحدّ، بحلول هذا العام، بنسبة النصف من عدد الناس الذين لايستفيدون بشكل مستدام من فرص الحصول على الماء الصالح للشرب ومرافق الصرف الصحي الأساسية.</t>
  </si>
  <si>
    <t>reportstrategic2.sections.4.title</t>
  </si>
  <si>
    <t>Promoting safe blood systems</t>
  </si>
  <si>
    <t>Promouvoir des systèmes sûrs d’approvisionnement en sang</t>
  </si>
  <si>
    <t>Promoción de sistemas seguros de suministro de sangre</t>
  </si>
  <si>
    <t>تعزيز أنظمة الدم المأمون</t>
  </si>
  <si>
    <t>reportstrategic2.sections.4.blocks.2</t>
  </si>
  <si>
    <t>Alongside the World Health Organisation, we strongly believe in a policy of 100 per cent voluntary non-remunerated blood donation, because that is safest. At present, only 60 countries have fully achieved this norm. Given worldwide shortages of blood and its components, there is a long way to go to achieve global blood security. Cultural attitudes are an undoubted constraint in some places. Of the 108 million blood donations collected globally, about 21 million or a fifth are associated with Red Cross and Red Crescent blood services. Males tend to dominate as donors, and the Asia Pacific and Europe regions make the most donations</t>
  </si>
  <si>
    <t>Comme l’Organisation mondiale de la Santé, nous croyons fermement à l’approche fondée sur le don de sang entièrement volontaire et non rémunéré, car c’est l’approche la plus sûre. À ce jour, seuls 60 pays ont pleinement atteint cet objectif. Au vu des pénuries de sang et de ses composants dans le monde, il nous reste encore beaucoup à faire pour pouvoir garantir un approvisionnement en sang sûr à l’échelle mondiale. Les attitudes culturelles constituent indubitablement un obstacle dans certaines régions.</t>
  </si>
  <si>
    <t>En pleno acuerdo con la Organización Mundial de la Salud, la Federación Internacional es un firme defensor de la política de donación de sangre totalmente voluntaria y no remunerada, pues se considera la modalidad más segura. De momento, apenas sesenta países cumplen plenamente con esta norma. Habida cuenta de la escasez de suministro de sangre y de sus componentes en el mundo, resta aún un largo camino por recorrer para lograr la seguridad del suministro de sangre a nivel mundial. En ciertos lugares es indiscutible la limitación impuesta por actitudes culturales. Cerca de una quinta parte (21 millones) de los ciento ocho (108) millones de unidades de sangre donadas en el mundo se canaliza a través de los servicios especializados de las organizaciones de la Cruz Roja y de la Media Luna Roja. Suele predominar la donación de sangre por parte de hombres, y esta tendencia se vuelve mayoritaria en las regiones de Asia y el Pacífico y Europa.</t>
  </si>
  <si>
    <t>ومعاً مع منظمة الصحة العالمية، نؤمن إيماناً راسخاً في سياسة التبرع بالدم تطوعاً ودون مقابل على الإطلاق، لأنها هي السياسية الأسلم. وفي الوقت الحالي، لم تنفذ سوى 60 بلداً هذا المعيار بشكل كامل. ونظراً لنقص الدم ومكوناته في جميع أنحاء العالم، ما زال هناك الكثير الذي ينبغي عمله لتأمين توفير الدم في العالم. وتعد المواقف الثقافية عائقاً أكيداً في هذا المجال في بعض الأماكن.وتشكل خدمات التبرع بالدم التي يقدمها الصليب الأحمر والهلال الأحمر نحو21 مليون من 108 مليون تبرع بالدم على مستوى العالم، أي خمسها تقريباً. ويغلب الذكور على المتبرعين وتقدم معظم التبرعات في منطقتي آسيا - المحيط الهادئ و أوروبا.</t>
  </si>
  <si>
    <t>reportstrategic2.sections.4.blocks.1.type</t>
  </si>
  <si>
    <t>reportstrategic2.sections.4.blocks.1.title</t>
  </si>
  <si>
    <t>Number of blood donors</t>
  </si>
  <si>
    <t>Nombre de donneurs de sang</t>
  </si>
  <si>
    <t>Cantidad de donantes de sangre</t>
  </si>
  <si>
    <t>عدد المتبرعين بالدم</t>
  </si>
  <si>
    <t>reportstrategic2.sections.4.blocks.1.dataset.4.second</t>
  </si>
  <si>
    <t>reportstrategic2.sections.4.blocks.1.dataset.4.rest</t>
  </si>
  <si>
    <t>reportstrategic2.sections.4.blocks.1.dataset.4.names.1</t>
  </si>
  <si>
    <t>reportstrategic2.sections.4.blocks.1.dataset.4.names.0</t>
  </si>
  <si>
    <t>reportstrategic2.sections.4.blocks.1.dataset.4.name</t>
  </si>
  <si>
    <t>reportstrategic2.sections.4.blocks.1.dataset.4.index</t>
  </si>
  <si>
    <t>reportstrategic2.sections.4.blocks.1.dataset.4.first</t>
  </si>
  <si>
    <t>reportstrategic2.sections.4.blocks.1.dataset.3.second</t>
  </si>
  <si>
    <t>reportstrategic2.sections.4.blocks.1.dataset.3.rest</t>
  </si>
  <si>
    <t>reportstrategic2.sections.4.blocks.1.dataset.3.names.1</t>
  </si>
  <si>
    <t>reportstrategic2.sections.4.blocks.1.dataset.3.names.0</t>
  </si>
  <si>
    <t>reportstrategic2.sections.4.blocks.1.dataset.3.name</t>
  </si>
  <si>
    <t>reportstrategic2.sections.4.blocks.1.dataset.3.index</t>
  </si>
  <si>
    <t>reportstrategic2.sections.4.blocks.1.dataset.3.first</t>
  </si>
  <si>
    <t>reportstrategic2.sections.4.blocks.1.dataset.2.second</t>
  </si>
  <si>
    <t>reportstrategic2.sections.4.blocks.1.dataset.2.rest</t>
  </si>
  <si>
    <t>reportstrategic2.sections.4.blocks.1.dataset.2.names.1</t>
  </si>
  <si>
    <t>reportstrategic2.sections.4.blocks.1.dataset.2.names.0</t>
  </si>
  <si>
    <t>reportstrategic2.sections.4.blocks.1.dataset.2.name</t>
  </si>
  <si>
    <t>reportstrategic2.sections.4.blocks.1.dataset.2.index</t>
  </si>
  <si>
    <t>reportstrategic2.sections.4.blocks.1.dataset.2.first</t>
  </si>
  <si>
    <t>reportstrategic2.sections.4.blocks.1.dataset.1.second</t>
  </si>
  <si>
    <t>reportstrategic2.sections.4.blocks.1.dataset.1.rest</t>
  </si>
  <si>
    <t>reportstrategic2.sections.4.blocks.1.dataset.1.names.1</t>
  </si>
  <si>
    <t>Turkish Red Crescent society</t>
  </si>
  <si>
    <t>Société du Croissant-Rouge turc</t>
  </si>
  <si>
    <t>الهلال الأحمر التركي</t>
  </si>
  <si>
    <t>reportstrategic2.sections.4.blocks.1.dataset.1.names.0</t>
  </si>
  <si>
    <t>reportstrategic2.sections.4.blocks.1.dataset.1.name</t>
  </si>
  <si>
    <t>reportstrategic2.sections.4.blocks.1.dataset.1.index</t>
  </si>
  <si>
    <t>reportstrategic2.sections.4.blocks.1.dataset.1.first</t>
  </si>
  <si>
    <t>reportstrategic2.sections.4.blocks.1.dataset.0.second</t>
  </si>
  <si>
    <t>reportstrategic2.sections.4.blocks.1.dataset.0.rest</t>
  </si>
  <si>
    <t>reportstrategic2.sections.4.blocks.1.dataset.0.names.1</t>
  </si>
  <si>
    <t>The Republic of Korea National Red Cross</t>
  </si>
  <si>
    <t>Croix-Rouge de la République de Corée</t>
  </si>
  <si>
    <t>الصليب الأحمر الكوري</t>
  </si>
  <si>
    <t>reportstrategic2.sections.4.blocks.1.dataset.0.names.0</t>
  </si>
  <si>
    <t>reportstrategic2.sections.4.blocks.1.dataset.0.name</t>
  </si>
  <si>
    <t>reportstrategic2.sections.4.blocks.1.dataset.0.index</t>
  </si>
  <si>
    <t>reportstrategic2.sections.4.blocks.1.dataset.0.first</t>
  </si>
  <si>
    <t>reportstrategic2.sections.4.blocks.1.caption</t>
  </si>
  <si>
    <t>reportstrategic2.sections.4.blocks.0</t>
  </si>
  <si>
    <t>To serve others by donating your spare money, time, or skills is commendable. To give of your own self is truly noble. It is, therefore, unsurprising that the Red Cross and Red Crescent has been associated with blood services ever since the technology became available. Safe and accessible blood supplies are crucial to save or preserve life in medical care and in the aftermath of accidents, violence, and disasters.</t>
  </si>
  <si>
    <t>Venir en aide aux autres en donnant de son argent, de son temps ou de ses compétences est louable. Faire don de sa propre personne est véritablement noble. Il n’est donc pas surprenant que la Croix-Rouge et le Croissant-Rouge aient été actifs dans le domaine de l’approvisionnement en sang depuis que les progrès technologiques l’ont rendu possible. Un approvisionnement en sang sûr et accessible est essentiel pour sauver des vies dans les établissements médicaux ou à la suite d’accidents, d’actes de violence ou de catastrophes.</t>
  </si>
  <si>
    <t>La donación de tiempo, dinero o servicios para ayudar a los demás es encomiable. Ahora bien, la donación de parte de sí es verdaderamente noble. Así, no sorprende que las organizaciones de la Cruz Roja y de la Media Luna Roja hayan estado asociadas a servicios de sangre desde que se dispuso de la tecnología adecuada. El suministro seguro, inocuo y accesible de productos de sangre es primordial para salvar vidas o preservarlas en contextos de atención médica o a raíz de accidentes, situaciones de violencia y desastres.</t>
  </si>
  <si>
    <t>خدمة الآخرين ببذل مال أو وقت  إضافي أو مهارات إضافية هو عمل محمود. أما بذل الذات فهو عمل نبيل حقاً. ومن ثم، فليس غريباً أن يقترن الصليب الأحمر والهلال الأحمر بخدمات الدم، منذ أن أصبحت التكنولوجيا متوفرة. ويعد توفيرإمدادات الدم المأمون أمراً أساسياً لإنقاذ الحياة أو الحفاظ عليها في الرعاية الطبية، وعقب وقوع الحوادث، و أعمال العنف، والكوارث.</t>
  </si>
  <si>
    <t>reportstrategic2.sections.3.title</t>
  </si>
  <si>
    <t>Healthy living</t>
  </si>
  <si>
    <t>Des modes de vie sains</t>
  </si>
  <si>
    <t>Vida saludable</t>
  </si>
  <si>
    <t>حياة صحية</t>
  </si>
  <si>
    <t>reportstrategic2.sections.3.blocks.7.type</t>
  </si>
  <si>
    <t>reportstrategic2.sections.3.blocks.7.title</t>
  </si>
  <si>
    <t>Number of National Societies targeting the health needs of specific groups</t>
  </si>
  <si>
    <t>Nombre de Sociétés nationales menant des activités axées sur les besoins de groupes spécifiques</t>
  </si>
  <si>
    <t>Cantidad de Sociedades Nacionales que atienden a las necesidades en materia de salud de grupos específicos</t>
  </si>
  <si>
    <t>عدد الجمعيات الوطنية التي تستهدف تلبية المتطلبات الصحية لفئات بعينها</t>
  </si>
  <si>
    <t>reportstrategic2.sections.3.blocks.7.dataset.9.y</t>
  </si>
  <si>
    <t>reportstrategic2.sections.3.blocks.7.dataset.9.x</t>
  </si>
  <si>
    <t>Elderly</t>
  </si>
  <si>
    <t>Personnes âgées</t>
  </si>
  <si>
    <t>Mayores</t>
  </si>
  <si>
    <t>المسنين</t>
  </si>
  <si>
    <t>reportstrategic2.sections.3.blocks.7.dataset.9.fill</t>
  </si>
  <si>
    <t>reportstrategic2.sections.3.blocks.7.dataset.8.y</t>
  </si>
  <si>
    <t>reportstrategic2.sections.3.blocks.7.dataset.8.x</t>
  </si>
  <si>
    <t>Children</t>
  </si>
  <si>
    <t>Enfants</t>
  </si>
  <si>
    <t>Niños</t>
  </si>
  <si>
    <t>الأطفال</t>
  </si>
  <si>
    <t>reportstrategic2.sections.3.blocks.7.dataset.8.fill</t>
  </si>
  <si>
    <t>#E02726</t>
  </si>
  <si>
    <t>reportstrategic2.sections.3.blocks.7.dataset.7.y</t>
  </si>
  <si>
    <t>reportstrategic2.sections.3.blocks.7.dataset.7.x</t>
  </si>
  <si>
    <t>People living with HIV</t>
  </si>
  <si>
    <t>Personnes vivant avec le VIH</t>
  </si>
  <si>
    <t>Personas que viven con el VIH</t>
  </si>
  <si>
    <t>المصابين بفيروس الإيدز</t>
  </si>
  <si>
    <t>reportstrategic2.sections.3.blocks.7.dataset.7.fill</t>
  </si>
  <si>
    <t>#5B325D</t>
  </si>
  <si>
    <t>reportstrategic2.sections.3.blocks.7.dataset.6.y</t>
  </si>
  <si>
    <t>reportstrategic2.sections.3.blocks.7.dataset.6.x</t>
  </si>
  <si>
    <t>Persons living with disabilities</t>
  </si>
  <si>
    <t>Personnes handicapées</t>
  </si>
  <si>
    <t>Personas con discapacidad</t>
  </si>
  <si>
    <t>الأشخاص من ذوي الاحتياجات الخاصه</t>
  </si>
  <si>
    <t>reportstrategic2.sections.3.blocks.7.dataset.6.fill</t>
  </si>
  <si>
    <t>#84BB23</t>
  </si>
  <si>
    <t>reportstrategic2.sections.3.blocks.7.dataset.5.y</t>
  </si>
  <si>
    <t>reportstrategic2.sections.3.blocks.7.dataset.5.x</t>
  </si>
  <si>
    <t>Migrants</t>
  </si>
  <si>
    <t>Migrantes</t>
  </si>
  <si>
    <t>المهاجرون</t>
  </si>
  <si>
    <t>reportstrategic2.sections.3.blocks.7.dataset.5.fill</t>
  </si>
  <si>
    <t>#1A9FE0</t>
  </si>
  <si>
    <t>reportstrategic2.sections.3.blocks.7.dataset.4.y</t>
  </si>
  <si>
    <t>reportstrategic2.sections.3.blocks.7.dataset.4.x</t>
  </si>
  <si>
    <t>Sex workers</t>
  </si>
  <si>
    <t>Professionnel(le)s du sexe</t>
  </si>
  <si>
    <t>Trabajadores del sexo</t>
  </si>
  <si>
    <t>المشتغلون بالجنس</t>
  </si>
  <si>
    <t>reportstrategic2.sections.3.blocks.7.dataset.4.fill</t>
  </si>
  <si>
    <t>#D5106E</t>
  </si>
  <si>
    <t>reportstrategic2.sections.3.blocks.7.dataset.3.y</t>
  </si>
  <si>
    <t>reportstrategic2.sections.3.blocks.7.dataset.3.x</t>
  </si>
  <si>
    <t>Drug users</t>
  </si>
  <si>
    <t>Consommateurs de drogues</t>
  </si>
  <si>
    <t>Consumidores de drogas</t>
  </si>
  <si>
    <t>متعاطو العقاقير</t>
  </si>
  <si>
    <t>reportstrategic2.sections.3.blocks.7.dataset.3.fill</t>
  </si>
  <si>
    <t>#5A6122</t>
  </si>
  <si>
    <t>reportstrategic2.sections.3.blocks.7.dataset.2.y</t>
  </si>
  <si>
    <t>reportstrategic2.sections.3.blocks.7.dataset.2.x</t>
  </si>
  <si>
    <t>Men who have sex with men</t>
  </si>
  <si>
    <t>Hommes ayant des rapports sexuels avec d’autres hommes</t>
  </si>
  <si>
    <t>Hombres que mantienen relaciones sexuales con otros hombres</t>
  </si>
  <si>
    <t>الرجال الذين يمارسون الجنس مع رجال</t>
  </si>
  <si>
    <t>reportstrategic2.sections.3.blocks.7.dataset.2.fill</t>
  </si>
  <si>
    <t>reportstrategic2.sections.3.blocks.7.dataset.10.y</t>
  </si>
  <si>
    <t>reportstrategic2.sections.3.blocks.7.dataset.10.x</t>
  </si>
  <si>
    <t>Youth</t>
  </si>
  <si>
    <t>Jeunes</t>
  </si>
  <si>
    <t>Jóvenes</t>
  </si>
  <si>
    <t>الشباب</t>
  </si>
  <si>
    <t>reportstrategic2.sections.3.blocks.7.dataset.10.fill</t>
  </si>
  <si>
    <t>#682F26</t>
  </si>
  <si>
    <t>reportstrategic2.sections.3.blocks.7.dataset.1.y</t>
  </si>
  <si>
    <t>reportstrategic2.sections.3.blocks.7.dataset.1.x</t>
  </si>
  <si>
    <t>Other groups</t>
  </si>
  <si>
    <t>Autres groupes</t>
  </si>
  <si>
    <t>Otros grupos</t>
  </si>
  <si>
    <t>الفئات الأخرى</t>
  </si>
  <si>
    <t>reportstrategic2.sections.3.blocks.7.dataset.1.fill</t>
  </si>
  <si>
    <t>#756661</t>
  </si>
  <si>
    <t>reportstrategic2.sections.3.blocks.7.dataset.0.y</t>
  </si>
  <si>
    <t>reportstrategic2.sections.3.blocks.7.dataset.0.x</t>
  </si>
  <si>
    <t>Transgender persons</t>
  </si>
  <si>
    <t>Personnes transgenres</t>
  </si>
  <si>
    <t>Personas transgénero</t>
  </si>
  <si>
    <t>المتحولون جنسياً</t>
  </si>
  <si>
    <t>reportstrategic2.sections.3.blocks.7.dataset.0.fill</t>
  </si>
  <si>
    <t>#C5C6C6</t>
  </si>
  <si>
    <t>reportstrategic2.sections.3.blocks.7.caption</t>
  </si>
  <si>
    <t>reportstrategic2.sections.3.blocks.6</t>
  </si>
  <si>
    <t>In terms of targeting, the majority of National Societies work with youth, children, elderly, people living with HIV, migrants, and people with disabilities</t>
  </si>
  <si>
    <t>En ce qui concerne les groupes spécifiques, la majorité des Sociétés nationales travaillent avec les jeunes, les enfants, les personnes âgées, les personnes vivant avec le VIH, les migrants et les personnes handicapées.</t>
  </si>
  <si>
    <t>En cuanto a los grupos destinatarios, la mayoría de Sociedades Nacionales trabaja con jóvenes, niños, adultos mayores, personas que viven con el VIH, migrantes y personas con discapacidades.</t>
  </si>
  <si>
    <t>من حيث الأهداف، تعمل غالبية الجمعيات الوطنية مع الشباب، والأطفال، والمسنين، والمتعايشين مع فيروس نقص المناعة البشري، والمهاجرين، والأشخاص ذوي الإعاقة</t>
  </si>
  <si>
    <t>reportstrategic2.sections.3.blocks.5.type</t>
  </si>
  <si>
    <t>reportstrategic2.sections.3.blocks.5.title</t>
  </si>
  <si>
    <t>Percentage of National Societies reporting on health services</t>
  </si>
  <si>
    <t>Poucentage de Sociétés nationales déclarant fournir des services de santé</t>
  </si>
  <si>
    <t>Porcentaje de Sociedades Nacionales que informan sobre servicios de salud</t>
  </si>
  <si>
    <t>نسبة الجمعيات الوطنية التي أبلغت عن الخدمات الصحية</t>
  </si>
  <si>
    <t>reportstrategic2.sections.3.blocks.5.dataset.9.y</t>
  </si>
  <si>
    <t>reportstrategic2.sections.3.blocks.5.dataset.9.x</t>
  </si>
  <si>
    <t>Water, sanitation and hygiene promotion</t>
  </si>
  <si>
    <t>Promotion de leau, de lassainissement et de lhygiène</t>
  </si>
  <si>
    <t>Agua, saneamiento y promoción de la higiene</t>
  </si>
  <si>
    <t>الماء والصرف الصحي و التوعية بالنظافة الصحية</t>
  </si>
  <si>
    <t>reportstrategic2.sections.3.blocks.5.dataset.8.y</t>
  </si>
  <si>
    <t>reportstrategic2.sections.3.blocks.5.dataset.8.x</t>
  </si>
  <si>
    <t>Community-based health and first aid</t>
  </si>
  <si>
    <t>Santé communautaire et premiers secours</t>
  </si>
  <si>
    <t>Salud y primeros auxilios comunitarios</t>
  </si>
  <si>
    <t>الأنشطة المجتمعية اللمعنية بالصحة والإسعافات الأولية</t>
  </si>
  <si>
    <t>reportstrategic2.sections.3.blocks.5.dataset.7.y</t>
  </si>
  <si>
    <t>reportstrategic2.sections.3.blocks.5.dataset.7.x</t>
  </si>
  <si>
    <t>Sexual and reproductive health</t>
  </si>
  <si>
    <t>Santé sexuelle et reproductive</t>
  </si>
  <si>
    <t>Salud sexual y reproductiva</t>
  </si>
  <si>
    <t>الصحة الجنسية والإنجابية</t>
  </si>
  <si>
    <t>reportstrategic2.sections.3.blocks.5.dataset.6.y</t>
  </si>
  <si>
    <t>reportstrategic2.sections.3.blocks.5.dataset.6.x</t>
  </si>
  <si>
    <t>Nutrition</t>
  </si>
  <si>
    <t>Nutrición</t>
  </si>
  <si>
    <t>التغذية</t>
  </si>
  <si>
    <t>reportstrategic2.sections.3.blocks.5.dataset.5.y</t>
  </si>
  <si>
    <t>reportstrategic2.sections.3.blocks.5.dataset.5.x</t>
  </si>
  <si>
    <t>reportstrategic2.sections.3.blocks.5.dataset.4.y</t>
  </si>
  <si>
    <t>reportstrategic2.sections.3.blocks.5.dataset.4.x</t>
  </si>
  <si>
    <t>Blood donation</t>
  </si>
  <si>
    <t>Don de sang</t>
  </si>
  <si>
    <t>Donación de sangre</t>
  </si>
  <si>
    <t>المتبرعين بالدم</t>
  </si>
  <si>
    <t>reportstrategic2.sections.3.blocks.5.dataset.32.y</t>
  </si>
  <si>
    <t>reportstrategic2.sections.3.blocks.5.dataset.32.x</t>
  </si>
  <si>
    <t>Other maternal, newborn and child health</t>
  </si>
  <si>
    <t>Autres soins de santé maternelle, néonatale et infantile</t>
  </si>
  <si>
    <t>Otros actividades relacionadas con salud materna, neonatal e infantil</t>
  </si>
  <si>
    <t>أنشطة أخري معنية بصحة الأم والوليد و الطفل</t>
  </si>
  <si>
    <t>reportstrategic2.sections.3.blocks.5.dataset.31.y</t>
  </si>
  <si>
    <t>reportstrategic2.sections.3.blocks.5.dataset.31.x</t>
  </si>
  <si>
    <t>Other health and social activities</t>
  </si>
  <si>
    <t>Autres activités sanitaires et sociales</t>
  </si>
  <si>
    <t>Otras actividades de índole sanitaria o social</t>
  </si>
  <si>
    <t>أنشطة صحية و إجتماعية أخرى</t>
  </si>
  <si>
    <t>reportstrategic2.sections.3.blocks.5.dataset.30.y</t>
  </si>
  <si>
    <t>reportstrategic2.sections.3.blocks.5.dataset.30.x</t>
  </si>
  <si>
    <t>Other immunisation campaigns</t>
  </si>
  <si>
    <t>Autres campagnes de vaccination</t>
  </si>
  <si>
    <t>Campañas de inmunización contra otras enfermedades</t>
  </si>
  <si>
    <t>حملات التحصين ضد الإصابة بأمراض أخري</t>
  </si>
  <si>
    <t>reportstrategic2.sections.3.blocks.5.dataset.3.y</t>
  </si>
  <si>
    <t>reportstrategic2.sections.3.blocks.5.dataset.3.x</t>
  </si>
  <si>
    <t>Psychosocial support</t>
  </si>
  <si>
    <t>Soutien psychosocial</t>
  </si>
  <si>
    <t>Apoyo psicosocial</t>
  </si>
  <si>
    <t>الدعم النفسي الاجتماعي</t>
  </si>
  <si>
    <t>reportstrategic2.sections.3.blocks.5.dataset.29.y</t>
  </si>
  <si>
    <t>reportstrategic2.sections.3.blocks.5.dataset.29.x</t>
  </si>
  <si>
    <t>Other disease control</t>
  </si>
  <si>
    <t>Autre contrôle des maladies</t>
  </si>
  <si>
    <t>Control de otras enfermedades</t>
  </si>
  <si>
    <t>مكافحة أمراض أخري</t>
  </si>
  <si>
    <t>reportstrategic2.sections.3.blocks.5.dataset.28.y</t>
  </si>
  <si>
    <t>reportstrategic2.sections.3.blocks.5.dataset.28.x</t>
  </si>
  <si>
    <t>Dengue control</t>
  </si>
  <si>
    <t>Contrôle de la dengue</t>
  </si>
  <si>
    <t>Control del dengue</t>
  </si>
  <si>
    <t xml:space="preserve">مكافحة حمي الضنك </t>
  </si>
  <si>
    <t>reportstrategic2.sections.3.blocks.5.dataset.27.y</t>
  </si>
  <si>
    <t>reportstrategic2.sections.3.blocks.5.dataset.27.x</t>
  </si>
  <si>
    <t>Other routine immunisation</t>
  </si>
  <si>
    <t>Autre vaccination de routine</t>
  </si>
  <si>
    <t>Inmunizaciones sistemáticas contra otras enfermedades</t>
  </si>
  <si>
    <t>التحصين الدوري ضد الإصابة بأمراض أخري</t>
  </si>
  <si>
    <t>reportstrategic2.sections.3.blocks.5.dataset.26.y</t>
  </si>
  <si>
    <t>reportstrategic2.sections.3.blocks.5.dataset.26.x</t>
  </si>
  <si>
    <t>Polio immunisation campaigns</t>
  </si>
  <si>
    <t>Campagnes de vaccination contre la poliomyélite</t>
  </si>
  <si>
    <t>Campañas de inmunización contra la polio</t>
  </si>
  <si>
    <t>حملات التحصين ضد الإصابة بشلل الأطفال</t>
  </si>
  <si>
    <t>reportstrategic2.sections.3.blocks.5.dataset.25.y</t>
  </si>
  <si>
    <t>reportstrategic2.sections.3.blocks.5.dataset.25.x</t>
  </si>
  <si>
    <t>Active ageing</t>
  </si>
  <si>
    <t>Vieillissement actif</t>
  </si>
  <si>
    <t>Envejecer sin perder dinamismo</t>
  </si>
  <si>
    <t xml:space="preserve">النشاط الهِرَمي </t>
  </si>
  <si>
    <t>reportstrategic2.sections.3.blocks.5.dataset.24.y</t>
  </si>
  <si>
    <t>reportstrategic2.sections.3.blocks.5.dataset.24.x</t>
  </si>
  <si>
    <t>Measles immunisation campaigns</t>
  </si>
  <si>
    <t>Campagnes de vaccination contre la rougeole</t>
  </si>
  <si>
    <t>Campañas de inmunización contra el sarampión</t>
  </si>
  <si>
    <t>حملات التحصين ضد الإصابة بالحصباء</t>
  </si>
  <si>
    <t>reportstrategic2.sections.3.blocks.5.dataset.23.y</t>
  </si>
  <si>
    <t>reportstrategic2.sections.3.blocks.5.dataset.23.x</t>
  </si>
  <si>
    <t>Routine polio immunisation</t>
  </si>
  <si>
    <t>Vaccination de routine contre la poliomyélite</t>
  </si>
  <si>
    <t>Inmunización sistemática contra la polio</t>
  </si>
  <si>
    <t>التحصين الدوري ضد شلل الأطفال</t>
  </si>
  <si>
    <t>reportstrategic2.sections.3.blocks.5.dataset.22.y</t>
  </si>
  <si>
    <t>reportstrategic2.sections.3.blocks.5.dataset.22.x</t>
  </si>
  <si>
    <t>Postnatal care</t>
  </si>
  <si>
    <t>Soins postnatals</t>
  </si>
  <si>
    <t>Atención puerperal</t>
  </si>
  <si>
    <t>الرعاية اللاحقة للولادة</t>
  </si>
  <si>
    <t>reportstrategic2.sections.3.blocks.5.dataset.21.y</t>
  </si>
  <si>
    <t>reportstrategic2.sections.3.blocks.5.dataset.21.x</t>
  </si>
  <si>
    <t>Antenatal care</t>
  </si>
  <si>
    <t>Soin prénatal</t>
  </si>
  <si>
    <t>Atención prenatal</t>
  </si>
  <si>
    <t>الرعاية السابقة للولادة</t>
  </si>
  <si>
    <t>reportstrategic2.sections.3.blocks.5.dataset.20.y</t>
  </si>
  <si>
    <t>reportstrategic2.sections.3.blocks.5.dataset.20.x</t>
  </si>
  <si>
    <t>Malaria control</t>
  </si>
  <si>
    <t>Controle du paludisme</t>
  </si>
  <si>
    <t>Control del paludismo</t>
  </si>
  <si>
    <t>مكافحة الملاريا</t>
  </si>
  <si>
    <t>reportstrategic2.sections.3.blocks.5.dataset.2.y</t>
  </si>
  <si>
    <t>reportstrategic2.sections.3.blocks.5.dataset.2.x</t>
  </si>
  <si>
    <t>HIV control</t>
  </si>
  <si>
    <t>Contrôle du VIH</t>
  </si>
  <si>
    <t>Control del VIH</t>
  </si>
  <si>
    <t>مكافحة فيروس الإيد</t>
  </si>
  <si>
    <t>reportstrategic2.sections.3.blocks.5.dataset.19.y</t>
  </si>
  <si>
    <t>reportstrategic2.sections.3.blocks.5.dataset.19.x</t>
  </si>
  <si>
    <t>Mental health</t>
  </si>
  <si>
    <t>Santé mentale</t>
  </si>
  <si>
    <t>Salud mental</t>
  </si>
  <si>
    <t>الصحة العقلية</t>
  </si>
  <si>
    <t>reportstrategic2.sections.3.blocks.5.dataset.18.y</t>
  </si>
  <si>
    <t>reportstrategic2.sections.3.blocks.5.dataset.18.x</t>
  </si>
  <si>
    <t>Routine measles immunisation</t>
  </si>
  <si>
    <t>Vaccination de routine contre la rougeole</t>
  </si>
  <si>
    <t>Inmunización sistemática contra el sarampión</t>
  </si>
  <si>
    <t>التحصين الدوري ضد الإصابة بالحصباء</t>
  </si>
  <si>
    <t>reportstrategic2.sections.3.blocks.5.dataset.17.y</t>
  </si>
  <si>
    <t>reportstrategic2.sections.3.blocks.5.dataset.17.x</t>
  </si>
  <si>
    <t>Harm reduction</t>
  </si>
  <si>
    <t>Réduction des méfaits</t>
  </si>
  <si>
    <t>Reducción de los daños</t>
  </si>
  <si>
    <t>الحد من الأذي</t>
  </si>
  <si>
    <t>reportstrategic2.sections.3.blocks.5.dataset.16.y</t>
  </si>
  <si>
    <t>reportstrategic2.sections.3.blocks.5.dataset.16.x</t>
  </si>
  <si>
    <t>Maternal and child nutrition</t>
  </si>
  <si>
    <t>Nutrition maternelle et infantile</t>
  </si>
  <si>
    <t>Nutrición materna e infantil</t>
  </si>
  <si>
    <t>تغذية الأم والطفل</t>
  </si>
  <si>
    <t>reportstrategic2.sections.3.blocks.5.dataset.15.y</t>
  </si>
  <si>
    <t>reportstrategic2.sections.3.blocks.5.dataset.15.x</t>
  </si>
  <si>
    <t>Family planning</t>
  </si>
  <si>
    <t>Planification familiale</t>
  </si>
  <si>
    <t>Planificación familiar</t>
  </si>
  <si>
    <t>تنظيم الأسرة</t>
  </si>
  <si>
    <t>reportstrategic2.sections.3.blocks.5.dataset.14.y</t>
  </si>
  <si>
    <t>reportstrategic2.sections.3.blocks.5.dataset.14.x</t>
  </si>
  <si>
    <t>reportstrategic2.sections.3.blocks.5.dataset.13.y</t>
  </si>
  <si>
    <t>reportstrategic2.sections.3.blocks.5.dataset.13.x</t>
  </si>
  <si>
    <t>Influenza control</t>
  </si>
  <si>
    <t>Contrôle de la grippe</t>
  </si>
  <si>
    <t>Control de la gripe</t>
  </si>
  <si>
    <t>مكافحة الإنفلونزا</t>
  </si>
  <si>
    <t>reportstrategic2.sections.3.blocks.5.dataset.12.y</t>
  </si>
  <si>
    <t>reportstrategic2.sections.3.blocks.5.dataset.12.x</t>
  </si>
  <si>
    <t>Support of breastfeeding</t>
  </si>
  <si>
    <t>Accompagnement de lallaitement</t>
  </si>
  <si>
    <t>Apoyo a la lactancia materna</t>
  </si>
  <si>
    <t>دعم الرضاعة الطبيعية</t>
  </si>
  <si>
    <t>reportstrategic2.sections.3.blocks.5.dataset.11.y</t>
  </si>
  <si>
    <t>reportstrategic2.sections.3.blocks.5.dataset.11.x</t>
  </si>
  <si>
    <t>Control of noncummunicable diseases</t>
  </si>
  <si>
    <t>Lutte contre les maladies non transmissibles</t>
  </si>
  <si>
    <t>Control de las enfermedades no transmisibles</t>
  </si>
  <si>
    <t>مكافحة الأمراض غير المعدية</t>
  </si>
  <si>
    <t>reportstrategic2.sections.3.blocks.5.dataset.10.y</t>
  </si>
  <si>
    <t>reportstrategic2.sections.3.blocks.5.dataset.10.x</t>
  </si>
  <si>
    <t>Tuberculosis</t>
  </si>
  <si>
    <t>Tuberculose</t>
  </si>
  <si>
    <t>Control de la tuberculosis</t>
  </si>
  <si>
    <t>مكافحة السل</t>
  </si>
  <si>
    <t>reportstrategic2.sections.3.blocks.5.dataset.1.y</t>
  </si>
  <si>
    <t>reportstrategic2.sections.3.blocks.5.dataset.1.x</t>
  </si>
  <si>
    <t>First aid</t>
  </si>
  <si>
    <t>Premiers secours</t>
  </si>
  <si>
    <t>Primeros auxilios</t>
  </si>
  <si>
    <t>الإسعافات الأوليه</t>
  </si>
  <si>
    <t>reportstrategic2.sections.3.blocks.5.dataset.0.y</t>
  </si>
  <si>
    <t>reportstrategic2.sections.3.blocks.5.dataset.0.x</t>
  </si>
  <si>
    <t>reportstrategic2.sections.3.blocks.5.caption</t>
  </si>
  <si>
    <t>reportstrategic2.sections.3.blocks.4</t>
  </si>
  <si>
    <t>The national and local burdens of disease vary, and so do the health and social care activities of National Societies. This has shifted over time, as national government health systems have developed to take on more, leaving National Red Cross and Red Crescent Societies to support under-served and auxiliary areas. A sample survey indicated 30 types of health work in 2013</t>
  </si>
  <si>
    <t>Les charges de morbidité aux niveaux national et local varient, de même que les activités des Sociétés nationales dans le domaine de la santé et de la protection sociale. La situation a évolué au fil du temps, les systèmes de santé nationaux s’étant développé de façon à assumer un rôle plus important, laissant les Sociétés nationales de la Croix-Rouge et du Croissant-Rouge en charge des zones mal desservies et des domaines auxiliaires. Selon une enquête, la Croix-Rouge et le Croissant-Rouge menaient 30 types d’activités dans le domaine de la santé en 2013.</t>
  </si>
  <si>
    <t>La carga de enfermedades varía en los planos local y nacional, y las Sociedades Nacionales adaptan en consecuencia sus actividades de atención social y de salud. Esta función ha evolucionado con el tiempo a medida que los sistemas gubernamentales nacionales se han consolidado y han podido asumir mayores responsabilidades, mientras que las Sociedades Nacionales concentran su apoyo en zonas desatendidas o en sectores auxiliares. Una encuesta ilustrativa denotó la existencia de treinta (30) tipos de actividades de salud en 2013.</t>
  </si>
  <si>
    <t>وتتنوع أعباء ألأمراض على المستويين الوطني والمحلي، وكذلك أنشطة الرعاية الصحية والاجتماعية للجمعيات الوطنية. وتغير مع مرورالوقت، بتطور الأنظمة الصحية الوطنية للحكومات وتحملّها لمزيد من المسؤوليات،  تاركة لجميعات الصليب الأحمر والهلال الأحمرمسؤلية دعم المناطق التيتنقصها الخدمات والمناطق الفرعية. وقد بيّنت عيّنة من الدراسات الاستقصائية وجود 30 نوعاً من الخدمات الصحية في عام 2013.</t>
  </si>
  <si>
    <t>reportstrategic2.sections.3.blocks.3</t>
  </si>
  <si>
    <t>The modern version of this is our integrated Community-based Health and First Aid package, the basic platform for all we do. Going beyond the handling of common injuries, it helps communities to identify and address their priority health issues, advocates health promotion and disease prevention, and prepares volunteers to respond to the health consequences of disasters and other emergencies.</t>
  </si>
  <si>
    <t>Les programmes intégrés de premiers secours et de santé à base communautaire sont la version moderne de cet effort et la base de toutes nos activités. Il ne s’agit pas seulement de soigner les blessures courantes, mais aussi d’aider les communautés à identifier et à résoudre les questions prioritaires en matière de santé, de promouvoir la santé et la prévention des maladies et de préparer les volontaires à faire face aux conséquences sanitaires des catastrophes ou d’autres situations d’urgence.</t>
  </si>
  <si>
    <t>La versión contemporánea de esta función reside en el sistema de servicios de salud y primeros auxilios basados en la comunidad que forman los cimientos de toda la labor de la organización en este ámbito. Más allá del tratamiento de heridas y lesiones corrientes, se brinda ayuda a las comunidades para que solucionen problemas prioritarios en materia de salud, se aboga por la promoción de la salud y la prevención de enfermedades, y se imparte formación a los voluntarios para que puedan paliar las consecuencias sanitarias de los desastres y otras emergencias.</t>
  </si>
  <si>
    <t>والجديد في هذا الشأن هو مجموعتنا المتكاملة والمجتمعية للصحة والإسعافات الأولية، وهي الإطار الأساسي لكل ما نقوم به. ف إلى جانب معالجة الإصابات الشائعة، تساعد تلك المجموعة المجتمعات على تحديد القضايا الصحية ذات الأولوية لديها ومعالجتها، وتناصر تعزيز الصحة والوقاية من الأمراض، وتعد المتطوعين لمواجهة العواقب الصحية للكوارث وغيرها من حالات الطوارئ.</t>
  </si>
  <si>
    <t>reportstrategic2.sections.3.blocks.2</t>
  </si>
  <si>
    <t>The Red Cross and Red Crescent is known as the pioneer of first aid in both war and peace, and has undoubtedly saved countless lives over many decades.</t>
  </si>
  <si>
    <t>Le réseau de la Croix-Rouge et du Croissant-Rouge est reconnu comme le pionnier des premiers secours en temps de guerre comme en temps de paix et a sauvé d’innombrables vies au cours de ses décennies d’activité.</t>
  </si>
  <si>
    <t>Las organizaciones de la Cruz Roja y de la Media Luna Roja son conocidas por su función pionera en la prestación de servicios de primeros auxilios tanto en tiempos de paz como de guerra. Es reconocida su trayectoria de innumerables vidas salvadas a lo largo de decenios.</t>
  </si>
  <si>
    <t>والصليب الأحمر والهلال الأحمر معروف بأنه رائد في مجال الإسعافات الأولية سواء في الحرب أو السلام، و أنه أنقذ دون شك عدداً لا يحصى الأرواح على مدى العديد من العقود.</t>
  </si>
  <si>
    <t>reportstrategic2.sections.3.blocks.1.2</t>
  </si>
  <si>
    <t>Tackling underlying social, behavioural, and environmental factors that determine good health</t>
  </si>
  <si>
    <t>en agissant sur les facteurs sociaux, comportementaux et environnementaux sous-jacents qui favorisent la bonne santé.</t>
  </si>
  <si>
    <t>la solución de problemas sociales, ambientales y de comportamiento subyacentes que determinan un buen estado de salud.</t>
  </si>
  <si>
    <t>التصدي للعوامل الأساسية الاجتماعية والسلوكية والبيئية التي تساهم في الصحة الجيدة.</t>
  </si>
  <si>
    <t>reportstrategic2.sections.3.blocks.1.1</t>
  </si>
  <si>
    <t>Enhancing the healing benefits of edical care through essential nutritional, educational, psychosocial, and rehabilitative interventions</t>
  </si>
  <si>
    <t>en renforçant l’effet réparateur des soins médicaux grâce à des activités essentielles dans le domaine de la nutrition, de l’éducation, du soutien psychosocial et de la réadaptation;</t>
  </si>
  <si>
    <t>la adopción de medidas que contribuyan al pleno beneficio curativo de la atención médica mediante actividades de nutrición esencial, educación, acompañamiento psicosocial;</t>
  </si>
  <si>
    <t>تحسين إمكانيات الوشفاء التي توفرها الرعاية الطبية، من خلال أنوشطة أساسية تغذوية وتعليمية ونفسية واجتماعية وتأهيلية</t>
  </si>
  <si>
    <t>reportstrategic2.sections.3.blocks.1.0</t>
  </si>
  <si>
    <t>Expanding access of underserved people to primary and public health services including during emergencies</t>
  </si>
  <si>
    <t>en améliorant l’accès des personnes mal desservies aux services de santé publique de base, notamment dans les situations d’urgence;</t>
  </si>
  <si>
    <t>la ampliación del acceso a servicios de atención de salud primaria y pública por parte de grupos desatendidos y durante situaciones de emergencia en particular;</t>
  </si>
  <si>
    <t>توسيع نطاق الحصول على خدمات الصحة الأولية والصحة العامة بما في ذلك أثناء حالات الطوارئ للأشخاص الذين تنقصهم تلك الخدمات</t>
  </si>
  <si>
    <t>reportstrategic2.sections.3.blocks.0</t>
  </si>
  <si>
    <t>Noting that good health is a state of physical, mental, and social wellbeing, the Red Cross and Red Crescent work in health and social care focuses on tackling inequalities by:</t>
  </si>
  <si>
    <t>Définissant la bonne santé comme un état de bien-être physique, mental et social, la Croix-Rouge et le CroissantRouge s’efforcent de lutter contre les inégalités dans le domaine de la santé et de la protection sociale :</t>
  </si>
  <si>
    <t>Conscientes de que la salud es un estado integral de bienestar físico, mental y social, las organizaciones de la Cruz Roja y de la Media Luna Roja centran sus esfuerzos de atención sanitaria y social en la reducción de desigualdades mediante:</t>
  </si>
  <si>
    <t>يشير الصليب الأحمر والهلال الأحمر إلى الحياة الصحية باعتبارها حالة من الراحة البدنية والعقلية والاجتماعية. وهو يعمل في مجال الرعاية الصحية والاجتماعية حيث يركز على التصدي لأوجه عدم المساواة عن طريق الآتي:</t>
  </si>
  <si>
    <t>reportstrategic2.sections.2.title</t>
  </si>
  <si>
    <t>Road safety</t>
  </si>
  <si>
    <t>La sécurité routière</t>
  </si>
  <si>
    <t>Seguridad vial</t>
  </si>
  <si>
    <t>السلامة على الطرق</t>
  </si>
  <si>
    <t>reportstrategic2.sections.2.blocks.1.type</t>
  </si>
  <si>
    <t>reportstrategic2.sections.2.blocks.1.title</t>
  </si>
  <si>
    <t>Road Safety Involvement and Activities</t>
  </si>
  <si>
    <t>Activités de sécurité routière</t>
  </si>
  <si>
    <t>Participación de las Sociedades Nacionales en actividades relacionadas con seguridad vial</t>
  </si>
  <si>
    <t>مشاركة والأنشطة في السلامة على الطرق</t>
  </si>
  <si>
    <t>reportstrategic2.sections.2.blocks.1.tabs.1.name</t>
  </si>
  <si>
    <t>Activities</t>
  </si>
  <si>
    <t>Activités</t>
  </si>
  <si>
    <t>Actividades</t>
  </si>
  <si>
    <t>الأنشطة</t>
  </si>
  <si>
    <t>reportstrategic2.sections.2.blocks.1.tabs.1.headers.1</t>
  </si>
  <si>
    <t>No. of activities</t>
  </si>
  <si>
    <t>Nombre d’activités</t>
  </si>
  <si>
    <t>Cantidad de actividades</t>
  </si>
  <si>
    <t>عدد الأنشطة</t>
  </si>
  <si>
    <t>reportstrategic2.sections.2.blocks.1.tabs.1.headers.0</t>
  </si>
  <si>
    <t>reportstrategic2.sections.2.blocks.1.tabs.1.dataset.5.amount</t>
  </si>
  <si>
    <t>reportstrategic2.sections.2.blocks.1.tabs.1.dataset.5.activity</t>
  </si>
  <si>
    <t>Information dissemination/aweareness</t>
  </si>
  <si>
    <t>Difusión de información y fomento de la sensibilización</t>
  </si>
  <si>
    <t>نشر المعلومات/التوعية</t>
  </si>
  <si>
    <t>reportstrategic2.sections.2.blocks.1.tabs.1.dataset.4.amount</t>
  </si>
  <si>
    <t>reportstrategic2.sections.2.blocks.1.tabs.1.dataset.4.activity</t>
  </si>
  <si>
    <t>Advocacy for road safety intervention</t>
  </si>
  <si>
    <t>Plaidoyer pour une intervention en matière de sécurité routière</t>
  </si>
  <si>
    <t>Promoción de las intervenciones relacionadas con seguridad vial</t>
  </si>
  <si>
    <t>مناصرة الأنشطة في مجال السلامة على الطرق</t>
  </si>
  <si>
    <t>reportstrategic2.sections.2.blocks.1.tabs.1.dataset.3.amount</t>
  </si>
  <si>
    <t>reportstrategic2.sections.2.blocks.1.tabs.1.dataset.3.activity</t>
  </si>
  <si>
    <t>Road safety capacity building or training (i.e. first aid training)</t>
  </si>
  <si>
    <t>Renforcement des capacités ou formation en sécurité routière (par exemple: formation aux premiers secours))</t>
  </si>
  <si>
    <t>Fortalecimiento de capacidades o formación en materia de seguridad vial (por ejemplo, formación en primeros auxilios)</t>
  </si>
  <si>
    <t>التدريب أو بناء القدرات في مجال السلامة على الطرق (التدريب على الإسعافات الأولية على سبيل المثال)</t>
  </si>
  <si>
    <t>reportstrategic2.sections.2.blocks.1.tabs.1.dataset.2.amount</t>
  </si>
  <si>
    <t>reportstrategic2.sections.2.blocks.1.tabs.1.dataset.2.activity</t>
  </si>
  <si>
    <t>Programmes for protection of road users</t>
  </si>
  <si>
    <t>Programmes de protection des usagers de la route</t>
  </si>
  <si>
    <t>Programas para la protección de los usuarios de las vías de circulación</t>
  </si>
  <si>
    <t>برامج لحماية مستخدمي الطرق</t>
  </si>
  <si>
    <t>reportstrategic2.sections.2.blocks.1.tabs.1.dataset.1.amount</t>
  </si>
  <si>
    <t>reportstrategic2.sections.2.blocks.1.tabs.1.dataset.1.activity</t>
  </si>
  <si>
    <t>Road safety education for staff and volunteers</t>
  </si>
  <si>
    <t>Éducation à la sécurité routière pour le personnel et les bénévoles</t>
  </si>
  <si>
    <t>Educación en materia de seguridad vial dirigida a los miembros del personal y a los voluntarios</t>
  </si>
  <si>
    <t>توعية الموظفين والمتطوعين بممارسات السلامة على الطرق</t>
  </si>
  <si>
    <t>reportstrategic2.sections.2.blocks.1.tabs.1.dataset.0.amount</t>
  </si>
  <si>
    <t>reportstrategic2.sections.2.blocks.1.tabs.1.dataset.0.activity</t>
  </si>
  <si>
    <t>Education for groups (e.g. children, youth, novice, drivers, police officers)</t>
  </si>
  <si>
    <t>Éducation pour les groupes (par exemple: enfants, jeunes, novices, conducteurs, officiers de police)</t>
  </si>
  <si>
    <t>Educación para grupos (por ejemplo, niños, jóvenes, novatos, conductores, oficiales de policía)</t>
  </si>
  <si>
    <t>توعية الفئات (على سبيل المثال الأطفال، والشباب، والمبتدئين، والسائقين، ومسؤولي الشرطة)</t>
  </si>
  <si>
    <t>reportstrategic2.sections.2.blocks.1.tabs.0.name</t>
  </si>
  <si>
    <t>Involvement</t>
  </si>
  <si>
    <t>Participation</t>
  </si>
  <si>
    <t>Participación</t>
  </si>
  <si>
    <t>مشاركة</t>
  </si>
  <si>
    <t>reportstrategic2.sections.2.blocks.1.tabs.0.headers.2</t>
  </si>
  <si>
    <t>Percentage of National Societies in each region interested in strengthening/expanding road safety activities</t>
  </si>
  <si>
    <t>Pourcentage de Sociétés nationales souhaitant renforcer/étendre leurs activités de sécurité routière, par région</t>
  </si>
  <si>
    <t>Porcentaje de Sociedades Nacionales en cada región interesadas en el fortalecimiento y ampliación de sus actividades relacionadas con la seguridad vial</t>
  </si>
  <si>
    <t>نسبة الجمعيات الوطنية التي تضطلع بأنشطة في مجال السلامة على الطرق، مصنفة حسب المناطق</t>
  </si>
  <si>
    <t>reportstrategic2.sections.2.blocks.1.tabs.0.headers.1</t>
  </si>
  <si>
    <t>Percentage of National Societies in each region carrying out road safety activities</t>
  </si>
  <si>
    <t>Pourcentage de Sociétés nationales menant des activités de sécurité routière, par région</t>
  </si>
  <si>
    <t>Porcentaje de Sociedades Nacionales en cada región que llevan a cabo actividades relacionadas con la seguridad vial</t>
  </si>
  <si>
    <t>نسبة الجمعيات الوطنية المهتمة بتعزيز أنشطة السلامة على الطرق أو توسيع نطاقها، مصنفة حسب المنطقة</t>
  </si>
  <si>
    <t>reportstrategic2.sections.2.blocks.1.tabs.0.headers.0</t>
  </si>
  <si>
    <t>Region</t>
  </si>
  <si>
    <t>Région</t>
  </si>
  <si>
    <t>Región</t>
  </si>
  <si>
    <t>منطقة</t>
  </si>
  <si>
    <t>reportstrategic2.sections.2.blocks.1.tabs.0.dataset.5.region</t>
  </si>
  <si>
    <t>Global</t>
  </si>
  <si>
    <t>Globale</t>
  </si>
  <si>
    <t>En todo el mundo</t>
  </si>
  <si>
    <t>الاتحاد الدولي عالمياً</t>
  </si>
  <si>
    <t>reportstrategic2.sections.2.blocks.1.tabs.0.dataset.5.percentage2</t>
  </si>
  <si>
    <t>reportstrategic2.sections.2.blocks.1.tabs.0.dataset.5.percentage1</t>
  </si>
  <si>
    <t>reportstrategic2.sections.2.blocks.1.tabs.0.dataset.4.region</t>
  </si>
  <si>
    <t>reportstrategic2.sections.2.blocks.1.tabs.0.dataset.4.percentage2</t>
  </si>
  <si>
    <t>reportstrategic2.sections.2.blocks.1.tabs.0.dataset.4.percentage1</t>
  </si>
  <si>
    <t>reportstrategic2.sections.2.blocks.1.tabs.0.dataset.3.region</t>
  </si>
  <si>
    <t>Asia Pacific</t>
  </si>
  <si>
    <t>reportstrategic2.sections.2.blocks.1.tabs.0.dataset.3.percentage2</t>
  </si>
  <si>
    <t>reportstrategic2.sections.2.blocks.1.tabs.0.dataset.3.percentage1</t>
  </si>
  <si>
    <t>reportstrategic2.sections.2.blocks.1.tabs.0.dataset.2.region</t>
  </si>
  <si>
    <t>reportstrategic2.sections.2.blocks.1.tabs.0.dataset.2.percentage2</t>
  </si>
  <si>
    <t>reportstrategic2.sections.2.blocks.1.tabs.0.dataset.2.percentage1</t>
  </si>
  <si>
    <t>reportstrategic2.sections.2.blocks.1.tabs.0.dataset.1.region</t>
  </si>
  <si>
    <t>reportstrategic2.sections.2.blocks.1.tabs.0.dataset.1.percentage2</t>
  </si>
  <si>
    <t>reportstrategic2.sections.2.blocks.1.tabs.0.dataset.1.percentage1</t>
  </si>
  <si>
    <t>reportstrategic2.sections.2.blocks.1.tabs.0.dataset.0.region</t>
  </si>
  <si>
    <t>reportstrategic2.sections.2.blocks.1.tabs.0.dataset.0.percentage2</t>
  </si>
  <si>
    <t>reportstrategic2.sections.2.blocks.1.tabs.0.dataset.0.percentage1</t>
  </si>
  <si>
    <t>reportstrategic2.sections.2.blocks.1.caption</t>
  </si>
  <si>
    <t>Source: Global Road Safety Partnership</t>
  </si>
  <si>
    <t>Source: Partenariat mondial pour la sécurité routière</t>
  </si>
  <si>
    <t>Fuente: Asociación Mundial para la Seguridad Vial</t>
  </si>
  <si>
    <t>المصدر: الشراكة العالمية للسلامة على الطرق</t>
  </si>
  <si>
    <t>reportstrategic2.sections.2.blocks.0</t>
  </si>
  <si>
    <t>Each year 1.24 million lives are lost on our roads and a further 50 million people suffer serious injuries. Road traffic deaths are the 8th biggest killer in the world, and the biggest killer of those aged 15-24. Fifty per cent of all road traffic deaths are among pedestrians, cyclists, or motorcycle riders. Seventy-five per cent of road traffic deaths are men. Low and middle-income countries account for only 53 per cent of the world’s vehicles, yet suffer 92 per cent of the world’s road fatalities.</t>
  </si>
  <si>
    <t>Chaque année, 1,24 million de personnes perdent la vie sur les routes et 50 millions d’autres sont gravement blessées. Les accidents de la route sont la 8e cause de mortalité dans le monde et la première cause de mortalité des individus âgés de 15 à 24 ans. La moitié des décès dus aux accidents de la route concernent des piétons, des cyclistes ou des motocyclistes et 75 % des victimes sont des hommes. Enfin, 92 % des décès dus aux accidents de la route surviennent dans les pays à revenu faible ou moyen, alors que le nombre de véhicules dans ces pays ne représente que 53 % du nombre total de véhicules dans le monde.</t>
  </si>
  <si>
    <t>Cada año 1,24 millones de personas perecen en las vías y carreteras del mundo y otros cincuenta (50) millones de personas sufren graves lesiones. Los accidentes viales son la octava causa más importante de muerte y la principal causa de los decesos de personas de edades comprendidas entre quince (15) y veinticuatro (24) años. El cincuenta por ciento (50%) de las personas fallecidas en incidentes viales son peatones, ciclistas o motociclistas. El setenta y cinco por ciento (75%) de las víctimas mortales son hombres. En los países de ingresos medios y bajos circula el cincuenta y tres por ciento (53%) de los vehículos del mundo pero ocurre el noventa y dos por ciento (92%) de incidentes mortales.</t>
  </si>
  <si>
    <t>يفقد 1.24 مليون شخص سنوياً حياته على الطرق، ويعاني 50 مليون شخص آخر من إصابات خطيرة. وتشكل الوفيات بسبب حوادث المرور ثامن أكبرسبب للوفيات في العالم، وأهم سبب لوفيات الأشخاص الذين تتراوح أعمارهم بين 15 و 24 عاماً. ويشكل المشاة و سائقو الدراجات و سائقو الموتوسيكلات 50 في المائة من جميع الوفيات بسبب حوادث المرور. ويشكل الرجال خمسة و سبعين في المائة من الوفيات بسبب حوادث المرور. ولا تضم البلدان ذات الدخل المنخفض وذات الدخل المتوسط سوى 53 في المائة من العربات في العالم، ومع ذلك لديها 92 في المائة من إجمالي الوفيات بسبب حوادث المرور في العالم.</t>
  </si>
  <si>
    <t>reportstrategic2.sections.1.title</t>
  </si>
  <si>
    <t>Climate change</t>
  </si>
  <si>
    <t>Les changements climatiques</t>
  </si>
  <si>
    <t>Cambio climático</t>
  </si>
  <si>
    <t>تغيّر المناخ</t>
  </si>
  <si>
    <t>reportstrategic2.sections.1.blocks.2</t>
  </si>
  <si>
    <t>Starting by “climate proofing” existing programmes and services where feasible, National Societies are proactively engaging with their countries’ National Adaptation Plans on a range of actions. For example, the Kenya Red Cross Society has been helping to build “climate-smart” food security in the drought-prone North Eastern province, the Rwandan Red Cross has been working on rainwater harvesting, and the Indian Red Cross Society on flood plains management in Bihar and Odisha states. The Red Cross societies in Togo and Uganda have been breaking new ground, with German Red Cross support, in early warning early action with forecast-based financing. The Netherlands Red Cross and the Red Cross and Red Crescent Climate Centre are in the vanguard of a Partners for Resilience programme that has reached out to hundreds of local communities across several ecosystems around the world with local climate-smart risk reduction interventions.</t>
  </si>
  <si>
    <t>En commençant par «mettre à l’épreuve du climat», dans la mesure du possible, les programmes et les services existants, les Sociétés nationales participent de manière active à la mise en œuvre du Plan national d’adaptation de leur pays. La Croix-Rouge du Kenya contribue par exemple à la mise en place d’une politique climatiquement rationnelle en matière de sécurité alimentaire dans la province nord-est du pays, exposée à la sécheresse. La Croix-Rouge rwandaise travaille sur des projets de collecte de l’eau de pluie et la Croix-Rouge de l’Inde, sur la gestion des zones inondables des États du Bihar et de l’Odisha. La Croix-Rouge togolaise et la Croix-Rouge de l’Ouganda, avec le soutien de la CroixRouge allemande, ont fait œuvre de pionnières dans le domaine de l’alerte précoce en adoptant un système de financement fondé sur des prévisions. La Croix-Rouge néerlandaise et le Centre d’étude de la Croix-Rouge et du Croissant-Rouge sur le changement climatique sont à l’avant-garde d’un programme intitulé «Partenaires pour la résilience », qui a permis la mise en place d’actions climatiquement rationnelles de réduction des risques dans des centaines de communautés situées dans différents écosystèmes à travers le monde.</t>
  </si>
  <si>
    <t>Siempre que es factible, las Sociedades Nacionales comienzan por la incorporación de medidas responsables desde el punto de vista ambiental en los programas y servicios existentes y amplían su participación directa en la elaboración y la aplicación de planes nacionales de adaptación mediante diversas iniciativas. Por ejemplo, la Cruz Roja de Kenia ha contribuido a la elaboración de iniciativas de seguridad alimentaria ingeniosas desde la perspectiva climática para aplicarlas en la provincia nororiental; la Cruz Roja de Ruanda se interesa en el aprovechamiento del agua de lluvia; la Cruz Roja de India trabaja en la gestión de planicies en los estados de Bihar y Odisha. Las Sociedades Nacionales de Togo y Uganda, con apoyo de la Cruz Roja Alemana, examinan actividades de alerta temprana con financiación fundada en pronósticos. La Cruz Roja Neerlandesa y el centro de referencia de la Federación Internacional sobre cambio climático se sitúan a la vanguardia del programa de asociados en el fomento de la capacidad de resistencia y recuperación, Partners for Resilience, por cuyo conducto se ha beneficiado a cientos de comunidades locales en diversos ecosistemas del mundo a través de iniciativas creativas y responsables desde el punto de vista del clima, orientadas a la reducción de riesgos.</t>
  </si>
  <si>
    <t>وانطلاقاً من البرامج والخدمات الحالية «الواقية من المناخ » تشارك الجمعيات الوطنية بفعالية حيثما كان ذلك ممكناً بمجموعة من الإجراءات في الخطط الوطنية لبلدانها ترمي إلى التكيف مع تغير المناخ. فعلى سبيل المثال، تساعد جمعية الصليب الأحمر الكيني في إنشاء نظام ل لأمن الغذائي «يراعي المناخ » في الإقليم الشمالي الشرقي المعرض للجفاف، ويعمل الصليب الأحمر الرواندي في جمع مياه المطر، ويعمل الصليب الأحمر الهندي في إدارة السهول الفيضانية في ولايتي بيهاروأوديشا، و يتطرق كل من الصليب الأحمر في توغووالصليب الأحمر في أوغندا لمجالات، بدعم من الصليب الأحمر الألماني، فيما يخص الإنذار المبكر - العمل المبكر من خلال تمويلات متوقعة. ويتصدر الصليب الأحمرالهولندي ومركز المناخ التابع للصليب الأحمر والهلال الأحمر برنامج الشركاء من أجل الصمود، الذي وصل إلى مئات المجتمعات المحلية عبر العديد من النظم الإيكولوجية في جميع أنحاء العالم، وب أنشطة محلية «تراعي المناخ» ترمي إلى الحد من المخاطر.</t>
  </si>
  <si>
    <t>reportstrategic2.sections.1.blocks.1.type</t>
  </si>
  <si>
    <t>image</t>
  </si>
  <si>
    <t>reportstrategic2.sections.1.blocks.1.title</t>
  </si>
  <si>
    <t>image title missing</t>
  </si>
  <si>
    <t>titre de limage manquant</t>
  </si>
  <si>
    <t>reportstrategic2.sections.1.blocks.1.caption</t>
  </si>
  <si>
    <t>reportstrategic2.sections.1.blocks.0</t>
  </si>
  <si>
    <t>International consensus on the importance and urgency of tackling climate change has grown over recent years, and the IFRC focus is on building resilience. We contribute to climate change adaptation through scaling up our disaster risk reduction work, and we see our role in climate change mitigation through promoting sustainable community development that is respectful of the environment and optimises communities’ carbon footprints.</t>
  </si>
  <si>
    <t>Le consensus international sur l’importance et l’urgence de s’attaquer aux changements climatiques s’est renforcé ces dernières années et la Fédération met l’accent sur le renforcement de la résilience. Nous favorisons l’adaptation aux changements climatiques en étendant nos activités de réduction des risques de catastrophe et nous considérons que notre rôle en matière d’atténuation des changements climatiques consiste à promouvoir un développement communautaire durable respectueux de l’environnement et optimisant l’empreinte carbone.</t>
  </si>
  <si>
    <t>En años recientes, ha aumentado el consenso a nivel internacional con respecto a la importancia y la urgente necesidad de medidas relativas al cambio climático. En este contexto, la Federación Internacional centra su atención en el fomento de la capacidad de resistencia y recuperación. La contribución de la organización a los esfuerzos de adaptación al cambio climático se canaliza a través de actividades orientadas a la reducción del riesgo de desastres. Asimismo, esta orienta su función en la mitigación de las repercusiones del cambio climático mediante la promoción de modalidades de desarrollo comunitario sustentable y respetuoso del medio ambiente en el que se optimice la huella de carbono de las comunidades.</t>
  </si>
  <si>
    <t>لقد زاد خلال السنوات الأخيرة توافق الأراء على المستوى الدولي بشأن أهمية وضرورة التصدي لتغير المناخ، وفي هذا الصدد يركز الاتحاد الدولي على بناء القدرة على الصمود. ونحن نساهم في التكيف مع تغير المناخ عن طريق تعزيز عملنا للحد من مخاطر الكوارث، ونحن نرى دورنا في التخفيف من آثار تغير المناخ من خلال تعزيز التنمية المجتمعية المستدامة التي تحترم البيئة وتحسين التحكم في البصمة الكربونية التي تخلفها المجتمعات.</t>
  </si>
  <si>
    <t>reportstrategic2.sections.0.title</t>
  </si>
  <si>
    <t>People reached by long-term services</t>
  </si>
  <si>
    <t>Personnes ayant bénéficié de services à long terme</t>
  </si>
  <si>
    <t>Beneficiarios de los servicios a largo plazo</t>
  </si>
  <si>
    <t>عدد الأشخاص المشمولين بخدمات طويلة الأجل</t>
  </si>
  <si>
    <t>reportstrategic2.sections.0.blocks.6.type</t>
  </si>
  <si>
    <t>reportstrategic2.sections.0.blocks.6.title</t>
  </si>
  <si>
    <t>Disaster risk reduction: reaching more with increased investment</t>
  </si>
  <si>
    <t>Réduction des risques de catastrophe : atteindre plus avec des investissements accrus</t>
  </si>
  <si>
    <t>Reducción del riesgo de desastres: un mayor alcance con una menor inversión</t>
  </si>
  <si>
    <t>الحد من مخاطر الكوارث: تغطية المزيد من الأشخاص بزيادة الاستثمارات</t>
  </si>
  <si>
    <t>reportstrategic2.sections.0.blocks.6.linelabels.1</t>
  </si>
  <si>
    <t>People reached (millions)</t>
  </si>
  <si>
    <t>Personnes atteintes(en millions)</t>
  </si>
  <si>
    <t>Beneficiarios(en millones)</t>
  </si>
  <si>
    <t>الأشخاص الذين تم الوصول إليهم(ملايين)</t>
  </si>
  <si>
    <t>reportstrategic2.sections.0.blocks.6.linelabels.0</t>
  </si>
  <si>
    <t>Expenditure(CHF millions)</t>
  </si>
  <si>
    <t>Dépenses(en millions de CHF)</t>
  </si>
  <si>
    <t>Gastos (en millones de francos suizos)</t>
  </si>
  <si>
    <t>النفقات(بملايين الفرنكات السويسرية)</t>
  </si>
  <si>
    <t>reportstrategic2.sections.0.blocks.6.dataset.1.4.year</t>
  </si>
  <si>
    <t>reportstrategic2.sections.0.blocks.6.dataset.1.4.value</t>
  </si>
  <si>
    <t>reportstrategic2.sections.0.blocks.6.dataset.1.3.year</t>
  </si>
  <si>
    <t>reportstrategic2.sections.0.blocks.6.dataset.1.3.value</t>
  </si>
  <si>
    <t>reportstrategic2.sections.0.blocks.6.dataset.1.2.year</t>
  </si>
  <si>
    <t>reportstrategic2.sections.0.blocks.6.dataset.1.2.value</t>
  </si>
  <si>
    <t>reportstrategic2.sections.0.blocks.6.dataset.1.1.year</t>
  </si>
  <si>
    <t>reportstrategic2.sections.0.blocks.6.dataset.1.1.value</t>
  </si>
  <si>
    <t>reportstrategic2.sections.0.blocks.6.dataset.1.0.year</t>
  </si>
  <si>
    <t>reportstrategic2.sections.0.blocks.6.dataset.1.0.value</t>
  </si>
  <si>
    <t>reportstrategic2.sections.0.blocks.6.dataset.0.4.year</t>
  </si>
  <si>
    <t>reportstrategic2.sections.0.blocks.6.dataset.0.4.value</t>
  </si>
  <si>
    <t>reportstrategic2.sections.0.blocks.6.dataset.0.3.year</t>
  </si>
  <si>
    <t>reportstrategic2.sections.0.blocks.6.dataset.0.3.value</t>
  </si>
  <si>
    <t>reportstrategic2.sections.0.blocks.6.dataset.0.2.year</t>
  </si>
  <si>
    <t>reportstrategic2.sections.0.blocks.6.dataset.0.2.value</t>
  </si>
  <si>
    <t>reportstrategic2.sections.0.blocks.6.dataset.0.1.year</t>
  </si>
  <si>
    <t>reportstrategic2.sections.0.blocks.6.dataset.0.1.value</t>
  </si>
  <si>
    <t>reportstrategic2.sections.0.blocks.6.dataset.0.0.year</t>
  </si>
  <si>
    <t>reportstrategic2.sections.0.blocks.6.dataset.0.0.value</t>
  </si>
  <si>
    <t>reportstrategic2.sections.0.blocks.6.caption</t>
  </si>
  <si>
    <t>Source: Community Preparedness and Risk Reduction Department</t>
  </si>
  <si>
    <t>Source: Département de la préparation communautaire et de la réduction des risques</t>
  </si>
  <si>
    <t>Fuente: Departamento de Preparación de la Comunidad y Reducción del Riesgo</t>
  </si>
  <si>
    <t>المصدر: قسم تأهب المجتمعات والحد من المخاطر</t>
  </si>
  <si>
    <t>reportstrategic2.sections.0.blocks.6.axislabels.y</t>
  </si>
  <si>
    <t>reportstrategic2.sections.0.blocks.6.axislabels.x</t>
  </si>
  <si>
    <t>reportstrategic2.sections.0.blocks.5</t>
  </si>
  <si>
    <t>The IFRC secretariat’s annual mapping of disaster risk reduction services indicates a progressive scaling-up since the beginning of the decade. By 2014, 151.7 million Swiss francs were being spent in 121 National Societies to reach 31.2 million people.</t>
  </si>
  <si>
    <t>La cartographie annuelle des services liés à la réduction des risques de catastrophe élaborée par le Secrétariat de la Fédération montre l’intensification progressive des activités menées dans ce domaine depuis le début de la décennie. En 2014, 121 Sociétés nationales avaient dépensé 151,7 millions de francs suisses en faveur de 31,2 millions de personnes.</t>
  </si>
  <si>
    <t>El panorama anual establecido por la secretaría de la Federación Internacional en cuanto a servicios para la reducción del riesgo de desastres apunta a una intensificación gradual de esfuerzos desde el inicio del decenio. Hasta 2014, se había invertido 151,7 millones de francos suizos en ciento veintiuna (121) Sociedades Nacionales en beneficio de 31,2 millones de personas</t>
  </si>
  <si>
    <t>وتشير الخرائط التي تصدرها أمانة الاتحاد الدولي سنوياً بشأن خدمات الحد من مخاطر الكوارث إلى تقدم تدريجي منذ بداية العقد. فقد بلغت المبالغ التي أنفقت في 121 جمعية وطنية بحلول عام 2014 ، 151.7 مليون فرنك سويسري لتغطية 31.2 مليون شخص.</t>
  </si>
  <si>
    <t>reportstrategic2.sections.0.blocks.4.type</t>
  </si>
  <si>
    <t>reportstrategic2.sections.0.blocks.4.title</t>
  </si>
  <si>
    <t>People reached by region and gender</t>
  </si>
  <si>
    <t>Répartition géographique et par sexe des personnes ayant bénéficié de services à long terme</t>
  </si>
  <si>
    <t>Desglose por zona geográfica y por sexo de los beneficiarios de los servicios a largo plazo</t>
  </si>
  <si>
    <t>عدد الأشخاص الذين شملتهم</t>
  </si>
  <si>
    <t>reportstrategic2.sections.0.blocks.4.dataset.4.second</t>
  </si>
  <si>
    <t>reportstrategic2.sections.0.blocks.4.dataset.4.rest</t>
  </si>
  <si>
    <t>reportstrategic2.sections.0.blocks.4.dataset.4.names.1</t>
  </si>
  <si>
    <t>reportstrategic2.sections.0.blocks.4.dataset.4.names.0</t>
  </si>
  <si>
    <t>reportstrategic2.sections.0.blocks.4.dataset.4.name</t>
  </si>
  <si>
    <t>reportstrategic2.sections.0.blocks.4.dataset.4.index</t>
  </si>
  <si>
    <t>reportstrategic2.sections.0.blocks.4.dataset.4.first</t>
  </si>
  <si>
    <t>reportstrategic2.sections.0.blocks.4.dataset.3.second</t>
  </si>
  <si>
    <t>reportstrategic2.sections.0.blocks.4.dataset.3.rest</t>
  </si>
  <si>
    <t>reportstrategic2.sections.0.blocks.4.dataset.3.names.1</t>
  </si>
  <si>
    <t>Spain</t>
  </si>
  <si>
    <t>Espagne</t>
  </si>
  <si>
    <t>إسبانيا</t>
  </si>
  <si>
    <t>reportstrategic2.sections.0.blocks.4.dataset.3.names.0</t>
  </si>
  <si>
    <t>reportstrategic2.sections.0.blocks.4.dataset.3.name</t>
  </si>
  <si>
    <t>reportstrategic2.sections.0.blocks.4.dataset.3.index</t>
  </si>
  <si>
    <t>reportstrategic2.sections.0.blocks.4.dataset.3.first</t>
  </si>
  <si>
    <t>reportstrategic2.sections.0.blocks.4.dataset.2.second</t>
  </si>
  <si>
    <t>reportstrategic2.sections.0.blocks.4.dataset.2.rest</t>
  </si>
  <si>
    <t>reportstrategic2.sections.0.blocks.4.dataset.2.names.1</t>
  </si>
  <si>
    <t>Vietnam</t>
  </si>
  <si>
    <t>فييت نام</t>
  </si>
  <si>
    <t>reportstrategic2.sections.0.blocks.4.dataset.2.names.0</t>
  </si>
  <si>
    <t>reportstrategic2.sections.0.blocks.4.dataset.2.name</t>
  </si>
  <si>
    <t>Asia and the Pacific</t>
  </si>
  <si>
    <t>reportstrategic2.sections.0.blocks.4.dataset.2.index</t>
  </si>
  <si>
    <t>reportstrategic2.sections.0.blocks.4.dataset.2.first</t>
  </si>
  <si>
    <t>reportstrategic2.sections.0.blocks.4.dataset.1.second</t>
  </si>
  <si>
    <t>reportstrategic2.sections.0.blocks.4.dataset.1.rest</t>
  </si>
  <si>
    <t>reportstrategic2.sections.0.blocks.4.dataset.1.names.1</t>
  </si>
  <si>
    <t>Kenyan Red Cross</t>
  </si>
  <si>
    <t>Croix-Rouge du Kenya</t>
  </si>
  <si>
    <t>جمعية الصليب الأحمرالكيني</t>
  </si>
  <si>
    <t>reportstrategic2.sections.0.blocks.4.dataset.1.names.0</t>
  </si>
  <si>
    <t>Mali Red Cross</t>
  </si>
  <si>
    <t>Croix-Rouge malienne</t>
  </si>
  <si>
    <t>الصليب الأحمر المالي</t>
  </si>
  <si>
    <t>reportstrategic2.sections.0.blocks.4.dataset.1.name</t>
  </si>
  <si>
    <t>reportstrategic2.sections.0.blocks.4.dataset.1.index</t>
  </si>
  <si>
    <t>reportstrategic2.sections.0.blocks.4.dataset.1.first</t>
  </si>
  <si>
    <t>reportstrategic2.sections.0.blocks.4.dataset.0.second</t>
  </si>
  <si>
    <t>reportstrategic2.sections.0.blocks.4.dataset.0.rest</t>
  </si>
  <si>
    <t>reportstrategic2.sections.0.blocks.4.dataset.0.names.1</t>
  </si>
  <si>
    <t>Société canadienne de la Croix-Rouge</t>
  </si>
  <si>
    <t>reportstrategic2.sections.0.blocks.4.dataset.0.names.0</t>
  </si>
  <si>
    <t>Argentine Red Cross</t>
  </si>
  <si>
    <t>Croix-Rouge argentine</t>
  </si>
  <si>
    <t>الصليب الأحمر الأرجنتيني</t>
  </si>
  <si>
    <t>reportstrategic2.sections.0.blocks.4.dataset.0.name</t>
  </si>
  <si>
    <t>reportstrategic2.sections.0.blocks.4.dataset.0.index</t>
  </si>
  <si>
    <t>reportstrategic2.sections.0.blocks.4.dataset.0.first</t>
  </si>
  <si>
    <t>reportstrategic2.sections.0.blocks.4.caption</t>
  </si>
  <si>
    <t>reportstrategic2.sections.0.blocks.3</t>
  </si>
  <si>
    <t>The Americas region has the largest outreach with  long-term programmes reflecting the historical roots of Red Cross work there. Gender-disaggregated reporting is a significant general weakness and will be strengthened in future years.</t>
  </si>
  <si>
    <t>La région des Amériques est celle où la portée des programmes à long terme est la plus importante, ce qui reflète les racines historiques du travail de la Croix-Rouge dans la région. La communication de données ventilées par sexe constitue une importante faiblesse générale et sera améliorée dans les années à venir.</t>
  </si>
  <si>
    <t>En América se observa el más amplio alcance mediante programas a largo plazo que denotan el arraigo de larga data de las organizaciones de la Cruz Roja en la región. En general, la información adolece de una falta de datos desglosados por sexo que se promoverá en el futuro.</t>
  </si>
  <si>
    <t>ولدى منطقة الأمريكتين أكبر برامج نشر الخدمات الطويلة الأجل، وهو ما يعكس الجذور التاريخية لعمل الصليب الأحمر هناك. وتشكل الإفادة المفصلة بحسب نوع الجنس موطن ضعف عام وكبير، وهي ستتعزز في السنوات المقبلة.</t>
  </si>
  <si>
    <t>reportstrategic2.sections.0.blocks.2</t>
  </si>
  <si>
    <t>Overall, the IFRC network reached nearly 161 million people with one or more long-term services in 2013, an increase of 55 per cent on the 103.4 million reported in 2012. This increase is partly due to more National Societies reporting on this indicator.</t>
  </si>
  <si>
    <t>De manière générale, le réseau de la Fédération a apporté une aide à près de 161 millions de personnes par le biais d’un ou de plusieurs services à long terme en 2013, ce qui représente une augmentation de 55 % par rapport aux 103,4 millions de personnes atteintes en 2012 (figure 5.1). Cette augmentation est due en partie au fait qu’un plus grand nombre de Sociétés nationales ont fourni des informations pour cet indicateur.</t>
  </si>
  <si>
    <t>En conjunto, en 2013, la Federación Internacional benefició a casi ciento sesenta y un (161) millones de personas mediante uno o varios servicios a largo plazo, lo cual denotó un incremento del cincuenta y cinco por ciento (55%) frente a los 103,4 millones registrados en 2012. Este aumento se explica en parte por la mayor cantidad de Sociedades Nacionales que aportaron información relativa a este indicador.</t>
  </si>
  <si>
    <t>فقد شملت شبكة الاتحاد الدولي بوجه عام ما يقرب من 161 مليون شخص من خلال خدمة أو أكثرمن الخدمات الطويلة الأجل في عام 2013 ، بما يمثل زيادة قدرها 55 في المائة مقابل العدد المبلغ عنه في عام 2012 والبالغ 103.4 مليون شخص. وترجع هذه الزيادة جزئياً إلى زيادة عدد الجمعيات الوطنية التي قدمت معلومات استنادا إلى هذا المؤشر.</t>
  </si>
  <si>
    <t>reportstrategic2.sections.0.blocks.1.type</t>
  </si>
  <si>
    <t>reportstrategic2.sections.0.blocks.1.title</t>
  </si>
  <si>
    <t>People reached</t>
  </si>
  <si>
    <t>Personnes couvertes</t>
  </si>
  <si>
    <t>Beneficiarios</t>
  </si>
  <si>
    <t>عدد الأشخاص المشمولين</t>
  </si>
  <si>
    <t>reportstrategic2.sections.0.blocks.1.caption</t>
  </si>
  <si>
    <t>reportstrategic2.sections.0.blocks.1.axislabels.y</t>
  </si>
  <si>
    <t>reportstrategic2.sections.0.blocks.1.axislabels.x</t>
  </si>
  <si>
    <t>reportstrategic2.sections.0.blocks.0</t>
  </si>
  <si>
    <t>Our National Societies achieve this through their volunteers, who engage their own communities via education and training. By getting to know their own specific hazards and by analysing their risks and vulnerabilities, they are able to develop the appropriate solutions for their local context.</t>
  </si>
  <si>
    <t>Les Sociétés nationales s’efforcent de renforcer la résilience des communautés par le biais de leurs volontaires, qui mobilisent leur communauté au travers d’activités de sensibilisation et de formation. En apprenant à connaître les dangers propres à leur environnement et en analysant les risques et les vulnérabilités auxquels elles sont exposées, les communautés acquièrent la capacité de mettre au point des solutions adaptées à leur contexte local.</t>
  </si>
  <si>
    <t>Las Sociedades Nacionales miembros realizan esta labor gracias a la ayuda de los voluntarios y su interacción con las comunidades a las que pertenecen, a través de iniciativas de educación y formación que les permiten conocer mejor las amenazas que pesan sobre ellas, y analizar los riesgos y vulnerabilidades, de manera que conciban soluciones adecuadas en función de su respectivo contexto.</t>
  </si>
  <si>
    <t>وقد حققت جمعياتنا الوطنية ذلك من خلال متطوعيها الذين أشركوا مجتمعاتهم من خلال التعليم والتدريب للتعرف على المخاطرالتي تتعرض لها بوجه خاص وتحليل المخاطروأوجه الضعف التي تتسم بها، حتى يتسنى وضع الحلول المناسبة لسياقها المحلي.</t>
  </si>
  <si>
    <t>reportstrategic2.nextchapter.title</t>
  </si>
  <si>
    <t>reportstrategic2.nextchapter.subtitle</t>
  </si>
  <si>
    <t>Strategic Aim 3</t>
  </si>
  <si>
    <t>reportstrategic2.nextchapter.slug</t>
  </si>
  <si>
    <t>reportstrategic2.nextchapter.heading</t>
  </si>
  <si>
    <t>reportstrategic2.nextchapter.chapter</t>
  </si>
  <si>
    <t>reportstrategic2.intro</t>
  </si>
  <si>
    <t>For the IFRC, the community resilience approach is, in many ways, just the modern designation of how we have worked with communities for many decades.</t>
  </si>
  <si>
    <t>Pour la Fédération, l’approche fondée sur la résilience des communautés est, à bien des égards, simplement l’appellation moderne de la façon dont elle travaille avec les communautés depuis des décennies.</t>
  </si>
  <si>
    <t>Para la Federación Internacional, el enfoque de fomento de la capacidad de resistencia y recuperación de las comunidades es, en muchos aspectos, apenas una designación moderna de las modalidades de colaboración con las comunidades aplicadas por la organización desde hace varios decenios.</t>
  </si>
  <si>
    <t>وبالنسبة للاتحاد الدولي، يشكل نهج قدرة المجتمع على الصمود من عدة أوجه مجرد تسمية جديدة لعملنا مع المجتمعات المحلية خلال العديد من العقود.</t>
  </si>
  <si>
    <t>reportstrategic2.chapter</t>
  </si>
  <si>
    <t>reportstrategic1.title</t>
  </si>
  <si>
    <t>Strategic aim 1</t>
  </si>
  <si>
    <t>Objectif stratégique 1</t>
  </si>
  <si>
    <t>Objetivo estratégico 1</t>
  </si>
  <si>
    <t>الهدف الاستراتيجي الأول</t>
  </si>
  <si>
    <t>reportstrategic1.subtitle</t>
  </si>
  <si>
    <t>Save lives, protect livelihoods and strengthen recovery from disasters and crises</t>
  </si>
  <si>
    <t>Sauver des vies, protéger les moyens dexistence et renforcer le relèvement après les catastrophes et les crises</t>
  </si>
  <si>
    <t>Salvar vidas, proteger los medios de sustento y apoyar la recuperación después de desastres y crisis</t>
  </si>
  <si>
    <t>إنقاذ الأرواح، وحماية مصادر الرزق، وتعزيز الانتعاش من الكوارث والأزمات</t>
  </si>
  <si>
    <t>reportstrategic1.slug</t>
  </si>
  <si>
    <t>strategic-aim-1</t>
  </si>
  <si>
    <t>reportstrategic1.sections.6.title</t>
  </si>
  <si>
    <t>Staying safe</t>
  </si>
  <si>
    <t>La sécurité</t>
  </si>
  <si>
    <t>Manténgase a salvo</t>
  </si>
  <si>
    <t>المحافظة على السلامة</t>
  </si>
  <si>
    <t>reportstrategic1.sections.6.blocks.4</t>
  </si>
  <si>
    <t>However the pattern of risk has changed. Whereas, in previous years, the majority of Red Cross and Red Crescent deaths occurred while responding to natural disasters, direct violence is now an increasing cause.</t>
  </si>
  <si>
    <t>Toutefois, les facteurs de risque ont changé. Si, par le passé, la majorité des décès de membres du personnel de la Croix-Rouge et du Croissant-Rouge survenaient dans le cadre d’interventions consécutives à des catastrophes naturelles, la violence directe est aujourd’hui une cause de décès de plus en plus courante.</t>
  </si>
  <si>
    <t>Cabe observar, sin embargo, un cambio en los patrones de riesgo. En años anteriores la mayoría de decesos de colaboradores de las organizaciones de la Cruz Roja y de la Media Luna Roja estuvieron vinculados con intervenciones de socorro a raíz de desastres, mientras que ahora una de las causas predominantes es la violencia directa.</t>
  </si>
  <si>
    <t>لكن، نمط المخاطر قد تغير. ففي السنوات السابقة، كانت معظم الوفيات بين أفراد الصليب الأحمر والهلال الأحمر تحدث أثناء مواجهة كوارث طبيعية، أما الآن، فهي تعزى بشكل متزايد إلى العنف المباشر.</t>
  </si>
  <si>
    <t>reportstrategic1.sections.6.blocks.3.type</t>
  </si>
  <si>
    <t>reportstrategic1.sections.6.blocks.3.title</t>
  </si>
  <si>
    <t>Causes of death</t>
  </si>
  <si>
    <t xml:space="preserve">Employés et volontaires de la Croix-Rouge et du Croissant-Rouge tués </t>
  </si>
  <si>
    <t>Muertes de miembros del personal y de voluntarios que trabajan para las organizaciones de la Cruz Roja y de la Media Luna Roja - cambio de tendencias</t>
  </si>
  <si>
    <t>أسباب الوفاة</t>
  </si>
  <si>
    <t>reportstrategic1.sections.6.blocks.3.tabs.1.name</t>
  </si>
  <si>
    <t>2012—2014</t>
  </si>
  <si>
    <t>reportstrategic1.sections.6.blocks.3.tabs.1.dataset.2.y</t>
  </si>
  <si>
    <t>reportstrategic1.sections.6.blocks.3.tabs.1.dataset.2.x</t>
  </si>
  <si>
    <t>Natural disasters (4)</t>
  </si>
  <si>
    <t>Catastrophesnaturelles (4%)</t>
  </si>
  <si>
    <t>Desastres naturales (4)</t>
  </si>
  <si>
    <t>كوارث طبيعية (4%)</t>
  </si>
  <si>
    <t>reportstrategic1.sections.6.blocks.3.tabs.1.dataset.2.fill</t>
  </si>
  <si>
    <t>reportstrategic1.sections.6.blocks.3.tabs.1.dataset.1.y</t>
  </si>
  <si>
    <t>reportstrategic1.sections.6.blocks.3.tabs.1.dataset.1.x</t>
  </si>
  <si>
    <t>Violence/crime/conflict related (86)</t>
  </si>
  <si>
    <t>Violence/criminalité/ conflit (86%)</t>
  </si>
  <si>
    <t>Violencia,Delincuencia, Conflictos (86)</t>
  </si>
  <si>
    <t>حوادث مرتبطة بالعنف / الجريمة / النزاعات (86%)</t>
  </si>
  <si>
    <t>reportstrategic1.sections.6.blocks.3.tabs.1.dataset.1.fill</t>
  </si>
  <si>
    <t>reportstrategic1.sections.6.blocks.3.tabs.1.dataset.0.y</t>
  </si>
  <si>
    <t>reportstrategic1.sections.6.blocks.3.tabs.1.dataset.0.x</t>
  </si>
  <si>
    <t>Vehicle accidents (10)</t>
  </si>
  <si>
    <t>Accidents impliquant des véhicules (10%)</t>
  </si>
  <si>
    <t>Accidentes con vehículos (10)</t>
  </si>
  <si>
    <t>حوادث مركبات (10%)</t>
  </si>
  <si>
    <t>reportstrategic1.sections.6.blocks.3.tabs.1.dataset.0.fill</t>
  </si>
  <si>
    <t>reportstrategic1.sections.6.blocks.3.tabs.0.name</t>
  </si>
  <si>
    <t>1993—2011</t>
  </si>
  <si>
    <t>1994—2011</t>
  </si>
  <si>
    <t>reportstrategic1.sections.6.blocks.3.tabs.0.dataset.2.y</t>
  </si>
  <si>
    <t>reportstrategic1.sections.6.blocks.3.tabs.0.dataset.2.x</t>
  </si>
  <si>
    <t>Natural disasters (60)</t>
  </si>
  <si>
    <t>Catastrophes naturelles (60%)</t>
  </si>
  <si>
    <t>Desastres naturales (60)</t>
  </si>
  <si>
    <t>كوارث طبيعية (60%)</t>
  </si>
  <si>
    <t>reportstrategic1.sections.6.blocks.3.tabs.0.dataset.2.fill</t>
  </si>
  <si>
    <t>reportstrategic1.sections.6.blocks.3.tabs.0.dataset.1.y</t>
  </si>
  <si>
    <t>reportstrategic1.sections.6.blocks.3.tabs.0.dataset.1.x</t>
  </si>
  <si>
    <t>Violence/crime/conflict related (30)</t>
  </si>
  <si>
    <t>Violence/ criminalité/ conflit (30%)</t>
  </si>
  <si>
    <t>Violencia,Delincuencia, Conflictos (30)</t>
  </si>
  <si>
    <t>حوادث مرتبطة بالعنف / الجريمة / النزاعات (30%)</t>
  </si>
  <si>
    <t>reportstrategic1.sections.6.blocks.3.tabs.0.dataset.1.fill</t>
  </si>
  <si>
    <t>reportstrategic1.sections.6.blocks.3.tabs.0.dataset.0.y</t>
  </si>
  <si>
    <t>reportstrategic1.sections.6.blocks.3.tabs.0.dataset.0.x</t>
  </si>
  <si>
    <t>reportstrategic1.sections.6.blocks.3.tabs.0.dataset.0.fill</t>
  </si>
  <si>
    <t>reportstrategic1.sections.6.blocks.3.caption</t>
  </si>
  <si>
    <t>Source: Security Unit</t>
  </si>
  <si>
    <t>Source: Unité de sécurité</t>
  </si>
  <si>
    <t>Fuente: Unidad de Seguridad de la secretaría</t>
  </si>
  <si>
    <t>المصدر: وحدة الأمن</t>
  </si>
  <si>
    <t>reportstrategic1.sections.6.blocks.2</t>
  </si>
  <si>
    <t>For the IFRC, the number of reported security incidents has declined in recent years. It is a positive sign that while there was one security incident recorded for about 15 IFRC staff deployed in 2010, this had improved to one incident per 44 staff in 2014.</t>
  </si>
  <si>
    <t>En ce qui concerne la Fédération, le nombre d’incidents de sécurité signalés a baissé ces dernières années. La situation est encourageante: en 2010, un incident de sécurité était signalé pour environ 15 employés déployés, contre un incident pour 44 employés en 2014.</t>
  </si>
  <si>
    <t>En el caso de la Federación Internacional, en años recientes ha disminuido la cantidad de notificaciones de incidentes relativos a la seguridad. Se trata de un indicio alentador pues en 2010, el índice correspondía a un incidente relativo a la seguridad por cada quince (15) miembros del personal de la Federación Internacional presentes sobre el terreno, mientras que en 2014, ese índice fue de un incidente por cada cuarenta y cuatro (44) miembros del personal.</t>
  </si>
  <si>
    <t>وفيما يتعلق بالاتحاد الدولي، انخفضت الحوادث الأمنية المبلغ عنها في السنوات الأخيرة. وإنها إشارة إيجابية حيث سُجلت حادثة أمنية واحدة لكل 15 موظفاً تقريباً من موظفي الاتحاد الدولي الذين تم نشرهم في عام 2010 ، ولم تُسجل في عام 2014 غير حادثة واحدة لكل 44 موظفاً.</t>
  </si>
  <si>
    <t>reportstrategic1.sections.6.blocks.1.type</t>
  </si>
  <si>
    <t>reportstrategic1.sections.6.blocks.1.title</t>
  </si>
  <si>
    <t>Security incidents</t>
  </si>
  <si>
    <t>Incidents de securité</t>
  </si>
  <si>
    <t>Incidentes relativos a la seguridad comunicados a la secretaría de la Federación Internacional</t>
  </si>
  <si>
    <t>الحوادث الأمنية</t>
  </si>
  <si>
    <t>reportstrategic1.sections.6.blocks.1.dataset.4.year</t>
  </si>
  <si>
    <t>reportstrategic1.sections.6.blocks.1.dataset.4.value</t>
  </si>
  <si>
    <t>reportstrategic1.sections.6.blocks.1.dataset.3.year</t>
  </si>
  <si>
    <t>reportstrategic1.sections.6.blocks.1.dataset.3.value</t>
  </si>
  <si>
    <t>reportstrategic1.sections.6.blocks.1.dataset.2.year</t>
  </si>
  <si>
    <t>reportstrategic1.sections.6.blocks.1.dataset.2.value</t>
  </si>
  <si>
    <t>reportstrategic1.sections.6.blocks.1.dataset.1.year</t>
  </si>
  <si>
    <t>reportstrategic1.sections.6.blocks.1.dataset.1.value</t>
  </si>
  <si>
    <t>reportstrategic1.sections.6.blocks.1.dataset.0.year</t>
  </si>
  <si>
    <t>reportstrategic1.sections.6.blocks.1.dataset.0.value</t>
  </si>
  <si>
    <t>reportstrategic1.sections.6.blocks.1.caption</t>
  </si>
  <si>
    <t>reportstrategic1.sections.6.blocks.1.barlabels.4</t>
  </si>
  <si>
    <t>reportstrategic1.sections.6.blocks.1.barlabels.3</t>
  </si>
  <si>
    <t>reportstrategic1.sections.6.blocks.1.barlabels.2</t>
  </si>
  <si>
    <t>reportstrategic1.sections.6.blocks.1.barlabels.1</t>
  </si>
  <si>
    <t>reportstrategic1.sections.6.blocks.1.barlabels.0</t>
  </si>
  <si>
    <t>reportstrategic1.sections.6.blocks.1.axislabels.y</t>
  </si>
  <si>
    <t>reportstrategic1.sections.6.blocks.1.axislabels.x</t>
  </si>
  <si>
    <t>reportstrategic1.sections.6.blocks.0</t>
  </si>
  <si>
    <t>It can be risky at the frontline of humanitarian response. Worldwide, more than 1,100 aid workers have died in the course of their duties over the past decade with many more being injured and an increasing number of kidnappings. The trend indicates increased disrespect for international humanitarian law and the deliberate targeting of humanitarian and health service facilities.</t>
  </si>
  <si>
    <t>Œuvrer en première ligne des interventions humanitaires peut être risqué. Ces dix dernières années, plus de 1 100 travailleurs humanitaires ont perdu la vie dans l’exercice de leurs fonctions, beaucoup d’autres ont été blessés et un nombre accru d’enlèvements a été enregistré. Ces faits sont le résultat du non-respect croissant du droit international humanitaire et de la prise pour cible délibérée des structures humanitaires et sanitaires.</t>
  </si>
  <si>
    <t>El servicio humanitario en primera línea no está exento de riesgos. A nivel mundial, más de mil cien (1 100) trabajadores humanitarios han perecido en el cumplimiento de su deber durante el último decenio; una cifra superior de ellos ha sufrido heridas, y se observa un aumento sostenido en la cantidad de secuestros. Las tendencias apuntan a una creciente inobservancia de las normas del derecho internacional humanitario y a ataques deliberados contra bienes e instalaciones humanitarias y sanitarias.</t>
  </si>
  <si>
    <t>ينطوي العمل في الخطوط الأمامية للاستجابة الإنسانية على المخاطر. فقد توفي ما يزيد على 1,100 عامل من العاملين في مجال تقديم المساعدات الإنسانية في جميع أنحاء العالم أثناء تأدية واجباتهم خلال العقد الماضي، فضلاً عن إصابة كثيرين آخرين وتزايد عدد حالات الاختطاف. ويشير الاتجاه العام إلى تزايد عدم احترام القانون الدولي الإنساني، واستهداف مرافق الخدمات الإنسانية والصحية عن عمد.</t>
  </si>
  <si>
    <t>reportstrategic1.sections.5.title</t>
  </si>
  <si>
    <t>Shelter — more than four walls and a roof</t>
  </si>
  <si>
    <t>Le logement: davantage que quatre murs et un toit</t>
  </si>
  <si>
    <t>Alojamiento provisional y de emergencia – mucho más que paredes y un tejado</t>
  </si>
  <si>
    <t>المأوى هو أكثر من مجرد أربعة جدران وسقف</t>
  </si>
  <si>
    <t>reportstrategic1.sections.5.blocks.5.type</t>
  </si>
  <si>
    <t>case-study-extended</t>
  </si>
  <si>
    <t>reportstrategic1.sections.5.blocks.5.title</t>
  </si>
  <si>
    <t>Ebola virus disease</t>
  </si>
  <si>
    <t>Maladie à virus Ebola</t>
  </si>
  <si>
    <t>Enfermedad causada por el virus del ébola</t>
  </si>
  <si>
    <t>داء فيروس الإيبولا</t>
  </si>
  <si>
    <t>reportstrategic1.sections.5.blocks.4.type</t>
  </si>
  <si>
    <t>reportstrategic1.sections.5.blocks.4.title</t>
  </si>
  <si>
    <t>Typhoon Haiyan</t>
  </si>
  <si>
    <t xml:space="preserve">Tifón Haiyan </t>
  </si>
  <si>
    <t>إعصار «هايان »</t>
  </si>
  <si>
    <t>reportstrategic1.sections.5.blocks.3.type</t>
  </si>
  <si>
    <t>reportstrategic1.sections.5.blocks.3.title</t>
  </si>
  <si>
    <t>The Syria crisis</t>
  </si>
  <si>
    <t>La crise syrienne</t>
  </si>
  <si>
    <t>La crisis en Siria</t>
  </si>
  <si>
    <t>الأزمة السورية</t>
  </si>
  <si>
    <t>reportstrategic1.sections.5.blocks.2</t>
  </si>
  <si>
    <t>The Red Cross and Red Crescent is the largest provider of emergency shelter amongst humanitarian agencies, and also supports longer-term recovery and reconstruction among disaster-affected communities. To date, the IFRC has coordinated the shelter response in 32 emergencies through the deployment of dedicated shelter coordination teams comprising individuals from National Red Cross and Red Crescent Societies and from cluster partner agencies.</t>
  </si>
  <si>
    <t>Le réseau de la Croix-Rouge et du Croissant-Rouge est l’acteur humanitaire qui fournit le plus grand nombre de logements d’urgence. Il œuvre également en faveur du relèvement et de la reconstruction à plus long terme des communautés touchées par une catastrophe. Au cours de la dernière décennie, la Fédération a fourni chaque année un soutien en matière de logement à plus de 2,5 millions de personnes touchées par une catastrophe, la moyenne annuelle des dépenses dans ce domaine s’élevant à 160 millions de francs suisses.</t>
  </si>
  <si>
    <t>Hasta la fecha, la Federación Internacional ha coordinado actividades de alojamiento provisional y de emergencia a raíz de treinta y dos (32) emergencias mediante el envío de unidades especializadas que incluyen personal de distintas Sociedades Nacionales de la Cruz Roja y de la Media Luna Roja y de otros organismos miembros del grupo temático.</t>
  </si>
  <si>
    <t>والصليب الأحمر والهلال الأحمر هو أكبر جهة بين الوكالات الإنسانية التي توفر مأوى الطوارئ، كما أنه يدعم الانتعاش وإعادة البناء على المدى الطويل بين المجتمعات المحلية المتضررة من الكوارث. و إلى الآن، تولى الاتحاد الدولي تنسيق الإغاثة في مجال توفير المأوى في 32 حالة طوارئ عن طريق نشر أفرقة مخصصة لتنسيق عملية توفير المآوي تضم أفراداً من جمعيات الصليب الأحمر والهلال الأحمر الوطنية ومن الوكالات الشريكة للمجموعة.</t>
  </si>
  <si>
    <t>reportstrategic1.sections.5.blocks.1.type</t>
  </si>
  <si>
    <t>reportstrategic1.sections.5.blocks.1.title</t>
  </si>
  <si>
    <t>People assisted in 2014</t>
  </si>
  <si>
    <t>Personnes assistées en 2014</t>
  </si>
  <si>
    <t>8,2 Millones de personas se beneficiaron de asistencia en 2014</t>
  </si>
  <si>
    <t>الأشخاص الذين تلقوا الدعم</t>
  </si>
  <si>
    <t>reportstrategic1.sections.5.blocks.1.popupcontent</t>
  </si>
  <si>
    <t>households assisted with shelter and/or non-food items</t>
  </si>
  <si>
    <t>Familias beneficiarias de ayuda para alojamiento provisional y de emergencia o con la entrega de artículos no alimentarios</t>
  </si>
  <si>
    <t>الأسر المعيشية التي تلقت دعماً في مجال المأوى والمواد غير الغذائية</t>
  </si>
  <si>
    <t>reportstrategic1.sections.5.blocks.1.dataset.yem.popupcontent</t>
  </si>
  <si>
    <t>&lt;p class"small"&gt;&lt;span class"color-primary strong"&gt;48,855&lt;/span&gt; households assisted with shelter and/or non-food items&lt;/p&gt;</t>
  </si>
  <si>
    <t>&lt;p class"small"&gt;&lt;span class"color-primary strong"&gt;48,855&lt;/span&gt; Familias beneficiarias de ayuda para alojamiento provisional y de emergencia o con la entrega de artículos no alimentarios&lt;/p&gt;</t>
  </si>
  <si>
    <t>reportstrategic1.sections.5.blocks.1.dataset.yem.number</t>
  </si>
  <si>
    <t>reportstrategic1.sections.5.blocks.1.dataset.yem.name</t>
  </si>
  <si>
    <t>Yemen</t>
  </si>
  <si>
    <t>اليمن</t>
  </si>
  <si>
    <t>reportstrategic1.sections.5.blocks.1.dataset.yem.fillkey</t>
  </si>
  <si>
    <t>bubbleFill</t>
  </si>
  <si>
    <t>reportstrategic1.sections.5.blocks.1.dataset.ukr.popupcontent</t>
  </si>
  <si>
    <t>&lt;p class"small"&gt;&lt;span class"color-primary strong"&gt;13,000&lt;/span&gt; households assisted with shelter and/or non-food items&lt;/p&gt;</t>
  </si>
  <si>
    <t>&lt;p class"small"&gt;&lt;span class"color-primary strong"&gt;13,000&lt;/span&gt; Familias beneficiarias de ayuda para alojamiento provisional y de emergencia o con la entrega de artículos no alimentarios&lt;/p&gt;</t>
  </si>
  <si>
    <t>reportstrategic1.sections.5.blocks.1.dataset.ukr.number</t>
  </si>
  <si>
    <t>reportstrategic1.sections.5.blocks.1.dataset.ukr.name</t>
  </si>
  <si>
    <t>Ukraine</t>
  </si>
  <si>
    <t>Ucrania</t>
  </si>
  <si>
    <t>أوكرانيا</t>
  </si>
  <si>
    <t>reportstrategic1.sections.5.blocks.1.dataset.ukr.fillkey</t>
  </si>
  <si>
    <t>reportstrategic1.sections.5.blocks.1.dataset.syr.popupcontent</t>
  </si>
  <si>
    <t>&lt;p class"small"&gt;&lt;span class"color-primary strong"&gt;31,825&lt;/span&gt; households assisted with shelter and/or non-food items&lt;/p&gt;</t>
  </si>
  <si>
    <t>&lt;p class"small"&gt;&lt;span class"color-primary strong"&gt;31,825&lt;/span&gt; Familias beneficiarias de ayuda para alojamiento provisional y de emergencia o con la entrega de artículos no alimentarios&lt;/p&gt;</t>
  </si>
  <si>
    <t>reportstrategic1.sections.5.blocks.1.dataset.syr.number</t>
  </si>
  <si>
    <t>reportstrategic1.sections.5.blocks.1.dataset.syr.name</t>
  </si>
  <si>
    <t>Siria</t>
  </si>
  <si>
    <t>reportstrategic1.sections.5.blocks.1.dataset.syr.fillkey</t>
  </si>
  <si>
    <t>reportstrategic1.sections.5.blocks.1.dataset.ssd.popupcontent</t>
  </si>
  <si>
    <t>&lt;p class"small"&gt;&lt;span class"color-primary strong"&gt;202,907&lt;/span&gt; households assisted with shelter and/or non-food items&lt;/p&gt;</t>
  </si>
  <si>
    <t>&lt;p class"small"&gt;&lt;span class"color-primary strong"&gt;202,907&lt;/span&gt; Familias beneficiarias de ayuda para alojamiento provisional y de emergencia o con la entrega de artículos no alimentarios&lt;/p&gt;</t>
  </si>
  <si>
    <t>reportstrategic1.sections.5.blocks.1.dataset.ssd.number</t>
  </si>
  <si>
    <t>reportstrategic1.sections.5.blocks.1.dataset.ssd.name</t>
  </si>
  <si>
    <t>South Sudan</t>
  </si>
  <si>
    <t> Soudan du Sud</t>
  </si>
  <si>
    <t>Sudán del Sur</t>
  </si>
  <si>
    <t>جنوب السودان</t>
  </si>
  <si>
    <t>reportstrategic1.sections.5.blocks.1.dataset.ssd.fillkey</t>
  </si>
  <si>
    <t>reportstrategic1.sections.5.blocks.1.dataset.som.popupcontent</t>
  </si>
  <si>
    <t>&lt;p class"small"&gt;&lt;span class"color-primary strong"&gt;55,200&lt;/span&gt; households assisted with shelter and/or non-food items&lt;/p&gt;</t>
  </si>
  <si>
    <t>&lt;p class"small"&gt;&lt;span class"color-primary strong"&gt;55,200&lt;/span&gt; Familias beneficiarias de ayuda para alojamiento provisional y de emergencia o con la entrega de artículos no alimentarios&lt;/p&gt;</t>
  </si>
  <si>
    <t>reportstrategic1.sections.5.blocks.1.dataset.som.number</t>
  </si>
  <si>
    <t>reportstrategic1.sections.5.blocks.1.dataset.som.name</t>
  </si>
  <si>
    <t>reportstrategic1.sections.5.blocks.1.dataset.som.fillkey</t>
  </si>
  <si>
    <t>reportstrategic1.sections.5.blocks.1.dataset.phl.popupcontent</t>
  </si>
  <si>
    <t>&lt;p class"small"&gt;&lt;span class"color-primary strong"&gt;728,000&lt;/span&gt; households assisted with shelter and/or non-food items&lt;/p&gt;</t>
  </si>
  <si>
    <t>&lt;p class"small"&gt;&lt;span class"color-primary strong"&gt;728,000&lt;/span&gt; Familias beneficiarias de ayuda para alojamiento provisional y de emergencia o con la entrega de artículos no alimentario&lt;/p&gt;</t>
  </si>
  <si>
    <t>reportstrategic1.sections.5.blocks.1.dataset.phl.number</t>
  </si>
  <si>
    <t>reportstrategic1.sections.5.blocks.1.dataset.phl.name</t>
  </si>
  <si>
    <t>Philippines-Haiyan</t>
  </si>
  <si>
    <t>Filipinas</t>
  </si>
  <si>
    <t>الفلبين – إعصار «هايان»</t>
  </si>
  <si>
    <t>reportstrategic1.sections.5.blocks.1.dataset.phl.fillkey</t>
  </si>
  <si>
    <t>reportstrategic1.sections.5.blocks.1.dataset.pak.popupcontent</t>
  </si>
  <si>
    <t>&lt;p class"small"&gt;&lt;span class"color-primary strong"&gt;15,360&lt;/span&gt; households assisted with shelter and/or non-food items&lt;/p&gt;</t>
  </si>
  <si>
    <t>&lt;p class"small"&gt;&lt;span class"color-primary strong"&gt;15,360&lt;/span&gt; Familias beneficiarias de ayuda para alojamiento provisional y de emergencia o con la entrega de artículos no alimentarios&lt;/p&gt;</t>
  </si>
  <si>
    <t>reportstrategic1.sections.5.blocks.1.dataset.pak.number</t>
  </si>
  <si>
    <t>reportstrategic1.sections.5.blocks.1.dataset.pak.name</t>
  </si>
  <si>
    <t>Pakistán</t>
  </si>
  <si>
    <t>reportstrategic1.sections.5.blocks.1.dataset.pak.fillkey</t>
  </si>
  <si>
    <t>reportstrategic1.sections.5.blocks.1.dataset.mmr.popupcontent</t>
  </si>
  <si>
    <t>&lt;p class"small"&gt;&lt;span class"color-primary strong"&gt;16,898&lt;/span&gt; households assisted with shelter and/or non-food items&lt;/p&gt;</t>
  </si>
  <si>
    <t>&lt;p class"small"&gt;&lt;span class"color-primary strong"&gt;16,898&lt;/span&gt; Familias beneficiarias de ayuda para alojamiento provisional y de emergencia o con la entrega de artículos no alimentarios&lt;/p&gt;</t>
  </si>
  <si>
    <t>reportstrategic1.sections.5.blocks.1.dataset.mmr.number</t>
  </si>
  <si>
    <t>reportstrategic1.sections.5.blocks.1.dataset.mmr.name</t>
  </si>
  <si>
    <t>Myanmar</t>
  </si>
  <si>
    <t> Birmanie</t>
  </si>
  <si>
    <t>ميانمار</t>
  </si>
  <si>
    <t>reportstrategic1.sections.5.blocks.1.dataset.mmr.fillkey</t>
  </si>
  <si>
    <t>reportstrategic1.sections.5.blocks.1.dataset.mli.popupcontent</t>
  </si>
  <si>
    <t>&lt;p class"small"&gt;&lt;span class"color-primary strong"&gt;11,370&lt;/span&gt; households assisted with shelter and/or non-food items&lt;/p&gt;</t>
  </si>
  <si>
    <t>&lt;p class"small"&gt;&lt;span class"color-primary strong"&gt;11,370&lt;/span&gt; Familias beneficiarias de ayuda para alojamiento provisional y de emergencia o con la entrega de artículos no alimentarios&lt;/p&gt;</t>
  </si>
  <si>
    <t>reportstrategic1.sections.5.blocks.1.dataset.mli.number</t>
  </si>
  <si>
    <t>reportstrategic1.sections.5.blocks.1.dataset.mli.name</t>
  </si>
  <si>
    <t>Mali</t>
  </si>
  <si>
    <t>Malí</t>
  </si>
  <si>
    <t>مالي</t>
  </si>
  <si>
    <t>reportstrategic1.sections.5.blocks.1.dataset.mli.fillkey</t>
  </si>
  <si>
    <t>reportstrategic1.sections.5.blocks.1.dataset.irq.popupcontent</t>
  </si>
  <si>
    <t>&lt;p class"small"&gt;&lt;span class"color-primary strong"&gt;108,873&lt;/span&gt; households assisted with shelter and/or non-food items&lt;/p&gt;</t>
  </si>
  <si>
    <t>&lt;p class"small"&gt;&lt;span class"color-primary strong"&gt;108,873&lt;/span&gt; Familias beneficiarias de ayuda para alojamiento provisional y de emergencia o con la entrega de artículos no alimentarios&lt;/p&gt;</t>
  </si>
  <si>
    <t>reportstrategic1.sections.5.blocks.1.dataset.irq.number</t>
  </si>
  <si>
    <t>reportstrategic1.sections.5.blocks.1.dataset.irq.name</t>
  </si>
  <si>
    <t>Iraq</t>
  </si>
  <si>
    <t>Irak</t>
  </si>
  <si>
    <t>العراق</t>
  </si>
  <si>
    <t>reportstrategic1.sections.5.blocks.1.dataset.irq.fillkey</t>
  </si>
  <si>
    <t>reportstrategic1.sections.5.blocks.1.dataset.eth.popupcontent</t>
  </si>
  <si>
    <t>&lt;p class"small"&gt;&lt;span class"color-primary strong"&gt;33,918&lt;/span&gt; households assisted with shelter and/or non-food items&lt;/p&gt;</t>
  </si>
  <si>
    <t>&lt;p class"small"&gt;&lt;span class"color-primary strong"&gt;33,918&lt;/span&gt; Familias beneficiarias de ayuda para alojamiento provisional y de emergencia o con la entrega de artículos no alimentarios&lt;/p&gt;</t>
  </si>
  <si>
    <t>reportstrategic1.sections.5.blocks.1.dataset.eth.number</t>
  </si>
  <si>
    <t>reportstrategic1.sections.5.blocks.1.dataset.eth.name</t>
  </si>
  <si>
    <t>Ethiopie</t>
  </si>
  <si>
    <t>Etiopía</t>
  </si>
  <si>
    <t>reportstrategic1.sections.5.blocks.1.dataset.eth.fillkey</t>
  </si>
  <si>
    <t>reportstrategic1.sections.5.blocks.1.dataset.cod.popupcontent</t>
  </si>
  <si>
    <t>&lt;p class"small"&gt;&lt;span class"color-primary strong"&gt;166,442&lt;/span&gt; households assisted with shelter and/or non-food items&lt;/p&gt;</t>
  </si>
  <si>
    <t>&lt;p class"small"&gt;&lt;span class"color-primary strong"&gt;166,442&lt;/span&gt; Familias beneficiarias de ayuda para alojamiento provisional y de emergencia o con la entrega de artículos no alimentarios&lt;/p&gt;</t>
  </si>
  <si>
    <t>reportstrategic1.sections.5.blocks.1.dataset.cod.number</t>
  </si>
  <si>
    <t>reportstrategic1.sections.5.blocks.1.dataset.cod.name</t>
  </si>
  <si>
    <t>Democratic Republic of Congo</t>
  </si>
  <si>
    <t> République démocratique du Congo</t>
  </si>
  <si>
    <t>República Democrática del Congo</t>
  </si>
  <si>
    <t>جمهورية الكونغو الديمقراطية</t>
  </si>
  <si>
    <t>reportstrategic1.sections.5.blocks.1.dataset.cod.fillkey</t>
  </si>
  <si>
    <t>reportstrategic1.sections.5.blocks.1.dataset.caf.popupcontent</t>
  </si>
  <si>
    <t>&lt;p class"small"&gt;&lt;span class"color-primary strong"&gt;103,904&lt;/span&gt; households assisted with shelter and/or non-food items&lt;/p&gt;</t>
  </si>
  <si>
    <t>&lt;p class"small"&gt;&lt;span class"color-primary strong"&gt;103,904&lt;/span&gt; Familias beneficiarias de ayuda para alojamiento provisional y de emergencia o con la entrega de artículos no alimentarios&lt;/p&gt;</t>
  </si>
  <si>
    <t>reportstrategic1.sections.5.blocks.1.dataset.caf.number</t>
  </si>
  <si>
    <t>reportstrategic1.sections.5.blocks.1.dataset.caf.name</t>
  </si>
  <si>
    <t>Central African Republic</t>
  </si>
  <si>
    <t> République centrafricaine</t>
  </si>
  <si>
    <t>República Centroafricana</t>
  </si>
  <si>
    <t>جمهورية أفريقيا الوسطى</t>
  </si>
  <si>
    <t>reportstrategic1.sections.5.blocks.1.dataset.caf.fillkey</t>
  </si>
  <si>
    <t>reportstrategic1.sections.5.blocks.1.dataset.bgd.popupcontent</t>
  </si>
  <si>
    <t>&lt;p class"small"&gt;&lt;span class"color-primary strong"&gt;43,187&lt;/span&gt; households assisted with shelter and/or non-food items&lt;/p&gt;</t>
  </si>
  <si>
    <t>&lt;p class"small"&gt;&lt;span class"color-primary strong"&gt;43,187&lt;/span&gt; Familias beneficiarias de ayuda para alojamiento provisional y de emergencia o con la entrega de artículos no alimentarios&lt;/p&gt;</t>
  </si>
  <si>
    <t>reportstrategic1.sections.5.blocks.1.dataset.bgd.number</t>
  </si>
  <si>
    <t>reportstrategic1.sections.5.blocks.1.dataset.bgd.name</t>
  </si>
  <si>
    <t>reportstrategic1.sections.5.blocks.1.dataset.bgd.fillkey</t>
  </si>
  <si>
    <t>reportstrategic1.sections.5.blocks.1.dataset.afg.popupcontent</t>
  </si>
  <si>
    <t>&lt;p class"small"&gt;&lt;span class"color-primary strong"&gt;19,364&lt;/span&gt; households assisted with shelter and/or non-food items&lt;/p&gt;</t>
  </si>
  <si>
    <t>&lt;p class"small"&gt;&lt;span class"color-primary strong"&gt;19,364&lt;/span&gt; Familias beneficiarias de ayuda para alojamiento provisional y de emergencia o con la entrega de artículos no alimentarios&lt;/p&gt;</t>
  </si>
  <si>
    <t>reportstrategic1.sections.5.blocks.1.dataset.afg.number</t>
  </si>
  <si>
    <t>reportstrategic1.sections.5.blocks.1.dataset.afg.name</t>
  </si>
  <si>
    <t>Afganistán</t>
  </si>
  <si>
    <t>reportstrategic1.sections.5.blocks.1.dataset.afg.fillkey</t>
  </si>
  <si>
    <t>reportstrategic1.sections.5.blocks.1.caption</t>
  </si>
  <si>
    <t>Source: Shelter and Settlements Department</t>
  </si>
  <si>
    <t>Source: Département des logements et des établissements</t>
  </si>
  <si>
    <t>Fuente: Departamento de Alojamiento Provisional y Asentamientos</t>
  </si>
  <si>
    <t>المصدر: قسم المأوى والمستوطنات البشرية</t>
  </si>
  <si>
    <t>reportstrategic1.sections.5.blocks.0</t>
  </si>
  <si>
    <t>For people coping with a disaster or war that has cost them everything, shelter is much more than four walls and a roof. It means a home. It is a place to feel secure, and to be together in privacy and safety with your loved ones. Shelter sets the foundation for rebuilding shattered lives and livelihoods, and regaining or maintaining good health. Resilience and dignity begin with having the right shelter.</t>
  </si>
  <si>
    <t>Pour les individus qui ont tout perdu du fait d’une catastrophe ou d’une guerre, un logement, c’est bien plus que quatre murs et un toit. C’est un foyer, un endroit où ils se sentent en sécurité et où ils peuvent vivre dans l’intimité avec leurs proches. La fourniture de logements est une première étape vers la reconstruction des vies et des moyens de subsistance, et elle permet aux individus de redevenir ou de rester en bonne santé. La résilience et la dignité commencent par un logement adéquat.</t>
  </si>
  <si>
    <t>Para quienes viven las consecuencias de guerras o desastres que los han dejado completamente desamparados y desprovistos de todo, el alojamiento provisional y de emergencia es mucho más que cuatro paredes y un tejado. Es un hogar. Un lugar donde sentirse a salvo, en seguridad y en privado, rodeado de sus seres queridos. Se trata de los cimientos para la reconstrucción de existencias y medios de vida trastocados y de un lugar para recuperar un buen estado de salud o preservarlo. La dignidad y la capacidad de resistencia y recuperación comienzan con gozar de adecuado alojamiento provisional y de emergencia.</t>
  </si>
  <si>
    <t>يعني المأوى للأشخاص الذين يتصدون لكارثة أو لحرب خسروا فيها كل شئ، أكثر بكثير من مجرد أربعة جدران وسقف. فهو يعني وجود منزل يأويهم ومكان يشعرون فيه بالأمان، ويتجمعون فيه في خصوصية وسلام مع أحبائهم. ويضع المأوى الأساس لإعادة بناء الحياة وسبل العيش التي تحطمت، واستعادة الصحة الجيدة أو الحفاظ عليها. إذ تبدأ القدرة على التغلب على المحن وصون الكرامة بالحصول على المأوى المناسب.</t>
  </si>
  <si>
    <t>reportstrategic1.sections.4.title</t>
  </si>
  <si>
    <t>Global logistics service</t>
  </si>
  <si>
    <t>Notre Service mondial de logistique</t>
  </si>
  <si>
    <t>Servicio Mundial de Logística</t>
  </si>
  <si>
    <t>الخدمات اللوجتسية العالمية</t>
  </si>
  <si>
    <t>reportstrategic1.sections.4.blocks.3</t>
  </si>
  <si>
    <t>At any moment, the Global Logistics Service holds contingency stocks in strategically located warehouses enabling the IFRC to meet the immediate needs of 450,000 people at any time. It also advises and helps National Societies to develop their own domestic logistics capacities. Expanding services to external humanitarian partners has allowed the Global Logistics Service to consolidate purchasing power through increased business volumes, bringing efficiencies of scale that ultimately benefit the IFRC network.</t>
  </si>
  <si>
    <t>Il maintient en tout temps des stocks d’urgence dans les entrepôts installés dans des endroits stratégiques afin de permettre à la Fédération de répondre à tout moment aux besoins immédiats de 450 000 personnes. Son rôle consiste également à conseiller et à aider les Sociétés nationales à renforcer leurs propres capacités logistiques. En étendant ses services aux partenaires humanitaires externes, le Service mondial de logistique a accru ses volumes de transactions, ce qui lui a permis d’améliorer son pouvoir d’achat et de réaliser des économies d’échelle bénéfiques pour l’ensemble du réseau de la Fédération.</t>
  </si>
  <si>
    <t>De manera constante, el Servicio Mundial de Logística mantiene existencias de reserva en depósitos situados en lugares estratégicos que permiten a la Federación Internacional satisfacer las necesidades inmediatas de 450 000 personas en cualquier momento. Presta, asimismo, asesoramiento a las Sociedades Nacionales para que se doten de capacidades propias en materia de logística. Ha ampliado la prestación de servicios a asociados humanitarios externos, de manera que ha podido consolidar su poder adquisitivo mediante el incremento de volúmenes de negocios, los cuales, a su vez, se traducen en eficiencias de escala que redundan en beneficio de la Federación Internacional en conjunto.</t>
  </si>
  <si>
    <t>وفي أي وقت، تتولى الخدمات اللوجستية العالمية إدارة مخزون الطوارئ في مخازن تقع في موقع استراتيجي مما يتيح للاتحاد الدولي تلبية الاحتياجات الضرورية لأربعمائة وخمسين ألف شخص في أي وقت. وهي تقدم أيضاً المشورة للجمعيات الوطنية وتساعدها على تطوير قدراتها اللوجستية المحلية الخاصة. كما أتاح لها توسيع نطاق خدماتها لتشمل الشركاء الإنسانيين الخارجيين بتعزيز قدرتها الشرائية من خلال تزايد حجم الأعمال التجارية وتحقيق اقتصادات بفضلها بما يعود بالفائدة في نهاية المطاف على شبكة الاتحاد الدولي.</t>
  </si>
  <si>
    <t>reportstrategic1.sections.4.blocks.2</t>
  </si>
  <si>
    <t>The principal focus of the Global Logistics Service is on procurement and transportation, warehousing, fleet management, contingency stocks, and specialised technical expertise</t>
  </si>
  <si>
    <t>Le Service mondial de logistique est avant tout axé sur les achats, le transport, le stockage, la gestion du parc automobile, les stocks d’urgence et les compétences techniques spécialisées.</t>
  </si>
  <si>
    <t>El Servicio Mundial de Logística centra su atención en las adquisiciones, el transporte, el almacenamiento, la gestión del parque de vehículos, las existencias de reserva y la pericia técnica especializada.</t>
  </si>
  <si>
    <t>وتركز الخدمات اللوجستية العالمية بشكل رئيسي على عمليات الشراء، والنقل، والتخزين، و إدارة الموجودات الثابتة، ومخزون الطوارئ، والخبرات التقنية المتخصصة.</t>
  </si>
  <si>
    <t>reportstrategic1.sections.4.blocks.1.type</t>
  </si>
  <si>
    <t>reportstrategic1.sections.4.blocks.1.title</t>
  </si>
  <si>
    <t>Growing volume of business</t>
  </si>
  <si>
    <t>Volume croissant d’activités</t>
  </si>
  <si>
    <t>Volumen creciente de actividades</t>
  </si>
  <si>
    <t>نمو حجم الأعمال</t>
  </si>
  <si>
    <t>reportstrategic1.sections.4.blocks.1.linelabels.1</t>
  </si>
  <si>
    <t>Mobilisation</t>
  </si>
  <si>
    <t>Movilización</t>
  </si>
  <si>
    <t>حشد</t>
  </si>
  <si>
    <t>reportstrategic1.sections.4.blocks.1.linelabels.0</t>
  </si>
  <si>
    <t>Procurement</t>
  </si>
  <si>
    <t>Achats</t>
  </si>
  <si>
    <t>Adquisiciones</t>
  </si>
  <si>
    <t>مشتروات</t>
  </si>
  <si>
    <t>reportstrategic1.sections.4.blocks.1.dataset.1.3.year</t>
  </si>
  <si>
    <t>reportstrategic1.sections.4.blocks.1.dataset.1.3.value</t>
  </si>
  <si>
    <t>reportstrategic1.sections.4.blocks.1.dataset.1.2.year</t>
  </si>
  <si>
    <t>reportstrategic1.sections.4.blocks.1.dataset.1.2.value</t>
  </si>
  <si>
    <t>reportstrategic1.sections.4.blocks.1.dataset.1.1.year</t>
  </si>
  <si>
    <t>reportstrategic1.sections.4.blocks.1.dataset.1.1.value</t>
  </si>
  <si>
    <t>reportstrategic1.sections.4.blocks.1.dataset.1.0.year</t>
  </si>
  <si>
    <t>reportstrategic1.sections.4.blocks.1.dataset.1.0.value</t>
  </si>
  <si>
    <t>reportstrategic1.sections.4.blocks.1.dataset.0.3.year</t>
  </si>
  <si>
    <t>reportstrategic1.sections.4.blocks.1.dataset.0.3.value</t>
  </si>
  <si>
    <t>reportstrategic1.sections.4.blocks.1.dataset.0.2.year</t>
  </si>
  <si>
    <t>reportstrategic1.sections.4.blocks.1.dataset.0.2.value</t>
  </si>
  <si>
    <t>reportstrategic1.sections.4.blocks.1.dataset.0.1.year</t>
  </si>
  <si>
    <t>reportstrategic1.sections.4.blocks.1.dataset.0.1.value</t>
  </si>
  <si>
    <t>reportstrategic1.sections.4.blocks.1.dataset.0.0.year</t>
  </si>
  <si>
    <t>reportstrategic1.sections.4.blocks.1.dataset.0.0.value</t>
  </si>
  <si>
    <t>reportstrategic1.sections.4.blocks.1.caption</t>
  </si>
  <si>
    <t>Source: Logistics Department</t>
  </si>
  <si>
    <t>Source: Département de logistique</t>
  </si>
  <si>
    <t>Fuente: Servicio Mundial de Logística</t>
  </si>
  <si>
    <t>المصدر: قسم الخدمات اللوجستية</t>
  </si>
  <si>
    <t>reportstrategic1.sections.4.blocks.1.axislabels.y</t>
  </si>
  <si>
    <t>Millions in CHF</t>
  </si>
  <si>
    <t>Millions de CHF</t>
  </si>
  <si>
    <t>Millones de francos suizos</t>
  </si>
  <si>
    <t>ملايين الفرنكات السويسرية</t>
  </si>
  <si>
    <t>reportstrategic1.sections.4.blocks.1.axislabels.x</t>
  </si>
  <si>
    <t>Années</t>
  </si>
  <si>
    <t>reportstrategic1.sections.4.blocks.0</t>
  </si>
  <si>
    <t>The IFRC’s Global Logistics Service works to ensure that 100 the right supplies and equipment get to the right place at the right time at the right price in order to benefit the maximum number of vulnerable people. The service has won several accolades for its work. It operates from hubs in Geneva, Panama, Las Palmas, Nairobi, Dubai, and Kuala Lumpur, and transacts an impressive and growing volume of business.</t>
  </si>
  <si>
    <t>Le Service mondial de logistique de la Fédération, dont le travail a été salué à plusieurs reprises, a pour mission de garantir que les fournitures et les équipements adéquats soient disponibles au bon endroit, au bon moment et au bon prix afin d’atteindre le plus grand nombre possible de personnes vulnérables. Il opère par le biais de pôles situés à Genève, à Panama, à Las Palmas, à Nairobi, à Dubaï et à Kuala Lumpur, et gère un volume impressionnant et croissant d’activités.</t>
  </si>
  <si>
    <t>El Servicio Mundial de Logística de la Federación Internacional vela por que los suministros y equipos adecuados lleguen con la debida oportunidad al lugar correcto y conforme a precios adecuados con el fin de beneficiar a la mayor cantidad posible de personas vulnerables. La labor de este servicio ha sido objeto de encomio y reconocimiento. Cuenta con platafor mas de operaciones en Ginebra, Panamá, Las Palmas, Nairobi, Dubai y Kuala Lumpur y realiza una impresionante cantidad de transacciones, además de contar con un creciente volumen de negocios</t>
  </si>
  <si>
    <t>تعمل الخدمات اللوجستية العالمية التابعة للاتحاد الدولي لضمان وصول الإمدادات والمعدات المناسبة إلى المكان المناسب وفي الوقت المناسب وبالثمن المناسب لكي يستفيد منها أكبر عدد ممكن من الأشخاص المعرضين للخطر. وقد حظيت هذه الخدمة بتقدير شديد لما أنجزته. وهي تعمل من مراكزها في جنيف وبنما ولاس بالماس ونيروبي ودبي وكوالا لامبور، وهي تنجز حجماً مدهشاً ومتنامياً من الأعمال.</t>
  </si>
  <si>
    <t>reportstrategic1.sections.3.title</t>
  </si>
  <si>
    <t>Our disaster management system</t>
  </si>
  <si>
    <t>Notre système de gestion des catastrophes</t>
  </si>
  <si>
    <t>Sistema de gestión de desastres</t>
  </si>
  <si>
    <t>نظامنا لإدارة الكوارث</t>
  </si>
  <si>
    <t>reportstrategic1.sections.3.blocks.2</t>
  </si>
  <si>
    <t>A profile of DREF operations in 2014 shows that disease epidemics, floods, and conflicts were the main triggers.</t>
  </si>
  <si>
    <t>Les chiffres montrent qu’en 2014, le DREF a été le plus souvent sollicité pour faire face à des épidémies, des inondations et des conflits.</t>
  </si>
  <si>
    <t>Un cuadro de uso característico del Fondo de Reserva para el Socorro en Casos de Desastre para operaciones efectuadas en 2014 denota que las principales causas fueron las epidemias, las inundaciones y los conflictos.</t>
  </si>
  <si>
    <t>وتبين المعلومات المقدمة عن عمليات الصندوق في عام 2014 أن الأوبئة، والفيضانات، والنزاعات كانت هي الدوافع الرئيسية لطلب مخصصات من الصندوق.</t>
  </si>
  <si>
    <t>reportstrategic1.sections.3.blocks.1.type</t>
  </si>
  <si>
    <t>reportstrategic1.sections.3.blocks.1.title</t>
  </si>
  <si>
    <t>DREF-type and number of operations</t>
  </si>
  <si>
    <t>DREF – type et nombre des opérations</t>
  </si>
  <si>
    <t>Fondo de Reserva para el Socorro en Casos de Desastre ‐ tipo y cantidad de operaciones</t>
  </si>
  <si>
    <t>صندوق الطوارئ للإغاثة في حالة الكوارث – نوع العمليات وعددها</t>
  </si>
  <si>
    <t>reportstrategic1.sections.3.blocks.1.dataset.9.y</t>
  </si>
  <si>
    <t>reportstrategic1.sections.3.blocks.1.dataset.9.x</t>
  </si>
  <si>
    <t>Others (2)</t>
  </si>
  <si>
    <t>Autres (2)</t>
  </si>
  <si>
    <t>Otros (2)</t>
  </si>
  <si>
    <t>أخرى (2)</t>
  </si>
  <si>
    <t>reportstrategic1.sections.3.blocks.1.dataset.9.fill</t>
  </si>
  <si>
    <t>reportstrategic1.sections.3.blocks.1.dataset.8.y</t>
  </si>
  <si>
    <t>reportstrategic1.sections.3.blocks.1.dataset.8.x</t>
  </si>
  <si>
    <t>Population movement (11)</t>
  </si>
  <si>
    <t>Mouvements de population (11)</t>
  </si>
  <si>
    <t>Movimiento de poblaciones (11)</t>
  </si>
  <si>
    <t>حركة سكان (11)</t>
  </si>
  <si>
    <t>reportstrategic1.sections.3.blocks.1.dataset.8.fill</t>
  </si>
  <si>
    <t>reportstrategic1.sections.3.blocks.1.dataset.7.y</t>
  </si>
  <si>
    <t>reportstrategic1.sections.3.blocks.1.dataset.7.x</t>
  </si>
  <si>
    <t>Explosions, fires (2)</t>
  </si>
  <si>
    <t>Explosions, incendies (2)</t>
  </si>
  <si>
    <t>Explosiones,incendios (2)</t>
  </si>
  <si>
    <t>انفجارات وحرائق (2)</t>
  </si>
  <si>
    <t>reportstrategic1.sections.3.blocks.1.dataset.7.fill</t>
  </si>
  <si>
    <t>reportstrategic1.sections.3.blocks.1.dataset.6.y</t>
  </si>
  <si>
    <t>reportstrategic1.sections.3.blocks.1.dataset.6.x</t>
  </si>
  <si>
    <t>Civil unrest (13)</t>
  </si>
  <si>
    <t>Troubles civils (13)</t>
  </si>
  <si>
    <t>Disturbios civiles (13)</t>
  </si>
  <si>
    <t>اضطرابات مدنية (13)</t>
  </si>
  <si>
    <t>reportstrategic1.sections.3.blocks.1.dataset.6.fill</t>
  </si>
  <si>
    <t>reportstrategic1.sections.3.blocks.1.dataset.5.y</t>
  </si>
  <si>
    <t>reportstrategic1.sections.3.blocks.1.dataset.5.x</t>
  </si>
  <si>
    <t>Extreme temperature (4)</t>
  </si>
  <si>
    <t>Température extrême (4)</t>
  </si>
  <si>
    <t>Temperaturas extremas (4)</t>
  </si>
  <si>
    <t>درجات حرارة متطرفة (4)</t>
  </si>
  <si>
    <t>reportstrategic1.sections.3.blocks.1.dataset.5.fill</t>
  </si>
  <si>
    <t>reportstrategic1.sections.3.blocks.1.dataset.4.y</t>
  </si>
  <si>
    <t>reportstrategic1.sections.3.blocks.1.dataset.4.x</t>
  </si>
  <si>
    <t>Cyclones, storms (4)</t>
  </si>
  <si>
    <t>Cyclones, tempêtes, (4)</t>
  </si>
  <si>
    <t>Ciclones,tormentas (4)</t>
  </si>
  <si>
    <t>أعاصير وعواصف (4)</t>
  </si>
  <si>
    <t>reportstrategic1.sections.3.blocks.1.dataset.4.fill</t>
  </si>
  <si>
    <t>reportstrategic1.sections.3.blocks.1.dataset.3.y</t>
  </si>
  <si>
    <t>reportstrategic1.sections.3.blocks.1.dataset.3.x</t>
  </si>
  <si>
    <t>Volcanic eruptions (4)</t>
  </si>
  <si>
    <t>Éruptions volcaniques (4)</t>
  </si>
  <si>
    <t>Erupciones volcánicas (4)</t>
  </si>
  <si>
    <t>ثورات بركانية (4)</t>
  </si>
  <si>
    <t>reportstrategic1.sections.3.blocks.1.dataset.3.fill</t>
  </si>
  <si>
    <t>#DE2214</t>
  </si>
  <si>
    <t>reportstrategic1.sections.3.blocks.1.dataset.2.y</t>
  </si>
  <si>
    <t>reportstrategic1.sections.3.blocks.1.dataset.2.x</t>
  </si>
  <si>
    <t>Earthquakes (3)</t>
  </si>
  <si>
    <t>Tremblements de terre (3)</t>
  </si>
  <si>
    <t>Terremotos (3)</t>
  </si>
  <si>
    <t>زلازل (3)</t>
  </si>
  <si>
    <t>reportstrategic1.sections.3.blocks.1.dataset.2.fill</t>
  </si>
  <si>
    <t>reportstrategic1.sections.3.blocks.1.dataset.10.y</t>
  </si>
  <si>
    <t>reportstrategic1.sections.3.blocks.1.dataset.10.x</t>
  </si>
  <si>
    <t>Epidemics (28)</t>
  </si>
  <si>
    <t>Epidémies (28)</t>
  </si>
  <si>
    <t>Epidemias (28)</t>
  </si>
  <si>
    <t>أوبئة (28)</t>
  </si>
  <si>
    <t>reportstrategic1.sections.3.blocks.1.dataset.10.fill</t>
  </si>
  <si>
    <t>reportstrategic1.sections.3.blocks.1.dataset.1.y</t>
  </si>
  <si>
    <t>reportstrategic1.sections.3.blocks.1.dataset.1.x</t>
  </si>
  <si>
    <t>Floods (30)</t>
  </si>
  <si>
    <t>Inondations (30)</t>
  </si>
  <si>
    <t>Inundaciones (30)</t>
  </si>
  <si>
    <t>فيضانات (30)</t>
  </si>
  <si>
    <t>reportstrategic1.sections.3.blocks.1.dataset.1.fill</t>
  </si>
  <si>
    <t>#0F9EE2</t>
  </si>
  <si>
    <t>reportstrategic1.sections.3.blocks.1.dataset.0.y</t>
  </si>
  <si>
    <t>reportstrategic1.sections.3.blocks.1.dataset.0.x</t>
  </si>
  <si>
    <t>Droughts (1)</t>
  </si>
  <si>
    <t>Sécheresses (1)</t>
  </si>
  <si>
    <t>Sequías (1)</t>
  </si>
  <si>
    <t>موجات جفاف (1)</t>
  </si>
  <si>
    <t>reportstrategic1.sections.3.blocks.1.dataset.0.fill</t>
  </si>
  <si>
    <t>reportstrategic1.sections.3.blocks.1.caption</t>
  </si>
  <si>
    <t>Source: Disaster and Crisis Management Department</t>
  </si>
  <si>
    <t>Source : Département de gestion des catastrophes et des crises</t>
  </si>
  <si>
    <t>Fuente: Departamento de Gestión de Desastres y Crisis</t>
  </si>
  <si>
    <t>المصدر: قسم إدارة الكوارث والأزمات</t>
  </si>
  <si>
    <t>reportstrategic1.sections.3.blocks.0</t>
  </si>
  <si>
    <t>The Disaster Relief Emergency Fund (DREF) is a pool of immediately available money kept by the IFRC secretariat and available on request to any National Society for mounting an urgent response. Every year, hundreds of minor disasters and health emergencies happen without attracting media attention due to their limited size and scale, and do not receive the rapid financial support they require.</t>
  </si>
  <si>
    <t>Le Fonds d’urgence pour les secours lors de catastrophes (DREF) est un fonds géré par le Secrétariat de la Fédération, dont les ressources peuvent, sur demande, être immédiatement mises à la disposition des Sociétés nationales pour lancer une intervention d’urgence. Les centaines de catastrophes et d’urgences sanitaires mineures qui sont à déplorer chaque année n’attirent pas l’attention des médias du fait de leur faible ampleur et ne reçoivent donc pas l’appui financier rapide nécessaire.</t>
  </si>
  <si>
    <t>Los servicios de emergencia que presta la Federación Internacional abarcan los principales elementos necesarios para preservar la vida de las personas con dignidad, evitar pérdidas y daños ulteriores, estabilizar el estado físico y emocional de la población afectada, y sentar los cimientos para una rápida recuperación.</t>
  </si>
  <si>
    <t>صندوق الطوارئ للإغاثة في حالات الكوارث هو مجموعة من الأموال المتاحة فوراً التي تحتفظ بها أمانة الاتحاد الدولي والتي يمكن الحصول عليها بناء على طلب أي جمعية وطنية لتنظيم عملية إغاثة عاجلة. وفي كل عام، تقع المئات من الكوارث الصغيرة وحالات الطوارئ الصحية دون جذب انتباه وسائط الإعلام نظراً لحجمها ونطاقها المحدود، وهي لا تحصل على الدعم المادي السريع الذي تحتاجه.</t>
  </si>
  <si>
    <t>reportstrategic1.sections.2.title</t>
  </si>
  <si>
    <t>Highest and lowest funded appeals</t>
  </si>
  <si>
    <t>Appels d’urgence les mieux et les moins bien financés</t>
  </si>
  <si>
    <t>Llamamientos de emergencia con mayor y menor recaudación de fondos</t>
  </si>
  <si>
    <t>أكثر نداءات الطوارئ تغطية وأقلها تغطية</t>
  </si>
  <si>
    <t>reportstrategic1.sections.2.blocks.3.type</t>
  </si>
  <si>
    <t>reportstrategic1.sections.2.blocks.3.title</t>
  </si>
  <si>
    <t>Appeal funding</t>
  </si>
  <si>
    <t>Financement des appels</t>
  </si>
  <si>
    <t>Llamamientos de recaudación de fondos</t>
  </si>
  <si>
    <t>تغطية النداءات</t>
  </si>
  <si>
    <t>reportstrategic1.sections.2.blocks.3.tabs.1.name</t>
  </si>
  <si>
    <t>Highest</t>
  </si>
  <si>
    <t>Mieux financés</t>
  </si>
  <si>
    <t>Mayor recaudación de fondos</t>
  </si>
  <si>
    <t>الأعلى تغطية</t>
  </si>
  <si>
    <t>reportstrategic1.sections.2.blocks.3.tabs.1.headers.1</t>
  </si>
  <si>
    <t>Coverage</t>
  </si>
  <si>
    <t>Couverture</t>
  </si>
  <si>
    <t>التغطية</t>
  </si>
  <si>
    <t>reportstrategic1.sections.2.blocks.3.tabs.1.headers.0</t>
  </si>
  <si>
    <t>Appeal</t>
  </si>
  <si>
    <t>Appel</t>
  </si>
  <si>
    <t>Llamamiento</t>
  </si>
  <si>
    <t>النداء</t>
  </si>
  <si>
    <t>reportstrategic1.sections.2.blocks.3.tabs.1.dataset.9.percentage</t>
  </si>
  <si>
    <t>reportstrategic1.sections.2.blocks.3.tabs.1.dataset.9.country</t>
  </si>
  <si>
    <t>reportstrategic1.sections.2.blocks.3.tabs.1.dataset.8.percentage</t>
  </si>
  <si>
    <t>reportstrategic1.sections.2.blocks.3.tabs.1.dataset.8.country</t>
  </si>
  <si>
    <t>Turquía</t>
  </si>
  <si>
    <t>reportstrategic1.sections.2.blocks.3.tabs.1.dataset.7.percentage</t>
  </si>
  <si>
    <t>reportstrategic1.sections.2.blocks.3.tabs.1.dataset.7.country</t>
  </si>
  <si>
    <t>Cuba</t>
  </si>
  <si>
    <t>كوبا</t>
  </si>
  <si>
    <t>reportstrategic1.sections.2.blocks.3.tabs.1.dataset.6.percentage</t>
  </si>
  <si>
    <t>reportstrategic1.sections.2.blocks.3.tabs.1.dataset.6.country</t>
  </si>
  <si>
    <t>reportstrategic1.sections.2.blocks.3.tabs.1.dataset.5.percentage</t>
  </si>
  <si>
    <t>reportstrategic1.sections.2.blocks.3.tabs.1.dataset.5.country</t>
  </si>
  <si>
    <t>Haiti and Dominican Republic</t>
  </si>
  <si>
    <t>Haïti et la République Dominicaine</t>
  </si>
  <si>
    <t>Haití y República Dominicana</t>
  </si>
  <si>
    <t>هايتي وجمهورية الدومينيكان</t>
  </si>
  <si>
    <t>reportstrategic1.sections.2.blocks.3.tabs.1.dataset.4.percentage</t>
  </si>
  <si>
    <t>reportstrategic1.sections.2.blocks.3.tabs.1.dataset.4.country</t>
  </si>
  <si>
    <t>Kenia</t>
  </si>
  <si>
    <t>reportstrategic1.sections.2.blocks.3.tabs.1.dataset.3.percentage</t>
  </si>
  <si>
    <t>reportstrategic1.sections.2.blocks.3.tabs.1.dataset.3.country</t>
  </si>
  <si>
    <t>Chile</t>
  </si>
  <si>
    <t>Chili</t>
  </si>
  <si>
    <t>تشيلي</t>
  </si>
  <si>
    <t>reportstrategic1.sections.2.blocks.3.tabs.1.dataset.2.percentage</t>
  </si>
  <si>
    <t>reportstrategic1.sections.2.blocks.3.tabs.1.dataset.2.country</t>
  </si>
  <si>
    <t>reportstrategic1.sections.2.blocks.3.tabs.1.dataset.11.percentage</t>
  </si>
  <si>
    <t>reportstrategic1.sections.2.blocks.3.tabs.1.dataset.11.country</t>
  </si>
  <si>
    <t>reportstrategic1.sections.2.blocks.3.tabs.1.dataset.10.percentage</t>
  </si>
  <si>
    <t>reportstrategic1.sections.2.blocks.3.tabs.1.dataset.10.country</t>
  </si>
  <si>
    <t>Haití</t>
  </si>
  <si>
    <t>reportstrategic1.sections.2.blocks.3.tabs.1.dataset.1.percentage</t>
  </si>
  <si>
    <t>reportstrategic1.sections.2.blocks.3.tabs.1.dataset.1.country</t>
  </si>
  <si>
    <t>reportstrategic1.sections.2.blocks.3.tabs.1.dataset.0.percentage</t>
  </si>
  <si>
    <t>reportstrategic1.sections.2.blocks.3.tabs.1.dataset.0.country</t>
  </si>
  <si>
    <t>Sierra Leona</t>
  </si>
  <si>
    <t>reportstrategic1.sections.2.blocks.3.tabs.0.name</t>
  </si>
  <si>
    <t>Lowest</t>
  </si>
  <si>
    <t>Moins bien financés</t>
  </si>
  <si>
    <t>Menor recaudación de fondos</t>
  </si>
  <si>
    <t>الأقل تغطية</t>
  </si>
  <si>
    <t>reportstrategic1.sections.2.blocks.3.tabs.0.headers.1</t>
  </si>
  <si>
    <t>Alcance</t>
  </si>
  <si>
    <t>reportstrategic1.sections.2.blocks.3.tabs.0.headers.0</t>
  </si>
  <si>
    <t>reportstrategic1.sections.2.blocks.3.tabs.0.dataset.9.percentage</t>
  </si>
  <si>
    <t>reportstrategic1.sections.2.blocks.3.tabs.0.dataset.9.country</t>
  </si>
  <si>
    <t>Chad</t>
  </si>
  <si>
    <t>Tchad</t>
  </si>
  <si>
    <t>تشاد</t>
  </si>
  <si>
    <t>reportstrategic1.sections.2.blocks.3.tabs.0.dataset.8.percentage</t>
  </si>
  <si>
    <t>reportstrategic1.sections.2.blocks.3.tabs.0.dataset.8.country</t>
  </si>
  <si>
    <t>Niger</t>
  </si>
  <si>
    <t>Níger</t>
  </si>
  <si>
    <t>النيجر</t>
  </si>
  <si>
    <t>reportstrategic1.sections.2.blocks.3.tabs.0.dataset.7.percentage</t>
  </si>
  <si>
    <t>reportstrategic1.sections.2.blocks.3.tabs.0.dataset.7.country</t>
  </si>
  <si>
    <t>Sudán</t>
  </si>
  <si>
    <t>reportstrategic1.sections.2.blocks.3.tabs.0.dataset.6.percentage</t>
  </si>
  <si>
    <t>reportstrategic1.sections.2.blocks.3.tabs.0.dataset.6.country</t>
  </si>
  <si>
    <t>Burkina Faso</t>
  </si>
  <si>
    <t>بوركينا فاسو</t>
  </si>
  <si>
    <t>reportstrategic1.sections.2.blocks.3.tabs.0.dataset.5.percentage</t>
  </si>
  <si>
    <t>reportstrategic1.sections.2.blocks.3.tabs.0.dataset.5.country</t>
  </si>
  <si>
    <t>reportstrategic1.sections.2.blocks.3.tabs.0.dataset.4.percentage</t>
  </si>
  <si>
    <t>reportstrategic1.sections.2.blocks.3.tabs.0.dataset.4.country</t>
  </si>
  <si>
    <t>Côte dIvoire</t>
  </si>
  <si>
    <t>Côte d’Ivoire</t>
  </si>
  <si>
    <t>ساحل العاج</t>
  </si>
  <si>
    <t>reportstrategic1.sections.2.blocks.3.tabs.0.dataset.3.percentage</t>
  </si>
  <si>
    <t>reportstrategic1.sections.2.blocks.3.tabs.0.dataset.3.country</t>
  </si>
  <si>
    <t>أثيوبيا</t>
  </si>
  <si>
    <t>reportstrategic1.sections.2.blocks.3.tabs.0.dataset.2.percentage</t>
  </si>
  <si>
    <t>reportstrategic1.sections.2.blocks.3.tabs.0.dataset.2.country</t>
  </si>
  <si>
    <t>Angola</t>
  </si>
  <si>
    <t>أنغولا</t>
  </si>
  <si>
    <t>reportstrategic1.sections.2.blocks.3.tabs.0.dataset.11.percentage</t>
  </si>
  <si>
    <t>reportstrategic1.sections.2.blocks.3.tabs.0.dataset.11.country</t>
  </si>
  <si>
    <t>Republic of Congo</t>
  </si>
  <si>
    <t>République du Congo</t>
  </si>
  <si>
    <t>República del Congo</t>
  </si>
  <si>
    <t>جمهورية الكونغو</t>
  </si>
  <si>
    <t>reportstrategic1.sections.2.blocks.3.tabs.0.dataset.10.percentage</t>
  </si>
  <si>
    <t>reportstrategic1.sections.2.blocks.3.tabs.0.dataset.10.country</t>
  </si>
  <si>
    <t>reportstrategic1.sections.2.blocks.3.tabs.0.dataset.1.percentage</t>
  </si>
  <si>
    <t>reportstrategic1.sections.2.blocks.3.tabs.0.dataset.1.country</t>
  </si>
  <si>
    <t>reportstrategic1.sections.2.blocks.3.tabs.0.dataset.0.percentage</t>
  </si>
  <si>
    <t>reportstrategic1.sections.2.blocks.3.tabs.0.dataset.0.country</t>
  </si>
  <si>
    <t>reportstrategic1.sections.2.blocks.3.caption</t>
  </si>
  <si>
    <t>Source : Direction Financière</t>
  </si>
  <si>
    <t>reportstrategic1.sections.2.blocks.2</t>
  </si>
  <si>
    <t>Appeals in Africa have tended to be less well covered, probably because the continent has more long-term crises in which interest wanes after a time. Food insecurity related appeals also tend to be poorly funded, perhaps because they are long-term crises. Emergencies that attract intense publicity tend to be much better funded.</t>
  </si>
  <si>
    <t>Les appels en faveur de l’Afrique ont tendance à être moins bien financés, probablement parce que le continent fait face à plusieurs crises de longue durée, pour lesquelles l’intérêt décline après un certain temps. Les appels liés à l’insécurité alimentaire tendent aussi à être sous-financés, en raison peut-être du caractère prolongé de ce type de crises. Les situations d’urgence très médiatisées sont souvent bien mieux financées.</t>
  </si>
  <si>
    <t>Los llamamientos relativos a África denotan tendencia a menor cobertura tal vez debido a las crisis que perduran en el continente y son objeto de menguante interés con el transcurso del tiempo. Los llamamientos relacionados con la inseguridad alimentaria también carecen de financiación suficiente, probablemente porque se trata de crisis de larga data. Las situaciones de emergencia que suscitan intensa difusión pública tienden a gozar de mejor financiación.</t>
  </si>
  <si>
    <t>وقد حظيت النداءات في أفريقيا بتغطية أقل، ربما لأن القارة تعاني من المزيد من الأزمات الطويلة الأجل حيث يقل الاهتمام مع مرور الوقت. ويقل أيضاً التمويل المقدم للنداءات المرتبطة بانعدام الأمن الغذائي، ربما لأنها تشكل أزمات طويلة الأجل. وتحصل حالات الطوارئ التي تتمتع بدعاية مكثفة على تمويل أفضل بكثير.</t>
  </si>
  <si>
    <t>reportstrategic1.sections.2.blocks.1</t>
  </si>
  <si>
    <t>Proximity to donor countries, e.g. crises at the periphery of Europe or around North America, may attract more funding because of the donor interest in reducing refugee flows coming across their own borders. Environments that are seen as difficult to operate in due to political factors that curtail access, or those with a poor previous performance track record, may attract fewer resources.</t>
  </si>
  <si>
    <t>La proximité des pays donateurs, en cas par exemple de crises à la périphérie de l’Europe ou aux frontières de l’Amérique du Nord, peut favoriser les financements, les donateurs ayant la volonté de réduire les flux de réfugiés franchissant les frontières de leurs pays respectifs. Les environnements considérés comme difficiles car des facteurs politiques en limitent l’accès, ou les contextes dans lesquels les opérations précédentes ont obtenu de mauvais résultats, peuvent attirer moins de ressources.</t>
  </si>
  <si>
    <t>La proximidad de los países donantes tiene peso; así, por ejemplo, las crisis que surgen en la periferia de Europa o a proximidad de Norteamérica podrían ser objeto de mayor aporte de fondos en vista del interés de los donantes por reducir la afluencia de refugiados a través de sus fronteras. Los entornos que se consideran poco seguros para operaciones, debido a factores políticos que obstaculizan el acceso, o un historial de resultados deficientes, generarán menos interés en aportar recursos.</t>
  </si>
  <si>
    <t>وقد يؤدي قرب الموقع من بلدان الجهات المانحة، مثل الأزمات التي تقع في المنطقة المحيطة بأوروبا، أو حول أمريكا الشمالية، إلى جذب المزيد من التمويل لأن من مصلحة الجهات المانحة الحد من تدفقات اللاجئين القادمين عبر حدود بلدانهم. وقد تكون البيئات التي يعتبر العمل فيها صعباً بسبب وجود عوامل سياسية تعيق الدخول إليها، أو بسبب وجود سجل تتبع أداء سيئ في السابق، أقل جذباً للموارد.</t>
  </si>
  <si>
    <t>reportstrategic1.sections.2.blocks.0</t>
  </si>
  <si>
    <t>In practice, the availability of adequate donor resources is conditioned by many factors. Chronic or long-term crises tend to be less well funded than acute disasters. A higher number of appeals in a particular region may bear on donor willingness to contribute adequately to each of them, compared to a region that has fewer appeals.</t>
  </si>
  <si>
    <t>Dans la pratique, la mise à disposition des ressources nécessaires par les donateurs dépend de nombreux facteurs. Les interventions liées à des crises chroniques ou persistantes tendent à être moins bien financées que celles liées à des catastrophes graves. Un nombre plus élevé d’appels dans une région donnée peut avoir une incidence sur la disposition des donateurs à répondre de manière adéquate à chacun d’entre eux, par rapport à une région dans laquelle moins d’appels ont été lancés.</t>
  </si>
  <si>
    <t>En la práctica, la adecuada disponibilidad de recursos de los donantes depende de diversos factores. Las crisis crónicas o de larga duración suelen contar con menos financiación que la concedida en caso de desastres agudos. La elevada cantidad de llamamientos relativos a una determinada región puede incidir en la predisposición de los donantes para aportar contribuciones adecuadas a cada uno de ellos, mientras que la situación podrá ser diferente en una región que cuente con menos llamamientos.</t>
  </si>
  <si>
    <t>في الواقع العملي، يتوقف توفير موارد كافية مقدمة من الجهات المانحة على العديد من العوامل. وفي كثير من الأحيان تحظى الأزمات المزمنة أو الطويلة الأجل بتمويل أقل من ذلك الذي تتلقاه الكوارث الحادة. وقد يؤثر ارتفاع عدد النداءات في منطقة معينة في استعداد الجهات المانحة للإسهام بشكل ملائم في كل منها، مقارنة بمناطق أخرى تطلق نداءات أقل.</t>
  </si>
  <si>
    <t>reportstrategic1.sections.1.title</t>
  </si>
  <si>
    <t>Magnitude of crises tackled by the Red Cross and Red Crescent</t>
  </si>
  <si>
    <t>Magnitude des crises abordées par le Croix Rouge et le Croissant Rouge</t>
  </si>
  <si>
    <t>Magnitud de las crisis atendidas por las organizaciones de la Cruz Roja y de la Media Luna Roja</t>
  </si>
  <si>
    <t>حجم الأزمات التي تصدى لها الصليب الأحمر والهلال الأحمر</t>
  </si>
  <si>
    <t>reportstrategic1.sections.1.blocks.1.type</t>
  </si>
  <si>
    <t>table</t>
  </si>
  <si>
    <t>reportstrategic1.sections.1.blocks.1.title</t>
  </si>
  <si>
    <t>Biggest Crises Tackled</t>
  </si>
  <si>
    <t>Engagement dans les plus grandes crises</t>
  </si>
  <si>
    <t>Magnitud de las crisis atendidas</t>
  </si>
  <si>
    <t>أكبرالأزمات التي تصدى لها الصليب الأحمر والهلال الأحمر</t>
  </si>
  <si>
    <t>reportstrategic1.sections.1.blocks.1.headers.4</t>
  </si>
  <si>
    <t>Dominant Crisis</t>
  </si>
  <si>
    <t>Crise majeure</t>
  </si>
  <si>
    <t>Crisis predominantes</t>
  </si>
  <si>
    <t>الأزمة المهيمنة</t>
  </si>
  <si>
    <t>reportstrategic1.sections.1.blocks.1.headers.3</t>
  </si>
  <si>
    <t>No. of Beneficiaries (millions)</t>
  </si>
  <si>
    <t>Nombre de bénéficiaires (en millions)</t>
  </si>
  <si>
    <t>Cantidad de beneficiarios (en millones)</t>
  </si>
  <si>
    <t>عدد المستفيدين (بالملايين)</t>
  </si>
  <si>
    <t>reportstrategic1.sections.1.blocks.1.headers.2</t>
  </si>
  <si>
    <t>Amount of Emergency Appeals (CHF millions)</t>
  </si>
  <si>
    <t>Montant des appels d’urgence (en millions de CHF)</t>
  </si>
  <si>
    <t>Cantidad recaudada mediante llamamientos de emergencia (en millones de francos suizos)</t>
  </si>
  <si>
    <t>قيمة نداءات الطوارئ (بملايين الفرنكات السويسرية)</t>
  </si>
  <si>
    <t>reportstrategic1.sections.1.blocks.1.headers.1</t>
  </si>
  <si>
    <t>No. of Emergency Appeals Launched</t>
  </si>
  <si>
    <t>Nombre d’appels d’urgence lancés</t>
  </si>
  <si>
    <t>Cantidad de llamamientos de emergencia emitidos</t>
  </si>
  <si>
    <t>عدد نداءات الطوارئ التي تم إطلاقه</t>
  </si>
  <si>
    <t>reportstrategic1.sections.1.blocks.1.headers.0</t>
  </si>
  <si>
    <t>Year of appeal</t>
  </si>
  <si>
    <t>Année</t>
  </si>
  <si>
    <t>Año de llamamiento de emergencia</t>
  </si>
  <si>
    <t>سنة إصدار نداء الطوارئ</t>
  </si>
  <si>
    <t>reportstrategic1.sections.1.blocks.1.dataset.5.year</t>
  </si>
  <si>
    <t>الاجمالي</t>
  </si>
  <si>
    <t>reportstrategic1.sections.1.blocks.1.dataset.5.crisis</t>
  </si>
  <si>
    <t>reportstrategic1.sections.1.blocks.1.dataset.5.beneficiaries</t>
  </si>
  <si>
    <t>reportstrategic1.sections.1.blocks.1.dataset.5.appealslaunched</t>
  </si>
  <si>
    <t>reportstrategic1.sections.1.blocks.1.dataset.5.amount</t>
  </si>
  <si>
    <t>reportstrategic1.sections.1.blocks.1.dataset.4.year</t>
  </si>
  <si>
    <t>reportstrategic1.sections.1.blocks.1.dataset.4.crisis</t>
  </si>
  <si>
    <t>Ebola epidemic, West Africa</t>
  </si>
  <si>
    <t>Épidémie d’Ebola en Afrique de l’Ouest</t>
  </si>
  <si>
    <t>Epidemia de ébola en África occidental</t>
  </si>
  <si>
    <t>وباء الإيبولا في غرب أفريقيا</t>
  </si>
  <si>
    <t>reportstrategic1.sections.1.blocks.1.dataset.4.beneficiaries</t>
  </si>
  <si>
    <t>reportstrategic1.sections.1.blocks.1.dataset.4.appealslaunched</t>
  </si>
  <si>
    <t>reportstrategic1.sections.1.blocks.1.dataset.4.amount</t>
  </si>
  <si>
    <t>reportstrategic1.sections.1.blocks.1.dataset.3.year</t>
  </si>
  <si>
    <t>reportstrategic1.sections.1.blocks.1.dataset.3.crisis</t>
  </si>
  <si>
    <t>Typhoon Haiyan, Philippines</t>
  </si>
  <si>
    <t>Typhon Haiyan aux Philippines</t>
  </si>
  <si>
    <t>Tifón Haiyan, Filipinas</t>
  </si>
  <si>
    <t>إعصار "هايان" في الفلبين</t>
  </si>
  <si>
    <t>reportstrategic1.sections.1.blocks.1.dataset.3.beneficiaries</t>
  </si>
  <si>
    <t>reportstrategic1.sections.1.blocks.1.dataset.3.appealslaunched</t>
  </si>
  <si>
    <t>reportstrategic1.sections.1.blocks.1.dataset.3.amount</t>
  </si>
  <si>
    <t>reportstrategic1.sections.1.blocks.1.dataset.2.year</t>
  </si>
  <si>
    <t>reportstrategic1.sections.1.blocks.1.dataset.2.crisis</t>
  </si>
  <si>
    <t>Syria Crisis</t>
  </si>
  <si>
    <t>Crise en Syrie</t>
  </si>
  <si>
    <t>Crisis en Siria</t>
  </si>
  <si>
    <t>reportstrategic1.sections.1.blocks.1.dataset.2.beneficiaries</t>
  </si>
  <si>
    <t>reportstrategic1.sections.1.blocks.1.dataset.2.appealslaunched</t>
  </si>
  <si>
    <t>reportstrategic1.sections.1.blocks.1.dataset.2.amount</t>
  </si>
  <si>
    <t>reportstrategic1.sections.1.blocks.1.dataset.1.year</t>
  </si>
  <si>
    <t>reportstrategic1.sections.1.blocks.1.dataset.1.crisis</t>
  </si>
  <si>
    <t>Somalia Refugees / Horn of Africa drought</t>
  </si>
  <si>
    <t>Crise des réfugiés en Somalie/sécheresse dans la Corne de l’Afrique</t>
  </si>
  <si>
    <t>Refugiados de Somalia y sequía en el Cuerno de África</t>
  </si>
  <si>
    <t>لاجئو الصومال/موجة الجفاف في القرن الأفريقي</t>
  </si>
  <si>
    <t>reportstrategic1.sections.1.blocks.1.dataset.1.beneficiaries</t>
  </si>
  <si>
    <t>reportstrategic1.sections.1.blocks.1.dataset.1.appealslaunched</t>
  </si>
  <si>
    <t>reportstrategic1.sections.1.blocks.1.dataset.1.amount</t>
  </si>
  <si>
    <t>reportstrategic1.sections.1.blocks.1.dataset.0.year</t>
  </si>
  <si>
    <t>reportstrategic1.sections.1.blocks.1.dataset.0.crisis</t>
  </si>
  <si>
    <t>Haiti Earthquake</t>
  </si>
  <si>
    <t>Tremblement de terre à Haïti</t>
  </si>
  <si>
    <t>Terremoto en Haití</t>
  </si>
  <si>
    <t>زلزال هايتي</t>
  </si>
  <si>
    <t>reportstrategic1.sections.1.blocks.1.dataset.0.beneficiaries</t>
  </si>
  <si>
    <t>reportstrategic1.sections.1.blocks.1.dataset.0.appealslaunched</t>
  </si>
  <si>
    <t>reportstrategic1.sections.1.blocks.1.dataset.0.amount</t>
  </si>
  <si>
    <t>reportstrategic1.sections.1.blocks.1.caption</t>
  </si>
  <si>
    <t>Source: Département Finances</t>
  </si>
  <si>
    <t>reportstrategic1.sections.1.blocks.0</t>
  </si>
  <si>
    <t>The number of emergency response actions do not indicate the magnitude of the disasters or crises addressed. A reflection of the latter can be seen from the number and size of emergency appeals launched by the IFRC secretariat on behalf of National Societies: 137 appeals for 1.25 billion Swiss francs covering 91 million beneficiaries were launched in 2010–2014, with one or two predominant catastrophes each year determining the scope of the crisis response, and considerable between year fluctuations.</t>
  </si>
  <si>
    <t>Le nombre d’interventions d’urgence ne donne pas d’indication sur l’ampleur des catastrophes ou des crises. Pour connaître cette donnée, il faut se référer au nombre et au montant des appels d’urgence lancés par le Secrétariat de la Fédération au nom des Sociétés nationales : 137 appels d’un montant total de 1,25 milliard de francs suisses en faveur de 91 millions de bénéficiaires ont été lancés pendant la période de 2010 à 2014, une ou deux catastrophes de grande ampleur ayant influencé chaque année l’étendue des interventions d’urgence et causé d’importantes fluctuations d’une année à l’autre.</t>
  </si>
  <si>
    <t>La cantidad de intervenciones a raíz de emergencias no refleja plenamente la magnitud de los desastres o crisis enfrentados. Una mejor apreciación de este aspecto emerge a través del análisis de la cantidad y de los montos de los llamamientos de emergencia emitidos por la secretaría de la Federación Internacional en nombre de las Sociedades Nacionales, a saber, ciento treinta y siete (137) llamamientos, por un valor total de un millón doscientos cincuenta mil millones de francos suizos (CHF 1 250 mil millones) con el fin de prestar asistencia a noventa y un (91) millones de beneficiarios emitidos entre 2010 y 2014, con una o dos catástrofes predominantes cada año que determinaron la envergadura de la intervención y con considerables fluctuaciones intermedias en el año.</t>
  </si>
  <si>
    <t>ولا يعكس كم الإجراءات المتخذة لمواجهة حالات الطوارئ حجم الكوارث والأزمات التي جرى التصدي لها. ويمكن أن يتضح ذلك من خلال عدد وحجم نداءات الطوارئ التي وجهها الاتحاد الدولي لجمعيات الصليب الأحمر والهلال الأحمر بالنيابة عن الجمعيات الوطنية: فقد وجّه في الفترة 2010 - 2014 نحو 137 نداء للحصول على 1.25 مليار فرنك سويسري لتغطية 91 مليون مستفيد، حيث كانت تهيمن كارثة أو كارثتان كل عام لتحدد نطاق مواجهة الأزمة، مع حدوث تقلبات كبيرة فيما بين الأعوام.</t>
  </si>
  <si>
    <t>reportstrategic1.sections.0.title</t>
  </si>
  <si>
    <t>Number of people reached by types of disasters</t>
  </si>
  <si>
    <t>Nombre de personnes soutenues, par type de catastrophe</t>
  </si>
  <si>
    <t>Cantidad de beneficiarios por tipo de desastre</t>
  </si>
  <si>
    <t>عدد الأشخاص الذين شملتهم برامج مواجهة الكوارث والأزمات مصنفين حسب أنواع الكوارث</t>
  </si>
  <si>
    <t>reportstrategic1.sections.0.blocks.2.type</t>
  </si>
  <si>
    <t>reportstrategic1.sections.0.blocks.2.title</t>
  </si>
  <si>
    <t>People reached by region</t>
  </si>
  <si>
    <t>Personnes soutenues, par type de catastrophe</t>
  </si>
  <si>
    <t>عدد الأشخاص الذين شملتهم برامج مواجهة الكوارث والأزمات</t>
  </si>
  <si>
    <t>reportstrategic1.sections.0.blocks.2.dataset.4.total</t>
  </si>
  <si>
    <t>reportstrategic1.sections.0.blocks.2.dataset.4.numbers.3</t>
  </si>
  <si>
    <t>reportstrategic1.sections.0.blocks.2.dataset.4.numbers.2</t>
  </si>
  <si>
    <t>reportstrategic1.sections.0.blocks.2.dataset.4.numbers.1</t>
  </si>
  <si>
    <t>reportstrategic1.sections.0.blocks.2.dataset.4.numbers.0</t>
  </si>
  <si>
    <t>reportstrategic1.sections.0.blocks.2.dataset.4.name</t>
  </si>
  <si>
    <t>reportstrategic1.sections.0.blocks.2.dataset.4.labels.3</t>
  </si>
  <si>
    <t>Various</t>
  </si>
  <si>
    <t>Divers</t>
  </si>
  <si>
    <t>Otras causas</t>
  </si>
  <si>
    <t>مختلفة</t>
  </si>
  <si>
    <t>reportstrategic1.sections.0.blocks.2.dataset.4.labels.2</t>
  </si>
  <si>
    <t>Biological</t>
  </si>
  <si>
    <t>Biologique</t>
  </si>
  <si>
    <t>Biológicos</t>
  </si>
  <si>
    <t>بيولوجية</t>
  </si>
  <si>
    <t>reportstrategic1.sections.0.blocks.2.dataset.4.labels.1</t>
  </si>
  <si>
    <t>Hydrometeorological</t>
  </si>
  <si>
    <t>Hydrométéorologique</t>
  </si>
  <si>
    <t>Hidrometeorológicos</t>
  </si>
  <si>
    <t>ظواهر جوية هيدرولوجية</t>
  </si>
  <si>
    <t>reportstrategic1.sections.0.blocks.2.dataset.4.labels.0</t>
  </si>
  <si>
    <t>Geophysical</t>
  </si>
  <si>
    <t>Géophysique</t>
  </si>
  <si>
    <t>Geofísicos</t>
  </si>
  <si>
    <t>جيوفيزيقية</t>
  </si>
  <si>
    <t>reportstrategic1.sections.0.blocks.2.dataset.4.index</t>
  </si>
  <si>
    <t>reportstrategic1.sections.0.blocks.2.dataset.3.total</t>
  </si>
  <si>
    <t>reportstrategic1.sections.0.blocks.2.dataset.3.numbers.3</t>
  </si>
  <si>
    <t>reportstrategic1.sections.0.blocks.2.dataset.3.numbers.2</t>
  </si>
  <si>
    <t>reportstrategic1.sections.0.blocks.2.dataset.3.numbers.1</t>
  </si>
  <si>
    <t>reportstrategic1.sections.0.blocks.2.dataset.3.numbers.0</t>
  </si>
  <si>
    <t>reportstrategic1.sections.0.blocks.2.dataset.3.name</t>
  </si>
  <si>
    <t>reportstrategic1.sections.0.blocks.2.dataset.3.labels.3</t>
  </si>
  <si>
    <t>reportstrategic1.sections.0.blocks.2.dataset.3.labels.2</t>
  </si>
  <si>
    <t>reportstrategic1.sections.0.blocks.2.dataset.3.labels.1</t>
  </si>
  <si>
    <t>reportstrategic1.sections.0.blocks.2.dataset.3.labels.0</t>
  </si>
  <si>
    <t>reportstrategic1.sections.0.blocks.2.dataset.3.index</t>
  </si>
  <si>
    <t>reportstrategic1.sections.0.blocks.2.dataset.2.total</t>
  </si>
  <si>
    <t>reportstrategic1.sections.0.blocks.2.dataset.2.numbers.3</t>
  </si>
  <si>
    <t>reportstrategic1.sections.0.blocks.2.dataset.2.numbers.2</t>
  </si>
  <si>
    <t>reportstrategic1.sections.0.blocks.2.dataset.2.numbers.1</t>
  </si>
  <si>
    <t>reportstrategic1.sections.0.blocks.2.dataset.2.numbers.0</t>
  </si>
  <si>
    <t>reportstrategic1.sections.0.blocks.2.dataset.2.name</t>
  </si>
  <si>
    <t>reportstrategic1.sections.0.blocks.2.dataset.2.labels.3</t>
  </si>
  <si>
    <t>reportstrategic1.sections.0.blocks.2.dataset.2.labels.2</t>
  </si>
  <si>
    <t>reportstrategic1.sections.0.blocks.2.dataset.2.labels.1</t>
  </si>
  <si>
    <t>reportstrategic1.sections.0.blocks.2.dataset.2.labels.0</t>
  </si>
  <si>
    <t>reportstrategic1.sections.0.blocks.2.dataset.2.index</t>
  </si>
  <si>
    <t>reportstrategic1.sections.0.blocks.2.dataset.1.total</t>
  </si>
  <si>
    <t>reportstrategic1.sections.0.blocks.2.dataset.1.numbers.3</t>
  </si>
  <si>
    <t>reportstrategic1.sections.0.blocks.2.dataset.1.numbers.2</t>
  </si>
  <si>
    <t>reportstrategic1.sections.0.blocks.2.dataset.1.numbers.1</t>
  </si>
  <si>
    <t>reportstrategic1.sections.0.blocks.2.dataset.1.numbers.0</t>
  </si>
  <si>
    <t>reportstrategic1.sections.0.blocks.2.dataset.1.name</t>
  </si>
  <si>
    <t>reportstrategic1.sections.0.blocks.2.dataset.1.labels.3</t>
  </si>
  <si>
    <t>reportstrategic1.sections.0.blocks.2.dataset.1.labels.2</t>
  </si>
  <si>
    <t>reportstrategic1.sections.0.blocks.2.dataset.1.labels.1</t>
  </si>
  <si>
    <t>reportstrategic1.sections.0.blocks.2.dataset.1.labels.0</t>
  </si>
  <si>
    <t>reportstrategic1.sections.0.blocks.2.dataset.1.index</t>
  </si>
  <si>
    <t>reportstrategic1.sections.0.blocks.2.dataset.0.total</t>
  </si>
  <si>
    <t>reportstrategic1.sections.0.blocks.2.dataset.0.numbers.3</t>
  </si>
  <si>
    <t>reportstrategic1.sections.0.blocks.2.dataset.0.numbers.2</t>
  </si>
  <si>
    <t>reportstrategic1.sections.0.blocks.2.dataset.0.numbers.1</t>
  </si>
  <si>
    <t>reportstrategic1.sections.0.blocks.2.dataset.0.numbers.0</t>
  </si>
  <si>
    <t>reportstrategic1.sections.0.blocks.2.dataset.0.name</t>
  </si>
  <si>
    <t>reportstrategic1.sections.0.blocks.2.dataset.0.labels.3</t>
  </si>
  <si>
    <t>reportstrategic1.sections.0.blocks.2.dataset.0.labels.2</t>
  </si>
  <si>
    <t>reportstrategic1.sections.0.blocks.2.dataset.0.labels.1</t>
  </si>
  <si>
    <t>reportstrategic1.sections.0.blocks.2.dataset.0.labels.0</t>
  </si>
  <si>
    <t>reportstrategic1.sections.0.blocks.2.dataset.0.index</t>
  </si>
  <si>
    <t>reportstrategic1.sections.0.blocks.2.customfills.3</t>
  </si>
  <si>
    <t>reportstrategic1.sections.0.blocks.2.customfills.2</t>
  </si>
  <si>
    <t>#BEBAB8</t>
  </si>
  <si>
    <t>reportstrategic1.sections.0.blocks.2.customfills.1</t>
  </si>
  <si>
    <t>reportstrategic1.sections.0.blocks.2.customfills.0</t>
  </si>
  <si>
    <t>reportstrategic1.sections.0.blocks.2.caption</t>
  </si>
  <si>
    <t>Source: Disaster and Crisis Management Department, FDRS</t>
  </si>
  <si>
    <t>Source : Département de gestion des catastrophes et des crises, FDRS</t>
  </si>
  <si>
    <t>Fuente: Departamento de Gestión de Desastres y Crisis y banco de datos y sistema de información general interno de la Federación Internacional</t>
  </si>
  <si>
    <t>المصدر: قسم إدارة الكوارث والأزمات، قاعدة البيانات ونظام الإفادة في الاتحاد الدولي</t>
  </si>
  <si>
    <t>reportstrategic1.sections.0.blocks.1</t>
  </si>
  <si>
    <t>The majority of the Red Cross and Red Crescent emergency actions and beneficiaries were in Asia Pacific and Africa.</t>
  </si>
  <si>
    <t>La majorité des interventions d’urgence et des bénéficiaires de la Croix-Rouge et du Croissant-Rouge se trouvent dans les régions Asie-Pacifique et Afrique. Seul un faible nombre de Sociétés nationales a fourni des données ventilées par sexe, celles-ci faisant état d’une répartition équitable.</t>
  </si>
  <si>
    <t>La zona de Asia y el Pacífico denota mayor proclividad a las amenazas geofísicas, con inclusión de los terremotos.</t>
  </si>
  <si>
    <t>وقد كانت معظم الإجراءات الطارئة التي اتخذها الصليب الأحمر والهلال الأحمر ومعظم المستفيدين منها في منطقتي آسيا - المحيط الهادئ وأفريقيا.</t>
  </si>
  <si>
    <t>reportstrategic1.sections.0.blocks.0</t>
  </si>
  <si>
    <t>Hydrometeorological disasters including floods, hurricanes, and droughts dominated in all regions. Africa had the added burden of prolonged conflict-related crises. Asia Pacific tends to have been more prone to geophysical hazards including earthquakes.</t>
  </si>
  <si>
    <t>Les catastrophes les plus courantes dans toutes les régions ont été les catastrophes hydrométéorologiques, telles que les inondations, les ouragans et les sécheresses, aggravées en Afrique par des crises liées à des conflits prolongés. La région Asie-Pacifique a été plus exposée à des risques géophysiques, tels que les tremblements de terre.</t>
  </si>
  <si>
    <t>Las catástrofes hidro-meteorológicas, entre otras, inundaciones, huracanes y sequías, predominaron en todas las regiones y, en África, contaron con el factor añadido de crisis relativas a conflictos prolongados.</t>
  </si>
  <si>
    <t>وقد كانت الكوارث الجوية الهيدرولوجية، بما فيها الفيضانات والأعاصير وحالات الجفاف، هي السائدة في كافة المناطق في أفريقيا بالإضافة إلى عبء الأزمات المتعلقة بالنزاعات الممتدة. أما منطقة آسيا والمحيط الهادئ فهي أكثر تعرضاً للأخطار الجيوفيزيقية، بما في ذلك الزلازل.</t>
  </si>
  <si>
    <t>reportstrategic1.nextchapter.title</t>
  </si>
  <si>
    <t>reportstrategic1.nextchapter.subtitle</t>
  </si>
  <si>
    <t>Strategic Aim 2</t>
  </si>
  <si>
    <t>reportstrategic1.nextchapter.slug</t>
  </si>
  <si>
    <t>reportstrategic1.nextchapter.heading</t>
  </si>
  <si>
    <t>reportstrategic1.nextchapter.chapter</t>
  </si>
  <si>
    <t>reportstrategic1.intro</t>
  </si>
  <si>
    <t>From our earliest days, the Red Cross and Red Crescent is best known for our mission to bring urgent help and comfort in moments of greatest need.</t>
  </si>
  <si>
    <t>Depuis leurs débuts, la Croix-Rouge et le Croissant-Rouge sont surtout connus pour leur mission, qui est d’apporter une aide d’urgence et un réconfort aux personnes en détresse.</t>
  </si>
  <si>
    <t>Desde sus orígenes, se conoce a las organizaciones de la Cruz Roja y de la Media Luna Roja por su cometido de prestar asistencia urgente y consuelo a las personas en momentos de gran necesidad.</t>
  </si>
  <si>
    <t>و عُرف الصليب الأحمر والهلال الأحمر، منذ الأيام الأولى لتأسيسه، وهو بمهمته المتمثلة في تقديم المساعدات العاجلة وتوفير الراحة في وقت الشدة لمن هم في أمس الحاجة إليها.</t>
  </si>
  <si>
    <t>reportstrategic1.general.1.type</t>
  </si>
  <si>
    <t>reportstrategic1.general.1.title</t>
  </si>
  <si>
    <t>Declining number of natural disasters</t>
  </si>
  <si>
    <t>Déclin des catastrophes naturelles</t>
  </si>
  <si>
    <t>Intervención de las organizaciones de la Cruz Roja y de la Media Luna Roja en situaciones de desastre y de crisis</t>
  </si>
  <si>
    <t>تناقص عدد الكوارث الطبيعية</t>
  </si>
  <si>
    <t>reportstrategic1.general.1.linelabels.0</t>
  </si>
  <si>
    <t>Natural disasters</t>
  </si>
  <si>
    <t>Catastrophes naturelles</t>
  </si>
  <si>
    <t>Desastres naturales</t>
  </si>
  <si>
    <t>الكوارث الطبيعية</t>
  </si>
  <si>
    <t>reportstrategic1.general.1.dataset.4.year</t>
  </si>
  <si>
    <t>reportstrategic1.general.1.dataset.4.disasters</t>
  </si>
  <si>
    <t>reportstrategic1.general.1.dataset.3.year</t>
  </si>
  <si>
    <t>reportstrategic1.general.1.dataset.3.disasters</t>
  </si>
  <si>
    <t>reportstrategic1.general.1.dataset.2.year</t>
  </si>
  <si>
    <t>reportstrategic1.general.1.dataset.2.disasters</t>
  </si>
  <si>
    <t>reportstrategic1.general.1.dataset.1.year</t>
  </si>
  <si>
    <t>reportstrategic1.general.1.dataset.1.disasters</t>
  </si>
  <si>
    <t>reportstrategic1.general.1.dataset.0.year</t>
  </si>
  <si>
    <t>reportstrategic1.general.1.dataset.0.disasters</t>
  </si>
  <si>
    <t>reportstrategic1.general.1.caption</t>
  </si>
  <si>
    <t>reportstrategic1.general.1.axislabels.y</t>
  </si>
  <si>
    <t>reportstrategic1.general.1.axislabels.x</t>
  </si>
  <si>
    <t>reportstrategic1.general.0</t>
  </si>
  <si>
    <t>In 2014, we responded internationally to 278 disasters and crises worldwide, continuing a general downward trend during this decade. This trend is partly a reflection of the wider – perhaps temporary – reduction in the frequency of major natural disasters in recent years, but may also be an indicator of increased local and national capacities to deal with disasters without requiring international support.</t>
  </si>
  <si>
    <t>En 2014, nous avons mené des opérations internationales en réponse à 278 catastrophes et crises survenues dans le monde, un chiffre qui s’inscrit dans la tendance générale à la baisse observée au cours de la présente décennie. Cette tendance est due en partie à la réduction importante – mais peut-être temporaire – du nombre de catastrophes naturelles de grande ampleur enregistrées ces dernières années, mais elle peut également être le signe de l’amélioration de la capacité des unités locales et nationales de faire face aux catastrophes sans avoir besoin d’un appui international.</t>
  </si>
  <si>
    <t>En 2014, a nivel internacional, la organización intervino a raíz de doscientos setenta y ocho (278) situaciones de crisis y desastres en el mundo.</t>
  </si>
  <si>
    <t>وفي عام 2014 ، بلغ عدد عملياتنا لمواجهة الكوارث والأزمات على المستوى الدولي في جميع أنحاء العالم 278 عملية، مع تسجيل اتجاه نزولي بوجه عام خلال هذا العقد. ويعكس هذا الاتجاه جزئياً الانخفاض الواسع النطاق وربما المؤقت في تواتر وقوع الكوارث الطبيعية الكبرى في السنوات الأخيرة، وقد يكون أيضاً مؤشراً لتزايد القدرات المحلية والوطنية على مواجهة الكوارث دون طلب الدعم الدولي.</t>
  </si>
  <si>
    <t>reportstrategic1.chapter</t>
  </si>
  <si>
    <t>reportliving.title</t>
  </si>
  <si>
    <t>reportliving.slug</t>
  </si>
  <si>
    <t>vivre-nos-principes-fondamentaux</t>
  </si>
  <si>
    <t>reportliving.sections.0.title</t>
  </si>
  <si>
    <t>Introduction Section</t>
  </si>
  <si>
    <t>Section dintroduction</t>
  </si>
  <si>
    <t>reportliving.sections.0.blocks.5</t>
  </si>
  <si>
    <t>Download Full Table</t>
  </si>
  <si>
    <t>Télécharger le tableau</t>
  </si>
  <si>
    <t>Descargar PDF</t>
  </si>
  <si>
    <t>تحميل جدول البيانات</t>
  </si>
  <si>
    <t>reportliving.sections.0.blocks.4.type</t>
  </si>
  <si>
    <t>reportliving.sections.0.blocks.4.title</t>
  </si>
  <si>
    <t>reportliving.sections.0.blocks.4.src</t>
  </si>
  <si>
    <t>/img/chapters/3/skills.svg</t>
  </si>
  <si>
    <t>reportliving.sections.0.blocks.4.name</t>
  </si>
  <si>
    <t>7 Personal skills</t>
  </si>
  <si>
    <t>7 compétences personnelles</t>
  </si>
  <si>
    <t>Siete aptitudes personales</t>
  </si>
  <si>
    <t>سبع مهارات  شخصية</t>
  </si>
  <si>
    <t>reportliving.sections.0.blocks.4.items.6</t>
  </si>
  <si>
    <t>Inner Peace</t>
  </si>
  <si>
    <t>Paix intérieure</t>
  </si>
  <si>
    <t>Paz interior</t>
  </si>
  <si>
    <t>السلام الداخلي</t>
  </si>
  <si>
    <t>reportliving.sections.0.blocks.4.items.5</t>
  </si>
  <si>
    <t>Personal Resilience</t>
  </si>
  <si>
    <t>Résilience personnelle</t>
  </si>
  <si>
    <t>Capacidad personal de resistencia y recuperación</t>
  </si>
  <si>
    <t>القدرة الشخصية على تجاوز الأزمات</t>
  </si>
  <si>
    <t>reportliving.sections.0.blocks.4.items.4</t>
  </si>
  <si>
    <t>Collaborative Negotiation and Mediation</t>
  </si>
  <si>
    <t>Négociation et médiation</t>
  </si>
  <si>
    <t>Colaboración en negociaciones y en mediación</t>
  </si>
  <si>
    <t>التفاوض الجماعي والوساطة</t>
  </si>
  <si>
    <t>reportliving.sections.0.blocks.4.items.3</t>
  </si>
  <si>
    <t>Nonviolent Communication</t>
  </si>
  <si>
    <t>Communication non violente</t>
  </si>
  <si>
    <t>Comunicación no violenta</t>
  </si>
  <si>
    <t>التواصل السلمي</t>
  </si>
  <si>
    <t>reportliving.sections.0.blocks.4.items.2</t>
  </si>
  <si>
    <t>Critical Thinking and Non-Judgement</t>
  </si>
  <si>
    <t>Pensée critique et non-jugement</t>
  </si>
  <si>
    <t>Pensamiento crítico y abstención de juicios de valor.</t>
  </si>
  <si>
    <t>التفكير النقدي والامتناع عن إطلاق الأحكام</t>
  </si>
  <si>
    <t>reportliving.sections.0.blocks.4.items.1</t>
  </si>
  <si>
    <t>Active Listening</t>
  </si>
  <si>
    <t>Écoute active</t>
  </si>
  <si>
    <t>Escuchaactiva</t>
  </si>
  <si>
    <t>الإصغاء الفعّال</t>
  </si>
  <si>
    <t>reportliving.sections.0.blocks.4.items.0</t>
  </si>
  <si>
    <t>Empathy</t>
  </si>
  <si>
    <t>Empathie</t>
  </si>
  <si>
    <t>Empatía</t>
  </si>
  <si>
    <t>التعاطف</t>
  </si>
  <si>
    <t>reportliving.sections.0.blocks.4.caption</t>
  </si>
  <si>
    <t>reportliving.sections.0.blocks.3</t>
  </si>
  <si>
    <t>The Fundamental Principles are seen to be as relevant today as they have ever been in the past. Indeed, more so, because a clear ethical framework is even more necessary to navigate through the dilemmas created by the much greater complexity of the current humanitarian landscape.</t>
  </si>
  <si>
    <t>Les Principes fondamentaux sont considérés comme étant tout aussi pertinents aujourd’hui que par le passé. Ils le seraient même davantage à notre époque, où il est encore plus nécessaire de disposer d’un cadre éthique clair pour naviguer à travers les défis que pose la complexité considérablement accrue du paysage humanitaire actuel.</t>
  </si>
  <si>
    <t>Los principios fundamentales conservan tanta pertinencia hoy como en el pasado, e incluso más, pues, a todas luces, es necesario contar con un diáfano marco ético que permita navegar en las procelosas aguas de dilemas planteados por la aguda complejidad del entorno humanitario contemporáneo.</t>
  </si>
  <si>
    <t>وتولى الأهمية نفسها للمبادئ الأساسية في الوقت الراهن كتلك التي كانت تُمنح لها في ما مضى، بل تزداد أهميتها في الواقع نظراً لتزايد الحاجة إلى وجود إطار أخلاقي واضح من أجل اجتياز المعضلات التي نشأت عن المشهد الإنساني الراهن المتسم بالتعقيد الشديد.</t>
  </si>
  <si>
    <t>reportliving.sections.0.blocks.2</t>
  </si>
  <si>
    <t>The year 2015 marks the 50th anniversary of the official adoption of the Fundamental Principles. In the intervening decades, much has changed in the world. Consultations with members, volunteers, and staff from 115 National Societies and other stakeholders were held in all regions, to find out how they feel about the Fundamental Principles. There was remarkable unanimity in their conclusions.</t>
  </si>
  <si>
    <t>L’année 2015 marque le 50e anniversaire de l’adoption officielle des Principes fondamentaux. Beaucoup de choses ont changé dans le monde depuis 1965. Des consultations réunissant des membres, des volontaires et des employés de 115 Sociétés nationales ainsi que d’autres parties prenantes ont été organisées dans chacune des régions afin de savoir comment les Principes fondamentaux sont perçus. Les conclusions ont été remarquablement unanimes.</t>
  </si>
  <si>
    <t>El año 2015 marca el quincuagésimo aniversario de la aprobación oficial de los principios fundamentales. En los decenios transcurridos desde entonces mucho ha cambiado en el mundo. Se realizaron consultas con miembros, voluntarios y miembros del personal de ciento quince (115) Sociedades Nacionales y otras partes interesadas en todas las regiones del mundo para determinar su opinión acerca de los principios fundamentales. Se observó extraordinaria unanimidad en sus conclusiones.</t>
  </si>
  <si>
    <t>يُحتفل رسمياً في عام 2015 بالذكرى الخمسين لاعتماد المبادئ الأساسية. وقد تغير العالم كثيراً خلال العقود التي تخللت تلك الحقبة. وعقدت مشاورات مع أعضاء ومتطوعين وموظفين من 115 جمعية وطنية ومع جهات معنية أخرى في كافة المناطق، بغرض معرفة شعورهم إزاء المبادئ الأساسية. وكان هناك إجماع استثنائي ولافت للنظر في استنتاجاتهم.</t>
  </si>
  <si>
    <t>reportliving.sections.0.blocks.1.type</t>
  </si>
  <si>
    <t>reportliving.sections.0.blocks.1.title</t>
  </si>
  <si>
    <t>reportliving.sections.0.blocks.1.src</t>
  </si>
  <si>
    <t>/img/chapters/3/principles.svg</t>
  </si>
  <si>
    <t>reportliving.sections.0.blocks.1.name</t>
  </si>
  <si>
    <t>7 Fundamental principles</t>
  </si>
  <si>
    <t>7 Principes fondamentaux</t>
  </si>
  <si>
    <t>المبادئ الأساسيّة السبعة</t>
  </si>
  <si>
    <t>reportliving.sections.0.blocks.1.items.6</t>
  </si>
  <si>
    <t>Universality</t>
  </si>
  <si>
    <t>Universalité</t>
  </si>
  <si>
    <t>Universalidad</t>
  </si>
  <si>
    <t>reportliving.sections.0.blocks.1.items.5</t>
  </si>
  <si>
    <t>Unity</t>
  </si>
  <si>
    <t>Unité</t>
  </si>
  <si>
    <t>Unidad</t>
  </si>
  <si>
    <t>الوحدة</t>
  </si>
  <si>
    <t>reportliving.sections.0.blocks.1.items.4</t>
  </si>
  <si>
    <t>Voluntary service</t>
  </si>
  <si>
    <t>Volontariat</t>
  </si>
  <si>
    <t>Voluntariado</t>
  </si>
  <si>
    <t>الخدمة التطوّعية</t>
  </si>
  <si>
    <t>reportliving.sections.0.blocks.1.items.3</t>
  </si>
  <si>
    <t>Independence</t>
  </si>
  <si>
    <t>Indépendance</t>
  </si>
  <si>
    <t>Independencia</t>
  </si>
  <si>
    <t>الاستقلال</t>
  </si>
  <si>
    <t>reportliving.sections.0.blocks.1.items.2</t>
  </si>
  <si>
    <t>Neutrality</t>
  </si>
  <si>
    <t>Neutralité</t>
  </si>
  <si>
    <t>Neutralidad</t>
  </si>
  <si>
    <t>الحياد</t>
  </si>
  <si>
    <t>reportliving.sections.0.blocks.1.items.1</t>
  </si>
  <si>
    <t>Impartiality</t>
  </si>
  <si>
    <t>Impartialité</t>
  </si>
  <si>
    <t>Imparcialidad</t>
  </si>
  <si>
    <t>عدم التحيّز</t>
  </si>
  <si>
    <t>reportliving.sections.0.blocks.1.items.0</t>
  </si>
  <si>
    <t>Humanity</t>
  </si>
  <si>
    <t>Humanité</t>
  </si>
  <si>
    <t>Humanidad</t>
  </si>
  <si>
    <t>الإنسانية</t>
  </si>
  <si>
    <t>reportliving.sections.0.blocks.1.caption</t>
  </si>
  <si>
    <t>reportliving.sections.0.blocks.0</t>
  </si>
  <si>
    <t>The Fundamental Principles are central to our common identity and purpose. They translate into the values that underpin our efforts and the personal skills expected from Red Cross and Red Crescent volunteers and staff.</t>
  </si>
  <si>
    <t>Les Principes fondamentaux sont au cœur de notre identité et notre finalité communes. Ils sont reflétés par les valeurs qui sous-tendent nos efforts et par les aptitudes personnelles dont doivent disposer les volontaires et les employés de la Croix-Rouge et du Croissant-Rouge.</t>
  </si>
  <si>
    <t>Los principios fundamentales son elementos cardinales de nuestra identidad y del propósito de nuestra labor. Quedan plasmados en los valores que sustentan los esfuerzos de la organización y en las destrezas y aptitudes personales que cabe esperar de los voluntarios y miembros del personal de las organizaciones de la Cruz Roja y de la Media Luna Roja.</t>
  </si>
  <si>
    <t>والمبادئ الأساسية هي حجر زاوية هويتنا المشتركة وغايتنا الجماعية، وتُجسد القيم التي تعضد جهودنا وتعزز المهارات الشخصية المتوقعة من متطوعي الصليب الأحمر والهلال الأحمر وموظفيهما.</t>
  </si>
  <si>
    <t>reportliving.nextchapter.title</t>
  </si>
  <si>
    <t>reportliving.nextchapter.subtitle</t>
  </si>
  <si>
    <t>Strategic Aim 1</t>
  </si>
  <si>
    <t>reportliving.nextchapter.slug</t>
  </si>
  <si>
    <t>reportliving.nextchapter.heading</t>
  </si>
  <si>
    <t>reportliving.nextchapter.chapter</t>
  </si>
  <si>
    <t>reportliving.intro</t>
  </si>
  <si>
    <t>All that we do is guided by our Fundamental Principles, which are distilled from our collective experience accumulated over more than a century.</t>
  </si>
  <si>
    <t>Toutes nos actions sont guidées par nos Principes fondamentaux, lesquels s’inspirent de l’expérience collective accumulée depuis plus d’un siècle.</t>
  </si>
  <si>
    <t>Los principios fundamentales son la piedra angular de cuanto hacemos y emanan de nuestra experiencia colectiva acumulada a lo largo de más de un siglo de actividades.</t>
  </si>
  <si>
    <t>يسترشد عملنا كله بمبادئنا الأساسية التي استخلصناها من تجربتنا الجماعية المتراكمة على مدى أكثر من قرن من الزمان.</t>
  </si>
  <si>
    <t>reportliving.general.1</t>
  </si>
  <si>
    <t>While they are an interconnected and indivisible package, the principle of humanity is the substantive motivation for doing our work, the principles of impartiality, neutrality, and independence are how we must operate to be effective, and the principles of voluntary service, unity, and universality are how we organise ourselves for maximum impact.</t>
  </si>
  <si>
    <t>Bien que ces Principes constituent un tout interdépendant et indivisible, celui d’humanité est la motivation principale qui nous pousse à agir, ceux d’impartialité, de neutralité et d’indépendance nous indiquent comment garantir l’efficacité de nos actions, et ceux de volontariat, d’unité et d’universalité déterminent la façon dont nous nous organisons afin d’optimiser notre impact.</t>
  </si>
  <si>
    <t>Aunque forman un conjunto indisociable de elementos vinculados entre sí, cabe distinguir al principio de humanidad como la motivación sustantiva de nuestra labor, a los principios de imparcialidad, neutralidad e independencia como nuestro norte para la eficacia de nuestra acción, y a los principios de servicio voluntario, unidad y universalidad como la guía que orienta la organización de nuestras actividades para lograr óptima incidencia.</t>
  </si>
  <si>
    <t>وبينما تشكل المبادئ الأساسية كيانا مترابطاً وغير قابل للتجزئة، فإن مبدأ الإنسانية هو الدافع الجوهري لعملنا، في حين تمثل مبادئ عدم التحيز والحياد والاستقلال الأسلوب الذي يتحتم علينا اتّباعه في عملنا بغية تحقيق الفعالية، وتشكّل مبادئ الخدمة التطوعية والوحدة والعالمية النهج الذي ننظم به أنفسنا كي نحقق أقصى قدر من التأثير.</t>
  </si>
  <si>
    <t>reportliving.general.0.6</t>
  </si>
  <si>
    <t>reportliving.general.0.5</t>
  </si>
  <si>
    <t>reportliving.general.0.4</t>
  </si>
  <si>
    <t>Voluntary Service</t>
  </si>
  <si>
    <t>reportliving.general.0.3</t>
  </si>
  <si>
    <t>reportliving.general.0.2</t>
  </si>
  <si>
    <t>reportliving.general.0.1</t>
  </si>
  <si>
    <t>reportliving.general.0.0</t>
  </si>
  <si>
    <t>reportliving.chapter</t>
  </si>
  <si>
    <t>reportenablingaction3.title</t>
  </si>
  <si>
    <t>Enabling action 3</t>
  </si>
  <si>
    <t>Action facilitatrice 3</t>
  </si>
  <si>
    <t>Acción facilitadora 3</t>
  </si>
  <si>
    <t>فعل التمكين الثالث</t>
  </si>
  <si>
    <t>reportenablingaction3.subtitle</t>
  </si>
  <si>
    <t>Function effectively as the IFRC</t>
  </si>
  <si>
    <t>Fonctionner efficacement en tant que fédération internationale</t>
  </si>
  <si>
    <t>Funcionar con eficacia como Federación Internacional</t>
  </si>
  <si>
    <t>العمل بفعالية كاتحاد دولي</t>
  </si>
  <si>
    <t>reportenablingaction3.slug</t>
  </si>
  <si>
    <t>enabling-action-3</t>
  </si>
  <si>
    <t>reportenablingaction3.sections.6.title</t>
  </si>
  <si>
    <t>Centres of expertise around the world</t>
  </si>
  <si>
    <t>Les centres d’expertise à travers le monde</t>
  </si>
  <si>
    <t>Centros de pericia en el mundo</t>
  </si>
  <si>
    <t>مراكز الخبرة في جميع أنحاء العالم</t>
  </si>
  <si>
    <t>reportenablingaction3.sections.6.blocks.1.9.title</t>
  </si>
  <si>
    <t>Shelter Research Unit</t>
  </si>
  <si>
    <t>Unité de recherche sur les logements</t>
  </si>
  <si>
    <t>Unidad de investigación sobre alojamiento provisional y de emergencia.</t>
  </si>
  <si>
    <t>وحدة الأبحاث حول الملاجئ</t>
  </si>
  <si>
    <t>reportenablingaction3.sections.6.blocks.1.9.subtitle</t>
  </si>
  <si>
    <t>Belgian Red Cross, Luxembourg Red Cross, The Netherlands Red Cross</t>
  </si>
  <si>
    <t>Croix-Rouge de Belgique, Croix-Rouge luxembourgeoise, Croix-Rouge néerlandaise</t>
  </si>
  <si>
    <t>Cruz Roja de Bélgica, Cruz Roja de Luxemburgo, Cruz Roja Neerlandesa</t>
  </si>
  <si>
    <t>الصليب الأحمرالبلجيكي، الصليب الأحمر في اللوكسمبورغ، والصليب الأحمر الهولندي</t>
  </si>
  <si>
    <t>reportenablingaction3.sections.6.blocks.1.9.slug</t>
  </si>
  <si>
    <t>http://ifrc-sru.org/</t>
  </si>
  <si>
    <t>/http://ifrc-sru.org</t>
  </si>
  <si>
    <t>reportenablingaction3.sections.6.blocks.1.8.title</t>
  </si>
  <si>
    <t>Reference Centre for Psychosocial Support</t>
  </si>
  <si>
    <t>Centre de référence pour le soutien psychosocial</t>
  </si>
  <si>
    <t>Centro de referencia sobre apoyo psicológico.</t>
  </si>
  <si>
    <t>المركز المرجعي للدعم النفسي الاجتماعي</t>
  </si>
  <si>
    <t>reportenablingaction3.sections.6.blocks.1.8.subtitle</t>
  </si>
  <si>
    <t>Cruz Roja Danesa</t>
  </si>
  <si>
    <t>الصليب الأحمر الدنماركي</t>
  </si>
  <si>
    <t>reportenablingaction3.sections.6.blocks.1.8.slug</t>
  </si>
  <si>
    <t>http://pscentre.org/</t>
  </si>
  <si>
    <t>/http://pscentre.org</t>
  </si>
  <si>
    <t>reportenablingaction3.sections.6.blocks.1.7.title</t>
  </si>
  <si>
    <t>Reference Centre for Institutional Disaster Preparedness</t>
  </si>
  <si>
    <t>Centre de référence pour la préparation institutionnelle aux catastrophes</t>
  </si>
  <si>
    <t>Centro de referencia en preparación institucional para desastres.</t>
  </si>
  <si>
    <t>المركز المرجعي للتأهّب المؤسسي للكوارث</t>
  </si>
  <si>
    <t>reportenablingaction3.sections.6.blocks.1.7.subtitle</t>
  </si>
  <si>
    <t>Salvadorean Red Cross Society</t>
  </si>
  <si>
    <t>Croix-Rouge dEl Salvador</t>
  </si>
  <si>
    <t>Cruz Roja Salvadoreña</t>
  </si>
  <si>
    <t>الصليب الأحمر في السلفادور</t>
  </si>
  <si>
    <t>reportenablingaction3.sections.6.blocks.1.7.slug</t>
  </si>
  <si>
    <t>http://www.crepd.cruzroja.org/</t>
  </si>
  <si>
    <t>/http://www.crepd.cruzroja.org</t>
  </si>
  <si>
    <t>reportenablingaction3.sections.6.blocks.1.6.title</t>
  </si>
  <si>
    <t>Reference Centre for Community Resilience</t>
  </si>
  <si>
    <t>Centre de référence pour la résilience communautaire</t>
  </si>
  <si>
    <t>Centro de referencia sobre fomento de la capacidad de resistencia y recuperación de las comunidades.</t>
  </si>
  <si>
    <t>المركز المرجعي المعني بصمود المجتمعات المحلية</t>
  </si>
  <si>
    <t>reportenablingaction3.sections.6.blocks.1.6.subtitle</t>
  </si>
  <si>
    <t>Costa Rican Red Cross</t>
  </si>
  <si>
    <t>Croix-Rouge costaricienne</t>
  </si>
  <si>
    <t>Cruz Roja Costarricense</t>
  </si>
  <si>
    <t>الصليب الأحمر في كوستا ريكا</t>
  </si>
  <si>
    <t>reportenablingaction3.sections.6.blocks.1.6.slug</t>
  </si>
  <si>
    <t>http://www.crrec.cruzroja.org/</t>
  </si>
  <si>
    <t>/http://www.crrec.cruzroja.org</t>
  </si>
  <si>
    <t>reportenablingaction3.sections.6.blocks.1.5.title</t>
  </si>
  <si>
    <t>Livelihoods Resource Centre</t>
  </si>
  <si>
    <t>Centre de ressources sur les moyens dexistence</t>
  </si>
  <si>
    <t>Centro de referencia para desarrollo económico y medios de vida sostenibles.</t>
  </si>
  <si>
    <t>مركز موارد سبل كسب العيش</t>
  </si>
  <si>
    <t>reportenablingaction3.sections.6.blocks.1.5.subtitle</t>
  </si>
  <si>
    <t>Spanish Red Cross</t>
  </si>
  <si>
    <t>Croix-Rouge espagnole</t>
  </si>
  <si>
    <t>Cruz Roja Española</t>
  </si>
  <si>
    <t>الصليب الأحمر الإسباني</t>
  </si>
  <si>
    <t>reportenablingaction3.sections.6.blocks.1.5.slug</t>
  </si>
  <si>
    <t>http://www.livelihoodscentre.org/</t>
  </si>
  <si>
    <t>/http://www.livelihoodscentre.org</t>
  </si>
  <si>
    <t>reportenablingaction3.sections.6.blocks.1.4.title</t>
  </si>
  <si>
    <t>Global First Aid Reference Centre</t>
  </si>
  <si>
    <t>Centre mondial de référence de premiers secours</t>
  </si>
  <si>
    <t>Centro mundial de referencia sobre primeros auxilios</t>
  </si>
  <si>
    <t>المركز المرجعي العالمي للإسعافات الأوّلية</t>
  </si>
  <si>
    <t>reportenablingaction3.sections.6.blocks.1.4.subtitle</t>
  </si>
  <si>
    <t>Cruz Roja Francesa</t>
  </si>
  <si>
    <t>reportenablingaction3.sections.6.blocks.1.4.slug</t>
  </si>
  <si>
    <t>http://www.ifrc.org/en/get-involved/learning-education-training/reference-centres/</t>
  </si>
  <si>
    <t>/http://www.ifrc.org/en/get-involved/learning-education-training/reference-centres</t>
  </si>
  <si>
    <t>reportenablingaction3.sections.6.blocks.1.3.title</t>
  </si>
  <si>
    <t>Global Disaster Preparedness Centre</t>
  </si>
  <si>
    <t>Centre mondial de préparation aux catastrophes</t>
  </si>
  <si>
    <t>Centro mundial de referencia sobre preparación para desastres.</t>
  </si>
  <si>
    <t>المركز العالمي للتأهّب للكوارث</t>
  </si>
  <si>
    <t>reportenablingaction3.sections.6.blocks.1.3.subtitle</t>
  </si>
  <si>
    <t>Cruz Roja Americana</t>
  </si>
  <si>
    <t>reportenablingaction3.sections.6.blocks.1.3.slug</t>
  </si>
  <si>
    <t>http://www.preparecenter.org/</t>
  </si>
  <si>
    <t>/http://www.preparecenter.org</t>
  </si>
  <si>
    <t>reportenablingaction3.sections.6.blocks.1.2.title</t>
  </si>
  <si>
    <t>Climate Center</t>
  </si>
  <si>
    <t>Centre climatique</t>
  </si>
  <si>
    <t>Centro de información sobre cambio climático.</t>
  </si>
  <si>
    <t>المركز المعني بالمناخ</t>
  </si>
  <si>
    <t>reportenablingaction3.sections.6.blocks.1.2.subtitle</t>
  </si>
  <si>
    <t>The Netherlands Red Cross</t>
  </si>
  <si>
    <t>Croix-Rouge néerlandaise</t>
  </si>
  <si>
    <t>Cruz Roja Neerlandesa</t>
  </si>
  <si>
    <t>reportenablingaction3.sections.6.blocks.1.2.slug</t>
  </si>
  <si>
    <t>http://www.climatecentre.org/</t>
  </si>
  <si>
    <t>/http://www.climatecentre.org</t>
  </si>
  <si>
    <t>reportenablingaction3.sections.6.blocks.1.12.title</t>
  </si>
  <si>
    <t>Global Advisory Panel (Blood)</t>
  </si>
  <si>
    <t>Groupe consultatif mondial (sang)</t>
  </si>
  <si>
    <t>Grupo mundial de asesores (programas de sangre).</t>
  </si>
  <si>
    <t>اللجنة الاستشارية العالمية (تبرّعات الدم)</t>
  </si>
  <si>
    <t>reportenablingaction3.sections.6.blocks.1.12.subtitle</t>
  </si>
  <si>
    <t>Australian Red Cross, Swiss Red Cross</t>
  </si>
  <si>
    <t>Croix-Rouge australienne, Croix-Rouge suisse</t>
  </si>
  <si>
    <t>Cruz Roja Australiana, Cruz Roja Suiza</t>
  </si>
  <si>
    <t>الصليب الأحمر الأسترالي، الصليب الأحمر السويسري</t>
  </si>
  <si>
    <t>reportenablingaction3.sections.6.blocks.1.12.slug</t>
  </si>
  <si>
    <t>http://www.globaladvisorypanel.org/</t>
  </si>
  <si>
    <t>/http://www.globaladvisorypanel.org</t>
  </si>
  <si>
    <t>reportenablingaction3.sections.6.blocks.1.11.title</t>
  </si>
  <si>
    <t>Regional Referene Centre for Medical Emergencies and Pre-hospital Care</t>
  </si>
  <si>
    <t>Centre régional de référence des urgences médicales et des soins préhospitaliers</t>
  </si>
  <si>
    <t>Centro regional de referencia en emergencias médicas y atención prehospitalaria.</t>
  </si>
  <si>
    <t>المركز المرجعي الإقليمي لحالات الطوارئ الطبية والرعاية ما قبل الاستشفائية</t>
  </si>
  <si>
    <t>reportenablingaction3.sections.6.blocks.1.11.subtitle</t>
  </si>
  <si>
    <t>Ecuadorian Red Cross</t>
  </si>
  <si>
    <t>Croix-Rouge équatorienne</t>
  </si>
  <si>
    <t>Cruz Roja Ecuatoriana</t>
  </si>
  <si>
    <t>الصليب الأحمر الإكوادوري</t>
  </si>
  <si>
    <t>reportenablingaction3.sections.6.blocks.1.11.slug</t>
  </si>
  <si>
    <t>http://www.ifrc.org/en/news-and-media/news-stories/americas/ecuador/ecuadorian-red-cross-inaugurates-medical-emergencies-and-prehospital-care-reference-centre-67988/</t>
  </si>
  <si>
    <t>reportenablingaction3.sections.6.blocks.1.10.title</t>
  </si>
  <si>
    <t>Reference Centre on Volunteering</t>
  </si>
  <si>
    <t>Centre de référence sur le volontariat</t>
  </si>
  <si>
    <t>Centro de referencia sobre servicio voluntario.</t>
  </si>
  <si>
    <t>المركز المرجعي للعمل التطوّعي</t>
  </si>
  <si>
    <t>reportenablingaction3.sections.6.blocks.1.10.subtitle</t>
  </si>
  <si>
    <t>Spanish Red Cross, British Red Cross</t>
  </si>
  <si>
    <t>Croix-Rouge espagnole, Croix-Rouge britannique</t>
  </si>
  <si>
    <t>Cruz Roja Española, Cruz Roja Británica</t>
  </si>
  <si>
    <t>الصليب الأحمر الإسباني، والصليب الأحمر البريطاني</t>
  </si>
  <si>
    <t>reportenablingaction3.sections.6.blocks.1.10.slug</t>
  </si>
  <si>
    <t>http://www.cruzroja.es/portal/page?_pageid478,1&amp;_dadportal30&amp;_schemaPORTAL30</t>
  </si>
  <si>
    <t>reportenablingaction3.sections.6.blocks.1.1.title</t>
  </si>
  <si>
    <t>Centre for Evidence-Based Practice</t>
  </si>
  <si>
    <t>Centre de pratique fondée sur des données probantes</t>
  </si>
  <si>
    <t>Centro de referencia sobre prácticas sustentadas en pruebas.</t>
  </si>
  <si>
    <t>مركز الممارسات القائمة على الأدلّة</t>
  </si>
  <si>
    <t>reportenablingaction3.sections.6.blocks.1.1.subtitle</t>
  </si>
  <si>
    <t>Belgian Red Cross</t>
  </si>
  <si>
    <t>Croix-Rouge de Belgique</t>
  </si>
  <si>
    <t>Cruz Roja de Bélgica</t>
  </si>
  <si>
    <t>الصليب الأحمر البلجيكي</t>
  </si>
  <si>
    <t>reportenablingaction3.sections.6.blocks.1.1.slug</t>
  </si>
  <si>
    <t>http://www.rodekruis.be/en/who-are-we/research/centre-for-evidence-based-practice/</t>
  </si>
  <si>
    <t>/http://www.rodekruis.be/en/who-are-we/research/centre-for-evidence-based-practice</t>
  </si>
  <si>
    <t>reportenablingaction3.sections.6.blocks.1.0.title</t>
  </si>
  <si>
    <t>Caribbean Disaster Risk Management Centre</t>
  </si>
  <si>
    <t>Centre caribéen de gestion des risques de catastrophe</t>
  </si>
  <si>
    <t>Centro regional de información sobre desastres para el Caribe.</t>
  </si>
  <si>
    <t>المركز الكاريبي لإدارة مخاطر الكوارث</t>
  </si>
  <si>
    <t>reportenablingaction3.sections.6.blocks.1.0.subtitle</t>
  </si>
  <si>
    <t>The Barbados Red Cross Society</t>
  </si>
  <si>
    <t>Croix-Rouge de la Barbade</t>
  </si>
  <si>
    <t>Cruz Roja de Barbados</t>
  </si>
  <si>
    <t>جمعية الصليب الأحمرفي بربادوس</t>
  </si>
  <si>
    <t>reportenablingaction3.sections.6.blocks.1.0.slug</t>
  </si>
  <si>
    <t>http://www.cdema.org</t>
  </si>
  <si>
    <t>reportenablingaction3.sections.6.blocks.0</t>
  </si>
  <si>
    <t>A unique advantage of our extensive network is the access to world-class expertise, organised through Red Cross and Red Crescent reference centres that focus on specific subjects. The centres conduct research, develop innovative approaches, consolidate best practices, share knowledge, conduct advocacy, and offer training and technical assistance to National Societies, thus enabling them to do more and better.</t>
  </si>
  <si>
    <t>Grâce à l’étendue de notre réseau, nous avons l’avantage unique d’avoir accès à une expertise mondiale par le biais des centres de référence Croix-Rouge et CroissantRouge consacrés à des thématiques spécifiques. Ces centres mènent des travaux de recherche, mettent au point des approches novatrices, renforcent les bonnes pratiques, échangent des connaissances, mènent des activités de sensibilisation et proposent des formations ainsi qu’une assistance technique aux Sociétés nationales, afin de les aider à faire plus et à le faire mieux.</t>
  </si>
  <si>
    <t>Una singular ventaja de nuestra amplia red de colaboración reside en el acceso a conocimientos especializados de alto nivel que se sistematizan por conducto de diversos centros de referencia de la Federación Internacional dedicados a temas específicos. Los centros realizan investigaciones, desarrollan enfoques innovadores, recopilan información sobre prácticas óptimas, difunden conocimientos, promueven y defienden causas y, además, brindan formación y asistencia a las Sociedades Nacionales con el fin de que amplíen y perfeccionen su labor.</t>
  </si>
  <si>
    <t>من الميزات الفريدة لشبكتنا الواسعة إمكانية الحصول على خبرة عالمية الجودة، تنظم من خلال المراكز المرجعية للاتحاد الدولي للتركيز على مواضيع محددة. وتُجري هذه المراكز البحوث، وتضع نُهجاً ابتكارية، وتوحد أفضل الممارسات، وتتيح المعارف، وتنظم أنشطة المناصرة، وتقدم التدريب والمساعدات التقنية للجمعيات الوطنية، و تمكنها بذلك من عمل المزيد وتحقيق الأفضل.</t>
  </si>
  <si>
    <t>reportenablingaction3.sections.5.title</t>
  </si>
  <si>
    <t>Culture of learning</t>
  </si>
  <si>
    <t>La culture de l’apprentissage</t>
  </si>
  <si>
    <t>Cultura de formación</t>
  </si>
  <si>
    <t>ثقافة التعلم</t>
  </si>
  <si>
    <t>reportenablingaction3.sections.5.blocks.8</t>
  </si>
  <si>
    <t>With the rapid growth in overall registered users to more than 140,000 in 2014, course registrations have soared to over 220,000 with some users signed up to take more than one course. Course completion rates have also increased to just under 50 per cent, indicating steadily increasing customer utility.</t>
  </si>
  <si>
    <t>Sa croissance a été rapide, le nombre total d’utilisateurs inscrits ayant dépassé les 140 000 en 2014 et celui des inscriptions à des cours étant passé à plus de 220 000, certains utilisateurs suivant plusieurs formations. Les taux d’achèvement des cours ont également augmenté pour atteindre près de 50 %, témoignant de leur utilité croissante pour les utilisateurs.</t>
  </si>
  <si>
    <t>En 2014 se observó un rápido aumento en la cantidad de inscripciones de usuarios (más de 140 000) que incidió en el vertiginoso incremento en el número de inscripciones (más de 220 000), si bien algunos usuarios siguieron más de un curso. El porcentaje de cursos concluidos también aumentó situándose ligeramente por debajo del cincuenta por ciento (50%) en un indicio de constante aumento en la percepción de utilidad por parte del usuario.</t>
  </si>
  <si>
    <t>مع النمو السريع في عدد مستخدمي المنبر الإجمالي الذي تجاوز 140 ألف شخص في عام 2014 ، ارتفع عدد التسجيلات في الدورة إلى ما يزيد على 220 ألف حيث سجل بعض المستخدمين للحصول على أكثر من دورة. وارتفعت أيضاً معدلات إتمام الدورات لما يقل قليلاً عن 50 في المائة، مما يشير إلى زيادة مطردة في انتفاع الزبون.</t>
  </si>
  <si>
    <t>reportenablingaction3.sections.5.blocks.7</t>
  </si>
  <si>
    <t>The Learning Platform is rapidly becoming a social community in its own right with encouragement for group learning and peer-to-peer sharing.</t>
  </si>
  <si>
    <t>La Plateforme de formation est en passe de devenir une communauté sociale à part entière, favorisant l’apprentissage en groupe et l’échange entre pairs.</t>
  </si>
  <si>
    <t>La plataforma de formación adquiere rápidamente titularidad por derecho propio en calidad de comunidad social con facilidades para la formación colectiva y el diálogo entre homólogos.</t>
  </si>
  <si>
    <t>ويتحول منبر التعلم في حد ذاته إلى جماعة اجتماعية بسرعة حيث يشجع على التعلم الجماعي وتبادل المعرفة بين الأنداد.</t>
  </si>
  <si>
    <t>reportenablingaction3.sections.5.blocks.6.type</t>
  </si>
  <si>
    <t>reportenablingaction3.sections.5.blocks.6.title</t>
  </si>
  <si>
    <t>Learning platform users</t>
  </si>
  <si>
    <t>Utilisateurs de la Plateforme de formation</t>
  </si>
  <si>
    <t>Usuarios de la plataforma de formación</t>
  </si>
  <si>
    <t>مستخدمو منبر التعلم</t>
  </si>
  <si>
    <t>reportenablingaction3.sections.5.blocks.6.linelabels.1</t>
  </si>
  <si>
    <t>Course completions</t>
  </si>
  <si>
    <t>Achèvement des cours</t>
  </si>
  <si>
    <t>Cursos completados</t>
  </si>
  <si>
    <t>اجتياز دورة تدريبية</t>
  </si>
  <si>
    <t>reportenablingaction3.sections.5.blocks.6.linelabels.0</t>
  </si>
  <si>
    <t>Course registrations</t>
  </si>
  <si>
    <t>Inscriptions aux cours</t>
  </si>
  <si>
    <t>Inscripciones en los cursos</t>
  </si>
  <si>
    <t>التسجيل في دورة تدريبية</t>
  </si>
  <si>
    <t>reportenablingaction3.sections.5.blocks.6.caption</t>
  </si>
  <si>
    <t>The graph above shows the number of users who registered for courses vs. the number of students who completed courses.</t>
  </si>
  <si>
    <t>Le graphique ci-dessus montre le nombre dutilisateurs qui se sont inscrits aux cours par rapport au nombre détudiants qui ont terminé les cours.</t>
  </si>
  <si>
    <t>La grafica anterior muestra el número de usuarios que se inscribieron en los cursos frente al número de alumnos que los completaron.</t>
  </si>
  <si>
    <t>مستخدمو منبر التعلم، والتسجيل في الدورات التدريبية، واجتيازها</t>
  </si>
  <si>
    <t>reportenablingaction3.sections.5.blocks.6.axislabels.y</t>
  </si>
  <si>
    <t>reportenablingaction3.sections.5.blocks.6.axislabels.x</t>
  </si>
  <si>
    <t>reportenablingaction3.sections.5.blocks.5.type</t>
  </si>
  <si>
    <t>reportenablingaction3.sections.5.blocks.5.title</t>
  </si>
  <si>
    <t>International Mobilisation and Preparation for Action (IMPACT) course</t>
  </si>
  <si>
    <t>Cours sur la mobilisation et la préparation internationales à l’action (IMPACT)</t>
  </si>
  <si>
    <t>Curso sobre movilización internacional y preparación para la acción (curso)</t>
  </si>
  <si>
    <t>دورة الحشد الدولي والتأهب للعمل (دورة إمباكت)</t>
  </si>
  <si>
    <t>reportenablingaction3.sections.5.blocks.5.caption</t>
  </si>
  <si>
    <t>Sources: Learning and Research Department</t>
  </si>
  <si>
    <t>Sources : Département Apprentissage et Recherche</t>
  </si>
  <si>
    <t>Fuente: Departamento de Formación e Investigación</t>
  </si>
  <si>
    <t>المصدر: قسم التعلم والأبحاث</t>
  </si>
  <si>
    <t>reportenablingaction3.sections.5.blocks.4</t>
  </si>
  <si>
    <t>Over the past six years, an average of 489 Red Cross and Red Crescent staff have taken the International Mobilisation and Preparation for Action (IMPACT) training annually, in preparation for international deployments</t>
  </si>
  <si>
    <t>Ces six dernières années, 489 employés de la Croix-Rouge et du Croissant-Rouge en moyenne ont suivi chaque année la formation « Mobilisation et préparation internationales à l’action » (IMPACT), en prévision d’un déploiement international.</t>
  </si>
  <si>
    <t>En los últimos seis años, un promedio anual de 489 miembros del personal de las organizaciones de la Cruz Roja y de la Media Luna Roja han cursado la formación básica de preparación para la acción y la movilización internacional en el contexto de su preparación para una misión.</t>
  </si>
  <si>
    <t>خلال السنوات الست الماضية، حصل 489 موظفاً سنوياً في المتوسط من الصليب الأحمر والهلال الأحمر على دورة الحشد الدولي والتأهب للعمل (دورة إمباكت)، استعداداً لنشرهم على الساحة الدولية.</t>
  </si>
  <si>
    <t>reportenablingaction3.sections.5.blocks.3</t>
  </si>
  <si>
    <t>The IFRC Learning Platform is a global yet local online learning community offering 131 courses available in 16 languages.</t>
  </si>
  <si>
    <t>La Plateforme de formation de la Fédération est une communauté d’apprentissage en ligne à la fois mondiale et locale, proposant 131 cours dans 16 langues.</t>
  </si>
  <si>
    <t>La plataforma de formación de la Federación Internacional es una comunidad mundial en línea que, no obstante, guarda rasgos locales, en la que se encuentran disponibles ciento treinta y un (131) cursos en dieciséis (16) idiomas</t>
  </si>
  <si>
    <t>يشكل منبر التعلم في الاتحاد الدولي جماعة تعلم عالمية ومحلية عبر شبكة الانترنت في ذات الوقت حيث يوفر 131 دورة تعليمية متاحة بست عشرة لغة.</t>
  </si>
  <si>
    <t>reportenablingaction3.sections.5.blocks.2</t>
  </si>
  <si>
    <t>The IFRC Learning Passport scheme encourages people to take responsibility for their own development, and fosters the portability of the learning they undertake while moving between institutions and employers.</t>
  </si>
  <si>
    <t>Le Passeport de formation de la Fédération a pour but d’encourager les individus à prendre en main leur développement et d’attester des formations suivies lorsqu’ils changent d’institution et d’employeur.</t>
  </si>
  <si>
    <t xml:space="preserve">La formación es un elemento esencial que favorece la adaptación y la actualización de una institución sujeta a un mundo en transformación. Otro aspecto importante reside en el fomento de la profesionalidad de quienes colaboran con las organizaciones de la Cruz Roja y de la Media Luna Roja a fin de que gocen de mayor credibilidad al demostrar que cumplen con normas explícitas. </t>
  </si>
  <si>
    <t>تشجع خطة التعلم التي أطلقها الاتحاد الدولي الناس على تحمل مسؤولية تطوير مهاراتهم ذاتيا، وتعزز قابلية نقل المعارف التي اكتسبوها أثناء تنقلهم بين مختلف المؤسسات وأرباب العمل.</t>
  </si>
  <si>
    <t>reportenablingaction3.sections.5.blocks.1.type</t>
  </si>
  <si>
    <t>reportenablingaction3.sections.5.blocks.1.title</t>
  </si>
  <si>
    <t>Learning platform courses by languages</t>
  </si>
  <si>
    <t>Plateforme dapprentissage des cours par langues</t>
  </si>
  <si>
    <t>Idiomas disponibles en la plataforma de formación</t>
  </si>
  <si>
    <t>الدورات التدريبية عبر منبر التعلم مصنفة حسب اللغة</t>
  </si>
  <si>
    <t>reportenablingaction3.sections.5.blocks.1.dataset.9.y</t>
  </si>
  <si>
    <t>reportenablingaction3.sections.5.blocks.1.dataset.9.x</t>
  </si>
  <si>
    <t>آخرون</t>
  </si>
  <si>
    <t>reportenablingaction3.sections.5.blocks.1.dataset.8.y</t>
  </si>
  <si>
    <t>reportenablingaction3.sections.5.blocks.1.dataset.8.x</t>
  </si>
  <si>
    <t>reportenablingaction3.sections.5.blocks.1.dataset.7.y</t>
  </si>
  <si>
    <t>reportenablingaction3.sections.5.blocks.1.dataset.7.x</t>
  </si>
  <si>
    <t>Russian</t>
  </si>
  <si>
    <t>Russe</t>
  </si>
  <si>
    <t>Ruso</t>
  </si>
  <si>
    <t>الروسية</t>
  </si>
  <si>
    <t>reportenablingaction3.sections.5.blocks.1.dataset.6.y</t>
  </si>
  <si>
    <t>reportenablingaction3.sections.5.blocks.1.dataset.6.x</t>
  </si>
  <si>
    <t>Chinese</t>
  </si>
  <si>
    <t>Chinois</t>
  </si>
  <si>
    <t>Chino</t>
  </si>
  <si>
    <t>الصينية</t>
  </si>
  <si>
    <t>reportenablingaction3.sections.5.blocks.1.dataset.5.y</t>
  </si>
  <si>
    <t>reportenablingaction3.sections.5.blocks.1.dataset.5.x</t>
  </si>
  <si>
    <t>German</t>
  </si>
  <si>
    <t>Alleman</t>
  </si>
  <si>
    <t>Alemán</t>
  </si>
  <si>
    <t>الألمانية</t>
  </si>
  <si>
    <t>reportenablingaction3.sections.5.blocks.1.dataset.4.y</t>
  </si>
  <si>
    <t>reportenablingaction3.sections.5.blocks.1.dataset.4.x</t>
  </si>
  <si>
    <t>Portuguese</t>
  </si>
  <si>
    <t>Portugais</t>
  </si>
  <si>
    <t>Portugués</t>
  </si>
  <si>
    <t>البرتغالية</t>
  </si>
  <si>
    <t>reportenablingaction3.sections.5.blocks.1.dataset.3.y</t>
  </si>
  <si>
    <t>reportenablingaction3.sections.5.blocks.1.dataset.3.x</t>
  </si>
  <si>
    <t>Italian</t>
  </si>
  <si>
    <t>Italien</t>
  </si>
  <si>
    <t>Italiano</t>
  </si>
  <si>
    <t>الإيطالية</t>
  </si>
  <si>
    <t>reportenablingaction3.sections.5.blocks.1.dataset.2.y</t>
  </si>
  <si>
    <t>reportenablingaction3.sections.5.blocks.1.dataset.2.x</t>
  </si>
  <si>
    <t>reportenablingaction3.sections.5.blocks.1.dataset.1.y</t>
  </si>
  <si>
    <t>reportenablingaction3.sections.5.blocks.1.dataset.1.x</t>
  </si>
  <si>
    <t>reportenablingaction3.sections.5.blocks.1.dataset.0.y</t>
  </si>
  <si>
    <t>reportenablingaction3.sections.5.blocks.1.dataset.0.x</t>
  </si>
  <si>
    <t>reportenablingaction3.sections.5.blocks.1.caption</t>
  </si>
  <si>
    <t>Source: Learning and Research Department</t>
  </si>
  <si>
    <t>Source: département Acquisition de connaissances et recherche</t>
  </si>
  <si>
    <t>reportenablingaction3.sections.5.blocks.0</t>
  </si>
  <si>
    <t>Learning is essential to adapt and keep up to date with the changing world. Also important is the professionalisation of Red Cross and Red Crescent workers to enhance their credibility by showing that they adhere to explicit standards. That is why we encourage the ethos of continuous life-long learning. Creating learning opportunities is also an important way to motivate our volunteers and staff by investing in their future progression.</t>
  </si>
  <si>
    <t>L’apprentissage est un moyen essentiel de s’adapter et de rester à jour dans un monde en pleine mutation. La professionnalisation des travailleurs de la Croix-Rouge et du Croissant-Rouge est elle aussi importante, car elle contribue à renforcer leur crédibilité en montrant qu’ils respectent des normes explicites. C’est pourquoi nous encourageons un apprentissage continu tout au long de la vie. En outre, créer des possibilités d’apprentissage et investir dans le développement personnel constituent un bon moyen de motiver nos volontaires et nos employés.</t>
  </si>
  <si>
    <t xml:space="preserve">La formación es un elemento esencial que favorece la adaptación y la actualización de una institución sujeta a un mundo en transformación. Otro aspecto importante reside en el fomento de la profesionalidad de quienes colaboran con las organizaciones de la Cruz Roja y de la Media Luna Roja a fin de que gocen de mayor credibilidad al demostrar que cumplen con normas explícitas. Ello explica que se aliente una filosofía de formación y aprendizaje continuos. </t>
  </si>
  <si>
    <t>يُعد التعلم عنصراً أساسياً من أجل التكيف مع العالم المتغير ومواكبته. كما يكتسي اكتساب العاملين في الصليب الأحمر والهلال الأحمر للمهارات المهنية أهمية لتحسين مصداقيتهم عن طريق بيان تقيّدهم بمعايير واضحة. ولهذا السبب نحن نشجع مبدأ التعلم المستمر طوال الحياة. ويعد إيجاد فرص التعلم سبيلاً مهماً أيضاً لحفز متطوعينا وموظفينا عن طريق الاستثمار في تدرجهم الوظيفي في المستقبل.</t>
  </si>
  <si>
    <t>reportenablingaction3.sections.4.title</t>
  </si>
  <si>
    <t>Complying with standards</t>
  </si>
  <si>
    <t>Le respect des normes</t>
  </si>
  <si>
    <t>Cumplimiento normativo</t>
  </si>
  <si>
    <t>الالتزام بالمعايير</t>
  </si>
  <si>
    <t>reportenablingaction3.sections.4.blocks.4</t>
  </si>
  <si>
    <t>The key lessons learned from this case are that a National Society must remain constantly vigilant over its own integrity and take the initiative to tackle problems by countering resistance with persistence. The IFRC secretariat can help to mediate solutions and ensure compliance.</t>
  </si>
  <si>
    <t>Les principaux enseignements de cette affaire sont qu’une Société nationale doit rester constamment vigilante sur sa propre intégrité et prendre l’initiative pour résoudre ses problèmes et faire preuve de persévérance pour vaincre les résistances. Le Secrétariat de la Fédération internationale peut aider à trouver des solutions par le biais de la médiation et garantir le respect des dispositions.</t>
  </si>
  <si>
    <t>أبرز الدروس المستفادة من هذه القضية هي ضرورة بقاء الجمعية الوطنية ساهرة على نزاهتها والمبادرة إلى معالجة المشاكل عبر مواجهة المقاومة بالمثابرة. وبإمكان الاتّحاد الدولي أن يساعد من خلال التوسّط من أجل إيجاد الحلول وضمان الامتثال.</t>
  </si>
  <si>
    <t>reportenablingaction3.sections.4.blocks.3</t>
  </si>
  <si>
    <t>The Compliance and Mediation Committee of the IFRC used trusted intermediaries to negotiate a settlement that involved setting up a new transitional governing board for the National Society. The IFRC secretariat also provided technical support to amend the statutes of the National Society to ensure provision for an annual general assembly. This duly occurred, and the newly elected governance enabled the financial audits of the disputed period to be completed and the issues to be addressed. The National Society recovered and is functioning well again.</t>
  </si>
  <si>
    <t>Le Comité de contrôle du respect des dispositions et de médiation de la Fédération internationale a fait appel à des intermédiaires de confiance pour négocier un règlement visant à mettre en place à titre transitoire un nouveau conseil de direction. Le Secrétariat a, quant à lui, fourni un appui technique en vue de modifier les statuts de la Société nationale pour garantir l’organisation d’une assemblée générale annuelle. Celle-ci s’est dûment réunie, et la gouvernance nouvellement élue a organisé des audits financiers de la période visée et pris des mesures pour régler les problèmes. La Société nationale s’est relevée et fonctionne bien à nouveau.</t>
  </si>
  <si>
    <t>Las enseñanzas extraídas de este caso ilustran la necesidad de que las Sociedades Nacionales permanezcan siempre vigilantes con respecto de su integridad y tomen la iniciativa de enfrentarse a los problemas y combatir toda resistencia con perseverancia. La secretaría de la Federación Internacional puede mediar para la búsqueda de soluciones y para asegurar la observancia de las normas de integridad a las que están sometidas las Sociedades Nacionales.</t>
  </si>
  <si>
    <t>واستعانت لجنة الامتثال والوساطة التابعة لمجلس إدارة الاتّحاد الدولي بوسطاء موثوقين للتفاوض على تسويةٍ تتضمَّن تشكيل مجلس إدارة انتقالي جديد للجمعية الوطنية. وقدّمت الأمانة أيضا الدعم التقني لتعديل النظام الأساسي للجمعية الوطنية لضمان عقد هيئة عامة سنوية. جرى ذلك حسب الأصول، وتمّ انتخاب جهاز حكم جديد سمح باستكمال مراجعة الحسابات المالية عن الفترة المتنازع عليها ومعالجة الإشكالات. فعادت الجمعية الوطنية إلى وضعها السليم، وهي تبلي بلاء حسنا مجددا.</t>
  </si>
  <si>
    <t>reportenablingaction3.sections.4.blocks.2</t>
  </si>
  <si>
    <t>A group of registered members within a National Society became seriously concerned about its loss of reputation following allegations related to the misappropriation of funds, abuse of position for advancement of personal interests, breach of Fundamental Principles, and personal gain. The governing board of the National Society did not respond to their concerns and the complaining group convened an extraordinary general assembly that passed a motion of no confidence in the governance and management, and elected new replacements. The country’s Supreme Court was invoked to rule over the legitimacy of the two competing governance arrangements. The dispute also alarmed the government, which asked the IFRC secretariat to intervene.</t>
  </si>
  <si>
    <t>Un groupe de membres inscrits s’est dit très préoccupé de la perte de réputation de la Société nationale suite à des allégations de détournements de fonds, d’abus de pouvoir visant à favoriser des intérêts personnels, de violation des Principes fondamentaux et de gain personnel. Le conseil de direction de la Société nationale n’a pas répondu à leurs préoccupations et le groupe de plaignants a convoqué une assemblée générale extraordinaire qui a adopté une motion de défiance vis-à-vis des organes de gouvernance et de gestion et élu de nouveaux dirigeants. La Cour suprême du pays a été saisie pour se prononcer sur la légitimité des deux dispositifs de gouvernance concurrents. Le litige a également alarmé le gouvernement, qui a demandé à la Fédération internationale d’intervenir.</t>
  </si>
  <si>
    <t>El Comité de Cumplimiento y Mediación de la Federación Internacional recurrió a intermediarios fiables y puso en sus manos la negociación de un acuerdo que implicaba la designación de una nueva junta de gobierno provisional que tomara las riendas de la Sociedad Nacional. Además, la secretaría de la Federación Internacional proporcionó apoyo técnico para enmendar los estatutos e incorporar una disposición que obligara a celebrar una asamblea general al año. El proceso siguió su curso de forma apropiada y los órganos de gobierno recién elegidos permitieron finalizar las auditorías financieras del periodo objeto de controversia y solucionar los problemas planteados. La Sociedad Nacional se recuperó y ahora funciona adecuadamente.</t>
  </si>
  <si>
    <t>عربت مجموعة من الأعضاء المسجّلين ضمن إحدى الجمعيات الوطنية عن قلقها إزاء تشويه سمعة الجمعية بعد انتشار الادّعاءات المتعلّقة باختلاس الأموال وإساءة استخدام المناصب لإعطاء الأولوية للمصالح الشخصية، وانتهاك المبادئ الأساسية، وتحقيق المكاسب الشخصية. ولم يستجب مجلس إدارة الجمعية الوطنية لهواجس هذه المجموعة المشتكية، فعقدت دورة استثنائية للهيئة العامة أصدرت خلالها اقتراحًا بحجب الثقة عن جهاز الحكم والإدارة، وانتخبت بدائل جديدة. وتمّ الالتجاء إلى المحكمة العليا في البلاد للبتّ في شرعية الخيارين المتنافسين للحكم. وأثار النزاع أيضا قلق الحكومة التي طلبت من الاتّحاد الدولي التدخّل.</t>
  </si>
  <si>
    <t>reportenablingaction3.sections.4.blocks.1</t>
  </si>
  <si>
    <t>Dealing with a breach of integrity</t>
  </si>
  <si>
    <t>Résoudre un manquement à l’intégrité</t>
  </si>
  <si>
    <t>Un grupo de miembros registrados en una Sociedad Nacional se empezó a preocupar seriamente por el daño que causaban a la reputación de la organización ciertas denuncias relacionadas con apropiación indebida de fondos, abuso del cargo en beneficio propio, incumplimiento de los principios fundamentales y ganancias personales. La junta de gobierno de la Sociedad Nacional no respondió a sus inquietudes y el grupo reclamante convocó una asamblea general extraordinaria que votó una moción de no confianza en contra de las instancias de gobierno y de gestión, y eligió a unos reemplazantes. El caso se sometió ante la corte suprema del país para que dictaminara acerca de la legitimidad de los dos mecanismos de gobierno enfrentados. La controversia llegó a alarmar a las autoridades públicas que solicitaron la intervención de la secretaría de la Federación Internacional.</t>
  </si>
  <si>
    <t>التعامل مع حالات الإخلال بالنزاهة</t>
  </si>
  <si>
    <t>reportenablingaction3.sections.4.blocks.0</t>
  </si>
  <si>
    <t>National Societies are dynamic bodies understandably influenced by internal and external factors that can change with shifts in their circumstances. The IFRC Governing Board has established a Compliance and Mediation Committee to assist National Societies in resolving any disagreements submitted to it or difficulties that can arise, for example, with potential breaches of integrity.</t>
  </si>
  <si>
    <t>Les Sociétés nationales sont des organismes dynamiques influencés, comme cela est normal, par différents facteurs internes et externes qui peuvent changer au gré des circonstances. Le Conseil de direction a mis en place un Comité de contrôle du respect des dispositions et de médiation afin d’aider les Sociétés nationales à résoudre tout désaccord porté à son attention ou toute difficulté éventuelle, telle qu’une infraction potentielle à l’intégrité.</t>
  </si>
  <si>
    <t>Las Sociedades Nacionales son órganos dinámicos que, de manera comprensible, acusan la influencia de factores internos y externos, que pueden cambiar ante la modificación de sus circunstancias. La Junta de Gobierno ha establecido un Comité de Cumplimiento y Mediación para prestar asistencia a las Sociedades Nacionales en la solución de desacuerdos que se someten a su consideración o para superar dificultades, por ejemplo con relación a eventuales infracciones de las normas de integridad.</t>
  </si>
  <si>
    <t>تشكل الجمعيات الوطنية هيئات دينامية تتأثر بعوامل داخلية وخارجية قد تحدث تحولات في ظروفها. وقد أنشأ مجلس الإدارة لجنة للامتثال والوساطة لمساعدة الجمعيات الوطنية على حل أي خلافات تحيلها إليه، أو مصاعب قد تؤدي مثلاً إلى إخلال محتمل بالنزاهة.</t>
  </si>
  <si>
    <t>reportenablingaction3.sections.3.title</t>
  </si>
  <si>
    <t>Audits</t>
  </si>
  <si>
    <t>Les audits</t>
  </si>
  <si>
    <t>Auditorías</t>
  </si>
  <si>
    <t>التدقيقات المالية</t>
  </si>
  <si>
    <t>reportenablingaction3.sections.3.blocks.3</t>
  </si>
  <si>
    <t>In 2012, there were 80 National Societies providing audited financial statements through the Federationwide Databank and Reporting System. This increased to 88 in 2013.</t>
  </si>
  <si>
    <t>En 2012, 80 Sociétés nationales avaient communiqué leurs états financiers vérifiés par le biais de la Base de données et du système de compte rendu à l’échelle de la Fédération, contre 88 en 2013.</t>
  </si>
  <si>
    <t>En 2012, ochenta (80) Sociedades Nacionales suministraron estados financieros auditados por conducto del banco de datos y sistema de información general interno. En 2013, ochenta y ocho (88) lo hicieron.</t>
  </si>
  <si>
    <t>في عام 2012 ، قدمت 80 جمعية وطنية بيانات مالية مدققة عبر قاعدة بيانات الاتحاد الدولي ونظام الافادة فيه. وارتفع عددها في عام 2013 إلى 88 جمعية وطنية.</t>
  </si>
  <si>
    <t>reportenablingaction3.sections.3.blocks.2.type</t>
  </si>
  <si>
    <t>graphiqe</t>
  </si>
  <si>
    <t>reportenablingaction3.sections.3.blocks.2.title</t>
  </si>
  <si>
    <t>Percentage of National Societies providing externally audited financial statements</t>
  </si>
  <si>
    <t>Pourcentage de Sociétés nationales ayant présenté des états financiers vérifiés</t>
  </si>
  <si>
    <t>Porcentaje de Sociedades Nacionales que han presentado estados financieros auditados externamente</t>
  </si>
  <si>
    <t>نسبة الجمعيات الوطنية التي تقدم بياناتها المالية مدققة خارجياً</t>
  </si>
  <si>
    <t>reportenablingaction3.sections.3.blocks.2.caption</t>
  </si>
  <si>
    <t>المصدر: قاعدة البيانات ونظام ا لإفادة في الاتحاد الدولي</t>
  </si>
  <si>
    <t>reportenablingaction3.sections.3.blocks.1.type</t>
  </si>
  <si>
    <t>reportenablingaction3.sections.3.blocks.1.title</t>
  </si>
  <si>
    <t>Percentage of National Societies providing financial statements</t>
  </si>
  <si>
    <t>Pourcentage de Sociétés nationales ayant présenté leurs états financiers</t>
  </si>
  <si>
    <t>Porcentaje de Sociedades Nacionales que han presentado estados financieros</t>
  </si>
  <si>
    <t>نسبة الجمعيات الوطنية التي تقدم بياناتها المالية</t>
  </si>
  <si>
    <t>reportenablingaction3.sections.3.blocks.1.caption</t>
  </si>
  <si>
    <t>reportenablingaction3.sections.3.blocks.0</t>
  </si>
  <si>
    <t>Financial reporting appears to relate to the income and size of the National Society. In 2013, National Societies with income of more than one million Swiss francs and more than 25 staff were more likely to provide financial statements. They were also more likely to carry out external audits if they had an income greater than 10 million Swiss francs and more than 250 staff. It is reasonable to set accountability benchmarks commensurate with the size of a National Society, and therefore their potential risk exposure, although minimum standards must be met by all. More could be done to support the smaller National Societies, for example, the IFRC secretariat could provide them with shared auditing services and help to consolidate their accounts over two to three years for external auditing.</t>
  </si>
  <si>
    <t>Il semble y avoir une corrélation entre la présentation de comptes rendus financiers et les recettes et la taille des Sociétés nationales. En 2013, les Sociétés nationales dont les recettes dépassaient un million de francs suisses et comptant plus de 25 employés ont été plus enclines à soumettre leurs états financiers. Les Sociétés nationales sont aussi plus susceptibles de réaliser des audits externes lorsque leurs recettes dépassent dix millions de francs suisses et qu’elles comptent plus de 250 employés. Il est raisonnable de fixer des indices de référence en matière de redevabilité qui soient adaptés à la taille des Sociétés nationales et donc à leur exposition à des risques potentiels, tout en définissant des exigences minimales devant être respectées par toutes les Sociétés nationales. Davantage pourrait être fait pour apporter un soutien aux Sociétés nationales plus petites. Le Secrétariat de la Fédération pourrait par exemple leur fournir des services d’audit communs et les aider à consolider leurs comptes des deux ou trois derniers exercices en vue d’une vérification externe.</t>
  </si>
  <si>
    <t>Parecería existir una correlación entre el envío de información financiera y los ingresos y el tamaño de las Sociedades Nacionales. En 2013, existía mayor probabilidad de recibir estados financieros de las Sociedades Nacionales con ingresos superiores a un millón de francos suizos y con más de veinticinco (25) miembros del personal. La probabilidad de que realizaran auditorías externas era también mayor si los ingresos excedían diez (10) millones de francos suizos y contaban con más de doscientos cincuenta (250) miembros del personal. Es razonable el establecimiento de cotas de referencia que guarden correlación con el tamaño de la Sociedad Nacional y su eventual exposición a riesgos, aunque todos los miembros deban satisfacer requisitos mínimos. Se podría invertir más en el apoyo a las Sociedades Nacionales más pequeñas, así, por ejemplo, la secretaría de la Federación Internacional podría facilitarles servicios de auditoría compartidos y consolidar sus cuentas cada dos o tres años para someterlas a auditoría externa.</t>
  </si>
  <si>
    <t>يبدو أن الإبلاغ المالي يرتبط بإيرادات الجمعية الوطنية وحجمها. فالجمعيات الوطنية التي تجاوزت إيرادتها مليون فرنك سويسري وضمت ما يزيد على 25 موظفاً كانت أكثر مَيلاً إلى تقديم بيانات مالية في عام 2013 . كما أنها كانت أكثر مَيلاً لإجراء تدقيقات مالية خارجية إذا زادت إيراداتها على 10 مليون فرنك سويسري وكان لديها ما يزيد على 250 موظفاً. ومن المعقول وضع معايير للمساءلة متناسبة مع حجم كل جمعية وطنية، ومن ثم تحديد مدى احتمال تعرضها للمخاطر، رغم ضرورة أن تستوفي كافة الجمعيات المعايير الدنيا. ويمكن عمل المزيد لدعم الجمعيات الوطنية الأصغر، فعلى سبيل المثال، يمكن أن يوفر الاتحاد الدولي لها خدمات تدقيق مالي مشتركة، و أن يوحد حساباتها عن سنتين وثلاث سنوات لعرضها للتدقيق الخارجي.</t>
  </si>
  <si>
    <t>reportenablingaction3.sections.2.title</t>
  </si>
  <si>
    <t>Evaluations</t>
  </si>
  <si>
    <t>Les évaluations</t>
  </si>
  <si>
    <t>Evaluaciones</t>
  </si>
  <si>
    <t>عمليات التقييم</t>
  </si>
  <si>
    <t>reportenablingaction3.sections.2.blocks.3</t>
  </si>
  <si>
    <t xml:space="preserve">The archive of completed IFRC secretariat evaluations and related studies is available for public viewing, with more than 350 reports available of which 205 cover the period 2010–2014. </t>
  </si>
  <si>
    <t>Les archives des évaluations menées par le Secrétariat de la Fédération ainsi que les études connexes sont accessibles au public. Elles contiennent plus de 350 rapports, dont 205 couvrent la période de 2010 à 2014.</t>
  </si>
  <si>
    <t>El archivo de las evaluaciones concluidas y demás estudios conexos realizados por la secretaría de la Federación Internacional está disponible para consulta pública e incluye más de trescientos cincuenta (350) informes de los cuales doscientos cinco (205) corresponden al periodo 2010-2014.</t>
  </si>
  <si>
    <t>وباستطاعة الجمهور الاطلاع على سجل التقييمات المستكملة التي أعدتها أمانة الاتحاد والدراسات ذات الصلة، ويتاح ما يزيد على 350 تقريراً منها 205 تقارير تغطي الفترة 2010 - 2014.</t>
  </si>
  <si>
    <t>reportenablingaction3.sections.2.blocks.2.type</t>
  </si>
  <si>
    <t>reportenablingaction3.sections.2.blocks.2.title</t>
  </si>
  <si>
    <t>Reports by evaluation type</t>
  </si>
  <si>
    <t>Rapports par type d’évaluation</t>
  </si>
  <si>
    <t>Informes por tipo de evaluación</t>
  </si>
  <si>
    <t>التقارير مصنفة حسب نوع التقييم</t>
  </si>
  <si>
    <t>reportenablingaction3.sections.2.blocks.2.dataset.8.y</t>
  </si>
  <si>
    <t>reportenablingaction3.sections.2.blocks.2.dataset.8.x</t>
  </si>
  <si>
    <t>Enquête</t>
  </si>
  <si>
    <t>reportenablingaction3.sections.2.blocks.2.dataset.7.y</t>
  </si>
  <si>
    <t>reportenablingaction3.sections.2.blocks.2.dataset.7.x</t>
  </si>
  <si>
    <t>Review</t>
  </si>
  <si>
    <t>Examen</t>
  </si>
  <si>
    <t>استعراض</t>
  </si>
  <si>
    <t>reportenablingaction3.sections.2.blocks.2.dataset.6.y</t>
  </si>
  <si>
    <t>reportenablingaction3.sections.2.blocks.2.dataset.6.x</t>
  </si>
  <si>
    <t>Real-time evaluation</t>
  </si>
  <si>
    <t>Évaluation en temps réel</t>
  </si>
  <si>
    <t>Evaluación en tiempo real</t>
  </si>
  <si>
    <t>تقييم فوري</t>
  </si>
  <si>
    <t>reportenablingaction3.sections.2.blocks.2.dataset.5.y</t>
  </si>
  <si>
    <t>reportenablingaction3.sections.2.blocks.2.dataset.5.x</t>
  </si>
  <si>
    <t>Mid-term evaluation</t>
  </si>
  <si>
    <t>Évaluation à mi-parcours</t>
  </si>
  <si>
    <t>Evaluación intermedia</t>
  </si>
  <si>
    <t>تقييم في منتصف المدة</t>
  </si>
  <si>
    <t>reportenablingaction3.sections.2.blocks.2.dataset.4.y</t>
  </si>
  <si>
    <t>reportenablingaction3.sections.2.blocks.2.dataset.4.x</t>
  </si>
  <si>
    <t>Impact evaluation/case study/research</t>
  </si>
  <si>
    <t>Évaluation d’impact/étude de cas/recherche</t>
  </si>
  <si>
    <t>Evaluación de la incidencia, el estudio de caso e investigació</t>
  </si>
  <si>
    <t>reportenablingaction3.sections.2.blocks.2.dataset.3.y</t>
  </si>
  <si>
    <t>reportenablingaction3.sections.2.blocks.2.dataset.3.x</t>
  </si>
  <si>
    <t>Impact evaluation</t>
  </si>
  <si>
    <t>Évaluation d’impact</t>
  </si>
  <si>
    <t>Evaluación de la incidencia</t>
  </si>
  <si>
    <t>تقييم التأثير</t>
  </si>
  <si>
    <t>reportenablingaction3.sections.2.blocks.2.dataset.2.y</t>
  </si>
  <si>
    <t>reportenablingaction3.sections.2.blocks.2.dataset.2.x</t>
  </si>
  <si>
    <t>Final evaluation</t>
  </si>
  <si>
    <t>Évaluation finale</t>
  </si>
  <si>
    <t>Evaluación final</t>
  </si>
  <si>
    <t>تقييم نهائي</t>
  </si>
  <si>
    <t>reportenablingaction3.sections.2.blocks.2.dataset.1.y</t>
  </si>
  <si>
    <t>reportenablingaction3.sections.2.blocks.2.dataset.1.x</t>
  </si>
  <si>
    <t>Case study/research</t>
  </si>
  <si>
    <t>Étude de cas/recherche</t>
  </si>
  <si>
    <t>Estudio de caso e investigación</t>
  </si>
  <si>
    <t>دراسة حالة / بحث</t>
  </si>
  <si>
    <t>reportenablingaction3.sections.2.blocks.2.dataset.0.y</t>
  </si>
  <si>
    <t>reportenablingaction3.sections.2.blocks.2.dataset.0.x</t>
  </si>
  <si>
    <t>Baseline</t>
  </si>
  <si>
    <t>Étude de référence initiale</t>
  </si>
  <si>
    <t>Evaluación inicial</t>
  </si>
  <si>
    <t>الأساس المرجعي</t>
  </si>
  <si>
    <t>reportenablingaction3.sections.2.blocks.2.caption</t>
  </si>
  <si>
    <t>Source: Planning and Evaluation Department</t>
  </si>
  <si>
    <t>Source: département Planification et évaluation</t>
  </si>
  <si>
    <t>Fuente: Departamento de Planificación y Evaluación</t>
  </si>
  <si>
    <t>المصدر: قسم التخطيط والتقييم</t>
  </si>
  <si>
    <t>reportenablingaction3.sections.2.blocks.1</t>
  </si>
  <si>
    <t>All projects are asked to conduct a final evaluation, proportionate to the size of the project, so that results can be assessed and lessons learned. Mandatory independent evaluations are required for interventions exceeding 1 million Swiss francs. Real-time evaluations are also mandatory for emergency operations that exceed nine months duration, target more than 100,000 beneficiaries, involve an emergency appeal of more than 10 million Swiss francs, or have more than ten National Society partners involved.</t>
  </si>
  <si>
    <t>Tous les projets doivent prévoir une évaluation finale, laquelle doit être proportionnelle à la taille du projet, afin que les résultats puissent être analysés et que des enseignements puissent être tirés. Des évaluations indépendantes sont requises pour les interventions d’un coût supérieur à un million de francs suisses. En outre, des évaluations en temps réel sont requises pour les opérations d’urgence qui s’étendent sur plus de neuf mois, celles visant plus de 100 000 bénéficiaires, celles pour lesquelles un appel d’urgence de plus de dix millions de francs suisses a été lancé et celles auxquelles participent plus de dix partenaires.</t>
  </si>
  <si>
    <t>Todo proyecto que emprende la organización debe ser objeto de una evaluación final, cuya magnitud guardará correlación con el tamaño del proyecto, con la finalidad de analizar los resultados y aprender de las enseñanzas que se extraigan. Existe obligación de realizar evaluaciones independientes cuando el presupuesto de la intervención supera un millón de francos suizos. Las evaluaciones en tiempo real son obligatorias en el caso de operaciones de emergencia que superan una duración de nueve (9) meses, abarcan a más de cien mil (100 000) beneficiarios, han sido objeto de un llamamiento de emergencia cuyo monto supera los diez (10) millones de francos suizos o han supuesto la participación de más de diez Sociedades Nacionales asociadas.</t>
  </si>
  <si>
    <t>يُطلب، في كافة المشاريع، إجراء تقييم نهائي ويتناسب مع حجم المشروع حتى يتسنى تقييم النتائج واستخلاص الدروس. وتكون عمليات التقييم المستقلة الإلزامية مطلوبة لكل العمليات التي تتجاوز مليون فرنك سويسري. كما تكون التقييمات الآنية إلزامية لعمليات الطوارئ التي تتجاوز مدتها 9 أشهر وتستهدف ما يزيد على 100 ألف مستفيد وتتضمن نداء طوارئ يلتمس ما يزيد على 10 مليون فرنك سويسري، أو تشارك فيها ما يزيد على 10 جمعيات وطنية.</t>
  </si>
  <si>
    <t>reportenablingaction3.sections.2.blocks.0</t>
  </si>
  <si>
    <t>Operational financial and narrative information, as well as evaluation reports are openly available on the IFRC web site. The IFRC framework for evaluation follows industry standards and guidance on methods, and a package of classroom and online training tools are widely disseminated.</t>
  </si>
  <si>
    <t>Les rapports financiers et descriptifs sur les opérations, ainsi que les rapports d’évaluation, sont disponibles en libre accès sur le site Internet de la Fédération. Le cadre d’évaluation de la Fédération est conforme aux normes et aux directives du secteur en la matière, et un ensemble de cours de formation présentiels et en ligne sont mis à la disposition des membres.</t>
  </si>
  <si>
    <t>Los informes narrativos y la información financiera operativa, junto con los informes de evaluación se encuentran libremente a disposición en el sitio web de la Federación Internacional. El marco para la evaluación es conforme a las normas del sector y se ha distribuido ampliamente una guía de orientación sobre los métodos, los módulos de formación y los cursos en línea.</t>
  </si>
  <si>
    <t>تتاح بصورة علنية المعلومات المالية التشغيلية والسردية، وكذلك تقارير التقييم على الموقع الشبكي للاتحاد الدولي. ويتبع إطار الاتحاد الدولي للتقييم معايير وتوجيهات الصناعة بشأن المناهج وتنشر على نطاق واسع مجموعة من الغرف الدراسية والتدريبات الإلكترونية.</t>
  </si>
  <si>
    <t>reportenablingaction3.sections.1.title</t>
  </si>
  <si>
    <t>Our accountability framework</t>
  </si>
  <si>
    <t>Notre cadre de redevabilité</t>
  </si>
  <si>
    <t>Marco de rendición de cuentas</t>
  </si>
  <si>
    <t>إطارنا للمساءلة</t>
  </si>
  <si>
    <t>reportenablingaction3.sections.1.blocks.3</t>
  </si>
  <si>
    <t>Regular evaluations and audits are also an important part of our accountability.</t>
  </si>
  <si>
    <t>Les évaluations et les audits réguliers constituent également un aspect important de notre cadre de redevabilité.</t>
  </si>
  <si>
    <t>Las evaluaciones y auditorías periódicas son otro elemento importante de la rendición de cuentas.</t>
  </si>
  <si>
    <t>إن إجراء عمليات تقييم ومراجعات منتظمة يشكل أيضاً جزءاً مهماً من مفهومنا للمساءلة.</t>
  </si>
  <si>
    <t>reportenablingaction3.sections.1.blocks.2</t>
  </si>
  <si>
    <t>We define accountability as the ongoing process that creates respect among us and with all those who are affected by our work. In being accountable, we seek to enable our stakeholders to assess our actions against defined commitments and expectations, and to respond and learn accordingly. An accountability action plan is making steady progress.</t>
  </si>
  <si>
    <t>Nous définissons la redevabilité comme un processus continu visant à favoriser une relation de respect entre nous et avec toutes les personnes touchées par notre travail. Pour ce faire, nous encourageons nos parties prenantes à évaluer nos actions à la lumière des engagements pris et des objectifs définis aux fins, le cas échéant, de prendre des mesures correctives et de tirer des enseignements. Un plan d’action en matière de redevabilité est en cours d’élaboration.</t>
  </si>
  <si>
    <t>Se define internamente a la rendición de cuentas como un proceso constante que genera respeto mutuo entre los miembros y por parte de quienes se ven concernidos por nuestra labor. Mediante la rendición de cuentas se habilita a las partes interesadas para que sopesen nuestras acciones con respecto a expectativas y obligaciones claras de manera que puedan reaccionar e incorporar enseñanzas. Se adelanta con paso firme en la elaboración un plan de rendición de cuentas.</t>
  </si>
  <si>
    <t>نُعرّف المساءلة بأنها عملية جارية تحقق الاحترام فيما بيننا ومع كل من يتأثرون بعملنا. ونظراً لكوننا خاضعين للمساءلة، فإننا نسعى إلى تمكين الجهات المعنية من تقييم أعمالنا في ضوء التزامات وتوقعات محددة والاستجابة والتعلم بناء على ذلك. ويؤدي وجود خطة عمل للمساءلة إلى إحراز تقدم مطرد.</t>
  </si>
  <si>
    <t>reportenablingaction3.sections.1.blocks.1.type</t>
  </si>
  <si>
    <t>reportenablingaction3.sections.1.blocks.1.title</t>
  </si>
  <si>
    <t>Image title</t>
  </si>
  <si>
    <t>titre de limage</t>
  </si>
  <si>
    <t>reportenablingaction3.sections.1.blocks.1.caption</t>
  </si>
  <si>
    <t>Source: Risk Management and Audit Department</t>
  </si>
  <si>
    <t>Source: département Gestion des risques et audit</t>
  </si>
  <si>
    <t>Fuente: Departamento de Auditoría y Gestión del Riesgo</t>
  </si>
  <si>
    <t>المصدر: قسم إدارة المخاطر والمراجعة</t>
  </si>
  <si>
    <t>reportenablingaction3.sections.1.blocks.0</t>
  </si>
  <si>
    <t>All members of the IFRC share a community identity in terms of the symbols of the Red Cross or Red Crescent and adherence to the Fundamental Principles at all times. Maintaining the good reputation of each member is, therefore, vital for retaining public trust and confidence in other members, and in the IFRC as a whole.</t>
  </si>
  <si>
    <t>Tous les membres de la Fédération partagent une identité commune qui est représentée par les emblèmes de la croix rouge et du croissant rouge et le respect, en toutes circonstances, des Principes fondamentaux. Maintenir la bonne réputation de chacun des membres est donc essentiel pour préserver la confiance dont les autres membres et la Fédération dans son ensemble jouissent auprès du public.</t>
  </si>
  <si>
    <t>Todos los miembros de la Federación Internacional comparten una identidad común a través de los emblemas de la cruz roja o de la media luna roja y de la adhesión a los principios fundamentales en toda circunstancia. Así, es importante que todos y cada uno de los miembros preserve su buena reputación para que el público no pierda fe y confianza tanto en los demás miembros como en la Federación Internacional en su conjunto.</t>
  </si>
  <si>
    <t>يتشارك كافة أعضاء الاتحاد الدولي في هوية تجمعهم ويجسدها رمزالصليب الأحمر أو الهلال الأحمر والتقيد بالمبادئ الأساسية في كافة الأوقات. ومن ثم، يشكل الحفاظ على السمعة الجيدة لكل عضو عاملاً أساسياً للحفاظ على ثقة الجمهور في الأعضاء الآخرين وفي الاتحاد الدولي ككل.</t>
  </si>
  <si>
    <t>reportenablingaction3.sections.0.title</t>
  </si>
  <si>
    <t>Keeping our governance up to date</t>
  </si>
  <si>
    <t>Maintenir une gouvernance efficace</t>
  </si>
  <si>
    <t>Órganos de gobierno informados</t>
  </si>
  <si>
    <t>الحرص على تحديث إدارتنا</t>
  </si>
  <si>
    <t>reportenablingaction3.sections.0.blocks.3</t>
  </si>
  <si>
    <t>However, National Societies are members of the IFRC and are expected to meet global minimum requirements. This continues to be a development journey for most National Societies and the process of revision evokes important national conversations on the place of a National Society in its own environment</t>
  </si>
  <si>
    <t>Toutefois, les Sociétés nationales doivent aussi, en tant que membres de la Fédération, respecter certaines exigences minimales communes. Pour ce faire, la plupart doivent poursuivre un processus de développement et, en ce qui concerne la révision des statuts, tenir d’importantes discussions au niveau national sur leur place dans le contexte du pays.</t>
  </si>
  <si>
    <t>Al mismo tiempo, las Sociedades Nacionales son miembros de la Federación Internacional y deben cumplir con requisitos mínimos. Para la mayoría de Sociedades Nacionales se trata de un proceso de desarrollo y la revisión de los estatutos pone al orden del día importantes diálogos nacionales sobre el lugar de estas organizaciones en el entorno de sus países.</t>
  </si>
  <si>
    <t>لكن، الجمعيات الوطنية أعضاء في الاتحاد الدولي، ومتوقع منها أن تستوفي الشروط الدنيا العالمية. وما يزال ذلك يشكل خطوة على طريق التنمية لمعظم الجمعيات الوطنية. وتستلزم عملية التنقيح إجراء مناقشات مهمة في مقر الجمعية الوطنية وفي سياقها الخاص.</t>
  </si>
  <si>
    <t>reportenablingaction3.sections.0.blocks.2.type</t>
  </si>
  <si>
    <t>reportenablingaction3.sections.0.blocks.2.title</t>
  </si>
  <si>
    <t>National Society statutes revision</t>
  </si>
  <si>
    <t>Révision des statuts des Sociétés nationales</t>
  </si>
  <si>
    <t>Examen de los estatutos de las Sociedades Nacionales</t>
  </si>
  <si>
    <t>تنقيح النظم الأساسية للجمعيات الوطنية</t>
  </si>
  <si>
    <t>reportenablingaction3.sections.0.blocks.2.dataset.3.y</t>
  </si>
  <si>
    <t>reportenablingaction3.sections.0.blocks.2.dataset.3.x</t>
  </si>
  <si>
    <t>Statutes in process of revision (62)</t>
  </si>
  <si>
    <t>Les statuts sont en cours de révision (62%)</t>
  </si>
  <si>
    <t>de los estatutos estánen proceso de revisión(62)</t>
  </si>
  <si>
    <t>النظام الأساسي قيد التنقيح (62%)</t>
  </si>
  <si>
    <t>reportenablingaction3.sections.0.blocks.2.dataset.3.fill</t>
  </si>
  <si>
    <t>reportenablingaction3.sections.0.blocks.2.dataset.2.y</t>
  </si>
  <si>
    <t>reportenablingaction3.sections.0.blocks.2.dataset.2.x</t>
  </si>
  <si>
    <t>Statutes dont meet the minimum requirements (2)</t>
  </si>
  <si>
    <t>Les statuts ne satisfont pas aux exigences minimales (2%)</t>
  </si>
  <si>
    <t>de los estatutos no cumplen con los requisitos mínimos (2)</t>
  </si>
  <si>
    <t>النظام الأساسي لا يفي  بالشروط  الدنيا (2%)</t>
  </si>
  <si>
    <t>reportenablingaction3.sections.0.blocks.2.dataset.2.fill</t>
  </si>
  <si>
    <t>reportenablingaction3.sections.0.blocks.2.dataset.1.y</t>
  </si>
  <si>
    <t>reportenablingaction3.sections.0.blocks.2.dataset.1.x</t>
  </si>
  <si>
    <t>Revision process not yet started (10)</t>
  </si>
  <si>
    <t>Le processus de révision n’a pas encore été engagé (10%)</t>
  </si>
  <si>
    <t>de los procesos de revisión todavía sin iniciar(10)</t>
  </si>
  <si>
    <t>عملية التنقيح لم تبدأ بعد (10%)</t>
  </si>
  <si>
    <t>reportenablingaction3.sections.0.blocks.2.dataset.1.fill</t>
  </si>
  <si>
    <t>reportenablingaction3.sections.0.blocks.2.dataset.0.y</t>
  </si>
  <si>
    <t>reportenablingaction3.sections.0.blocks.2.dataset.0.x</t>
  </si>
  <si>
    <t>Statutes conforming with the minimum requirements(26)</t>
  </si>
  <si>
    <t>Les statuts satisfont aux exigences minimales(26%)</t>
  </si>
  <si>
    <t>de los estatutos cumplen con los requisitos mínimos(26)</t>
  </si>
  <si>
    <t>النظام الأساسي يتسق مع الشروط الدنيا (26%)</t>
  </si>
  <si>
    <t>reportenablingaction3.sections.0.blocks.2.dataset.0.fill</t>
  </si>
  <si>
    <t>reportenablingaction3.sections.0.blocks.2.caption</t>
  </si>
  <si>
    <t>Source: Cooperation and Governance Support Department</t>
  </si>
  <si>
    <t>Source: département Soutien aux organes statutaires, suivi des politiques et mise en oeuvre</t>
  </si>
  <si>
    <t>Fuente: Cooperación y Apoyo a Órganos de Gobierno</t>
  </si>
  <si>
    <t>المصدر: قسم التعاون ودعم الحكم</t>
  </si>
  <si>
    <t>reportenablingaction3.sections.0.blocks.1</t>
  </si>
  <si>
    <t>At the end of 2013, some 26 per cent of National Societies had statutes that met minimum requirements and more than 60 per cent were engaged in the revision of their statutory base instruments. Such revisions are an arduous process as National Societies are bottom-up democratic bodies, and changes have to be owned by members and reflect local social and cultural contexts.</t>
  </si>
  <si>
    <t>À la fin de l’année 2013, 26% des Sociétés nationales disposaient de statuts répondant aux exigences minimales et plus de 60% avaient entrepris le processus de révision de leurs documents statutaires fondamentaux. Il s’agit d’un processus complexe car les Sociétés nationales sont des organismes démocratiques fonctionnant selon une approche ascendante, ce qui signifie que les changements doivent être approuvés par les membres et refléter le contexte social et culturel local.</t>
  </si>
  <si>
    <t>A finales de 2013, el veintiséis por ciento (26%) de las Sociedades Nacionales contaba con estatutos que satisfacían los requisitos mínimos y más del sesenta por ciento (60%) de ellas había emprendido la revisión de los instrumentos de base jurídica. Se trata de un proceso arduo pues las Sociedades Nacionales son entidades democráticas de pirámide ascendente en las que los miembros deben sentirse identificados con los cambios en esos textos y estos deben corresponder al contexto social y cultural local.</t>
  </si>
  <si>
    <t>في نهاية عام 2013 ، كان لدى نحو 26 في المائة من الجمعيات الوطنية نظم أساسية تفي بالشروط الدنيا، وكان ما يزيد على 60 في المائة من الجمعيات الوطنية في طور تنقيح أدواتها القانونية الأساسية. وهذه التنقيحات تشكل عملية شاقة نظراً لأن الجمعيات الوطنية عبارة عن هيئات ديموقراطية تنطلق من القاعدة، ومن الضروري أن يشعر الأعضاء بتحكمهم في هذه التغييرات، وأن تعكس السياقات المحلية الاجتماعية والثقافية.</t>
  </si>
  <si>
    <t>reportenablingaction3.sections.0.blocks.0</t>
  </si>
  <si>
    <t>An indicator of good governance is the obligation of National Societies to keep their statutes and legal base up to date, consistent with the expectations and requirements of a changing world. Our norm is that a National Society should revise its statutes at least every ten years.</t>
  </si>
  <si>
    <t>L’un des indicateurs d’une bonne gouvernance est l’obligation qui incombe aux Sociétés nationales d’adapter régulièrement leurs statuts et leur base juridique aux attentes et aux exigences d’un monde en évolution. La norme veut que les Sociétés nationales révisent leurs statuts au moins une fois tous les dix ans.</t>
  </si>
  <si>
    <t>Un indicador de buen gobierno reside en el cumplimiento por parte de las Sociedades Nacionales de la obligación que les incumbe con respecto a la actualización de sus estatutos y demás instrumentos de base jurídica, de manera que guarden consonancia con la evolución del mundo. Por regla general, una Sociedad Nacional debería proceder a la revisión de sus estatutos cada diez años.</t>
  </si>
  <si>
    <t>من مؤشرات الإدارة الجيدة التزام الجمعيات الوطنية بالحرص على تحديث نظمها الأساسية وقواعدها القانونية، وجعلها متوافقة مع توقعات العالم المتغير ومتطلباته. والقاعدة السائدة لدينا هو ضرورة أن تراجع الجمعية الوطنية نظمها الأساسية على الأقل كل عشر سنوات.</t>
  </si>
  <si>
    <t>reportenablingaction3.nextchapter.title</t>
  </si>
  <si>
    <t>Explore the data</t>
  </si>
  <si>
    <t>Explorer</t>
  </si>
  <si>
    <t>Explorar los datos</t>
  </si>
  <si>
    <t>استكشاف البيانات</t>
  </si>
  <si>
    <t>reportenablingaction3.nextchapter.subtitle</t>
  </si>
  <si>
    <t>Data</t>
  </si>
  <si>
    <t>Base de données</t>
  </si>
  <si>
    <t>البيانات</t>
  </si>
  <si>
    <t>reportenablingaction3.nextchapter.slug</t>
  </si>
  <si>
    <t>data</t>
  </si>
  <si>
    <t>données</t>
  </si>
  <si>
    <t>reportenablingaction3.nextchapter.heading</t>
  </si>
  <si>
    <t>reportenablingaction3.nextchapter.chapter</t>
  </si>
  <si>
    <t>reportenablingaction3.intro</t>
  </si>
  <si>
    <t>Since the adoption of Strategy 2020, the major effort seeking to improve our functioning as the IFRC has been on strengthening our governance, introducing a framework for accountability, and promoting a culture of learning.</t>
  </si>
  <si>
    <t>Depuis l’adoption de la Stratégie 2020, les principales mesures prises pour améliorer notre fonctionnement en tant que Fédération ont consisté à renforcer notre gouvernance, à mettre en place un cadre de redevabilité et à promouvoir une culture de l’apprentissage.</t>
  </si>
  <si>
    <t>Desde la aprobación de la Estrategia 2020, los esfuerzos encaminados a mejorar el funcionamiento de la Federación Internacional en calidad de organización han girado en torno al fortalecimiento de los órganos y las funciones de gobierno, el establecimiento de un marco para la rendición de cuentas y la promoción de una cultura de incorporación de enseñanzas.</t>
  </si>
  <si>
    <t>ومنذ اعتماد الاستراتيجية حتى عام 2020 ، جرى تعزيز معظم الجهود الرامية إلى تحسين عملنا، حيث ركز الاتحاد الدولي على تعزيز إدارتنا، وإدراج إطار للمساءلة، وتعزيز ثقافة التعلم.</t>
  </si>
  <si>
    <t>reportenablingaction3.chapter</t>
  </si>
  <si>
    <t>reportenablingaction2.title</t>
  </si>
  <si>
    <t>Enabling action 2</t>
  </si>
  <si>
    <t>Action facilitatrice 2</t>
  </si>
  <si>
    <t>Acción facilitadora 2</t>
  </si>
  <si>
    <t>فعل التمكين الثاني</t>
  </si>
  <si>
    <t>reportenablingaction2.subtitle</t>
  </si>
  <si>
    <t>Humanitarian diplomacy to prevent and reduce vulnerability in a globalised world</t>
  </si>
  <si>
    <t>Mener des activités de diplomatie humanitaire pour prévenir et réduire la vulnérabilité dans un monde interdépendant</t>
  </si>
  <si>
    <t>Valernos de la diplomacia humanitaria para prevenir y reducir la vulnerabilidad en un mundo globalizado</t>
  </si>
  <si>
    <t>انتهاج دبلوماسية إنسانية لتفادي مواطن الضعف والحد منها في عالم العولمة</t>
  </si>
  <si>
    <t>reportenablingaction2.slug</t>
  </si>
  <si>
    <t>enabling-action-2</t>
  </si>
  <si>
    <t>reportenablingaction2.sections.3.title</t>
  </si>
  <si>
    <t>Our outreach</t>
  </si>
  <si>
    <t>Notre portée</t>
  </si>
  <si>
    <t>Alcance de nuestra labor</t>
  </si>
  <si>
    <t>أنشطتنا للتوعية</t>
  </si>
  <si>
    <t>reportenablingaction2.sections.3.blocks.2</t>
  </si>
  <si>
    <t>Digital media has created further opportunities to expand the community of the concerned by engaging more people from all backgrounds to share in our common humanitarian endeavour. In 2014, there were more than 530,000 viewings of the IFRC YouTube channel, and reach by Facebook and Twitter exceeded 11 million and 23 million, respectively</t>
  </si>
  <si>
    <t>Les médias numériques offrent de nouvelles possibilités d’étendre notre réseau, car ils permettent d’encourager un plus grand nombre de personnes de tous horizons à se joindre à notre action humanitaire commune. En 2014, la chaîne YouTube de la Fédération a obtenu plus de 530 000 vues, et nos comptes Facebook et Twitter ont permis d’atteindre plus de 11 millions et de 23 millions de personnes respectivement.</t>
  </si>
  <si>
    <t>Los medios digitales han suscitado oportunidades adicionales para ampliar la comunidad de personas de muy distinta trayectoria interesadas en compartir nuestro empeño humanitario. En 2014, el canal de YouTube de la Federación Internacional tuvo 530 000 visualizaciones y el alcance de difusión a través de Facebook y Twitter superó, respectivamente, 11 y 23 millones de mensajes.</t>
  </si>
  <si>
    <t>أتاحت وسائط الإعلام الرقمية المزيد من فرص توسيع دائرة الجهات المعنية عن طريق إشراك المزيد من الأشخاص من كافة الخلفيات في مساعينا الإنسانية المشتركة. وفي عام 2014 ، تجاوز عدد المشاهدات لقناة الاتحاد الدولي على اليوتيوب 530 ألف مشاهدة، وتجاوز عدد مرات الاطلاع على صفحتي الفيسبوك وتويتر 11 مليون و 23 مليون مرة على التوالي.</t>
  </si>
  <si>
    <t>reportenablingaction2.sections.3.blocks.1.type</t>
  </si>
  <si>
    <t>reportenablingaction2.sections.3.blocks.1.title</t>
  </si>
  <si>
    <t>Digital reach</t>
  </si>
  <si>
    <t>Aller plus loin grâce aux médias traditionnels et numériques</t>
  </si>
  <si>
    <t>Divulgación a través de los medios de comunicación tradicionales y digitales</t>
  </si>
  <si>
    <t>الانتشار من خلال الإعلام الرقمي</t>
  </si>
  <si>
    <t>reportenablingaction2.sections.3.blocks.1.linelabels.5</t>
  </si>
  <si>
    <t>Media hits</t>
  </si>
  <si>
    <t>Mentions dans les médias</t>
  </si>
  <si>
    <t>ظهور في وسائل إعلام</t>
  </si>
  <si>
    <t>reportenablingaction2.sections.3.blocks.1.linelabels.4</t>
  </si>
  <si>
    <t>YouTube</t>
  </si>
  <si>
    <t>موقع يوتيوب</t>
  </si>
  <si>
    <t>reportenablingaction2.sections.3.blocks.1.linelabels.3</t>
  </si>
  <si>
    <t>Facebook</t>
  </si>
  <si>
    <t>تطبيق فيسبوك</t>
  </si>
  <si>
    <t>reportenablingaction2.sections.3.blocks.1.linelabels.2</t>
  </si>
  <si>
    <t>Twitter</t>
  </si>
  <si>
    <t>تطبيق «تويتر»</t>
  </si>
  <si>
    <t>reportenablingaction2.sections.3.blocks.1.linelabels.1</t>
  </si>
  <si>
    <t>Users</t>
  </si>
  <si>
    <t>Utilisateurs</t>
  </si>
  <si>
    <t>مستخدم</t>
  </si>
  <si>
    <t>reportenablingaction2.sections.3.blocks.1.linelabels.0</t>
  </si>
  <si>
    <t>Views</t>
  </si>
  <si>
    <t>Visites</t>
  </si>
  <si>
    <t>مشاهدة</t>
  </si>
  <si>
    <t>reportenablingaction2.sections.3.blocks.1.caption</t>
  </si>
  <si>
    <t>Source: Communications Department</t>
  </si>
  <si>
    <t>Source: département Communications</t>
  </si>
  <si>
    <t>Fuente: Departamento de Comunicación</t>
  </si>
  <si>
    <t>المصدر: قسم الاتصالات</t>
  </si>
  <si>
    <t>reportenablingaction2.sections.3.blocks.1.axislabels.y</t>
  </si>
  <si>
    <t>reportenablingaction2.sections.3.blocks.1.axislabels.x</t>
  </si>
  <si>
    <t>reportenablingaction2.sections.3.blocks.0</t>
  </si>
  <si>
    <t>The IFRC’s global reach has steadily expanded in recent years. In 2014, the IFRC generated some 310,000 media hits in addition to the tens and thousands of daily print, broadcast, and online references around the world through the work of National Societies. The IFRC web site was viewed about 9 million times by nearly 3 million visitors in 2014, a noteworthy increase from 2010.</t>
  </si>
  <si>
    <t>La portée mondiale de la Fédération n’a cessé de croître ces dernières années. En 2014, la Fédération a fait l’objet de quelque 310 000 mentions dans les médias, en plus des dizaines de milliers d’émissions, d’articles dans la presse écrite et de références en ligne sur le travail des Sociétés nationales, diffusés chaque jour à travers le monde. Le site Internet de la Fédération a été consulté environ neuf millions de fois par près de trois millions de personnes en 2014, une remarquable progression depuis 2010.</t>
  </si>
  <si>
    <t>El alcance de la labor de la Federación Internacional ha aumentado de forma constante en años recientes. En 2014, la Federación Internacional contaba con 310 000 consultas a través de medios de comunicación, además de decenas de miles de referencias en la prensa escrita, emisiones de radio y televisión y noticias en línea en todo el mundo sobre la labor de las Sociedades Nacionales. En 2014, el sitio web de la Federación Internacional fue objeto de 9 millones de consultas por parte de tres millones de personas, denotando un significativo aumento frente a las cifras de 2010.</t>
  </si>
  <si>
    <t>لقد توسعت أنشطة الاتحاد الدولي في مجال التوعية بإطراد على المستوى العالمي في السنوات الأخيرة. ففي عام 2014 سجل الاتحاد الدولي نحو 310 ألف اتصال بمواقعه الشبكية، كما أصدر عشرات وآلاف المطبوعات وبرامج البث الإذاعي والمراجع الإلكترونية اليومية في جميع أنحاء العالم من خلال عمل الجمعيات الوطنية. وقد اطلع زهاء 3 ملايين زائر في عام 2014 على الموقع الشبكي للاتحاد الدولي 9 ملايين مرة تقريبًا، وهي زيادة ملحوظة منذ عام 2010 .</t>
  </si>
  <si>
    <t>reportenablingaction2.sections.2.title</t>
  </si>
  <si>
    <t>External partnerships</t>
  </si>
  <si>
    <t>Partenariats externes</t>
  </si>
  <si>
    <t>Asociaciones externas</t>
  </si>
  <si>
    <t>الشراكات الخارجية</t>
  </si>
  <si>
    <t>reportenablingaction2.sections.2.blocks.2</t>
  </si>
  <si>
    <t>The Red Cross and Red Crescent mission to foster social inclusion, and the Special Olympics mission to help children and adults with intellectual disabilities to develop physical fitness, demonstrate courage, experience joy, and share through sport, makes us natural allies. The partnership was formalised in 2013 and has been extended to more than 15 countries.</t>
  </si>
  <si>
    <t>La mission de la Croix-Rouge et du Croissant-Rouge, qui est de favoriser l’intégration sociale, et celle de Special Olympics, qui est de donner aux enfants et aux adultes présentant un handicap intellectuel la possibilité de développer leur condition physique, de démontrer leur courage, d’éprouver de la joie et de partager par le sport, font de ces deux organisations des alliés naturels.</t>
  </si>
  <si>
    <t>Las organizaciones de la Cruz Roja y de la Media Luna Roja y las Olimpiadas Especiales son aliados naturales, habida cuenta que la promoción de la inclusión social forma parte del cometido de las primeras y que las segundas tienen por misión proporcionar a niños y adultos con discapacidad intelectual continuas oportunidades para desarrollar aptitudes físicas, demostrar valor, experimentar alegría y participar en un intercambio de dones a través del deporte. Esta alianza, oficializada en 2013, abarca a más de quince países.</t>
  </si>
  <si>
    <t>ما جمعنا كحليفَين هو رسالة الصليب الأحمر والهلال الأحمر لتعزيزالاحتواء الاجتماعي من جهة، ورسالة الألعاب الأولمبية الخاصة من جهةٍ أخرى التي تتمثُّل في مساعدة الأطفال والراشدين ذوي الإعاقات الذهنية على تطوير اللياقة البدنية، وإظهار الشجاعة، والشعور بالفرح، والتشارك من خلال الرياضة. وفي العام 2013 ، اكتسبت هذه الشراكة طابعًا رسميًا وباتت تشمل ما يزيد عن 15 بلدًا.</t>
  </si>
  <si>
    <t>reportenablingaction2.sections.2.blocks.1.type</t>
  </si>
  <si>
    <t>reportenablingaction2.sections.2.blocks.1.title</t>
  </si>
  <si>
    <t>Joint learning: partnership with the special olympics</t>
  </si>
  <si>
    <t>Formation conjointe : partenariat avec special olympics</t>
  </si>
  <si>
    <t>Colaboración con las olimpiadas especiales en aras de um aprendizaje conjunto</t>
  </si>
  <si>
    <t>التعلُّم المشترك: شراكة مع الألعاب الأولمبية الخاصة</t>
  </si>
  <si>
    <t>reportenablingaction2.sections.2.blocks.1.items.3.text</t>
  </si>
  <si>
    <t>The Indonesian Red Cross Society volunteers have trained with 75 disabled athletes and their 50 mentors. While the athletes learned about first aid, the Red Cross counterparts learned about living with intellectual disability. “They always kept the spirit high with their laughs and smiles. It was fun learning together,” said Istiansari of the Red Cross.</t>
  </si>
  <si>
    <t>Les volontaires de la Croix-Rouge indonésienne ont suivi une formation avec 75 athlètes handicapés et leurs 50 mentors. Si les athlètes ont appris les premiers secours, les volontaires de la Croix-Rouge ont appris à vivre avec une déficience intellectuelle. « Ils ont toujours maintenu un climat de convivialité avec leurs rires et sourires. Il était amusant d’apprendre ensemble», explique Istiansari de la Croix-Rouge.</t>
  </si>
  <si>
    <t>Los voluntarios de la Cruz Roja Indonesia han impartido formación a setenta y cinco atletas con discapacidad y a sus cincuenta tutores. Mientras que los deportistas asimilaban conocimientos sobre primeros auxilios, sus colegas de la Cruz Roja entendían lo que es vivir con una discapacidad intelectual. Istiansari, de la Cruz Roja, cuenta “siempre conservan un ánimo extraordinario con sus risas y sonrisas. Aprender juntos resultó divertido”.</t>
  </si>
  <si>
    <t>تدرَّب متطوّعو الصليب الأحمر الاندونيسي مع 75 رياضيًا معوَّقًا و 50 من مرشديهم، حيث تعلَّم الرياضيون عن الإسعافات الأولية في حين تعرَّف نظراؤهم من الصليب الأحمر على طبيعة العيش بإعاقة ذهنية. وقال استيانساري من الصليب الأحمر: «حافظوا طوال الوقت على معنوياتهم العالية بضحكاتهم وابتساماتهم. استمتعنا بالتعلّم معًا».</t>
  </si>
  <si>
    <t>reportenablingaction2.sections.2.blocks.1.items.3.country</t>
  </si>
  <si>
    <t>Indonesia</t>
  </si>
  <si>
    <t>Indonésie</t>
  </si>
  <si>
    <t>أندونيسيا</t>
  </si>
  <si>
    <t>reportenablingaction2.sections.2.blocks.1.items.2.text</t>
  </si>
  <si>
    <t>Special Olympics and the youth of the Austrian Red Cross share a vision that culminates in the staging of the 2017 Special Olympics Winter Games in Styria, Austria.</t>
  </si>
  <si>
    <t>Special Olympics et la jeunesse de la Croix-Rouge autrichienne partagent une vision commune qui trouvera son aboutissement dans l’organisation des Jeux paralympiques d’hiver qui auront lieu en Styrie (Autriche), en 2017.</t>
  </si>
  <si>
    <t>La perspectiva compartida por las Olimpiadas Especiales y los jóvenes de la Cruz Roja Austríaca culminará con la organización de las Olimpiadas Especiales de Invierno que se celebrarán en Styria (Austria). En consonancia con la política de promover deportes incluyentes, los asociados escriben artículos y aprovechan los medios sociales, para dirigirse a estudiantes, profesores y familiares, con el propósito de compartir información sobre experiencias positivas de la inclusión y fomentar actitudes más abiertas.</t>
  </si>
  <si>
    <t>يتشاركُ الأولمبياد الخاص وشباب الصليب الأحمر النمساوي رؤيةً واحدة تتجلَّى في استضافة دورة الألعاب الشتوية للأولمبياد الخاص للعام 2017 في ستيريا، النمسا.</t>
  </si>
  <si>
    <t>reportenablingaction2.sections.2.blocks.1.items.2.country</t>
  </si>
  <si>
    <t>Austria</t>
  </si>
  <si>
    <t>Autriche</t>
  </si>
  <si>
    <t>Austríaca</t>
  </si>
  <si>
    <t>النمسا</t>
  </si>
  <si>
    <t>reportenablingaction2.sections.2.blocks.1.items.1.text</t>
  </si>
  <si>
    <t>Special Olympics, using their existing relationship with the Jamaican Association on Intellectual Disability, partnered with the Jamaica Red Cross to train on leadership and advocacy. The athletes raised issues such as teasing and bullying, discrimination on public transport, and self-doubt.</t>
  </si>
  <si>
    <t>S’appuyant sur ses relations avec l’Association jamaïcaine sur le handicap mental, Special Olympics a noué un partenariat avec la Croix-Rouge de la Jamaïque pour la formation au leadership et à la sensibilisation. Les athlètes ont évoqué des problèmes tels que les moqueries et les brimades, la discrimination dans les transports publics, et le manque de confiance de soi.</t>
  </si>
  <si>
    <t>En cooperación con la Cruz Roja de Jamaica y aprovechando la relación que ya mantenían con la Asociación jamaicana en favor de las personas con discapacidad intelectual, las Olimpiadas Especiales impartieron formación sobre sensibilización y dotes de liderazgo. Los atletas plantearon cuestiones que les preocupaban como las burlas y el acoso, la discriminación en el transporte público, y sus dudas personales. Se les enseñó todo tipo de técnicas para permitirles expresarse mediante juegos, escenificaciones y dibujos. El proyecto culminó en una cumbre con personalidades del sector público, del mundo académico y de la sociedad civil, en la que los jóvenes dirigentes utilizaron sus nuevas capacidades para exponer sus inquietudes con respecto a la capacitación y oportunidades de empleo para las personas con discapacidad intelectual. Produjeron asimismo un anuncio para promover un servicio público que contó con una amplia audiencia.</t>
  </si>
  <si>
    <t>دخل الأولمبياد الخاص، من خلال العلاقة القائمة بينه وبين الرابطة الجامايكية للإعاقة الذهنية، في شراكةٍ مع الصليب الأحمر الجامايكي للتدريب على القيادة والمناداة. تناول الرياضيون مسائل شتّى، مثل المضايقة والتنمُّر، والتمييز في وسائل النقل العام، والتشكيك بالذات.</t>
  </si>
  <si>
    <t>reportenablingaction2.sections.2.blocks.1.items.1.country</t>
  </si>
  <si>
    <t>Jamaica</t>
  </si>
  <si>
    <t>Jamaïque</t>
  </si>
  <si>
    <t>الجامايكا</t>
  </si>
  <si>
    <t>reportenablingaction2.sections.2.blocks.1.items.0.text</t>
  </si>
  <si>
    <t>Special Olympics and the Peruvian Red Cross worked together with Peru’s Regional Directorate of Education in the isolated town of Iquitos deep within the rain forest to introduce the sport of bocce. They trained 25 coaches and ten health promoters, involving five schools.</t>
  </si>
  <si>
    <t>Special Olympics et la Croix-Rouge péruvienne ont travaillé avec la Direction régionale de l’éducation au Pérou dans la ville d’Iquitos, perdue dans l’Amazonie, afin d’y introduire la pétanque. Ils ont formé 25 entraîneurs et dix promoteurs de la santé en partenariat avec cinq écoles.</t>
  </si>
  <si>
    <t>Las Olimpiadas Especiales, la Cruz Roja Peruana y la Dirección Regional de Educación de Perú trabajaron conjuntamente para introducir el deporte de las bochas en la aislada ciudad de Iquitos, ubicada en una remota región de la selva. Lograron la participación de cinco escuelas en las que formaron a veinticinco entrenadores y a diez promotores de salud..</t>
  </si>
  <si>
    <t>عملت الألعاب الأولمبية الخاصة والصليب الأحمر البيروي، مع المديرية الإقليمية للتعليم في بيرو، في بلدة اكيتوس المعزولة في أعماق الغابة المطيرة، للتعريف برياضة «البوتشي» (“bocce”). فقاموا بتعليم 25 مدرّبًا وعشرة من المروِّجين الصحّيين، بمشاركة خمس مدارس.</t>
  </si>
  <si>
    <t>reportenablingaction2.sections.2.blocks.1.items.0.country</t>
  </si>
  <si>
    <t>Peru</t>
  </si>
  <si>
    <t>Pérou</t>
  </si>
  <si>
    <t>البيرو</t>
  </si>
  <si>
    <t>reportenablingaction2.sections.2.blocks.1.caption</t>
  </si>
  <si>
    <t>reportenablingaction2.sections.2.blocks.0</t>
  </si>
  <si>
    <t>Beyond governments, we welcome partnerships with others who share our values and objectives, and who acknowledge our distinctive mandate and independence of action. The range of partnerships that National Societies have with other agencies, corporations, academia, professional networks, and others has steadily expanded, reflecting the respect and regard with which they are held.</t>
  </si>
  <si>
    <t>Outre notre collaboration avec les gouvernements, nous accueillons favorablement les possibilités de partenariats avec d’autres acteurs qui partagent nos valeurs et nos objectifs, et qui reconnaissent notre mandat et notre indépendance d’action. Le nombre de partenariats établis entre des Sociétés nationales et des organisations, des entreprises, des établissements universitaires, des réseaux professionnels ou d’autres entités est en constante augmentation, reflétant le respect et l’estime portés aux Sociétés nationales.</t>
  </si>
  <si>
    <t>Además de los gobiernos, apreciamos las asociaciones con quienes comparten nuestros valores y objetivos, reconocen la singularidad de nuestro mandato y la independencia de nuestra labor. El abanico de asociaciones concertadas por las Sociedades Nacionales i.a. con diversos organismos, corporaciones, instituciones académicas, y redes profesionales acusa una constante expansión que demuestra el respeto y el renombre de los que gozan.</t>
  </si>
  <si>
    <t>إلى جانب شراكاتنا مع الحكومات، نرحب بالشراكات مع الجهات الأخرى التي تشاطرنا قيمنا وأهدافنا، وتقر بولايتنا المتميزة وباستقلال عملنا. وقد توسعت بإطراد مجموعة الشراكات التي أقامتها الجمعيات الوطنية مع الوكالات الأخرى، والمؤسسات التجارية، والأوساط الأكاديمية، والشبكات المهنية، وغيرها من الجهات، مما يعكس الاحترام والاعتبار اللذين تحظى بهما.</t>
  </si>
  <si>
    <t>reportenablingaction2.sections.1.title</t>
  </si>
  <si>
    <t>Our humanitarian diplomacy issue</t>
  </si>
  <si>
    <t>Notre mission en matière de diplomatie humanitaire</t>
  </si>
  <si>
    <t>Cometido de la diplomacia humanitaria</t>
  </si>
  <si>
    <t>reportenablingaction2.sections.1.blocks.0</t>
  </si>
  <si>
    <t>Our humanitarian diplomacy mission includes promoting the Red Cross and Red Crescent perspective on the major challenges that face humanity. We use our regular presence at global fora to do this, for example, at the United Nations General Assembly, World Economic Forum, World Health Assembly, World Conference on Disaster Risk Reduction, United Nations Conference on Climate Change, High Level Forum on aid effectiveness, and others.</t>
  </si>
  <si>
    <t>Notre mission en matière de diplomatie humanitaire consiste notamment à promouvoir le positionnement de la Croix-Rouge et du Croissant-Rouge au sujet des défis majeurs auxquels l’humanité est confrontée. Pour ce faire, nous mettons à profit notre présence régulière au sein des instances mondiales de discussion, telles que l’Assemblée générale des Nations Unies, le Forum économique mondial, l’Assemblée mondiale de la Santé, la Conférence mondiale sur la réduction des risques de catastrophes, la Conférence des Nations Unies sur les changements climatiques et le Forum de haut niveau sur l’efficacité de l’aide.</t>
  </si>
  <si>
    <t>El cometido de la diplomacia humanitaria incluye la promoción de la perspectiva de las organizaciones de la Cruz Roja y de la Media Luna Roja con respecto a los principales retos que enfrenta la humanidad. A tales fines, se suele aprovechar nuestra presencia regular en los foros mundiales, entre otros, durante la Asamblea General de las Naciones Unidas, el Foro Económico Mundial, la Asamblea Mundial de la Salud, la Conferencia Mundial para la Reducción del Riesgo de Desastres, la Conferencia de las Naciones Unidas sobre el Cambio Climático, o el foro de alto nivel sobre la eficacia de la asistencia.</t>
  </si>
  <si>
    <t>تشمل مهمتنا الدبلوماسية الإنسانية تعزيز رؤية الصليب الأحمر والهلال الأحمر للتحديات الرئيسية التي تواجه الإنسانية. ونحن نستفيد من وجودنا المنتظم على الساحة العالمية للقيام بذلك، مثل وجودنا في الجمعية العامة للأمم المتحدة، والمنتدى الاقتصادي العالمي، وجمعية الصحة العالمية، والمؤتمر العالمي بشأن الحد من مخاطر الكوارث، ومؤتمر الأمم المتحدة بشأن تغير المناخ، والمنتدى الرفيع المستوى بشأن تعزيز فعالية المعونة وغير ذلك.</t>
  </si>
  <si>
    <t>reportenablingaction2.sections.0.title</t>
  </si>
  <si>
    <t>The auxiliary role</t>
  </si>
  <si>
    <t>Le rôle d’auxiliaire</t>
  </si>
  <si>
    <t>Función en calidad de auxiliares de los poderes públicos</t>
  </si>
  <si>
    <t>الدور المساعد</t>
  </si>
  <si>
    <t>reportenablingaction2.sections.0.blocks.2</t>
  </si>
  <si>
    <t>Typically, National Societies use the auxiliary role in humanitarian crises to try to overcome serious obstacles. This role also allows National Societies to advocate for longer-term policy reforms and legislative changes to tackle the root causes of discrimination, marginalisation, and other entrenched vulnerabilities.</t>
  </si>
  <si>
    <t>De manière générale, les Sociétés nationales utilisent leur rôle d’auxiliaire dans les situations de crise humanitaire pour tenter d’éliminer des obstacles majeurs. Ce rôle leur permet également de plaider en faveur de réformes politiques et législatives à plus long terme aux fins de lutter contre les causes profondes de la discrimination, de la marginalisation et d’autres formes de vulnérabilité sous-jacente.</t>
  </si>
  <si>
    <t>Las Sociedades Nacionales suelen recurrir a la condición de auxiliares de los poderes públicos para salvar graves impedimentos en casos de crisis humanitarias. Gracias a esta función, las Sociedades Nacionales pueden también abogar en favor de reformas políticas a más largo plazo y de cambios legislativos que permitan la eliminación de las causas subyacentes de la discriminación, la marginación y otras vulnerabilidades arraigadas.</t>
  </si>
  <si>
    <t>وعادة ما تستخدم الجمعيات الوطنية الدور المساعد في الأزمات الإنسانية سعياً للتغلب على العوائق الخطيرة. كما يسمح هذا الدور للجمعيات الوطنية بمناصرة الإصلاحات السياسية طويلة الأجل، والتغييرات التشريعية لمعالجة الأسباب الجذرية للتمييزوالتهميش وغيرها من أوجه الضعف المترسخة.</t>
  </si>
  <si>
    <t>reportenablingaction2.sections.0.blocks.1.2</t>
  </si>
  <si>
    <t>Ensuring an enabling environment with policies and laws that incentivise volunteering and humanitarian access.</t>
  </si>
  <si>
    <t>la garantie d’un environnement facilitateur, avec l’adoption de politiques et de lois favorisant le volontariat et l’accès humanitaire.</t>
  </si>
  <si>
    <t>entornos propicios que incluyan leyes y políticas que incentiven el servicio voluntario y el acceso humanitario</t>
  </si>
  <si>
    <t>ضمان توفير ظروف مؤاتية مصحوبة بسياسات وقوانين تحفز التطوع ووصول المساعدات الإنسانية</t>
  </si>
  <si>
    <t>reportenablingaction2.sections.0.blocks.1.1</t>
  </si>
  <si>
    <t>Providing indirect contributions through tax exemptions, fiscal concessions, in-kind support (office space, land), special benefits (e.g. preferable rates on telecommunications, share of revenue from major sporting events), and licences to run profit-making endeavours (e.g. charity shops, commercial first aid)</t>
  </si>
  <si>
    <t>l’apport de contributions indirectes sous forme d’exonérations et d’allègements fiscaux, d’aides en nature (locaux, terrains), d’avantages spéciaux (par exemple, des tarifs préférentiels sur les télécommunications, une part des revenus tirés des grandes manifestations sportives) et de permis autorisant la conduite d’activités à but lucratif (par exemple, des magasins caritatifs ou des formations payantes aux premiers secours);</t>
  </si>
  <si>
    <t>el aporte de contribuciones indirectas a través de exenciones tributarias, concesiones fiscales, asistencia en especie (terrenos, espacio de oficinas), beneficios especiales (v.g. tarifas preferenciales para servicios de telecomunicaciones, distribución de ingresos derivados de acontecimientos deportivos de importancia), autorizaciones para iniciativas con fines de lucro (v.g. tiendas de caridad, servicios comerciales de primeros auxilios);</t>
  </si>
  <si>
    <t>تقديم إسهامات غير مباشرة من خلال الإعفاءات من الجمارك، والتسهيلات المالية، والدعم العيني (أماكن للمكاتب، أراضي)، والفوائد الخاصة (مثلاً ضرائب تفضيلية على الاتصالات السلكية واللاسلكية، وتقاسم إيرادات المناسبات الرياضية الكبرى)، والتراخيص من أجل تحقيق ربح (مثل المحال الخيرية، والإسعافات الأولية التجارية)</t>
  </si>
  <si>
    <t>reportenablingaction2.sections.0.blocks.1.0</t>
  </si>
  <si>
    <t>Providing direct contributions through annual grants-in-aid or fee payments for service provision</t>
  </si>
  <si>
    <t>le versement de contributions directes sous forme de subventions annuelles ou de remboursement des frais liés à la fourniture de services ;</t>
  </si>
  <si>
    <t>el aporte de contribuciones directas mediante subvenciones o pagos de tasas por prestación de servicios;</t>
  </si>
  <si>
    <t>تقديم إسهامات مباشرة من خلال منح المساعدات أو دفع الرسوم السنوية مقابل تقديم الخدمات</t>
  </si>
  <si>
    <t>reportenablingaction2.sections.0.blocks.0</t>
  </si>
  <si>
    <t>The auxiliary role of our National Societies is recognised in national laws, and provides the authority and access to pursue privileged dialogue with public authorities. The many ways in which several national authorities contribute to the success of their National Red Cross or Red Crescent Society include:</t>
  </si>
  <si>
    <t>Le rôle d’auxiliaire, qui est inclus dans le droit national, confère aux Sociétés nationales l’autorité et l’accès nécessaires pour mener un dialogue privilégié avec les autorités publiques. Nombre de gouvernements contribuent au succès de la Société nationale de leur pays et ce, par différents biais, dont font partie :</t>
  </si>
  <si>
    <t>La función de las Sociedades Nacionales en calidad de auxiliares de los poderes públicos se reconoce en las legislaciones nacionales y confiere a estas la autoridad y el acceso necesario para que emprendan un diálogo privilegiado con las autoridades nacionales. Entre las distintas maneras por cuyo conducto estas pueden favorecer el éxito de la Sociedad Nacional figuran:</t>
  </si>
  <si>
    <t>إن الدور المساعد التي تقوم به جمعياتنا الوطنية معترف به في القوانين الوطنية وهو يتيح للجمعيات الوطنية السلطة اللازمة للاتصال بالسلطات العامة وإقامة حوار مميز معها. ومن جملة الطرق التي تسهم من خلالها عدة سلطات وطنية في نجاح جمعياتها الوطنية للصليب الأحمر والهلال الأحمر:</t>
  </si>
  <si>
    <t>reportenablingaction2.nextchapter.title</t>
  </si>
  <si>
    <t>reportenablingaction2.nextchapter.subtitle</t>
  </si>
  <si>
    <t>reportenablingaction2.nextchapter.slug</t>
  </si>
  <si>
    <t>reportenablingaction2.nextchapter.heading</t>
  </si>
  <si>
    <t>reportenablingaction2.nextchapter.chapter</t>
  </si>
  <si>
    <t>reportenablingaction2.intro</t>
  </si>
  <si>
    <t>Our humanitarian diplomacy includes advocacy, social mobilisation, negotiation, communication, representation, formal agreements, fundraising, and other measures that enable the Red Cross and Red Crescent to do more, do better, and reach further in serving poor and vulnerable communities.</t>
  </si>
  <si>
    <t>Nos activités de diplomatie humanitaire comprennent la sensibilisation, la mobilisation sociale, la négociation, la communication, la représentation, l’établissement d’accords formels, la collecte de fonds et d’autres mesures qui permettent à la Croix-Rouge et au Croissant-Rouge de faire plus, de le faire mieux et d’aller plus loin dans les efforts déployés pour porter assistance aux communautés pauvres et vulnérables.</t>
  </si>
  <si>
    <t>La labor de diplomacia humanitaria incluye la defensa de intereses, la movilización social, la negociación, la comunicación, la representación, la concertación de acuerdos oficiales, la obtención de fondos y demás medidas que permitan a las organizaciones de la Cruz Roja y de la Media Luna Roja lograr más, perfeccionar su labor y ampliar el alcance del servicio que presta a las comunidades pobres y vulnerables.</t>
  </si>
  <si>
    <t>تتضمن دبلوماسيتنا الإنسانية المناصرة، والتعبئة الاجتماعية، والتفاوض، والتواصل،  والتمثيل، والاتفاقات الرسمية، والتمويل، وغيرها من التدابير التي تمكن الصليب الأحمر والهلال الأحمر من عمل المزيد، وتحقيق المزيد والوصول إلى المزيد في خدمة المجتمعات الفقيرة والمستضعفة.</t>
  </si>
  <si>
    <t>reportenablingaction2.chapter</t>
  </si>
  <si>
    <t>reportenablingaction1.title</t>
  </si>
  <si>
    <t>reportenablingaction1.subtitle</t>
  </si>
  <si>
    <t>Strong National Red Cross and Red Crescent Societies</t>
  </si>
  <si>
    <t>reportenablingaction1.sections.3.title</t>
  </si>
  <si>
    <t>Strong youth for strong National Societies</t>
  </si>
  <si>
    <t>Une jeunesse forte pour des Sociétés nationales fortes</t>
  </si>
  <si>
    <t>Jóvenes afianzados para fortalecer Sociedades Nacionales sólidas</t>
  </si>
  <si>
    <t>شباب قوي من أجل جمعيات وطنية قوية</t>
  </si>
  <si>
    <t>reportenablingaction1.sections.3.blocks.4</t>
  </si>
  <si>
    <t>We strive to enable young beneficiaries to become youth volunteers and encourage them to assume leadership roles in their communities, besides improving their employability in their working lives. Education, empowerment, and the creation of enabling environments are vital to maximise the engagement of young people in our work.</t>
  </si>
  <si>
    <t>Nous nous attachons à donner aux jeunes bénéficiaires la possibilité de devenir des jeunes volontaires et nous les encourageons à jouer un rôle de premier plan au sein de leur communauté, tout en améliorant leurs capacités d’insertion professionnelle. L’éducation, l’autonomisation et la création d’environnements facilitateurs sont des éléments essentiels à l’optimisation de la participation des jeunes à nos activités.</t>
  </si>
  <si>
    <t>La organización invierte empeño en que los jóvenes beneficiarios se conviertan en voluntarios y los alienta a que asuman funciones de dirección en sus comunidades, además de mejorar sus capacidades para que puedan aspirar a empleo en su vida laboral. La educación, el fomento de la autonomía y la creación de entornos propicios son factores vitales para la participación significativa de los jóvenes en nuestra labor.</t>
  </si>
  <si>
    <t>ونحن نسعى إلى تمكين المستفيدين من الشباب من أن يصبحوا متطوعين ونشجعهم على الاضطلاع بأدوار القيادة في مجتمعاتهم، إلى جانب تحسين صلاحيتهم للعمل في حياتهم العملية. ويعد التعليم والتمكين وتهيئة ظروف مؤاتية عوامل أ ساسية لتعظيم الاستفادة من  مشاركة الشباب في عملنا.</t>
  </si>
  <si>
    <t>reportenablingaction1.sections.3.blocks.3.type</t>
  </si>
  <si>
    <t>reportenablingaction1.sections.3.blocks.3.title</t>
  </si>
  <si>
    <t>Youth engagement</t>
  </si>
  <si>
    <t>Participation de la jeunesse</t>
  </si>
  <si>
    <t>Participación significativa de la juventud</t>
  </si>
  <si>
    <t>إشراك الشباب</t>
  </si>
  <si>
    <t>reportenablingaction1.sections.3.blocks.3.dataset.6.number</t>
  </si>
  <si>
    <t>reportenablingaction1.sections.3.blocks.3.dataset.6.name</t>
  </si>
  <si>
    <t>National Societies training young volunteers</t>
  </si>
  <si>
    <t>Sociétés nationales forment les jeunes volontaires</t>
  </si>
  <si>
    <t>Sociedades Nacionales imparten formación a los jóvenes voluntarios</t>
  </si>
  <si>
    <t>جمعية وطنية تقوم بتدريب الشباب من المتطوعين</t>
  </si>
  <si>
    <t>reportenablingaction1.sections.3.blocks.3.dataset.5.number</t>
  </si>
  <si>
    <t>reportenablingaction1.sections.3.blocks.3.dataset.5.name</t>
  </si>
  <si>
    <t>National Societies training young beneficiaries</t>
  </si>
  <si>
    <t>Sociétés nationales forment les jeunes bénéficiaires</t>
  </si>
  <si>
    <t>Sociedades Nacionales imparten formación a los jóvenes beneficiarios</t>
  </si>
  <si>
    <t>جمعية وطنية تقوم بتدريب الشباب من المستفيدين</t>
  </si>
  <si>
    <t>reportenablingaction1.sections.3.blocks.3.dataset.4.number</t>
  </si>
  <si>
    <t>reportenablingaction1.sections.3.blocks.3.dataset.4.name</t>
  </si>
  <si>
    <t>National Societies training youth as leaders</t>
  </si>
  <si>
    <t>Sociétés nationales forment les jeunes aux compétences de direction</t>
  </si>
  <si>
    <t>Sociedades Nacionales imparten a los jóvenes formación en aptitudes de dirección</t>
  </si>
  <si>
    <t>جمعية وطنية تقوم بتدريب شباب على مهارات القيادة</t>
  </si>
  <si>
    <t>reportenablingaction1.sections.3.blocks.3.dataset.3.number</t>
  </si>
  <si>
    <t>reportenablingaction1.sections.3.blocks.3.dataset.3.name</t>
  </si>
  <si>
    <t>National Societies with youth in service delivery</t>
  </si>
  <si>
    <t>Sociétés nationales associent la jeunesse à la fourniture de services</t>
  </si>
  <si>
    <t>Sociedades Nacionales cuentan con los jóvenes para la prestación de sus servicios</t>
  </si>
  <si>
    <t>جمعية وطنية يشارك الشباب في تقديم خدماتها</t>
  </si>
  <si>
    <t>reportenablingaction1.sections.3.blocks.3.dataset.2.number</t>
  </si>
  <si>
    <t>reportenablingaction1.sections.3.blocks.3.dataset.2.name</t>
  </si>
  <si>
    <t>National Societies with youth-led governance structures</t>
  </si>
  <si>
    <t>Sociétés nationales ont des structures de gouvernance dirigées par la jeunesse</t>
  </si>
  <si>
    <t>Sociedades Nacionales cuentan con estructuras de gobiernos dirigidas por los jóvenes</t>
  </si>
  <si>
    <t>جمعية وطنية لديها أجهزة حكم تحت قيادة شبابية</t>
  </si>
  <si>
    <t>reportenablingaction1.sections.3.blocks.3.dataset.1.number</t>
  </si>
  <si>
    <t>reportenablingaction1.sections.3.blocks.3.dataset.1.name</t>
  </si>
  <si>
    <t>National Societies with youth representatives on their boards</t>
  </si>
  <si>
    <t>Sociétés nationales ont des représentants Jeunesse au sein de leur conseil de direction</t>
  </si>
  <si>
    <t>Sociedades Nacionales cuentan con representantes de la juventud en su junta de gobierno</t>
  </si>
  <si>
    <t>جمعية وطنية تخصص مقعداً في مجلس إدارتها لممثل الشباب</t>
  </si>
  <si>
    <t>reportenablingaction1.sections.3.blocks.3.dataset.0.number</t>
  </si>
  <si>
    <t>reportenablingaction1.sections.3.blocks.3.dataset.0.name</t>
  </si>
  <si>
    <t>National Societies with youth focal points in their governance</t>
  </si>
  <si>
    <t>Sociétés nationales ont des coordonnateurs Jeunesse au sein de la gouvernance</t>
  </si>
  <si>
    <t>Sociedades Nacionales cuentan con coordinadores de la juventud en sus órganos de gobierno</t>
  </si>
  <si>
    <t>جمعية وطنية تتضمن أجهزة حكمها منسقاً للشباب</t>
  </si>
  <si>
    <t>reportenablingaction1.sections.3.blocks.3.caption</t>
  </si>
  <si>
    <t>Source: Youth Action and Volunteering Development Department</t>
  </si>
  <si>
    <t>Source: département Action Jeunesse et développement du volontariat</t>
  </si>
  <si>
    <t>Fuente: Departamento de Actividades de la Juventud y Fomento del Servicio Voluntario</t>
  </si>
  <si>
    <t>المصدر: قسم تنمية أنشطة الشباب والتطوع</t>
  </si>
  <si>
    <t>reportenablingaction1.sections.3.blocks.2</t>
  </si>
  <si>
    <t>The IFRC Youth Engagement Strategy focuses on the three dimensions of youth – as volunteers, as leaders, and as beneficiaries. An estimated half of our volunteers are young people and nearly all National Societies involve them actively in their programmes. Some 18 per cent of National Society headquarters staff are aged less than 30 years, this being the IFRC policy definition of “youth” though local social norms and cultural contexts permit reasonable variation.</t>
  </si>
  <si>
    <t>La Stratégie de la Fédération relative à la mobilisation de la jeunesse rapproche trois perspectives de la mobilisation des jeunes: les jeunes en tant que volontaires, les jeunes en tant que leaders et les jeunes en tant que bénéficiaires. Selon les estimations, la moitié de nos volontaires sont des jeunes et la quasi-totalité des Sociétés nationales favorisent une participation active de la jeunesse à leurs programmes. Environ 18% des employés des sièges des Sociétés nationales sont âgés de moins de 30 ans, ce qui correspond à la fourchette haute de la définition de la jeunesse adoptée par la Fédération, bien que les normes sociales locales et le contexte culturel autorisent certaines variations raisonnables.</t>
  </si>
  <si>
    <t>La estrategia de la Federación Internacional para la participación significativa de la juventud centra su atención en tres dimensiones, a saber, los jóvenes en calidad de voluntarios, los jóvenes en calidad de dirigentes y los jóvenes en calidad de beneficiarios. Se estima que cerca de la mitad de los voluntarios son jóvenes y casi todas las Sociedades Nacionales incluyen la dinámica participación de los jóvenes en sus programas. El dieciocho por ciento del personal que trabaja en las oficinas centrales de las Sociedades Nacionales tiene menos de treinta años, que es la edad límite incluida en la definición de “joven” que consta en la política pertinente de la Federación Internacional, aunque los contextos culturales y las normas sociales brindan razonable margen para la variación.</t>
  </si>
  <si>
    <t>تركز استراتيجية الاتحاد الدولي لإشراك الشباب على ثلاثة أبعاد هي الشباب كمتطوعين، والشباب كقادة، والشباب كمستفيدين. وتفيد التقديرات بأن نحو نصف متطوعينا هم من الشباب وأن كل الجمعيات الوطنية تقريباً تشركهم بفعالية في برامجها. وتقل أعمار نحو 18 في المائة من موظفي مقار الجمعيات الوطنية عن 30 عاماً، وهذا التعريف لسياسة الاتحاد الدولي بشأن «الشباب » من خلال المعايير الاجتماعية، والسياقات الثقافية المحلية يتيح تحقيق تنوع معقول.</t>
  </si>
  <si>
    <t>reportenablingaction1.sections.3.blocks.1.type</t>
  </si>
  <si>
    <t>reportenablingaction1.sections.3.blocks.1.title</t>
  </si>
  <si>
    <t>Youth in the IFRC</t>
  </si>
  <si>
    <t>Jeunesse dans la FICR</t>
  </si>
  <si>
    <t>الشباب في الاتحاد الدولي</t>
  </si>
  <si>
    <t>reportenablingaction1.sections.3.blocks.1.dataset.1.1.y</t>
  </si>
  <si>
    <t>reportenablingaction1.sections.3.blocks.1.dataset.1.1.x</t>
  </si>
  <si>
    <t xml:space="preserve"> </t>
  </si>
  <si>
    <t>reportenablingaction1.sections.3.blocks.1.dataset.1.1.fill</t>
  </si>
  <si>
    <t>#F1F0EF</t>
  </si>
  <si>
    <t>reportenablingaction1.sections.3.blocks.1.dataset.1.0.y</t>
  </si>
  <si>
    <t>reportenablingaction1.sections.3.blocks.1.dataset.1.0.x</t>
  </si>
  <si>
    <t>reportenablingaction1.sections.3.blocks.1.dataset.1.0.fill</t>
  </si>
  <si>
    <t>reportenablingaction1.sections.3.blocks.1.dataset.0.1.y</t>
  </si>
  <si>
    <t>reportenablingaction1.sections.3.blocks.1.dataset.0.1.x</t>
  </si>
  <si>
    <t>reportenablingaction1.sections.3.blocks.1.dataset.0.1.fill</t>
  </si>
  <si>
    <t>reportenablingaction1.sections.3.blocks.1.dataset.0.0.y</t>
  </si>
  <si>
    <t>reportenablingaction1.sections.3.blocks.1.dataset.0.0.x</t>
  </si>
  <si>
    <t>reportenablingaction1.sections.3.blocks.1.dataset.0.0.fill</t>
  </si>
  <si>
    <t>reportenablingaction1.sections.3.blocks.1.captions.1</t>
  </si>
  <si>
    <t>of National Society headquarters staff are aged less than 30 years</t>
  </si>
  <si>
    <t>du personnel du siège des Sociétés nationales sont âgés de moins de 30 ans***</t>
  </si>
  <si>
    <t>del personal que trabaja en las oficinas centrales de las Sociedades Nacionales tiene menos de treinta años</t>
  </si>
  <si>
    <t>من موظفي مقار الجمعيات الوطنية تقل أعمارهم عن 30 عاماً</t>
  </si>
  <si>
    <t>reportenablingaction1.sections.3.blocks.1.captions.0</t>
  </si>
  <si>
    <t>of volunteers are young people</t>
  </si>
  <si>
    <t>des volontaires sont des jeunes</t>
  </si>
  <si>
    <t>de los voluntarios son jóvenes</t>
  </si>
  <si>
    <t>من متطوعينا هم من الشباب</t>
  </si>
  <si>
    <t>reportenablingaction1.sections.3.blocks.1.caption</t>
  </si>
  <si>
    <t>reportenablingaction1.sections.3.blocks.0</t>
  </si>
  <si>
    <t>The first formal initiative to associate young people with the work of the Red Cross was in 1892, but this was rejected. It was only after the San Francisco earthquake of 1906 that the first official youth contribution via the American Red Cross was registered. Young people have been at the forefront of our worldwide efforts ever since. Their multiple roles include being innovators and early adopters of communication, social media, and other technologies, intercultural ambassadors and advocates, peer-to-peer facilitators, community mobilisers, and agents of behavioural change.</t>
  </si>
  <si>
    <t>La première initiative formelle visant à associer les jeunes aux activités de la Croix-Rouge a vu le jour en 1892, mais a ensuite été rejetée. Ce n’est qu’en 1906, après le tremblement de terre de San Francisco, que la Croix-Rouge américaine fait état de la première contribution officielle de la jeunesse. Les jeunes sont depuis lors à l’avant-garde des efforts déployés partout dans le monde et assument de multiples rôles. Ils sont notamment des innovateurs et des adeptes précoces des moyens de communication, des réseaux sociaux et d’autres technologies ; des ambassadeurs et des défenseurs interculturels ; des éducateurs de pairs ; des agents de la mobilisation communautaire ; et des agents du changement de comportement.</t>
  </si>
  <si>
    <t>La primera iniciativa oficial encaminada a favorecer la participación de los jóvenes en la labor de la Cruz Roja se planteó y se rechazó en 1892. Transcurrirían años antes de que, a raíz del terremoto ocurrido en San Francisco, en 1906, se registrara la primera colaboración oficial de la juventud por conducto de la Cruz Roja Americana. Desde entonces, los jóvenes han participado de manera destacada en los esfuerzos de la organización en distintas funciones, incluida su condición de precursores e innovadores en el uso de tecnologías de la comunicación, los medios sociales y otras tecnologías, embajadores interculturales y defensores de causas, instructores de homólogos, agentes de movilización de la comunidad y agentes del cambio de comportamiento.</t>
  </si>
  <si>
    <t>ترجع أول مبادرة رسمية لضم الشباب إلى عمل الصليب الأحمر إلى عام 1892. غير أن المبادرة رُفضت. ولم تسجل أول مساهمة رسمية من الشباب إلا بعد وقوع زلزال سان فرانسيسكو في عام 1906 من خلال الصليب الأحمر الأمريكي. وأصبح الشباب في طليعة جهودنا العالمية منذ ذلك الحين، بفضل اضطلاعهم بالعديد من الأدوار منها دورهم كمبتكرين ورواد في التواصل وفي استعمال وسائل التواصل الاجتماعي وغير ذلك من التكنولوجيات، كذلك كسفراء فيما بين الثقافات ومناصرين، وموجهين للأقران، ومسؤولين عن التعبئة الجماهيرية، ووسطاء في تغيير السلوك.</t>
  </si>
  <si>
    <t>reportenablingaction1.sections.2.title</t>
  </si>
  <si>
    <t>Volunteering in a changing world</t>
  </si>
  <si>
    <t>Le volontariat dans un monde en évolution</t>
  </si>
  <si>
    <t>Servicio voluntario en un mundo en evolución</t>
  </si>
  <si>
    <t>التطوع في عالم متغير</t>
  </si>
  <si>
    <t>reportenablingaction1.sections.2.blocks.4.type</t>
  </si>
  <si>
    <t>reportenablingaction1.sections.2.blocks.4.title</t>
  </si>
  <si>
    <t>A day in the life of a volunteer</t>
  </si>
  <si>
    <t>Une journée dans la vie d’un volontaire</t>
  </si>
  <si>
    <t>Un día en la vida de un voluntario</t>
  </si>
  <si>
    <t>يوم في حياة متطوّع</t>
  </si>
  <si>
    <t>reportenablingaction1.sections.2.blocks.4.content.1</t>
  </si>
  <si>
    <t>On 8 May 2015 we asked our volunteers from around the world to take a photo of what they were doing on that day – World Red Cross and Red Crescent Day. Nearly 3,000 photos and stories were submitted from 110 countries – still only a small slice of the incredible work done by volunteers.</t>
  </si>
  <si>
    <t>Le 8 mai 2015, Journée mondiale de la Croix-Rouge et du Croissant-Rouge, nous avons demandé à nos volontaires partout dans le monde de prendre une photo de ce qu’ils faisaient ce jour-là. Près de 3 000 photos et récits ont été présentés par 110 pays, ce qui ne représente qu’une petite partie de l’incroyable travail accompli par les volontaires.</t>
  </si>
  <si>
    <t>El 8 de mayo de 2015, Día Mundial de la Cruz Roja y de la Media Luna Roja, la Federación Internacional pidió a sus voluntarios de todo el mundo que ese día tomaran una instantánea de sus actividades. Se recibieron cerca de tres mil fotografías e historias de ciento diez países, que solo representan una pequeña parte de la increíble labor realizada por los voluntarios.</t>
  </si>
  <si>
    <t>في 8 أيار/مايو 2015 ، اليوم العالمي للصليب الأحمر والهلال الأحمر، طلبنا من متطوّعينا في مختلف أنحاء العالم أن يلتقطوا صورة لما كانوا يفعلونه ذاك اليوم. فتلقينا نحو 3 آلاف صورة وقصة من 110 بلدا – وما ذلك إلا جزء صغير من العمل الضخم الذي يقوم به المتطوّعون.</t>
  </si>
  <si>
    <t>reportenablingaction1.sections.2.blocks.4.content.0</t>
  </si>
  <si>
    <t>It is 6:30 am and Daniel is rising and preparing for his volunteer shift. For the past year he has been helping to end the Ebola outbreak in Sierra Leone, and he is now the leader of a Sierra Leone Red Cross Society team that conducts safe and dignified burials of bodies that are suspected of carrying the Ebola virus. It is difficult work and they have faced much opposition from communities who were afraid of them. Their own families asked them to leave home, hotels did not rent rooms to them, and many shops would not serve them. But they have been slowly winning over communities. He is one of 7,000 Red Cross volunteers working across the Ebola affected countries.</t>
  </si>
  <si>
    <t>Il est 6 h 30 et Daniel se prépare à endosser son habit de volontaire. Depuis un an, il participe aux efforts déployés pour mettre fin à l’épidémie de maladie à virus Ebola en Sierra Leone. Il dirige aujourd’hui l’équipe de la Croix-Rouge de Sierra Leone qui procède à l’inhumation sûre et digne de dépouilles susceptibles d’être infectées par le virus. C’est un travail difficile et les membres de l’équipe se sont heurtés à une forte opposition des communautés qui avaient peur d’eux. Leurs propres familles leur ont demandé de quitter la maison, les hôtels ont refusé de leur louer des chambres et beaucoup de commerces de les servir. Mais progressivement, ils ont su gagner la confiance des communautés. Daniel est l’un des 7 000 volontaires de la Croix-Rouge à l’œuvre dans les pays touchés par le virus Ebola.</t>
  </si>
  <si>
    <t>A las seis y media de la mañana Daniel se levanta y se prepara para comenzar su turno en el servicio voluntario. El año anterior ayudó a terminar con el brote del ébola en Sierra Leona, y ahora dirige el grupo de la Cruz Roja de Sierra Leona responsable de que los cuerpos sospechosos de ser portadores de este virus sean enterrados con dignidad y en condiciones seguras. El trabajo es difícil y se han enfrentado a la oposición de las comunidades que les temen. Sus propias familias les han pedido que se vayan, los hoteles no les alquilan habitaciones y muchas tiendas se niegan a atenderles. Con todo, poco a poco, se han ganado el respeto de la población. Daniel es uno de los siete mil voluntarios de las organizaciones de la Cruz Roja y de la Media Luna Roja que trabaja en los países afectados por el ébola.</t>
  </si>
  <si>
    <t>إنّها الساعة السادسة والنصف صباحًا، وها هو دانيال ينهض من سريره ويتهيّأ لعمله كمتطوّع. مضى على عمله هذا عامٌ واظبَ فيه على المساعدة في جهود القضاء على تفشّي وباء الإيبولا في سيراليون، وأصبح الآن قائد فريق الصليب الأحمر في سيراليون الذي يقوم بعمليات دفن جثامين الضحايا التي يشتبه بأنّها حاملة للفيروس بطريقة آمنة وكريمة. إنّه عمل صعب، ولقد واجه الفريق معارضة شديدة من المجتمعات المحلّية التي كانت تخاف منه. وحتّى عائلات أعضاء الفريق نفسها طلبت منهم مغادرة المنزل، والفنادق كانت ترفض تأجيرهم الغرف، فيما امتنعت متاجر كثيرة عن استقبالهم. ولكنّهم كانوا يتغلبون تدريجيًا على هذا الرفض من جانب المجتمعات المحلّية. ودانيال هو واحد من 7 آلاف متطوّع في الصليب الأحمر يعملون في مختلف البلدان التي تواجه وباء الإيبولا.</t>
  </si>
  <si>
    <t>reportenablingaction1.sections.2.blocks.3</t>
  </si>
  <si>
    <t>Volunteerism will need to play a central role in attaining the future Sustainable Development Goals by ensuring their localisation and scaling-up. The shift from volunteers merely as service deliverers towards volunteers as development actors, and thus a critical component of civic action and resilience, is the way forward.</t>
  </si>
  <si>
    <t>Le volontariat devra jouer un rôle central dans la réalisation des Objectifs de développement durable en en assurant la mise en œuvre au niveau local partout dans le monde. La voie à suivre consiste à considérer les volontaires non plus comme de simples prestataires de services, mais comme des acteurs du développement et donc comme des maillons essentiels de l’action civique et de la résilience.</t>
  </si>
  <si>
    <t>El servicio voluntario será una pieza clave en la consecución de los objetivos de desarrollo sostenible mediante el arraigo local y la intensificación de esfuerzos. El futuro apunta a la transformación del voluntario que limita su acción a la prestación de servicios al voluntario que se convierte en agente de desarrollo y, como tal, en un componente vital de acción cívica y del fomento de la capacidad de resistencia y recuperación.</t>
  </si>
  <si>
    <t>ومن الضروري أن يقوم التطوع بدور محوري في تحقيق الأهداف الإنمائية المستدامة في المستقبل عن طريق تأمين إضفاء الطابع المحلي عليها وتعزيزها. وتحول المتطوعون من مجرد مقدمي خدمات إلى فاعلين في التنمية، ومن ثم عناصر أساسية في العمل الأهلي والقدرة على الصمود، هو السبيل للمضي قدماً.</t>
  </si>
  <si>
    <t>reportenablingaction1.sections.2.blocks.2</t>
  </si>
  <si>
    <t>Volunteering brings considerable non-pecuniary personal and social benefits to the individual, and in turn, their communities. For isolated and marginalised individuals, volunteering is an important means for social inclusion (including for migrant communities). It is also a key means to build the human and social capital of communities, advocating for their needs and rights, and strengthening their resilience to crises.</t>
  </si>
  <si>
    <t>Le volontariat apporte des avantages personnels et sociaux non pécuniaires considérables aux individus et, par voie de conséquence, à leur communauté. Pour les personnes isolées et marginalisées (notamment les communautés de migrants), c’est un moyen important de parvenir à l’intégration sociale. En outre, c’est un moyen essentiel de renforcer le capital humain et social des communautés, de défendre leurs besoins et leurs droits, et de renforcer leur résilience face aux crises.</t>
  </si>
  <si>
    <t xml:space="preserve">El servicio voluntario aporta considerables beneficios no pecuniarios personales y sociales a la persona concernida y a la comunidad. Para quienes se encuentran aislados y marginados, el servicio voluntario es un importante medio de inclusión social (ello incluye a las comunidades de migrantes). Se trata también de un medio esencial para la constitución del capital humano y social de las comunidades que así, pueden abogar por la satisfacción de sus necesidades y el respeto de sus derechos y fortalecer su capacidad de resistencia y recuperación ante las crisis. </t>
  </si>
  <si>
    <t>ويقدم التطوع فوائد (غير مالية) شخصية واجتماعية عظيمة للأفراد، ومن ثم للمجتمعات. ويشكل التطوع بالنسبة للأفراد المعزولين والمهمشين، وسيلة مهمة للاندماج الاجتماعي (بما في ذلك لمجتمعات المهاجرين). كما أنه يشكل أداة رئيسية لبناء رأسمال بشري واجتماعي للمجتمعات، ولمناصرة احتياجاتها وحقوقها، وتعزيز قدرتها على الصمود أمام الأزمات.</t>
  </si>
  <si>
    <t>reportenablingaction1.sections.2.blocks.1</t>
  </si>
  <si>
    <t>These examples illustrate that the capacity to engage volunteers is at the heart of a National Society’s strength, effectiveness, and scale. Its moment of truth comes when a volunteer interacts with a beneficiary.</t>
  </si>
  <si>
    <t>Ces exemples montrent que la force, l’efficacité et la portée des Sociétés nationales reposent sur leur capacité de mobiliser des volontaires et cette capacité s’exprime quand un volontaire interagit avec un bénéficiaire.</t>
  </si>
  <si>
    <t>Estos ejemplos ilustrativos recuerdan que la capacidad para lograr la colaboración de voluntarios constituye uno de los pilares de la fortaleza, la eficacia y el alcance de la labor de las Sociedades Nacionales. La prueba de fuego viene cuando el voluntario interactúa con un beneficiario.</t>
  </si>
  <si>
    <t>وتوضح هذه الأمثلة أن القدرة على إشراك المتطوعين هي أساس قوة الجمعية الوطنية وفعاليتها ونطاق عملها. ويُختبر ذلك حين يتفاعل المتطوع مع أحد المستفيدين.</t>
  </si>
  <si>
    <t>reportenablingaction1.sections.2.blocks.0</t>
  </si>
  <si>
    <t>In the Democratic Republic of Congo, volunteers helped protect more than 2 million people from polio. In Syria, volunteers are currently providing desperately needed assistance to more than 3.5 million people each month. Our volunteers were at the frontline of the Ebola response in West Africa, reaching some 7 million people.</t>
  </si>
  <si>
    <t>En République démocratique du Congo, les volontaires ont aidé à protéger plus de deux millions de personnes de la poliomyélite. En Syrie, ils apportent chaque mois une aide vitale à plus de 3,5 millions de personnes. Nos volontaires ont été en première ligne de l’action contre l’Ebola en Afrique de l’Ouest, portant assistance à quelque 7 millions de personnes.</t>
  </si>
  <si>
    <t>En la República Democrática del Congo, los voluntarios ayudaron a proteger a más de dos millones personas de la poliomielitis. En Siria, los voluntarios prestan asistencia desesperadamente necesaria a más de tres millones y medio de personas cada mes. Los voluntarios de la organización estuvieron en la primera línea de combate contra el virus del ébola en África occidental y prestaron atención a cerca de siete millones de personas.</t>
  </si>
  <si>
    <t>في جمهورية الكونغو الديموقراطية، ساعد المتطوعون على حماية ما يزيد على 2 مليون شخص من شلل الأطفال. وفي سوريا، قدم المتطوعون المساعدة لما يزيد عن 3.5 مليون شخص كل شهر ممن هم في أمس الحاجة للمعونة. وكان متطوعونا في طليعة مواجهة مرض الإيبولا في غرب أفريقا، حيث وصلوا لنحو 7 مليون شخص.</t>
  </si>
  <si>
    <t>reportenablingaction1.sections.1.title</t>
  </si>
  <si>
    <t>Bridging the technical divide</t>
  </si>
  <si>
    <t>Réduire la fracture numérique</t>
  </si>
  <si>
    <t>Colmar la brecha digital</t>
  </si>
  <si>
    <t>سَد الفجوة الرقمية</t>
  </si>
  <si>
    <t>reportenablingaction1.sections.1.blocks.2.type</t>
  </si>
  <si>
    <t>reportenablingaction1.sections.1.blocks.2.title</t>
  </si>
  <si>
    <t>reportenablingaction1.sections.1.blocks.2.caption</t>
  </si>
  <si>
    <t>reportenablingaction1.sections.1.blocks.1</t>
  </si>
  <si>
    <t>IFRC’s global presence and reputation to negotiate more favourable agreements with technology companies. This support has contributed towards improving the average information and communications technology capabilities of these 28 National Societies by nearly a third during the period 2011–2013.</t>
  </si>
  <si>
    <t>et mettre à profit la présence et la réputation mondiales de la Fédération pour négocier des accords plus avantageux avec les entreprises spécialisées dans les technologies. Cet appui a permis d’accroître d’un tiers en moyenne les capacités en matière de technologies de l’information et de la communication de ces 28 Sociétés nationales durant la période 2011 à 2013.</t>
  </si>
  <si>
    <t>el establecimiento de redes de apoyo de proveedores de servicios, el aprovechamiento de la presencia mundial y de la reputación de la Federación Internacional para negociar acuerdos más favorables con empresas de tecnología. Merced a este apoyo, esas Sociedades Nacionales mejoraron en cerca de un treinta y tres por ciento (33%) su capacidad promedio en tecnologías de la información y la comunicación durante el periodo 2011-2013.</t>
  </si>
  <si>
    <t>وجود الاتحاد الدولي وسمعته حول العالم للتفاوض بشأن اتفاقات أنسب مع شركات التكنولوجيا. وقد أسهم هذا الدعم في تحسين متوسط القدرات في مجالي المعلومات وتكنولوجيا الاتصالات للجمعيات الوطنية الثماني والعشرين المذكورة بنحو الثلث خلال الفترة 2011 - 2013 .</t>
  </si>
  <si>
    <t>reportenablingaction1.sections.1.blocks.0</t>
  </si>
  <si>
    <t>Through the Digital Divide Initiative, the IFRC secretariat has been tracking the information and communications technology capabilities of up to 155 National Societies that responded to surveys conducted in 2011 and 2013. Results from these surveys prioritised support to 28 National Societies, often with very basic support, such as stabilising and simplifying systems, connecting local branches, training technical staff and managers, providing antivirus and office automation software, setting up a support network of service providers, and using the</t>
  </si>
  <si>
    <t>Dans le cadre de l’Initiative pour la réduction de la fracture numérique, le Secrétariat de la Fédération a recensé les capacités en matière de technologies de l’information et de la communication des 155 Sociétés nationales ayant participé aux enquêtes menées en 2011 et en 2013. Les résultats de ces enquêtes ont conduit à la décision d’apporter en priorité un soutien à 28 Sociétés nationales. Un appui souvent très élémentaire a été fourni en vue de stabiliser et simplifier des systèmes, raccorder des sections locales, former les employés et les responsables techniques, fournir des logiciels antivirus et de bureautique, mettre en place un réseau de soutien composé de prestataires de services</t>
  </si>
  <si>
    <t>A través de la iniciativa destinada a colmar la brecha digital, la secretaría de la Federación Internacional ha seguido de cerca la evolución de la capacidad de las Sociedades Nacionales en materia de comunicación y tecnologías de la información. Ciento cincuenta y cinco (155) Sociedades Nacionales respondieron a las encuestas realizadas en 2011 y 2013. En función de los resultados, se concedió prioridad a la asistencia destinada a veintiocho (28) Sociedades Nacionales. A menudo se trató de apoyo básico, por ejemplo la estabilización o la simplificación de sistemas, la conexión de secciones locales, la formación de jefes y de personal técnico, el suministro de antivirus y programas de informática,</t>
  </si>
  <si>
    <t xml:space="preserve">بفضل مبادرة سد الفجوة الرقمية، تتتبع أمانة الاتحاد الدولي قدرات 155 جمعية وطنية ردت على استطلاعات أجريت بين عامي 2011 و 2013 . فيما يتعلق بتكنولوجيا المعلومات والاتصالات واستنادا إلى نتائج تلك الدراسات الاستقصائية، استفادت 28 جمعية وطنية، من باب الأولوية، من المساعدة الأساسية للغاية في كثير من الأحيان في تحقيق استقرار الأنظمة الالكترونية وتبسيطها؛ والربط بين الفروع المحلية؛ وتدريب الموظفين والمديرين الفنيين؛ وتوفير برامج مكافحة الفيروسات؛ والتشغيل الآلي للمكاتب؛ ووضع شبكة دعم من مقدمي الخدمات؛ والاستفادة من </t>
  </si>
  <si>
    <t>reportenablingaction1.sections.0.title</t>
  </si>
  <si>
    <t>National Society core capacities</t>
  </si>
  <si>
    <t>Capacités essentielles dune Société nationale</t>
  </si>
  <si>
    <t>Capacidades básicas de las Sociedades Nacionales</t>
  </si>
  <si>
    <t>القدرات الجوهرية للجمعيات الوطنية</t>
  </si>
  <si>
    <t>reportenablingaction1.sections.0.blocks.7</t>
  </si>
  <si>
    <t>Ongoing analysis suggests that the critical factors for success include appropriate leadership that is just right for its own context, and good long-term partnerships, which are strategically tailored to the National Society’s own organisational development needs.</t>
  </si>
  <si>
    <t>Les analyses en cours laissent penser que les facteurs essentiels du succès incluent un leadership adapté au contexte et des partenariats à long terme solides et stratégiques, répondant aux besoins des Sociétés nationales en matière de développement organisationnel.</t>
  </si>
  <si>
    <t>De los análisis en curso se desprende que entre los factores esenciales para el éxito se cuentan los dirigentes competentes que sean adecuados para el contexto y buenas asociaciones estratégicas a largo plazo que correspondan a las necesidades de desarrollo institucional de la Sociedad Nacional.</t>
  </si>
  <si>
    <t>تبين تحاليل تجرى حالياً أن العوامل الحاسمة للنجاح تتضمن وجود قيادة ملائمة بالقدر المطلوب لسياقها الخاص، ووجود شراكات جيدة وطويلة الأجل مصممة من الناحية الاستراتيجية بما يتناسب مع احتياجات التنمية التنظيمية للجمعية الوطنية.</t>
  </si>
  <si>
    <t>reportenablingaction1.sections.0.blocks.6.type</t>
  </si>
  <si>
    <t>reportenablingaction1.sections.0.blocks.6.title</t>
  </si>
  <si>
    <t>Strength versus wealth</t>
  </si>
  <si>
    <t>Force par rapport au niveau de richesse</t>
  </si>
  <si>
    <t>Correlación entre fortaleza y riqueza</t>
  </si>
  <si>
    <t>القوة مقابل الثروة</t>
  </si>
  <si>
    <t>reportenablingaction1.sections.0.blocks.6.legend.4.name</t>
  </si>
  <si>
    <t>reportenablingaction1.sections.0.blocks.6.legend.4.color</t>
  </si>
  <si>
    <t>#7E6E69</t>
  </si>
  <si>
    <t>reportenablingaction1.sections.0.blocks.6.legend.3.name</t>
  </si>
  <si>
    <t>reportenablingaction1.sections.0.blocks.6.legend.3.color</t>
  </si>
  <si>
    <t>#5C315E</t>
  </si>
  <si>
    <t>reportenablingaction1.sections.0.blocks.6.legend.2.name</t>
  </si>
  <si>
    <t>reportenablingaction1.sections.0.blocks.6.legend.2.color</t>
  </si>
  <si>
    <t>reportenablingaction1.sections.0.blocks.6.legend.1.name</t>
  </si>
  <si>
    <t>Amériques</t>
  </si>
  <si>
    <t>reportenablingaction1.sections.0.blocks.6.legend.1.color</t>
  </si>
  <si>
    <t>#0F9EE3</t>
  </si>
  <si>
    <t>reportenablingaction1.sections.0.blocks.6.legend.0.name</t>
  </si>
  <si>
    <t>reportenablingaction1.sections.0.blocks.6.legend.0.color</t>
  </si>
  <si>
    <t>#82BC01</t>
  </si>
  <si>
    <t>reportenablingaction1.sections.0.blocks.6.dataset.9.y</t>
  </si>
  <si>
    <t>reportenablingaction1.sections.0.blocks.6.dataset.9.x_regular_gdp</t>
  </si>
  <si>
    <t>reportenablingaction1.sections.0.blocks.6.dataset.9.x</t>
  </si>
  <si>
    <t>reportenablingaction1.sections.0.blocks.6.dataset.9.stroke</t>
  </si>
  <si>
    <t>reportenablingaction1.sections.0.blocks.6.dataset.9.region</t>
  </si>
  <si>
    <t>reportenablingaction1.sections.0.blocks.6.dataset.8.y</t>
  </si>
  <si>
    <t>reportenablingaction1.sections.0.blocks.6.dataset.8.x_regular_gdp</t>
  </si>
  <si>
    <t>reportenablingaction1.sections.0.blocks.6.dataset.8.x</t>
  </si>
  <si>
    <t>reportenablingaction1.sections.0.blocks.6.dataset.8.stroke</t>
  </si>
  <si>
    <t>reportenablingaction1.sections.0.blocks.6.dataset.8.region</t>
  </si>
  <si>
    <t>reportenablingaction1.sections.0.blocks.6.dataset.7.y</t>
  </si>
  <si>
    <t>reportenablingaction1.sections.0.blocks.6.dataset.7.x_regular_gdp</t>
  </si>
  <si>
    <t>reportenablingaction1.sections.0.blocks.6.dataset.7.x</t>
  </si>
  <si>
    <t>reportenablingaction1.sections.0.blocks.6.dataset.7.stroke</t>
  </si>
  <si>
    <t>reportenablingaction1.sections.0.blocks.6.dataset.7.region</t>
  </si>
  <si>
    <t>reportenablingaction1.sections.0.blocks.6.dataset.62.y</t>
  </si>
  <si>
    <t>reportenablingaction1.sections.0.blocks.6.dataset.62.x_regular_gdp</t>
  </si>
  <si>
    <t>reportenablingaction1.sections.0.blocks.6.dataset.62.x</t>
  </si>
  <si>
    <t>reportenablingaction1.sections.0.blocks.6.dataset.62.stroke</t>
  </si>
  <si>
    <t>reportenablingaction1.sections.0.blocks.6.dataset.62.region</t>
  </si>
  <si>
    <t>reportenablingaction1.sections.0.blocks.6.dataset.61.y</t>
  </si>
  <si>
    <t>reportenablingaction1.sections.0.blocks.6.dataset.61.x_regular_gdp</t>
  </si>
  <si>
    <t>reportenablingaction1.sections.0.blocks.6.dataset.61.x</t>
  </si>
  <si>
    <t>reportenablingaction1.sections.0.blocks.6.dataset.61.stroke</t>
  </si>
  <si>
    <t>reportenablingaction1.sections.0.blocks.6.dataset.61.region</t>
  </si>
  <si>
    <t>reportenablingaction1.sections.0.blocks.6.dataset.60.y</t>
  </si>
  <si>
    <t>reportenablingaction1.sections.0.blocks.6.dataset.60.x_regular_gdp</t>
  </si>
  <si>
    <t>reportenablingaction1.sections.0.blocks.6.dataset.60.x</t>
  </si>
  <si>
    <t>reportenablingaction1.sections.0.blocks.6.dataset.60.stroke</t>
  </si>
  <si>
    <t>reportenablingaction1.sections.0.blocks.6.dataset.60.region</t>
  </si>
  <si>
    <t>reportenablingaction1.sections.0.blocks.6.dataset.6.y</t>
  </si>
  <si>
    <t>reportenablingaction1.sections.0.blocks.6.dataset.6.x_regular_gdp</t>
  </si>
  <si>
    <t>reportenablingaction1.sections.0.blocks.6.dataset.6.x</t>
  </si>
  <si>
    <t>reportenablingaction1.sections.0.blocks.6.dataset.6.stroke</t>
  </si>
  <si>
    <t>reportenablingaction1.sections.0.blocks.6.dataset.6.region</t>
  </si>
  <si>
    <t>reportenablingaction1.sections.0.blocks.6.dataset.59.y</t>
  </si>
  <si>
    <t>reportenablingaction1.sections.0.blocks.6.dataset.59.x_regular_gdp</t>
  </si>
  <si>
    <t>reportenablingaction1.sections.0.blocks.6.dataset.59.x</t>
  </si>
  <si>
    <t>reportenablingaction1.sections.0.blocks.6.dataset.59.stroke</t>
  </si>
  <si>
    <t>reportenablingaction1.sections.0.blocks.6.dataset.59.region</t>
  </si>
  <si>
    <t>reportenablingaction1.sections.0.blocks.6.dataset.58.y</t>
  </si>
  <si>
    <t>reportenablingaction1.sections.0.blocks.6.dataset.58.x_regular_gdp</t>
  </si>
  <si>
    <t>reportenablingaction1.sections.0.blocks.6.dataset.58.x</t>
  </si>
  <si>
    <t>reportenablingaction1.sections.0.blocks.6.dataset.58.stroke</t>
  </si>
  <si>
    <t>reportenablingaction1.sections.0.blocks.6.dataset.58.region</t>
  </si>
  <si>
    <t>reportenablingaction1.sections.0.blocks.6.dataset.57.y</t>
  </si>
  <si>
    <t>reportenablingaction1.sections.0.blocks.6.dataset.57.x_regular_gdp</t>
  </si>
  <si>
    <t>reportenablingaction1.sections.0.blocks.6.dataset.57.x</t>
  </si>
  <si>
    <t>reportenablingaction1.sections.0.blocks.6.dataset.57.stroke</t>
  </si>
  <si>
    <t>reportenablingaction1.sections.0.blocks.6.dataset.57.region</t>
  </si>
  <si>
    <t>reportenablingaction1.sections.0.blocks.6.dataset.56.y</t>
  </si>
  <si>
    <t>reportenablingaction1.sections.0.blocks.6.dataset.56.x_regular_gdp</t>
  </si>
  <si>
    <t>reportenablingaction1.sections.0.blocks.6.dataset.56.x</t>
  </si>
  <si>
    <t>reportenablingaction1.sections.0.blocks.6.dataset.56.stroke</t>
  </si>
  <si>
    <t>reportenablingaction1.sections.0.blocks.6.dataset.56.region</t>
  </si>
  <si>
    <t>reportenablingaction1.sections.0.blocks.6.dataset.55.y</t>
  </si>
  <si>
    <t>reportenablingaction1.sections.0.blocks.6.dataset.55.x_regular_gdp</t>
  </si>
  <si>
    <t>reportenablingaction1.sections.0.blocks.6.dataset.55.x</t>
  </si>
  <si>
    <t>reportenablingaction1.sections.0.blocks.6.dataset.55.stroke</t>
  </si>
  <si>
    <t>reportenablingaction1.sections.0.blocks.6.dataset.55.region</t>
  </si>
  <si>
    <t>reportenablingaction1.sections.0.blocks.6.dataset.54.y</t>
  </si>
  <si>
    <t>reportenablingaction1.sections.0.blocks.6.dataset.54.x_regular_gdp</t>
  </si>
  <si>
    <t>reportenablingaction1.sections.0.blocks.6.dataset.54.x</t>
  </si>
  <si>
    <t>reportenablingaction1.sections.0.blocks.6.dataset.54.stroke</t>
  </si>
  <si>
    <t>reportenablingaction1.sections.0.blocks.6.dataset.54.region</t>
  </si>
  <si>
    <t>reportenablingaction1.sections.0.blocks.6.dataset.53.y</t>
  </si>
  <si>
    <t>reportenablingaction1.sections.0.blocks.6.dataset.53.x_regular_gdp</t>
  </si>
  <si>
    <t>reportenablingaction1.sections.0.blocks.6.dataset.53.x</t>
  </si>
  <si>
    <t>reportenablingaction1.sections.0.blocks.6.dataset.53.stroke</t>
  </si>
  <si>
    <t>reportenablingaction1.sections.0.blocks.6.dataset.53.region</t>
  </si>
  <si>
    <t>reportenablingaction1.sections.0.blocks.6.dataset.52.y</t>
  </si>
  <si>
    <t>reportenablingaction1.sections.0.blocks.6.dataset.52.x_regular_gdp</t>
  </si>
  <si>
    <t>reportenablingaction1.sections.0.blocks.6.dataset.52.x</t>
  </si>
  <si>
    <t>reportenablingaction1.sections.0.blocks.6.dataset.52.stroke</t>
  </si>
  <si>
    <t>reportenablingaction1.sections.0.blocks.6.dataset.52.region</t>
  </si>
  <si>
    <t>reportenablingaction1.sections.0.blocks.6.dataset.51.y</t>
  </si>
  <si>
    <t>reportenablingaction1.sections.0.blocks.6.dataset.51.x_regular_gdp</t>
  </si>
  <si>
    <t>reportenablingaction1.sections.0.blocks.6.dataset.51.x</t>
  </si>
  <si>
    <t>reportenablingaction1.sections.0.blocks.6.dataset.51.stroke</t>
  </si>
  <si>
    <t>reportenablingaction1.sections.0.blocks.6.dataset.51.region</t>
  </si>
  <si>
    <t>reportenablingaction1.sections.0.blocks.6.dataset.50.y</t>
  </si>
  <si>
    <t>reportenablingaction1.sections.0.blocks.6.dataset.50.x_regular_gdp</t>
  </si>
  <si>
    <t>reportenablingaction1.sections.0.blocks.6.dataset.50.x</t>
  </si>
  <si>
    <t>reportenablingaction1.sections.0.blocks.6.dataset.50.stroke</t>
  </si>
  <si>
    <t>reportenablingaction1.sections.0.blocks.6.dataset.50.region</t>
  </si>
  <si>
    <t>reportenablingaction1.sections.0.blocks.6.dataset.5.y</t>
  </si>
  <si>
    <t>reportenablingaction1.sections.0.blocks.6.dataset.5.x_regular_gdp</t>
  </si>
  <si>
    <t>reportenablingaction1.sections.0.blocks.6.dataset.5.x</t>
  </si>
  <si>
    <t>reportenablingaction1.sections.0.blocks.6.dataset.5.stroke</t>
  </si>
  <si>
    <t>reportenablingaction1.sections.0.blocks.6.dataset.5.region</t>
  </si>
  <si>
    <t>reportenablingaction1.sections.0.blocks.6.dataset.49.y</t>
  </si>
  <si>
    <t>reportenablingaction1.sections.0.blocks.6.dataset.49.x_regular_gdp</t>
  </si>
  <si>
    <t>reportenablingaction1.sections.0.blocks.6.dataset.49.x</t>
  </si>
  <si>
    <t>reportenablingaction1.sections.0.blocks.6.dataset.49.stroke</t>
  </si>
  <si>
    <t>reportenablingaction1.sections.0.blocks.6.dataset.49.region</t>
  </si>
  <si>
    <t>reportenablingaction1.sections.0.blocks.6.dataset.48.y</t>
  </si>
  <si>
    <t>reportenablingaction1.sections.0.blocks.6.dataset.48.x_regular_gdp</t>
  </si>
  <si>
    <t>reportenablingaction1.sections.0.blocks.6.dataset.48.x</t>
  </si>
  <si>
    <t>reportenablingaction1.sections.0.blocks.6.dataset.48.stroke</t>
  </si>
  <si>
    <t>reportenablingaction1.sections.0.blocks.6.dataset.48.region</t>
  </si>
  <si>
    <t>reportenablingaction1.sections.0.blocks.6.dataset.47.y</t>
  </si>
  <si>
    <t>reportenablingaction1.sections.0.blocks.6.dataset.47.x_regular_gdp</t>
  </si>
  <si>
    <t>reportenablingaction1.sections.0.blocks.6.dataset.47.x</t>
  </si>
  <si>
    <t>reportenablingaction1.sections.0.blocks.6.dataset.47.stroke</t>
  </si>
  <si>
    <t>reportenablingaction1.sections.0.blocks.6.dataset.47.region</t>
  </si>
  <si>
    <t>reportenablingaction1.sections.0.blocks.6.dataset.46.y</t>
  </si>
  <si>
    <t>reportenablingaction1.sections.0.blocks.6.dataset.46.x_regular_gdp</t>
  </si>
  <si>
    <t>reportenablingaction1.sections.0.blocks.6.dataset.46.x</t>
  </si>
  <si>
    <t>reportenablingaction1.sections.0.blocks.6.dataset.46.stroke</t>
  </si>
  <si>
    <t>reportenablingaction1.sections.0.blocks.6.dataset.46.region</t>
  </si>
  <si>
    <t>reportenablingaction1.sections.0.blocks.6.dataset.45.y</t>
  </si>
  <si>
    <t>reportenablingaction1.sections.0.blocks.6.dataset.45.x_regular_gdp</t>
  </si>
  <si>
    <t>reportenablingaction1.sections.0.blocks.6.dataset.45.x</t>
  </si>
  <si>
    <t>reportenablingaction1.sections.0.blocks.6.dataset.45.stroke</t>
  </si>
  <si>
    <t>reportenablingaction1.sections.0.blocks.6.dataset.45.region</t>
  </si>
  <si>
    <t>reportenablingaction1.sections.0.blocks.6.dataset.44.y</t>
  </si>
  <si>
    <t>reportenablingaction1.sections.0.blocks.6.dataset.44.x_regular_gdp</t>
  </si>
  <si>
    <t>reportenablingaction1.sections.0.blocks.6.dataset.44.x</t>
  </si>
  <si>
    <t>reportenablingaction1.sections.0.blocks.6.dataset.44.stroke</t>
  </si>
  <si>
    <t>reportenablingaction1.sections.0.blocks.6.dataset.44.region</t>
  </si>
  <si>
    <t>reportenablingaction1.sections.0.blocks.6.dataset.43.y</t>
  </si>
  <si>
    <t>reportenablingaction1.sections.0.blocks.6.dataset.43.x_regular_gdp</t>
  </si>
  <si>
    <t>reportenablingaction1.sections.0.blocks.6.dataset.43.x</t>
  </si>
  <si>
    <t>reportenablingaction1.sections.0.blocks.6.dataset.43.stroke</t>
  </si>
  <si>
    <t>reportenablingaction1.sections.0.blocks.6.dataset.43.region</t>
  </si>
  <si>
    <t>reportenablingaction1.sections.0.blocks.6.dataset.42.y</t>
  </si>
  <si>
    <t>reportenablingaction1.sections.0.blocks.6.dataset.42.x_regular_gdp</t>
  </si>
  <si>
    <t>reportenablingaction1.sections.0.blocks.6.dataset.42.x</t>
  </si>
  <si>
    <t>reportenablingaction1.sections.0.blocks.6.dataset.42.stroke</t>
  </si>
  <si>
    <t>reportenablingaction1.sections.0.blocks.6.dataset.42.region</t>
  </si>
  <si>
    <t>reportenablingaction1.sections.0.blocks.6.dataset.41.y</t>
  </si>
  <si>
    <t>reportenablingaction1.sections.0.blocks.6.dataset.41.x_regular_gdp</t>
  </si>
  <si>
    <t>reportenablingaction1.sections.0.blocks.6.dataset.41.x</t>
  </si>
  <si>
    <t>reportenablingaction1.sections.0.blocks.6.dataset.41.stroke</t>
  </si>
  <si>
    <t>reportenablingaction1.sections.0.blocks.6.dataset.41.region</t>
  </si>
  <si>
    <t>reportenablingaction1.sections.0.blocks.6.dataset.40.y</t>
  </si>
  <si>
    <t>reportenablingaction1.sections.0.blocks.6.dataset.40.x_regular_gdp</t>
  </si>
  <si>
    <t>reportenablingaction1.sections.0.blocks.6.dataset.40.x</t>
  </si>
  <si>
    <t>reportenablingaction1.sections.0.blocks.6.dataset.40.stroke</t>
  </si>
  <si>
    <t>reportenablingaction1.sections.0.blocks.6.dataset.40.region</t>
  </si>
  <si>
    <t>reportenablingaction1.sections.0.blocks.6.dataset.4.y</t>
  </si>
  <si>
    <t>reportenablingaction1.sections.0.blocks.6.dataset.4.x_regular_gdp</t>
  </si>
  <si>
    <t>reportenablingaction1.sections.0.blocks.6.dataset.4.x</t>
  </si>
  <si>
    <t>reportenablingaction1.sections.0.blocks.6.dataset.4.stroke</t>
  </si>
  <si>
    <t>reportenablingaction1.sections.0.blocks.6.dataset.4.region</t>
  </si>
  <si>
    <t>reportenablingaction1.sections.0.blocks.6.dataset.39.y</t>
  </si>
  <si>
    <t>reportenablingaction1.sections.0.blocks.6.dataset.39.x_regular_gdp</t>
  </si>
  <si>
    <t>reportenablingaction1.sections.0.blocks.6.dataset.39.x</t>
  </si>
  <si>
    <t>reportenablingaction1.sections.0.blocks.6.dataset.39.stroke</t>
  </si>
  <si>
    <t>reportenablingaction1.sections.0.blocks.6.dataset.39.region</t>
  </si>
  <si>
    <t>reportenablingaction1.sections.0.blocks.6.dataset.38.y</t>
  </si>
  <si>
    <t>reportenablingaction1.sections.0.blocks.6.dataset.38.x_regular_gdp</t>
  </si>
  <si>
    <t>reportenablingaction1.sections.0.blocks.6.dataset.38.x</t>
  </si>
  <si>
    <t>reportenablingaction1.sections.0.blocks.6.dataset.38.stroke</t>
  </si>
  <si>
    <t>reportenablingaction1.sections.0.blocks.6.dataset.38.region</t>
  </si>
  <si>
    <t>reportenablingaction1.sections.0.blocks.6.dataset.37.y</t>
  </si>
  <si>
    <t>reportenablingaction1.sections.0.blocks.6.dataset.37.x_regular_gdp</t>
  </si>
  <si>
    <t>reportenablingaction1.sections.0.blocks.6.dataset.37.x</t>
  </si>
  <si>
    <t>reportenablingaction1.sections.0.blocks.6.dataset.37.stroke</t>
  </si>
  <si>
    <t>reportenablingaction1.sections.0.blocks.6.dataset.37.region</t>
  </si>
  <si>
    <t>reportenablingaction1.sections.0.blocks.6.dataset.36.y</t>
  </si>
  <si>
    <t>reportenablingaction1.sections.0.blocks.6.dataset.36.x_regular_gdp</t>
  </si>
  <si>
    <t>reportenablingaction1.sections.0.blocks.6.dataset.36.x</t>
  </si>
  <si>
    <t>reportenablingaction1.sections.0.blocks.6.dataset.36.stroke</t>
  </si>
  <si>
    <t>reportenablingaction1.sections.0.blocks.6.dataset.36.region</t>
  </si>
  <si>
    <t>reportenablingaction1.sections.0.blocks.6.dataset.35.y</t>
  </si>
  <si>
    <t>reportenablingaction1.sections.0.blocks.6.dataset.35.x_regular_gdp</t>
  </si>
  <si>
    <t>reportenablingaction1.sections.0.blocks.6.dataset.35.x</t>
  </si>
  <si>
    <t>reportenablingaction1.sections.0.blocks.6.dataset.35.stroke</t>
  </si>
  <si>
    <t>reportenablingaction1.sections.0.blocks.6.dataset.35.region</t>
  </si>
  <si>
    <t>reportenablingaction1.sections.0.blocks.6.dataset.34.y</t>
  </si>
  <si>
    <t>reportenablingaction1.sections.0.blocks.6.dataset.34.x_regular_gdp</t>
  </si>
  <si>
    <t>reportenablingaction1.sections.0.blocks.6.dataset.34.x</t>
  </si>
  <si>
    <t>reportenablingaction1.sections.0.blocks.6.dataset.34.stroke</t>
  </si>
  <si>
    <t>reportenablingaction1.sections.0.blocks.6.dataset.34.region</t>
  </si>
  <si>
    <t>reportenablingaction1.sections.0.blocks.6.dataset.33.y</t>
  </si>
  <si>
    <t>reportenablingaction1.sections.0.blocks.6.dataset.33.x_regular_gdp</t>
  </si>
  <si>
    <t>reportenablingaction1.sections.0.blocks.6.dataset.33.x</t>
  </si>
  <si>
    <t>reportenablingaction1.sections.0.blocks.6.dataset.33.stroke</t>
  </si>
  <si>
    <t>reportenablingaction1.sections.0.blocks.6.dataset.33.region</t>
  </si>
  <si>
    <t>reportenablingaction1.sections.0.blocks.6.dataset.32.y</t>
  </si>
  <si>
    <t>reportenablingaction1.sections.0.blocks.6.dataset.32.x_regular_gdp</t>
  </si>
  <si>
    <t>reportenablingaction1.sections.0.blocks.6.dataset.32.x</t>
  </si>
  <si>
    <t>reportenablingaction1.sections.0.blocks.6.dataset.32.stroke</t>
  </si>
  <si>
    <t>reportenablingaction1.sections.0.blocks.6.dataset.32.region</t>
  </si>
  <si>
    <t>reportenablingaction1.sections.0.blocks.6.dataset.31.y</t>
  </si>
  <si>
    <t>reportenablingaction1.sections.0.blocks.6.dataset.31.x_regular_gdp</t>
  </si>
  <si>
    <t>reportenablingaction1.sections.0.blocks.6.dataset.31.x</t>
  </si>
  <si>
    <t>reportenablingaction1.sections.0.blocks.6.dataset.31.stroke</t>
  </si>
  <si>
    <t>reportenablingaction1.sections.0.blocks.6.dataset.31.region</t>
  </si>
  <si>
    <t>reportenablingaction1.sections.0.blocks.6.dataset.30.y</t>
  </si>
  <si>
    <t>reportenablingaction1.sections.0.blocks.6.dataset.30.x_regular_gdp</t>
  </si>
  <si>
    <t>reportenablingaction1.sections.0.blocks.6.dataset.30.x</t>
  </si>
  <si>
    <t>reportenablingaction1.sections.0.blocks.6.dataset.30.stroke</t>
  </si>
  <si>
    <t>reportenablingaction1.sections.0.blocks.6.dataset.30.region</t>
  </si>
  <si>
    <t>reportenablingaction1.sections.0.blocks.6.dataset.3.y</t>
  </si>
  <si>
    <t>reportenablingaction1.sections.0.blocks.6.dataset.3.x_regular_gdp</t>
  </si>
  <si>
    <t>reportenablingaction1.sections.0.blocks.6.dataset.3.x</t>
  </si>
  <si>
    <t>reportenablingaction1.sections.0.blocks.6.dataset.3.stroke</t>
  </si>
  <si>
    <t>reportenablingaction1.sections.0.blocks.6.dataset.3.region</t>
  </si>
  <si>
    <t>reportenablingaction1.sections.0.blocks.6.dataset.29.y</t>
  </si>
  <si>
    <t>reportenablingaction1.sections.0.blocks.6.dataset.29.x_regular_gdp</t>
  </si>
  <si>
    <t>reportenablingaction1.sections.0.blocks.6.dataset.29.x</t>
  </si>
  <si>
    <t>reportenablingaction1.sections.0.blocks.6.dataset.29.stroke</t>
  </si>
  <si>
    <t>reportenablingaction1.sections.0.blocks.6.dataset.29.region</t>
  </si>
  <si>
    <t>reportenablingaction1.sections.0.blocks.6.dataset.28.y</t>
  </si>
  <si>
    <t>reportenablingaction1.sections.0.blocks.6.dataset.28.x_regular_gdp</t>
  </si>
  <si>
    <t>reportenablingaction1.sections.0.blocks.6.dataset.28.x</t>
  </si>
  <si>
    <t>reportenablingaction1.sections.0.blocks.6.dataset.28.stroke</t>
  </si>
  <si>
    <t>reportenablingaction1.sections.0.blocks.6.dataset.28.region</t>
  </si>
  <si>
    <t>reportenablingaction1.sections.0.blocks.6.dataset.27.y</t>
  </si>
  <si>
    <t>reportenablingaction1.sections.0.blocks.6.dataset.27.x_regular_gdp</t>
  </si>
  <si>
    <t>reportenablingaction1.sections.0.blocks.6.dataset.27.x</t>
  </si>
  <si>
    <t>reportenablingaction1.sections.0.blocks.6.dataset.27.stroke</t>
  </si>
  <si>
    <t>reportenablingaction1.sections.0.blocks.6.dataset.27.region</t>
  </si>
  <si>
    <t>reportenablingaction1.sections.0.blocks.6.dataset.26.y</t>
  </si>
  <si>
    <t>reportenablingaction1.sections.0.blocks.6.dataset.26.x_regular_gdp</t>
  </si>
  <si>
    <t>reportenablingaction1.sections.0.blocks.6.dataset.26.x</t>
  </si>
  <si>
    <t>reportenablingaction1.sections.0.blocks.6.dataset.26.stroke</t>
  </si>
  <si>
    <t>reportenablingaction1.sections.0.blocks.6.dataset.26.region</t>
  </si>
  <si>
    <t>reportenablingaction1.sections.0.blocks.6.dataset.25.y</t>
  </si>
  <si>
    <t>reportenablingaction1.sections.0.blocks.6.dataset.25.x_regular_gdp</t>
  </si>
  <si>
    <t>reportenablingaction1.sections.0.blocks.6.dataset.25.x</t>
  </si>
  <si>
    <t>reportenablingaction1.sections.0.blocks.6.dataset.25.stroke</t>
  </si>
  <si>
    <t>reportenablingaction1.sections.0.blocks.6.dataset.25.region</t>
  </si>
  <si>
    <t>reportenablingaction1.sections.0.blocks.6.dataset.24.y</t>
  </si>
  <si>
    <t>reportenablingaction1.sections.0.blocks.6.dataset.24.x_regular_gdp</t>
  </si>
  <si>
    <t>reportenablingaction1.sections.0.blocks.6.dataset.24.x</t>
  </si>
  <si>
    <t>reportenablingaction1.sections.0.blocks.6.dataset.24.stroke</t>
  </si>
  <si>
    <t>reportenablingaction1.sections.0.blocks.6.dataset.24.region</t>
  </si>
  <si>
    <t>reportenablingaction1.sections.0.blocks.6.dataset.23.y</t>
  </si>
  <si>
    <t>reportenablingaction1.sections.0.blocks.6.dataset.23.x_regular_gdp</t>
  </si>
  <si>
    <t>reportenablingaction1.sections.0.blocks.6.dataset.23.x</t>
  </si>
  <si>
    <t>reportenablingaction1.sections.0.blocks.6.dataset.23.stroke</t>
  </si>
  <si>
    <t>reportenablingaction1.sections.0.blocks.6.dataset.23.region</t>
  </si>
  <si>
    <t>reportenablingaction1.sections.0.blocks.6.dataset.22.y</t>
  </si>
  <si>
    <t>reportenablingaction1.sections.0.blocks.6.dataset.22.x_regular_gdp</t>
  </si>
  <si>
    <t>reportenablingaction1.sections.0.blocks.6.dataset.22.x</t>
  </si>
  <si>
    <t>reportenablingaction1.sections.0.blocks.6.dataset.22.stroke</t>
  </si>
  <si>
    <t>reportenablingaction1.sections.0.blocks.6.dataset.22.region</t>
  </si>
  <si>
    <t>reportenablingaction1.sections.0.blocks.6.dataset.21.y</t>
  </si>
  <si>
    <t>reportenablingaction1.sections.0.blocks.6.dataset.21.x_regular_gdp</t>
  </si>
  <si>
    <t>reportenablingaction1.sections.0.blocks.6.dataset.21.x</t>
  </si>
  <si>
    <t>reportenablingaction1.sections.0.blocks.6.dataset.21.stroke</t>
  </si>
  <si>
    <t>reportenablingaction1.sections.0.blocks.6.dataset.21.region</t>
  </si>
  <si>
    <t>reportenablingaction1.sections.0.blocks.6.dataset.20.y</t>
  </si>
  <si>
    <t>reportenablingaction1.sections.0.blocks.6.dataset.20.x_regular_gdp</t>
  </si>
  <si>
    <t>reportenablingaction1.sections.0.blocks.6.dataset.20.x</t>
  </si>
  <si>
    <t>reportenablingaction1.sections.0.blocks.6.dataset.20.stroke</t>
  </si>
  <si>
    <t>reportenablingaction1.sections.0.blocks.6.dataset.20.region</t>
  </si>
  <si>
    <t>reportenablingaction1.sections.0.blocks.6.dataset.2.y</t>
  </si>
  <si>
    <t>reportenablingaction1.sections.0.blocks.6.dataset.2.x_regular_gdp</t>
  </si>
  <si>
    <t>reportenablingaction1.sections.0.blocks.6.dataset.2.x</t>
  </si>
  <si>
    <t>reportenablingaction1.sections.0.blocks.6.dataset.2.stroke</t>
  </si>
  <si>
    <t>reportenablingaction1.sections.0.blocks.6.dataset.2.region</t>
  </si>
  <si>
    <t>reportenablingaction1.sections.0.blocks.6.dataset.19.y</t>
  </si>
  <si>
    <t>reportenablingaction1.sections.0.blocks.6.dataset.19.x_regular_gdp</t>
  </si>
  <si>
    <t>reportenablingaction1.sections.0.blocks.6.dataset.19.x</t>
  </si>
  <si>
    <t>reportenablingaction1.sections.0.blocks.6.dataset.19.stroke</t>
  </si>
  <si>
    <t>reportenablingaction1.sections.0.blocks.6.dataset.19.region</t>
  </si>
  <si>
    <t>reportenablingaction1.sections.0.blocks.6.dataset.18.y</t>
  </si>
  <si>
    <t>reportenablingaction1.sections.0.blocks.6.dataset.18.x_regular_gdp</t>
  </si>
  <si>
    <t>reportenablingaction1.sections.0.blocks.6.dataset.18.x</t>
  </si>
  <si>
    <t>reportenablingaction1.sections.0.blocks.6.dataset.18.stroke</t>
  </si>
  <si>
    <t>reportenablingaction1.sections.0.blocks.6.dataset.18.region</t>
  </si>
  <si>
    <t>reportenablingaction1.sections.0.blocks.6.dataset.17.y</t>
  </si>
  <si>
    <t>reportenablingaction1.sections.0.blocks.6.dataset.17.x_regular_gdp</t>
  </si>
  <si>
    <t>reportenablingaction1.sections.0.blocks.6.dataset.17.x</t>
  </si>
  <si>
    <t>reportenablingaction1.sections.0.blocks.6.dataset.17.stroke</t>
  </si>
  <si>
    <t>reportenablingaction1.sections.0.blocks.6.dataset.17.region</t>
  </si>
  <si>
    <t>reportenablingaction1.sections.0.blocks.6.dataset.16.y</t>
  </si>
  <si>
    <t>reportenablingaction1.sections.0.blocks.6.dataset.16.x_regular_gdp</t>
  </si>
  <si>
    <t>reportenablingaction1.sections.0.blocks.6.dataset.16.x</t>
  </si>
  <si>
    <t>reportenablingaction1.sections.0.blocks.6.dataset.16.stroke</t>
  </si>
  <si>
    <t>reportenablingaction1.sections.0.blocks.6.dataset.16.region</t>
  </si>
  <si>
    <t>reportenablingaction1.sections.0.blocks.6.dataset.15.y</t>
  </si>
  <si>
    <t>reportenablingaction1.sections.0.blocks.6.dataset.15.x_regular_gdp</t>
  </si>
  <si>
    <t>reportenablingaction1.sections.0.blocks.6.dataset.15.x</t>
  </si>
  <si>
    <t>reportenablingaction1.sections.0.blocks.6.dataset.15.stroke</t>
  </si>
  <si>
    <t>reportenablingaction1.sections.0.blocks.6.dataset.15.region</t>
  </si>
  <si>
    <t>reportenablingaction1.sections.0.blocks.6.dataset.14.y</t>
  </si>
  <si>
    <t>reportenablingaction1.sections.0.blocks.6.dataset.14.x_regular_gdp</t>
  </si>
  <si>
    <t>reportenablingaction1.sections.0.blocks.6.dataset.14.x</t>
  </si>
  <si>
    <t>reportenablingaction1.sections.0.blocks.6.dataset.14.stroke</t>
  </si>
  <si>
    <t>reportenablingaction1.sections.0.blocks.6.dataset.14.region</t>
  </si>
  <si>
    <t>reportenablingaction1.sections.0.blocks.6.dataset.13.y</t>
  </si>
  <si>
    <t>reportenablingaction1.sections.0.blocks.6.dataset.13.x_regular_gdp</t>
  </si>
  <si>
    <t>reportenablingaction1.sections.0.blocks.6.dataset.13.x</t>
  </si>
  <si>
    <t>reportenablingaction1.sections.0.blocks.6.dataset.13.stroke</t>
  </si>
  <si>
    <t>reportenablingaction1.sections.0.blocks.6.dataset.13.region</t>
  </si>
  <si>
    <t>reportenablingaction1.sections.0.blocks.6.dataset.12.y</t>
  </si>
  <si>
    <t>reportenablingaction1.sections.0.blocks.6.dataset.12.x_regular_gdp</t>
  </si>
  <si>
    <t>reportenablingaction1.sections.0.blocks.6.dataset.12.x</t>
  </si>
  <si>
    <t>reportenablingaction1.sections.0.blocks.6.dataset.12.stroke</t>
  </si>
  <si>
    <t>reportenablingaction1.sections.0.blocks.6.dataset.12.region</t>
  </si>
  <si>
    <t>reportenablingaction1.sections.0.blocks.6.dataset.11.y</t>
  </si>
  <si>
    <t>reportenablingaction1.sections.0.blocks.6.dataset.11.x_regular_gdp</t>
  </si>
  <si>
    <t>reportenablingaction1.sections.0.blocks.6.dataset.11.x</t>
  </si>
  <si>
    <t>reportenablingaction1.sections.0.blocks.6.dataset.11.stroke</t>
  </si>
  <si>
    <t>reportenablingaction1.sections.0.blocks.6.dataset.11.region</t>
  </si>
  <si>
    <t>reportenablingaction1.sections.0.blocks.6.dataset.10.y</t>
  </si>
  <si>
    <t>reportenablingaction1.sections.0.blocks.6.dataset.10.x_regular_gdp</t>
  </si>
  <si>
    <t>reportenablingaction1.sections.0.blocks.6.dataset.10.x</t>
  </si>
  <si>
    <t>reportenablingaction1.sections.0.blocks.6.dataset.10.stroke</t>
  </si>
  <si>
    <t>reportenablingaction1.sections.0.blocks.6.dataset.10.region</t>
  </si>
  <si>
    <t>reportenablingaction1.sections.0.blocks.6.dataset.1.y</t>
  </si>
  <si>
    <t>reportenablingaction1.sections.0.blocks.6.dataset.1.x_regular_gdp</t>
  </si>
  <si>
    <t>reportenablingaction1.sections.0.blocks.6.dataset.1.x</t>
  </si>
  <si>
    <t>reportenablingaction1.sections.0.blocks.6.dataset.1.stroke</t>
  </si>
  <si>
    <t>reportenablingaction1.sections.0.blocks.6.dataset.1.region</t>
  </si>
  <si>
    <t>reportenablingaction1.sections.0.blocks.6.dataset.0.y</t>
  </si>
  <si>
    <t>reportenablingaction1.sections.0.blocks.6.dataset.0.x_regular_gdp</t>
  </si>
  <si>
    <t>reportenablingaction1.sections.0.blocks.6.dataset.0.x</t>
  </si>
  <si>
    <t>reportenablingaction1.sections.0.blocks.6.dataset.0.stroke</t>
  </si>
  <si>
    <t>reportenablingaction1.sections.0.blocks.6.dataset.0.region</t>
  </si>
  <si>
    <t>reportenablingaction1.sections.0.blocks.6.caption</t>
  </si>
  <si>
    <t>Source: Organisational Development Department</t>
  </si>
  <si>
    <t>Source: département Développement organisationnel</t>
  </si>
  <si>
    <t>Fuente: Departamento de Desarrollo Institucional</t>
  </si>
  <si>
    <t>المصدر: قسم التنمية التنظيمية</t>
  </si>
  <si>
    <t>reportenablingaction1.sections.0.blocks.5</t>
  </si>
  <si>
    <t>Of interest to note is that National Society strength is not necessarily dependent on the wealth of its country, i.e. rich and poor can both become strong.</t>
  </si>
  <si>
    <t>Il est intéressant de noter que la force d’une Société nationale n’est pas nécessairement liée à la richesse de son pays; tant les Sociétés issues de pays riches que celles issues de pays plus pauvres peuvent devenir fortes.</t>
  </si>
  <si>
    <t>Es interesante observar que la fortaleza de las Sociedades Nacionales no depende necesariamente de la riqueza del respectivo país, es decir que tanto aquellas de países pobres como ricos pueden consolidar su funcionamiento.</t>
  </si>
  <si>
    <t>وتجدر الإشارة إلى أن قوة الجمعية الوطنية لا تتوقف بالضرورة على مدى ثراء البلد الذي تنتمي إليه، أي أن بإمكان الجمعية الوطنية أن تصبح قوية سواء أكانت غنية أم فقيرة.</t>
  </si>
  <si>
    <t>reportenablingaction1.sections.0.blocks.4.type</t>
  </si>
  <si>
    <t>reportenablingaction1.sections.0.blocks.4.title</t>
  </si>
  <si>
    <t>Assessing capacity attributes (example)</t>
  </si>
  <si>
    <t>Évaluer les capacités au regard d’une série de caractéristiques (exemple)</t>
  </si>
  <si>
    <t>Evaluación de los atributos de la capacidad (ejemplo)</t>
  </si>
  <si>
    <t>تقييم سمات القدرات (مثال)</t>
  </si>
  <si>
    <t>reportenablingaction1.sections.0.blocks.4.headings.1</t>
  </si>
  <si>
    <t>Succession management</t>
  </si>
  <si>
    <t>Gestion des successions</t>
  </si>
  <si>
    <t>Gestión del relevo</t>
  </si>
  <si>
    <t>إدارة إحلال المناصب</t>
  </si>
  <si>
    <t>reportenablingaction1.sections.0.blocks.4.headings.0</t>
  </si>
  <si>
    <t>Investing in skills</t>
  </si>
  <si>
    <t>Investir dans les compétences</t>
  </si>
  <si>
    <t>Inversión en aptitudes</t>
  </si>
  <si>
    <t>الاستثمار في المهارات</t>
  </si>
  <si>
    <t>reportenablingaction1.sections.0.blocks.4.dataset.5.2</t>
  </si>
  <si>
    <t>The National Society as a succession plan for its key management.</t>
  </si>
  <si>
    <t>La Société nationale a un plan relatif aux successions aux postes de direction.</t>
  </si>
  <si>
    <t>La Sociedad Nacional dispone de un plan de relevo para sus principales cargos directivos.</t>
  </si>
  <si>
    <t>لدى الجمعية الوطنية خطة إحلال لمناصب الإدارة العليا.</t>
  </si>
  <si>
    <t>reportenablingaction1.sections.0.blocks.4.dataset.5.1</t>
  </si>
  <si>
    <t>The National Society has sufficient skills and resources to engage in new, or expand existing activities in response to the needs of the community.</t>
  </si>
  <si>
    <t>La Société nationale dispose de suffisamment de compétences et de ressources pour se lancer dans de nouvelles activités ou élargir des activités existantes, afin de répondre aux besoins de la communauté.</t>
  </si>
  <si>
    <t>La Sociedad Nacional cuenta con aptitudes yrecursos suficientes para emprender nuevas actividades o ampliar las que ya ejecuta en apoyo a las necesidades de la comunidad.</t>
  </si>
  <si>
    <t>لدى الجمعية الوطنية من المهارات والموارد ما يكفي للانخراط في أنشطة جديدة، أو التوسع في أنشطة قائمة، لتلبية حاجات المجتمعات المحلية.</t>
  </si>
  <si>
    <t>reportenablingaction1.sections.0.blocks.4.dataset.5.0</t>
  </si>
  <si>
    <t>E</t>
  </si>
  <si>
    <t>هـ</t>
  </si>
  <si>
    <t>reportenablingaction1.sections.0.blocks.4.dataset.4.2</t>
  </si>
  <si>
    <t>The National Society provides general management/governance training to potential candidates for key positions in the future.</t>
  </si>
  <si>
    <t>La Société nationale offre une formation générale en matière de direction/ gouvernance aux futurs candidats potentiels à des postes clés.</t>
  </si>
  <si>
    <t>La Sociedad Nacional facilita formación en materia de gestión y buen gobierno a los eventuales candidatos que podrían aspirar a cargos directivos en el futuro.</t>
  </si>
  <si>
    <t>توفر الجمعية الوطنية دورات تدريبية بشأن مهارات الحكم والإدارة العامة من أجل المرشحين المحتمل تقلدهم مناصب رئيسية في المستقبل.</t>
  </si>
  <si>
    <t>reportenablingaction1.sections.0.blocks.4.dataset.4.1</t>
  </si>
  <si>
    <t>The National Society has identified the skills of volunteer and staff necessary to help it ‘to do more, do better and reach further’. The National Society consciouly develops those skills.</t>
  </si>
  <si>
    <t>La Société nationale a recensé les compétences des volontaires et du personnel qui sont nécessaires pour l’aider à faire plus, à faire mieux et à aller plus loin. Elle s’emploie à renforcer ces compétences.</t>
  </si>
  <si>
    <t>La Sociedad Nacional ha identificado las aptitudes de los voluntarios y de los miembros del personal necesarias para ayudarle a “hacer más, hacerlo mejor y lograr más”. La Sociedad Nacional se dedica con determinación a fomentar esas aptitudes.</t>
  </si>
  <si>
    <t>تحدد الجمعية الوطنية المهارات التي يلزم توافرها لدى المتطوعين والعاملين لمساعدتها على ‘بذل المزيد، بشكل أفضل، وتحقيق المزيد’. وتقوم الجمعية الوطنية بتطوير تلك المهارات بشكلٍ واعٍ.</t>
  </si>
  <si>
    <t>reportenablingaction1.sections.0.blocks.4.dataset.4.0</t>
  </si>
  <si>
    <t>D</t>
  </si>
  <si>
    <t>د</t>
  </si>
  <si>
    <t>reportenablingaction1.sections.0.blocks.4.dataset.3.0</t>
  </si>
  <si>
    <t>Midpoint minimum standard for all National Societies</t>
  </si>
  <si>
    <t>Niveau de référence pour toutes les Sociétés nationales</t>
  </si>
  <si>
    <t>Normas promedio mínimas para todas las Sociedades Nacionales</t>
  </si>
  <si>
    <t>المعايير الدنيا لكل الجمعيات الوطنية</t>
  </si>
  <si>
    <t>reportenablingaction1.sections.0.blocks.4.dataset.2.2</t>
  </si>
  <si>
    <t>The National Society invests in training of identified talents and facilitates their exposure to internal and external learning opportunities.</t>
  </si>
  <si>
    <t>La Société nationale investit dans la formation des personnes qu’elle a identifiées comme étant des talents et leur permet de bénéficier de possibilités d’apprentissage à l’intérieur et à l’extérieur de l’organisation.</t>
  </si>
  <si>
    <t>La Sociedad Nacional invierte en la formación de las personas con determinadas aptitudes y facilita su acceso a oportunidades de formación internas y externas.</t>
  </si>
  <si>
    <t>تستثمر الجمعية الوطنية في تدريب المتميزين المحددين، وتتولى تسهيل احتكاكهم بفرص التعلم الداخلية والخارجية.</t>
  </si>
  <si>
    <t>reportenablingaction1.sections.0.blocks.4.dataset.2.1</t>
  </si>
  <si>
    <t>The recruitement of volunteers differentiates between general recruitement and the recruitment of specific groups and profiles.</t>
  </si>
  <si>
    <t>La procédure de recrutement des volontaires fait une distinction entre le recrutement général et le recrutement de groupes et profils spécifiques.</t>
  </si>
  <si>
    <t>Los responsables de lograr la adhesión de los voluntarios diferencian entre la captación general de voluntarios y la captación de voluntarios pertenecientes a grupos específicos o con determinadas características.</t>
  </si>
  <si>
    <t>استقطاب المتطوعين بشكل يمايز بين الاستقطاب العام واستقطاب مجموعات معينة أو متطوعين ذوي قدرات معينة.</t>
  </si>
  <si>
    <t>reportenablingaction1.sections.0.blocks.4.dataset.2.0</t>
  </si>
  <si>
    <t>C</t>
  </si>
  <si>
    <t>ج</t>
  </si>
  <si>
    <t>reportenablingaction1.sections.0.blocks.4.dataset.1.2</t>
  </si>
  <si>
    <t>The National Society keeps track of talent in its volunteers and staff base. Transition from Red Cross and Red Crescent Youth to volunteer is promoted and monitored by the leadership</t>
  </si>
  <si>
    <t>La Société nationale répertorie les meilleurs éléments dans sa base de volontaires et de membres du personnel. La direction encourage les jeunes de la Croix-Rouge et du Croissant-Rouge Jeunesse à devenir volontaires, et elle assure le suivi de ce processus.</t>
  </si>
  <si>
    <t>La Sociedad Nacional realiza un seguimiento de las aptitudes de sus voluntarios y de los miembros de su personal. Las instancias directivas promueven y vigilan la transición a voluntario de los jóvenes de la Cruz Roja y de la Media Luna Roja.</t>
  </si>
  <si>
    <t>تتابع الجمعية الوطنية المتميزين من المتطوعين والموظفين. وتشجع الشباب على الانتقال من شباب الصليب الأحمر والهلال الأحمر إلى متطوعين في الصليب الأحمر والهلال الأحمر، وعلى قيادة الجمعية متابعة ذلك.</t>
  </si>
  <si>
    <t>reportenablingaction1.sections.0.blocks.4.dataset.1.1</t>
  </si>
  <si>
    <t>The National Society keeps track of the skills and profiles it needs for the implementation of its activities</t>
  </si>
  <si>
    <t>La Société nationale répertorie les compétences et les profils dont elle a besoin pour mettre en œuvre ses activités.</t>
  </si>
  <si>
    <t>La Sociedad Nacional realiza un seguimiento de las aptitudes y de las características de los recursos humanos que necesita para la ejecución de sus actividades.</t>
  </si>
  <si>
    <t>تتابع الجمعية الوطنية المهارات والقدرات التي تحتاجها من أجل تنفيذ أنشطتها.</t>
  </si>
  <si>
    <t>reportenablingaction1.sections.0.blocks.4.dataset.1.0</t>
  </si>
  <si>
    <t>B</t>
  </si>
  <si>
    <t>ب</t>
  </si>
  <si>
    <t>reportenablingaction1.sections.0.blocks.4.dataset.0.2</t>
  </si>
  <si>
    <t>Step B not met</t>
  </si>
  <si>
    <t>Niveau B non atteint pour cette caractéristique</t>
  </si>
  <si>
    <t>Atributo no satisfecho</t>
  </si>
  <si>
    <t>خطوة (ب) غير مستوفاة</t>
  </si>
  <si>
    <t>reportenablingaction1.sections.0.blocks.4.dataset.0.1</t>
  </si>
  <si>
    <t>reportenablingaction1.sections.0.blocks.4.dataset.0.0</t>
  </si>
  <si>
    <t>A</t>
  </si>
  <si>
    <t>أ</t>
  </si>
  <si>
    <t>reportenablingaction1.sections.0.blocks.4.caption</t>
  </si>
  <si>
    <t>reportenablingaction1.sections.0.blocks.3</t>
  </si>
  <si>
    <t>We assess our capacities through our own Organisational Capacity Assessment and Certification (OCAC) method. This starts with a systematised self-assessment of 85 attributes, each of which are rated on a cumulative five-step score with a midpoint minimum standard to be reached by all.</t>
  </si>
  <si>
    <t>Nous évaluons nos capacités au moyen de notre processus d’Évaluation et de certification des capacités organisationnelles (ECCO). Le processus débute par une auto-évaluation systématisée portant sur 85 caractéristiques. Chaque caractéristique est évaluée sur une échelle cumulative allant de un à cinq, l’objectif étant d’atteindre le niveau de référence pour chacune des caractéristiques.</t>
  </si>
  <si>
    <t>La evaluación de las capacidades se realiza a través del proceso de certificación y evaluación de la capacidad institucional que comienza con una fase de autoevaluación sistematizada en torno a ochenta y cinco (85) características calificadas conforme a una escala acumulativa de cinco niveles. Todos los miembros deben satisfacer un nivel medio mínimo.</t>
  </si>
  <si>
    <t>ونحن نقيّم خبراتنا من خلال منهجنا لتقييم القدرات وتصديقها. ويبدأ ذلك بتقييم ذاتي ممنهج لخمس وثمانين سمة من سمات القدرات، تُقيّم كل منها وفق مقياس من خمس درجات، على أن تبلغ جميعها معايير دنيا عند نقطة الوسط.</t>
  </si>
  <si>
    <t>reportenablingaction1.sections.0.blocks.2</t>
  </si>
  <si>
    <t>National Societies are born from and rooted within their own contexts. A strong National Society is one that is able to deliver countrywide, through a network of volunteer-based units, a relevant service to vulnerable people sustained for as long as needed. Many decades of tried and tested experience indicates that the strength of a National Society comes from within its own organisational dynamic that includes a set of interconnected core capacities.</t>
  </si>
  <si>
    <t>Les Sociétés nationales sont profondément enracinées dans le contexte dans lequel elles opèrent. Une Société nationale forte est capable de fournir, dans tout le pays, par le biais d’un réseau d’unités fonctionnant à l’aide de volontaires, un service approprié aux personnes vulnérables, aussi longtemps qu’elles en ont besoin.</t>
  </si>
  <si>
    <t>Las Sociedades Nacionales nacen y cobran arraigo en su respectivo contexto. Una Sociedad Nacional sólida es aquella que, de manera constante y mientras sea necesario, presta servicios pertinentes en todo el país en beneficio de las personas vulnerables, a través de una red de unidades que recurren a voluntarios. De decenios de experiencia comprobada y verificada se desprende que la fortaleza de las Sociedades Nacionales surge de su propia dinámica institucional, que abarca diversas capacidades esenciales que guardan relación entre sí.</t>
  </si>
  <si>
    <t>فالجمعيات الوطنية تنشأ وتتجذر في سياقها الخاص. والجمعية الوطنية القوية هي الجمعية القادرة على تقديم خدمات مناسبة ومستمرة طالما كانت هناك حاجة إليها، للمستضعفين على نطاق البلد، ومن خلال شبكة من الوحدات التي تستعين بالمتطوعين. وتشير عقود من التجربة التي جرى اختبارها وتجربتها إلى أن قوة الجمعية الوطنية تأتي من داخل قطاعاتها الدينامية التنظيمية التي تشمل مجموعة من القدرات الجوهرية المترابطة.</t>
  </si>
  <si>
    <t>reportenablingaction1.sections.0.blocks.1.title</t>
  </si>
  <si>
    <t>Core capacities</t>
  </si>
  <si>
    <t>Capacités essentielles</t>
  </si>
  <si>
    <t xml:space="preserve">Capacidades básicas </t>
  </si>
  <si>
    <t>القدرات الجوهرية</t>
  </si>
  <si>
    <t>reportenablingaction1.sections.0.blocks.1.caption</t>
  </si>
  <si>
    <t>Source: Département du développement organisationnel</t>
  </si>
  <si>
    <t>reportenablingaction1.sections.0.blocks.0</t>
  </si>
  <si>
    <t>The combined service delivery ability of National Societies is the main strength of the IFRC and, indeed, the whole Movement.</t>
  </si>
  <si>
    <t>La capacité combinée des Sociétés nationales de fournir des services est la principale force de la Fédération et du Mouvement dans son ensemble.</t>
  </si>
  <si>
    <t>La mayor fortaleza de la Federación Internacional y del Movimiento en su conjunto reside en la capacidad aunada de servicio de las Sociedades Nacionales.</t>
  </si>
  <si>
    <t>وتمثل القدرة المشتركة للجمعيات الوطنية على تقديم الخدمات موطن القوة الرئيسي للاتحاد الدولي وللحركة برمتها.</t>
  </si>
  <si>
    <t>reportenablingaction1.nextchapter.title</t>
  </si>
  <si>
    <t>reportenablingaction1.nextchapter.subtitle</t>
  </si>
  <si>
    <t>reportenablingaction1.nextchapter.slug</t>
  </si>
  <si>
    <t>reportenablingaction1.nextchapter.heading</t>
  </si>
  <si>
    <t>reportenablingaction1.nextchapter.chapter</t>
  </si>
  <si>
    <t>reportenablingaction1.intro</t>
  </si>
  <si>
    <t>National Societies are born from and rooted within their own contexts. A strong National Society is one that is able to deliver countrywide, through a network of volunteer-based units, a relevant service to vulnerable people sustained for as long as needed.</t>
  </si>
  <si>
    <t>Las Sociedades Nacionales nacen y cobran arraigo en su respectivo contexto. Una Sociedad Nacional sólida es aquella que, de manera constante y mientras sea necesario, presta servicios pertinentes en todo el país en beneficio de las personas vulnerables, a través de una red de unidades que recurren a voluntarios.</t>
  </si>
  <si>
    <t>الجمعيات الوطنية تنشأ وتتجذر في سياقها الخاص. والجمعية الوطنية القوية هي الجمعية القادرة على تقديم خدمات مناسبة ومستمرة طالما كانت هناك حاجة إليها، للمستضعفين على نطاق البلد، ومن خلال شبكة من الوحدات التي تستعين بالمتطوعين.</t>
  </si>
  <si>
    <t>reportenablingaction1.chapter</t>
  </si>
  <si>
    <t>reportcommon.site-title</t>
  </si>
  <si>
    <t>Everyone counts progress 2019</t>
  </si>
  <si>
    <t>Tout le monde compte Bilan jusqu’en 2015</t>
  </si>
  <si>
    <t>Todos y cada uno tienen importancia - Progreso hasta 2015</t>
  </si>
  <si>
    <t>نعتدّ بالجميع حصيلة عام ٢٠١٥</t>
  </si>
  <si>
    <t>reportcommon.signature.1</t>
  </si>
  <si>
    <t>Lapidus Interactive</t>
  </si>
  <si>
    <t>reportcommon.signature.0</t>
  </si>
  <si>
    <t>website by:</t>
  </si>
  <si>
    <t>site par:</t>
  </si>
  <si>
    <t>Página web por:</t>
  </si>
  <si>
    <t>الموقع من قبل:</t>
  </si>
  <si>
    <t>reportcommon.share</t>
  </si>
  <si>
    <t>share</t>
  </si>
  <si>
    <t>partager</t>
  </si>
  <si>
    <t>Compartir</t>
  </si>
  <si>
    <t>شارك</t>
  </si>
  <si>
    <t>reportcommon.reporttype</t>
  </si>
  <si>
    <t>reportcommon.pretitle</t>
  </si>
  <si>
    <t>Everyone counts</t>
  </si>
  <si>
    <t>Tout le monde compte</t>
  </si>
  <si>
    <t>Todos y cada uno tienen importancia</t>
  </si>
  <si>
    <t>نعتدّ بالجميع</t>
  </si>
  <si>
    <t>reportcommon.home.title.2</t>
  </si>
  <si>
    <t>reportcommon.home.title.1</t>
  </si>
  <si>
    <t>counts</t>
  </si>
  <si>
    <t>compte</t>
  </si>
  <si>
    <t>importancia</t>
  </si>
  <si>
    <t>reportcommon.home.title.0</t>
  </si>
  <si>
    <t>Everyone</t>
  </si>
  <si>
    <t>Tout le monde</t>
  </si>
  <si>
    <t>Todos y cada uno tienen</t>
  </si>
  <si>
    <t>reportcommon.home.strategicaims</t>
  </si>
  <si>
    <t>Strategic aims</t>
  </si>
  <si>
    <t>Objectifs stratégiques</t>
  </si>
  <si>
    <t>Objetivos estratégicos</t>
  </si>
  <si>
    <t>الأهداف الاستراتيجية</t>
  </si>
  <si>
    <t>reportcommon.home.signatures.1.title</t>
  </si>
  <si>
    <t>Secrétaire général</t>
  </si>
  <si>
    <t>Secretario General</t>
  </si>
  <si>
    <t>reportcommon.home.signatures.1.name</t>
  </si>
  <si>
    <t>Elhadj As Sy</t>
  </si>
  <si>
    <t>الحاج آس سي</t>
  </si>
  <si>
    <t>reportcommon.home.signatures.0.title</t>
  </si>
  <si>
    <t>President</t>
  </si>
  <si>
    <t>Président</t>
  </si>
  <si>
    <t>Presidente</t>
  </si>
  <si>
    <t>الرئيس</t>
  </si>
  <si>
    <t>reportcommon.home.signatures.0.name</t>
  </si>
  <si>
    <t>Tadateru Konoé</t>
  </si>
  <si>
    <t>تداتيرو كونوي</t>
  </si>
  <si>
    <t>reportcommon.home.sections.3.title</t>
  </si>
  <si>
    <t>Annexes</t>
  </si>
  <si>
    <t>Apéndices</t>
  </si>
  <si>
    <t>المرفقات</t>
  </si>
  <si>
    <t>reportcommon.home.sections.3.id</t>
  </si>
  <si>
    <t>Section 4</t>
  </si>
  <si>
    <t>Sección 4</t>
  </si>
  <si>
    <t>القسم ٤</t>
  </si>
  <si>
    <t>reportcommon.home.sections.2.title</t>
  </si>
  <si>
    <t>Enabling actions</t>
  </si>
  <si>
    <t>Actions facilitatrices</t>
  </si>
  <si>
    <t>Acciónes facilitadores</t>
  </si>
  <si>
    <t>أفعال التمكين</t>
  </si>
  <si>
    <t>reportcommon.home.sections.2.statistic.text</t>
  </si>
  <si>
    <t>reportcommon.home.sections.2.statistic.number</t>
  </si>
  <si>
    <t>reportcommon.home.sections.2.quote</t>
  </si>
  <si>
    <t>Depuis l’adoption de la Stratégie 2020, les principales mesures prises pour améliorer notre fonctionnement en tant que Fédération ont consisté à renforcer notre gouvernance, à mettre en place un cadre de redevabilité et à promouvoir une culture de l’apprentissage.</t>
  </si>
  <si>
    <t>ومنذ اعتماد الاستراتيجية حتى عام ٢٠٢٠، جرى تعزيز معظم الجهود الرامية إلى تحسين عملنا، حيث ركز الاتحاد الدولي على تعزيز إدارتنا، وإدراج إطار للمساءلة، وتعزيز ثقافة التعلم.</t>
  </si>
  <si>
    <t>reportcommon.home.sections.2.id</t>
  </si>
  <si>
    <t>Section 3</t>
  </si>
  <si>
    <t>Sección 3</t>
  </si>
  <si>
    <t>القسم ٣</t>
  </si>
  <si>
    <t>reportcommon.home.sections.2.fact</t>
  </si>
  <si>
    <t>To inspire, encourage, facilitate and promote at all times all forms of humanitarian activities by National Societies, with a view to preventing and alleviating human suffering, and thereby contributing to the maintenance and promotion of human dignity and peace in the world.</t>
  </si>
  <si>
    <t>La capacité combinée des Sociétés nationales de fournir des services est la principale force de la Fédération et du Mouvement dans son ensemble.</t>
  </si>
  <si>
    <t>reportcommon.home.sections.1.title</t>
  </si>
  <si>
    <t>reportcommon.home.sections.1.statistic.text</t>
  </si>
  <si>
    <t>People reached by disaster response and early recovery programmes</t>
  </si>
  <si>
    <t>de personnes ont bénéficié des programmes d’intervention en cas de catastrophe et de relèvement précoce</t>
  </si>
  <si>
    <t>Beneficiarios de las intervenciones motivadas por desastres y de programas en apoyo a la recuperación inicial</t>
  </si>
  <si>
    <t>شخص مشمول ببرامج مواجهة الكوارث والانتعاش المبكر</t>
  </si>
  <si>
    <t>reportcommon.home.sections.1.statistic.number</t>
  </si>
  <si>
    <t>110M</t>
  </si>
  <si>
    <t>١١٠ مليون</t>
  </si>
  <si>
    <t>reportcommon.home.sections.1.quote</t>
  </si>
  <si>
    <t>Depuis leurs débuts, la Croix-Rouge et le Croissant-Rouge sont surtout connus pour leur mission, qui est d’apporter une aide d’urgence et un réconfort aux personnes en détresse.</t>
  </si>
  <si>
    <t>Desde sus orígenes, se conoce a las organizaciones de la Cruz￼Roja y de la Media Luna Roja por su cometido de prestar asistencia urgente y consuelo a las personas en momentos de gran necesidad</t>
  </si>
  <si>
    <t xml:space="preserve">وعُرف الصليب الأحمر والهلال الأحمر، منذ الأيام الأولى لتأسيسه، وهو بمهمته المتمثلة في تقديم المساعدات العاجلة وتوفير الراحة في وقت الشدة لمن هم في أمس الحاجة إليها. </t>
  </si>
  <si>
    <t>reportcommon.home.sections.1.id</t>
  </si>
  <si>
    <t>Section 2</t>
  </si>
  <si>
    <t>Sección 2</t>
  </si>
  <si>
    <t>القسم ٢</t>
  </si>
  <si>
    <t>reportcommon.home.sections.1.fact</t>
  </si>
  <si>
    <t>The network of the International Federation of Red Cross and Red Crescent Societies spans 190 countries.</t>
  </si>
  <si>
    <t>La vision de la Fédération est: Inspirer, encourager, faciliter et promouvoir en tout moment toutes les formes dactivités humanitaires des Sociétées Nationales, en visant à prévenir et appaiser les souffrances humaines, ce qui contribue a maintenir et promouvoir le respect de la dignité et la paix dans le monde.</t>
  </si>
  <si>
    <t>La visión de la Federación es: Inspirar, estimular, facilitar y promover en todo momento todas las formas de actividades humanitarias realizadas por las sociedades Nacionales, con el propósito de prevenir y aliviar el sufrimiento humano, con lo que se contribuye al mantenimiento y la promoción de la dignidad humana y la paz en el mundo.</t>
  </si>
  <si>
    <t>تمتد شبكة الاتحاد الدولي لجمعيات الصليب الأحمر والهلال الأحمر إلى ١٩٠ دولة.</t>
  </si>
  <si>
    <t>reportcommon.home.sections.0.title</t>
  </si>
  <si>
    <t>reportcommon.home.sections.0.statistic.text</t>
  </si>
  <si>
    <t>Members</t>
  </si>
  <si>
    <t>Membres</t>
  </si>
  <si>
    <t>Miembros</t>
  </si>
  <si>
    <t>أعضاء</t>
  </si>
  <si>
    <t>reportcommon.home.sections.0.statistic.number</t>
  </si>
  <si>
    <t>80M</t>
  </si>
  <si>
    <t>۸۰ مليون</t>
  </si>
  <si>
    <t>reportcommon.home.sections.0.quote</t>
  </si>
  <si>
    <t>All that we do is guided by our Fundamental Principles, which are distilled from out collective experience accumulated over more than a century.</t>
  </si>
  <si>
    <t>reportcommon.home.sections.0.id</t>
  </si>
  <si>
    <t>Section 1</t>
  </si>
  <si>
    <t>Sección 1</t>
  </si>
  <si>
    <t>القسم ١</t>
  </si>
  <si>
    <t>reportcommon.home.sections.0.fact</t>
  </si>
  <si>
    <t>Le réseau mondial de la Croix-Rouge et du Croissant- Rouge s’est étendu de manière continue depuis sa naissance en 1863. Il compte 190 Sociétés nationales depuis 2015.</t>
  </si>
  <si>
    <t>reportcommon.home.section4</t>
  </si>
  <si>
    <t>reportcommon.home.section3</t>
  </si>
  <si>
    <t>reportcommon.home.section2</t>
  </si>
  <si>
    <t>reportcommon.home.section1</t>
  </si>
  <si>
    <t>reportcommon.home.overview</t>
  </si>
  <si>
    <t>reportcommon.home.intro.1</t>
  </si>
  <si>
    <t>The picture presented in this report is encouraging. In 2013, you, the National Red Cross and Red Crescent Societies, reached more than 110 million people with disaster response and early recovery services.</t>
  </si>
  <si>
    <t>Le tableau présenté dans ce rapport est encourageant. En 2013, vous, les Sociétés nationales de la Croix-Rouge et du Croissant-Rouge, avez porté assistance à plus de 110 millions de personnes dans le cadre de vos opérations durgence en cas de catastrophe et de vos programmes de relèvement précoce.</t>
  </si>
  <si>
    <t>El panorama que traza este informe es alentador. En 2013, las Sociedades Nacionales de la Cruz Roja y de la Media Luna Roja prestaron ayuda a más de ciento diez (110) millones de personas mediante servicios de intervención y de recuperación temprana.</t>
  </si>
  <si>
    <t>والصورة المعروضة في هذا التقرير مشجعة للغاية. ففي عام ٢٠١٣، استطاعت جمعيات الصليب الأحمر والهلال الأحمر الوطنية أن تغطي أكثر من ١١٠ مليون شخص من خلال برامج الاستجابة للكوارث والٳنتعاش المبكر.</t>
  </si>
  <si>
    <t>reportcommon.home.intro.0</t>
  </si>
  <si>
    <t>Halfway through this decade, and as we begin to close on the centenary of the International Federation of Red Cross and Red Crescent Societies (IFRC), it is timely to take stock of our delivery against the aspirations of Strategy 2020.</t>
  </si>
  <si>
    <t>À mi-parcours de cette décennie, et à quelques années du centenaire de la Fédération internationale des Sociétés de la Croix-Rouge et du Croissant-Rouge (Fédération), le moment est venu de dresser le bilan de nos réalisations à la lumière des aspirations de la Stratégie 2020.</t>
  </si>
  <si>
    <t>Una vez transcurridos los cinco primeros años del decenio y a medida que se aproxima el centenario de la Federación Internacional de Sociedades de la Cruz Roja y de la Media Luna Roja (Federación Internacional) es oportuno establecer un balance de nuestros resultados con respecto a las aspiraciones enunciadas en la Estrategia 2020</t>
  </si>
  <si>
    <t>لقد آن الأوان ونحن في منتصف العقد الجاري ونقترب من الذكرى المئوية لتأسيس اتحادنا الدولي لتقييم ما حققناه من تطلعات الاستراتيجية حتى عام ٢٠٢٠.</t>
  </si>
  <si>
    <t>reportcommon.home.enablingactions</t>
  </si>
  <si>
    <t>reportcommon.home.downloadreportsection.titleold</t>
  </si>
  <si>
    <t>reportcommon.home.downloadreportsection.title</t>
  </si>
  <si>
    <t>reportcommon.home.downloadreportsection.pretitleold</t>
  </si>
  <si>
    <t>Click here to see previous years reports</t>
  </si>
  <si>
    <t>2014 - 2018</t>
  </si>
  <si>
    <t>reportcommon.home.downloadreportsection.pretitle</t>
  </si>
  <si>
    <t>Report</t>
  </si>
  <si>
    <t>Bilan</t>
  </si>
  <si>
    <t>Informe</t>
  </si>
  <si>
    <t>تقرير</t>
  </si>
  <si>
    <t>reportcommon.home.downloadreportsection.buttons.3</t>
  </si>
  <si>
    <t>Download the report in Arabic</t>
  </si>
  <si>
    <t>Télécharger le bilan en arabe</t>
  </si>
  <si>
    <t>Descargar en árabe</t>
  </si>
  <si>
    <t>تنزيل التقرير باللغة العربية</t>
  </si>
  <si>
    <t>reportcommon.home.downloadreportsection.buttons.2</t>
  </si>
  <si>
    <t>Download the report in Spanish</t>
  </si>
  <si>
    <t>Télécharger le bilan en espagnol</t>
  </si>
  <si>
    <t>Descargar en español</t>
  </si>
  <si>
    <t>تنزيل التقرير باللغة الإسبانية</t>
  </si>
  <si>
    <t>reportcommon.home.downloadreportsection.buttons.1</t>
  </si>
  <si>
    <t>Download the report in French</t>
  </si>
  <si>
    <t>Télécharger le bilan en français</t>
  </si>
  <si>
    <t>Descargar en francés</t>
  </si>
  <si>
    <t>تنزيل التقرير باللغة الفرنسية</t>
  </si>
  <si>
    <t>reportcommon.home.downloadreportsection.buttons.0</t>
  </si>
  <si>
    <t>Download the report in English</t>
  </si>
  <si>
    <t>Télécharger le bilan en anglais</t>
  </si>
  <si>
    <t>Descargar en ingles</t>
  </si>
  <si>
    <t>تنزيل التقرير باللغة الإنجليزية</t>
  </si>
  <si>
    <t>reportcommon.home.downloadreportsection.body</t>
  </si>
  <si>
    <t>The Everyone counts report – may 2019 issue is available in all four working languages of the IFRC. Choose a download from below.</t>
  </si>
  <si>
    <t>Le rapport Tout le monde compte - édition mai 2019 est disponible dans les quatre langues de travail de la FICR. Téléchargez le ci-dessous dans la langue de votre choix.</t>
  </si>
  <si>
    <t>La edición de mayo de 2019 del informe Todos y cada uno tienen importancia se encuentra disponible en los cuatro idiomas de trabajo de la Federación Internacional. Seleccione el enlace correspondiente para descargar el texto que prefiera.</t>
  </si>
  <si>
    <t>تقرير نعتدّ بالجميع – طبعة مايو ٢٠١٩ متوفر في جميع لغات العمل الأربع للاتحاد الدولي. اختر تنزيلاً من القائمة أدناه:</t>
  </si>
  <si>
    <t>reportcommon.download</t>
  </si>
  <si>
    <t>Download</t>
  </si>
  <si>
    <t>Télécharger le bilan</t>
  </si>
  <si>
    <t>Descargar</t>
  </si>
  <si>
    <t>تحميل</t>
  </si>
  <si>
    <t>reportcommon.copyright</t>
  </si>
  <si>
    <t>Copyright © The International Federation of Red Cross and Red Crescent Societies. All rights reserved.</t>
  </si>
  <si>
    <t>Copyright © La Federación Internacional de Sociedades de la Cruz Roja y de la Media Luna Roja. Todos los derechos reservados.</t>
  </si>
  <si>
    <t xml:space="preserve">حقوق النشر © الاتحاد الدولي لجمعيات الصليب الأحمر والهلال الأحمر. </t>
  </si>
  <si>
    <t>reportcommon.chapters.data.title</t>
  </si>
  <si>
    <t>Explorez les données</t>
  </si>
  <si>
    <t>اشتكشاف البيانات</t>
  </si>
  <si>
    <t>reportcommon.chapters.data.pretitle</t>
  </si>
  <si>
    <t>Data tools</t>
  </si>
  <si>
    <t>Outils de données</t>
  </si>
  <si>
    <t>أدوات البيانات</t>
  </si>
  <si>
    <t>reportcommon.chapters.data.button</t>
  </si>
  <si>
    <t>Explore the data from FDRS</t>
  </si>
  <si>
    <t>reportcommon.chapters.data.body.1</t>
  </si>
  <si>
    <t>Find information about your National Society</t>
  </si>
  <si>
    <t>Trouvez des informations sur votre Société nationale</t>
  </si>
  <si>
    <t>Información sobre su Sociedad Nacional</t>
  </si>
  <si>
    <t>العثور على معلومات خاصة بجمعيتكم الوطنية</t>
  </si>
  <si>
    <t>reportcommon.chapters.data.body.0</t>
  </si>
  <si>
    <t>See the seven key indicators across all National Societies</t>
  </si>
  <si>
    <t>Voir les sept indicateurs clés dans toutes les Sociétés nationales</t>
  </si>
  <si>
    <t>Las siete indicadores claves</t>
  </si>
  <si>
    <t>رؤية المؤشرات السبع الرئيسية في جميع الجمعيات الوطنية</t>
  </si>
  <si>
    <t>reportcommon.chapters.chapter9.title</t>
  </si>
  <si>
    <t>Fonctionner de manière efficace en tant que fédération internationale</t>
  </si>
  <si>
    <t>reportcommon.chapters.chapter9.pretitle</t>
  </si>
  <si>
    <t>reportcommon.chapters.chapter8.title</t>
  </si>
  <si>
    <t>Mener des activités de diplomatie humanitaire pour prévenir et réduire la vulnérabilité dans un monde interdépendant</t>
  </si>
  <si>
    <t>reportcommon.chapters.chapter8.pretitle</t>
  </si>
  <si>
    <t>reportcommon.chapters.chapter7.title</t>
  </si>
  <si>
    <t>Bâtir des sociétés nationales de la croix-rouge et du croissant-rouge fortes</t>
  </si>
  <si>
    <t>reportcommon.chapters.chapter7.pretitle</t>
  </si>
  <si>
    <t xml:space="preserve">Acción facilitadora 1 </t>
  </si>
  <si>
    <t>reportcommon.chapters.chapter6.title</t>
  </si>
  <si>
    <t>Promouvoir lintégration sociale et une culture de non-violence et de paix</t>
  </si>
  <si>
    <t>reportcommon.chapters.chapter6.pretitle</t>
  </si>
  <si>
    <t>reportcommon.chapters.chapter5.title</t>
  </si>
  <si>
    <t>reportcommon.chapters.chapter5.pretitle</t>
  </si>
  <si>
    <t>reportcommon.chapters.chapter4.title</t>
  </si>
  <si>
    <t>Sauver des views, protéger les moyens dexistence et renforcer le relèvement après les catastrophes et les crises</t>
  </si>
  <si>
    <t>reportcommon.chapters.chapter4.pretitle</t>
  </si>
  <si>
    <t>reportcommon.chapters.chapter3.title</t>
  </si>
  <si>
    <t>reportcommon.chapters.chapter2.title</t>
  </si>
  <si>
    <t>Nuestra Labor</t>
  </si>
  <si>
    <t>reportcommon.chapters.chapter1.title</t>
  </si>
  <si>
    <t>reportcommon.chapters.acknowledgements.title</t>
  </si>
  <si>
    <t>Acknowledgements</t>
  </si>
  <si>
    <t>Remerciements</t>
  </si>
  <si>
    <t>Agradecimiento</t>
  </si>
  <si>
    <t>شكر وتقدير</t>
  </si>
  <si>
    <t>quicklinks</t>
  </si>
  <si>
    <t>Quick Links</t>
  </si>
  <si>
    <t>Liens rapide</t>
  </si>
  <si>
    <t>pr</t>
  </si>
  <si>
    <t>رئيس</t>
  </si>
  <si>
    <t>pooled_f_chf</t>
  </si>
  <si>
    <t>Pooled funds</t>
  </si>
  <si>
    <t>Fonds communs</t>
  </si>
  <si>
    <t>Fondos mancomunados</t>
  </si>
  <si>
    <t>أموال مُجمَّعة</t>
  </si>
  <si>
    <t>pooled_f</t>
  </si>
  <si>
    <t>peoplereachedchart.kpi_reachrcrced_cpd</t>
  </si>
  <si>
    <t>Education</t>
  </si>
  <si>
    <t>Educación</t>
  </si>
  <si>
    <t>تعليم</t>
  </si>
  <si>
    <t>peoplereachedchart.kpi_reachhi_cpd</t>
  </si>
  <si>
    <t>Immunisation</t>
  </si>
  <si>
    <t>Vaccination</t>
  </si>
  <si>
    <t>Inmunización</t>
  </si>
  <si>
    <t>تلقيح</t>
  </si>
  <si>
    <t>peoplereachedchart.kpi_reachhpm_cpd</t>
  </si>
  <si>
    <t>Mental health and psychosocial support</t>
  </si>
  <si>
    <t>Santé mentale et de soutien psychosocial</t>
  </si>
  <si>
    <t>Salud mental y apoyo psicosocial</t>
  </si>
  <si>
    <t>الصحة النفسية والعقلية</t>
  </si>
  <si>
    <t>peoplereachedchart.kpi_climateheat_cpd</t>
  </si>
  <si>
    <t>Heatwave protection</t>
  </si>
  <si>
    <t>Vagues de chaleur</t>
  </si>
  <si>
    <t>Olas de calor</t>
  </si>
  <si>
    <t>موجات الحر</t>
  </si>
  <si>
    <t>peoplereachedchart.kpi_climate_cpd</t>
  </si>
  <si>
    <t>Climate risks</t>
  </si>
  <si>
    <t>Risques climatiques</t>
  </si>
  <si>
    <t>Riesgos climáticos</t>
  </si>
  <si>
    <t>مخاطر المناخ</t>
  </si>
  <si>
    <t>peoplereachedchart.kpi_reachwash_cpd</t>
  </si>
  <si>
    <t>Water, sanitation and hygiene</t>
  </si>
  <si>
    <t>Eau, à lassainissement et à lhygiène</t>
  </si>
  <si>
    <t>Agua,saneamiento e higiene</t>
  </si>
  <si>
    <t>المياه والصرف الصحي والنظافة</t>
  </si>
  <si>
    <t>peoplereachedchart.kpi_reachsi_cpd</t>
  </si>
  <si>
    <t>Social inclusion and building a culture of non-violence and peace</t>
  </si>
  <si>
    <t xml:space="preserve">Inclusion sociale </t>
  </si>
  <si>
    <t>Programas de Inclusión social y fomento de la cultura de paz y no violencia</t>
  </si>
  <si>
    <t>الإدماج الاجتماعي وبناء ثقافة اللاعنف والسلام</t>
  </si>
  <si>
    <t>peoplereachedchart.kpi_reachs_cpd</t>
  </si>
  <si>
    <t>Shelter</t>
  </si>
  <si>
    <t xml:space="preserve">Logement </t>
  </si>
  <si>
    <t>Alojamiento</t>
  </si>
  <si>
    <t>مَأوىً</t>
  </si>
  <si>
    <t>peoplereachedchart.kpi_reachm_cpd</t>
  </si>
  <si>
    <t xml:space="preserve">Migration </t>
  </si>
  <si>
    <t>peoplereachedchart.kpi_reachltspd_cpd</t>
  </si>
  <si>
    <t>Long term services and development programmes</t>
  </si>
  <si>
    <t>Services à long terme et les programmes de développement</t>
  </si>
  <si>
    <t>Programas de desarrollo y servicios a largo plazo</t>
  </si>
  <si>
    <t>خدمات وبرامج التنمية طويلة المدى</t>
  </si>
  <si>
    <t>peoplereachedchart.kpi_reachl_cpd</t>
  </si>
  <si>
    <t>Livelihoods</t>
  </si>
  <si>
    <t xml:space="preserve">Moyens de subsistance </t>
  </si>
  <si>
    <t>Medios de vida</t>
  </si>
  <si>
    <t>سبل العيش</t>
  </si>
  <si>
    <t>peoplereachedchart.kpi_reachh_cpd</t>
  </si>
  <si>
    <t>Health</t>
  </si>
  <si>
    <t>Santé</t>
  </si>
  <si>
    <t>Salud</t>
  </si>
  <si>
    <t>صحة</t>
  </si>
  <si>
    <t>peoplereachedchart.kpi_reachdrr_cpd</t>
  </si>
  <si>
    <t>Disaster risk reduction</t>
  </si>
  <si>
    <t>Réduction des risques de catastrophe</t>
  </si>
  <si>
    <t>Reducción de Desastres</t>
  </si>
  <si>
    <t>الحد من مخاطر الكوارث</t>
  </si>
  <si>
    <t>peoplereachedchart.kpi_reachdrer_cpd</t>
  </si>
  <si>
    <t>Disaster response and early recovery programmes</t>
  </si>
  <si>
    <t>Les programmes dintervention en cas de catastrophe et de relèvement précoce</t>
  </si>
  <si>
    <t>Programas de respuesta a los desastres y de recuperación temprana</t>
  </si>
  <si>
    <t>برامج الاستجابة للكوارث والإنعاش المبكر</t>
  </si>
  <si>
    <t>peoplereachedchart.kpi_reachctp_cpd</t>
  </si>
  <si>
    <t xml:space="preserve"> Transferts monétaires</t>
  </si>
  <si>
    <t>Programación de transferencias de dinero en efectivo</t>
  </si>
  <si>
    <t>برمجة التحويلات النقدية</t>
  </si>
  <si>
    <t>peoplereachedbytypeofactivity</t>
  </si>
  <si>
    <t>People reached by type of activity</t>
  </si>
  <si>
    <t xml:space="preserve">Personnes couvertes par type dactivité </t>
  </si>
  <si>
    <t>Personas alcanzadas por tipo de actividad</t>
  </si>
  <si>
    <t>overview.totalexpenditure</t>
  </si>
  <si>
    <t>Total Expenditure</t>
  </si>
  <si>
    <t>Dépenses totales</t>
  </si>
  <si>
    <t>Gastos totales</t>
  </si>
  <si>
    <t>overview.totalincome</t>
  </si>
  <si>
    <t>Total Income</t>
  </si>
  <si>
    <t>Recettes totales</t>
  </si>
  <si>
    <t>Ingresos totales</t>
  </si>
  <si>
    <t>overview.internationalscattersubtitle</t>
  </si>
  <si>
    <t>We analysed the number of people reached by partner National Societies in different countries, including their risk class. Learn more below.</t>
  </si>
  <si>
    <t>Nous avons analysé le nombre de personnes atteintes par les Sociétés nationales partenaires dans différents pays, y compris leur classe de risque. En savoir plus ci-dessous.</t>
  </si>
  <si>
    <t>Analizamos el número de personas a las que alcanzaron las Sociedades Nacionales Asociadas en diferentes países, incluida su clase de riesgo. Obtenga más información a continuación.</t>
  </si>
  <si>
    <t>قمنا بتحليل عدد الأشخاص الذين وصلت إليهم الجمعيات الوطنية الشريكة في مختلف البلدان ، بما في ذلك فئة المخاطر الخاصة بهم. تعرف على المزيد أدناه.</t>
  </si>
  <si>
    <t>overview.internationalscattertitle</t>
  </si>
  <si>
    <t>SCATTER BY COUNTRY</t>
  </si>
  <si>
    <t>RÉPARTITION PAR PAYS</t>
  </si>
  <si>
    <t>DISPERSIÓN POR PAÍS</t>
  </si>
  <si>
    <t>التوزيع حسب البلد</t>
  </si>
  <si>
    <t>overview.internationalexpendituresubtitle</t>
  </si>
  <si>
    <t>Many National Societies provide support to other National Societies within our network. Please find the summary for 2021 below.</t>
  </si>
  <si>
    <t>De nombreuses Sociétés nationales apportent leur soutien à dautres Sociétés nationales au sein de notre réseau. Veuillez trouver le résumé pour 2021 ci-dessous.</t>
  </si>
  <si>
    <t>Muchas Sociedades Nacionales brindan apoyo a otras Sociedades Nacionales dentro de nuestra red. Encuentre el resumen para 2021 a continuación.</t>
  </si>
  <si>
    <t>تقدم العديد من الجمعيات الوطنية الدعم للجمعيات الوطنية الأخرى داخل شبكتنا. يرجى الاطلاع على ملخص عام 2021 أدناه.</t>
  </si>
  <si>
    <t>overview.internationalexpendituretitle</t>
  </si>
  <si>
    <t>EXPENDITURE BY COUNTRY</t>
  </si>
  <si>
    <t>DÉPENSES PAR PAYS</t>
  </si>
  <si>
    <t>GASTO POR PAÍS</t>
  </si>
  <si>
    <t>الإنفاق حسب البلد</t>
  </si>
  <si>
    <t>overview.internationalactivitiessubtitle</t>
  </si>
  <si>
    <t>In addition to domestic activites, many National Socieites provide support to other National Socieites within our network. We have set out to grasp these efforts for the first time in 2021.</t>
  </si>
  <si>
    <t>En plus des activités nationales, de nombreuses Sociétés nationales apportent leur soutien à dautres Sociétés nationales au sein de notre réseau. Nous avons entrepris de saisir ces efforts pour la première fois en 2021.</t>
  </si>
  <si>
    <t>Además de las actividades nacionales, muchas Sociedades Nacionales brindan apoyo a otras Sociedades Nacionales dentro de nuestra red. Nos hemos propuesto a mapear estos esfuerzos por primera vez en 2021.</t>
  </si>
  <si>
    <t>بالإضافة إلى الأنشطة المحلية ، تقدم العديد من الجمعيات الوطنية الدعم إلى الجمعيات الوطنية الأخرى داخل شبكتنا. لقد شرعنا في استيعاب هذه الجهود لأول مرة في عام 2021.</t>
  </si>
  <si>
    <t>overview.internationalactivitiestitle</t>
  </si>
  <si>
    <t>INTERNATIONAL ACTIVITIES OF PARTNER NATIONAL SOCIETIES IN 2021, FIRST OVERVIEW</t>
  </si>
  <si>
    <t>ACTIVITÉS INTERNATIONALES DES SOCIÉTÉS NATIONALES PARTENAIRES EN 2021, PREMIER APERÇU</t>
  </si>
  <si>
    <t>ACTIVIDADES INTERNACIONALES DE LAS SOCIEDADES NACIONALES ASOCIADAS EN 2021, PRIMERA VISIÓN GENERAL</t>
  </si>
  <si>
    <t>الأنشطة الدولية للجمعيات الوطنية الشريكة في عام 2021 ، نظرة عامة أولى</t>
  </si>
  <si>
    <t>overview.internationaltabtitle</t>
  </si>
  <si>
    <t>International</t>
  </si>
  <si>
    <t>دولي</t>
  </si>
  <si>
    <t>overview.domestictabtitle</t>
  </si>
  <si>
    <t>Domestic</t>
  </si>
  <si>
    <t>Domestique</t>
  </si>
  <si>
    <t>Doméstico</t>
  </si>
  <si>
    <t>محلي</t>
  </si>
  <si>
    <t>overview.domesticinternationtext1</t>
  </si>
  <si>
    <t>In addition to the activities our 192 National Societies provide in their home countries, National Societies also provide support across their borders. Choose International to receive an overview of these international services.</t>
  </si>
  <si>
    <t>En plus des activités que nos 192 Sociétés Nationales proposent dans leur pays dorigine, les Sociétés Nationales apportent également un soutien au-delà de leurs frontières. Choisissez International pour recevoir un aperçu de ces services internationaux.</t>
  </si>
  <si>
    <t>Además de las actividades que nuestras 192 Sociedades Nacionales brindan en sus países de origen, las Sociedades Nacionales también brindan apoyo a través de sus fronteras. Elija Internacional para recibir una descripción general de estos servicios internacionales.</t>
  </si>
  <si>
    <t xml:space="preserve"> بالإضافة إلى الأنشطة التي توفرها جمعياتنا الوطنية البالغ عددها 192 في بلدانها الأصلية ، تقدم الجمعيات الوطنية أيضًا الدعم عبر حدودها. اختر "دولي" لتلقي نظرة عامة على هذه الخدمات الدولية</t>
  </si>
  <si>
    <t>overview.domesticinternationtext0</t>
  </si>
  <si>
    <t>overview.title</t>
  </si>
  <si>
    <t>The IFRC at a glance</t>
  </si>
  <si>
    <t>La FICR en bref</t>
  </si>
  <si>
    <t>La Federación Internacional de Sociedades de la Cruz Roja y de la Media Luna Roja de un vistazo</t>
  </si>
  <si>
    <t>لمحة شاملة عن الاتحاد الدولي</t>
  </si>
  <si>
    <t>overview.tabs.1.1</t>
  </si>
  <si>
    <t>overview.tabs.1.0</t>
  </si>
  <si>
    <t>overview.tabs.0.1</t>
  </si>
  <si>
    <t>overview.tabs.0.0</t>
  </si>
  <si>
    <t>overview.tableheaders.2</t>
  </si>
  <si>
    <t>Data for</t>
  </si>
  <si>
    <t>Données pour</t>
  </si>
  <si>
    <t>Datos para</t>
  </si>
  <si>
    <t>بيانات عام</t>
  </si>
  <si>
    <t>overview.tableheaders.1</t>
  </si>
  <si>
    <t>Trend</t>
  </si>
  <si>
    <t>Tendance</t>
  </si>
  <si>
    <t>Tendencia</t>
  </si>
  <si>
    <t>الاتجاه العام</t>
  </si>
  <si>
    <t>overview.tableheaders.0</t>
  </si>
  <si>
    <t>National Society name</t>
  </si>
  <si>
    <t>Nom de la Société nationale</t>
  </si>
  <si>
    <t>Nombre de la Sociedad Nacional</t>
  </si>
  <si>
    <t>overview.table</t>
  </si>
  <si>
    <t>Table</t>
  </si>
  <si>
    <t>Tableau</t>
  </si>
  <si>
    <t>Cuadro</t>
  </si>
  <si>
    <t>جدول البيانات</t>
  </si>
  <si>
    <t>overview.sorted</t>
  </si>
  <si>
    <t>Sorted</t>
  </si>
  <si>
    <t>Trié</t>
  </si>
  <si>
    <t>Ordenado</t>
  </si>
  <si>
    <t>overview.map</t>
  </si>
  <si>
    <t>Map</t>
  </si>
  <si>
    <t>Carte</t>
  </si>
  <si>
    <t>Mapa</t>
  </si>
  <si>
    <t>خريطة</t>
  </si>
  <si>
    <t>overview.hightolow</t>
  </si>
  <si>
    <t>High to low</t>
  </si>
  <si>
    <t>Ordre décroissant</t>
  </si>
  <si>
    <t>De mayor a menor</t>
  </si>
  <si>
    <t>من الاعلى الى الادنى</t>
  </si>
  <si>
    <t>overview.filterplaceholder</t>
  </si>
  <si>
    <t>Select National Societies to compare</t>
  </si>
  <si>
    <t>Choisir des sociétés nationales pour comparer</t>
  </si>
  <si>
    <t>Seleccionar Sociedades Nacionales para comparar</t>
  </si>
  <si>
    <t>اختيار الجمعيات الوطنية للمقارنة</t>
  </si>
  <si>
    <t>overview.exploremore</t>
  </si>
  <si>
    <t>Explore more on National Society Pages</t>
  </si>
  <si>
    <t>Explorer davantage sur les pages des Sociétés nationales</t>
  </si>
  <si>
    <t>Investigue más en las páginas de las Sociedades Nacionales</t>
  </si>
  <si>
    <t>overview.everyonecountstext</t>
  </si>
  <si>
    <t>The Everyone Counts report is a flagship publication of the International Federation of Red Cross and Red Crescent Societies (IFRC), reporting on the extraordinary achievements of all our 192 National Societies. The report takes the pulse of the network, going beyond asking ‘how many?’ by telling the invaluable stories behind the numbers.</t>
  </si>
  <si>
    <t>Le rapport "Tout le monde compte" est une publication phare de la Fédération internationale des Sociétés de la Croix-Rouge et du Croissant-Rouge (FICR), qui rend compte des réalisations extraordinaires de nos 192 Sociétés nationales. Le rapport prend le pouls du réseau, allant au-delà de la question "combien sont-ils?" en racontant les précieuses histoires qui se cachent derrière les chiffres.</t>
  </si>
  <si>
    <t>El informe Todos cuentan es una publicación emblemática de la Federación Internacional de Sociedades de la Cruz Roja y de la Media Luna Roja (FICR), que informa sobre los extraordinarios logros de nuestras 192 Sociedades Nacionales. El informe toma el pulso de la red, yendo más allá de la pregunta "¿cuántos?" al contar las valiosas historias que hay detrás de las cifras.</t>
  </si>
  <si>
    <t>overview.chart</t>
  </si>
  <si>
    <t>Chart</t>
  </si>
  <si>
    <t>Graphique</t>
  </si>
  <si>
    <t>Gráfico</t>
  </si>
  <si>
    <t>overview.bordermessage</t>
  </si>
  <si>
    <t>The boundaries and the designations used on this map do not imply the expression of any opinion on the part of the International Federation of Red Cross and Red Crescent Societies and are used for illustrative purposes only.</t>
  </si>
  <si>
    <t>Les limites et les désignations utilisées sur cette carte nimpliquent lexpression daucune opinion de la part de la Fédération internationale des Sociétés de la Croix-Rouge et du Croissant-Rouge et ne sont utilisées quà titre indicatif.</t>
  </si>
  <si>
    <t>Las fronteras y las denominaciones utilizadas en este mapa no implican la expresión de ninguna opinión por parte de la Federación Internacional de Sociedades de la Cruz Roja y de la Media Luna Roja y se utilizan únicamente con fines ilustrativos.</t>
  </si>
  <si>
    <t>outsupport</t>
  </si>
  <si>
    <t>Outgoing Support</t>
  </si>
  <si>
    <t>Soutien sortant</t>
  </si>
  <si>
    <t>Apoyo a la salida</t>
  </si>
  <si>
    <t>other_chf</t>
  </si>
  <si>
    <t>Autre</t>
  </si>
  <si>
    <t>غير ذلك</t>
  </si>
  <si>
    <t>orgrequired</t>
  </si>
  <si>
    <t>Se requiere organización.</t>
  </si>
  <si>
    <t xml:space="preserve">Lorganisaiton est requise </t>
  </si>
  <si>
    <t>Organisation is required.</t>
  </si>
  <si>
    <t>orgproperty</t>
  </si>
  <si>
    <t>Organización</t>
  </si>
  <si>
    <t>Organisation</t>
  </si>
  <si>
    <t>nswebsite</t>
  </si>
  <si>
    <t>NS Website</t>
  </si>
  <si>
    <t xml:space="preserve">Site Web de la Société nationale </t>
  </si>
  <si>
    <t>Sitio web de las SN</t>
  </si>
  <si>
    <t>nsprofiles</t>
  </si>
  <si>
    <t>NS Profiles</t>
  </si>
  <si>
    <t xml:space="preserve">Profils des Sociétés nationales </t>
  </si>
  <si>
    <t>Perfiles de las SN</t>
  </si>
  <si>
    <t>nsprofileinfotext</t>
  </si>
  <si>
    <t>{{Name}} was admitted to the IFRC in {{AdmissionDateYear}}. Key proxy indicators reported by the National Society since 2015 are available below, as well as copies of additional key documents.</t>
  </si>
  <si>
    <t>{{Name}} a été admis à la FICR en {{AdmissionDateYear}}. Les principaux indicateurs communiqués par la Société nationale depuis 2015 sont disponibles ci-dessous, ainsi que des copies de documents clés supplémentaires.</t>
  </si>
  <si>
    <t>{{Name}} fue admitido en la Federación Internacional en {{AdmissionDateYear}}. Los indicadores indirectos clave reportados por la Sociedad Nacional desde 2015 están disponibles a continuación así como copias de documentos clave adicionales.</t>
  </si>
  <si>
    <t>nsprofiledmqnotreported</t>
  </si>
  <si>
    <t>Not reported</t>
  </si>
  <si>
    <t>Non reporté</t>
  </si>
  <si>
    <t>No reportado</t>
  </si>
  <si>
    <t>لم يبلغ عنها</t>
  </si>
  <si>
    <t>nsprofiledmqtechnology</t>
  </si>
  <si>
    <t>Technology</t>
  </si>
  <si>
    <t>Technologie</t>
  </si>
  <si>
    <t>Tecnología</t>
  </si>
  <si>
    <t>تكنولوجيا</t>
  </si>
  <si>
    <t>nsprofiledmqprocess</t>
  </si>
  <si>
    <t>Process</t>
  </si>
  <si>
    <t>Traiter</t>
  </si>
  <si>
    <t>Proceso</t>
  </si>
  <si>
    <t>معالجة</t>
  </si>
  <si>
    <t>nsprofiledmqpeople</t>
  </si>
  <si>
    <t>People</t>
  </si>
  <si>
    <t>Personnes</t>
  </si>
  <si>
    <t>Gente</t>
  </si>
  <si>
    <t>الناس</t>
  </si>
  <si>
    <t>nsprofiledmqtitle</t>
  </si>
  <si>
    <t>Digital Maturity</t>
  </si>
  <si>
    <t>Maturité numérique</t>
  </si>
  <si>
    <t>Madurez digital</t>
  </si>
  <si>
    <t>النضج الرقمي</t>
  </si>
  <si>
    <t>nsprofilematuritylink</t>
  </si>
  <si>
    <t>click here</t>
  </si>
  <si>
    <t>cliquez ici</t>
  </si>
  <si>
    <t>haga clic aquí</t>
  </si>
  <si>
    <t xml:space="preserve"> انقر هنا.</t>
  </si>
  <si>
    <t>nsprofilematuritytext</t>
  </si>
  <si>
    <t xml:space="preserve">New! The IFRC has committed to digital transformation to strengthen our delivery of humanitarian services. National Societies are assessed on their ability to use digital means to enhance the relevance, speed, quality, accessibility and resilience of humanitarian services to people in need in a sustainable way. Digital maturity considers differing levels of data and digital capabilities, addressing three domains (people, process and tech) across three steps: beginner (step 1), competent (step 2), and expert (step 3). Read more: </t>
  </si>
  <si>
    <t>Nouveau! La FICR sest engagée dans la transformation numérique pour renforcer notre prestation de services humanitaires. Les Sociétés nationales sont évaluées sur leur capacité à utiliser les moyens numériques pour améliorer la pertinence, la rapidité, la qualité, laccessibilité et la résilience des services humanitaires aux personnes dans le besoin de manière durable. La maturité numérique prend en compte différents niveaux de données et de capacités numériques, abordant trois domaines (personnes, processus et technologie) en trois étapes : débutant (étape 1), compétent (étape 2) et expert (étape 3). En savoir plus :</t>
  </si>
  <si>
    <t xml:space="preserve"> ¡Nuevo! La Federación Internacional se ha comprometido con la transformación digital para fortalecer nuestra prestación de servicios humanitarios. Se evalúa a las Sociedades Nacionales en cuanto a su capacidad para utilizar medios digitales para mejorar la pertinencia, la velocidad, la calidad, la accesibilidad y la resiliencia de los servicios humanitarios para las personas necesitadas de manera sostenible. La madurez digital considera diferentes niveles de datos y capacidades digitales, abordando tres dominios (personas, procesos y tecnología) en tres pasos: principiante (paso 1), competente (paso 2) y experto (paso 3). Leer más: </t>
  </si>
  <si>
    <t>جديد! التزم الاتحاد الدولي لجمعيات الصليب الأحمر والهلال الأحمر بالتحول الرقمي لتعزيز تقديمنا للخدمات الإنسانية. يتم تقييم الجمعيات الوطنية بناءً على قدرتها على استخدام الوسائل الرقمية لتعزيز أهمية الخدمات الإنسانية وسرعتها وجودتها وإمكانية الوصول إليها ومرونتها للأشخاص المحتاجين بطريقة مستدامة. النضج الرقمي يأخذ بعين الاعتبار المستويات المختلفة للبيانات والقدرات الرقمية ، ويتناول ثلاثة مجالات (الأشخاص والعملية والتكنولوجيا) عبر ثلاث خطوات: مبتدئ (الخطوة 1) ، ومختص (الخطوة 2) ، وخبير (الخطوة 3). اقرأ المزيد:</t>
  </si>
  <si>
    <t>nsdsocialmediashare.twitter</t>
  </si>
  <si>
    <t>Share on Twitter</t>
  </si>
  <si>
    <t>nsdsocialmediashare.linkedin</t>
  </si>
  <si>
    <t>Share on LinkedIn</t>
  </si>
  <si>
    <t>nsdsocialmediashare.facebook</t>
  </si>
  <si>
    <t>Share on Facebook</t>
  </si>
  <si>
    <t>nsdsocialmediashare.email</t>
  </si>
  <si>
    <t>Share by Email</t>
  </si>
  <si>
    <t>nsddefinitionsdata.kpi_climateheat_cpd</t>
  </si>
  <si>
    <t>Heatwave  risk  reduction  and  preparedness  refers  to  reducing  risks  related  to  heatwaves. Heatwave response includestaking actions during a heatwave.</t>
  </si>
  <si>
    <t>nsddefinitionsdata.kpi_climate_cpd</t>
  </si>
  <si>
    <t>Programs that reduce risks and vulnerability to climate-related shocks, stresses and longer-term changes, such as climate change adaptation, disaster risk reduction and anticipatory action.</t>
  </si>
  <si>
    <t>nsddefinitionsdata.kpi_reachctp_cpd</t>
  </si>
  <si>
    <t xml:space="preserve">Cash  transfer  programming  supports  and  provides  the  transfer  of  cash  or  cash  equivalents  (e.g., vouchers), including  cash for work programmes, in order to cover the short-and/or long-term essential food  and  non-food  needs  of  vulnerable  populations.  Transfers  may  or  may  not  depend  on  recipients having certain characteristics or doing certain things. </t>
  </si>
  <si>
    <t>nsddefinitionsdata.kpi_reachs_cpd</t>
  </si>
  <si>
    <t>Shelter  services  and  assistance  are  provided  before,  during,  and  after  a  disaster  in  order  to  meet  the accommodation and settlement needs of affected people, to reduce their accommodation and settlement risks and to strengthen their safety, well-being and longer term recovery.</t>
  </si>
  <si>
    <t>nsddefinitionsdata.kpi_reachdrr_cpd</t>
  </si>
  <si>
    <t xml:space="preserve">National Society services to respond to and strengthen recovery from natural and man-made disasters. </t>
  </si>
  <si>
    <t>nsddefinitionsdata.kpi_reachdrer_cpd</t>
  </si>
  <si>
    <t>National Society services to respond to and strengthen recovery from natural and man-made disasters.</t>
  </si>
  <si>
    <t>nsddefinitionsdata.kpi_reachwash_cpd</t>
  </si>
  <si>
    <t xml:space="preserve">WASH  activities  and  services  promote  the  availability  and  sustainability  of  safe  water,  sanitation  and hygiene of vulnerable people. </t>
  </si>
  <si>
    <t>nsddefinitionsdata.kpi_reachsi_cpd</t>
  </si>
  <si>
    <t>PGI  activities  seek  to  prevent,  respond  and  mitigate  the  causes,  risks  and  consequences  of  all  forms  of violence, discrimination and exclusion. General categories of activities are  based on the PGI Policy and Operational  Framework  (forthcoming).</t>
  </si>
  <si>
    <t>nsddefinitionsdata.kpi_reachh_cpd</t>
  </si>
  <si>
    <t xml:space="preserve">Healthactivities  directly  protect  and  promote  the  health  of  the  population  they  serve,  from  health promotion to prevention, diagnosis, treatment, rehabilitation, palliative care, acute care  and long-term care services. </t>
  </si>
  <si>
    <t>nsddefinitionsdata.kpi_reachl_cpd</t>
  </si>
  <si>
    <t>Livelihoods comprise the capabilities, assets and activities (or strategies) required for generating income and securing a means of living.</t>
  </si>
  <si>
    <t>nsddefinitionsdata.kpi_reachhi_cpd</t>
  </si>
  <si>
    <t xml:space="preserve">People  who  have  been  reached  by  Red  Cross  Red  Crescent  (RCRC)  National  Societies  with  life-saving vaccines. </t>
  </si>
  <si>
    <t>nsddefinitionsdata.kpi_reachhpm_cpd</t>
  </si>
  <si>
    <t>Mental health and psychosocial support (MHPSS) includes any support that people receive to protect or promote their mental health and psychosocial wellbeing.</t>
  </si>
  <si>
    <t>nsddefinitionsdata.kpi_reachrcrced_cpd</t>
  </si>
  <si>
    <t>Education  programming  seeks  to  contribute  to  ensuring  safe,  continuous  and  equitable  access  to inclusive, quality education opportunities.</t>
  </si>
  <si>
    <t>nsddefinitionsdata.kpi_reachm_cpd</t>
  </si>
  <si>
    <t xml:space="preserve">Migration activities support the needs of people who leave or flee their homes in search of a more secure and stable environment in other countries. </t>
  </si>
  <si>
    <t>nsddefinitionsdata.kpi_trainfa_tot</t>
  </si>
  <si>
    <t>People who have completed at least one first aid course (at any level, either online or face to face) during the annual reporting period. Source: FDRS</t>
  </si>
  <si>
    <t>nsddefinitionsdata.kpi_reachkpi_incomelc_chf</t>
  </si>
  <si>
    <t>Total income received: the fiscal value of money, material goods, and services a National Society receives during the fiscal year (in CHF).</t>
  </si>
  <si>
    <t>nsddefinitionsdata.kpi_reachkpi_expenditurelc_chf</t>
  </si>
  <si>
    <t>Total expenditure: the fiscal value of money, material goods, and services a National Society spends during the fiscal year (in CHF).</t>
  </si>
  <si>
    <t>nsddefinitionsdata.kpi_reach</t>
  </si>
  <si>
    <t>Number of people reached by disaster response and early recovery programmes: direct and indirect recipients and people covered by Federation services counted, disaggregated by service areas. Source: FDRS Number of people reached by Long Term Services and Development Programmes: direct and indirect recipients and people covered by Federation services counted, disaggregated by service areas. Source: FDRS</t>
  </si>
  <si>
    <t>nsddefinitionsdata.kpi_pstaff_tot</t>
  </si>
  <si>
    <t>Number of paid staff: people who work with a National Society or the Secretariat for a minimum of three months and are remunerated. Source: FDRS</t>
  </si>
  <si>
    <t>Number of paid staff: people who work with a National Society or the Secretariat for a minimum of three months and are remunerated.  Source: FDRS</t>
  </si>
  <si>
    <t>nsddefinitionsdata.kpi_peoplevol_tot</t>
  </si>
  <si>
    <t>Number of people volunteering their time: people that have volunteered at least four hours during the annual reporting period. Source: FDRS</t>
  </si>
  <si>
    <t>nsddefinitionsdata.kpi_nolocalunits</t>
  </si>
  <si>
    <t>Number of local units: National Society subdivisions that work directly with the community – this can include local chapters, branches, regional and intermediate offices, and headquarters. Source: FDRS</t>
  </si>
  <si>
    <t>nsddefinitionsdata.kpi_donblood_tot</t>
  </si>
  <si>
    <t>Number of people donating blood: people that have donated blood at least once during the reporting period. Source: FDRS</t>
  </si>
  <si>
    <t>nsdataovertime</t>
  </si>
  <si>
    <t>over time</t>
  </si>
  <si>
    <t>au cours du temps</t>
  </si>
  <si>
    <t>Datos a través del tiempo</t>
  </si>
  <si>
    <t>nsdatabyageandgender</t>
  </si>
  <si>
    <t>by age and gender</t>
  </si>
  <si>
    <t>par âge et par sexe</t>
  </si>
  <si>
    <t>por edad y sexo</t>
  </si>
  <si>
    <t>notificationsubscribe</t>
  </si>
  <si>
    <t>Subscribe for notification</t>
  </si>
  <si>
    <t>Abonnez-vous pour être notifié</t>
  </si>
  <si>
    <t>Suscríbete para recibir notificaciones</t>
  </si>
  <si>
    <t>notfound</t>
  </si>
  <si>
    <t>Cannot find any data with the given parameters</t>
  </si>
  <si>
    <t>Impossible de trouver des données avec les paramètres donnés</t>
  </si>
  <si>
    <t>No se pueden encontrar datos con los parámetros dados.</t>
  </si>
  <si>
    <t>nolinechartdata</t>
  </si>
  <si>
    <t>No data available.</t>
  </si>
  <si>
    <t>Aucune donnée disponible</t>
  </si>
  <si>
    <t>No hay datos disponibles</t>
  </si>
  <si>
    <t>ngo_chf</t>
  </si>
  <si>
    <t>Non-governmental organizations</t>
  </si>
  <si>
    <t>Organisations non gouvernementales</t>
  </si>
  <si>
    <t>Organizaciones no gubernamentales</t>
  </si>
  <si>
    <t>منظمات غير حكومية</t>
  </si>
  <si>
    <t>ngo</t>
  </si>
  <si>
    <t>nationalsociety.reportsanddocuments.title</t>
  </si>
  <si>
    <t>nationalsociety.reportsanddocuments.subtitle</t>
  </si>
  <si>
    <t>The following are the reports, documents, as well as assessments and certifications that the National Society has completed during the last years.</t>
  </si>
  <si>
    <t>Vous trouverez ci-dessous les rapports, documents, évaluations et certifications que la Société nationale a réalisés au cours des dernières années.</t>
  </si>
  <si>
    <t>A continuación, se presentan los informes, documentos, así como las evaluaciones y certificaciones que la Sociedad Nacional ha realizado durante los últimos años.</t>
  </si>
  <si>
    <t>nationalsociety.keynationalsocietydata.title</t>
  </si>
  <si>
    <t>nationalsociety.keynationalsocietydata.subtitle</t>
  </si>
  <si>
    <t>Explore the reported data for National Society during the yearly data submission.</t>
  </si>
  <si>
    <t>Explorez les données reportées pour la Société nationale lors de la soumission annuelle des données.</t>
  </si>
  <si>
    <t>Explorar los datos reproducidos para la Sociedad Nacionaldurante el reporte anual de datos.</t>
  </si>
  <si>
    <t>Explore the repoted data for National Society during the yearly data submission.</t>
  </si>
  <si>
    <t>nationalsociety.keycountryfigures</t>
  </si>
  <si>
    <t>nationalsocieties.dzw001</t>
  </si>
  <si>
    <t>Zimbabwe Red Cross Society</t>
  </si>
  <si>
    <t>Croix-Rouge du Zimbabwe</t>
  </si>
  <si>
    <t>Cruz Roja de Zimbabue</t>
  </si>
  <si>
    <t>الصليب الأحمر الزمبابوي</t>
  </si>
  <si>
    <t>nationalsocieties.dzm001</t>
  </si>
  <si>
    <t>Zambia Red Cross Society</t>
  </si>
  <si>
    <t>Croix-Rouge de Zambie</t>
  </si>
  <si>
    <t>Cruz Roja de Zambia</t>
  </si>
  <si>
    <t>الصليب الأحمر الزامبي</t>
  </si>
  <si>
    <t>nationalsocieties.dza001</t>
  </si>
  <si>
    <t>The South African Red Cross Society</t>
  </si>
  <si>
    <t>Croix-Rouge sud-africaine</t>
  </si>
  <si>
    <t>Cruz Roja Sudafricana</t>
  </si>
  <si>
    <t>الصليب الأحمر في جنوب إفريقيا</t>
  </si>
  <si>
    <t>nationalsocieties.dye001</t>
  </si>
  <si>
    <t>Yemen Red Crescent Society</t>
  </si>
  <si>
    <t>Croissant-Rouge du Yémen</t>
  </si>
  <si>
    <t>Media Luna Roja de Yemen</t>
  </si>
  <si>
    <t>الهلال الأحمر اليمني</t>
  </si>
  <si>
    <t>nationalsocieties.dws001</t>
  </si>
  <si>
    <t>Samoa Red Cross Society</t>
  </si>
  <si>
    <t>Croix-Rouge de Samoa</t>
  </si>
  <si>
    <t>Cruz Roja de Samoa</t>
  </si>
  <si>
    <t>الصليب الأحمر الساموي</t>
  </si>
  <si>
    <t>nationalsocieties.dvu001</t>
  </si>
  <si>
    <t>Vanuatu Red Cross Society</t>
  </si>
  <si>
    <t>Croix-Rouge de Vanuatu</t>
  </si>
  <si>
    <t>Cruz Roja de Vanuatu</t>
  </si>
  <si>
    <t>الصليب الأحمر الفانواتوي</t>
  </si>
  <si>
    <t>nationalsocieties.dvn001</t>
  </si>
  <si>
    <t>Cruz Roja de Viet Nam</t>
  </si>
  <si>
    <t>nationalsocieties.dve001</t>
  </si>
  <si>
    <t>Venezuelan Red Cross</t>
  </si>
  <si>
    <t>Croix-Rouge vénézuélienne</t>
  </si>
  <si>
    <t>Cruz Roja Venezolana</t>
  </si>
  <si>
    <t>الصليب الأحمر الفنزويلي</t>
  </si>
  <si>
    <t>nationalsocieties.dvc001</t>
  </si>
  <si>
    <t>Saint Vincent and the Grenadines Red Cross</t>
  </si>
  <si>
    <t>Croix-Rouge de Saint-Vincent-et-les-Grenadines</t>
  </si>
  <si>
    <t>Cruz Roja de San Vicente y las Granadinas</t>
  </si>
  <si>
    <t>الصليب الأحمر في سانت فنست وغرينادين</t>
  </si>
  <si>
    <t>nationalsocieties.duz001</t>
  </si>
  <si>
    <t>Red Crescent Society of Uzbekistan</t>
  </si>
  <si>
    <t>Société du Croissant-Rouge de lOuzbékistan</t>
  </si>
  <si>
    <t>Media Luna Roja de Uzbekistán</t>
  </si>
  <si>
    <t>الهلال الأحمر الأوزباكستاني</t>
  </si>
  <si>
    <t>nationalsocieties.duy001</t>
  </si>
  <si>
    <t>Uruguayan Red Cross</t>
  </si>
  <si>
    <t>Croix-Rouge uruguayenne</t>
  </si>
  <si>
    <t>Cruz Roja Uruguaya</t>
  </si>
  <si>
    <t>الصليب الأحمر الأوروغوايي</t>
  </si>
  <si>
    <t>nationalsocieties.dus001</t>
  </si>
  <si>
    <t>nationalsocieties.dug001</t>
  </si>
  <si>
    <t>The Uganda Red Cross Society</t>
  </si>
  <si>
    <t>Croix-Rouge de lOuganda</t>
  </si>
  <si>
    <t>Cruz Roja de Uganda</t>
  </si>
  <si>
    <t>الصليب الأحمر الأوغندي</t>
  </si>
  <si>
    <t>nationalsocieties.dua001</t>
  </si>
  <si>
    <t>Ukrainian Red Cross Society</t>
  </si>
  <si>
    <t>Société de la Croix-Rouge dUkraine</t>
  </si>
  <si>
    <t>Sociedad de la Cruz Roja de Ucrania</t>
  </si>
  <si>
    <t>الصليب الأحمر الأوكراني</t>
  </si>
  <si>
    <t>nationalsocieties.dtz001</t>
  </si>
  <si>
    <t>Tanzania Red Cross National Society</t>
  </si>
  <si>
    <t>Croix-Rouge nationale de Tanzanie</t>
  </si>
  <si>
    <t>Cruz Roja Nacional de Tanzania</t>
  </si>
  <si>
    <t>الصليب الأحمر التنزاني</t>
  </si>
  <si>
    <t>nationalsocieties.dtv001</t>
  </si>
  <si>
    <t>Tuvalu Red Cross Society</t>
  </si>
  <si>
    <t>Tuvalu Croix-Rouge</t>
  </si>
  <si>
    <t>Tuvalu Cruz Roja</t>
  </si>
  <si>
    <t>جمعية توفالو الصليب الأحمر</t>
  </si>
  <si>
    <t>nationalsocieties.dtt001</t>
  </si>
  <si>
    <t>The Trinidad and Tobago Red Cross Society</t>
  </si>
  <si>
    <t>Croix-Rouge de Trinité-et-Tobago</t>
  </si>
  <si>
    <t>Cruz Roja de Trinidad y Tabago</t>
  </si>
  <si>
    <t>الصليب الأحمر في ترينيداد وتوباغو</t>
  </si>
  <si>
    <t>nationalsocieties.dtr001</t>
  </si>
  <si>
    <t>Turkish Red Crescent Society</t>
  </si>
  <si>
    <t>Sociedad de la Media Luna Roja Turca</t>
  </si>
  <si>
    <t>nationalsocieties.dto001</t>
  </si>
  <si>
    <t>Tonga Red Cross Society</t>
  </si>
  <si>
    <t>Croix-Rouge des Tonga</t>
  </si>
  <si>
    <t>Cruz Roja de Tonga</t>
  </si>
  <si>
    <t>الصليب الأحمر التونغي</t>
  </si>
  <si>
    <t>nationalsocieties.dtn001</t>
  </si>
  <si>
    <t>Tunisian Red Crescent</t>
  </si>
  <si>
    <t>Croissant-Rouge tunisien</t>
  </si>
  <si>
    <t>Media Luna Roja Tunecina</t>
  </si>
  <si>
    <t>الهلال الأحمر التونسي</t>
  </si>
  <si>
    <t>nationalsocieties.dtm001</t>
  </si>
  <si>
    <t>Red Crescent Society of Turkmenistan</t>
  </si>
  <si>
    <t>Société du Croissant-Rouge du Turkménistan</t>
  </si>
  <si>
    <t>Media Luna Roja de Turkmenistán</t>
  </si>
  <si>
    <t>الهلال الأحمر التركمانستاني</t>
  </si>
  <si>
    <t>nationalsocieties.dtl001</t>
  </si>
  <si>
    <t>Timor-Leste Red Cross Society</t>
  </si>
  <si>
    <t>Croix-Rouge du Timor oriental</t>
  </si>
  <si>
    <t>Cruz Roja de Timor-Leste</t>
  </si>
  <si>
    <t>الصليب الأحمر في تيمور الشرقية</t>
  </si>
  <si>
    <t>nationalsocieties.dtj001</t>
  </si>
  <si>
    <t>Red Crescent Society of Tajikistan</t>
  </si>
  <si>
    <t>Société du Croissant-Rouge du Tadjikistan</t>
  </si>
  <si>
    <t>Sociedad de la Media Luna de Tayikistán</t>
  </si>
  <si>
    <t>الهلال الأحمر الطاجيكستاني</t>
  </si>
  <si>
    <t>nationalsocieties.dth001</t>
  </si>
  <si>
    <t>The Thai Red Cross Society</t>
  </si>
  <si>
    <t>Croix-Rouge thaïlandaise</t>
  </si>
  <si>
    <t>Cruz Roja Tailandesa</t>
  </si>
  <si>
    <t>الصليب الأحمر التايلندي</t>
  </si>
  <si>
    <t>nationalsocieties.dtg001</t>
  </si>
  <si>
    <t>Togolese Red Cross</t>
  </si>
  <si>
    <t>Croix-Rouge togolaise</t>
  </si>
  <si>
    <t>Cruz Roja Togolesa</t>
  </si>
  <si>
    <t>الصليب الأحمر التوغوي</t>
  </si>
  <si>
    <t>nationalsocieties.dtd001</t>
  </si>
  <si>
    <t>Red Cross of Chad</t>
  </si>
  <si>
    <t>Croix-Rouge du Tchad</t>
  </si>
  <si>
    <t>Cruz Roja de Chad</t>
  </si>
  <si>
    <t>الصليب الأحمر التشادي</t>
  </si>
  <si>
    <t>nationalsocieties.dsz001</t>
  </si>
  <si>
    <t>Baphalali Eswatini Red Cross Society</t>
  </si>
  <si>
    <t>Croix-Rouge du Eswatini</t>
  </si>
  <si>
    <t>Cruz Roja de Suazilandia</t>
  </si>
  <si>
    <t>الصليب الأحمر السوازيلاندي</t>
  </si>
  <si>
    <t>nationalsocieties.dsy001</t>
  </si>
  <si>
    <t>Syrian Arab Red Crescent</t>
  </si>
  <si>
    <t>Croissant-Rouge arabe syrien</t>
  </si>
  <si>
    <t>Media Luna Roja Arabe Siria</t>
  </si>
  <si>
    <t>الهلال الأحمر العربي السوري</t>
  </si>
  <si>
    <t>nationalsocieties.dsv001</t>
  </si>
  <si>
    <t>الصليب الأحمر السلفادوري</t>
  </si>
  <si>
    <t>nationalsocieties.dst001</t>
  </si>
  <si>
    <t>Sao Tome and Principe Red Cross</t>
  </si>
  <si>
    <t>Croix-Rouge de Sao Tomé-et-Principe</t>
  </si>
  <si>
    <t>Cruz Roja de Santo Tomé y Príncipe</t>
  </si>
  <si>
    <t>الصليب الأحمر في ساو تومي وبرنسيبي</t>
  </si>
  <si>
    <t>nationalsocieties.dss001</t>
  </si>
  <si>
    <t>South Sudan Red Cross</t>
  </si>
  <si>
    <t>Croix-Rouge du Soudan du Sud</t>
  </si>
  <si>
    <t>Media Luna Roja de Sudán del Sur</t>
  </si>
  <si>
    <t>الصليب الأحمر في جنوب السودان</t>
  </si>
  <si>
    <t>nationalsocieties.dsr001</t>
  </si>
  <si>
    <t>Suriname Red Cross</t>
  </si>
  <si>
    <t>Croix-Rouge du Suriname</t>
  </si>
  <si>
    <t>Cruz Roja de Surinam</t>
  </si>
  <si>
    <t>الصليب الأحمر السورينامي</t>
  </si>
  <si>
    <t>nationalsocieties.dso001</t>
  </si>
  <si>
    <t>Somali Red Crescent Society</t>
  </si>
  <si>
    <t>Croissant-Rouge de Somalie</t>
  </si>
  <si>
    <t>Media Luna Roja Somalí</t>
  </si>
  <si>
    <t>الهلال الأحمر الصومالي</t>
  </si>
  <si>
    <t>nationalsocieties.dsn001</t>
  </si>
  <si>
    <t>Senegalese Red Cross Society</t>
  </si>
  <si>
    <t>Croix-Rouge sénégalaise</t>
  </si>
  <si>
    <t>Cruz Roja Senegalesa</t>
  </si>
  <si>
    <t>الصليب الأحمر السنغالي</t>
  </si>
  <si>
    <t>nationalsocieties.dsm001</t>
  </si>
  <si>
    <t>Red Cross of the Republic of San Marino</t>
  </si>
  <si>
    <t>Croix-Rouge de la République de Saint-Marin</t>
  </si>
  <si>
    <t>Cruz Roja de la República de San Marino</t>
  </si>
  <si>
    <t>الصليب الأحمر السان ماريني</t>
  </si>
  <si>
    <t>nationalsocieties.dsl001</t>
  </si>
  <si>
    <t>Sierra Leone Red Cross Society</t>
  </si>
  <si>
    <t>Croix-Rouge de Sierra Leone</t>
  </si>
  <si>
    <t>Cruz Roja de Sierra Leona</t>
  </si>
  <si>
    <t>الصليب الأحمر السيراليوني</t>
  </si>
  <si>
    <t>nationalsocieties.dsk001</t>
  </si>
  <si>
    <t>Slovak Red Cross</t>
  </si>
  <si>
    <t>Croix-Rouge slovaque</t>
  </si>
  <si>
    <t>Cruz Roja Eslovaca</t>
  </si>
  <si>
    <t>الصليب الأحمر السلوفاكي</t>
  </si>
  <si>
    <t>nationalsocieties.dsi001</t>
  </si>
  <si>
    <t>Slovenian Red Cross</t>
  </si>
  <si>
    <t>Croix-Rouge slovène</t>
  </si>
  <si>
    <t>Cruz Roja de Eslovenia</t>
  </si>
  <si>
    <t>الصليب الأحمر السلوفيني</t>
  </si>
  <si>
    <t>nationalsocieties.dsg001</t>
  </si>
  <si>
    <t>Singapore Red Cross Society</t>
  </si>
  <si>
    <t>Société de la Croix-Rouge de Singapour</t>
  </si>
  <si>
    <t>Sociedad de la Cruz Roja de Singapur</t>
  </si>
  <si>
    <t>الصليب الأحمر السنغافوري</t>
  </si>
  <si>
    <t>nationalsocieties.dse001</t>
  </si>
  <si>
    <t>Croix-Rouge suédoise</t>
  </si>
  <si>
    <t>Cruz Roja Sueca</t>
  </si>
  <si>
    <t>nationalsocieties.dsd001</t>
  </si>
  <si>
    <t>The Sudanese Red Crescent</t>
  </si>
  <si>
    <t>Croissant-Rouge soudanais</t>
  </si>
  <si>
    <t>Media Luna Roja Sudanesa</t>
  </si>
  <si>
    <t>الهلال الأحمر السوداني</t>
  </si>
  <si>
    <t>nationalsocieties.dsc001</t>
  </si>
  <si>
    <t>Seychelles Red Cross Society</t>
  </si>
  <si>
    <t>Croix-Rouge des Seychelles</t>
  </si>
  <si>
    <t>Cruz Roja de Seychelles</t>
  </si>
  <si>
    <t>الصليب الأحمر السيشيلي</t>
  </si>
  <si>
    <t>nationalsocieties.dsb001</t>
  </si>
  <si>
    <t>The Solomon Islands Red Cross</t>
  </si>
  <si>
    <t>Croix-Rouge des Iles Salomon</t>
  </si>
  <si>
    <t>Cruz Roja de las Islas Salomón</t>
  </si>
  <si>
    <t>الصليب الأحمر في جزر سليمان</t>
  </si>
  <si>
    <t>nationalsocieties.dsa001</t>
  </si>
  <si>
    <t>Saudi Red Crescent Authority</t>
  </si>
  <si>
    <t>Croissant-Rouge de lArabie saoudite</t>
  </si>
  <si>
    <t>Media Luna Roja de Arabia Saudí</t>
  </si>
  <si>
    <t>الهلال الأحمر السعودي</t>
  </si>
  <si>
    <t>nationalsocieties.drw001</t>
  </si>
  <si>
    <t>Rwandan Red Cross</t>
  </si>
  <si>
    <t>Croix-Rouge rwandaise</t>
  </si>
  <si>
    <t>Cruz Roja Ruandesa</t>
  </si>
  <si>
    <t>الصليب الأحمر الرواندي</t>
  </si>
  <si>
    <t>nationalsocieties.dru001</t>
  </si>
  <si>
    <t>The Russian Red Cross Society</t>
  </si>
  <si>
    <t>Croix-Rouge de la Fédération de Russie</t>
  </si>
  <si>
    <t>Sociedad de la Cruz Roja de la Federación de Rusia</t>
  </si>
  <si>
    <t>الصليب الأحمر الروسي</t>
  </si>
  <si>
    <t>nationalsocieties.dro001</t>
  </si>
  <si>
    <t>Romanian Red Cross</t>
  </si>
  <si>
    <t>Croix-Rouge de Roumanie</t>
  </si>
  <si>
    <t>Cruz Roja de Rumanía</t>
  </si>
  <si>
    <t>الصليب الأحمر الروماني</t>
  </si>
  <si>
    <t>nationalsocieties.dqa001</t>
  </si>
  <si>
    <t>Qatar Red Crescent Society</t>
  </si>
  <si>
    <t>Croissant-Rouge du Qatar</t>
  </si>
  <si>
    <t>Media Luna Roja de Qatar</t>
  </si>
  <si>
    <t>الهلال الأحمر القطري</t>
  </si>
  <si>
    <t>nationalsocieties.dpy001</t>
  </si>
  <si>
    <t>Paraguayan Red Cross</t>
  </si>
  <si>
    <t>Croix-Rouge paraguayenne</t>
  </si>
  <si>
    <t>Cruz Roja Paraguaya</t>
  </si>
  <si>
    <t>الصليب الأحمر الباراغوايي</t>
  </si>
  <si>
    <t>nationalsocieties.dpw001</t>
  </si>
  <si>
    <t>Palau Red Cross Society</t>
  </si>
  <si>
    <t>Croix-Rouge des Palaos</t>
  </si>
  <si>
    <t>Cruz Roja de Palau</t>
  </si>
  <si>
    <t>الصليب الأحمر في بالاو</t>
  </si>
  <si>
    <t>nationalsocieties.dpt001</t>
  </si>
  <si>
    <t>Portuguese Red Cross</t>
  </si>
  <si>
    <t>Croix-Rouge portugaise</t>
  </si>
  <si>
    <t>Cruz Roja Portuguesa</t>
  </si>
  <si>
    <t>الصليب الأحمر البرتغالي</t>
  </si>
  <si>
    <t>nationalsocieties.dps001</t>
  </si>
  <si>
    <t>The Palestine Red Crescent Society</t>
  </si>
  <si>
    <t>Société du Croissant-Rouge palestinien</t>
  </si>
  <si>
    <t>Media Luna Roja Palestina</t>
  </si>
  <si>
    <t>الهلال الأحمر الفلسطيني</t>
  </si>
  <si>
    <t>nationalsocieties.dpl001</t>
  </si>
  <si>
    <t>Polish Red Cross</t>
  </si>
  <si>
    <t>Croix-Rouge polonaise</t>
  </si>
  <si>
    <t>Cruz Roja Polaca</t>
  </si>
  <si>
    <t>الصليب الأحمر البولندي</t>
  </si>
  <si>
    <t>nationalsocieties.dpk001</t>
  </si>
  <si>
    <t>Pakistan Red Crescent</t>
  </si>
  <si>
    <t>Croissant-Rouge du Pakistan</t>
  </si>
  <si>
    <t>Media Luna Roja de Pakistán</t>
  </si>
  <si>
    <t>الهلال الأحمر الباكستاني</t>
  </si>
  <si>
    <t>nationalsocieties.dph001</t>
  </si>
  <si>
    <t>Philippine Red Cross</t>
  </si>
  <si>
    <t>Croix-Rouge philippine</t>
  </si>
  <si>
    <t>Cruz Roja de Filipinas</t>
  </si>
  <si>
    <t>الصليب الأحمر الفلبيني</t>
  </si>
  <si>
    <t>nationalsocieties.dpg001</t>
  </si>
  <si>
    <t>Papua New Guinea Red Cross Society</t>
  </si>
  <si>
    <t>Croix-Rouge de Papouasie-Nouvelle-Guinée</t>
  </si>
  <si>
    <t>Cruz Roja de Papua Nueva Guinea</t>
  </si>
  <si>
    <t>الصليب الأحمر في بابوا غينيا الجديدة</t>
  </si>
  <si>
    <t>nationalsocieties.dpe001</t>
  </si>
  <si>
    <t>Peruvian Red Cross</t>
  </si>
  <si>
    <t>Croix-Rouge péruvienne</t>
  </si>
  <si>
    <t>Cruz Roja Peruana</t>
  </si>
  <si>
    <t>الصليب الأحمر البيروي</t>
  </si>
  <si>
    <t>nationalsocieties.dpa001</t>
  </si>
  <si>
    <t>Red Cross Society of Panama</t>
  </si>
  <si>
    <t>Croix-Rouge de Panama</t>
  </si>
  <si>
    <t>Cruz Roja Panameña</t>
  </si>
  <si>
    <t>الصليب الأحمر البنمي</t>
  </si>
  <si>
    <t>nationalsocieties.dnz001</t>
  </si>
  <si>
    <t>New Zealand Red Cross</t>
  </si>
  <si>
    <t>Croix-Rouge néo-zélandaise</t>
  </si>
  <si>
    <t>Cruz Roja Neozelandesa</t>
  </si>
  <si>
    <t>الصليب الأحمر النيوزيلندي</t>
  </si>
  <si>
    <t>nationalsocieties.dnp001</t>
  </si>
  <si>
    <t>Nepal Red Cross Society</t>
  </si>
  <si>
    <t>Croix-Rouge du Népal</t>
  </si>
  <si>
    <t>Cruz Roja Nepalesa</t>
  </si>
  <si>
    <t>الصليب الأحمر النيبالي</t>
  </si>
  <si>
    <t>nationalsocieties.dno001</t>
  </si>
  <si>
    <t>Croix-Rouge de Norvège</t>
  </si>
  <si>
    <t>Cruz Roja Noruega</t>
  </si>
  <si>
    <t>nationalsocieties.dnl001</t>
  </si>
  <si>
    <t>nationalsocieties.dni001</t>
  </si>
  <si>
    <t>Nicaraguan Red Cross* dissolved 9 May 2023</t>
  </si>
  <si>
    <t>Cruz Roja Nicaragüense* disuelta el 9 de mayo de 2023</t>
  </si>
  <si>
    <t xml:space="preserve"> تم حل الصليب الأحمر النيكاراغوي * في 9 مايو 2023 </t>
  </si>
  <si>
    <t>nationalsocieties.dng001</t>
  </si>
  <si>
    <t>Nigerian Red Cross Society</t>
  </si>
  <si>
    <t>Croix-Rouge du Nigéria</t>
  </si>
  <si>
    <t>Cruz Roja de Nigeria</t>
  </si>
  <si>
    <t>الصليب الأحمر النيجيري</t>
  </si>
  <si>
    <t>nationalsocieties.dne001</t>
  </si>
  <si>
    <t>Red Cross Society of Niger</t>
  </si>
  <si>
    <t>Croix-Rouge nigérienne</t>
  </si>
  <si>
    <t>Cruz Roja de Níger</t>
  </si>
  <si>
    <t>الصليب الأحمر النيجري</t>
  </si>
  <si>
    <t>nationalsocieties.dna001</t>
  </si>
  <si>
    <t>Namibia Red Cross</t>
  </si>
  <si>
    <t>Croix-Rouge de Namibie</t>
  </si>
  <si>
    <t>Cruz Roja de Namibia</t>
  </si>
  <si>
    <t>الصليب الأحمر الناميبي</t>
  </si>
  <si>
    <t>nationalsocieties.dmz001</t>
  </si>
  <si>
    <t>Mozambique Red Cross Society</t>
  </si>
  <si>
    <t>Croix-Rouge du Mozambique</t>
  </si>
  <si>
    <t>Cruz Roja de Mozambique</t>
  </si>
  <si>
    <t>الصليب الأحمر الموزامبيقي</t>
  </si>
  <si>
    <t>nationalsocieties.dmy001</t>
  </si>
  <si>
    <t>Malaysian Red Crescent Society</t>
  </si>
  <si>
    <t>Croissant-Rouge de Malaisie</t>
  </si>
  <si>
    <t>Media Luna Roja de Malasia</t>
  </si>
  <si>
    <t>الهلال الأحمر الماليزي</t>
  </si>
  <si>
    <t>nationalsocieties.dmx001</t>
  </si>
  <si>
    <t>Mexican Red Cross</t>
  </si>
  <si>
    <t>Croix-Rouge mexicaine</t>
  </si>
  <si>
    <t>Cruz Roja Mexicana</t>
  </si>
  <si>
    <t>الصليب الأحمر المكسيكي</t>
  </si>
  <si>
    <t>nationalsocieties.dmw001</t>
  </si>
  <si>
    <t>Malawi Red Cross Society</t>
  </si>
  <si>
    <t>Croix-Rouge du Malawi</t>
  </si>
  <si>
    <t>Cruz Roja de Malawi</t>
  </si>
  <si>
    <t>الصليب الأحمر الملاوي</t>
  </si>
  <si>
    <t>nationalsocieties.dmv001</t>
  </si>
  <si>
    <t>Maldivian Red Crescent</t>
  </si>
  <si>
    <t>Croissant-Rouge des Maldives</t>
  </si>
  <si>
    <t>Media Luna Roja de Maldivas</t>
  </si>
  <si>
    <t>الهلال الأحمر المالديفي</t>
  </si>
  <si>
    <t>nationalsocieties.dmu001</t>
  </si>
  <si>
    <t>Mauritius Red Cross Society</t>
  </si>
  <si>
    <t>Croix-Rouge de Maurice</t>
  </si>
  <si>
    <t>Cruz Roja de Mauricio</t>
  </si>
  <si>
    <t>الصليب الأحمر في موريشيوس</t>
  </si>
  <si>
    <t>nationalsocieties.dmt001</t>
  </si>
  <si>
    <t>Malta Red Cross Society</t>
  </si>
  <si>
    <t>Société de la Croix-Rouge de Malte</t>
  </si>
  <si>
    <t>Sociedad de la Cruz Roja de Malta</t>
  </si>
  <si>
    <t>الصليب الأحمر المالطي</t>
  </si>
  <si>
    <t>nationalsocieties.dmr001</t>
  </si>
  <si>
    <t>Mauritanian Red Crescent</t>
  </si>
  <si>
    <t>Croissant-Rouge mauritanien</t>
  </si>
  <si>
    <t>Media Luna Roja de Mauritania</t>
  </si>
  <si>
    <t>الهلال الأحمر الموريتاني</t>
  </si>
  <si>
    <t>nationalsocieties.dmn001</t>
  </si>
  <si>
    <t>Mongolian Red Cross Society</t>
  </si>
  <si>
    <t>Croix-Rouge de Mongolie</t>
  </si>
  <si>
    <t>Cruz Roja de Mongolia</t>
  </si>
  <si>
    <t>الصليب الأحمر المنغولي</t>
  </si>
  <si>
    <t>nationalsocieties.dmm001</t>
  </si>
  <si>
    <t>Myanmar Red Cross Society</t>
  </si>
  <si>
    <t>Croix-Rouge du Myanmar</t>
  </si>
  <si>
    <t>Cruz Roja de Myanmar</t>
  </si>
  <si>
    <t>الصليب الأحمر الميانماري</t>
  </si>
  <si>
    <t>nationalsocieties.dml001</t>
  </si>
  <si>
    <t>Cruz Roja Maliense</t>
  </si>
  <si>
    <t>nationalsocieties.dmk001</t>
  </si>
  <si>
    <t>Red Cross of The Republic of North Macedonia</t>
  </si>
  <si>
    <t>Croix-Rouge de la République de Macédoine du Nord</t>
  </si>
  <si>
    <t>Cruz Roja de la República de Macedonia del Norte</t>
  </si>
  <si>
    <t>الصليب الأحمر لجمهورية شمال مقدونيا</t>
  </si>
  <si>
    <t>nationalsocieties.dmh001</t>
  </si>
  <si>
    <t>Marshall Islands Red Cross Society</t>
  </si>
  <si>
    <t>Société de la Croix-Rouge des Îles Marshall</t>
  </si>
  <si>
    <t>Cruz Roja de las Islas Marshall</t>
  </si>
  <si>
    <t>الصليب الأحمر لجزر مارشال</t>
  </si>
  <si>
    <t>nationalsocieties.dmg001</t>
  </si>
  <si>
    <t>Cruz Roja Malgache</t>
  </si>
  <si>
    <t>الصليب الأحمر الملغاشي</t>
  </si>
  <si>
    <t>nationalsocieties.dme001</t>
  </si>
  <si>
    <t>Red Cross of Montenegro</t>
  </si>
  <si>
    <t>Croix-Rouge du Monténégro</t>
  </si>
  <si>
    <t>Cruz Roja de Montenegro</t>
  </si>
  <si>
    <t>الصليب الأحمر في الجبل الأسود</t>
  </si>
  <si>
    <t>nationalsocieties.dmd001</t>
  </si>
  <si>
    <t>Red Cross Society of the Republic of Moldova</t>
  </si>
  <si>
    <t>Société de la Croix-Rouge de la République de Moldova</t>
  </si>
  <si>
    <t>Sociedad de la Cruz Roja de la República de Moldova</t>
  </si>
  <si>
    <t>الصليب الأحمر المولدوفي</t>
  </si>
  <si>
    <t>nationalsocieties.dmc001</t>
  </si>
  <si>
    <t>Red Cross of Monaco</t>
  </si>
  <si>
    <t>Croix-Rouge monégasque</t>
  </si>
  <si>
    <t>Cruz Roja Monegasca</t>
  </si>
  <si>
    <t>الصليب الأحمر في موناكو</t>
  </si>
  <si>
    <t>nationalsocieties.dma001</t>
  </si>
  <si>
    <t>Moroccan Red Crescent</t>
  </si>
  <si>
    <t>Croissant-Rouge marocain</t>
  </si>
  <si>
    <t>Media Luna Roja Marroquí</t>
  </si>
  <si>
    <t>الهلال الأحمر المغربي</t>
  </si>
  <si>
    <t>nationalsocieties.dly001</t>
  </si>
  <si>
    <t>Libyan Red Crescent</t>
  </si>
  <si>
    <t>Croissant-Rouge libyen</t>
  </si>
  <si>
    <t>Media Luna Roja Libia</t>
  </si>
  <si>
    <t>الهلال الأحمر الليبي</t>
  </si>
  <si>
    <t>nationalsocieties.dlv001</t>
  </si>
  <si>
    <t>Latvian Red Cross</t>
  </si>
  <si>
    <t>Croix-Rouge lettone</t>
  </si>
  <si>
    <t>Cruz Roja Letona</t>
  </si>
  <si>
    <t>الصليب الأحمر اللاتفي</t>
  </si>
  <si>
    <t>nationalsocieties.dlu001</t>
  </si>
  <si>
    <t>Luxembourg Red Cross</t>
  </si>
  <si>
    <t>Croix-Rouge luxembourgeoise</t>
  </si>
  <si>
    <t>Cruz Roja de Luxemburgo</t>
  </si>
  <si>
    <t>الصليب الأحمر اللكسمبرغي</t>
  </si>
  <si>
    <t>nationalsocieties.dlt001</t>
  </si>
  <si>
    <t>Lithuanian Red Cross Society</t>
  </si>
  <si>
    <t>Croix-Rouge lituanienne</t>
  </si>
  <si>
    <t>Cruz Roja Lituana</t>
  </si>
  <si>
    <t>الصليب الأحمر الليتواني</t>
  </si>
  <si>
    <t>nationalsocieties.dls001</t>
  </si>
  <si>
    <t>Lesotho Red Cross Society</t>
  </si>
  <si>
    <t>Croix-Rouge du Lesotho</t>
  </si>
  <si>
    <t>Cruz Roja de Lesotho</t>
  </si>
  <si>
    <t>الصليب الأحمر في ليسوتو</t>
  </si>
  <si>
    <t>nationalsocieties.dlr001</t>
  </si>
  <si>
    <t>Liberian Red Cross Society</t>
  </si>
  <si>
    <t>Croix-Rouge du Libéria</t>
  </si>
  <si>
    <t>Cruz Roja de Liberia</t>
  </si>
  <si>
    <t>الصليب الأحمر الليبيري</t>
  </si>
  <si>
    <t>nationalsocieties.dlk001</t>
  </si>
  <si>
    <t>Sri Lanka Red Cross Society</t>
  </si>
  <si>
    <t>Croix-Rouge de Sri Lanka</t>
  </si>
  <si>
    <t>Cruz Roja de Sri Lanka</t>
  </si>
  <si>
    <t>الصليب الأحمر السري لانكي</t>
  </si>
  <si>
    <t>nationalsocieties.dli001</t>
  </si>
  <si>
    <t>Liechtenstein Red Cross</t>
  </si>
  <si>
    <t>Croix-Rouge du Liechtenstein</t>
  </si>
  <si>
    <t>Cruz Roja de Liechtenstein</t>
  </si>
  <si>
    <t>الصليب الأحمر الليختنشتايني</t>
  </si>
  <si>
    <t>nationalsocieties.dlc001</t>
  </si>
  <si>
    <t>Saint Lucia Red Cross</t>
  </si>
  <si>
    <t>Croix-Rouge de Sainte-Lucie</t>
  </si>
  <si>
    <t>Cruz Roja de Santa Lucía</t>
  </si>
  <si>
    <t>الصليب الأحمر في سانتا لوسيا</t>
  </si>
  <si>
    <t>nationalsocieties.dlb001</t>
  </si>
  <si>
    <t>Lebanese Red Cross</t>
  </si>
  <si>
    <t>Croix-Rouge libanaise</t>
  </si>
  <si>
    <t>Cruz Roja Libanesa</t>
  </si>
  <si>
    <t>الصليب الأحمر اللبناني</t>
  </si>
  <si>
    <t>nationalsocieties.dla001</t>
  </si>
  <si>
    <t>Lao Red Cross</t>
  </si>
  <si>
    <t>Croix-Rouge lao</t>
  </si>
  <si>
    <t>Cruz Roja de Lao</t>
  </si>
  <si>
    <t>الصليب الأحمر في لاو</t>
  </si>
  <si>
    <t>nationalsocieties.dkz001</t>
  </si>
  <si>
    <t>Kazakh Red Crescent</t>
  </si>
  <si>
    <t>Croissant-Rouge du Kazakhstan</t>
  </si>
  <si>
    <t>Media Luna Roja de Kazajstán</t>
  </si>
  <si>
    <t>الهلال الأحمر الكازاخستاني</t>
  </si>
  <si>
    <t>nationalsocieties.dkw001</t>
  </si>
  <si>
    <t>Kuwait Red Crescent Society</t>
  </si>
  <si>
    <t>Croissant-Rouge du Koweït</t>
  </si>
  <si>
    <t>Media Luna Roja de Kuwait</t>
  </si>
  <si>
    <t>الهلال الأحمر الكويتي</t>
  </si>
  <si>
    <t>nationalsocieties.dkr001</t>
  </si>
  <si>
    <t>Cruz Roja de la República de Corea</t>
  </si>
  <si>
    <t>nationalsocieties.dkp001</t>
  </si>
  <si>
    <t>Red Cross Society of the Democratic Peoples Republic of Korea</t>
  </si>
  <si>
    <t>Société de la Croix-Rouge de la République populaire démocratique de Corée</t>
  </si>
  <si>
    <t>Sociedad de la Cruz Roja de la República Popular Democrática de Corea</t>
  </si>
  <si>
    <t>الصليب الأحمر في جمهورية كوريا الديمقراطية</t>
  </si>
  <si>
    <t>nationalsocieties.dkn001</t>
  </si>
  <si>
    <t>Saint Kitts and Nevis Red Cross Society</t>
  </si>
  <si>
    <t>Croix-Rouge de Saint-Kitts-et-Nevis</t>
  </si>
  <si>
    <t>Cruz Roja de Saint Kitts y Nevis</t>
  </si>
  <si>
    <t>الصليب الأحمر في سانت كيتس ونيفيس</t>
  </si>
  <si>
    <t>nationalsocieties.dkm001</t>
  </si>
  <si>
    <t>The Comoros Red Crescent</t>
  </si>
  <si>
    <t>Croissant-Rouge comorien</t>
  </si>
  <si>
    <t>Media Luna Roja de Las Comoras</t>
  </si>
  <si>
    <t>الهلال الأحمر في جزر القمر</t>
  </si>
  <si>
    <t>nationalsocieties.dki001</t>
  </si>
  <si>
    <t>Kiribati Red Cross Society</t>
  </si>
  <si>
    <t>Croix-Rouge de Kiribati</t>
  </si>
  <si>
    <t>Cruz Roja de Kiribati</t>
  </si>
  <si>
    <t>الصليب الأحمر الكيريباتي</t>
  </si>
  <si>
    <t>nationalsocieties.dkh001</t>
  </si>
  <si>
    <t>Cambodian Red Cross Society</t>
  </si>
  <si>
    <t>Croix-Rouge cambodgienne</t>
  </si>
  <si>
    <t>Cruz Roja de Camboya</t>
  </si>
  <si>
    <t>الصليب الأحمر الكمبودي</t>
  </si>
  <si>
    <t>nationalsocieties.dkg001</t>
  </si>
  <si>
    <t>Red Crescent Society of Kyrgyzstan</t>
  </si>
  <si>
    <t>Société du Croissant-Rouge du Kirghizistan</t>
  </si>
  <si>
    <t>Sociedad de la Media Luna Roja de Kirguistán</t>
  </si>
  <si>
    <t>الهلال الأحمر القيرغيزستاني</t>
  </si>
  <si>
    <t>nationalsocieties.dke001</t>
  </si>
  <si>
    <t>Kenya Red Cross Society</t>
  </si>
  <si>
    <t>Cruz Roja de Kenya</t>
  </si>
  <si>
    <t>الصليب الأحمر الكيني</t>
  </si>
  <si>
    <t>nationalsocieties.djp001</t>
  </si>
  <si>
    <t>Sociedad de la Cruz Roja Japonesa</t>
  </si>
  <si>
    <t>الصليب الأحمر الياباني</t>
  </si>
  <si>
    <t>nationalsocieties.djo001</t>
  </si>
  <si>
    <t>Jordan National Red Crescent Society</t>
  </si>
  <si>
    <t>Croissant-Rouge jordanien</t>
  </si>
  <si>
    <t>Media Luna Roja de Jordania</t>
  </si>
  <si>
    <t>الهلال الأحمر الأردني</t>
  </si>
  <si>
    <t>nationalsocieties.djm001</t>
  </si>
  <si>
    <t>Jamaica Red Cross</t>
  </si>
  <si>
    <t>Croix-Rouge de la Jamaïque</t>
  </si>
  <si>
    <t>Cruz Roja de Jamaica</t>
  </si>
  <si>
    <t>الصليب الأحمر الجامايكي</t>
  </si>
  <si>
    <t>nationalsocieties.dit001</t>
  </si>
  <si>
    <t>Italian Red Cross</t>
  </si>
  <si>
    <t>Croix-Rouge italienne</t>
  </si>
  <si>
    <t>Cruz Roja Italiana</t>
  </si>
  <si>
    <t>الصليب الأحمر الإيطالي</t>
  </si>
  <si>
    <t>nationalsocieties.dis001</t>
  </si>
  <si>
    <t>Icelandic Red Cross</t>
  </si>
  <si>
    <t>Croix-Rouge islandaise</t>
  </si>
  <si>
    <t>Cruz Roja Islandesa</t>
  </si>
  <si>
    <t>الصليب الأحمر الأيسلندي</t>
  </si>
  <si>
    <t>nationalsocieties.dir001</t>
  </si>
  <si>
    <t>Sociedad de la Media Luna Roja de la República Islámica de Irán</t>
  </si>
  <si>
    <t>الهلال الأحمر الإيراني</t>
  </si>
  <si>
    <t>nationalsocieties.diq001</t>
  </si>
  <si>
    <t>Iraqi Red Crescent Society</t>
  </si>
  <si>
    <t>Croissant-Rouge de lIraq</t>
  </si>
  <si>
    <t>Media Luna Roja del Iraq</t>
  </si>
  <si>
    <t>الهلال الأحمر العراقي</t>
  </si>
  <si>
    <t>nationalsocieties.din001</t>
  </si>
  <si>
    <t>Indian Red Cross Society</t>
  </si>
  <si>
    <t>Cruz Roja de la India</t>
  </si>
  <si>
    <t>الصليب الأحمر الهندي</t>
  </si>
  <si>
    <t>nationalsocieties.dil001</t>
  </si>
  <si>
    <t>Israel - Magen David Adom in Israel</t>
  </si>
  <si>
    <t>Israël - Magen David Adom dIsraël</t>
  </si>
  <si>
    <t>Israel - Magen David Adom de Israel</t>
  </si>
  <si>
    <t>اسرائيل- ماجن دافيد أدوم في إسرائيل</t>
  </si>
  <si>
    <t>nationalsocieties.die001</t>
  </si>
  <si>
    <t>Irish Red Cross Society</t>
  </si>
  <si>
    <t>Croix-Rouge irlandaise</t>
  </si>
  <si>
    <t>Cruz Roja Irlandesa</t>
  </si>
  <si>
    <t>الصليب الأحمر الأيرلندي</t>
  </si>
  <si>
    <t>nationalsocieties.did001</t>
  </si>
  <si>
    <t>Indonesian Red Cross Society</t>
  </si>
  <si>
    <t>Croix-Rouge indonésienne</t>
  </si>
  <si>
    <t>Cruz Roja Indonesia</t>
  </si>
  <si>
    <t>الهلال الأحمر الإندونيسي</t>
  </si>
  <si>
    <t>nationalsocieties.dhu001</t>
  </si>
  <si>
    <t>Hungarian Red Cross</t>
  </si>
  <si>
    <t>Croix-Rouge hongroise</t>
  </si>
  <si>
    <t>Cruz Roja Húngara</t>
  </si>
  <si>
    <t>الصليب الأحمر الهنغاري</t>
  </si>
  <si>
    <t>nationalsocieties.dht001</t>
  </si>
  <si>
    <t>Haiti Red Cross Society</t>
  </si>
  <si>
    <t>Croix-Rouge haïtienne</t>
  </si>
  <si>
    <t>Sociedad de la Cruz Roja de Haití</t>
  </si>
  <si>
    <t>الصليب الأحمر الهايتي</t>
  </si>
  <si>
    <t>nationalsocieties.dhr001</t>
  </si>
  <si>
    <t>Croatian Red Cross</t>
  </si>
  <si>
    <t>Croix-Rouge croate</t>
  </si>
  <si>
    <t>Cruz Roja de Croacia</t>
  </si>
  <si>
    <t>الصليب الأحمر الكرواتي</t>
  </si>
  <si>
    <t>nationalsocieties.dhn001</t>
  </si>
  <si>
    <t>Honduran Red Cross</t>
  </si>
  <si>
    <t>Croix-Rouge du Honduras</t>
  </si>
  <si>
    <t>Cruz Roja Hondureña</t>
  </si>
  <si>
    <t>الصليب الأحمر الهندوراسي</t>
  </si>
  <si>
    <t>nationalsocieties.dgy001</t>
  </si>
  <si>
    <t>The Guyana Red Cross Society</t>
  </si>
  <si>
    <t>Croix-Rouge du Guyana</t>
  </si>
  <si>
    <t>Cruz Roja de Guyana</t>
  </si>
  <si>
    <t>الصليب الأحمر الغياني</t>
  </si>
  <si>
    <t>nationalsocieties.dgw001</t>
  </si>
  <si>
    <t>Red Cross Society of Guinea-Bissau</t>
  </si>
  <si>
    <t>Croix-Rouge de la Guinée-Bissau</t>
  </si>
  <si>
    <t>Cruz Roja de Guinea Bissau</t>
  </si>
  <si>
    <t>الصليب الأحمر في غينيا بيساو</t>
  </si>
  <si>
    <t>nationalsocieties.dgt001</t>
  </si>
  <si>
    <t>Guatemalan Red Cross</t>
  </si>
  <si>
    <t>Croix-Rouge du Guatemala</t>
  </si>
  <si>
    <t>Cruz Roja Guatemalteca</t>
  </si>
  <si>
    <t>الصليب الأحمر الغواتيمالي</t>
  </si>
  <si>
    <t>nationalsocieties.dgr001</t>
  </si>
  <si>
    <t>Hellenic Red Cross</t>
  </si>
  <si>
    <t>Croix-Rouge hellénique</t>
  </si>
  <si>
    <t>Cruz Roja Helénica</t>
  </si>
  <si>
    <t>الصليب الأحمر اليوناني</t>
  </si>
  <si>
    <t>nationalsocieties.dgq001</t>
  </si>
  <si>
    <t>Red Cross of Equatorial Guinea</t>
  </si>
  <si>
    <t>Croix-Rouge de Guinée équatoriale</t>
  </si>
  <si>
    <t>Cruz Roja de Guinea Ecuatorial</t>
  </si>
  <si>
    <t>الصليب الأحمر في غينيا الاستوائية</t>
  </si>
  <si>
    <t>nationalsocieties.dgn001</t>
  </si>
  <si>
    <t>Red Cross Society of Guinea</t>
  </si>
  <si>
    <t>Croix-Rouge guinéenne</t>
  </si>
  <si>
    <t>Cruz Roja de Guinea</t>
  </si>
  <si>
    <t>الصليب الأحمر الغيني</t>
  </si>
  <si>
    <t>nationalsocieties.dgm001</t>
  </si>
  <si>
    <t>The Gambia Red Cross Society</t>
  </si>
  <si>
    <t>Croix-Rouge de la Gambie</t>
  </si>
  <si>
    <t>Cruz Roja de Gambia</t>
  </si>
  <si>
    <t>الصليب الأحمر الغامبي</t>
  </si>
  <si>
    <t>nationalsocieties.dgh001</t>
  </si>
  <si>
    <t>Ghana Red Cross Society</t>
  </si>
  <si>
    <t>Croix-Rouge du Ghana</t>
  </si>
  <si>
    <t>Cruz Roja de Ghana</t>
  </si>
  <si>
    <t>الصليب الأحمر الغاني</t>
  </si>
  <si>
    <t>nationalsocieties.dge001</t>
  </si>
  <si>
    <t>Red Cross Society of Georgia</t>
  </si>
  <si>
    <t>Société de la Croix-Rouge de Géorgie</t>
  </si>
  <si>
    <t>Sociedad de la Cruz Roja de Georgia</t>
  </si>
  <si>
    <t>الصليب الأحمر الجورجي</t>
  </si>
  <si>
    <t>nationalsocieties.dgd001</t>
  </si>
  <si>
    <t>Grenada Red Cross Society</t>
  </si>
  <si>
    <t>Croix-Rouge de Grenade</t>
  </si>
  <si>
    <t>Cruz Roja de Granada</t>
  </si>
  <si>
    <t>الصليب الأحمر الغرينادي</t>
  </si>
  <si>
    <t>nationalsocieties.dgb001</t>
  </si>
  <si>
    <t>Cruz Roja Británica</t>
  </si>
  <si>
    <t>nationalsocieties.dga001</t>
  </si>
  <si>
    <t>Gabonese Red Cross Society</t>
  </si>
  <si>
    <t>Croix-Rouge gabonaise</t>
  </si>
  <si>
    <t>Cruz Roja Gabonesa</t>
  </si>
  <si>
    <t>الصليب الأحمر الغابوني</t>
  </si>
  <si>
    <t>nationalsocieties.dfr001</t>
  </si>
  <si>
    <t>nationalsocieties.dfm001</t>
  </si>
  <si>
    <t>Micronesia Red Cross</t>
  </si>
  <si>
    <t>Croix-Rouge de Micronésie</t>
  </si>
  <si>
    <t>Cruz Roja de Micronesia</t>
  </si>
  <si>
    <t>الصليب الأحمر الميكرونيزي</t>
  </si>
  <si>
    <t>nationalsocieties.dfj001</t>
  </si>
  <si>
    <t>Fiji Red Cross Society</t>
  </si>
  <si>
    <t>Croix-Rouge de Fidji</t>
  </si>
  <si>
    <t>Cruz Roja de Fiyi</t>
  </si>
  <si>
    <t>الصليب الأحمر الفيجي</t>
  </si>
  <si>
    <t>nationalsocieties.dfi001</t>
  </si>
  <si>
    <t>Cruz Roja Finlandesa</t>
  </si>
  <si>
    <t>nationalsocieties.det001</t>
  </si>
  <si>
    <t>Ethiopian Red Cross Society</t>
  </si>
  <si>
    <t>Croix-Rouge éthiopienne</t>
  </si>
  <si>
    <t>Cruz Roja Etíope</t>
  </si>
  <si>
    <t>الصليب الأحمر الإثيوبي</t>
  </si>
  <si>
    <t>nationalsocieties.des001</t>
  </si>
  <si>
    <t>الصليب الأحمر الأسباني</t>
  </si>
  <si>
    <t>nationalsocieties.deg001</t>
  </si>
  <si>
    <t>Egyptian Red Crescent Society</t>
  </si>
  <si>
    <t>Société du Croissant-Rouge égyptien</t>
  </si>
  <si>
    <t>Sociedad de la Media Luna Roja Egipcia</t>
  </si>
  <si>
    <t>الهلال الأحمر المصري</t>
  </si>
  <si>
    <t>nationalsocieties.dee001</t>
  </si>
  <si>
    <t>Estonia Red Cross</t>
  </si>
  <si>
    <t>Croix-Rouge dEstonie</t>
  </si>
  <si>
    <t>Cruz Roja de Estonia</t>
  </si>
  <si>
    <t>الصليب الأحمر الإستوني</t>
  </si>
  <si>
    <t>nationalsocieties.dec001</t>
  </si>
  <si>
    <t>nationalsocieties.ddz001</t>
  </si>
  <si>
    <t>Algerian Red Crescent</t>
  </si>
  <si>
    <t>Croissant-Rouge algérien</t>
  </si>
  <si>
    <t>Media Luna Roja Argelina</t>
  </si>
  <si>
    <t>الهلال الأحمر الجزائري</t>
  </si>
  <si>
    <t>nationalsocieties.ddo001</t>
  </si>
  <si>
    <t>Dominican Red Cross</t>
  </si>
  <si>
    <t>Croix-Rouge dominicaine</t>
  </si>
  <si>
    <t>Cruz Roja Dominicana</t>
  </si>
  <si>
    <t>الصليب الأحمر الدومينيكي</t>
  </si>
  <si>
    <t>nationalsocieties.ddm001</t>
  </si>
  <si>
    <t>Dominica Red Cross Society</t>
  </si>
  <si>
    <t>Société de la Croix-Rouge de la Dominique</t>
  </si>
  <si>
    <t>Sociedad de la Cruz Roja de Dominica</t>
  </si>
  <si>
    <t>الصليب الأحمر الدومينيكاني</t>
  </si>
  <si>
    <t>nationalsocieties.ddk001</t>
  </si>
  <si>
    <t>nationalsocieties.ddj001</t>
  </si>
  <si>
    <t>Red Crescent Society of Djibouti</t>
  </si>
  <si>
    <t>Société du Croissant-Rouge de Djibouti</t>
  </si>
  <si>
    <t>Sociedad de la Media Luna Roja de Yibutí</t>
  </si>
  <si>
    <t>الهلال الأحمر الجيبوتي</t>
  </si>
  <si>
    <t>nationalsocieties.dde001</t>
  </si>
  <si>
    <t>Cruz Roja Alemana</t>
  </si>
  <si>
    <t>nationalsocieties.dcz001</t>
  </si>
  <si>
    <t>Czech Red Cross</t>
  </si>
  <si>
    <t>Croix-Rouge tchèque</t>
  </si>
  <si>
    <t>Cruz Roja Checa</t>
  </si>
  <si>
    <t>الصليب الأحمر التشيكي</t>
  </si>
  <si>
    <t>nationalsocieties.dcy001</t>
  </si>
  <si>
    <t>Cyprus Red Cross Society</t>
  </si>
  <si>
    <t>Croix-Rouge chypriote</t>
  </si>
  <si>
    <t>Cruz Roja de Chipre</t>
  </si>
  <si>
    <t>الصليب الأحمر القبرصي</t>
  </si>
  <si>
    <t>nationalsocieties.dcv001</t>
  </si>
  <si>
    <t>Red Cross of Cape Verde</t>
  </si>
  <si>
    <t>Croix-Rouge du Cap-Vert</t>
  </si>
  <si>
    <t>Cruz Roja de Cabo Verde</t>
  </si>
  <si>
    <t>الصليب الأحمر في الرأس الأخضر</t>
  </si>
  <si>
    <t>nationalsocieties.dcu001</t>
  </si>
  <si>
    <t>Cuban Red Cross</t>
  </si>
  <si>
    <t>Croix-Rouge cubaine</t>
  </si>
  <si>
    <t>Cruz Roja Cubana</t>
  </si>
  <si>
    <t>الصليب الأحمر الكوبي</t>
  </si>
  <si>
    <t>nationalsocieties.dcs001</t>
  </si>
  <si>
    <t>The Red Cross of Serbia</t>
  </si>
  <si>
    <t>Croix-Rouge de Serbie</t>
  </si>
  <si>
    <t>Cruz Roja de Serbia</t>
  </si>
  <si>
    <t>الصليب الأحمر الصربي</t>
  </si>
  <si>
    <t>nationalsocieties.dcr001</t>
  </si>
  <si>
    <t>الصليب الأحمر الكوستاريكي</t>
  </si>
  <si>
    <t>nationalsocieties.dco001</t>
  </si>
  <si>
    <t>Colombian Red Cross Society</t>
  </si>
  <si>
    <t>Société de la Croix-Rouge colombienne</t>
  </si>
  <si>
    <t>Sociedad Nacional de la Cruz Roja Colombiana</t>
  </si>
  <si>
    <t>الصليب الأحمر الكولومبي</t>
  </si>
  <si>
    <t>nationalsocieties.dcn001</t>
  </si>
  <si>
    <t>Cruz Roja China</t>
  </si>
  <si>
    <t>الصليب الأحمر الصيني</t>
  </si>
  <si>
    <t>nationalsocieties.dcm001</t>
  </si>
  <si>
    <t>Cameroon Red Cross Society</t>
  </si>
  <si>
    <t>Croix-Rouge camerounaise</t>
  </si>
  <si>
    <t>Cruz Roja del Camerún</t>
  </si>
  <si>
    <t>الصليب الأحمر الكاميروني</t>
  </si>
  <si>
    <t>nationalsocieties.dcl001</t>
  </si>
  <si>
    <t>Chilean Red Cross</t>
  </si>
  <si>
    <t>Croix-Rouge chilienne</t>
  </si>
  <si>
    <t>Cruz Roja Chilena</t>
  </si>
  <si>
    <t>الصليب الأحمر الشيلي</t>
  </si>
  <si>
    <t>nationalsocieties.dck001</t>
  </si>
  <si>
    <t>Cook Islands Red Cross Society</t>
  </si>
  <si>
    <t>Société de la Croix-Rouge des Iles Cook</t>
  </si>
  <si>
    <t>Cruz Roja de las Islas Cook</t>
  </si>
  <si>
    <t>الصليب الأحمر في جزر كوك</t>
  </si>
  <si>
    <t>nationalsocieties.dci001</t>
  </si>
  <si>
    <t>Red Cross Society of Côte dIvoire</t>
  </si>
  <si>
    <t>Croix-Rouge de Côte dIvoire</t>
  </si>
  <si>
    <t>Cruz Roja de la Côte dIvoire</t>
  </si>
  <si>
    <t>الصليب الأحمر في كوت ديفوار</t>
  </si>
  <si>
    <t>nationalsocieties.dch001</t>
  </si>
  <si>
    <t>Cruz Roja Suiza</t>
  </si>
  <si>
    <t>nationalsocieties.dcg001</t>
  </si>
  <si>
    <t>Congolese Red Cross</t>
  </si>
  <si>
    <t>Croix-Rouge congolaise</t>
  </si>
  <si>
    <t>Cruz Roja Congoleña</t>
  </si>
  <si>
    <t>الصليب الأحمر الكونغولي</t>
  </si>
  <si>
    <t>nationalsocieties.dcf001</t>
  </si>
  <si>
    <t>Central African Red Cross Society</t>
  </si>
  <si>
    <t>Société de la Croix-Rouge centrafricaine</t>
  </si>
  <si>
    <t>Sociedad de la Cruz Roja Centroafricana</t>
  </si>
  <si>
    <t>الصليب الأحمر في جمهورية إفريقيا الوسطى</t>
  </si>
  <si>
    <t>nationalsocieties.dcd001</t>
  </si>
  <si>
    <t>Red Cross of the Democratic Republic of the Congo</t>
  </si>
  <si>
    <t>Croix-Rouge de la République démocratique du Congo</t>
  </si>
  <si>
    <t>Cruz Roja de la República Democrática del Congo</t>
  </si>
  <si>
    <t>الصليب الأحمر في جمهورية الكونغو الديمقراطية</t>
  </si>
  <si>
    <t>nationalsocieties.dca001</t>
  </si>
  <si>
    <t>The Canadian Red Cross Society</t>
  </si>
  <si>
    <t>Sociedad Canadiense de la Cruz Roja</t>
  </si>
  <si>
    <t>nationalsocieties.dbz001</t>
  </si>
  <si>
    <t>Belize Red Cross Society</t>
  </si>
  <si>
    <t>Société de la Croix-Rouge du Belize</t>
  </si>
  <si>
    <t>Sociedad de la Cruz Roja de Belice</t>
  </si>
  <si>
    <t>الصليب الأحمر البليزي</t>
  </si>
  <si>
    <t>nationalsocieties.dby001</t>
  </si>
  <si>
    <t>Belarus Red Cross</t>
  </si>
  <si>
    <t>Croix-Rouge du Bélarus</t>
  </si>
  <si>
    <t>Cruz Roja de Belarús</t>
  </si>
  <si>
    <t>الصليب الأحمر البيلاروسي</t>
  </si>
  <si>
    <t>nationalsocieties.dbw001</t>
  </si>
  <si>
    <t>Botswana Red Cross Society</t>
  </si>
  <si>
    <t>Société de la Croix-Rouge du Botswana</t>
  </si>
  <si>
    <t>Sociedad de la Cruz Roja de Botsuana</t>
  </si>
  <si>
    <t>الصليب الأحمر البوتسواني</t>
  </si>
  <si>
    <t>nationalsocieties.dbt001</t>
  </si>
  <si>
    <t>Bhutan Red Cross Society</t>
  </si>
  <si>
    <t>Croix-Rouge du Bhoutan</t>
  </si>
  <si>
    <t>Cruz Roja de Bután</t>
  </si>
  <si>
    <t>الصليب الأحمر البوتاني</t>
  </si>
  <si>
    <t>nationalsocieties.dbs001</t>
  </si>
  <si>
    <t>The Bahamas Red Cross Society</t>
  </si>
  <si>
    <t>Croix-Rouge des Bahamas</t>
  </si>
  <si>
    <t>Cruz Roja de las Bahamas</t>
  </si>
  <si>
    <t>الصليب الأحمر في البهاما</t>
  </si>
  <si>
    <t>nationalsocieties.dbr001</t>
  </si>
  <si>
    <t>Brazilian Red Cross</t>
  </si>
  <si>
    <t>Croix-Rouge brésilienne</t>
  </si>
  <si>
    <t>Cruz Roja Brasileña</t>
  </si>
  <si>
    <t>الصليب الأحمر البرازيلي</t>
  </si>
  <si>
    <t>nationalsocieties.dbo001</t>
  </si>
  <si>
    <t>Bolivian Red Cross</t>
  </si>
  <si>
    <t>Croix-Rouge bolivienne</t>
  </si>
  <si>
    <t>Cruz Roja Boliviana</t>
  </si>
  <si>
    <t>الصليب الأحمر البوليفي</t>
  </si>
  <si>
    <t>nationalsocieties.dbn001</t>
  </si>
  <si>
    <t>Brunei Darussalam Red Crescent Society</t>
  </si>
  <si>
    <t>Croissant-Rouge de Brunéi</t>
  </si>
  <si>
    <t>Media Luna Roja de Brunei</t>
  </si>
  <si>
    <t>الهلال الأحمر في بروني دار السلام</t>
  </si>
  <si>
    <t>nationalsocieties.dbj001</t>
  </si>
  <si>
    <t>Red Cross of Benin</t>
  </si>
  <si>
    <t>Croix-Rouge béninoise</t>
  </si>
  <si>
    <t>Cruz Roja de Benin</t>
  </si>
  <si>
    <t>الصليب الأحمر في بنن</t>
  </si>
  <si>
    <t>nationalsocieties.dbi001</t>
  </si>
  <si>
    <t>Burundi Red Cross</t>
  </si>
  <si>
    <t>Croix-Rouge du Burundi</t>
  </si>
  <si>
    <t>Cruz Roja de Burundi</t>
  </si>
  <si>
    <t>الصليب الأحمر البوروندي</t>
  </si>
  <si>
    <t>nationalsocieties.dbh001</t>
  </si>
  <si>
    <t>Bahrain Red Crescent Society</t>
  </si>
  <si>
    <t>Société du Croissant-Rouge de Bahreïn</t>
  </si>
  <si>
    <t>Sociedad de la Media Luna Roja de Bahrein</t>
  </si>
  <si>
    <t>الهلال الأحمر البحريني</t>
  </si>
  <si>
    <t>nationalsocieties.dbg001</t>
  </si>
  <si>
    <t>Bulgarian Red Cross</t>
  </si>
  <si>
    <t>Croix-Rouge bulgare</t>
  </si>
  <si>
    <t>Cruz Roja Búlgara</t>
  </si>
  <si>
    <t>الصليب الأحمر البلغاري</t>
  </si>
  <si>
    <t>nationalsocieties.dbf001</t>
  </si>
  <si>
    <t>Burkinabe Red Cross Society</t>
  </si>
  <si>
    <t>Croix-Rouge burkinabè</t>
  </si>
  <si>
    <t>Cruz Roja de Burkina Faso</t>
  </si>
  <si>
    <t>الصليب الأحمر في بوركينا فاسو</t>
  </si>
  <si>
    <t>nationalsocieties.dbe001</t>
  </si>
  <si>
    <t>nationalsocieties.dbd001</t>
  </si>
  <si>
    <t>Bangladesh Red Crescent Society</t>
  </si>
  <si>
    <t>Croissant-Rouge du Bangladesh</t>
  </si>
  <si>
    <t>Media Luna Roja de Bangladesh</t>
  </si>
  <si>
    <t>الهلال الأحمر البنغلاديشي</t>
  </si>
  <si>
    <t>nationalsocieties.dbb001</t>
  </si>
  <si>
    <t>الصليب الأحمر البربادوسي</t>
  </si>
  <si>
    <t>nationalsocieties.dba001</t>
  </si>
  <si>
    <t>The Red Cross Society of Bosnia and Herzegovina</t>
  </si>
  <si>
    <t>Société de la Croix-Rouge de Bosnie-Herzégovine</t>
  </si>
  <si>
    <t>Cruz Roja de Bosnia y Herzegovina</t>
  </si>
  <si>
    <t>الصليب الأحمر في البوسنة والهرسك</t>
  </si>
  <si>
    <t>nationalsocieties.daz001</t>
  </si>
  <si>
    <t>Red Crescent Society of Azerbaijan</t>
  </si>
  <si>
    <t>La Société du Croissant-Rouge dAzerbaïdjan</t>
  </si>
  <si>
    <t>Sociedad de la Media Luna de Azerbaiyán</t>
  </si>
  <si>
    <t>الهلال الأحمر الأذربيجاني</t>
  </si>
  <si>
    <t>nationalsocieties.dau001</t>
  </si>
  <si>
    <t>Cruz Roja Australiana</t>
  </si>
  <si>
    <t>nationalsocieties.dat001</t>
  </si>
  <si>
    <t>Austrian Red Cross</t>
  </si>
  <si>
    <t>Croix-Rouge autrichienne</t>
  </si>
  <si>
    <t>Cruz Roja Austríaca</t>
  </si>
  <si>
    <t>الصليب الأحمر النمساوي</t>
  </si>
  <si>
    <t>nationalsocieties.dar001</t>
  </si>
  <si>
    <t>Cruz Roja Argentina</t>
  </si>
  <si>
    <t>nationalsocieties.dao001</t>
  </si>
  <si>
    <t>Angola Red Cross</t>
  </si>
  <si>
    <t>Croix-Rouge angolaise</t>
  </si>
  <si>
    <t>Cruz Roja de Angola</t>
  </si>
  <si>
    <t>الصليب الأحمر الأنغولي</t>
  </si>
  <si>
    <t>nationalsocieties.dam001</t>
  </si>
  <si>
    <t>Armenian Red Cross Society</t>
  </si>
  <si>
    <t>Société de la Croix-Rouge arménienne</t>
  </si>
  <si>
    <t>Sociedad de la Cruz Roja de Armenia</t>
  </si>
  <si>
    <t>الصليب الأحمر الأرمني</t>
  </si>
  <si>
    <t>nationalsocieties.dal001</t>
  </si>
  <si>
    <t>Albanian Red Cross</t>
  </si>
  <si>
    <t>Croix-Rouge albanaise</t>
  </si>
  <si>
    <t>Cruz Roja de Albania</t>
  </si>
  <si>
    <t>الصليب الأحمر الألباني</t>
  </si>
  <si>
    <t>nationalsocieties.dag001</t>
  </si>
  <si>
    <t>Antigua and Barbuda Red Cross</t>
  </si>
  <si>
    <t>Croix-Rouge dAntigua-et-Barbuda</t>
  </si>
  <si>
    <t>Cruz Roja de Antigua y Barbuda</t>
  </si>
  <si>
    <t>الصليب الأحمر في أنتيغوا بربودا</t>
  </si>
  <si>
    <t>nationalsocieties.daf001</t>
  </si>
  <si>
    <t>Afghan Red Crescent</t>
  </si>
  <si>
    <t>Croissant-Rouge afghan</t>
  </si>
  <si>
    <t>Media Luna Roja Afgana</t>
  </si>
  <si>
    <t>الهلال الأحمر الأفغاني</t>
  </si>
  <si>
    <t>nationalsocieties.dae001</t>
  </si>
  <si>
    <t>Red Crescent Society of the United Arab Emirates</t>
  </si>
  <si>
    <t>Société du Croissant-Rouge des Émirats arabes unis</t>
  </si>
  <si>
    <t>Sociedad de la Media Luna Roja de los Emiratos Arabes Unidos</t>
  </si>
  <si>
    <t>الهلال الأحمر لدولة الإمارات العربية المتحدة (الإماراتي)</t>
  </si>
  <si>
    <t>nationalsocieties.dad001</t>
  </si>
  <si>
    <t>Andorran Red Cross</t>
  </si>
  <si>
    <t>Croix-Rouge andorrane</t>
  </si>
  <si>
    <t>Cruz Roja Andorrana</t>
  </si>
  <si>
    <t>الصليب الأحمر الأندوري</t>
  </si>
  <si>
    <t>namereqired</t>
  </si>
  <si>
    <t>Se requiere el nombre</t>
  </si>
  <si>
    <t xml:space="preserve">Le nom est requis </t>
  </si>
  <si>
    <t>Name is required</t>
  </si>
  <si>
    <t>nameproperty</t>
  </si>
  <si>
    <t>Nombre</t>
  </si>
  <si>
    <t>Nom</t>
  </si>
  <si>
    <t>moreinformationonoperationsonifrcgo</t>
  </si>
  <si>
    <t>More information on Operations on</t>
  </si>
  <si>
    <t>Plus dinformations sur les opérations sur</t>
  </si>
  <si>
    <t>Más información sobre Operaciones en</t>
  </si>
  <si>
    <t>middle east and north africa</t>
  </si>
  <si>
    <t>map.title</t>
  </si>
  <si>
    <t>Données</t>
  </si>
  <si>
    <t>Datos</t>
  </si>
  <si>
    <t>map.subtitle</t>
  </si>
  <si>
    <t>From the Federation-Wide Databank and Reporting System</t>
  </si>
  <si>
    <t>De la base de données et du système de compte rendu à l’échelle de la Fédération</t>
  </si>
  <si>
    <t>Del banco de datos y sistema de información general interno de la Federación Internacional</t>
  </si>
  <si>
    <t>من قاعدة البيانات ونظام الإفادة في الاتحاد الدولي</t>
  </si>
  <si>
    <t>map.national-society</t>
  </si>
  <si>
    <t>map.indicators-title</t>
  </si>
  <si>
    <t>Key Indicators</t>
  </si>
  <si>
    <t>Indicateurs clé</t>
  </si>
  <si>
    <t>Indicadores claves</t>
  </si>
  <si>
    <t>المؤشرات الرئيسية</t>
  </si>
  <si>
    <t>map.guide</t>
  </si>
  <si>
    <t>Select a key indicator to see on the map</t>
  </si>
  <si>
    <t>Sélectionnez un indicateur clé pour voir sur la carte</t>
  </si>
  <si>
    <t>Seleccionar un indicador para ver en el mapa</t>
  </si>
  <si>
    <t>انتق مؤشر رئيسي لتراه على الخريطة</t>
  </si>
  <si>
    <t>map.bubble-size</t>
  </si>
  <si>
    <t>Bubble size</t>
  </si>
  <si>
    <t>Taille des bulles</t>
  </si>
  <si>
    <t>Tamaño de la burbuja</t>
  </si>
  <si>
    <t>الحجم</t>
  </si>
  <si>
    <t>male</t>
  </si>
  <si>
    <t>Homme</t>
  </si>
  <si>
    <t>Masculino</t>
  </si>
  <si>
    <t>mainactivitiesbypeoplereached.title</t>
  </si>
  <si>
    <t>National Society Main Activities by People Reached</t>
  </si>
  <si>
    <t xml:space="preserve">Principales activités de la Société nationale par personnes couvertes </t>
  </si>
  <si>
    <t>Principales actividades de las Sociedades Nacionales por personas alcanzadas</t>
  </si>
  <si>
    <t>mainactivitiesbypeoplereached.subtitle</t>
  </si>
  <si>
    <t>All activities National Societies conduct are grouped into nine thematic areas as shown below.</t>
  </si>
  <si>
    <t>Ce sont les principales activités pour lesquelles la majorité des revenus a été dépensé.</t>
  </si>
  <si>
    <t>Estas son las principales actividades en las que se gastó la mayor parte de los ingresos.</t>
  </si>
  <si>
    <t>These are the main activities towards which the majoritity of the income was spent.</t>
  </si>
  <si>
    <t>landing.titleparts.1</t>
  </si>
  <si>
    <t>Data Initiatives</t>
  </si>
  <si>
    <t>Iniciativas de datos</t>
  </si>
  <si>
    <t>بيانات وإحصاءات</t>
  </si>
  <si>
    <t>landing.titleparts.0</t>
  </si>
  <si>
    <t>IFRC</t>
  </si>
  <si>
    <t>landing.projects.news</t>
  </si>
  <si>
    <t>News</t>
  </si>
  <si>
    <t>Nouvelles</t>
  </si>
  <si>
    <t>Noticias</t>
  </si>
  <si>
    <t>أخبار</t>
  </si>
  <si>
    <t>landing.projects.featured</t>
  </si>
  <si>
    <t>Featured projects</t>
  </si>
  <si>
    <t>Projets à laffiche</t>
  </si>
  <si>
    <t>Proyectos destacados</t>
  </si>
  <si>
    <t>مشاريع مميزة</t>
  </si>
  <si>
    <t>landing.projects.boca.loginrequired</t>
  </si>
  <si>
    <t>* Access restricted to authorized users only and login required. Please contact your IFRC focal point if you have any question or access issues</t>
  </si>
  <si>
    <t>* Accès réservé uniquement aux utilisateurs autorisés. Veuillez contacter votre point focal de la FICR si vous avez des questions ou des problèmes daccès.</t>
  </si>
  <si>
    <t>* Acceso restringido a usuarios autorizados y es necesario iniciar sesión. Por favor, póngase en contacto con su punto focal de la FICR si tiene alguna pregunta o problema de acceso</t>
  </si>
  <si>
    <t>landing.projects.boca.title</t>
  </si>
  <si>
    <t>BOCA – Branch Organizational Capacity Assessment</t>
  </si>
  <si>
    <t>ÉVALUATION DES CAPACITÉS ORGANISATIONNELLES DES SECTIONS (BOCA)</t>
  </si>
  <si>
    <t xml:space="preserve">EVALUACIÓN DE LA CAPACIDAD ORGANIZATIVA DE LA FILIAL (BOCA) </t>
  </si>
  <si>
    <t>تقييم فرع التنظيمية القدرات (فرع تقييم القدرات التنظيمية)</t>
  </si>
  <si>
    <t>landing.projects.boca.text</t>
  </si>
  <si>
    <t>BOCA process is intended to capture the strengths and weaknesses of National Societies branches as a whole in relation to a wide range of organisational capacities.</t>
  </si>
  <si>
    <t>Le processus BOCA permet aux sections de Sociétés nationales dévaluer leurs forces et faiblesses dans leur ensemble par rapport à un large éventail de capacités organisationnelles.</t>
  </si>
  <si>
    <t>El proceso de BOCA está destinado a capturar las fortalezas y las debilidades de las filiales de las Sociedades Nacionales en relación a la amplia gama de capacidades de organización.</t>
  </si>
  <si>
    <t>ويهدف فرع عملية تقييم القدرات التنظيمية للقبض على نقاط القوة والضعف في فروع الجمعيات الوطنية ككل فيما يتعلق مجموعة واسعة من القدرات التنظيمية.</t>
  </si>
  <si>
    <t>landing.projects.boca.navigate3</t>
  </si>
  <si>
    <t>BOCA data entry &amp; management *</t>
  </si>
  <si>
    <t>Entrée &amp; gestion de données BOCA *</t>
  </si>
  <si>
    <t>Ingreso y gestión de datos BOCA *</t>
  </si>
  <si>
    <t>landing.projects.boca.navigate2</t>
  </si>
  <si>
    <t>NS data &amp; analysis *</t>
  </si>
  <si>
    <t>Données &amp; analyses de SN *</t>
  </si>
  <si>
    <t>Datos y análisis de SN *</t>
  </si>
  <si>
    <t>landing.projects.boca.navigate</t>
  </si>
  <si>
    <t>Global and Regional data &amp; analysis</t>
  </si>
  <si>
    <t>Données &amp; analyses globales et régionales</t>
  </si>
  <si>
    <t>Datos y análisis globales y regionales</t>
  </si>
  <si>
    <t>landing.projects.ocac.loginrequired</t>
  </si>
  <si>
    <t>landing.projects.ocac.title</t>
  </si>
  <si>
    <t>OCAC – Organization Capacity Assessment and certification</t>
  </si>
  <si>
    <t>Évaluation et Certification des Capacités Organisationnelles (OCAC)</t>
  </si>
  <si>
    <t>Evaluación y Certificación de la Capacidad Organizativa (OCAC)</t>
  </si>
  <si>
    <t>تقييم القدرات التنظيمية ومنح الشهادات</t>
  </si>
  <si>
    <t>landing.projects.ocac.text</t>
  </si>
  <si>
    <t>The self-assessment part of the OCAC process is intended to capture the strengths and weaknesses of National Societies as a whole in relation to a wide range of organisational capacities.</t>
  </si>
  <si>
    <t xml:space="preserve">Lauto-évaluation du processus OCAC permet aux Sociétés nationales dévaluer leurs forces et faiblesses dans leur ensemble par rapport å un large éventail de capacités organisationnelles. </t>
  </si>
  <si>
    <t>La parte de autoevaluación del proceso del OCAC tiene por objeto captar los puntos fuertes y débiles de las Sociedades Nacionales(SN) en su conjunto en relación con una amplia gama de capacidades organizativas.</t>
  </si>
  <si>
    <t>يهدف جزء التقييم الذاتي من عملية تقييم القدرات التنظيمية وإصدار الشهادات إلى التقاط نقاط القوة والضعف في الجمعيات الوطنية ككل فيما يتعلق بمجموعة واسعة من القدرات التنظيمية.</t>
  </si>
  <si>
    <t>landing.projects.ocac.navigate3</t>
  </si>
  <si>
    <t>OCAC data entry &amp; management *</t>
  </si>
  <si>
    <t>Entrée &amp; gestion de données OCAC *</t>
  </si>
  <si>
    <t>Ingreso y gestión de datos OCAC *</t>
  </si>
  <si>
    <t>landing.projects.ocac.navigate2</t>
  </si>
  <si>
    <t>landing.projects.ocac.navigate</t>
  </si>
  <si>
    <t>landing.projects.fdrs.title</t>
  </si>
  <si>
    <t>Federation-wide databank and reporting system</t>
  </si>
  <si>
    <t>Base de données et système de compte rendu à l’échelle de la Fédération</t>
  </si>
  <si>
    <t>Banco de datos y sistema de información general interno de la Federación Internacional</t>
  </si>
  <si>
    <t>قاعدة البيانات ونظام الإفادة في الإتحاد الدولي</t>
  </si>
  <si>
    <t>landing.projects.fdrs.text</t>
  </si>
  <si>
    <t>The Federation-wide databank and reporting system provides data about all the National Societies.</t>
  </si>
  <si>
    <t>La base de données et système de compte rendu à léchelle de la Fédération fournis des données sur toutes les Sociétés nationales.</t>
  </si>
  <si>
    <t>El banco de datos y sistema de información general interno de la Federación Internacional proporciona datos sobre todas las Sociedades Nacionales.</t>
  </si>
  <si>
    <t>توفر قاعدة البيانات ونظام الإفادة للاتحاد الدولي بيانات عن كل الجمعيات الوطنية.</t>
  </si>
  <si>
    <t>landing.projects.fdrs.navigate</t>
  </si>
  <si>
    <t>Go to FDRS</t>
  </si>
  <si>
    <t>Aller sur FDRS</t>
  </si>
  <si>
    <t>Ir a FDRS</t>
  </si>
  <si>
    <t>اذهب إلى FDRS</t>
  </si>
  <si>
    <t>landing.lead</t>
  </si>
  <si>
    <t>IFRC is a data-driven organization dedicated to making evidence-based decision-making</t>
  </si>
  <si>
    <t>La FICR est une organisation axée sur les données, elle est consacré à la prise de décisions factuelles</t>
  </si>
  <si>
    <t>La FICR es una organización que se dedica a usar datos para tomar decisiones basadas en evidencia</t>
  </si>
  <si>
    <t>يعتمد الاتحاد الدولي على البيانات لاتخاذ قرارات مبنية على الأدلة</t>
  </si>
  <si>
    <t>landing.about.title</t>
  </si>
  <si>
    <t>About data.ifrc.org</t>
  </si>
  <si>
    <t>À propos de data.ifrc.org</t>
  </si>
  <si>
    <t>Acerca de data.ifrc.org</t>
  </si>
  <si>
    <t>landing.about.text.0</t>
  </si>
  <si>
    <t>Data.ifrc.org is a prototype website for data and data learning at IFRC. There are upcoming projects which will feed in the coming months. Stay tuned.</t>
  </si>
  <si>
    <t>Data.ifrc.org est un prototype de siteweb consacré aux données et à lapprentissage des données à la FICR. Des prochains projets vont alimenter ce siteweb dans les mois à venir. Restez avec nous!</t>
  </si>
  <si>
    <t>Data.ifrc.org es un prototipo de sitio web para el aprendizaje de datos y datos en la FICR. Hay próximos proyectos que vamos a lanzar en los próximos meses. Manténganse al tanto.</t>
  </si>
  <si>
    <t>خصص الاتحاد الدولي هذا الموقع الألكتروني للحصول على البيانات والتعلم. ترقب إطلاق مشاريعنا الجديدة خلال الأسابيع والأشهر القادمة.</t>
  </si>
  <si>
    <t>peoplereachedgroups.valuespower</t>
  </si>
  <si>
    <t>Values, Power and Inclusion</t>
  </si>
  <si>
    <t>Valeurs, pouvoir et inclusion</t>
  </si>
  <si>
    <t>Valores, poder e inclusión</t>
  </si>
  <si>
    <t>القيم والقوة والتضامن</t>
  </si>
  <si>
    <t>peoplereachedgroups.migration</t>
  </si>
  <si>
    <t>Migration and identity</t>
  </si>
  <si>
    <t>Migration et identité</t>
  </si>
  <si>
    <t>Migración e identidad</t>
  </si>
  <si>
    <t>الهجرة والهوية</t>
  </si>
  <si>
    <t>peoplereachedgroups.growinggaps</t>
  </si>
  <si>
    <t>Growing gaps in health and well-being</t>
  </si>
  <si>
    <t>Des écarts croissants en matière de santé et de bien-être</t>
  </si>
  <si>
    <t>Brechas crecientes en salud y bienestar</t>
  </si>
  <si>
    <t>تزايد الفجوات في مجالي الصحة والرفاه</t>
  </si>
  <si>
    <t>peoplereachedgroups.evolvingcrisis</t>
  </si>
  <si>
    <t>Evolving crises and disasters</t>
  </si>
  <si>
    <t>Crise et catastrophes en évolution</t>
  </si>
  <si>
    <t>Evolución de crisis y desastres</t>
  </si>
  <si>
    <t>تطوّر الأزمات والكوارث</t>
  </si>
  <si>
    <t>peoplereachedgroups.climatecrises</t>
  </si>
  <si>
    <t>Climate and environmental crises</t>
  </si>
  <si>
    <t>Crise climatique et environnementale</t>
  </si>
  <si>
    <t>Crisis climática y medioambiental</t>
  </si>
  <si>
    <t>أزمة المناخ والبيئة</t>
  </si>
  <si>
    <t>peoplereachedgroups.crosscutting</t>
  </si>
  <si>
    <t>Cross-cutting</t>
  </si>
  <si>
    <t>Transversale</t>
  </si>
  <si>
    <t>Transversal</t>
  </si>
  <si>
    <t>متعدد القطاعات</t>
  </si>
  <si>
    <t>kpi_reachrcrced_cpd</t>
  </si>
  <si>
    <t>People reached with RCRC educational programmes</t>
  </si>
  <si>
    <t>Nombre de personnes couvertes par les programmes Croix-Rouge et Croissant-Rouge d’éducation</t>
  </si>
  <si>
    <t>Beneficiarios de los programas educativos de las organizaciones de la Cruz Roja y de la Media Luna Roja</t>
  </si>
  <si>
    <t>الأشخاص الذين تم الوصول إليهم من خلال البرامج التعليمية لـلحركة الدولية للصليب الأحمر والهلال الأحمر</t>
  </si>
  <si>
    <t>kpi_reachhi_cpd</t>
  </si>
  <si>
    <t>People reached with immunisation services</t>
  </si>
  <si>
    <t>Nombre de personnes couvertes par les services de vaccination</t>
  </si>
  <si>
    <t>Beneficiarios de los servicios de inmunización</t>
  </si>
  <si>
    <t>الأشخاص الذين تم الوصول إليهم بخدمات التطعيم</t>
  </si>
  <si>
    <t>kpi_reachhpm_cpd</t>
  </si>
  <si>
    <t>People reached with mental health and psychosocial support services</t>
  </si>
  <si>
    <t>Nombre de personnes couvertes par les services de santé mentale et de soutien psychosocial</t>
  </si>
  <si>
    <t>Beneficiarios de los servicios y programas de salud mental y apoyo psicosocial</t>
  </si>
  <si>
    <t>الأشخاص الذين تم الوصول إليهم بخدمات الصحة العقلية والدعم النفسي والاجتماعي</t>
  </si>
  <si>
    <t>kpi_climateheat_cpd</t>
  </si>
  <si>
    <t>People reached by programmes or operations that involve heatwave risk reduction, preparedness or response</t>
  </si>
  <si>
    <t>Nombre de personnes couvertes par des programmes ou des opérations de réduction des risques de vagues de chaleur, de préparation et d’intervention</t>
  </si>
  <si>
    <t>Beneficiarios de los programas u operaciones de reducción del riesgo, preparación preventiva o intervención ante olas de calor</t>
  </si>
  <si>
    <t>الأشخاص الذين تم الوصول إليهم من خلال البرامج أو العمليات التي تنطوي على الحد من مخاطر الموجات الحارة أو الاستعداد أو الاستجابة</t>
  </si>
  <si>
    <t>kpi_climate_cpd</t>
  </si>
  <si>
    <t>People reached with activities to address rising climate risks</t>
  </si>
  <si>
    <t>Nombre de personnes couvertes par les activités visant à faire face aux risques climatiques croissants</t>
  </si>
  <si>
    <t>Beneficiarios de actividades para abordar los crecientes riesgos climáticos</t>
  </si>
  <si>
    <t>الأشخاص الذين تم الوصول إليهم من خلال أنشطة لمعالجة المخاطر المناخية المتزايدة</t>
  </si>
  <si>
    <t>kpi_trainfa_tot</t>
  </si>
  <si>
    <t>People trained in First Aid</t>
  </si>
  <si>
    <t xml:space="preserve"> Personnes formées aux premiers secours</t>
  </si>
  <si>
    <t>Personas capacitadas en primeros auxilios</t>
  </si>
  <si>
    <t>kpi_reachwash_cpd</t>
  </si>
  <si>
    <t>People reached by water, sanitation and hygiene</t>
  </si>
  <si>
    <t xml:space="preserve"> Personnes couvertes par les programmes liés à leau, à lassainissement et à lhygiène</t>
  </si>
  <si>
    <t>Personas alcanzadas por agua, saneamiento e higiene</t>
  </si>
  <si>
    <t>kpi_reachsi_cpd</t>
  </si>
  <si>
    <t>People reached with protection, gender and inclusion programming</t>
  </si>
  <si>
    <t>Nombre de personnes couvertes par les programmes axés sur la protection, légalité de genre et linclusion</t>
  </si>
  <si>
    <t>Beneficiarios de programas de protección, género e inclusión</t>
  </si>
  <si>
    <t>kpi_reachs_cpd</t>
  </si>
  <si>
    <t>People reached by shelter</t>
  </si>
  <si>
    <t>Personnes couvertes par les programmes de logement</t>
  </si>
  <si>
    <t>Personas alcanzadas por alojamiento</t>
  </si>
  <si>
    <t>kpi_reachm_cpd</t>
  </si>
  <si>
    <t>People reached by migration</t>
  </si>
  <si>
    <t>Personnes couvertes par les programmes liés à la migration</t>
  </si>
  <si>
    <t>Personas alcanzadas por migración</t>
  </si>
  <si>
    <t>kpi_reachltspd_cpd</t>
  </si>
  <si>
    <t>People reached by long term services and development programmes</t>
  </si>
  <si>
    <t>Personnes couvertes par les services à long terme et les programmes de développement</t>
  </si>
  <si>
    <t>Personas alcanzadas por programas de desarrollo y servicios a largo plazo</t>
  </si>
  <si>
    <t>kpi_reachl_cpd</t>
  </si>
  <si>
    <t>People reached by livelihoods</t>
  </si>
  <si>
    <t>Personnes couvertes par les programmes liés aux moyens de subsistance</t>
  </si>
  <si>
    <t>Personas alcanzadas por medios de vida</t>
  </si>
  <si>
    <t>kpi_reachh_cpd</t>
  </si>
  <si>
    <t>People reached by health</t>
  </si>
  <si>
    <t xml:space="preserve"> Personnes couvertes par les programmes de santé</t>
  </si>
  <si>
    <t>Personas alcanzadas por salud</t>
  </si>
  <si>
    <t>kpi_reachdrr_cpd</t>
  </si>
  <si>
    <t>People reached by disaster risk reduction</t>
  </si>
  <si>
    <t xml:space="preserve"> Personnes couvertes par les programmes de réduction des risques de catastrophe</t>
  </si>
  <si>
    <t>Personas alcanzadas por reducción del riesgo de desastres</t>
  </si>
  <si>
    <t>kpi_reachdrer_cpd</t>
  </si>
  <si>
    <t xml:space="preserve"> Personnes couvertes par les programmes dintervention en cas de catastrophe et de relèvement précoce</t>
  </si>
  <si>
    <t>Personas a las que llegan los programas de respuesta ante desastres y recuperación temprana</t>
  </si>
  <si>
    <t>kpi_reachctp_cpd</t>
  </si>
  <si>
    <t>People reached by cash transfer programming</t>
  </si>
  <si>
    <t>Personnes couvertes par les programmes de transferts monétaires</t>
  </si>
  <si>
    <t>Personas alcanzadas por programas de transferencia de dinero en efectivo</t>
  </si>
  <si>
    <t>kpi_reach</t>
  </si>
  <si>
    <t xml:space="preserve">Personnes couvertes </t>
  </si>
  <si>
    <t>kpi_pstaff_tot</t>
  </si>
  <si>
    <t>Staff</t>
  </si>
  <si>
    <t xml:space="preserve">Personnel  </t>
  </si>
  <si>
    <t>Personal</t>
  </si>
  <si>
    <t>kpi_peoplevol_tot</t>
  </si>
  <si>
    <t>المتطوعين</t>
  </si>
  <si>
    <t>kpi_nolocalunits</t>
  </si>
  <si>
    <t xml:space="preserve">Unités locales </t>
  </si>
  <si>
    <t>kpi_incomelc_chf,kpi_expenditurelc_chf</t>
  </si>
  <si>
    <t>Income &amp; Expenditure</t>
  </si>
  <si>
    <t>kpi_incomelc_chf&amp;kpi_expenditurelc_chf</t>
  </si>
  <si>
    <t>kpi_incomelc_chf</t>
  </si>
  <si>
    <t>Revenus</t>
  </si>
  <si>
    <t>kpi_incomelc,kpi_expenditurelc</t>
  </si>
  <si>
    <t>kpi_incomelc&amp;kpi_expenditurelc</t>
  </si>
  <si>
    <t>kpi_incomelc</t>
  </si>
  <si>
    <t>kpi_incomefromnsslc_chf</t>
  </si>
  <si>
    <t>Other National Society</t>
  </si>
  <si>
    <t>Autre Société nationale</t>
  </si>
  <si>
    <t>Otras Sociedades Nacionales</t>
  </si>
  <si>
    <t>جمعيات وطنية أخرى</t>
  </si>
  <si>
    <t>kpi_incomefromnsslc</t>
  </si>
  <si>
    <t>kpi_gb_tot</t>
  </si>
  <si>
    <t>Governing Board</t>
  </si>
  <si>
    <t>kpi_expenditurelc_chf</t>
  </si>
  <si>
    <t>Expenditure</t>
  </si>
  <si>
    <t>kpi_expenditurelc</t>
  </si>
  <si>
    <t>kpi_donblood_tot</t>
  </si>
  <si>
    <t>People donating blood</t>
  </si>
  <si>
    <t>Donneurs de sang</t>
  </si>
  <si>
    <t>Personas que donan sangre</t>
  </si>
  <si>
    <t>keylinks</t>
  </si>
  <si>
    <t>Key Links</t>
  </si>
  <si>
    <t xml:space="preserve">Liens clés </t>
  </si>
  <si>
    <t>Enlaces clave</t>
  </si>
  <si>
    <t>keyhighlight</t>
  </si>
  <si>
    <t>Key Highlight</t>
  </si>
  <si>
    <t xml:space="preserve">Points principaux </t>
  </si>
  <si>
    <t>Lo más destacado</t>
  </si>
  <si>
    <t>ind_chf</t>
  </si>
  <si>
    <t>Individuals</t>
  </si>
  <si>
    <t>Individus</t>
  </si>
  <si>
    <t>Particulares</t>
  </si>
  <si>
    <t>أفراد</t>
  </si>
  <si>
    <t>ind</t>
  </si>
  <si>
    <t>incsupport</t>
  </si>
  <si>
    <t>Incoming Support</t>
  </si>
  <si>
    <t>Soutien entrant</t>
  </si>
  <si>
    <t>Apoyo a la entrada</t>
  </si>
  <si>
    <t>incomevsexpenditure</t>
  </si>
  <si>
    <t>Income vs. Expenditure</t>
  </si>
  <si>
    <t>Revenus vs dépenses</t>
  </si>
  <si>
    <t>Ingresos contra gastos</t>
  </si>
  <si>
    <t>incomeandexpenditureoverview.title</t>
  </si>
  <si>
    <t>National Society Income and Expenditure Overview</t>
  </si>
  <si>
    <t>Aperçu des revenus et dépenses des Sociétés nationales</t>
  </si>
  <si>
    <t>Resumen de ingresos y gastos de las sociedades nacionales</t>
  </si>
  <si>
    <t>incomeandexpenditureoverview.subtitle</t>
  </si>
  <si>
    <t>Summary of the total income for National Societies worldwide, sources of income, and the expenditure.</t>
  </si>
  <si>
    <t>Récapitulatif des recettes totales des Sociétés nationales dans le monde, des sources de revenus et des dépenses.</t>
  </si>
  <si>
    <t>Resumen de los ingresos totales de las Sociedades Nacionales en todo el mundo, fuentes de ingresos y los gastos.</t>
  </si>
  <si>
    <t>iga_chf</t>
  </si>
  <si>
    <t>Income generating activity</t>
  </si>
  <si>
    <t>Activités génératrices de revenus</t>
  </si>
  <si>
    <t>Actividades de generación de ingresos</t>
  </si>
  <si>
    <t>أنشطة مدرَّة للدخل</t>
  </si>
  <si>
    <t>iga</t>
  </si>
  <si>
    <t>ifrcsecretariat.title</t>
  </si>
  <si>
    <t>OUR GLOBAL NETWORK</t>
  </si>
  <si>
    <t>Secrétariat de la Fédération internationale</t>
  </si>
  <si>
    <t>IFRC Secretariat</t>
  </si>
  <si>
    <t>ifrcsecretariat.secretariatstaff.title</t>
  </si>
  <si>
    <t>Secretariat Staff</t>
  </si>
  <si>
    <t>ifrcsecretariat.secretariatstaff.subtitle</t>
  </si>
  <si>
    <t>Breakdown of the IFRC Secretariat staff data across all regional and country cluster offices.</t>
  </si>
  <si>
    <t>Ventilation des données sur le personnel du Secrétariat de la Fédération internationale dans tous les bureaux de groupes de pays régionaux et nationaux.</t>
  </si>
  <si>
    <t>Desglose de los datos del personal de la Secretaría de la Federación Internacional en todas las oficinas regionales, de multipaís y nacionales.</t>
  </si>
  <si>
    <t>ifrcsecretariat.secretariatstaff.staffgenderagebreakdown</t>
  </si>
  <si>
    <t>Staff gender and age breakdown</t>
  </si>
  <si>
    <t>Répartition par sexe et par âge du personnel</t>
  </si>
  <si>
    <t>Desglose del personal por sexo y edad</t>
  </si>
  <si>
    <t>ifrcsecretariat.secretariatstaff.staffbreakdownbyregions</t>
  </si>
  <si>
    <t>Staff breakdown by regions</t>
  </si>
  <si>
    <t>Répartition du personnel par régions</t>
  </si>
  <si>
    <t>Desglose del personal por regiones</t>
  </si>
  <si>
    <t>ifrcsecretariat.secretariatstaff.nationalitybreakdown</t>
  </si>
  <si>
    <t>Nationality Breakdown</t>
  </si>
  <si>
    <t>Répartition de la nationalité</t>
  </si>
  <si>
    <t>Desglose por nacionalidad</t>
  </si>
  <si>
    <t>ifrcsecretariat.secretariatstaff.jobclassificationgrades</t>
  </si>
  <si>
    <t>ifrcsecretariat.maplegend.representative_offices</t>
  </si>
  <si>
    <t>Representative Offices</t>
  </si>
  <si>
    <t>Bureaux de représentation</t>
  </si>
  <si>
    <t>Oficinas representativas</t>
  </si>
  <si>
    <t>مكاتب تمثيلية</t>
  </si>
  <si>
    <t>ifrcsecretariat.maplegend.regional_offices</t>
  </si>
  <si>
    <t>Regional Offices</t>
  </si>
  <si>
    <t>Bureaux régionaux</t>
  </si>
  <si>
    <t>Oficinas regionales</t>
  </si>
  <si>
    <t>المكاتب الإقليمية</t>
  </si>
  <si>
    <t>ifrcsecretariat.maplegend.headquarters</t>
  </si>
  <si>
    <t>Headquarters</t>
  </si>
  <si>
    <t>Siège social</t>
  </si>
  <si>
    <t>Sede</t>
  </si>
  <si>
    <t>مقر</t>
  </si>
  <si>
    <t>ifrcsecretariat.maplegend.country_clusters</t>
  </si>
  <si>
    <t>Country Clusters</t>
  </si>
  <si>
    <t>Bureaux de soutien</t>
  </si>
  <si>
    <t>Oficinas de apoyo</t>
  </si>
  <si>
    <t>مجموعات البلدان</t>
  </si>
  <si>
    <t>ifrcsecretariat.intro</t>
  </si>
  <si>
    <t>The International Federation of Red Cross and Red Crescent Societies (IFRC) is the world’s largest humanitarian network, supporting local Red Cross and Red Crescent action in more than 192 countries.</t>
  </si>
  <si>
    <t>La Fédération internationale des sociétés de la Croix-Rouge et du Croissant-Rouge, la Fédération internationale, se compose dun vaste réseau de 192 Sociétés nationales.</t>
  </si>
  <si>
    <t>FICR, la Federación Internacional de Sociedades de la Cruz Roja y de la Media Luna Roja, está formada por una gran red de 192 Sociedades Nacionales.</t>
  </si>
  <si>
    <t>IFRC, the International Federation of Red Cross and Red Crescent Societies, consists of a big network of 192 National Societies.</t>
  </si>
  <si>
    <t>ifrcsecretariat.emergencyoperations.title</t>
  </si>
  <si>
    <t>ifrcsecretariat.emergencyoperations.subtitle</t>
  </si>
  <si>
    <t>IFRC supports many emergency operations worldwide with the key numbers below.</t>
  </si>
  <si>
    <t>La Fédération internationale soutient de nombreuses opérations durgence dans le monde entier avec les chiffres ci-dessous.</t>
  </si>
  <si>
    <t>La Federación Internacional apoya muchas operaciones de emergencia en todo el mundo con los números clave a continuación.</t>
  </si>
  <si>
    <t>ifrcmainhomepage</t>
  </si>
  <si>
    <t>IFRC main homepage</t>
  </si>
  <si>
    <t xml:space="preserve">FICR page principal </t>
  </si>
  <si>
    <t>Página principal de la FICR</t>
  </si>
  <si>
    <t>ifrc_chf</t>
  </si>
  <si>
    <t>Fédération internationale</t>
  </si>
  <si>
    <t>Federación Internacional</t>
  </si>
  <si>
    <t>ifrc</t>
  </si>
  <si>
    <t>icrc_chf</t>
  </si>
  <si>
    <t>ICRC</t>
  </si>
  <si>
    <t>CICR</t>
  </si>
  <si>
    <t>اللجنة الدولية للصليب الأحمر</t>
  </si>
  <si>
    <t>icrc</t>
  </si>
  <si>
    <t>Comité Internacional de la Cruz Roja</t>
  </si>
  <si>
    <t>homeintrocontent</t>
  </si>
  <si>
    <t>FDRS is an IFRC platform dedicated to providing insights on the Red Cross Red Crescent National Societies. The data is gathered through a yearly data collection from 192 National Societies.</t>
  </si>
  <si>
    <t>Le FDRS est une plate-forme de la Fédération internationale dédiée à fournir des informations sur les Sociétés nationales de la Croix-Rouge et du Croissant-Rouge. Les données sont collectées par une collecte annuelle de données auprès de 192 Sociétés nationales.</t>
  </si>
  <si>
    <t>FDRS es una plataforma de la Federación Internacional dedicada a brindar información sobre los Sociedades Nacionales de la Cruz Roja y la Media Luna Roja. Los datos se recopilan mediante una recopilación anual de datos de 192 Sociedades Nacionales.</t>
  </si>
  <si>
    <t>home.services.title</t>
  </si>
  <si>
    <t>Services</t>
  </si>
  <si>
    <t>Servicios</t>
  </si>
  <si>
    <t>الخدمات</t>
  </si>
  <si>
    <t>home.services.items.2.title</t>
  </si>
  <si>
    <t>Profils des sociétés nationales</t>
  </si>
  <si>
    <t>home.services.items.2.slug</t>
  </si>
  <si>
    <t>societies</t>
  </si>
  <si>
    <t>sociétés</t>
  </si>
  <si>
    <t>Sociedades</t>
  </si>
  <si>
    <t>الجمعيات</t>
  </si>
  <si>
    <t>home.services.items.2.description</t>
  </si>
  <si>
    <t>Interested in a particular National Society or a specific region? This tool is for you. Here you can also download profiles as PDFs.</t>
  </si>
  <si>
    <t>Intéressé par une Société nationale ou une région en particulier? Cet outil est fait pour vous. Ici, vous pouvez également télécharger des profils en PDF.</t>
  </si>
  <si>
    <t>¿Interesado en una Sociedad Nacional o una región específica? Esta herramienta es para usted. Aquí también puede descargar perfiles en formato PDF.</t>
  </si>
  <si>
    <t>هل أنت مهتم في جمعية وطنية معينة أو منطقة معينة؟ استكشف هذه الأداة. هنا يمكنك أيضا تنزيل لمحات عن الجمعيات الوطنية بملفات PDF.</t>
  </si>
  <si>
    <t>home.services.items.2.button</t>
  </si>
  <si>
    <t>Find your National Society</t>
  </si>
  <si>
    <t>Trouvez votre Société nationale</t>
  </si>
  <si>
    <t>Encuentre su Sociedad Nacional</t>
  </si>
  <si>
    <t>ابحث عن جمعيتك الوطنية</t>
  </si>
  <si>
    <t>home.services.items.1.title</t>
  </si>
  <si>
    <t>home.services.items.1.slug</t>
  </si>
  <si>
    <t>overview</t>
  </si>
  <si>
    <t>home.services.items.1.description</t>
  </si>
  <si>
    <t>See our work in numbers. This tool will give you an overview of what the entire IFRC looks like.</t>
  </si>
  <si>
    <t>Voir notre travail en chiffres. Cet outil vous donnera un aperçu de ce que ressemble toute la Fédération.</t>
  </si>
  <si>
    <t>Vea nuestro trabajo en números. Esta herramienta le dará una visión general de la Federación Internacional.</t>
  </si>
  <si>
    <t>انظر إلى عملنا من خلال الأرقام. سوف تعطيك هذه الأداة  نظرة عامة عن الاتحاد الدولي بأكمله.í</t>
  </si>
  <si>
    <t>home.services.items.1.button</t>
  </si>
  <si>
    <t>Explore the IFRC</t>
  </si>
  <si>
    <t>Explorez la FICR</t>
  </si>
  <si>
    <t>Explorar la Federación Internacional</t>
  </si>
  <si>
    <t>استكشف الاتحاد الدولي</t>
  </si>
  <si>
    <t>home.services.items.0.title</t>
  </si>
  <si>
    <t>Everyone Counts report</t>
  </si>
  <si>
    <t>Rapport "Tout le monde compte"</t>
  </si>
  <si>
    <t>Informe "Todos y cada uno tienen importancia"</t>
  </si>
  <si>
    <t>تقرير "نعتدّ بالجميع"</t>
  </si>
  <si>
    <t>home.services.items.0.slug</t>
  </si>
  <si>
    <t>rapport</t>
  </si>
  <si>
    <t>informe</t>
  </si>
  <si>
    <t>التقرير</t>
  </si>
  <si>
    <t>home.services.items.0.description</t>
  </si>
  <si>
    <t>Our latest findings are also published in the form of an interactive report. Explore the report online, or download a PDF version.</t>
  </si>
  <si>
    <t>Nos derniers résultats sont également publiés sous la forme dun rapport interactif. Explorez le rapport en ligne ou téléchargez une version PDF.</t>
  </si>
  <si>
    <t>Nuestros últimos resultados también se publican en forma de un informe interactivo. Explore el informe en línea o descargue una versión en PDF.</t>
  </si>
  <si>
    <t>وتُنشر أحدث النتائج التي توصلنا إليها في شكل تقرير تفاعلي. استكشف التقرير على الإنترنت، أو قمّ بتنزيل نسخة PDF.</t>
  </si>
  <si>
    <t>home.services.items.0.button</t>
  </si>
  <si>
    <t>Read the report</t>
  </si>
  <si>
    <t>Lire le rapport</t>
  </si>
  <si>
    <t>Leer el informe</t>
  </si>
  <si>
    <t>قراءة التقرير</t>
  </si>
  <si>
    <t>home.intro.titleparts.1</t>
  </si>
  <si>
    <t>and reporting system</t>
  </si>
  <si>
    <t>Base de données et système de compte rendu</t>
  </si>
  <si>
    <t>Banco de datos y sistema de información general interno</t>
  </si>
  <si>
    <t>قاعدة البيانات ونظام الإفادة</t>
  </si>
  <si>
    <t>home.intro.titleparts.0</t>
  </si>
  <si>
    <t>Federation-wide databank</t>
  </si>
  <si>
    <t>à l’échelle de la Fédération</t>
  </si>
  <si>
    <t>de la Federación Internacional</t>
  </si>
  <si>
    <t>في الاتحاد الدولي</t>
  </si>
  <si>
    <t>home.intro.title</t>
  </si>
  <si>
    <t>قاعدة البيانات ونظام الإفادة في الاتحاد الدولي</t>
  </si>
  <si>
    <t>home.intro.lead</t>
  </si>
  <si>
    <t>The Federation-wide Databank and Reporting System (FDRS) provides data insights on the worlds largest humanitarian organization.</t>
  </si>
  <si>
    <t>La base de données et système de compte rendu à l’échelle de la Fédération (FDRS) fournit des informations sur la plus grande organisation humanitaire au monde.</t>
  </si>
  <si>
    <t>El banco de datos y sistema de información general interno de la Federación Internacional proporciona datos sobre la organización humanitaria más grande del mundo.</t>
  </si>
  <si>
    <t>توفر قاعدة البيانات ونظام الإفادة في الاتحاد الدولي رؤى لبيانات أكبر منظمة إنسانية في العالم.</t>
  </si>
  <si>
    <t>home.insights.title</t>
  </si>
  <si>
    <t>Latest insights</t>
  </si>
  <si>
    <t>Dernières informations</t>
  </si>
  <si>
    <t>Últimos resultados</t>
  </si>
  <si>
    <t>أحدث الأرصاد</t>
  </si>
  <si>
    <t>home.insights.subtitle</t>
  </si>
  <si>
    <t>Exceptional coverage</t>
  </si>
  <si>
    <t>Couverture exceptionnelle</t>
  </si>
  <si>
    <t>Alcance excepcional</t>
  </si>
  <si>
    <t>تغطية استثنائية</t>
  </si>
  <si>
    <t>home.insights.nscoverage</t>
  </si>
  <si>
    <t>National Society coverage</t>
  </si>
  <si>
    <t>Couverture de la Société nationale</t>
  </si>
  <si>
    <t>Cobertura de la Sociedad Nacional</t>
  </si>
  <si>
    <t>home.insights.description</t>
  </si>
  <si>
    <t>In 2018, all 190 National Societies have reported to FDRS on at least 1 key indicator. We thank the National Societies worldwide for their efforts to improve transparency and accountability of the IFRC.</t>
  </si>
  <si>
    <t>En 2018, les 190 Sociétés nationales ont signalé au FDRS au moins un indicateur clé. Nous remercions les Sociétés nationales du monde entier pour leurs efforts visant à améliorer la transparence et la responsabilisation de la FICR.</t>
  </si>
  <si>
    <t>En 2018, las 190 Sociedades Nacionales han informado al FDRS sobre al menos un indicador clave. Damos las gracias a las Sociedades Nacionales en todo el mundo por sus esfuerzos para mejorar la transparencia y la responsabilidad de la Federación Internacional.</t>
  </si>
  <si>
    <t>في عام 2018، أفادت جميع الجمعيات الوطنية (190) الى قاعدة البيانات ونظام الإفادة في الاتحاد الدولي على الأقل مؤشر رئيسي واحد. نشكر الجمعيات الوطنية في جميع أنحاء العالم لما بذلوه من جهود لتحسين الشفافية والمساءلة للاتحاد الدولي.</t>
  </si>
  <si>
    <t>home.insights.button</t>
  </si>
  <si>
    <t>استكشف البيانات</t>
  </si>
  <si>
    <t>helpfullinks</t>
  </si>
  <si>
    <t>Helpful Links</t>
  </si>
  <si>
    <t xml:space="preserve">Liens utiles </t>
  </si>
  <si>
    <t>Enlaces Útiles</t>
  </si>
  <si>
    <t>h_gov_chf</t>
  </si>
  <si>
    <t>Home government</t>
  </si>
  <si>
    <t>Gouvernement national</t>
  </si>
  <si>
    <t>Gobierno del país de la Sociedad Nacional</t>
  </si>
  <si>
    <t>حكومة البلد</t>
  </si>
  <si>
    <t>h_gov</t>
  </si>
  <si>
    <t>Gouvernement nationalc</t>
  </si>
  <si>
    <t>goplatform</t>
  </si>
  <si>
    <t>GO platform</t>
  </si>
  <si>
    <t xml:space="preserve">GO plaforme </t>
  </si>
  <si>
    <t>Plataforma GO</t>
  </si>
  <si>
    <t>godata.totalappeals</t>
  </si>
  <si>
    <t>Total Appeals</t>
  </si>
  <si>
    <t xml:space="preserve">Nombre total dappels </t>
  </si>
  <si>
    <t>Total de llamamientos</t>
  </si>
  <si>
    <t>godata.targetedpopulation</t>
  </si>
  <si>
    <t>Targeted Population</t>
  </si>
  <si>
    <t xml:space="preserve">Population ciblée </t>
  </si>
  <si>
    <t>Población objetivo</t>
  </si>
  <si>
    <t>godata.amount_requested</t>
  </si>
  <si>
    <t>Funding requirements (CHF)</t>
  </si>
  <si>
    <t>godata.amount_funded</t>
  </si>
  <si>
    <t>Funding coverage</t>
  </si>
  <si>
    <t>godata.activedrefsandappeals</t>
  </si>
  <si>
    <t>Active DREFs and Appeals</t>
  </si>
  <si>
    <t xml:space="preserve">DREFs et Appels actifs </t>
  </si>
  <si>
    <t>Llamamientos y DREFs activos</t>
  </si>
  <si>
    <t>godata.activeappeals</t>
  </si>
  <si>
    <t>Active Emergency Appeals</t>
  </si>
  <si>
    <t>go.definition.2</t>
  </si>
  <si>
    <t>&lt;p&gt;&lt;strong&gt;Total Appeals and DREF:&lt;/strong&gt; Potential definitions can be found here: &lt;a hrefhttps://www.ifrc.org/en/publications/FR-Appeals/?tidref&gt;https://www.ifrc.org/en/publications/FR-Appeals/&lt;/a&gt;&lt;/p&gt;</t>
  </si>
  <si>
    <t>&lt;p&gt;Reporting National Society staff, members, and volunteers are only counted as People Reached when they receive services due to their own need or development, and not as preparation to deliver services. (Source: FDRS User Guide 2020)&lt;/p&gt;</t>
  </si>
  <si>
    <t>&lt;p&gt;El personal, los miembros y los voluntarios de la Sociedad Nacional que aporta información figurarán incluidos bajo esta categoría únicamente cuando reciban servicios debido a sus propias necesidades o a acontecimientos específicos, más no cuando formen parte del esfuerzo de preparación para prestar servicios. (Fuente: FDRS Guía del usuario 2020)&lt;/p&gt;</t>
  </si>
  <si>
    <t>go.definition.1</t>
  </si>
  <si>
    <t>&lt;p&gt;&lt;strong&gt;People reached:&lt;/strong&gt; People Reached are people who receive (from the reporting National Society in the Reporting Year) tangible goods and/or any of a range of activities offering protection and assistance, including a positive change or support in knowledge, skills, awareness, attitudes, behaviour, and physical and psychosocial well-being and who can be counted or at least estimated with some degree of reliability. (Source: FDRS User Guide 2020)&lt;/p&gt;</t>
  </si>
  <si>
    <t>&lt;p&gt;&lt;strong&gt;Beneficiarios:&lt;/strong&gt; Se entiende por beneficiarios quienes reciben (de la Sociedad Nacional que aporta información sobre el año al que corresponden los datos) bienes tangibles, y/o quienes se benefician de cualquiera de las diversas actividades relacionadas con protección y asistencia - con inclusión de cambios positivos, o apoyo, en materia de conocimientos, destrezas, sensibilización, actitudes, comportamiento, bienestar físico y psicosocial -, cuya cantidad es posible establecer mediante conteo o, que al menos, es posible calcular con cierto grado de fiabilidad. (Fuente: FDRS Guía del usuario 2020)&lt;/p&gt;</t>
  </si>
  <si>
    <t>go.definition.0</t>
  </si>
  <si>
    <t>&lt;p&gt;&lt;strong&gt;Target population:&lt;/strong&gt; Target population counts all residents regardless of legal status or citizenship, which are the intended recipients of services. (Sources: World Development Indicators databank; FDRS User Guide 2020)&lt;/p&gt;</t>
  </si>
  <si>
    <t>&lt;p&gt;&lt;strong&gt;La population:&lt;/strong&gt; La population cible compte tous les résidents quel que soit leur statut juridique ou leur citoyenneté, qui sont les récipiendaires prévus des services. (Sources: La base des Indicateurs du développement dans le monde; FDRS Guide de lutilisateur 2020) &lt;/p&gt;</t>
  </si>
  <si>
    <t>&lt;p&gt;&lt;strong&gt;Población:&lt;/strong&gt; La población total se basa en la definición de facto de la población, que cuenta a todos los residentes independientemente de su estatus legal o de su ciudadanía. Los valores indicados son estimaciones de mediados de año (Fuente: Banco de datos de los Indicadores de Desarrollo Mundial)&lt;/p&gt;</t>
  </si>
  <si>
    <t>&lt;p&gt;&lt;strong&gt;Target population:&lt;/strong&gt; المجموعة المستهدفة: تحسب المجموعة المستهدفة جميع المقيمين بغض النظر عن الوضع القانوني أو الجنسية، وهم المستفيدون المستهدفون من الخدمات. (المصادر: بنك بيانات مؤشرات التنمية العالمية، دليل مستخدم FDRS2020&lt;/p&gt;</t>
  </si>
  <si>
    <t>getnotified</t>
  </si>
  <si>
    <t>Get Notified on Updates</t>
  </si>
  <si>
    <t>Soyez averti des mises à jour</t>
  </si>
  <si>
    <t>Recibe notificaciones sobre actualizaciones</t>
  </si>
  <si>
    <t>found_chf</t>
  </si>
  <si>
    <t>Foundations</t>
  </si>
  <si>
    <t>Fondations</t>
  </si>
  <si>
    <t>Fundaciones</t>
  </si>
  <si>
    <t>مؤسسات</t>
  </si>
  <si>
    <t>found</t>
  </si>
  <si>
    <t>fornsfocal</t>
  </si>
  <si>
    <t>For NS focal points</t>
  </si>
  <si>
    <t xml:space="preserve">Pour les points focaux de la Société nationale </t>
  </si>
  <si>
    <t>Para puntos focales de las SN</t>
  </si>
  <si>
    <t>Femme</t>
  </si>
  <si>
    <t>Femenino</t>
  </si>
  <si>
    <t>faq.title</t>
  </si>
  <si>
    <t>FAQ</t>
  </si>
  <si>
    <t>faq.questions.6.question</t>
  </si>
  <si>
    <t>How do I contact the FDRS-team for questions, comments, or suggestions?</t>
  </si>
  <si>
    <t>faq.questions.6.answer.0</t>
  </si>
  <si>
    <t>We welcome any feedback, comments, suggestions and/or requests for technical support. Please contact us at: fdrs@ifrc.org.</t>
  </si>
  <si>
    <t>faq.questions.5.question</t>
  </si>
  <si>
    <t>Where do I find more information and guidance on providing data and documents?</t>
  </si>
  <si>
    <t>faq.questions.5.answer.0</t>
  </si>
  <si>
    <t>Each year, we publish an elaborate User Guide with all information on the data and documents we collect. This document can be retrieved on the Resources-section of the website, see: https://data.ifrc.org/fdrs/resources.</t>
  </si>
  <si>
    <t>faq.questions.4.question</t>
  </si>
  <si>
    <t>What happens to the data and documents that are collected?</t>
  </si>
  <si>
    <t>faq.questions.4.answer.0</t>
  </si>
  <si>
    <t>The data on performance indicators can be used by National Societies in their annual reports, programme reports and donor reports, displayed on their website and highlighted in any marketing document produced by them.The FDRS team will also analyse and present the datacollected from NSsin the annual EveryoneCount Report and on its website: http://data.ifrc.org/fdrs</t>
  </si>
  <si>
    <t>faq.questions.3.question</t>
  </si>
  <si>
    <t>What are the documents that are collected?</t>
  </si>
  <si>
    <t>faq.questions.3.answer.3</t>
  </si>
  <si>
    <t>A strategic plan to outline the National Societys future direction for one or more years.</t>
  </si>
  <si>
    <t>faq.questions.3.answer.2</t>
  </si>
  <si>
    <t>An (audited) financial statement to provide insight in the financial status of the National Society;</t>
  </si>
  <si>
    <t>faq.questions.3.answer.1</t>
  </si>
  <si>
    <t>An annual report that displays the activities the National Society has conducted during the year;</t>
  </si>
  <si>
    <t>faq.questions.3.answer.0</t>
  </si>
  <si>
    <t>National Societies are asked to provide three documents:</t>
  </si>
  <si>
    <t>faq.questions.2.question</t>
  </si>
  <si>
    <t>What data are being collected?</t>
  </si>
  <si>
    <t>faq.questions.2.answer.0</t>
  </si>
  <si>
    <t>While main indicators are visualized on this website, other sub-indicators are also provided by National Red Cross and Red Crescent Societies. Data is usually disaggregated by sex and age. To access the complete datasets used in this website, please visit http://data.ifrc.org/fdrs/data-download</t>
  </si>
  <si>
    <t>faq.questions.1.question</t>
  </si>
  <si>
    <t>What is the mandate of FDRS?</t>
  </si>
  <si>
    <t>faq.questions.1.answer.6</t>
  </si>
  <si>
    <t>Ensures institutional history and continuity.</t>
  </si>
  <si>
    <t>faq.questions.1.answer.5</t>
  </si>
  <si>
    <t>Facilitates monitoring and reporting of National Society performancein a consistent, transparent and accountable manner.</t>
  </si>
  <si>
    <t>faq.questions.1.answer.4</t>
  </si>
  <si>
    <t>Promotes greater  awareness  of  the  of  National  Societies,  to  boost  their  self-developmentand external profile.</t>
  </si>
  <si>
    <t>faq.questions.1.answer.3</t>
  </si>
  <si>
    <t>Allows better understanding  of thetrue scale, capacities,  services,  and potentialof Red  Cross and Red Crescent humanitarian assistance.</t>
  </si>
  <si>
    <t>faq.questions.1.answer.2</t>
  </si>
  <si>
    <t>Reliably  measures performance  dimensions  from Strategy  2030 (coverage,  compliance,  quality, efficiency and impact) while capturing diversity and scale of programming</t>
  </si>
  <si>
    <t>faq.questions.1.answer.1</t>
  </si>
  <si>
    <t>Provides IFRC staff, National Societies, partners, researchers and other stakeholders with immediate and engaging access to data and documents about National Societiesworldwide.</t>
  </si>
  <si>
    <t>faq.questions.1.answer.0</t>
  </si>
  <si>
    <t>Situated within a National Society development framework and in benefit of National Societies, FDRS:</t>
  </si>
  <si>
    <t>faq.questions.0.question</t>
  </si>
  <si>
    <t>What is the Federation-Wide Reporting System (FDRS)?</t>
  </si>
  <si>
    <t>faq.questions.0.answer.0</t>
  </si>
  <si>
    <t>FDRS is a repository of key National Society documents and data on a common set of important indicators, updated each year. It is designed as an adaptable, accessible and low maintenance resource that captures standardized data in a systematic manner. Each National Society is the owner and gatekeeper of its own data, and holds responsibility to keep updated its data - with technical support from the secretariat as needed.</t>
  </si>
  <si>
    <t>faq.intro</t>
  </si>
  <si>
    <t>Below you find the most frequently asked questions. If your question has not been answered below, please contact FDRS at:</t>
  </si>
  <si>
    <t>f_gov_chf</t>
  </si>
  <si>
    <t>Foreign government</t>
  </si>
  <si>
    <t>Gouvernement étranger</t>
  </si>
  <si>
    <t>Otros gobiernos</t>
  </si>
  <si>
    <t>حكومات أجنبية</t>
  </si>
  <si>
    <t>f_gov</t>
  </si>
  <si>
    <t>export</t>
  </si>
  <si>
    <t>Export</t>
  </si>
  <si>
    <t xml:space="preserve">Exportation </t>
  </si>
  <si>
    <t>Exportar</t>
  </si>
  <si>
    <t>explorenationalsocietydatanspage.title</t>
  </si>
  <si>
    <t>explorenationalsocietydatanspage.subtitle</t>
  </si>
  <si>
    <t>Note that data may be incomplete, resulting in the absence of National Society support links shown below</t>
  </si>
  <si>
    <t>explorenationalsocietydata.title</t>
  </si>
  <si>
    <t xml:space="preserve">Explorer les données des Sociétés nationales </t>
  </si>
  <si>
    <t>explorenationalsocietydata.subtitle</t>
  </si>
  <si>
    <t>Explore our dynamic network of 192 National Societies that together serve communities with their services throughout the world.</t>
  </si>
  <si>
    <t>Aperçu global</t>
  </si>
  <si>
    <t>Resumen global</t>
  </si>
  <si>
    <t>Global overview</t>
  </si>
  <si>
    <t>everyonecountsreportandanalysis.title</t>
  </si>
  <si>
    <t>Everyone Counts Report and Analysis</t>
  </si>
  <si>
    <t>Le rapport Tout le Monde Compte et Analyse</t>
  </si>
  <si>
    <t>Informe y análisis de todos cuentan</t>
  </si>
  <si>
    <t>everyonecountsreportandanalysis.shorttitle</t>
  </si>
  <si>
    <t>Everyone Counts Report</t>
  </si>
  <si>
    <t>Rapport Tout le Monde Compte</t>
  </si>
  <si>
    <t>Informe Todos y cada uno tienen importancia</t>
  </si>
  <si>
    <t>everyonecountsreportandanalysis.seepreviousreports</t>
  </si>
  <si>
    <t>See Previous reports</t>
  </si>
  <si>
    <t xml:space="preserve">Voir les rapports précédents </t>
  </si>
  <si>
    <t>Ver informes anteriores</t>
  </si>
  <si>
    <t>everyonecountsreportandanalysis.qualityofdata.title</t>
  </si>
  <si>
    <t>everyonecountsreportandanalysis.qualityofdata.subtitle</t>
  </si>
  <si>
    <t>For the analysis above Quality of Data is critical. FDRS uses the following index for data calculation. More information available upon request.</t>
  </si>
  <si>
    <t>Pour lanalyse ci-dessus, la qualité des données est essentielle. FDRS utilise lindice suivant pour le calcul des données. Plus dinformations disponibles sur demande.</t>
  </si>
  <si>
    <t>Para el análisis anterior, la calidad de los datos es fundamental. FDRS utiliza el siguiente índice para el cálculo de datos. Más información disponible a petición.</t>
  </si>
  <si>
    <t>everyonecountsreportandanalysis.qualityofdata.readmore</t>
  </si>
  <si>
    <t>Read more on Quality of Data</t>
  </si>
  <si>
    <t xml:space="preserve">En savoir plus sur la qualité des données </t>
  </si>
  <si>
    <t>Leer más sobre la calidad de los datos.</t>
  </si>
  <si>
    <t>everyonecountsreportandanalysis.qualityofdata.howdataiscalculated</t>
  </si>
  <si>
    <t>How data is calculated</t>
  </si>
  <si>
    <t xml:space="preserve">Comment les données sont-elles calculées </t>
  </si>
  <si>
    <t>Cómo se calculan los datos</t>
  </si>
  <si>
    <t>everyonecountsreportandanalysis.qualityofdata.byregionsovertime</t>
  </si>
  <si>
    <t>Quality of Data by Regions Over Time</t>
  </si>
  <si>
    <t>Qualité des données par régions au cours du temps</t>
  </si>
  <si>
    <t>Calidad de los datos por regiones a lo largo del tiempo</t>
  </si>
  <si>
    <t>everyonecountsreportandanalysis.notfound</t>
  </si>
  <si>
    <t>Cannot find any document with the given parameters</t>
  </si>
  <si>
    <t xml:space="preserve">Impossible de trouver un document avec les paramètres donnés </t>
  </si>
  <si>
    <t>No se puede encontrar ningún documento con los parámetros dados.</t>
  </si>
  <si>
    <t>everyonecountsreportandanalysis.fdrsanalysis.title</t>
  </si>
  <si>
    <t>FDRS ANALYSIS</t>
  </si>
  <si>
    <t>ANÁLISIS FDRS</t>
  </si>
  <si>
    <t>everyonecountsreportandanalysis.fdrsanalysis.subtitle</t>
  </si>
  <si>
    <t>Find below an overview of the different data analyses the FDRS team has published.</t>
  </si>
  <si>
    <t xml:space="preserve">Nous publions une analyse mensuelle des données </t>
  </si>
  <si>
    <t>Publicamos análisis de datos mensuales.</t>
  </si>
  <si>
    <t>We release monthly analysis of data.</t>
  </si>
  <si>
    <t>everyonecountsreportandanalysis.downloadthepublication</t>
  </si>
  <si>
    <t>Download the Publication</t>
  </si>
  <si>
    <t>Télécharger la publication</t>
  </si>
  <si>
    <t>Descarga la Publicación</t>
  </si>
  <si>
    <t>everyonecountsreport</t>
  </si>
  <si>
    <t>Informe Todos y Cada uno Tienen Importancia</t>
  </si>
  <si>
    <t>europe and central asia</t>
  </si>
  <si>
    <t>Europe and Central Asia</t>
  </si>
  <si>
    <t xml:space="preserve">Europe et Asie centrale </t>
  </si>
  <si>
    <t>Europa y Asia Central</t>
  </si>
  <si>
    <t>emailrequired</t>
  </si>
  <si>
    <t>Email address is required.</t>
  </si>
  <si>
    <t xml:space="preserve">Ladresse e-mail est requise </t>
  </si>
  <si>
    <t>Se requiere Dirección de correo electrónico.</t>
  </si>
  <si>
    <t>emailproperty</t>
  </si>
  <si>
    <t>Email address</t>
  </si>
  <si>
    <t>Adresse e-mail</t>
  </si>
  <si>
    <t>Dirección de correo electrónico</t>
  </si>
  <si>
    <t>emailnotvalid</t>
  </si>
  <si>
    <t>Please provide a valid email address.</t>
  </si>
  <si>
    <t>Veuillez sil vous plaît fournir une adresse e-mail valide.</t>
  </si>
  <si>
    <t>Por favor ingrese una dirección de correo electrónico válida.</t>
  </si>
  <si>
    <t>downloadimage</t>
  </si>
  <si>
    <t>Download as an Image</t>
  </si>
  <si>
    <t>Télécharger en tant quimage</t>
  </si>
  <si>
    <t>Descargar como imagen</t>
  </si>
  <si>
    <t>downloadcsv</t>
  </si>
  <si>
    <t>Download as a CSV</t>
  </si>
  <si>
    <t>Télécharger au format CSV</t>
  </si>
  <si>
    <t>Descargar como CSV</t>
  </si>
  <si>
    <t>datadownload.title</t>
  </si>
  <si>
    <t>Télécharger les données</t>
  </si>
  <si>
    <t>أسئلة متكررة</t>
  </si>
  <si>
    <t>datadownload.intro</t>
  </si>
  <si>
    <t>On this page you can download the datasets used for the various visualizations on FDRS.</t>
  </si>
  <si>
    <t>En esta página puede descargar los conjuntos de datos utilizados para las diversas visualizaciones en FDRS.</t>
  </si>
  <si>
    <t>في هذه الصفحة يمكنك تحميل قواعد البيانات المستخدمة لمختلف التصورات على FDRS</t>
  </si>
  <si>
    <t>datadownload.excel</t>
  </si>
  <si>
    <t>Descargar archivo Excel</t>
  </si>
  <si>
    <t>تحميل ملف إكسل</t>
  </si>
  <si>
    <t>datadownload.csv</t>
  </si>
  <si>
    <t>تحميل ملف CSV</t>
  </si>
  <si>
    <t>countries.zw</t>
  </si>
  <si>
    <t>Zimbabwe</t>
  </si>
  <si>
    <t>countries.zm</t>
  </si>
  <si>
    <t>Zambia</t>
  </si>
  <si>
    <t>Zambie</t>
  </si>
  <si>
    <t>countries.za</t>
  </si>
  <si>
    <t>South Africa</t>
  </si>
  <si>
    <t>Afrique du Sud</t>
  </si>
  <si>
    <t>countries.yt</t>
  </si>
  <si>
    <t>Mayotte</t>
  </si>
  <si>
    <t>countries.ye</t>
  </si>
  <si>
    <t>Yémen</t>
  </si>
  <si>
    <t>countries.ws</t>
  </si>
  <si>
    <t>Samoa</t>
  </si>
  <si>
    <t>countries.wf</t>
  </si>
  <si>
    <t>Wallis and Futuna</t>
  </si>
  <si>
    <t>Wallis-et-Futuna</t>
  </si>
  <si>
    <t>countries.vu</t>
  </si>
  <si>
    <t>Vanuatu</t>
  </si>
  <si>
    <t>countries.vn</t>
  </si>
  <si>
    <t>Viet Nam</t>
  </si>
  <si>
    <t>Viêt Nam</t>
  </si>
  <si>
    <t>countries.vi</t>
  </si>
  <si>
    <t>Virgin Islands, U.S.</t>
  </si>
  <si>
    <t>Îles Vierges des États-Unis</t>
  </si>
  <si>
    <t>countries.vg</t>
  </si>
  <si>
    <t>Virgin Islands, British</t>
  </si>
  <si>
    <t>Îles Vierges britanniques</t>
  </si>
  <si>
    <t>countries.ve</t>
  </si>
  <si>
    <t>Venezuela, Bolivarian Republic of</t>
  </si>
  <si>
    <t>Venezuela</t>
  </si>
  <si>
    <t>countries.vc</t>
  </si>
  <si>
    <t>Saint Vincent and the Grenadines</t>
  </si>
  <si>
    <t>Saint-Vincent-et-les-Grenadines</t>
  </si>
  <si>
    <t>countries.va</t>
  </si>
  <si>
    <t>Holy See (Vatican City State)</t>
  </si>
  <si>
    <t>Saint-Siège (État de la Cité du Vatican)</t>
  </si>
  <si>
    <t>countries.uz</t>
  </si>
  <si>
    <t>Uzbekistan</t>
  </si>
  <si>
    <t>Ouzbékistan</t>
  </si>
  <si>
    <t>countries.uy</t>
  </si>
  <si>
    <t>Uruguay</t>
  </si>
  <si>
    <t>countries.us</t>
  </si>
  <si>
    <t>United States</t>
  </si>
  <si>
    <t>countries.um</t>
  </si>
  <si>
    <t>United States Minor Outlying Islands</t>
  </si>
  <si>
    <t>Îles mineures éloignées des États-Unis</t>
  </si>
  <si>
    <t>countries.ug</t>
  </si>
  <si>
    <t>Uganda</t>
  </si>
  <si>
    <t>Ouganda</t>
  </si>
  <si>
    <t>countries.ua</t>
  </si>
  <si>
    <t>countries.tz</t>
  </si>
  <si>
    <t>Tanzania, United Republic of</t>
  </si>
  <si>
    <t>Tanzanie</t>
  </si>
  <si>
    <t>countries.tw</t>
  </si>
  <si>
    <t>Taiwan, Province of China</t>
  </si>
  <si>
    <t>Taïwan/(République de Chine (Taïwan))</t>
  </si>
  <si>
    <t>countries.tv</t>
  </si>
  <si>
    <t>Tuvalu</t>
  </si>
  <si>
    <t>countries.tt</t>
  </si>
  <si>
    <t>Trinidad and Tobago</t>
  </si>
  <si>
    <t>Trinité-et-Tobago</t>
  </si>
  <si>
    <t>countries.tr</t>
  </si>
  <si>
    <t>countries.to</t>
  </si>
  <si>
    <t>Tonga</t>
  </si>
  <si>
    <t>countries.tn</t>
  </si>
  <si>
    <t>Tunisia</t>
  </si>
  <si>
    <t>Tunisie</t>
  </si>
  <si>
    <t>countries.tm</t>
  </si>
  <si>
    <t>Turkmenistan</t>
  </si>
  <si>
    <t>Turkménistan</t>
  </si>
  <si>
    <t>countries.tl</t>
  </si>
  <si>
    <t>Timor-Leste</t>
  </si>
  <si>
    <t>Timor oriental</t>
  </si>
  <si>
    <t>countries.tk</t>
  </si>
  <si>
    <t>Tokelau</t>
  </si>
  <si>
    <t>countries.tj</t>
  </si>
  <si>
    <t>Tajikistan</t>
  </si>
  <si>
    <t>Tadjikistan</t>
  </si>
  <si>
    <t>countries.th</t>
  </si>
  <si>
    <t>Thailand</t>
  </si>
  <si>
    <t>Thaïlande</t>
  </si>
  <si>
    <t>countries.tg</t>
  </si>
  <si>
    <t>Togo</t>
  </si>
  <si>
    <t>countries.tf</t>
  </si>
  <si>
    <t>French Southern Territories</t>
  </si>
  <si>
    <t>Terres australes et antarctiques françaises</t>
  </si>
  <si>
    <t>countries.td</t>
  </si>
  <si>
    <t>countries.tc</t>
  </si>
  <si>
    <t>Turks and Caicos Islands</t>
  </si>
  <si>
    <t>Îles Turques-et-Caïques</t>
  </si>
  <si>
    <t>countries.sz</t>
  </si>
  <si>
    <t>Eswatini</t>
  </si>
  <si>
    <t>countries.sy</t>
  </si>
  <si>
    <t>Syrian Arab Republic</t>
  </si>
  <si>
    <t>countries.sx</t>
  </si>
  <si>
    <t>Sint Maarten (Dutch part)</t>
  </si>
  <si>
    <t>Saint-Martin</t>
  </si>
  <si>
    <t>countries.sv</t>
  </si>
  <si>
    <t>El Salvador</t>
  </si>
  <si>
    <t>Salvador</t>
  </si>
  <si>
    <t>countries.st</t>
  </si>
  <si>
    <t>Sao Tome and Principe</t>
  </si>
  <si>
    <t>Sao Tomé-et-Principe</t>
  </si>
  <si>
    <t>countries.ss</t>
  </si>
  <si>
    <t>Soudan du Sud</t>
  </si>
  <si>
    <t>countries.sr</t>
  </si>
  <si>
    <t>Suriname</t>
  </si>
  <si>
    <t>countries.so</t>
  </si>
  <si>
    <t>countries.sn</t>
  </si>
  <si>
    <t>Senegal</t>
  </si>
  <si>
    <t>Sénégal</t>
  </si>
  <si>
    <t>countries.sm</t>
  </si>
  <si>
    <t>San Marino</t>
  </si>
  <si>
    <t>Saint-Marin</t>
  </si>
  <si>
    <t>countries.sl</t>
  </si>
  <si>
    <t>countries.sk</t>
  </si>
  <si>
    <t>Slovakia</t>
  </si>
  <si>
    <t>Slovaquie</t>
  </si>
  <si>
    <t>countries.sj</t>
  </si>
  <si>
    <t>Svalbard and Jan Mayen</t>
  </si>
  <si>
    <t>Svalbard et ile Jan Mayen</t>
  </si>
  <si>
    <t>countries.si</t>
  </si>
  <si>
    <t>Slovenia</t>
  </si>
  <si>
    <t>Slovénie</t>
  </si>
  <si>
    <t>countries.sh</t>
  </si>
  <si>
    <t>Saint Helena, Ascension and Tristan da Cunha</t>
  </si>
  <si>
    <t>Sainte-Hélène, Ascension et Tristan da Cunha</t>
  </si>
  <si>
    <t>countries.sg</t>
  </si>
  <si>
    <t>Singapore</t>
  </si>
  <si>
    <t>Singapour</t>
  </si>
  <si>
    <t>countries.se</t>
  </si>
  <si>
    <t>Sweden</t>
  </si>
  <si>
    <t>Suède</t>
  </si>
  <si>
    <t>countries.sd</t>
  </si>
  <si>
    <t>countries.sc</t>
  </si>
  <si>
    <t>Seychelles</t>
  </si>
  <si>
    <t>countries.sb</t>
  </si>
  <si>
    <t>Solomon Islands</t>
  </si>
  <si>
    <t>Salomon</t>
  </si>
  <si>
    <t>countries.sa</t>
  </si>
  <si>
    <t>Saudi Arabia</t>
  </si>
  <si>
    <t>Arabie saoudite</t>
  </si>
  <si>
    <t>countries.rw</t>
  </si>
  <si>
    <t>Rwanda</t>
  </si>
  <si>
    <t>countries.ru</t>
  </si>
  <si>
    <t>Russian Federation</t>
  </si>
  <si>
    <t>Russie</t>
  </si>
  <si>
    <t>countries.rs</t>
  </si>
  <si>
    <t>Serbia</t>
  </si>
  <si>
    <t>Serbie</t>
  </si>
  <si>
    <t>countries.ro</t>
  </si>
  <si>
    <t>Romania</t>
  </si>
  <si>
    <t>Roumanie</t>
  </si>
  <si>
    <t>countries.re</t>
  </si>
  <si>
    <t>Réunion</t>
  </si>
  <si>
    <t>countries.qa</t>
  </si>
  <si>
    <t>Qatar</t>
  </si>
  <si>
    <t>countries.py</t>
  </si>
  <si>
    <t>Paraguay</t>
  </si>
  <si>
    <t>countries.pw</t>
  </si>
  <si>
    <t>Palau</t>
  </si>
  <si>
    <t>Palaos</t>
  </si>
  <si>
    <t>countries.pt</t>
  </si>
  <si>
    <t>Portugal</t>
  </si>
  <si>
    <t>countries.ps</t>
  </si>
  <si>
    <t>Palestine, State of</t>
  </si>
  <si>
    <t>Palestine</t>
  </si>
  <si>
    <t>countries.pr</t>
  </si>
  <si>
    <t>Puerto Rico</t>
  </si>
  <si>
    <t>countries.pn</t>
  </si>
  <si>
    <t>Pitcairn</t>
  </si>
  <si>
    <t>Îles Pitcairn</t>
  </si>
  <si>
    <t>countries.pm</t>
  </si>
  <si>
    <t>Saint Pierre and Miquelon</t>
  </si>
  <si>
    <t>Saint-Pierre-et-Miquelon</t>
  </si>
  <si>
    <t>countries.pl</t>
  </si>
  <si>
    <t>Poland</t>
  </si>
  <si>
    <t>Pologne</t>
  </si>
  <si>
    <t>countries.pk</t>
  </si>
  <si>
    <t>countries.ph</t>
  </si>
  <si>
    <t>countries.pg</t>
  </si>
  <si>
    <t>Papua New Guinea</t>
  </si>
  <si>
    <t>Papouasie-Nouvelle-Guinée</t>
  </si>
  <si>
    <t>countries.pf</t>
  </si>
  <si>
    <t>French Polynesia</t>
  </si>
  <si>
    <t>Polynésie française</t>
  </si>
  <si>
    <t>countries.pe</t>
  </si>
  <si>
    <t>countries.pa</t>
  </si>
  <si>
    <t>Panama</t>
  </si>
  <si>
    <t>countries.om</t>
  </si>
  <si>
    <t>Oman</t>
  </si>
  <si>
    <t>countries.nz</t>
  </si>
  <si>
    <t>New Zealand</t>
  </si>
  <si>
    <t>Nouvelle-Zélande</t>
  </si>
  <si>
    <t>countries.nu</t>
  </si>
  <si>
    <t>Niue</t>
  </si>
  <si>
    <t>countries.nr</t>
  </si>
  <si>
    <t>Nauru</t>
  </si>
  <si>
    <t>countries.np</t>
  </si>
  <si>
    <t>Nepal</t>
  </si>
  <si>
    <t>Népal</t>
  </si>
  <si>
    <t>countries.no</t>
  </si>
  <si>
    <t>Norway</t>
  </si>
  <si>
    <t>Norvège</t>
  </si>
  <si>
    <t>countries.nl</t>
  </si>
  <si>
    <t>Netherlands</t>
  </si>
  <si>
    <t>Pays-Bas</t>
  </si>
  <si>
    <t>countries.ni</t>
  </si>
  <si>
    <t>Nicaragua</t>
  </si>
  <si>
    <t>countries.ng</t>
  </si>
  <si>
    <t>countries.nf</t>
  </si>
  <si>
    <t>Norfolk Island</t>
  </si>
  <si>
    <t>Île Norfolk</t>
  </si>
  <si>
    <t>countries.ne</t>
  </si>
  <si>
    <t>countries.nc</t>
  </si>
  <si>
    <t>New Caledonia</t>
  </si>
  <si>
    <t>Nouvelle-Calédonie</t>
  </si>
  <si>
    <t>countries.na</t>
  </si>
  <si>
    <t>Namibia</t>
  </si>
  <si>
    <t>Namibie</t>
  </si>
  <si>
    <t>countries.mz</t>
  </si>
  <si>
    <t>Mozambique</t>
  </si>
  <si>
    <t>countries.my</t>
  </si>
  <si>
    <t>Malaysia</t>
  </si>
  <si>
    <t>Malaisie</t>
  </si>
  <si>
    <t>countries.mx</t>
  </si>
  <si>
    <t>Mexico</t>
  </si>
  <si>
    <t>Mexique</t>
  </si>
  <si>
    <t>countries.mw</t>
  </si>
  <si>
    <t>Malawi</t>
  </si>
  <si>
    <t>countries.mv</t>
  </si>
  <si>
    <t>Maldives</t>
  </si>
  <si>
    <t>countries.mu</t>
  </si>
  <si>
    <t>Mauritius</t>
  </si>
  <si>
    <t>Maurice</t>
  </si>
  <si>
    <t>countries.mt</t>
  </si>
  <si>
    <t>Malta</t>
  </si>
  <si>
    <t>countries.ms</t>
  </si>
  <si>
    <t>Montserrat</t>
  </si>
  <si>
    <t>countries.mr</t>
  </si>
  <si>
    <t>Mauritania</t>
  </si>
  <si>
    <t>Mauritanie</t>
  </si>
  <si>
    <t>countries.mq</t>
  </si>
  <si>
    <t>Martinique</t>
  </si>
  <si>
    <t>countries.mp</t>
  </si>
  <si>
    <t>Northern Mariana Islands</t>
  </si>
  <si>
    <t>Îles Mariannes du Nord</t>
  </si>
  <si>
    <t>countries.mo</t>
  </si>
  <si>
    <t>Macao</t>
  </si>
  <si>
    <t>countries.mn</t>
  </si>
  <si>
    <t>Mongolia</t>
  </si>
  <si>
    <t>Mongolie</t>
  </si>
  <si>
    <t>countries.mm</t>
  </si>
  <si>
    <t>Birmanie</t>
  </si>
  <si>
    <t>countries.ml</t>
  </si>
  <si>
    <t>countries.mk</t>
  </si>
  <si>
    <t>North Macedonia, the Republic of</t>
  </si>
  <si>
    <t>République de Macédoine</t>
  </si>
  <si>
    <t>countries.mh</t>
  </si>
  <si>
    <t>Marshall Islands</t>
  </si>
  <si>
    <t>Îles Marshall</t>
  </si>
  <si>
    <t>countries.mg</t>
  </si>
  <si>
    <t>Madagascar</t>
  </si>
  <si>
    <t>countries.mf</t>
  </si>
  <si>
    <t>Saint Martin (French part)</t>
  </si>
  <si>
    <t>Saint-Martin (French part)</t>
  </si>
  <si>
    <t>countries.me</t>
  </si>
  <si>
    <t>Montenegro</t>
  </si>
  <si>
    <t>Monténégro</t>
  </si>
  <si>
    <t>countries.md</t>
  </si>
  <si>
    <t>Moldova, Republic of</t>
  </si>
  <si>
    <t>Moldovie</t>
  </si>
  <si>
    <t>countries.mc</t>
  </si>
  <si>
    <t>Monaco</t>
  </si>
  <si>
    <t>countries.ma</t>
  </si>
  <si>
    <t>Morocco</t>
  </si>
  <si>
    <t>Moroc</t>
  </si>
  <si>
    <t>countries.ly</t>
  </si>
  <si>
    <t>Libya</t>
  </si>
  <si>
    <t>Libye</t>
  </si>
  <si>
    <t>countries.lv</t>
  </si>
  <si>
    <t>Latvia</t>
  </si>
  <si>
    <t>Lettonie</t>
  </si>
  <si>
    <t>countries.lu</t>
  </si>
  <si>
    <t>Luxembourg</t>
  </si>
  <si>
    <t>countries.lt</t>
  </si>
  <si>
    <t>Lithuania</t>
  </si>
  <si>
    <t>Lituanie</t>
  </si>
  <si>
    <t>countries.ls</t>
  </si>
  <si>
    <t>Lesotho</t>
  </si>
  <si>
    <t>countries.lr</t>
  </si>
  <si>
    <t>countries.lk</t>
  </si>
  <si>
    <t>countries.li</t>
  </si>
  <si>
    <t>Liechtenstein</t>
  </si>
  <si>
    <t>countries.lc</t>
  </si>
  <si>
    <t>Saint Lucia</t>
  </si>
  <si>
    <t>Saint-Lucie</t>
  </si>
  <si>
    <t>countries.lb</t>
  </si>
  <si>
    <t>Lebanon</t>
  </si>
  <si>
    <t>Liban</t>
  </si>
  <si>
    <t>countries.la</t>
  </si>
  <si>
    <t>Lao Peoples Democratic Republic</t>
  </si>
  <si>
    <t>Laos</t>
  </si>
  <si>
    <t>countries.kz</t>
  </si>
  <si>
    <t>Kazakhstan</t>
  </si>
  <si>
    <t>countries.ky</t>
  </si>
  <si>
    <t>Cayman Islands</t>
  </si>
  <si>
    <t>countries.kw</t>
  </si>
  <si>
    <t>Kuwait</t>
  </si>
  <si>
    <t>Koweït</t>
  </si>
  <si>
    <t>countries.kr</t>
  </si>
  <si>
    <t>Korea, Republic of</t>
  </si>
  <si>
    <t>Corée du Sud</t>
  </si>
  <si>
    <t>countries.kp</t>
  </si>
  <si>
    <t>Korea, Democratic Peoples Republic of</t>
  </si>
  <si>
    <t>Corée du Nord</t>
  </si>
  <si>
    <t>countries.kn</t>
  </si>
  <si>
    <t>Saint Kitts and Nevis</t>
  </si>
  <si>
    <t>Saint-Christophe-et-Niévès</t>
  </si>
  <si>
    <t>countries.km</t>
  </si>
  <si>
    <t>Comoros</t>
  </si>
  <si>
    <t>Comores</t>
  </si>
  <si>
    <t>countries.ki</t>
  </si>
  <si>
    <t>Kiribati</t>
  </si>
  <si>
    <t>countries.kh</t>
  </si>
  <si>
    <t>Cambodia</t>
  </si>
  <si>
    <t>countries.kg</t>
  </si>
  <si>
    <t>Kyrgyzstan</t>
  </si>
  <si>
    <t>Kirghizistan</t>
  </si>
  <si>
    <t>countries.ke</t>
  </si>
  <si>
    <t>countries.jp</t>
  </si>
  <si>
    <t>Japan</t>
  </si>
  <si>
    <t>Japon</t>
  </si>
  <si>
    <t>countries.jo</t>
  </si>
  <si>
    <t>Jordan</t>
  </si>
  <si>
    <t>Jordanoe</t>
  </si>
  <si>
    <t>countries.jm</t>
  </si>
  <si>
    <t>countries.je</t>
  </si>
  <si>
    <t>Jersey</t>
  </si>
  <si>
    <t>countries.it</t>
  </si>
  <si>
    <t>Italy</t>
  </si>
  <si>
    <t>Italie</t>
  </si>
  <si>
    <t>countries.is</t>
  </si>
  <si>
    <t>Iceland</t>
  </si>
  <si>
    <t>Islande</t>
  </si>
  <si>
    <t>countries.ir</t>
  </si>
  <si>
    <t>Iran, Islamic Republic of</t>
  </si>
  <si>
    <t>Iran</t>
  </si>
  <si>
    <t>countries.iq</t>
  </si>
  <si>
    <t>countries.io</t>
  </si>
  <si>
    <t>British Indian Ocean Territory</t>
  </si>
  <si>
    <t>Territoire britannique de locéan Indien</t>
  </si>
  <si>
    <t>countries.in</t>
  </si>
  <si>
    <t>India</t>
  </si>
  <si>
    <t>Inde</t>
  </si>
  <si>
    <t>countries.im</t>
  </si>
  <si>
    <t>Isle of Man</t>
  </si>
  <si>
    <t>Île de Man</t>
  </si>
  <si>
    <t>countries.il</t>
  </si>
  <si>
    <t>Israel</t>
  </si>
  <si>
    <t>Israël</t>
  </si>
  <si>
    <t>countries.ie</t>
  </si>
  <si>
    <t>Ireland</t>
  </si>
  <si>
    <t>Irlande</t>
  </si>
  <si>
    <t>countries.id</t>
  </si>
  <si>
    <t>countries.hu</t>
  </si>
  <si>
    <t>Hungary</t>
  </si>
  <si>
    <t>Hongrie</t>
  </si>
  <si>
    <t>countries.ht</t>
  </si>
  <si>
    <t>countries.hr</t>
  </si>
  <si>
    <t>Croatia</t>
  </si>
  <si>
    <t>Croatie</t>
  </si>
  <si>
    <t>countries.hn</t>
  </si>
  <si>
    <t>Honduras</t>
  </si>
  <si>
    <t>countries.hm</t>
  </si>
  <si>
    <t>Heard Island and McDonald Islands</t>
  </si>
  <si>
    <t>Îles Heard-et-MacDonald</t>
  </si>
  <si>
    <t>countries.hk</t>
  </si>
  <si>
    <t>Hong Kong</t>
  </si>
  <si>
    <t>countries.gy</t>
  </si>
  <si>
    <t>Guyana</t>
  </si>
  <si>
    <t>countries.gw</t>
  </si>
  <si>
    <t>Guinea-Bissau</t>
  </si>
  <si>
    <t>Guinée-Bissau</t>
  </si>
  <si>
    <t>countries.gu</t>
  </si>
  <si>
    <t>Guam</t>
  </si>
  <si>
    <t>countries.gt</t>
  </si>
  <si>
    <t>Guatemala</t>
  </si>
  <si>
    <t>countries.gs</t>
  </si>
  <si>
    <t>South Georgia and the South Sandwich Islands</t>
  </si>
  <si>
    <t>Géorgie du Sud-et-les îles Sandwich du Sud</t>
  </si>
  <si>
    <t>countries.gr</t>
  </si>
  <si>
    <t>Greece</t>
  </si>
  <si>
    <t>Grèce</t>
  </si>
  <si>
    <t>countries.gq</t>
  </si>
  <si>
    <t>Equatorial Guinea</t>
  </si>
  <si>
    <t>Guinée équatoriale</t>
  </si>
  <si>
    <t>countries.gp</t>
  </si>
  <si>
    <t>Guadeloupe</t>
  </si>
  <si>
    <t>countries.gn</t>
  </si>
  <si>
    <t>Guinea</t>
  </si>
  <si>
    <t>Guinée</t>
  </si>
  <si>
    <t>countries.gm</t>
  </si>
  <si>
    <t>Gambia</t>
  </si>
  <si>
    <t>Gambie</t>
  </si>
  <si>
    <t>countries.gl</t>
  </si>
  <si>
    <t>Greenland</t>
  </si>
  <si>
    <t>Groenland</t>
  </si>
  <si>
    <t>countries.gi</t>
  </si>
  <si>
    <t>Gibraltar</t>
  </si>
  <si>
    <t>countries.gh</t>
  </si>
  <si>
    <t>Ghana</t>
  </si>
  <si>
    <t>countries.gg</t>
  </si>
  <si>
    <t>Guernsey</t>
  </si>
  <si>
    <t>Guernesey</t>
  </si>
  <si>
    <t>countries.gf</t>
  </si>
  <si>
    <t>French Guiana</t>
  </si>
  <si>
    <t>Guyane</t>
  </si>
  <si>
    <t>countries.ge</t>
  </si>
  <si>
    <t>Georgia</t>
  </si>
  <si>
    <t>Géorgie</t>
  </si>
  <si>
    <t>countries.gd</t>
  </si>
  <si>
    <t>Grenada</t>
  </si>
  <si>
    <t>Grenade</t>
  </si>
  <si>
    <t>countries.gb</t>
  </si>
  <si>
    <t>United Kingdom</t>
  </si>
  <si>
    <t>États-Unis</t>
  </si>
  <si>
    <t>countries.ga</t>
  </si>
  <si>
    <t>Gabon</t>
  </si>
  <si>
    <t>countries.fr</t>
  </si>
  <si>
    <t>France</t>
  </si>
  <si>
    <t>countries.fo</t>
  </si>
  <si>
    <t>Faroe Islands</t>
  </si>
  <si>
    <t>Îles Féroé</t>
  </si>
  <si>
    <t>countries.fm</t>
  </si>
  <si>
    <t>Micronesia, Federated States of</t>
  </si>
  <si>
    <t>États fédérés de Micronésie (pays)</t>
  </si>
  <si>
    <t>countries.fk</t>
  </si>
  <si>
    <t>Falkland Islands (Malvinas)</t>
  </si>
  <si>
    <t>Malouines</t>
  </si>
  <si>
    <t>countries.fj</t>
  </si>
  <si>
    <t>Fiji</t>
  </si>
  <si>
    <t>Fidji</t>
  </si>
  <si>
    <t>countries.fi</t>
  </si>
  <si>
    <t>Finland</t>
  </si>
  <si>
    <t>Finlande</t>
  </si>
  <si>
    <t>countries.et</t>
  </si>
  <si>
    <t>countries.es</t>
  </si>
  <si>
    <t>countries.er</t>
  </si>
  <si>
    <t>Eritrea</t>
  </si>
  <si>
    <t>Érythrée</t>
  </si>
  <si>
    <t>countries.eh</t>
  </si>
  <si>
    <t>Western Sahara</t>
  </si>
  <si>
    <t>République arabe sahraouie démocratique</t>
  </si>
  <si>
    <t>countries.eg</t>
  </si>
  <si>
    <t>Egypt</t>
  </si>
  <si>
    <t>countries.ee</t>
  </si>
  <si>
    <t>Estonia</t>
  </si>
  <si>
    <t>Estonie</t>
  </si>
  <si>
    <t>countries.ec</t>
  </si>
  <si>
    <t>Ecuador</t>
  </si>
  <si>
    <t>Équateur</t>
  </si>
  <si>
    <t>countries.dz</t>
  </si>
  <si>
    <t>Algeria</t>
  </si>
  <si>
    <t>Algérie</t>
  </si>
  <si>
    <t>countries.do</t>
  </si>
  <si>
    <t>Dominican Republic</t>
  </si>
  <si>
    <t>République dominicaine</t>
  </si>
  <si>
    <t>countries.dm</t>
  </si>
  <si>
    <t>Dominica</t>
  </si>
  <si>
    <t>Dominique</t>
  </si>
  <si>
    <t>countries.dk</t>
  </si>
  <si>
    <t>Denmark</t>
  </si>
  <si>
    <t>Danemark</t>
  </si>
  <si>
    <t>countries.dj</t>
  </si>
  <si>
    <t>Djibouti</t>
  </si>
  <si>
    <t>countries.de</t>
  </si>
  <si>
    <t>Germany</t>
  </si>
  <si>
    <t>Allemagne</t>
  </si>
  <si>
    <t>countries.cz</t>
  </si>
  <si>
    <t>Czech Republic</t>
  </si>
  <si>
    <t>République Tchèque</t>
  </si>
  <si>
    <t>countries.cy</t>
  </si>
  <si>
    <t>Cyprus</t>
  </si>
  <si>
    <t>Chypre</t>
  </si>
  <si>
    <t>countries.cx</t>
  </si>
  <si>
    <t>Christmas Island</t>
  </si>
  <si>
    <t>Île Christmas</t>
  </si>
  <si>
    <t>countries.cw</t>
  </si>
  <si>
    <t>Curaçao</t>
  </si>
  <si>
    <t>countries.cv</t>
  </si>
  <si>
    <t>Cape Verde</t>
  </si>
  <si>
    <t>Cap Vert</t>
  </si>
  <si>
    <t>countries.cu</t>
  </si>
  <si>
    <t>countries.cr</t>
  </si>
  <si>
    <t>Costa Rica</t>
  </si>
  <si>
    <t>countries.co</t>
  </si>
  <si>
    <t>Colombia</t>
  </si>
  <si>
    <t>Colombie</t>
  </si>
  <si>
    <t>countries.cn</t>
  </si>
  <si>
    <t>China</t>
  </si>
  <si>
    <t>Chine</t>
  </si>
  <si>
    <t>countries.cm</t>
  </si>
  <si>
    <t>Cameroon</t>
  </si>
  <si>
    <t>Cameroun</t>
  </si>
  <si>
    <t>countries.cl</t>
  </si>
  <si>
    <t>countries.ck</t>
  </si>
  <si>
    <t>Cook Islands</t>
  </si>
  <si>
    <t>Îles Cook</t>
  </si>
  <si>
    <t>countries.ci</t>
  </si>
  <si>
    <t>countries.ch</t>
  </si>
  <si>
    <t>Switzerland</t>
  </si>
  <si>
    <t>Suisse</t>
  </si>
  <si>
    <t>countries.cg</t>
  </si>
  <si>
    <t>Congo</t>
  </si>
  <si>
    <t>countries.cf</t>
  </si>
  <si>
    <t>République centrafricaine</t>
  </si>
  <si>
    <t>countries.cd</t>
  </si>
  <si>
    <t>Congo, the Democratic Republic of the</t>
  </si>
  <si>
    <t>République démocratique du Congo</t>
  </si>
  <si>
    <t>countries.cc</t>
  </si>
  <si>
    <t>Cocos (Keeling) Islands</t>
  </si>
  <si>
    <t>Îles Cocos</t>
  </si>
  <si>
    <t>countries.ca</t>
  </si>
  <si>
    <t>Canada</t>
  </si>
  <si>
    <t>countries.bz</t>
  </si>
  <si>
    <t>Belize</t>
  </si>
  <si>
    <t>countries.by</t>
  </si>
  <si>
    <t>Belarus</t>
  </si>
  <si>
    <t>Biélorussie</t>
  </si>
  <si>
    <t>countries.bw</t>
  </si>
  <si>
    <t>Botswana</t>
  </si>
  <si>
    <t>countries.bv</t>
  </si>
  <si>
    <t>Bouvet Island</t>
  </si>
  <si>
    <t>Île Bouvet</t>
  </si>
  <si>
    <t>countries.bt</t>
  </si>
  <si>
    <t>Bhutan</t>
  </si>
  <si>
    <t>Bhoutan</t>
  </si>
  <si>
    <t>countries.bs</t>
  </si>
  <si>
    <t>Bahamas</t>
  </si>
  <si>
    <t>countries.br</t>
  </si>
  <si>
    <t>Brazil</t>
  </si>
  <si>
    <t>Brésil</t>
  </si>
  <si>
    <t>countries.bq</t>
  </si>
  <si>
    <t>Bonaire, Sint Eustatius and Saba</t>
  </si>
  <si>
    <t>Pays-Bas caribéens</t>
  </si>
  <si>
    <t>countries.bo</t>
  </si>
  <si>
    <t>Bolivia, Plurinational State of</t>
  </si>
  <si>
    <t>Bolivie</t>
  </si>
  <si>
    <t>countries.bn</t>
  </si>
  <si>
    <t>Brunei Darussalam</t>
  </si>
  <si>
    <t>Brunei</t>
  </si>
  <si>
    <t>countries.bm</t>
  </si>
  <si>
    <t>Bermuda</t>
  </si>
  <si>
    <t>Bermudes</t>
  </si>
  <si>
    <t>countries.bl</t>
  </si>
  <si>
    <t>Saint Barthélemy</t>
  </si>
  <si>
    <t>countries.bj</t>
  </si>
  <si>
    <t>Benin</t>
  </si>
  <si>
    <t>Bénin</t>
  </si>
  <si>
    <t>countries.bi</t>
  </si>
  <si>
    <t>Burundi</t>
  </si>
  <si>
    <t>countries.bh</t>
  </si>
  <si>
    <t>Bahrain</t>
  </si>
  <si>
    <t>Bahreïn</t>
  </si>
  <si>
    <t>countries.bg</t>
  </si>
  <si>
    <t>Bulgaria</t>
  </si>
  <si>
    <t>Bulgarie</t>
  </si>
  <si>
    <t>countries.bf</t>
  </si>
  <si>
    <t>countries.be</t>
  </si>
  <si>
    <t>Belgium</t>
  </si>
  <si>
    <t>Belgique</t>
  </si>
  <si>
    <t>countries.bd</t>
  </si>
  <si>
    <t>countries.bb</t>
  </si>
  <si>
    <t>Barbados</t>
  </si>
  <si>
    <t>countries.ba</t>
  </si>
  <si>
    <t>Bosnia and Herzegovina</t>
  </si>
  <si>
    <t>Bosnie-Herzégovine</t>
  </si>
  <si>
    <t>countries.az</t>
  </si>
  <si>
    <t>Azerbaijan</t>
  </si>
  <si>
    <t>Azerbaïdjan</t>
  </si>
  <si>
    <t>countries.ax</t>
  </si>
  <si>
    <t>Åland Islands</t>
  </si>
  <si>
    <t>countries.aw</t>
  </si>
  <si>
    <t>Aruba</t>
  </si>
  <si>
    <t>countries.au</t>
  </si>
  <si>
    <t>Australia</t>
  </si>
  <si>
    <t>Australie</t>
  </si>
  <si>
    <t>countries.at</t>
  </si>
  <si>
    <t>countries.as</t>
  </si>
  <si>
    <t>American Samoa</t>
  </si>
  <si>
    <t>Samoa américaines</t>
  </si>
  <si>
    <t>countries.ar</t>
  </si>
  <si>
    <t>Argentina</t>
  </si>
  <si>
    <t>Argentine</t>
  </si>
  <si>
    <t>countries.aq</t>
  </si>
  <si>
    <t>Antarctica</t>
  </si>
  <si>
    <t>Antarctique</t>
  </si>
  <si>
    <t>countries.ao</t>
  </si>
  <si>
    <t>countries.am</t>
  </si>
  <si>
    <t>Armenia</t>
  </si>
  <si>
    <t>Arménie</t>
  </si>
  <si>
    <t>countries.al</t>
  </si>
  <si>
    <t>Albania</t>
  </si>
  <si>
    <t>Albanie</t>
  </si>
  <si>
    <t>countries.ai</t>
  </si>
  <si>
    <t>Anguilla</t>
  </si>
  <si>
    <t>countries.ag</t>
  </si>
  <si>
    <t>Antigua and Barbuda</t>
  </si>
  <si>
    <t>Antigua-et-Barbuda</t>
  </si>
  <si>
    <t>countries.af</t>
  </si>
  <si>
    <t>countries.ae</t>
  </si>
  <si>
    <t>United Arab Emirates</t>
  </si>
  <si>
    <t>Émirats arabes unis</t>
  </si>
  <si>
    <t>countries.ad</t>
  </si>
  <si>
    <t>Andorra</t>
  </si>
  <si>
    <t>Andorre</t>
  </si>
  <si>
    <t>corp_chf</t>
  </si>
  <si>
    <t>Corporations</t>
  </si>
  <si>
    <t>Entreprises</t>
  </si>
  <si>
    <t>Empresas</t>
  </si>
  <si>
    <t>شركات</t>
  </si>
  <si>
    <t>corp</t>
  </si>
  <si>
    <t>compareregional</t>
  </si>
  <si>
    <t>Compare to Regional Average</t>
  </si>
  <si>
    <t>Comparer à la moyenne regionale</t>
  </si>
  <si>
    <t>Comparación con la media regional</t>
  </si>
  <si>
    <t>comparensdata</t>
  </si>
  <si>
    <t>Compare National Society Data</t>
  </si>
  <si>
    <t>Comparer les données de la Société nationale</t>
  </si>
  <si>
    <t>Comparar datos de sociedades nacionales</t>
  </si>
  <si>
    <t>comparenationalsocietydata.title</t>
  </si>
  <si>
    <t>Comparer les données des Sociétés nationales</t>
  </si>
  <si>
    <t>comparenationalsocieties</t>
  </si>
  <si>
    <t>Compare National Societies</t>
  </si>
  <si>
    <t xml:space="preserve">Comparer les Sociétés nationales </t>
  </si>
  <si>
    <t>Comparar Sociedades Nacionales</t>
  </si>
  <si>
    <t>compareglobal</t>
  </si>
  <si>
    <t>Compare to Global Average</t>
  </si>
  <si>
    <t>Comparer à la moyenne mondiale</t>
  </si>
  <si>
    <t>Comparación con la media mundial</t>
  </si>
  <si>
    <t>common.updatetext</t>
  </si>
  <si>
    <t>Last updated...</t>
  </si>
  <si>
    <t>Dernière mise-à-jours</t>
  </si>
  <si>
    <t>Última actualización...</t>
  </si>
  <si>
    <t>آخر تحديث...</t>
  </si>
  <si>
    <t>common.readmore</t>
  </si>
  <si>
    <t>Read more</t>
  </si>
  <si>
    <t>En savoir plus</t>
  </si>
  <si>
    <t>Leer más</t>
  </si>
  <si>
    <t>لقراءة المزيد</t>
  </si>
  <si>
    <t>common.overviewpreview.title</t>
  </si>
  <si>
    <t>common.overviewpreview.lead</t>
  </si>
  <si>
    <t>Get the big picture with the IFRC at a glance, and see how the largest humanitarian network looks.</t>
  </si>
  <si>
    <t>Découvrez dun coup dœil la situation de la FICR et découvrez comment se présente le plus grand réseau humanitaire.</t>
  </si>
  <si>
    <t>Obtenga una visión general de la Federación Internacional y vea cómo se ve la red humanitaria más grande.</t>
  </si>
  <si>
    <t>احصل على صورة شاملة عن الاتحاد الدولي، وتصور كيف تبدو أكبر شبكة إنسانية.</t>
  </si>
  <si>
    <t>common.overviewpreview.button</t>
  </si>
  <si>
    <t>common.navigation.3.name</t>
  </si>
  <si>
    <t>common.navigation.2.name</t>
  </si>
  <si>
    <t>About</t>
  </si>
  <si>
    <t xml:space="preserve">À propos de </t>
  </si>
  <si>
    <t>Quiénes somos</t>
  </si>
  <si>
    <t>common.navigation.1.name</t>
  </si>
  <si>
    <t>common.navigation.0.name</t>
  </si>
  <si>
    <t>common.navigation.0.dropdownitems.3</t>
  </si>
  <si>
    <t>Data download</t>
  </si>
  <si>
    <t>تنزيل البيانات</t>
  </si>
  <si>
    <t>common.navigation.0.dropdownitems.2</t>
  </si>
  <si>
    <t>common.navigation.0.dropdownitems.1</t>
  </si>
  <si>
    <t>Perfiles de las sociedades nacionales</t>
  </si>
  <si>
    <t>common.navigation.0.dropdownitems.0</t>
  </si>
  <si>
    <t>La Federación Internacional de un vistazo</t>
  </si>
  <si>
    <t>common.nationalsocietiespreview.title</t>
  </si>
  <si>
    <t>National Society Profiles</t>
  </si>
  <si>
    <t>common.nationalsocietiespreview.subtitle</t>
  </si>
  <si>
    <t>Get to know the National Societies</t>
  </si>
  <si>
    <t>Connaître les Sociétés nationales</t>
  </si>
  <si>
    <t>Conozca a las Sociedades Nacionales</t>
  </si>
  <si>
    <t>تعرف على الجمعيات الوطنية</t>
  </si>
  <si>
    <t>common.nationalsocietiespreview.lead</t>
  </si>
  <si>
    <t>Explore the dataset for each National Society, and download PDF profiles for further sharing.</t>
  </si>
  <si>
    <t>Explorez les données pour chaque Société nationale et téléchargez les profils PDF pour plus de partage.</t>
  </si>
  <si>
    <t>Explorar los datos de cada Sociedad Nacional, y descargar perfiles PDF para compartir.</t>
  </si>
  <si>
    <t>استكشف مجموعة البيانات لكل جمعية وطنية، وحمّل ملفات الـ PDF لمزيد من المشاركة</t>
  </si>
  <si>
    <t>common.nationalsocietiespreview.button</t>
  </si>
  <si>
    <t>Explore National Society Profiles</t>
  </si>
  <si>
    <t>Explorer les profils des Sociétés nationales</t>
  </si>
  <si>
    <t>Explorar perfiles de las Sociedades Nacionales</t>
  </si>
  <si>
    <t>استكشف لمحات الجمعيات الوطنية</t>
  </si>
  <si>
    <t>common.nameparts.2</t>
  </si>
  <si>
    <t>et système de compte rendu</t>
  </si>
  <si>
    <t>y sistema de información general interno</t>
  </si>
  <si>
    <t>ونظام الإفادة</t>
  </si>
  <si>
    <t>common.nameparts.1</t>
  </si>
  <si>
    <t>databank</t>
  </si>
  <si>
    <t>Banco de datos</t>
  </si>
  <si>
    <t>قاعدة البيانات</t>
  </si>
  <si>
    <t>common.nameparts.0</t>
  </si>
  <si>
    <t>Federation-wide</t>
  </si>
  <si>
    <t>common.name</t>
  </si>
  <si>
    <t>common.navmenu.resources</t>
  </si>
  <si>
    <t>Ressources</t>
  </si>
  <si>
    <t>common.navmenu.everyonecounts</t>
  </si>
  <si>
    <t>Everyone counts report and analysis</t>
  </si>
  <si>
    <t>Tout le monde compte et analyse</t>
  </si>
  <si>
    <t>تقرير نعتد بالجميع والتحليل</t>
  </si>
  <si>
    <t>common.navmenu.ifrcsecretariat</t>
  </si>
  <si>
    <t>Secrétariat de lIFRC</t>
  </si>
  <si>
    <t>Informe Todos cuentan y análisis</t>
  </si>
  <si>
    <t>أمانة الاتحاد الدولي</t>
  </si>
  <si>
    <t>common.navmenu.nationalsocieties</t>
  </si>
  <si>
    <t>Sociétés Nationales</t>
  </si>
  <si>
    <t>common.navmenu.globaloverview</t>
  </si>
  <si>
    <t>Global Overview</t>
  </si>
  <si>
    <t>Resumen mundial</t>
  </si>
  <si>
    <t>نظرة عامة عالمية</t>
  </si>
  <si>
    <t>common.login</t>
  </si>
  <si>
    <t>Login</t>
  </si>
  <si>
    <t>sidentifier</t>
  </si>
  <si>
    <t>Iniciar sesión</t>
  </si>
  <si>
    <t>تسجيل الدخول</t>
  </si>
  <si>
    <t>common.languages.fr.slug</t>
  </si>
  <si>
    <t>common.languages.fr.name</t>
  </si>
  <si>
    <t>common.languages.es.slug</t>
  </si>
  <si>
    <t>common.languages.es.name</t>
  </si>
  <si>
    <t>common.languages.en.slug</t>
  </si>
  <si>
    <t>common.languages.en.name</t>
  </si>
  <si>
    <t>common.languages.ar.slug</t>
  </si>
  <si>
    <t>common.languages.ar.name</t>
  </si>
  <si>
    <t>common.indicatorstitle</t>
  </si>
  <si>
    <t>Indicateurs</t>
  </si>
  <si>
    <t>Indicadores</t>
  </si>
  <si>
    <t>المؤشرات</t>
  </si>
  <si>
    <t>common.indicators.poverty.unit</t>
  </si>
  <si>
    <t>common.indicators.poverty.source</t>
  </si>
  <si>
    <t>World Bank, Global Poverty Working Group. Data are compiled from official government sources or are computed by World Bank staff using national (i.e. country–specific) poverty lines.</t>
  </si>
  <si>
    <t>Banque mondiale, Groupe de travail sur la pauvreté mondiale. Les données proviennent de sources gouvernementales officielles ou sont calculées par le personnel de la Banque mondiale en utilisant des seuils de pauvreté nationaux (cest-à-dire spécifiques au pays).</t>
  </si>
  <si>
    <t>Banco Mundial, Grupo de Trabajo sobre la Pobreza Mundial. Los datos proceden de fuentes gubernamentales oficiales o son calculados por el personal del Banco Mundial utilizando líneas de pobreza nacionales (es decir, específicas para cada país).</t>
  </si>
  <si>
    <t>common.indicators.poverty.name</t>
  </si>
  <si>
    <t>National poverty headcount ratio</t>
  </si>
  <si>
    <t>Taux national de pauvreté</t>
  </si>
  <si>
    <t>Índice nacional de incidencia de la pobreza</t>
  </si>
  <si>
    <t>المؤشر العددي للفقر عند خط الفقر الوطني</t>
  </si>
  <si>
    <t>common.indicators.poverty.definition</t>
  </si>
  <si>
    <t>National poverty headcount ratio is the percentage of the population living below the national poverty lines. National estimates are based on population-weighted subgroup estimates from household surveys.</t>
  </si>
  <si>
    <t>Le taux national de pauvreté est le pourcentage de la population vivant en dessous des seuils nationaux de pauvreté. Les estimations nationales sont basées sur des estimations des sous-groupes pondérés par la population tirées des enquêtes auprès des ménages.</t>
  </si>
  <si>
    <t>El índice nacional de pobreza de número de personas es el porcentaje de la población que vive por debajo de los umbrales nacionales de pobreza. Las estimaciones nacionales se basan en estimaciones de subgrupos contenidas por la población a partir de encuestas de hogares.</t>
  </si>
  <si>
    <t>common.indicators.population.unit</t>
  </si>
  <si>
    <t>common.indicators.population.source</t>
  </si>
  <si>
    <t>(1) United Nations Population Division. World Population Prospects, (2) Census reports and other statistical publications from national statistical offices, (3) Eurostat: Demographic Statistics, (4) United Nations Statistical Division. Population and Vital Statistics Report (various years), (5) U.S. Census Bureau: International Database, and (6) Secretariat of the Pacific Community: Statistics and Demography Programme.</t>
  </si>
  <si>
    <t xml:space="preserve">(1) Division de la population des Nations Unies, (2) Rapports de recensement et autres publications statistiques des bureaux nationaux de statistique, (3) Eurostat: Statistiques démographiques, (4) Division de la statistique des Nations Unies, (5) Bureau de recensment des Etats Unies: Base de donnée internationale, et (6) Secrétariat de la communauté pacifique: Programmes statistiques et démographiques. </t>
  </si>
  <si>
    <t>(1) División de Población de las Naciones Unidas. World Population Prospects, (2) Informes censales y otras publicaciones estadísticas de las oficinas nacionales de estadística, (3) Eurostat: Estadísticas demográficas, (4) División de Estadística de las Naciones Unidas. Población y reporte vital estadístico (varios años), (5) Censo de Estados Unidos: Base de Datos internacional, y (6) Secretariado de la Comunidad del Pacifico: Programa de Estadísticas y Demografía.</t>
  </si>
  <si>
    <t>common.indicators.population.name</t>
  </si>
  <si>
    <t>Population, total</t>
  </si>
  <si>
    <t>Population totale</t>
  </si>
  <si>
    <t>Población total</t>
  </si>
  <si>
    <t>تعداد السكان، الإجمالي</t>
  </si>
  <si>
    <t>common.indicators.population.definition</t>
  </si>
  <si>
    <t>Total population is based on the de facto definition of population, which counts all residents regardless of legal status or citizenship. The values shown are midyear estimates.</t>
  </si>
  <si>
    <t>La population totale est basée sur la définition de facto de la population, qui compte tous les résidents indépendamment de leurs statut légal ou de leur citoyenneté. Les valeurs indiquées sont des estimations semestrielles.</t>
  </si>
  <si>
    <t>La población total se basa en la definición de facto de la población, que cuenta a todos las personas independientemente de su estatus legal o de su ciudadanía. Los valores indicados son estimaciones a mitad de año.</t>
  </si>
  <si>
    <t>common.indicators.kpi_trainfa_tot.unit</t>
  </si>
  <si>
    <t>common.indicators.kpi_trainfa_tot.source</t>
  </si>
  <si>
    <t>FDRS</t>
  </si>
  <si>
    <t>common.indicators.kpi_trainfa_tot.name</t>
  </si>
  <si>
    <t>Personnes formées aux premiers secours</t>
  </si>
  <si>
    <t>Personas con formación en primeros auxilios</t>
  </si>
  <si>
    <t>المتدربين على الإسعافات الأولية</t>
  </si>
  <si>
    <t>common.indicators.kpi_trainfa_tot.definition</t>
  </si>
  <si>
    <t>People who have completed at least one first aid course (at any level, either online or face to face) during the annual reporting period.</t>
  </si>
  <si>
    <t>Personnes ayant suivi au moins un cours de secourisme (quel que soit le niveau, en ligne ou en présentiel) pendant les douze mois considérés.</t>
  </si>
  <si>
    <t>Personas que han superado al menos un curso en materia de primeros auxilios (de cualquier nivel, ya sea en línea o presencial) durante el período sujeto a examen.</t>
  </si>
  <si>
    <t>الأشخاص الذين استكملوا  دورة تدريبية واحدة على الأقل في مجال الإسعافات الأولية (على أي مستوى، وسواء كان ذلك عن بعد أو على عين المكان) خلال الفترة المشمولة بالتقرير</t>
  </si>
  <si>
    <t>common.indicators.kpi_reachwash_cpd.unit</t>
  </si>
  <si>
    <t>common.indicators.kpi_reachwash_cpd.source</t>
  </si>
  <si>
    <t>common.indicators.kpi_reachwash_cpd.name</t>
  </si>
  <si>
    <t>Personnes ayant bénéficié de programmes deau, dassainissement et dhygiène</t>
  </si>
  <si>
    <t>Personas alcanzadas por programas de agua, saneamiento e higiene</t>
  </si>
  <si>
    <t>الأشخاص المنتفعين بخدمات الماء والصرف الصحي والنظافة الصحية</t>
  </si>
  <si>
    <t>common.indicators.kpi_reachwash_cpd.definition</t>
  </si>
  <si>
    <t>common.indicators.kpi_reachsi_cpd.unit</t>
  </si>
  <si>
    <t>common.indicators.kpi_reachsi_cpd.source</t>
  </si>
  <si>
    <t>common.indicators.kpi_reachsi_cpd.name</t>
  </si>
  <si>
    <t>People reached by social inclusion and building a culture of non-violence and peace</t>
  </si>
  <si>
    <t>Personnes ayant bénéficié de programmes dintégration sociale et culture de non-violence et de paix</t>
  </si>
  <si>
    <t>Personas alcanzadas por programas de inclusión social y cultura de paz y no violencia</t>
  </si>
  <si>
    <t>الأشخاص المنتفعين ببرامج الاحتواء الاجتماعي وبناء ثقافة نبذ العنف والسلام</t>
  </si>
  <si>
    <t>common.indicators.kpi_reachsi_cpd.definition</t>
  </si>
  <si>
    <t>common.indicators.kpi_reachs_cpd.unit</t>
  </si>
  <si>
    <t>common.indicators.kpi_reachs_cpd.source</t>
  </si>
  <si>
    <t>common.indicators.kpi_reachs_cpd.name</t>
  </si>
  <si>
    <t>Personnes ayant bénéficié de programmes de logement</t>
  </si>
  <si>
    <t>Personas alcanzadas por programas de alojamiento provisional y de emergencia</t>
  </si>
  <si>
    <t>الأشخاص الحاصلين على مأوى</t>
  </si>
  <si>
    <t>common.indicators.kpi_reachs_cpd.definition</t>
  </si>
  <si>
    <t>common.indicators.kpi_reachm_cpd.unit</t>
  </si>
  <si>
    <t>common.indicators.kpi_reachm_cpd.source</t>
  </si>
  <si>
    <t>common.indicators.kpi_reachm_cpd.name</t>
  </si>
  <si>
    <t>Personnes ayant bénéficié de programmes de migration</t>
  </si>
  <si>
    <t>Personas alcanzadas por programas de migración</t>
  </si>
  <si>
    <t>الأشخاص المنتفعين بخدمات الهجرة</t>
  </si>
  <si>
    <t>common.indicators.kpi_reachm_cpd.definition</t>
  </si>
  <si>
    <t>common.indicators.kpi_reachltspd_cpd.unit</t>
  </si>
  <si>
    <t>common.indicators.kpi_reachltspd_cpd.source</t>
  </si>
  <si>
    <t>common.indicators.kpi_reachltspd_cpd.name</t>
  </si>
  <si>
    <t>Personnes ayant bénéficié de services à long terme et de programmes de développement</t>
  </si>
  <si>
    <t>Personas alcanzadas por servicios a largo plazo y programas de desarrollo</t>
  </si>
  <si>
    <t>الناس الذين تم الوصول إليهم خلال البرامج الخدمية والإنمائية طويلة الأجل</t>
  </si>
  <si>
    <t>common.indicators.kpi_reachltspd_cpd.definition</t>
  </si>
  <si>
    <t>Number of people reached by Long Term Services and Development Programmes: direct and indirect recipients and people covered by Federation services counted, disaggregated by service areas.</t>
  </si>
  <si>
    <t>Número de personas alcanzadas por servicios a largo plazo y programas de desarrollo: receptores directos e indirectos de los servicios de la Federación y personas cubiertas por ellos, desglosados por áreas de servicios.</t>
  </si>
  <si>
    <t>عدد الناس الذين تم الوصول إليهم خلال البرامج الخدمية والإنمائية طويلة الأجل: هم المتلقون المباشرون وغير المباشرين لخدمات الاتحاد، والمشمولون بتغطية هذه الخدمات، مصنفين حسب مجالات الخدمة</t>
  </si>
  <si>
    <t>common.indicators.kpi_reachltspd_cpd.</t>
  </si>
  <si>
    <t>common.indicators.kpi_reachl_cpd.unit</t>
  </si>
  <si>
    <t>common.indicators.kpi_reachl_cpd.source</t>
  </si>
  <si>
    <t>common.indicators.kpi_reachl_cpd.name</t>
  </si>
  <si>
    <t>Personnes ayant bénéficié de programmes de moyens de subsistance</t>
  </si>
  <si>
    <t>Personas alcanzadas por programas de medios de vida</t>
  </si>
  <si>
    <t>الأشخاص المنتفعين بخدمات توفير سبل المعيشة</t>
  </si>
  <si>
    <t>common.indicators.kpi_reachl_cpd.definition</t>
  </si>
  <si>
    <t>common.indicators.kpi_reachh_cpd.unit</t>
  </si>
  <si>
    <t>common.indicators.kpi_reachh_cpd.source</t>
  </si>
  <si>
    <t>common.indicators.kpi_reachh_cpd.name</t>
  </si>
  <si>
    <t>Personnes ayant bénéficié de programmes de santé</t>
  </si>
  <si>
    <t>Personas alcanzadas por programas de salud</t>
  </si>
  <si>
    <t>الأشخاص المنتفعين بالخدمات الصحية</t>
  </si>
  <si>
    <t>common.indicators.kpi_reachh_cpd.definition</t>
  </si>
  <si>
    <t>common.indicators.kpi_reachdrr_cpd.unit</t>
  </si>
  <si>
    <t>common.indicators.kpi_reachdrr_cpd.source</t>
  </si>
  <si>
    <t>common.indicators.kpi_reachdrr_cpd.name</t>
  </si>
  <si>
    <t>Personnes ayant bénéficié de programmes de réduction des risques de catastrophe</t>
  </si>
  <si>
    <t>Personas alcanzadas por programas de reducción del riesgo de desastres</t>
  </si>
  <si>
    <t>الأشخاص المستفيدون من برامج الحد من مخاطر الكوارث</t>
  </si>
  <si>
    <t>common.indicators.kpi_reachdrr_cpd.definition</t>
  </si>
  <si>
    <t>common.indicators.kpi_reachdrer_cpd.unit</t>
  </si>
  <si>
    <t>common.indicators.kpi_reachdrer_cpd.source</t>
  </si>
  <si>
    <t>common.indicators.kpi_reachdrer_cpd.name</t>
  </si>
  <si>
    <t>Personnes ayant bénéficié des programmes d’intervention en cas de catastrophe et de relèvement initial</t>
  </si>
  <si>
    <t>Personas alcanzadas por programas en casos de desastre y recuperación inicial</t>
  </si>
  <si>
    <t>الناس الذين تم الوصول إليهم خلال برامج الاستجابة للكوارث والانتعاش الأولي</t>
  </si>
  <si>
    <t>common.indicators.kpi_reachdrer_cpd.definition</t>
  </si>
  <si>
    <t>Number of people reached by disaster response and early recovery programmes: direct and indirect recipients and people covered by Federation services counted, disaggregated by service areas.</t>
  </si>
  <si>
    <t>Nombre de personnes ayant bénéficié des programmes dintervention en cas de catastrophe et relèvement initial: bénéficiaires directs et indirects d’un service ou personnes couvertes par un service de la Fédération, ventilés par type de service.</t>
  </si>
  <si>
    <t>Número de personas alcanzadas por programas en casos de desastre y recuperación inicial: receptores directos e indirectos de los servicios de la Federación y personas cubiertas por ellos, desglosados por áreas de servicios.</t>
  </si>
  <si>
    <t>عدد الناس الذين تم الوصول إليهم خلال برامج الاستجابة للكوارث والانتعاش الأولي: هم المتلقون المباشرون وغير المباشرين لخدمات الاتحاد، والمشمولون بتغطية هذه الخدمات، مصنفين حسب مجالات الخدمة</t>
  </si>
  <si>
    <t>common.indicators.kpi_reachdrer_cpd.</t>
  </si>
  <si>
    <t>common.indicators.kpi_reachctp_cpd.unit</t>
  </si>
  <si>
    <t>common.indicators.kpi_reachctp_cpd.source</t>
  </si>
  <si>
    <t>common.indicators.kpi_reachctp_cpd.name</t>
  </si>
  <si>
    <t>Personnes ayant bénéficié de programmes de transferts monétaires</t>
  </si>
  <si>
    <t>الأشخاص المنتفعين ببرامج التحويلات النقدية</t>
  </si>
  <si>
    <t>common.indicators.kpi_reachctp_cpd.definition</t>
  </si>
  <si>
    <t>common.indicators.kpi_pstaff_tot.unit</t>
  </si>
  <si>
    <t>[unit test]</t>
  </si>
  <si>
    <t>[Test de lunité]</t>
  </si>
  <si>
    <t>common.indicators.kpi_pstaff_tot.source</t>
  </si>
  <si>
    <t>common.indicators.kpi_pstaff_tot.name</t>
  </si>
  <si>
    <t>Employés rémunérés</t>
  </si>
  <si>
    <t>Empleados remunerados</t>
  </si>
  <si>
    <t>الموظفين بأجر</t>
  </si>
  <si>
    <t>common.indicators.kpi_pstaff_tot.definition</t>
  </si>
  <si>
    <t>Number of paid staff: people who work with a National Society or the Secretariat for a minimum of three months and are remunerated.</t>
  </si>
  <si>
    <t>Nombre d’employés rémunérés : personnes ayant travaillé au moins trois mois pour une Société nationale ou le Secrétariat pendant la période considérée en étant rémunérées.</t>
  </si>
  <si>
    <t>Número de empleados remunerados: personas que trabajan con una Sociedad Nacional o para la Secretaría por tres meses como mínimo y perciben una remuneración.</t>
  </si>
  <si>
    <t>الموظفين بأجر: هو عدد الناس الذين يعملون بأجر مع جمعية وطنية ما أو مع الأمانة لمدة لا تقل عن ثلاثة أشهر</t>
  </si>
  <si>
    <t>common.indicators.kpi_pstaff_tot.</t>
  </si>
  <si>
    <t>common.indicators.kpi_peoplevol_tot.unit</t>
  </si>
  <si>
    <t>common.indicators.kpi_peoplevol_tot.source</t>
  </si>
  <si>
    <t>common.indicators.kpi_peoplevol_tot.name</t>
  </si>
  <si>
    <t>People volunteering their time</t>
  </si>
  <si>
    <t>Personnes donnant de leur temps comme volontaires</t>
  </si>
  <si>
    <t>Personas que ofrecen voluntariamente su tiempo</t>
  </si>
  <si>
    <t>common.indicators.kpi_peoplevol_tot.definition</t>
  </si>
  <si>
    <t>Number of people volunteering their time: people that have volunteered at least four hours during the annual reporting period.</t>
  </si>
  <si>
    <t>Nombre de personnes donnant de leur temps comme volontaires : personnes ayant travaillé au moins quatre heures comme volontaires pendant la période considérée.</t>
  </si>
  <si>
    <t>Número de personas que ofrecen voluntariamente su tiempo: personas que han dedicado al menos cuatro horas de trabajo voluntario durante el período anual del informe.</t>
  </si>
  <si>
    <t>المتطوعين: هو عدد الناس الذين تطوعوا لمدة أربع ساعات على الأقل خلال فترة الإبلاغ السنوي</t>
  </si>
  <si>
    <t>common.indicators.kpi_peoplevol_tot.</t>
  </si>
  <si>
    <t>common.indicators.kpi_nopeoplereachedservices.unit</t>
  </si>
  <si>
    <t>common.indicators.kpi_nopeoplereachedservices.source</t>
  </si>
  <si>
    <t>common.indicators.kpi_nopeoplereachedservices.name</t>
  </si>
  <si>
    <t>People reached by social services</t>
  </si>
  <si>
    <t>Personnes ayant bénéficié des services sociaux</t>
  </si>
  <si>
    <t>Personas alcanzadas por servicios sociales</t>
  </si>
  <si>
    <t>الناس الذين تم الوصول إليهم خلال برامج الخدمات الاجتماعية</t>
  </si>
  <si>
    <t>common.indicators.kpi_nopeoplereachedservices.definition</t>
  </si>
  <si>
    <t>Number of people reached by social services: direct and indirect recipients and people covered by Federation services counted, disaggregated by service areas.</t>
  </si>
  <si>
    <t>Personnes ayant bénéficié des services sociaux: nombre de bénéficiaires directs et indirects et de personnes couvertes par un service de la Fédération internationale.</t>
  </si>
  <si>
    <t>Número de personas alcanzadas por servicios sociales: receptores directos e indirectos de los servicios de la Federación y personas cubiertas por ellos, desglosados por áreas de servicios.</t>
  </si>
  <si>
    <t>عدد الناس الذين تم الوصول إليهم خلال برامج الخدمات الاجتماعية: هم المتلقون المباشرون وغير المباشرين لخدمات الاتحاد، والمشمولون بتغطية هذه الخدمات، مصنفين حسب مجالات الخدمة</t>
  </si>
  <si>
    <t>common.indicators.kpi_nopeoplereachedservices.</t>
  </si>
  <si>
    <t>الناس الذين تم الوصول إليهم خلال الخدمات الاجنماعية</t>
  </si>
  <si>
    <t>common.indicators.kpi_nopeoplereachedhealth.unit</t>
  </si>
  <si>
    <t>common.indicators.kpi_nopeoplereachedhealth.source</t>
  </si>
  <si>
    <t>common.indicators.kpi_nopeoplereachedhealth.name</t>
  </si>
  <si>
    <t>People reached by community health</t>
  </si>
  <si>
    <t>Personnes ayant bénéficié des services de santé communautaire</t>
  </si>
  <si>
    <t>Personas alcanzadas por programas de salud comunitaria</t>
  </si>
  <si>
    <t>الناس الذين تم الوصول إليهم خلال برامج الصحة المجتمعية</t>
  </si>
  <si>
    <t>common.indicators.kpi_nopeoplereachedhealth.definition</t>
  </si>
  <si>
    <t>Number of people reached by community health programmes: direct and indirect recipients and people covered by Federation services counted, disaggregated by service areas.</t>
  </si>
  <si>
    <t>Personnes ayant bénéficié des services de santé communautaire: nombre de bénéficiaires directs et indirects et de personnes couvertes par un service de la Fédération internationale.</t>
  </si>
  <si>
    <t>Número de personas alcanzadas por programas de salud comunitaria: receptores directos e indirectos de los servicios de la Federación y personas cubiertas por ellos, desglosados por áreas de servicios.</t>
  </si>
  <si>
    <t>عدد الناس الذين تم الوصول إليهم خلال برامج الصحة المجتمعية: هم المتلقون المباشرون وغير المباشرين لخدمات الاتحاد، والمشمولون بتغطية هذه الخدمات، مصنفين حسب مجالات الخدمة</t>
  </si>
  <si>
    <t>common.indicators.kpi_nopeoplereachedhealth.</t>
  </si>
  <si>
    <t>common.indicators.kpi_nopeoplereacheddevelopment.unit</t>
  </si>
  <si>
    <t>common.indicators.kpi_nopeoplereacheddevelopment.source</t>
  </si>
  <si>
    <t>common.indicators.kpi_nopeoplereacheddevelopment.name</t>
  </si>
  <si>
    <t>People reached by community development</t>
  </si>
  <si>
    <t>Personnes ayant bénéficié des services de développement communautaire</t>
  </si>
  <si>
    <t>Personas alcanzadas por programas de desarrollo comunitario</t>
  </si>
  <si>
    <t>الناس الذين تم الوصول إليهم خلال برامج تنمية المجتمعات المحلية</t>
  </si>
  <si>
    <t>common.indicators.kpi_nopeoplereacheddevelopment.definition</t>
  </si>
  <si>
    <t>Number of people reached by community development programmes: direct and indirect recipients and people covered by Federation services counted, disaggregated by service areas.</t>
  </si>
  <si>
    <t>Personnes ayant bénéficié des services de développement communautaire: nombre de bénéficiaires directs et indirects et de personnes couvertes par un service de la Fédération internationale.</t>
  </si>
  <si>
    <t>Número de personas alcanzadas por programas de desarrollo comunitario: receptores directos e indirectos de los servicios de la Federación y personas cubiertas por ellos, desglosados por áreas de servicios.</t>
  </si>
  <si>
    <t>عدد الناس الذين تم الوصول إليهم خلال برامج تنمية المجتمعات المحلية: هم المتلقون المباشرون وغير المباشرين لخدمات الاتحاد، والمشمولون بتغطية هذه الخدمات، مصنفين حسب مجالات الخدمة</t>
  </si>
  <si>
    <t>common.indicators.kpi_nopeoplereacheddevelopment.</t>
  </si>
  <si>
    <t>common.indicators.kpi_nopeoplecoveredpreparedness.unit</t>
  </si>
  <si>
    <t>common.indicators.kpi_nopeoplecoveredpreparedness.source</t>
  </si>
  <si>
    <t>common.indicators.kpi_nopeoplecoveredpreparedness.name</t>
  </si>
  <si>
    <t>People covered by preparedness and risk reduction programmes</t>
  </si>
  <si>
    <t>Personnes couvertes par des programmes de réduction des risques et de préparation</t>
  </si>
  <si>
    <t>Personas cubiertas por programas de preparación para desastres</t>
  </si>
  <si>
    <t>الأشخاص المشمولين  خلال برامج التأهب للكواراث</t>
  </si>
  <si>
    <t>common.indicators.kpi_nopeoplecoveredpreparedness.definition</t>
  </si>
  <si>
    <t>Number of people covered by preparedness and risk reduction programmes: people covered are people that are targeted by a programme for which the benefit is not immediate but from which target population can benefit if an adverse event occurs.</t>
  </si>
  <si>
    <t>Personnes couvertes par des programmes de réduction des risques et de préparation: les personnes couvertes sont des personnes qui sont ciblées par un programme pour lequel les bénéfices ne sont pas immédiats mais dont les populations ciblées peuvent en bénéficier en cas d’événements néfastes.</t>
  </si>
  <si>
    <t>Número de personas cubiertas por programas de preparación para desastres: son las personas a las que se dirige un programa que no produce un beneficio inmediato, pero del cual podrá beneficiarse la población destinataria cuando ocurra un evento adverso.</t>
  </si>
  <si>
    <t>عدد الأشخاص المشمولين خلال برامج التأهب للكواراث: المشمولون بالتغطية هم أناس يستهدفهم برنامج معين، لا تتحقق الاستفادة منه بشكل فوري، بيد أن الفئة السكانية تستفيد منه في حالة وقوع حدث سلبي.</t>
  </si>
  <si>
    <t>common.indicators.kpi_nopeoplecoveredpreparedness.</t>
  </si>
  <si>
    <t>الأشخاص المشمولين خلال برامج التأهب للكواراث</t>
  </si>
  <si>
    <t>common.indicators.kpi_nolocalunits.unit</t>
  </si>
  <si>
    <t>common.indicators.kpi_nolocalunits.source</t>
  </si>
  <si>
    <t>common.indicators.kpi_nolocalunits.name</t>
  </si>
  <si>
    <t>Unités locales</t>
  </si>
  <si>
    <t>common.indicators.kpi_nolocalunits.definition</t>
  </si>
  <si>
    <t>Number of local units: National Society subdivisions that work directly with the community – this can include local chapters, branches, regional and intermediate offices, and headquarters.</t>
  </si>
  <si>
    <t>Nombre d’unités locales : subdivisions de la Société nationale qui travaillent directement auprès de la population – ce peut être des chapitres locaux, des sections, des bureaux régionaux et intermédiaires, et le siège.</t>
  </si>
  <si>
    <t>Número de unidades locales: subdivisiones de las Sociedades Nacionales que trabajan directamente con la comunidad, entre las que se incluyen las sub-filiales locales, las filiales, las oficinas regionales e intermedias y la sede.</t>
  </si>
  <si>
    <t>الوحدات المحلية: وهي التقسيمات الفرعية التابعة للجمعيات الوطنية، التي تعمل مباشرة مع المجتمع المحلي - ويمكن أن تكون مراكز محلية وفروع ومكاتب إقليمية ومكاتب وسيطة، والمقر</t>
  </si>
  <si>
    <t>common.indicators.kpi_nolocalunits.</t>
  </si>
  <si>
    <t>common.indicators.kpi_incomelc_chf.unit</t>
  </si>
  <si>
    <t>common.indicators.kpi_incomelc_chf.source</t>
  </si>
  <si>
    <t>common.indicators.kpi_incomelc_chf.name</t>
  </si>
  <si>
    <t>Income (in CHF)</t>
  </si>
  <si>
    <t>Recettes totales (CHF)</t>
  </si>
  <si>
    <t>Ingresos (en francos suizos)</t>
  </si>
  <si>
    <t>الدخل الوارد (بالفرنك السويسري)</t>
  </si>
  <si>
    <t>common.indicators.kpi_incomelc_chf.definition</t>
  </si>
  <si>
    <t>Recettes totales : valeur financière de l’argent, des biens matériels et des services qu’une Société nationale reçoit pendant l’exercice budgétaire.</t>
  </si>
  <si>
    <t>Cuantía total de ingresos recibidos: valor fiscal del dinero, los bienes físicos y los servicios que recibe una Sociedad Nacional durante el ejercicio económico (en francos suizos).</t>
  </si>
  <si>
    <t>إجمالي الدخل الوارد: القيمة المالية للنقود والسلع المادية والخدمات التي تتلقاها الجمعية الوطنية خلال السنة المالية (بالفرنك السويسري)</t>
  </si>
  <si>
    <t>common.indicators.kpi_incomelc</t>
  </si>
  <si>
    <t>الدخل الوارد</t>
  </si>
  <si>
    <t>common.indicators.kpi_expenditurelc_chf.unit</t>
  </si>
  <si>
    <t>common.indicators.kpi_expenditurelc_chf.source</t>
  </si>
  <si>
    <t>common.indicators.kpi_expenditurelc_chf.name</t>
  </si>
  <si>
    <t>Expenditure (in CHF)</t>
  </si>
  <si>
    <t>Total des dépenses (CHF)</t>
  </si>
  <si>
    <t>Gastos (en francos suizos)</t>
  </si>
  <si>
    <t>النفقات (بالفرنك السويسري)</t>
  </si>
  <si>
    <t>common.indicators.kpi_expenditurelc_chf.definition</t>
  </si>
  <si>
    <t>Total des dépenses : valeur financière de l’argent, des biens matériels et des services qu’une Société nationale dépense pendant l’exercice budgétaire.</t>
  </si>
  <si>
    <t>Cuantía total de gastos: valor fiscal del dinero, los bienes físicos y los servicios que gasta una Sociedad Nacional durante el ejercicio económico (en francos suizos).</t>
  </si>
  <si>
    <t>إجمالي النفقات: القيمة المالية للنقود والسلع المادية والخدمات التي تنفقها الجمعية الوطنية خلال السنة المالية (بالفرنك السويسري)</t>
  </si>
  <si>
    <t>common.indicators.kpi_expenditurelc</t>
  </si>
  <si>
    <t>common.indicators.kpi_donblood_tot.unit</t>
  </si>
  <si>
    <t>common.indicators.kpi_donblood_tot.source</t>
  </si>
  <si>
    <t>common.indicators.kpi_donblood_tot.name</t>
  </si>
  <si>
    <t>common.indicators.kpi_donblood_tot.definition</t>
  </si>
  <si>
    <t>Number of people donating blood: people that have donated blood at least once during the reporting period.</t>
  </si>
  <si>
    <t>Nombre de donneurs de sang : personnes ayant donné du sang au moins une fois durant la période considérée.</t>
  </si>
  <si>
    <t>Número de personas que donan sangre: personas que han donado sangre al menos una vez durante el período que se informa.</t>
  </si>
  <si>
    <t>المتبرعين بالدم: هو عدد الناس الذين تبرعوا بالدم مرة واحدة على الأقل خلال فترة الإبلاغ</t>
  </si>
  <si>
    <t>common.indicators.kpi_donblood_tot.</t>
  </si>
  <si>
    <t>common.indicators.gdp.unit</t>
  </si>
  <si>
    <t>common.indicators.gdp.source</t>
  </si>
  <si>
    <t>World Bank national accounts data, and OECD National Accounts data files.</t>
  </si>
  <si>
    <t>Les données des comptes nationaux de la Banque mondiale et les fichiers de données des Comptes nationaux de lOCDE</t>
  </si>
  <si>
    <t>Datos de las cuentas nacionales del Banco Mundial y archivos de datos de las cuentas nacionales de la OCDE.</t>
  </si>
  <si>
    <t>common.indicators.gdp.name</t>
  </si>
  <si>
    <t>GDP (current US$)</t>
  </si>
  <si>
    <t>PIB (USD en vigeur)</t>
  </si>
  <si>
    <t>PIB (US $ actuales)</t>
  </si>
  <si>
    <t>إجمالي الناتج المحلي (القيمة الحالية بالدولار الأمريكي)</t>
  </si>
  <si>
    <t>common.indicators.gdp.definition</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</si>
  <si>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</si>
  <si>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Le PIB au prix de lacheteur est la somme de la valeur ajoutée brute de tous les producteurs résidents de léconomie plus les taxes sur les produits et moins les subventions qui ne sont pas incluses dans la valeur des produits. Il est calculé sans faire de déductions pour amortissement des actifs fabriqués ou pour épuisement et dégradation des ressources naturelles. Les données sont en dollars américains en vigeur. Les chiffres du PIB en dollars sont convertis en monnaies nationales en utilisant les taux de change officiels dun an. Pour quelques pays où le taux de change officiel ne reflète pas le taux effectivement appliqué aux opérations de change réelles, un autre facteur de conversion est utilisé</t>
  </si>
  <si>
    <t>El PIB a precios de comprador es la suma del valor añadido bruto de todos los productores residentes en la economía más los impuestos sobre los productos y menos las subvenciones no incluidas en el valor de los productos. Se calcula sin hacer deducciones por la depreciación de los activos fabricados o por el agotamiento y la degradación de los recursos naturales. Los datos se expresan en dólares estadounidenses corrientes. Las cifras del PIB en dólares se convierten a partir de las monedas nacionales utilizando los tipos de cambio oficiales de un año. Para unos pocos países en los que el tipo de cambio oficial no refleja el tipo aplicado efectivamente a las transacciones reales de divisas, se utiliza un factor de conversión alternativo.</t>
  </si>
  <si>
    <t>common.home</t>
  </si>
  <si>
    <t>Home</t>
  </si>
  <si>
    <t>Page dacceuil</t>
  </si>
  <si>
    <t>Inicio</t>
  </si>
  <si>
    <t>الصفحة الرئيسية</t>
  </si>
  <si>
    <t>common.download</t>
  </si>
  <si>
    <t>common.datacollectors.title</t>
  </si>
  <si>
    <t>For data collectors</t>
  </si>
  <si>
    <t>Pour les collecteurs de données</t>
  </si>
  <si>
    <t>Para los recopiladores de datos</t>
  </si>
  <si>
    <t>لجامعي البيانات</t>
  </si>
  <si>
    <t>common.datacollectors.lead</t>
  </si>
  <si>
    <t>To get started with the data collection for your National Society, please log in.</t>
  </si>
  <si>
    <t>Pour commencer la collecte de données pour votre Société nationale, veuillez vous connecter.</t>
  </si>
  <si>
    <t>Para empezar con la recolección de datos para su Sociedad Nacional, por favor, inicie sesión.</t>
  </si>
  <si>
    <t>لبدأ عملية جمع البيانات لجمعيتك الوطنية، يرجى تسجيل الدخول.</t>
  </si>
  <si>
    <t>common.datacollectors.button</t>
  </si>
  <si>
    <t>Login as data collector</t>
  </si>
  <si>
    <t>Se connecter en tant que collecteur de données</t>
  </si>
  <si>
    <t>Iniciar sesión como recopilador de datos</t>
  </si>
  <si>
    <t>تسجيل الدخول لجامعي البيانات</t>
  </si>
  <si>
    <t>common.credit</t>
  </si>
  <si>
    <t>website by</t>
  </si>
  <si>
    <t xml:space="preserve">الموقع من قبل </t>
  </si>
  <si>
    <t>common.copyright</t>
  </si>
  <si>
    <t>common.contact.title</t>
  </si>
  <si>
    <t>Contact</t>
  </si>
  <si>
    <t>Contacto</t>
  </si>
  <si>
    <t>الاتصال</t>
  </si>
  <si>
    <t>common.contact.lead</t>
  </si>
  <si>
    <t>If you have feedback, questions and/or corrections, please write to the FDRS team.</t>
  </si>
  <si>
    <t>Si vous avez des commentaires, des questions et / ou des corrections, veuillez écrire à léquipe FDRS.</t>
  </si>
  <si>
    <t>Si tiene comentarios, preguntas y / o correcciones, por favor escriba al equipo de FDRS.</t>
  </si>
  <si>
    <t>إذا كانت لديك ملاحظات أوأسئلة، يرجى الكتابة إلى فريق FDRS.</t>
  </si>
  <si>
    <t>common.contact.email</t>
  </si>
  <si>
    <t>fdrs@ifrc.org</t>
  </si>
  <si>
    <t>common.breadcrumbs.the ifrc at a glance</t>
  </si>
  <si>
    <t>La FICR de un vistazo</t>
  </si>
  <si>
    <t>common.breadcrumbs.services</t>
  </si>
  <si>
    <t>common.breadcrumbs.national society profiles</t>
  </si>
  <si>
    <t>common.breadcrumbs.home</t>
  </si>
  <si>
    <t>common.breadcrumbs.faq</t>
  </si>
  <si>
    <t>common.breadcrumbs.data download</t>
  </si>
  <si>
    <t>تحميل البيانات</t>
  </si>
  <si>
    <t>close</t>
  </si>
  <si>
    <t>cerrar</t>
  </si>
  <si>
    <t xml:space="preserve">Fermer </t>
  </si>
  <si>
    <t>clickheretohaveamoreindepthexploration</t>
  </si>
  <si>
    <t>Click here to have a more in-depth exploration</t>
  </si>
  <si>
    <t>Cliquez ici pour une exploration plus approfondie</t>
  </si>
  <si>
    <t>Haga clic aquí para explorar a más profundidad</t>
  </si>
  <si>
    <t>choosenscompare</t>
  </si>
  <si>
    <t>Choose a National Society</t>
  </si>
  <si>
    <t>Choisir une Société Nationale</t>
  </si>
  <si>
    <t>Elegir una Sociedad Nacional</t>
  </si>
  <si>
    <t>auditedfinancialstatementen</t>
  </si>
  <si>
    <t>Audited Financial Statement (EN)</t>
  </si>
  <si>
    <t>États financiers audités (EN)</t>
  </si>
  <si>
    <t>Estado financiero auditado(EN)</t>
  </si>
  <si>
    <t>asia pacific</t>
  </si>
  <si>
    <t xml:space="preserve">Asie-Pacifique </t>
  </si>
  <si>
    <t>Asia Pacífico</t>
  </si>
  <si>
    <t>anotherpartner</t>
  </si>
  <si>
    <t>Another partner</t>
  </si>
  <si>
    <t xml:space="preserve">Un autre partenaire </t>
  </si>
  <si>
    <t>Otro socio</t>
  </si>
  <si>
    <t>annualreporten</t>
  </si>
  <si>
    <t>Annual Report (EN)</t>
  </si>
  <si>
    <t>Rapport Annuel (EN)</t>
  </si>
  <si>
    <t>Informe anual(EN)</t>
  </si>
  <si>
    <t>americas</t>
  </si>
  <si>
    <t xml:space="preserve">Amériques </t>
  </si>
  <si>
    <t>africa</t>
  </si>
  <si>
    <t xml:space="preserve">Afrique </t>
  </si>
  <si>
    <t>about.title</t>
  </si>
  <si>
    <t>about.kpidescriptions.6.title</t>
  </si>
  <si>
    <t>People Reached</t>
  </si>
  <si>
    <t>about.kpidescriptions.6.description</t>
  </si>
  <si>
    <t>Lorem ipsum, this is the description of the KPI</t>
  </si>
  <si>
    <t>Lorem ipsum, cest la description du KPI</t>
  </si>
  <si>
    <t>Lorem ipsum, esta es la descripción del KPI</t>
  </si>
  <si>
    <t>about.kpidescriptions.6.date</t>
  </si>
  <si>
    <t>Oct 21, 2020</t>
  </si>
  <si>
    <t>10/21/2020</t>
  </si>
  <si>
    <t>about.kpidescriptions.5.title</t>
  </si>
  <si>
    <t>Dépense</t>
  </si>
  <si>
    <t>about.kpidescriptions.5.description</t>
  </si>
  <si>
    <t>about.kpidescriptions.5.date</t>
  </si>
  <si>
    <t>about.kpidescriptions.4.title</t>
  </si>
  <si>
    <t>Revenu</t>
  </si>
  <si>
    <t>about.kpidescriptions.4.description</t>
  </si>
  <si>
    <t>about.kpidescriptions.4.date</t>
  </si>
  <si>
    <t>about.kpidescriptions.3.title</t>
  </si>
  <si>
    <t>People Trained in First Aid</t>
  </si>
  <si>
    <t>about.kpidescriptions.3.description</t>
  </si>
  <si>
    <t>about.kpidescriptions.3.date</t>
  </si>
  <si>
    <t>about.kpidescriptions.2.title</t>
  </si>
  <si>
    <t>Paid Staff</t>
  </si>
  <si>
    <t>about.kpidescriptions.2.description</t>
  </si>
  <si>
    <t>about.kpidescriptions.2.date</t>
  </si>
  <si>
    <t>about.kpidescriptions.1.title</t>
  </si>
  <si>
    <t>Local Units</t>
  </si>
  <si>
    <t>about.kpidescriptions.1.description</t>
  </si>
  <si>
    <t>about.kpidescriptions.1.date</t>
  </si>
  <si>
    <t>about.kpidescriptions.0.title</t>
  </si>
  <si>
    <t>Personas que ofrecen su tiempo como voluntarios</t>
  </si>
  <si>
    <t>about.kpidescriptions.0.description</t>
  </si>
  <si>
    <t>about.kpidescriptions.0.date</t>
  </si>
  <si>
    <t>about.intro</t>
  </si>
  <si>
    <t>The Federation-wide Databank and Reporting System (FDRS) is an IFRC platform that gathers and analyses data on National Societies through a yearly data collection effort. The following sections explain in more detail the used methodologies and tools.</t>
  </si>
  <si>
    <t>La base de données et système de compte rendu à l’échelle de la Fédération (FDRS) est une plate-forme de la Fédération internationale qui rassemble et analyse des données sur les Sociétés nationales grâce à un effort annuel de collecte de données. Les sections suivantes expliquent plus en détail l’utilisation</t>
  </si>
  <si>
    <t>Banco de Datos y Sistema de Información General Interno de la Federación Internacional (FDRS) es una plataforma de la Federación Internacional que recopila y analiza datos sobre las Sociedades Nacionales mediante un esfuerzo anual de recopilación de datos. Las siguientes secciones explican con más detalle las metodologías y herramientas utilizadas.</t>
  </si>
  <si>
    <t>about.fdrsqualityofdataindex.title</t>
  </si>
  <si>
    <t>FDRS Quality of Data Index</t>
  </si>
  <si>
    <t>Lindice de la qualité des données du FDRS</t>
  </si>
  <si>
    <t>Índice de calidad de datos de FDRS</t>
  </si>
  <si>
    <t>about.fdrsqualityofdataindex.subtitle</t>
  </si>
  <si>
    <t>FDRS uses a detailed methodology on data aggregation and analysis. It’s summarize in the quality of index overview.</t>
  </si>
  <si>
    <t>FDRS utilise une méthodologie détaillée sur lagrégation et lanalyse des données. Cest résumé dans l’aperçu de la qualité de lindex.</t>
  </si>
  <si>
    <t>FDRS utiliza una metodología detallada sobre agregación y análisis de datos. Se resume en la calidad de la descripción general del índice.</t>
  </si>
  <si>
    <t>analystdescription</t>
  </si>
  <si>
    <t>a</t>
  </si>
  <si>
    <t>adddocuments</t>
  </si>
  <si>
    <t>Add Documents</t>
  </si>
  <si>
    <t>Ajouter des documents</t>
  </si>
  <si>
    <t>Agregar documentos</t>
  </si>
  <si>
    <t>إضافة المستندات</t>
  </si>
  <si>
    <t>dmqadmin</t>
  </si>
  <si>
    <t>DMQ Admin</t>
  </si>
  <si>
    <t>DMQ Administrateur</t>
  </si>
  <si>
    <t>DMQ Administrador</t>
  </si>
  <si>
    <t>DMQ مسؤل</t>
  </si>
  <si>
    <t>backtolist</t>
  </si>
  <si>
    <t>Back to list</t>
  </si>
  <si>
    <t>Retour à la liste</t>
  </si>
  <si>
    <t>Regresar al listado</t>
  </si>
  <si>
    <t>guidesandtools</t>
  </si>
  <si>
    <t>Guides / Resources</t>
  </si>
  <si>
    <t>Guides et outils</t>
  </si>
  <si>
    <t>Guías y herramientas</t>
  </si>
  <si>
    <t>download</t>
  </si>
  <si>
    <t>Télécharger</t>
  </si>
  <si>
    <t>Descarga</t>
  </si>
  <si>
    <t>deletelinkinlistview</t>
  </si>
  <si>
    <t>tools</t>
  </si>
  <si>
    <t>documentpageuploadnewdocument</t>
  </si>
  <si>
    <t>Upload new</t>
  </si>
  <si>
    <t>Charger un nouveau document</t>
  </si>
  <si>
    <t>Cargar nuevo</t>
  </si>
  <si>
    <t>publicationsintro</t>
  </si>
  <si>
    <t>Here you can upload and download publications that can be accessed from the frontend.</t>
  </si>
  <si>
    <t>Ci-dessous, vous pouvez charger et télécharger des publications qui sont accessibles depuis le frontend.</t>
  </si>
  <si>
    <t>Aquí puede subir y descargar publicaciones con acceso directo.</t>
  </si>
  <si>
    <t>Administrateur DMQ</t>
  </si>
  <si>
    <t>Administrador de DMQ</t>
  </si>
  <si>
    <t>إدارة DMQ</t>
  </si>
  <si>
    <t>contacthome</t>
  </si>
  <si>
    <t>russian</t>
  </si>
  <si>
    <t>chinese</t>
  </si>
  <si>
    <t>spanish</t>
  </si>
  <si>
    <t>arabic</t>
  </si>
  <si>
    <t>french</t>
  </si>
  <si>
    <t>english</t>
  </si>
  <si>
    <t>contactform</t>
  </si>
  <si>
    <t>Database entries</t>
  </si>
  <si>
    <t>Entradas de la base de datos</t>
  </si>
  <si>
    <t>contacts</t>
  </si>
  <si>
    <t>Contacts</t>
  </si>
  <si>
    <t>Contactos de la sociedades nacionales</t>
  </si>
  <si>
    <t>esfadmin</t>
  </si>
  <si>
    <t>ESF Admin</t>
  </si>
  <si>
    <t>ESF Administrateur</t>
  </si>
  <si>
    <t>ESF Administrador</t>
  </si>
  <si>
    <t>ESF مسؤل</t>
  </si>
  <si>
    <t>nsiaadmin</t>
  </si>
  <si>
    <t>NSIA Admin</t>
  </si>
  <si>
    <t>NSIA Administrateur</t>
  </si>
  <si>
    <t>NSIA Administrador</t>
  </si>
  <si>
    <t>NSIA مسؤل</t>
  </si>
  <si>
    <t>riskassessmentfocalperson</t>
  </si>
  <si>
    <t>Risk Assessment Focal Person Administration</t>
  </si>
  <si>
    <t>Administration de la personne focale chargée de l'évaluation des risques</t>
  </si>
  <si>
    <t xml:space="preserve">Administración de la persona de enlace para evaluación de riesgos </t>
  </si>
  <si>
    <t>إدارة منسق تقييم المخاطر</t>
  </si>
  <si>
    <t>riskassessment</t>
  </si>
  <si>
    <t>Risk Assessment</t>
  </si>
  <si>
    <t>Évaluation des risques</t>
  </si>
  <si>
    <t>Evaluación de riesgos</t>
  </si>
  <si>
    <t>تقييم المخاطر</t>
  </si>
  <si>
    <t>capacityreviewfocalperson</t>
  </si>
  <si>
    <t>Capacity Review Focal Person Administration</t>
  </si>
  <si>
    <t>Administration de la personne focale chargée de l'évaluation des capacités</t>
  </si>
  <si>
    <t>Administración de la persona de enlace para l'examen de capacidades</t>
  </si>
  <si>
    <t>إدارة منسق استعراض القدرات</t>
  </si>
  <si>
    <t>capacityreview</t>
  </si>
  <si>
    <t>Capacity Review</t>
  </si>
  <si>
    <t>Évaluation des capacités</t>
  </si>
  <si>
    <t>Análisis de capacidades</t>
  </si>
  <si>
    <t>استعراض القدرات</t>
  </si>
  <si>
    <t>dmqform</t>
  </si>
  <si>
    <t>DM QuickScan form</t>
  </si>
  <si>
    <t>Formulario de DM QuickScan</t>
  </si>
  <si>
    <t>إستمارة المسح السريع</t>
  </si>
  <si>
    <t>dmq</t>
  </si>
  <si>
    <t>DM QuickScan</t>
  </si>
  <si>
    <t>المسح السريع</t>
  </si>
  <si>
    <t>userlog</t>
  </si>
  <si>
    <t>Global User Analytics</t>
  </si>
  <si>
    <t>Analyse des utilisateurs au niveau mondial</t>
  </si>
  <si>
    <t>Estadísticas mundiales sobre usuarios</t>
  </si>
  <si>
    <t>تحليلات المستخدمين العالمية</t>
  </si>
  <si>
    <t>usermanagement</t>
  </si>
  <si>
    <t>Actif</t>
  </si>
  <si>
    <t>Activo</t>
  </si>
  <si>
    <t>نشط</t>
  </si>
  <si>
    <t>hasroles</t>
  </si>
  <si>
    <t>Has roles</t>
  </si>
  <si>
    <t>A des rôles</t>
  </si>
  <si>
    <t>Desempeña funciones</t>
  </si>
  <si>
    <t>له أدوار</t>
  </si>
  <si>
    <t>agegroup</t>
  </si>
  <si>
    <t>Age group</t>
  </si>
  <si>
    <t>Tranche d'âge</t>
  </si>
  <si>
    <t>Grupo de edad</t>
  </si>
  <si>
    <t>فئة العمر</t>
  </si>
  <si>
    <t>total</t>
  </si>
  <si>
    <t>unknownsex</t>
  </si>
  <si>
    <t>Unknown</t>
  </si>
  <si>
    <t>Inconnu</t>
  </si>
  <si>
    <t>Información desconocida</t>
  </si>
  <si>
    <t>othersex</t>
  </si>
  <si>
    <t>Non-binary</t>
  </si>
  <si>
    <t>Non binaire</t>
  </si>
  <si>
    <t>No binario</t>
  </si>
  <si>
    <t>forallagedisaggregationfemale</t>
  </si>
  <si>
    <t>نساء</t>
  </si>
  <si>
    <t>forallagedisaggregationmale</t>
  </si>
  <si>
    <t>رجال</t>
  </si>
  <si>
    <t>zone</t>
  </si>
  <si>
    <t>region</t>
  </si>
  <si>
    <t>fdrslinkname</t>
  </si>
  <si>
    <t>FDRS frontend</t>
  </si>
  <si>
    <t>esflist</t>
  </si>
  <si>
    <t>esfform</t>
  </si>
  <si>
    <t>esf</t>
  </si>
  <si>
    <t>ESF</t>
  </si>
  <si>
    <t>backofficetitle</t>
  </si>
  <si>
    <t>Databank</t>
  </si>
  <si>
    <t>copyright</t>
  </si>
  <si>
    <t>home</t>
  </si>
  <si>
    <t>contactus</t>
  </si>
  <si>
    <t>Contact us</t>
  </si>
  <si>
    <t>bocabutton3</t>
  </si>
  <si>
    <t>BOCA DATA ENTRY &amp; MANAGEMENT *</t>
  </si>
  <si>
    <t>bocabutton2</t>
  </si>
  <si>
    <t>NS DATA &amp; ANALYSIS *</t>
  </si>
  <si>
    <t>bocabutton1</t>
  </si>
  <si>
    <t>GLOBAL AND REGIONAL DATA &amp; ANALYSIS</t>
  </si>
  <si>
    <t>bocadesc</t>
  </si>
  <si>
    <t>bocatitle</t>
  </si>
  <si>
    <t>accessrestricted</t>
  </si>
  <si>
    <t>ocacbutton3</t>
  </si>
  <si>
    <t>OCAC DATA ENTRY &amp; MANAGEMENT *</t>
  </si>
  <si>
    <t>ocacbutton2</t>
  </si>
  <si>
    <t>ocacbutton1</t>
  </si>
  <si>
    <t>ocacdesc</t>
  </si>
  <si>
    <t>ocactitle</t>
  </si>
  <si>
    <t>fdrsbutton</t>
  </si>
  <si>
    <t>GO TO FDRS</t>
  </si>
  <si>
    <t>fdrsdesc</t>
  </si>
  <si>
    <t>fdrstitle</t>
  </si>
  <si>
    <t>mainsubtitle</t>
  </si>
  <si>
    <t>Data.ifrc.org is a website for data covering National Red Cross and Red Crescent Societies. Visit regularly to get the most up to date numbers!</t>
  </si>
  <si>
    <t>maintitleraw</t>
  </si>
  <si>
    <t>login</t>
  </si>
  <si>
    <t>all</t>
  </si>
  <si>
    <t>shortlanguagecode</t>
  </si>
  <si>
    <t>ع</t>
  </si>
  <si>
    <t>s5</t>
  </si>
  <si>
    <t>Oriente Medio y El Norte de África</t>
  </si>
  <si>
    <t>الشرق الأوسط و شمال أفريقيا</t>
  </si>
  <si>
    <t>s4</t>
  </si>
  <si>
    <t>Europe et Asie centrale</t>
  </si>
  <si>
    <t>أوروبا وآسيا الوسطى</t>
  </si>
  <si>
    <t>s3</t>
  </si>
  <si>
    <t>Asie et Pacifique</t>
  </si>
  <si>
    <t>أسيا و المحيط الهادي</t>
  </si>
  <si>
    <t>s2</t>
  </si>
  <si>
    <t>s1</t>
  </si>
  <si>
    <t>nso_region</t>
  </si>
  <si>
    <t>sp4</t>
  </si>
  <si>
    <t>&lt;empty&gt;</t>
  </si>
  <si>
    <t>nsiaform</t>
  </si>
  <si>
    <t>nsialist</t>
  </si>
  <si>
    <t>nsia</t>
  </si>
  <si>
    <t>NSIA</t>
  </si>
  <si>
    <t>crraformmanager</t>
  </si>
  <si>
    <t>Form Manager</t>
  </si>
  <si>
    <t>Gestionnaire de formulaires</t>
  </si>
  <si>
    <t>Gestor de formularios</t>
  </si>
  <si>
    <t>المسؤول عن الاستمارة</t>
  </si>
  <si>
    <t>crraform</t>
  </si>
  <si>
    <t>Formulario</t>
  </si>
  <si>
    <t>الاستمارة</t>
  </si>
  <si>
    <t>crra</t>
  </si>
  <si>
    <t>CRRA</t>
  </si>
  <si>
    <t>applicationadmin</t>
  </si>
  <si>
    <t>Tableau de bord</t>
  </si>
  <si>
    <t>Panel de control</t>
  </si>
  <si>
    <t>جدول المتابعة</t>
  </si>
  <si>
    <t>publicationadmin</t>
  </si>
  <si>
    <t>translationadmin</t>
  </si>
  <si>
    <t>Translations</t>
  </si>
  <si>
    <t>Traductions</t>
  </si>
  <si>
    <t>Traducciones</t>
  </si>
  <si>
    <t>الترجمات</t>
  </si>
  <si>
    <t>useradmin</t>
  </si>
  <si>
    <t>User Admin</t>
  </si>
  <si>
    <t>Utilisateur (administrateur)</t>
  </si>
  <si>
    <t>Administrador de usuarios</t>
  </si>
  <si>
    <t>مسؤول المستخدمين</t>
  </si>
  <si>
    <t>fdrs</t>
  </si>
  <si>
    <t>peopletraineddescriptionlong</t>
  </si>
  <si>
    <t>Personas que han superado al menos un curso de formación en primeros auxilios, impartido o facilitado por la Sociedad Nacional que aporta información, (sea cual fuere el nivel, ya sea presencial o en línea) durante el año objeto de informe.</t>
  </si>
  <si>
    <t>peopletraineddescriptionshort</t>
  </si>
  <si>
    <t>People who have completed at least one first aid course led or facilitated by the reporting National Society (at any level, either online or face to face) during the Reporting Year.</t>
  </si>
  <si>
    <t>Il s’agit du nombre de personnes ayant suivi au moins un cours de secourisme (quel que soit le niveau, en ligne ou en présentiel) organisé ou facilité par la Société pendant les douze mois considérés.</t>
  </si>
  <si>
    <t>Personas que han superado al menos un curso de formación en primeros auxilios, impartido o facilitado por la Sociedad Nacional que aporta información</t>
  </si>
  <si>
    <t>عدد الأشخاص الذين استكملوا دورة تدريبية واحدة على الأقل في مجال الإسعافات الأولية نظمتها أو سهلتها الجمعية الوطنية المُبلِّغة على أي مستوى خلال سنة الإبلاغ، سواء من خلال الانترنت أو داخل قاعة دراسة.</t>
  </si>
  <si>
    <t>blooddonationdescriptionlong</t>
  </si>
  <si>
    <t>Personas que han donado sangre, al menos una vez durante el período sujeto a examen, en un centro de donación de sangre, banco de sangre, o establecimientos similares, que pertenezcan a la Sociedad Nacional o que estén administrados por esta.</t>
  </si>
  <si>
    <t>blooddonationdescriptionshort</t>
  </si>
  <si>
    <t>People who have donated blood at a blood donation centre / blood bank or similar, owned or run by the reporting National Society at least once during the Reporting Year</t>
  </si>
  <si>
    <t>Il s’agit des personnes ayant donné du sang dans un centre de don de sang/une banque de sang ou un établissement similaire appartenant à la Société nationale ou géré par elle au moins une fois durant la période considérée.</t>
  </si>
  <si>
    <t>Personas que han donado sangre, al menos una vez durante el período sujeto a examen, en un centro de donación de sangre, banco de sangre</t>
  </si>
  <si>
    <t>عدد الأشخاص الذين تبرعوا بالدم مرة واحدة على الأقل خلال سنة الإبلاغ، في مركز للتبرع بالدم/ بنك للدم أو ما شابه ذلك، تمتلكه الجمعية الوطنية المُبلِّغة أو تديره الجمعية الوطنية المُبلِّغة.</t>
  </si>
  <si>
    <t>climate_treesdescriptionlong</t>
  </si>
  <si>
    <t>Actions to protect, sustainably manage, and restaure natural or modified ecosystems, that address societal challenges effectively and adaptively, simultaneously providing human well-being and biodiversity benefits needed. This includes ecosystem-based DRR (sustainable management, conservation and restoration of ecosystems to provide services that reduce disaster risk by mitigating hazards and by increasing livelihood resilience). And ecosystem-based adaptation (a nature-based solution that harnesses biodiversity and ecosystem services to reduce vulnerability and build resilience to climate change).</t>
  </si>
  <si>
    <t>Actions visant à protéger, à gérer durablement et à restaurer les écosystèmes naturels ou modifiés, qui répondent aux défis sociétaux de façon efficace et adaptative, tout en étant bénéfiques pour le bien-être humain et la biodiversité . Ces actions englobent la réduction des risques de catastrophe (gestion durable, conservation et restauration des écosystèmes afin de réduire les risques de catastrophe et d’aléa et de renforcer la résilience des moyens de subsistance). Elles comprennent également l’adaptation écosystémique (une solution fondée sur la nature qui tire parti de la biodiversité et des services écosystémiques pour réduire la vulnérabilité et renforcer la résilience face aux changements climatiques).</t>
  </si>
  <si>
    <t>Medidas encaminadas a proteger, gestionar de forma sostenible y restaurar ecosistemas naturales o alterados, que abordan los desafíos sociales de manera eficaz y flexible y generan al mismo tiempo beneficios en materia de bienestar humano y de biodiversidad.  Se incluye aquí la adopción de medidas de reducción del riesgo de desastres basadas en los ecosistemas (gestión sostenible, conservación y restauración de ecosistemas con vistas a la prestación de servicios que reduzcan el riesgo de desastres mediante la mitigación de las amenazas y el fomento de la resiliencia de los medios de vida),así como medidas de adaptación basadas en los ecosistemas (soluciones basadas en la naturaleza que canalicen diversos servicios ligados a la biodiversidad y los ecosistemas a fin de reducir la vulnerabilidad y fomentar la resiliencia frente al cambio climático).</t>
  </si>
  <si>
    <t>migration_favourdescriptionlong</t>
  </si>
  <si>
    <t>The NS has undertaken a process to identify and analyse the needs of migrants, displaced people and other people affected by migration and/or displacement.</t>
  </si>
  <si>
    <t>La Société nationale a engagé un processus visant à mettre en évidence et à analyser les besoins des migrants, des personnes déplacées et d’autres personnes touchées par la migration et/ou le déplacement.</t>
  </si>
  <si>
    <t>La Sociedad Nacional ha llevado a cabo un proceso de identificación y análisis de las necesidades de los migrantes, los desplazados y otras personas afectadas por la migración y/o el desplazamiento.</t>
  </si>
  <si>
    <t>healthdescriptionshort</t>
  </si>
  <si>
    <t>Health activities directly protect and promote the health of the population they serve, from health promotion to prevention, diagnosis, treatment, rehabilitation, palliative care, acute care and long-term care services.</t>
  </si>
  <si>
    <t>Les activités de santé contribuent directement à la protection et la promotion de la santé de la population.</t>
  </si>
  <si>
    <t>Mediante las actividades sanitarias se protege y se fomenta de manera directa la salud de la población destinataria;</t>
  </si>
  <si>
    <t>healthdescriptionlong</t>
  </si>
  <si>
    <t>Les activités de santé contribuent directement à la protection et la promotion de la santé de la population. Elles vont de la promotion de la santé à la prévention, en passant par le diagnostic, le traitement, le relèvement, les soins palliatifs, les soins intensifs et les services de soins à long terme.</t>
  </si>
  <si>
    <t>Mediante las actividades sanitarias se protege y se fomenta de manera directa la salud de la población destinataria; estas incluyen entre otros, la promoción de la salud y de medidas preventivas, el diagnóstico, el tratamiento, la rehabilitación, los cuidados paliativos, la atención en caso de enfermedades agudas y servicios de asistencia a largo plazo.</t>
  </si>
  <si>
    <t>readmore</t>
  </si>
  <si>
    <t>Read more...</t>
  </si>
  <si>
    <t>lire plus...</t>
  </si>
  <si>
    <t>leer más...</t>
  </si>
  <si>
    <t>financereportingcurrencydescriptionshort</t>
  </si>
  <si>
    <t>The reporting currency is in accordance with the International Organization for Standardization (ISO) codes. The National Society decides in which currency it will report its financial figures. Usually, this is the same currency for all its financial data including its financial statements.</t>
  </si>
  <si>
    <t>financereportingcurrencydescriptionlong</t>
  </si>
  <si>
    <t>The reporting currency is in accordance with the International Organization for Standardization (ISO) codes. The National Society decides in which currency it will report its financial figures. Usually, this is the same currency for all its financial data including its financial statements.   &lt;br&gt;The total income is the fiscal value of money, material goods, and services received by the reporting National Society during the Reporting Year, from any source, excluding internal transfers within the reporting National Society. &lt;br&gt;The total expenditure is the fiscal value of money, material goods, and services which the Reporting National Society spends during the Reporting Year, excluding internal transfers within the reporting National Society.</t>
  </si>
  <si>
    <t>Monnaie de compte, selon les codes de l’Organisation internationale de normalisation (ISO). La Société nationale décide de la monnaie dans laquelle elle soumettra ses données financières – généralement il s’agit de la monnaie utilisée pour tous ses rapports financiers, dont ses états financiers.</t>
  </si>
  <si>
    <t>La moneda, de conformidad con los códigos de la Organización Internacional de la Normalización (ISO). La Sociedad Nacional determina la moneda en la que expresa sus cifras financieras –suele ser idéntica para toda la información financiera, con inclusión de los estados financieros.</t>
  </si>
  <si>
    <t>رمز العملة، وفقاً لرموز المنظمة الدولية للتوحيد القياسي (أيزو)، وللجمعية الوطنية أن تقرر عملة الإبلاغ عن بياناتها المالية-وعادة ما تكون هي ذاتها العملة المستخدمة في جميع بياناتها المالية بما في ذلك تقاريرها المالية.</t>
  </si>
  <si>
    <t>climateheatdescriptionlong</t>
  </si>
  <si>
    <t>Heatwave risk reduction and preparedness refers to reducing risks related to heatwaves. Heatwave response includes taking actions during a heatwave</t>
  </si>
  <si>
    <t>climate_plasticdescriptionlong</t>
  </si>
  <si>
    <t>Climate campaigns aim to promote behaviours both by individuals and society to reduce greenhouse gas emissions and adapt and protect themselves and their societies from the impacts of climate change. Environmental campaigns aim to promote public behaviour change to reduce pollution, biodiversity loss and ecosystem degradation. Campaigns refers to a process that promotes and supports positive behaviour change related to a problem/issue. It goes through several stages, from learning about the problem, having a positive opinion about a change of behaviour to tackle the problem, developing an intention to change behaviour incorporating the new behaviour into one’s habits and finally promoting this behaviour to others.</t>
  </si>
  <si>
    <t>Les campagnes de sensibilisation au climat visent à encourager les individus et les sociétés à adopter des comportements qui réduisent les émissions de gaz à effet de serre, à s’adapter, à se protéger et à protéger leurs sociétés des conséquences des changements climatiques. Les campagnes de sensibilisation à l’environnement visent à encourager le public à changer de comportement pour réduire la pollution, la perte de biodiversité et la dégradation des écosystèmes. Le terme « campagnes » fait référence à un processus qui encourage et soutient un changement de comportement positif à l’égard d’un problème/d’une question. Le processus se déroule en plusieurs phases : la personne acquiert des connaissances sur le problème, a une opinion positive du changement de comportement nécessaire pour régler le problème, nourrit l’intention de changer de comportement, incorpore le nouveau comportement dans ses habitudes et, enfin, encourage ce comportement auprès d’autres personnes.</t>
  </si>
  <si>
    <t>climatedescriptionlong</t>
  </si>
  <si>
    <t>Programs that reduce risks and vulnerability to climate-related shocks, stresses and longer-term changes, such as climate change adaptation, disaster risk reduction and anticipatory action.  Climate change adaptation (CCA) refers to actions that reduce the negative impacts of the current and predicted future impacts of climate change, while taking advantage of potential new opportunities. For humanitarian organizations, this most often means working to decrease the harm that the changing climate may pose to people. Disaster risk reduction (DRR) and anticipatory action refer to efforts to reduce the exposure of people and communities to risks that might arise from disasters and preventing the negative impacts of disasters before they are felt.</t>
  </si>
  <si>
    <t>Il s’agit des programmes qui visent à réduire les risques et la vulnérabilité face aux chocs climatiques, aux tensions et aux changements à long terme, tels que les programmes d’adaptation aux changements climatiques, les programmes de réduction des risques de catastrophe et l’action anticipative. L’adaptation aux changements climatiques fait référence aux mesures qui sont prises pour réduire les conséquences négatives actuelles et prévues de ces changements, tout en mettant à profit les opportunités nouvelles potentielles. Pour les organisations humanitaires, cela signifie, le plus souvent, s’employer à réduire les dommages que les changements climatiques peuvent causer aux personnes. La réduction des risques de catastrophe et l’action anticipative font référence aux efforts déployés pour réduire l’exposition des personnes et des communautés aux risques qui peuvent résulter des catastrophes et pour prévenir les effets négatifs des catastrophes avant qu’ils ne soient ressentis.</t>
  </si>
  <si>
    <t>Programas dirigidos a reducir los riesgos y la vulnerabilidad ante perturbaciones, tensiones y cambios a largo plazo vinculados al clima, por ejemplo mediante medidas de adaptación al cambio climático, reducción del riesgo de desastres y acción anticipada. La adaptación al cambio climático consiste en la aplicación de medidas que reducen las actuales consecuencias negativas del cambio climático y preparan para sus previsibles efectos futuros, al mismo tiempo que se aprovecha la eventual aparición de nuevas oportunidades. En el caso de las organizaciones humanitarias, esta labor suele consistir en una reducción de los eventuales perjuicios que el cambio climático genera a las personas. La reducción del riesgo de desastres y la acción anticipada consisten en la aplicación de medidas encaminadas a reducir la exposición de las personas y las comunidades a los eventuales riesgos que pueden generar los desastres, así como a prevenir los efectos negativos de estos antes de que se dejen sentir.</t>
  </si>
  <si>
    <t>socialinclusiondescriptionlong</t>
  </si>
  <si>
    <t>PGI activities seek to prevent, respond and mitigate the causes, risks and consequences of all forms of violence, discrimination and exclusion.  General categories of activities are based on the PGI Policy and Operational Framework (forthcoming). These include activities with a specific focus on addressing violence, discrimination and exclusion. Note that many activities address all three categories, with a particular focus.</t>
  </si>
  <si>
    <t>Les activités axées sur la protection, l’égalité de genre et l’inclusion visent à prévenir, à atténuer et à traiter les causes, les risques et les conséquences de toutes les formes de violence de discrimination et d’exclusion. Les catégories générales d’activités sont fondées sur le cadre stratégique et opérationnel relatif à la protection, l’égalité de genre et à l’inclusion (à paraître). Elles couvrent les activités axées spécifiquement sur la lutte contre la violence, la discrimination et l’exclusion. Il convient de noter que beaucoup d’activités relèvent des trois catégories, dans lesquelles elles sont envisagées sous des angles différents.</t>
  </si>
  <si>
    <t>Las actividades de protección, género e inclusión tienen por objetivo prevenir y mitigar las causas, los riesgos y las consecuencias de la violencia, la discriminación y la exclusión en todas sus formas, así como intervenir ante tales actos. Las categorización general de las actividades se basa en el marco operativo y de políticas sobre protección, género e inclusión (de próxima publicación). Se incluyen actividades dirigidas específicamente a abordar la violencia, la discriminación y la exclusión. Cabe tener en cuenta que en muchos casos las actividades abarcan las tres categorías, con un énfasis particular en una de ellas.</t>
  </si>
  <si>
    <t>immunisationhealthdescriptionlong</t>
  </si>
  <si>
    <t>People who have been reached by Red Cross and Red Crescent National Societies with life-saving vaccines. Immunization is a critical entry point for primary health care and investing in immunization saves lives, strengthens health systems, ensures health security and advances universal health coverage. This indicator includes any immunization related activities for vaccine preventable diseases.</t>
  </si>
  <si>
    <t>Personnes qui, par l’intermédiaire des Sociétés nationales de la Croix-Rouge et du Croissant-Rouge, ont eu accès aux vaccins vitaux. La vaccination est un point d’entrée stratégique pour les soins de santé primaires. L’investissement dans la santé sauve des vies, renforce les systèmes de santé, garantit la sécurité sanitaire et favorise l’instauration de la couverture sanitaire universelle. Cet indicateur englobe toutes les activités liées à la vaccination contre les maladies à prévention vaccinale.</t>
  </si>
  <si>
    <t>Beneficiarios de los programas vitales de vacunación llevados a cabo por las organizaciones de la Cruz Roja y de la Media Luna Roja. La inmunización es un punto de partida crucial en la atención de salud primaria y la inversión en este ámbito salva vidas, fortalece los sistemas sanitarios, garantiza la seguridad sanitaria y promueve la cobertura sanitaria universal. Este indicador abarca todas las actividades relacionadas con la inmunización frente a enfermedades prevenibles mediante vacunación.</t>
  </si>
  <si>
    <t>shelterdescriptionlong</t>
  </si>
  <si>
    <t>Shelter services and assistance are provided before, during, and after a disaster in order to meet the accommodation and settlement needs of affected people, to reduce their accommodation and settlement risks and to strengthen their safety, well-being and longer term recovery.</t>
  </si>
  <si>
    <t>Les services et l’assistance dans le domaine du logement sont fournis avant, pendant et après une catastrophe afin de répondre aux besoins existants en matière de logement et d’établissements humains, de réduire les risques auxquels les personnes touchées sont confrontées et d’améliorer leur sécurité, leur bien-être et le relèvement à long terme.</t>
  </si>
  <si>
    <t>Servicios de alojamiento provisional y de emergencia y asistencia que se prestan antes, durante y después de un desastre, a fin atender las necesidades de las personas afectadas en cuanto a alojamiento y asentamiento, reducir los riesgos a ese respecto, y fortalecer las condiciones de seguridad, bienestar y recuperación a largo plazo.</t>
  </si>
  <si>
    <t>تقدم خدمات المأوى والمساعدة قبل الكارثة وأثناءها وبعدها من أجل تلبية الاحتياجات المتعلقة بالمأوى والتوطّن للأشخاص المتضررين من الكارثة، والحد من المخاطر في هذا الصدد وتعزيز تمتعهم بالأمن والرفاه والانتعاش في المدى الأطول.</t>
  </si>
  <si>
    <t>paidstaffdescriptionlong</t>
  </si>
  <si>
    <t>People who are contracted by the Reporting National Society for a minimum of three months in total during the Reporting Year and are either remunerated for their work or are interns.</t>
  </si>
  <si>
    <t>Personas que, durante al menos tres meses del año objeto de informe, han trabajado bajo contrato a cambio de una remuneración, o han realizado una pasantía con la Sociedad Nacional.</t>
  </si>
  <si>
    <t>الأشخاص المتعاقدون مع الجمعية الوطنية المُبلِّغة لمدة لا تقل عن 3 أشهر في مجملها خلال سنة الإبلاغ، ويتقاضون أجوراً لقاء عملهم أو أنهم متدربون.</t>
  </si>
  <si>
    <t>volunteeringtimedescriptionshort</t>
  </si>
  <si>
    <t>People that have given their time voluntarily to support the delivery of services of the reporting National Society for at least four hours during the Reporting Year.</t>
  </si>
  <si>
    <t>Personnes ayant travaillé au moins quatre heures comme volontaires pendant les douze mois considérés pour soutenir la fourniture de services de la Société nationale.</t>
  </si>
  <si>
    <t>Personas que han cedido al menos cuatro horas de su tiempo a título voluntario para apoyar la prestación de servicios de la Sociedad Nacional que aporta información, durante el periodo concernido.</t>
  </si>
  <si>
    <t>الأشخاص الذين تطوعوا لدعم تنفيذ الخدمات لدى الجمعية الوطنية المُبلِّغة لمدة لا تقل عن 4 ساعات خلال سنة الإبلاغ.</t>
  </si>
  <si>
    <t>immunisationhealthdescriptionshort</t>
  </si>
  <si>
    <t>People who have been reached by Red Cross and Red Crescent National Societies with life-saving vaccines.</t>
  </si>
  <si>
    <t>Personnes qui, par l’intermédiaire des Sociétés nationales de la Croix-Rouge et du Croissant-Rouge, ont eu accès aux vaccins vitaux.</t>
  </si>
  <si>
    <t>Beneficiarios de los programas vitales de vacunación llevados a cabo por las organizaciones de la Cruz Roja y de la Media Luna Roja</t>
  </si>
  <si>
    <t>paidstaffdescriptionshort</t>
  </si>
  <si>
    <t>People who are contracted by the Reporting National Society for a minimum of three months in total during the Reporting Year</t>
  </si>
  <si>
    <t>Il s’agit des personnes ayant travaillé au moins trois mois pendant les douze mois considérés pour la Société nationale en étant rémunérées ou en tant que stagiaires.</t>
  </si>
  <si>
    <t>Personas que, durante al menos tres meses del año objeto de informe, han trabajado bajo contrato a cambio de una remuneración</t>
  </si>
  <si>
    <t>shelterdescriptionshort</t>
  </si>
  <si>
    <t>Shelter services and assistance are provided before, during, and after a disaster</t>
  </si>
  <si>
    <t>Les services et l’assistance dans le domaine du logement sont fournis avant, pendant et après une catastrophe afin de répondre aux besoins existants en matière de logement et d’établissements humains</t>
  </si>
  <si>
    <t>Servicios de alojamiento provisional y de emergencia y asistencia que se prestan antes, durante y después de un desastre</t>
  </si>
  <si>
    <t>socialinclusiondescriptionshort</t>
  </si>
  <si>
    <t>PGI activities seek to prevent, respond and mitigate the causes, risks and consequences of all forms of violence, discrimination and exclusion.</t>
  </si>
  <si>
    <t>Les activités axées sur la protection, l’égalité de genre et l’inclusion visent à prévenir, à atténuer et à traiter les causes, les risques et les conséquences de toutes les formes de violence de discrimination et d’exclusion.</t>
  </si>
  <si>
    <t>Las actividades de protección, género e inclusión tienen por objetivo prevenir y mitigar las causas, los riesgos y las consecuencias de la violencia, la discriminación y la exclusión en todas sus formas,</t>
  </si>
  <si>
    <t>volunteeringtimedescriptionlong</t>
  </si>
  <si>
    <t>People that have given their time voluntarily to support the delivery of services of the reporting National Society for at least four hours during the Reporting Year. This includes young people and/or participants in youth programmes, while it excludes blood donors, who are counted separately.</t>
  </si>
  <si>
    <t>Personnes ayant travaillé au moins quatre heures comme volontaires pendant les douze mois considérés pour soutenir la fourniture de services de la Société nationale. Cette catégorie comprend les jeunes et/ou les participants aux programmes jeunesse, mais pas les donneurs de sang, qui sont comptabilisés séparément.</t>
  </si>
  <si>
    <t>Personas que han cedido al menos cuatro horas de su tiempo a título voluntario12 para apoyar la prestación de servicios de la Sociedad Nacional que aporta información, durante el periodo concernido. Se incluye aquí a las personas jóvenes y/o participantes en programas de juventud, pero se excluye a los donantes de sangre, que se contabilizarán por separado</t>
  </si>
  <si>
    <t>climatedescription</t>
  </si>
  <si>
    <t>migration_favourdescription</t>
  </si>
  <si>
    <t>dmqsubcategory</t>
  </si>
  <si>
    <t>closingquestions</t>
  </si>
  <si>
    <t>documentlist_public_column</t>
  </si>
  <si>
    <t>climate_plasticdescriptionshort</t>
  </si>
  <si>
    <t>Climate campaigns aim to promote behaviours</t>
  </si>
  <si>
    <t>Les campagnes de sensibilisation au climat visent à encourager les individus</t>
  </si>
  <si>
    <t>Las campañas climáticas aspiran a promover cambios de comportamiento</t>
  </si>
  <si>
    <t>climate_plasticdescription</t>
  </si>
  <si>
    <t>Las campañas climáticas aspiran a promover cambios de comportamiento entre las personas y en la sociedad con el objetivo de reducir las emisiones de gases de efecto invernadero y promover la adaptación a los efectos del cambio climático. Las campañas medioambientales buscan promover un cambio de comportamiento público a fin de reducir la contaminación, el deterioro de la biodiversidad y la degradación de los ecosistemas. Estas campañas consisten en procesos de promoción y apoyo de cambios de comportamiento positivos con relación a problemas o cuestiones concretos. Se componen de varias fases, a saber: la identificación del problema, la predisposición a realizar un cambio de comportamiento para hacer frente al problema, la materialización del cambio de comportamiento mediante la incorporación de nuevos hábitos y, por último, la promoción del cambio de comportamiento entre otras personas.</t>
  </si>
  <si>
    <t>weprovidebutzeros</t>
  </si>
  <si>
    <t>We do provide this service but do not have the data available</t>
  </si>
  <si>
    <t>Nous fournissons ce service, mais n'avons pas de données disponibles le concernant.</t>
  </si>
  <si>
    <t>Prestamos este servicio, pero no disponemos de los datos</t>
  </si>
  <si>
    <t>wedonthavethis2</t>
  </si>
  <si>
    <t>We do not collect data for this indicator</t>
  </si>
  <si>
    <t>Nous ne collectons pas de données sur cet indicateur.</t>
  </si>
  <si>
    <t>No recopilamos datos respecto de este indicador</t>
  </si>
  <si>
    <t>valuesprotectioninclusion</t>
  </si>
  <si>
    <t>VALUES, PROTECTION AND INCLUSION</t>
  </si>
  <si>
    <t>VALEURS, PROTECTION ET INCLUSION</t>
  </si>
  <si>
    <t xml:space="preserve">VALORES, PROTECCIÓN E INCLUSIÓN </t>
  </si>
  <si>
    <t>غير معروف</t>
  </si>
  <si>
    <t>migration_favourdescriptionshort</t>
  </si>
  <si>
    <t>The NS has undertaken a process to identify and analyse the needs of migrants</t>
  </si>
  <si>
    <t>La Société nationale a entrepris un processus visant à identifier et à analyer les besoins des migrants</t>
  </si>
  <si>
    <t>La Sociedad Nacional ha llevado a cabo un proceso de identificación</t>
  </si>
  <si>
    <t>digitaltechnology</t>
  </si>
  <si>
    <t>_datamustbefilled</t>
  </si>
  <si>
    <t>Table must be filled in or \“We do not collect data for this indicator\” must be selected for</t>
  </si>
  <si>
    <t>Le tableau doit être rempli pour cet indicateur ou la mention \"Nous ne collectons pas de données sur cet indicateur\" doit être sélectionnée.</t>
  </si>
  <si>
    <t>Se debe rellenar el cuadro de o elegir \"No recopilamos datos respecto de este indicador\"</t>
  </si>
  <si>
    <t>_receivedfromnsnofilled</t>
  </si>
  <si>
    <t>Received income from other National Societes. Please select at least one National Society from the &lt;b&gt;received support list&lt;/b&gt;.</t>
  </si>
  <si>
    <t>Soutien reçu de Sociétés nationales. Veuillez sélectionner au moins une Société nationale dans la &lt;b&gt; liste des soutiens reçus &lt;b&gt;.</t>
  </si>
  <si>
    <t>Ingresos recibidos de otras Sociedades Nacionales. Elija por lo menos una Sociedad Nacionlaes de la &lt;b&gt;lista de las que han recibido apoyo&lt;/b&gt;.</t>
  </si>
  <si>
    <t>migration_integratedplandescriptionshort</t>
  </si>
  <si>
    <t>Programmes and activities take the needs and vulnerabilities</t>
  </si>
  <si>
    <t>Les programmes et activités qui tiennent compte des besoins et des vulnérabilités des migrants</t>
  </si>
  <si>
    <t>Los programas y las actividades tienen en cuenta las necesidades y la vulnerabilidad de las personas</t>
  </si>
  <si>
    <t>migration_integratedplandescription</t>
  </si>
  <si>
    <t>Programmes and activities take the needs and vulnerabilities of migrants and displaced people into account, ensuring that all services are accessible to them, irrespective of their legal status.   The NS has dedicated programming for migrants and displaced people, irrespective of their legal status.</t>
  </si>
  <si>
    <t xml:space="preserve">Les programmes et les activités prennent en compte les besoins et les vulnérabilités des migrants et des personnes déplacées, et il est fait en sorte que tous les services soient accessibles à ces personnes, quel que soit leur statut juridique. La Société nationale mène des activités en faveur des migrants et des personnes déplacées, quel que soit leur statut juridique. </t>
  </si>
  <si>
    <t xml:space="preserve">Los programas y las actividades tienen en cuenta las necesidades y la vulnerabilidad de las personas migrantes y desplazadas, y garantizan que todos los servicios sean accesibles para ellas, independientemente de su condición jurídica. La Sociedad Nacional cuenta con programas específicos para las personas migrantes y desplazadas, independientemente de su condición jurídica. </t>
  </si>
  <si>
    <t>digitalprocess</t>
  </si>
  <si>
    <t>Processus</t>
  </si>
  <si>
    <t>_nocurrencyselected</t>
  </si>
  <si>
    <t>Please select &lt;b&gt;Reporting currency&lt;/b&gt;!</t>
  </si>
  <si>
    <t>Veuillez sélectionner &lt;b&gt;la monnaie de compte&lt;/b&gt;!</t>
  </si>
  <si>
    <t>¡Por favor, seleccione &lt;b&gt;Moneda de referencia&lt;/b&gt;!</t>
  </si>
  <si>
    <t>immunisationhealthdescription</t>
  </si>
  <si>
    <t>watersanitationandhygienequestion</t>
  </si>
  <si>
    <t>People reached with Water, Sanitation and Hygiene (WASH) programming</t>
  </si>
  <si>
    <t>Nombre de personnes couvertes par les programmes d'eau, d'assainissement et d'hygiène</t>
  </si>
  <si>
    <t>Beneficiarios de los programas sobre agua, saneamiento e higiene</t>
  </si>
  <si>
    <t>shelterquestion</t>
  </si>
  <si>
    <t>People reached with shelter programming</t>
  </si>
  <si>
    <t>Nombre de personnes couvertes par les programmes de logement</t>
  </si>
  <si>
    <t>Beneficiarios de los programas sobre alojamiento provisional y de emergencia</t>
  </si>
  <si>
    <t>livelihoodsquestion</t>
  </si>
  <si>
    <t>People reached with livelihoods programming</t>
  </si>
  <si>
    <t>Nombre de personnes touchées par les programmes liés aux moyens de subsistance</t>
  </si>
  <si>
    <t>Beneficiarios de los programas sobre medios de vida</t>
  </si>
  <si>
    <t>healthquestion</t>
  </si>
  <si>
    <t>People reached with health programming</t>
  </si>
  <si>
    <t>Nombre de personnes couvertes par les programmes de santé</t>
  </si>
  <si>
    <t>Beneficiarios de los programas de salud</t>
  </si>
  <si>
    <t>disasterriskreductionquestion</t>
  </si>
  <si>
    <t>People reached with Disaster Risk Reduction programming</t>
  </si>
  <si>
    <t>Nombre de personnes couvertes par les programmes de réduction des risques de catastrophe</t>
  </si>
  <si>
    <t>Beneficiarios de los programas sobre reducción del riesgo de desastres</t>
  </si>
  <si>
    <t>climatedescriptionshort</t>
  </si>
  <si>
    <t>Programs that reduce risks and vulnerability to climate-related</t>
  </si>
  <si>
    <t>Il s’agit des programmes qui visent à réduire les risques et la vulnérabilité face aux chocs climatiques</t>
  </si>
  <si>
    <t>Programas dirigidos a reducir los riesgos y la vulnerabilidad ante perturbaciones, tensiones y cambios a largo plazo vinculados al clima</t>
  </si>
  <si>
    <t>climate</t>
  </si>
  <si>
    <t xml:space="preserve">Nombre de personnes couvertes par les activités visant à faire face aux risques climatiques croissants </t>
  </si>
  <si>
    <t>Beneficiarios de actividades para abordar los crecientes riesgos climáticos.</t>
  </si>
  <si>
    <t>cashtransferprogrammingquestion</t>
  </si>
  <si>
    <t>People reached with Cash Transfer programming</t>
  </si>
  <si>
    <t>Nombre de personnes couvertes par les programmes de transferts monétaires</t>
  </si>
  <si>
    <t>Beneficiarios de los programas de transferencia de dinero en efectivo</t>
  </si>
  <si>
    <t>psychosocialmentalhealth</t>
  </si>
  <si>
    <t>People reached with psychosocial and mental services</t>
  </si>
  <si>
    <t xml:space="preserve">Nombre de personnes couvertes par les services de santé mentale et de soutien psychosocial </t>
  </si>
  <si>
    <t xml:space="preserve">Beneficiarios de los servicios psicosociales y de salud mental </t>
  </si>
  <si>
    <t>immunisationhealth</t>
  </si>
  <si>
    <t>climateheat</t>
  </si>
  <si>
    <t>People reached by programmes or operations that involve heatwave risk reduction, preparedness or response</t>
  </si>
  <si>
    <t>Nombre de personnes couvertes par des programmes ou des opérations de réduction des risques de vagues de chaleur,&lt;br&gt;de préparation et d’intervention</t>
  </si>
  <si>
    <t>Beneficiarios de los programas u operaciones de reducción del riesgo, preparación preventiva&lt;br&gt;o intervención ante olas de calor.</t>
  </si>
  <si>
    <t>digitalpeople</t>
  </si>
  <si>
    <t>Personas</t>
  </si>
  <si>
    <t>rcrceducation</t>
  </si>
  <si>
    <t xml:space="preserve">Nombre de personnes couvertes par les programmes Croix-Rouge et Croissant-Rouge d’éducation </t>
  </si>
  <si>
    <t>notdisaggregated</t>
  </si>
  <si>
    <t>NOT DISAGGREGATED</t>
  </si>
  <si>
    <t>NON VENTILÉES</t>
  </si>
  <si>
    <t>NO DESGLOSADO</t>
  </si>
  <si>
    <t>onlyforpresidentandsgother</t>
  </si>
  <si>
    <t>climate_treesdescriptionshort</t>
  </si>
  <si>
    <t>Actions to protect, sustainably manage, and restaure natural</t>
  </si>
  <si>
    <t>Actions visant à protéger, à gérer durablement et à restaurer</t>
  </si>
  <si>
    <t>Medidas encaminadas a proteger, gestionar de forma sostenible</t>
  </si>
  <si>
    <t>climate_treesdescription</t>
  </si>
  <si>
    <t xml:space="preserve">Actions visant à protéger, à gérer durablement et à restaurer les écosystèmes naturels ou modifiés, qui répondent aux défis sociétaux de façon efficace et adaptative, tout en étant bénéfiques pour le bien-être humain et la biodiversité . Ces actions englobent la réduction des risques de catastrophe (gestion durable, conservation et restauration des écosystèmes afin de réduire les risques de catastrophe et d’aléa et de renforcer la résilience des moyens de subsistance). Elles comprennent également l’adaptation écosystémique (une solution fondée sur la nature qui tire parti de la biodiversité et des services écosystémiques pour réduire la vulnérabilité et renforcer la résilience face aux changements climatiques). </t>
  </si>
  <si>
    <t xml:space="preserve">Medidas encaminadas a proteger, gestionar de forma sostenible y restaurar ecosistemas naturales o alterados, que abordan los desafíos sociales de manera eficaz y flexible y generan al mismo tiempo beneficios en materia de bienestar humano y de biodiversidad.  Se incluye aquí la adopción de medidas de reducción del riesgo de desastres basadas en los ecosistemas (gestión sostenible, conservación y restauración de ecosistemas con vistas a la prestación de servicios que reduzcan el riesgo de desastres mediante la mitigación de las amenazas y el fomento de la resiliencia de los medios de vida),así como medidas de adaptación basadas en los ecosistemas (soluciones basadas en la naturaleza que canalicen diversos servicios ligados a la biodiversidad y los ecosistemas a fin de reducir la vulnerabilidad y fomentar la resiliencia frente al cambio climático). </t>
  </si>
  <si>
    <t>migrationtitle</t>
  </si>
  <si>
    <t>MIGRATION</t>
  </si>
  <si>
    <t>MIGRACIÓN</t>
  </si>
  <si>
    <t>migrationquestion</t>
  </si>
  <si>
    <t>Migrants and displaced persons reached with services for assistance and protection</t>
  </si>
  <si>
    <t xml:space="preserve">Nombre de personnes couvertes par les programmes liés à la migration </t>
  </si>
  <si>
    <t>Beneficiarios de los programas sobre migración</t>
  </si>
  <si>
    <t>psychosocialmentalhealthdescription</t>
  </si>
  <si>
    <t>Les services de santé mentale et de soutien psychosocial englobent toute forme de soutien apporté aux personnes pour protéger ou favoriser leur santé mentale et leur bien-être psychosocial.</t>
  </si>
  <si>
    <t xml:space="preserve">En el marco de la atención de salud mental y apoyo psicosocial se incluyen todas las medidas de apoyo que se brindan a las personas a fin de proteger o promover su salud mental y su bienestar psicosocial. </t>
  </si>
  <si>
    <t>howdataisdisagregated</t>
  </si>
  <si>
    <t>How is the data disaggregated?</t>
  </si>
  <si>
    <t>Comment les données sont-elles ventilées ?</t>
  </si>
  <si>
    <t>¿Cómo se desglosan los datos?</t>
  </si>
  <si>
    <t>migration_integratedplan</t>
  </si>
  <si>
    <t>Has your NS integrated migration and displacement into your strategic planning?</t>
  </si>
  <si>
    <t xml:space="preserve">Votre Société nationale a-t-elle intégré la migration et le déplacement dans sa planification stratégique ? </t>
  </si>
  <si>
    <t xml:space="preserve">¿La Sociedad Nacional ha integrado la migración y el desplazamiento en su planificación estratégica? </t>
  </si>
  <si>
    <t>climate_trees</t>
  </si>
  <si>
    <t>Has your NS implemented nature-based solutions?</t>
  </si>
  <si>
    <t xml:space="preserve">Votre Société nationale a-t-elle mis en place des solutions fondées sur la nature ? </t>
  </si>
  <si>
    <t>¿La Sociedad Nacional aplica soluciones basadas en la naturaleza?</t>
  </si>
  <si>
    <t>climate_plastic</t>
  </si>
  <si>
    <t>Has your NS implementing environmental or climate campaigns focused on behavior change?</t>
  </si>
  <si>
    <t xml:space="preserve">Votre Société nationale a-t-elle mis en œuvre des campagnes de sensibilisation à l’environnement ou au climat centrées sur les changements de comportement ? </t>
  </si>
  <si>
    <t>¿La Sociedad Nacional lleva a cabo campañas medioambientales o climáticas centradas en el cambio de comportamiento?</t>
  </si>
  <si>
    <t>migration_favour</t>
  </si>
  <si>
    <t>Has your NS conducted migration and displacement needs assessment?</t>
  </si>
  <si>
    <t>Votre Société nationale a-t-elle réalisé une évaluation des besoins en lien avec la migration et le déplacement ?</t>
  </si>
  <si>
    <t>¿La Sociedad Nacional ha realizado una evaluación de las necesidades existentes en materia de migración y desplazamiento de personas?</t>
  </si>
  <si>
    <t>viewdocuments</t>
  </si>
  <si>
    <t>Go to NS Documents</t>
  </si>
  <si>
    <t>Accéder aux documents de la Société nationale</t>
  </si>
  <si>
    <t>Ir a documentos de la Sociedad Nacional</t>
  </si>
  <si>
    <t>rcrceducationdescriptionshort</t>
  </si>
  <si>
    <t>Education programming seeks to contribute to ensuring safe, continuous and equitable access to inclusive, quality education opportunities.</t>
  </si>
  <si>
    <t>Les programmes d’éducation visent à contribuer à garantir l’accès sûr, continu et équitable à des possibilités d’éducation inclusive et de qualité.</t>
  </si>
  <si>
    <t>La formulación de programas educativos está orientada a garantizar un acceso seguro, equitativo y continuo a oportunidades de educación inclusiva y de calidad.</t>
  </si>
  <si>
    <t>disabledkpi</t>
  </si>
  <si>
    <t>Disability-selection is mandatory for</t>
  </si>
  <si>
    <t>Obligation d'indiquer si des données relatives aux personnes handicapées ont été collectées pour cet indicateur</t>
  </si>
  <si>
    <t>La selección por discapacidad es obligatoria para</t>
  </si>
  <si>
    <t>DIGITAL MATURITY ASSESSMENT</t>
  </si>
  <si>
    <t>ÉVALUATION DE LA MATURITÉ NUMÉRIQUE</t>
  </si>
  <si>
    <t>EVALUACIÓN DE LA MADUREZ DIGITAL</t>
  </si>
  <si>
    <t>digital</t>
  </si>
  <si>
    <t>nsdocumentdescription</t>
  </si>
  <si>
    <t>Description</t>
  </si>
  <si>
    <t>Descripción</t>
  </si>
  <si>
    <t>communicationlog</t>
  </si>
  <si>
    <t>Communication Centre</t>
  </si>
  <si>
    <t>Centre de communication</t>
  </si>
  <si>
    <t>Centro de comunicaciones</t>
  </si>
  <si>
    <t>climatemainheader</t>
  </si>
  <si>
    <t>CLIMATE</t>
  </si>
  <si>
    <t>CLIMAT</t>
  </si>
  <si>
    <t>CLIMA</t>
  </si>
  <si>
    <t>bygenderandage</t>
  </si>
  <si>
    <t>BY SEX AND AGE</t>
  </si>
  <si>
    <t>PAR SEXE ET PAR ÂGE</t>
  </si>
  <si>
    <t>POR SEXO Y EDAD</t>
  </si>
  <si>
    <t>bygender</t>
  </si>
  <si>
    <t>BY SEX</t>
  </si>
  <si>
    <t>PAR SEXE</t>
  </si>
  <si>
    <t>POR SEXO</t>
  </si>
  <si>
    <t>byage</t>
  </si>
  <si>
    <t>BY AGE</t>
  </si>
  <si>
    <t>PAR ÂGE</t>
  </si>
  <si>
    <t>POR EDAD</t>
  </si>
  <si>
    <t>climateheatdescriptionshort</t>
  </si>
  <si>
    <t>Heatwave risk reduction and preparedness refers to reducing risks related to heatwaves.</t>
  </si>
  <si>
    <t xml:space="preserve">La réduction des risques de vagues de chaleur et la préparation font référence aux mesures prises pour réduire les risques liés aux vagues de chaleur. L’intervention a trait à la prise de mesures pendant une vague de chaleur. </t>
  </si>
  <si>
    <t>Las medidas de reducción de riesgos y preparación preventiva se centran en reducir los riesgos ligados a eventuales olas de calor. Las intervención incluye la adopción de medidas una vez que se ha declarado una ola de calor.</t>
  </si>
  <si>
    <t>dmqtechnology</t>
  </si>
  <si>
    <t>A &lt;b&gt;Digital Maturity Technology&lt;/b&gt; level must be selected</t>
  </si>
  <si>
    <t>A &lt;b&gt;Maturité numérique - Technologies&lt;/b&gt; sélectionner le stade</t>
  </si>
  <si>
    <t>A &lt;b&gt;Evaluación de la madurez digital Tecnología &lt;/b&gt;se debe seleccionar el nivel</t>
  </si>
  <si>
    <t>dmqprocess</t>
  </si>
  <si>
    <t>A &lt;b&gt;Digital Maturity Processes&lt;/b&gt; level must be selected</t>
  </si>
  <si>
    <t>A &lt;b&gt;Maturité numérique - Processus&lt;/b&gt; sélectionner le stade</t>
  </si>
  <si>
    <t>A &lt;b&gt;Evaluación de la madurez digital Proceso &lt;/b&gt;se debe seleccionar el nivel</t>
  </si>
  <si>
    <t>dmqpeople</t>
  </si>
  <si>
    <t>A &lt;b&gt;Digital Maturity People&lt;/b&gt; level must be selected</t>
  </si>
  <si>
    <t>A &lt;b&gt;Maturité numérique - Personnes&lt;/b&gt; sélectionner le stade</t>
  </si>
  <si>
    <t>A &lt;b&gt;Evaluación de la madurez digital Personas&lt;/b&gt;se debe seleccionar el nivel</t>
  </si>
  <si>
    <t>digitalprocess_level3</t>
  </si>
  <si>
    <t>&lt;p&gt;Step 3 Expert &lt;ul&gt; &lt;li&gt;Operations and Digital services are fully integrated and connected to IFRC Network &lt;/li&gt; &lt;li&gt;Digital business models generate an income stream for NS &lt;/li&gt; &lt;li&gt;Data-driven decision-making is the norm&lt;/li&gt; &lt;li&gt;Data responsibility and ethics are considered&lt;/li&gt; &lt;/ul&gt; &lt;/p&gt;</t>
  </si>
  <si>
    <t>&lt;p&gt;Stade 3 Expert&lt;ul&gt;&lt;li&gt;Les opérations et services numériques sont pleinement intégrés et alignés sur ceux du réseau de la Fédération.&lt;/li&gt;&lt;li&gt;De nouveaux modèles commerciaux numériques génèrent de nouvelles sources de revenus pour la Société nationale . &lt;/li&gt;&lt;li&gt;La prise de décisions fondée sur les données est la norme. /li&gt;&lt;li&gt;La responsabilité en matière de données et l'éthiques sont prises en considération.&lt;/li&gt;&lt;/ul&gt;&lt;/p&gt;</t>
  </si>
  <si>
    <t>&lt;p&gt;Paso 3 Experto&lt;ul&gt;&lt;li&gt;Existe plena integración y conexión de los medios digitales y gestión de datos en la red de la Federación Internacional.&lt;/li&gt;&lt;li&gt;Los modelos de gestión digitales constituyen una nueva fuente de ingresos para las Sociedades Nacionales&lt;/li&gt;&lt;li&gt;Lo habitual es que las decisiones se adopten a partir del análisis de datos.&lt;/li&gt;&lt;li&gt;Se tienen en cuenta la responsabilidad en materia de datos y el tratamiento ético de los datos.&lt;/li&gt;&lt;/ul&gt;&lt;/p&gt;</t>
  </si>
  <si>
    <t>digitalpeople_level3</t>
  </si>
  <si>
    <t>&lt;p&gt;Step 3 Expert &lt;ul&gt; &lt;li&gt;Leadership uses data and digital to continually optimize humanitarian services &lt;/li&gt; &lt;li&gt;Personnel recruitment and selection are focused on expanding digital capabilities &lt;/li&gt;  &lt;/ul&gt; &lt;/p&gt;</t>
  </si>
  <si>
    <t>&lt;p&gt;Stade 3 Expert&lt;ul&gt;&lt;li&gt;Le leadership utilise les données et le numérique pour optimiser en continu les services humanitaires. &lt;/li&gt;&lt;li&gt;Le recrutement et la sélection de personnel sont axés sur le renforcement des compétences numériques. &lt;/li&gt; &lt;/ul&gt;&lt;/p&gt;</t>
  </si>
  <si>
    <t>&lt;p&gt;Paso 3 Experto&lt;ul&gt;&lt;li&gt;Los órganos de dirección se sirven de los medios digitales y la gestión de datos para la continua optimización de los servicios humanitarios. &lt;/li&gt;&lt;li&gt;Los procesos de contratación y selección de personal se centran en la ampliación de las capacidades en materia de medios digitales. &lt;/li&gt; &lt;/ul&gt;&lt;/p&gt;</t>
  </si>
  <si>
    <t>digitaltechnology_level3</t>
  </si>
  <si>
    <t>&lt;p&gt;Step 3 Expert &lt;ul&gt; &lt;li&gt;Data quality and standards are monitored &lt;/li&gt; &lt;li&gt;New digital-enabled humanitarian services are developed with custom applications&lt;/li&gt; &lt;/ul&gt; &lt;/p&gt;</t>
  </si>
  <si>
    <t>&lt;p&gt;Stade 3 Expert&lt;ul&gt;&lt;li&gt;La qualité des données et la mise en œuvre des normes font l'objet d'un suivi. &lt;/li&gt;&lt;li&gt;De nouveaux services humanitaires facilités par les outils numériques sont conçus à l'aide d'applications numériques personnalisées.&lt;/li&gt;&lt;/ul&gt;&lt;/p&gt;</t>
  </si>
  <si>
    <t>&lt;p&gt;Paso 3 Experto&lt;ul&gt;&lt;li&gt;Se realiza un seguimiento de la calidad de los datos y las normas de datos.&lt;/li&gt;&lt;li&gt;Se definen nuevos servicios humanitarios de carácter digital con la ayuda de aplicaciones específicas.&lt;/li&gt;&lt;/ul&gt;&lt;/p&gt;</t>
  </si>
  <si>
    <t>digitalpeople_level2</t>
  </si>
  <si>
    <t>&lt;p&gt;Step 2 Competent  &lt;ul&gt; &lt;li&gt;Leadership actively supports implementation of a digital strategy&lt;/li&gt; &lt;li&gt; Data and digital experts are actively recruited&lt;/li&gt; &lt;li&gt; Most employees and volunteers are trained on data literacy&lt;/li&gt; &lt;/ul&gt; &lt;/p&gt;</t>
  </si>
  <si>
    <t>&lt;p&gt;Stade 2 Compétent &lt;ul&gt;&lt;li&gt;Le leadership soutient activement la mise en œuvre  d'une stratégie de transformation numérique.&lt;/li&gt;&lt;li&gt; Des experts des données et du numérique sont activement recrutés.&lt;/li&gt;&lt;li&gt; La plupart des employés et des volontaires sont formés à la maîtrise des données.&lt;/li&gt;&lt;/ul&gt;&lt;/p&gt;</t>
  </si>
  <si>
    <t>&lt;p&gt;Paso 2 Idóneo &lt;ul&gt;&lt;li&gt;Los órganos de dirección apoyan activamente la aplicación de la estrategia digital.&lt;/li&gt;&lt;li&gt;Se promueve activamente la contratación de expertos en medios digitales y gestión de datos.&lt;/li&gt;&lt;li&gt; La mayoría de los miembros y voluntarios reciben formación en capacidad de análisis crítico de datos. &lt;/li&gt;&lt;/ul&gt;&lt;/p&gt;</t>
  </si>
  <si>
    <t>digitalprocess_level2</t>
  </si>
  <si>
    <t>&lt;p&gt;Step 2 Competent  &lt;ul&gt; &lt;li&gt;Digital channels are used to capture feedback to improve operations&lt;/li&gt; &lt;li&gt;Data is collected with a specific goal in mind&lt;/li&gt; &lt;li&gt;Digital innovation and core budgets are available, and donors are supportive&lt;/li&gt; &lt;li&gt;Data protection standards are embedded and monitored&lt;/li&gt; &lt;/ul&gt; &lt;/p&gt;</t>
  </si>
  <si>
    <t>&lt;p&gt;Stade 2 Compétent &lt;ul&gt;&lt;li&gt;Les voies de communication numériques sont utilisées pour recueillir des retours d’information en vue d’améliorer les opérations .&lt;/li&gt;&lt;li&gt;Les données sont collectées dans un but précis.&lt;/li&gt;&lt;li&gt;Une part du budget de base est allouée aux innovations numériques, et les donateurs soutiennent cette intitiative.&lt;/li&gt;&lt;li&gt;Les normes en matière de protection des données sont intégrées et font l'objet d'un suivi.&lt;/li&gt;&lt;/ul&gt;&lt;/p&gt;</t>
  </si>
  <si>
    <t>&lt;p&gt;Paso 2 Idóneo &lt;ul&gt;&lt;li&gt;Los canales digitales se utilizan para recibir observaciones que nos permiten mejorar las operaciones.&lt;/li&gt;&lt;li&gt;Los datos se recopilan para fines específicos.&lt;/li&gt;&lt;li&gt;Existe un presupuesto básico y un presupuesto para innovación digital, y se cuenta con el apoyo de los donantes en este sentido&lt;/li&gt;&lt;li&gt;Se aplican normas de protección de datos y se supervisa su cumplimiento. &lt;/li&gt;&lt;/ul&gt;&lt;/p&gt;</t>
  </si>
  <si>
    <t>digitaltechnology_level2</t>
  </si>
  <si>
    <t>&lt;p&gt;Step 2 Competent  &lt;ul&gt; &lt;li&gt;Data quality and sources are sufficient &lt;/li&gt; &lt;li&gt;Off the shelf digital applications are used, with some custom digital applications for specific humanitarian services &lt;/li&gt; &lt;/ul&gt; &lt;/p&gt;</t>
  </si>
  <si>
    <t>&lt;p&gt;Stade 2 Compétent &lt;ul&gt;&lt;li&gt;Les sources et la qualité des données sont suffisantes. &lt;/li&gt;&lt;li&gt;Des applications numériques prêtes à l'emploi sont généralement utilisées, certaines étant personnalisées aux fins de services humanitaires spécifiques. &lt;/li&gt;&lt;/ul&gt;&lt;/p&gt;</t>
  </si>
  <si>
    <t>&lt;p&gt;Paso 2 Idóneo &lt;ul&gt;&lt;li&gt;Se utilizan suficientes fuentes de información y la calidad de los datos es adecuada. &lt;/li&gt;&lt;li&gt;Se utilizan aplicaciones digitales genéricas complementadas con algunas aplicaciones digitales concebidas expresamente para servicios humanitarios concretos. &lt;/li&gt;&lt;/ul&gt;&lt;/p&gt;</t>
  </si>
  <si>
    <t>digitalpeople_level1</t>
  </si>
  <si>
    <t>&lt;p&gt;Step 1 Beginner  &lt;ul&gt; &lt;li&gt;Leadership is open to digital transformation&lt;/li&gt; &lt;li&gt;Basic data literacy among some staff and volunteers&lt;/li&gt; &lt;/ul&gt; &lt;/p&gt;</t>
  </si>
  <si>
    <t>&lt;p&gt;Stade 1 Débutant &lt;ul&gt;&lt;li&gt;Le leadership est ouvert à une transformation numérique.&lt;/li&gt;&lt;li&gt;Certains membres du personnel et volontaires ont des connaissances de base en matière de données .&lt;/li&gt;&lt;/ul&gt;&lt;/p&gt;</t>
  </si>
  <si>
    <t>&lt;p&gt;Paso 1 Principiante &lt;ul&gt;&lt;li&gt;Los órganos de dirección están dispuestos a acometer la transformación digital.&lt;/li&gt;&lt;li&gt;Existe un nivel básico de capacidad de análisis crítico de datos entre algunos miembros del personal y los voluntarios.&lt;/li&gt;&lt;/ul&gt;&lt;/p&gt;</t>
  </si>
  <si>
    <t>digitalprocess_level1</t>
  </si>
  <si>
    <t>&lt;p&gt; Step 1 Beginner  &lt;ul&gt; &lt;li&gt;External digital communication is one-way &lt;/li&gt; &lt;li&gt;Data and digital applied in projects with limited core budget but not across humanitarian services &lt;/li&gt; &lt;li&gt;Compliant with basics of data protection &lt;/li&gt; &lt;/ul&gt; &lt;/p&gt;</t>
  </si>
  <si>
    <t>&lt;p&gt;Stade 1 Débutant &lt;ul&gt;&lt;li&gt;Les communications numériques avec l'extérieur sont unidirectionnelles. &lt;/li&gt;&lt;li&gt;Les technologies numériques et les données sont utilisées dans certains projets mais pas dans tous les services humanitaires, la part du budget de base y étant allouée étant limitée. &lt;/li&gt;&lt;li&gt;Conformité aux règles essentielles sur la protection des données &lt;/li&gt;&lt;/ul&gt;&lt;/p&gt;</t>
  </si>
  <si>
    <t>&lt;p&gt;Paso 1 Principiante &lt;ul&gt;&lt;li&gt;La comunicación digital externa es unidireccional. &lt;/li&gt;&lt;li&gt;Los medios digitales y la gestión de datos se utilizan en el marco de proyectos con un presupuesto básico limitado, pero no en toda la gama de servicios humanitarios.&lt;/li&gt;&lt;li&gt;La Sociedad Nacional cumple los requisitos básicos establecidos en la normativa de protección de datos.  &lt;/li&gt;&lt;/ul&gt;&lt;/p&gt;</t>
  </si>
  <si>
    <t>digitaltechnology_level1</t>
  </si>
  <si>
    <t>&lt;p&gt; Step 1 Beginner  &lt;ul&gt; &lt;li&gt;A basic IT infrastructure is present throughout the National Society, but many processes are still manual and paper-based&lt;/li&gt; &lt;/ul&gt; &lt;/p&gt;</t>
  </si>
  <si>
    <t>&lt;p&gt;Stade 1 Débutant &lt;ul&gt;&lt;li&gt;La Société nationale est dotée d’une infrastructure informatique de base, mais de nombreux processus sont toujours réalisés manuellement et sur papier.&lt;/li&gt;&lt;/ul&gt;&lt;/p&gt;</t>
  </si>
  <si>
    <t>&lt;p&gt;Paso 1 Principiante &lt;ul&gt;&lt;li&gt;La Sociedad Nacional dispone de infraestructura informática básica en todos sus ámbitos, pero muchos procesos aún se realizan de forma manual y en papel.&lt;/li&gt;&lt;/ul&gt;&lt;/p&gt;</t>
  </si>
  <si>
    <t>_insurancemorethanvol</t>
  </si>
  <si>
    <t>&lt;b&gt;Insuranced volunteers&lt;/b&gt; are more than volunteers. Please correct!</t>
  </si>
  <si>
    <t>&lt;b&gt;Le nombre de volontaires assurés&lt;/b&gt; est supérieur au nombre de volontaires. Veuillez corriger !</t>
  </si>
  <si>
    <t>&lt;b&gt;El número de voluntarios que gozan de cobertura de seguro&lt;/b&gt; es más que el de voluntarios. ¡Corregir!</t>
  </si>
  <si>
    <t>_insurancemorethanstaff</t>
  </si>
  <si>
    <t>&lt;b&gt;Insuraced staff&lt;/b&gt; is more than staff. Please correct!</t>
  </si>
  <si>
    <t>&lt;b&gt;Le nombre d'employés assurés&lt;/b&gt; est supérieur au nombre d'employés. Veuillez corriger !</t>
  </si>
  <si>
    <t>&lt;b&gt;El número de miembros del personal que gozan de cobertura de seguro&lt;/b&gt; es más que el del personal. ¡Corregir!</t>
  </si>
  <si>
    <t>downloaddmqdata</t>
  </si>
  <si>
    <t>Download DMQ data</t>
  </si>
  <si>
    <t>Publicaciones</t>
  </si>
  <si>
    <t>guidesandtools2</t>
  </si>
  <si>
    <t>FDRS Publications</t>
  </si>
  <si>
    <t>Publications FDRS</t>
  </si>
  <si>
    <t>Publicaciones de FDRS</t>
  </si>
  <si>
    <t>siteadmin</t>
  </si>
  <si>
    <t>FDRS Site Admin</t>
  </si>
  <si>
    <t>Site Admin FDRS</t>
  </si>
  <si>
    <t>Sitio de administradores del FDRS</t>
  </si>
  <si>
    <t>bocareport</t>
  </si>
  <si>
    <t>BOCA Report</t>
  </si>
  <si>
    <t>ocacreport</t>
  </si>
  <si>
    <t>OCAC Report</t>
  </si>
  <si>
    <t>downloadbocadata</t>
  </si>
  <si>
    <t>Download BOCA data</t>
  </si>
  <si>
    <t>Descargar los datos de BOCA</t>
  </si>
  <si>
    <t>uploadbocadata</t>
  </si>
  <si>
    <t>Upload BOCA data</t>
  </si>
  <si>
    <t>offices</t>
  </si>
  <si>
    <t>Offices</t>
  </si>
  <si>
    <t>Bureaux</t>
  </si>
  <si>
    <t>Oficinas</t>
  </si>
  <si>
    <t>siteadminoffices</t>
  </si>
  <si>
    <t>guides</t>
  </si>
  <si>
    <t>analysis</t>
  </si>
  <si>
    <t>Analysis</t>
  </si>
  <si>
    <t>Analyse</t>
  </si>
  <si>
    <t>Análisis</t>
  </si>
  <si>
    <t>everyonecounts</t>
  </si>
  <si>
    <t>Everyone Counts</t>
  </si>
  <si>
    <t>Todos cuentan</t>
  </si>
  <si>
    <t>frontendvideo</t>
  </si>
  <si>
    <t>Frontend videos</t>
  </si>
  <si>
    <t>Vidéos - Interface</t>
  </si>
  <si>
    <t>Videos de acceso directo</t>
  </si>
  <si>
    <t>siteadmincaptions</t>
  </si>
  <si>
    <t>siteadminmenucaptions</t>
  </si>
  <si>
    <t>Site Admin</t>
  </si>
  <si>
    <t>highlighthome3</t>
  </si>
  <si>
    <t>In accordance with the IFRC's Strategy2030, National Societies have reached 8,4 million people with cash transfers in 2020, more than any other year before.</t>
  </si>
  <si>
    <t>Conformément à la Stratégie2030 de la FICR, les Sociétés nationales ont touché 8,4 millions de personnes avec des transferts d'argent en 2020, soit plus que toute autre année auparavant.</t>
  </si>
  <si>
    <t>De acuerdo con la Estrategia2030 de la FICR, las Sociedades Nacionales han llegado a 8,4 millones de personas con transferencias de efectivo en 2020, más que cualquier otro año anterior.</t>
  </si>
  <si>
    <t>highlighthome2</t>
  </si>
  <si>
    <t>highlighthome1</t>
  </si>
  <si>
    <t>subregion</t>
  </si>
  <si>
    <t>westcoast</t>
  </si>
  <si>
    <t>West Coast</t>
  </si>
  <si>
    <t>Costa Oeste</t>
  </si>
  <si>
    <t>southerncone</t>
  </si>
  <si>
    <t>Southern Cone</t>
  </si>
  <si>
    <t>Cono Sur</t>
  </si>
  <si>
    <t>southerncaucasus</t>
  </si>
  <si>
    <t>Southern Caucasus</t>
  </si>
  <si>
    <t>Cáucaso Meridional</t>
  </si>
  <si>
    <t>southernafrica</t>
  </si>
  <si>
    <t>Southern Africa</t>
  </si>
  <si>
    <t>Sudeste Africano</t>
  </si>
  <si>
    <t>southeastasia</t>
  </si>
  <si>
    <t>Southeast Asia</t>
  </si>
  <si>
    <t>Sudeste Asiático</t>
  </si>
  <si>
    <t>southasia</t>
  </si>
  <si>
    <t>South Asia</t>
  </si>
  <si>
    <t>Asia Meridional</t>
  </si>
  <si>
    <t>sahelplus</t>
  </si>
  <si>
    <t>Sahel Plus</t>
  </si>
  <si>
    <t>russia,moldovaandbelarus</t>
  </si>
  <si>
    <t>Russia, Moldova and Belarus</t>
  </si>
  <si>
    <t>Rusia, Moldavia y Bielorrusia</t>
  </si>
  <si>
    <t>pacific</t>
  </si>
  <si>
    <t>Pacific</t>
  </si>
  <si>
    <t>Pacífico</t>
  </si>
  <si>
    <t>northafrica</t>
  </si>
  <si>
    <t>North Africa</t>
  </si>
  <si>
    <t>África del Norte</t>
  </si>
  <si>
    <t>latinandfrenchcaribbean</t>
  </si>
  <si>
    <t>Latin and French Caribbean</t>
  </si>
  <si>
    <t>Caribe Latino</t>
  </si>
  <si>
    <t>gulfcooperationcouncil</t>
  </si>
  <si>
    <t>Gulf Cooperation Council</t>
  </si>
  <si>
    <t>Consejo de Cooperación del Golfo</t>
  </si>
  <si>
    <t>eastasia</t>
  </si>
  <si>
    <t>East Asia</t>
  </si>
  <si>
    <t>Asia Oriental</t>
  </si>
  <si>
    <t>eastafricaioi</t>
  </si>
  <si>
    <t>East Africa IOI</t>
  </si>
  <si>
    <t>IOI de África Oriental</t>
  </si>
  <si>
    <t>centralasia</t>
  </si>
  <si>
    <t>Central Asia</t>
  </si>
  <si>
    <t>Asia Central</t>
  </si>
  <si>
    <t>centralandsouth-easterneurope</t>
  </si>
  <si>
    <t>Central and South-Eastern Europe</t>
  </si>
  <si>
    <t>Europa Central y Sudoriental</t>
  </si>
  <si>
    <t>centralamericancluster</t>
  </si>
  <si>
    <t>Central American Cluster</t>
  </si>
  <si>
    <t>Centroamérica</t>
  </si>
  <si>
    <t>centralafrica</t>
  </si>
  <si>
    <t>Central Africa</t>
  </si>
  <si>
    <t>África Central</t>
  </si>
  <si>
    <t>anglophonecaribbean</t>
  </si>
  <si>
    <t>Anglophone Caribbean</t>
  </si>
  <si>
    <t>Caribe Anglófono</t>
  </si>
  <si>
    <t>andeancountries</t>
  </si>
  <si>
    <t>Andean Countries</t>
  </si>
  <si>
    <t>Países Andinos</t>
  </si>
  <si>
    <t>contactsdatareaderdesc</t>
  </si>
  <si>
    <t>Can read contacts data</t>
  </si>
  <si>
    <t>Puede leer datos de los contactos</t>
  </si>
  <si>
    <t>nsdatabase</t>
  </si>
  <si>
    <t>youth</t>
  </si>
  <si>
    <t>Jovenes</t>
  </si>
  <si>
    <t>qualityreport</t>
  </si>
  <si>
    <t>Quality Report</t>
  </si>
  <si>
    <t>Reporte de calidad</t>
  </si>
  <si>
    <t>boca</t>
  </si>
  <si>
    <t>BOCA</t>
  </si>
  <si>
    <t>bocaform</t>
  </si>
  <si>
    <t>Data form</t>
  </si>
  <si>
    <t>Formulario de datos</t>
  </si>
  <si>
    <t>bocaindicators</t>
  </si>
  <si>
    <t>Indicators (Admin only)</t>
  </si>
  <si>
    <t>Indicadores (sólo para administradores)</t>
  </si>
  <si>
    <t>bocausermanagement</t>
  </si>
  <si>
    <t>BOCA User Management</t>
  </si>
  <si>
    <t>Gestión de usuarios de BOCA</t>
  </si>
  <si>
    <t>contactsusermanagement</t>
  </si>
  <si>
    <t>Contacts User Management</t>
  </si>
  <si>
    <t>Contactos para la gestión de usuarios</t>
  </si>
  <si>
    <t>getmaillist</t>
  </si>
  <si>
    <t>Mailing list export</t>
  </si>
  <si>
    <t>Exporter la liste de diffusion</t>
  </si>
  <si>
    <t>Exportación de listas de correo</t>
  </si>
  <si>
    <t>nsdevelopment</t>
  </si>
  <si>
    <t>NS Development</t>
  </si>
  <si>
    <t>Desarrollo de la sociedad nacional</t>
  </si>
  <si>
    <t>nsdevelopmentform</t>
  </si>
  <si>
    <t>nsdevindicators</t>
  </si>
  <si>
    <t>nsdevusermanagement</t>
  </si>
  <si>
    <t>NS Development User Management</t>
  </si>
  <si>
    <t>Développement de la Société nationale - Gestion des utilisateurs</t>
  </si>
  <si>
    <t>Desarrollo de la Sociedad Nacional Gestión de usuarios</t>
  </si>
  <si>
    <t>mailinglistreport</t>
  </si>
  <si>
    <t>Retour</t>
  </si>
  <si>
    <t>Volver</t>
  </si>
  <si>
    <t>bocatab2volunteers</t>
  </si>
  <si>
    <t>ocactab2volunteers</t>
  </si>
  <si>
    <t>contactmailinglistreport</t>
  </si>
  <si>
    <t>Título</t>
  </si>
  <si>
    <t>videonamemissing</t>
  </si>
  <si>
    <t>Video name is missing</t>
  </si>
  <si>
    <t>nsname</t>
  </si>
  <si>
    <t>none</t>
  </si>
  <si>
    <t>None</t>
  </si>
  <si>
    <t>Aucun</t>
  </si>
  <si>
    <t>Ninguna</t>
  </si>
  <si>
    <t>country</t>
  </si>
  <si>
    <t>Country</t>
  </si>
  <si>
    <t>Pays</t>
  </si>
  <si>
    <t>País</t>
  </si>
  <si>
    <t>Tout</t>
  </si>
  <si>
    <t>Todas</t>
  </si>
  <si>
    <t>الكل</t>
  </si>
  <si>
    <t>externalkpisource</t>
  </si>
  <si>
    <t>External KPI Source</t>
  </si>
  <si>
    <t>Indicateur clé externe - Source</t>
  </si>
  <si>
    <t>Fuente del indicador clave de desempeño externo</t>
  </si>
  <si>
    <t>externalkpiname</t>
  </si>
  <si>
    <t>External KPI Name</t>
  </si>
  <si>
    <t>Indicateur clé externe - Nom</t>
  </si>
  <si>
    <t>Nombre del indicador clave de desempeño externo</t>
  </si>
  <si>
    <t>externalkpi</t>
  </si>
  <si>
    <t>External KPI</t>
  </si>
  <si>
    <t>Indicateur clé externe</t>
  </si>
  <si>
    <t>Indicador clave de desempeño externo</t>
  </si>
  <si>
    <t>kpicompound</t>
  </si>
  <si>
    <t>KPI Compound</t>
  </si>
  <si>
    <t>Composé de l'indicateur</t>
  </si>
  <si>
    <t>Indicador clave de desempeño compuesto</t>
  </si>
  <si>
    <t>order</t>
  </si>
  <si>
    <t>Order</t>
  </si>
  <si>
    <t>Ordre</t>
  </si>
  <si>
    <t>Orden</t>
  </si>
  <si>
    <t>unitcode</t>
  </si>
  <si>
    <t>Unit Code</t>
  </si>
  <si>
    <t>Code de l'unité</t>
  </si>
  <si>
    <t>Código de la unidad</t>
  </si>
  <si>
    <t>kpinote</t>
  </si>
  <si>
    <t>KPI Note</t>
  </si>
  <si>
    <t>Note sur l'indicateur</t>
  </si>
  <si>
    <t>Nota del  indicador clave de desempeño</t>
  </si>
  <si>
    <t>kpidescription</t>
  </si>
  <si>
    <t>KPI Description</t>
  </si>
  <si>
    <t>Description de l'indicateur</t>
  </si>
  <si>
    <t>Descripción del indicador clave de desempeño</t>
  </si>
  <si>
    <t>kpiname</t>
  </si>
  <si>
    <t>KPI Name</t>
  </si>
  <si>
    <t>Nom de l'indicateur</t>
  </si>
  <si>
    <t>Nombre del  indicador clave de desempeño</t>
  </si>
  <si>
    <t>kpiid</t>
  </si>
  <si>
    <t>KPI Id</t>
  </si>
  <si>
    <t>ID de l'indicateur</t>
  </si>
  <si>
    <t>ID del  indicador clave de desempeño</t>
  </si>
  <si>
    <t>ocacindicators</t>
  </si>
  <si>
    <t>ocacform</t>
  </si>
  <si>
    <t>OCAC form</t>
  </si>
  <si>
    <t>Formulario OCAC</t>
  </si>
  <si>
    <t>uploadocacdata</t>
  </si>
  <si>
    <t>Upload OCAC data</t>
  </si>
  <si>
    <t>downloadocacdata</t>
  </si>
  <si>
    <t>Download OCAC data</t>
  </si>
  <si>
    <t>Descargar los datos de OCAC</t>
  </si>
  <si>
    <t>ocac</t>
  </si>
  <si>
    <t>OCAC</t>
  </si>
  <si>
    <t>Rôles attribués</t>
  </si>
  <si>
    <t>Tiene roles</t>
  </si>
  <si>
    <t>ocacdatareaderdesc</t>
  </si>
  <si>
    <t>Can read, download OCAC data</t>
  </si>
  <si>
    <t>Puede leer y descargar los datos del OCAC</t>
  </si>
  <si>
    <t>ocacusermanagement</t>
  </si>
  <si>
    <t>OCAC User Management</t>
  </si>
  <si>
    <t>Gestión de usuarios de OCAC</t>
  </si>
  <si>
    <t>clipboarderror</t>
  </si>
  <si>
    <t>Clipboard data inaccessible. Please use another web browser (e.g. Google Chrome, Internet Explorer 11, etc.)</t>
  </si>
  <si>
    <t>Les données du presse-papiers sont inaccessibles. Veuillez utiliser un autre navigateur Web (par exemple, Google Chrome, Internet Explorer 11, etc.).</t>
  </si>
  <si>
    <t>Los datos del portapapeles son inaccesibles. Utilice otro navegador web (por ejemplo, Google Chrome, Internet Explorer 11, etc.)</t>
  </si>
  <si>
    <t>focalpointfunction</t>
  </si>
  <si>
    <t>Function</t>
  </si>
  <si>
    <t>Fonction</t>
  </si>
  <si>
    <t>Función</t>
  </si>
  <si>
    <t>الوظيفة</t>
  </si>
  <si>
    <t>howto</t>
  </si>
  <si>
    <t>How to use the Backoffice</t>
  </si>
  <si>
    <t>Comment utiliser le Backoffice</t>
  </si>
  <si>
    <t>Cómo utilizar el Backoffice</t>
  </si>
  <si>
    <t>كيفية استخدام نظام  قاعدة البيانات ونظام الإفادة في الاتحاد الدولي (Backoffice)</t>
  </si>
  <si>
    <t>Supporting Documents</t>
  </si>
  <si>
    <t>Documents justificatifs</t>
  </si>
  <si>
    <t>Documentos de respaldo</t>
  </si>
  <si>
    <t>وثائق داعمة</t>
  </si>
  <si>
    <t>faq</t>
  </si>
  <si>
    <t>Questions &amp; Answers</t>
  </si>
  <si>
    <t>Foire aux questions</t>
  </si>
  <si>
    <t>Preguntas y Respuestas</t>
  </si>
  <si>
    <t>أسئلة وأجوبة</t>
  </si>
  <si>
    <t>fdrsvideos</t>
  </si>
  <si>
    <t>فيديوهات قاعدة البيانات ونظام الإفادة في الاتحاد الدولي</t>
  </si>
  <si>
    <t>National Societies Contacts</t>
  </si>
  <si>
    <t>nsincomecheckproceed</t>
  </si>
  <si>
    <t>Proceed anyway</t>
  </si>
  <si>
    <t>Continuer néanmoins</t>
  </si>
  <si>
    <t>Proceder de todas maneras</t>
  </si>
  <si>
    <t>الاستمرار على أي حال</t>
  </si>
  <si>
    <t>nsincomecheckcancel</t>
  </si>
  <si>
    <t>Cancelar/Anular</t>
  </si>
  <si>
    <t>الغاء</t>
  </si>
  <si>
    <t>nsincomecheck</t>
  </si>
  <si>
    <t>The sum of the &lt;b&gt;Total income broken down per source of income&lt;/b&gt; is higher than the &lt;b&gt;Total income&lt;/b&gt;. Please correct.</t>
  </si>
  <si>
    <t>Attention! La somme du revenu total ventilé par source de revenu n'est pas égale au revenu total</t>
  </si>
  <si>
    <t>¡Advertencia! La suma de los ingresos totales desglosados por fuente de ingresos no es igual a los ingresos totales</t>
  </si>
  <si>
    <t>تحذير! إجمالي الدخل مصنف حسب مصدر الدخل لا يساوي مجموع الإيرادات</t>
  </si>
  <si>
    <t>actiondropdownbutton</t>
  </si>
  <si>
    <t>Actions</t>
  </si>
  <si>
    <t>Acciones</t>
  </si>
  <si>
    <t>إجراءات</t>
  </si>
  <si>
    <t>reportingclosed2</t>
  </si>
  <si>
    <t>year, please contact fdrs@ifrc.org to submit data</t>
  </si>
  <si>
    <t>année, veuillez contacter fdrs@ifrc.org pour soumettre des données</t>
  </si>
  <si>
    <t>año, póngase en contacto con fdrs@ifrc.org para enviar datos</t>
  </si>
  <si>
    <t>سنة واتصل ب fdrs@ifrc.org لتقديم البيانات</t>
  </si>
  <si>
    <t>reportingclosed1</t>
  </si>
  <si>
    <t>Reporting has closed for</t>
  </si>
  <si>
    <t>Le reporting est fermé depuis</t>
  </si>
  <si>
    <t>La presentación de informes se ha cerrado para</t>
  </si>
  <si>
    <t>تم إغلاق الإبلاغ عن</t>
  </si>
  <si>
    <t>youhaveunsavedthingssavetocontinue</t>
  </si>
  <si>
    <t>You have unsaved data, please save that to continue</t>
  </si>
  <si>
    <t>Vous avez des données non enregistrées, veuillez les enregistrer pour continuer</t>
  </si>
  <si>
    <t>Tiene datos sin guardar, guárdelos para continuar</t>
  </si>
  <si>
    <t>لديك بيانات غير محفوظة ، يرجى حفظها للمتابعة</t>
  </si>
  <si>
    <t>clearbuttontitle</t>
  </si>
  <si>
    <t>Clear the table</t>
  </si>
  <si>
    <t>Effacer le tableau</t>
  </si>
  <si>
    <t>Borrar tabla</t>
  </si>
  <si>
    <t>مسح جدول البيانات</t>
  </si>
  <si>
    <t>clearbutton</t>
  </si>
  <si>
    <t>Clear table</t>
  </si>
  <si>
    <t>Effacer tableau</t>
  </si>
  <si>
    <t>Borrar la tabla</t>
  </si>
  <si>
    <t>pastebuttontitle</t>
  </si>
  <si>
    <t>Paste data from clipboard, copied from an external resource</t>
  </si>
  <si>
    <t>Coller les données du presse-papiers, copiées à partir d'une ressource externe</t>
  </si>
  <si>
    <t>Pegar datos del portapapeles, copiados de un recurso externo</t>
  </si>
  <si>
    <t>لصق البيانات من الحافظة المنسوخة من مصدر خارجي</t>
  </si>
  <si>
    <t>pastebutton</t>
  </si>
  <si>
    <t>Paste table</t>
  </si>
  <si>
    <t>Coller le tableau</t>
  </si>
  <si>
    <t>Pegar tabla</t>
  </si>
  <si>
    <t>لصق جدول البيانات</t>
  </si>
  <si>
    <t>nextsection</t>
  </si>
  <si>
    <t>Next Section</t>
  </si>
  <si>
    <t>Section suivante</t>
  </si>
  <si>
    <t>Siguiente sección</t>
  </si>
  <si>
    <t>القسم التالي</t>
  </si>
  <si>
    <t>previoussection</t>
  </si>
  <si>
    <t>Previous Section</t>
  </si>
  <si>
    <t>Section précédente</t>
  </si>
  <si>
    <t>Sección previa</t>
  </si>
  <si>
    <t>القسم السابق</t>
  </si>
  <si>
    <t>copyfromprevioustooltip</t>
  </si>
  <si>
    <t>Click here to copy the data from the previous table</t>
  </si>
  <si>
    <t>Cliquez ici pour copier les données du tableau précédent</t>
  </si>
  <si>
    <t>Haga clic aquí para copiar los datos de la tabla anterior</t>
  </si>
  <si>
    <t>انقر هنا لنسخ البيانات من الجدول السابق</t>
  </si>
  <si>
    <t>copyfromprevious</t>
  </si>
  <si>
    <t>Copy from previous</t>
  </si>
  <si>
    <t>Copier du précédent</t>
  </si>
  <si>
    <t>Copiar lo anterior</t>
  </si>
  <si>
    <t>النسخ من السابق</t>
  </si>
  <si>
    <t>Contact Us</t>
  </si>
  <si>
    <t>Nous contacter</t>
  </si>
  <si>
    <t>Contáctenos</t>
  </si>
  <si>
    <t>الاتصال بنا</t>
  </si>
  <si>
    <t>selectanotherns</t>
  </si>
  <si>
    <t>Select another National Society</t>
  </si>
  <si>
    <t>Sélectionnez une autre Société nationale</t>
  </si>
  <si>
    <t>Seleccione otra Sociedad Nacional</t>
  </si>
  <si>
    <t>اختيار جمعية وطنية أخرى</t>
  </si>
  <si>
    <t>dashboardchart_selectfilter</t>
  </si>
  <si>
    <t>Please select filter</t>
  </si>
  <si>
    <t>Veuillez sélectionner un filtre</t>
  </si>
  <si>
    <t>Por favor seleccione filtro</t>
  </si>
  <si>
    <t>الرجاء اختيار عامل تصفية</t>
  </si>
  <si>
    <t>callregistration</t>
  </si>
  <si>
    <t>communicationlogback_button</t>
  </si>
  <si>
    <t>Retroceder</t>
  </si>
  <si>
    <t>edituser</t>
  </si>
  <si>
    <t>cantbecheckedwithstandardroles</t>
  </si>
  <si>
    <t>Read only role cannot be selected together with other roles</t>
  </si>
  <si>
    <t>Le rôle seulement lecture ne peut pas être sélectionné avec d'autres rôles</t>
  </si>
  <si>
    <t>La función de solo lectura no se puede seleccionar junto con otras funciones</t>
  </si>
  <si>
    <t>لا يجوز اختيار دور القراءة فقط مع ادوار أخرى</t>
  </si>
  <si>
    <t>Read only role</t>
  </si>
  <si>
    <t>Rôle seulement lecture</t>
  </si>
  <si>
    <t>Función de solo lectura</t>
  </si>
  <si>
    <t>دور القراءة فقط</t>
  </si>
  <si>
    <t>formreadonlydesc</t>
  </si>
  <si>
    <t>Allows seeing but not changing NS forms and dashboards</t>
  </si>
  <si>
    <t>Permet de voir mais pas de modifier les formulaires des Sociétés nationales et les dashboards</t>
  </si>
  <si>
    <t>Permite ver pero no cambiar formularios y paneles de las SNs</t>
  </si>
  <si>
    <t>حق رؤية استمارات وجدول متابعة الجمعيات الوطنية بدون حق تحريرها</t>
  </si>
  <si>
    <t>viewdata</t>
  </si>
  <si>
    <t>View Form</t>
  </si>
  <si>
    <t>Voir le formulaire</t>
  </si>
  <si>
    <t>Ver formulario</t>
  </si>
  <si>
    <t>رؤية الاستمارة</t>
  </si>
  <si>
    <t>headerdescription</t>
  </si>
  <si>
    <t>Here you can see the summary of your {0} FDRS submission. The data that you provide is highly valuable in increasing the transparency and collaboration between the IFRC, National Societies, donors, and the public. We thank you for your support.</t>
  </si>
  <si>
    <t>Ci-dessous, vous pouvez voir le résumé de votre soumission de données au FDRS en {0}. Les données que vous fournissez sont très importantes pour augmenter la transparence et la collaboration entre la FICR, les Sociétés nationales, les donateurs et le public. Nous vous remercions pour votre soutien.</t>
  </si>
  <si>
    <t>Aquí puede ver el resumen de su {0} aporte al Banco de Datos FDRS. Los datos que brinda son muy valiosos para aumentar la transparencia y la colaoración entre la Federación Internacional, Sociedades Nacionales, donantes, y el público en general. Le agreadecemos su apoyo.</t>
  </si>
  <si>
    <t>هنا يمكنكم مشاهدة ملخص تقرير  الـ {0}FDRS الخاص بكم. تعد البيانات التي تقدمونها قيمة للغاية في زيادة الشفافية والتعاون بين الاتحاد الدولي والجمعيات الوطنية والمانحين والجمهور. نشكركم على دعمكم.</t>
  </si>
  <si>
    <t>loadmore</t>
  </si>
  <si>
    <t>Load More</t>
  </si>
  <si>
    <t>Charger plus</t>
  </si>
  <si>
    <t>Cargar más</t>
  </si>
  <si>
    <t>تحميل المزيد</t>
  </si>
  <si>
    <t>wedonthavethis</t>
  </si>
  <si>
    <t>We do not provide this service</t>
  </si>
  <si>
    <t>Nous ne fournissons pas ce service.</t>
  </si>
  <si>
    <t>No prestamos este servicio</t>
  </si>
  <si>
    <t>ليس لدينا هذا</t>
  </si>
  <si>
    <t>repsystem</t>
  </si>
  <si>
    <t>SYSTÈME DE COMPTE RENDU</t>
  </si>
  <si>
    <t>SISTEMA DE INFORMACIÓN GENERAL INTERNO</t>
  </si>
  <si>
    <t>BASE DE DONNÉES ET</t>
  </si>
  <si>
    <t>BANCO DE DATOS</t>
  </si>
  <si>
    <t>federationwide</t>
  </si>
  <si>
    <t>À L'ÉCHELLE DE LA FÉDÉRATION</t>
  </si>
  <si>
    <t>DE LA FEDERACIÓN INTERNACIONAL</t>
  </si>
  <si>
    <t>daysleft</t>
  </si>
  <si>
    <t>Days Left</t>
  </si>
  <si>
    <t>Jours restants</t>
  </si>
  <si>
    <t>Días restantes</t>
  </si>
  <si>
    <t>ايام متبقية</t>
  </si>
  <si>
    <t>addlog</t>
  </si>
  <si>
    <t>Add log</t>
  </si>
  <si>
    <t>Ajouter une entrée</t>
  </si>
  <si>
    <t>Agregar registro</t>
  </si>
  <si>
    <t>إضافة سجل</t>
  </si>
  <si>
    <t>customrange</t>
  </si>
  <si>
    <t>Custom range</t>
  </si>
  <si>
    <t>Période personnalisée</t>
  </si>
  <si>
    <t>Rango personalizado</t>
  </si>
  <si>
    <t>نطاق مخصص</t>
  </si>
  <si>
    <t>thisyear</t>
  </si>
  <si>
    <t>This year</t>
  </si>
  <si>
    <t>Cette année</t>
  </si>
  <si>
    <t>Este año</t>
  </si>
  <si>
    <t>هذه السنة</t>
  </si>
  <si>
    <t>thismonth</t>
  </si>
  <si>
    <t>This month</t>
  </si>
  <si>
    <t>Ce mois-ci</t>
  </si>
  <si>
    <t>Este mes</t>
  </si>
  <si>
    <t>هذا الشهر</t>
  </si>
  <si>
    <t>daterange</t>
  </si>
  <si>
    <t>Date range</t>
  </si>
  <si>
    <t>Période</t>
  </si>
  <si>
    <t>Rango de fechas</t>
  </si>
  <si>
    <t>المدة</t>
  </si>
  <si>
    <t>Courriel</t>
  </si>
  <si>
    <t>Correo electrónico</t>
  </si>
  <si>
    <t>البريد الإلكتروني</t>
  </si>
  <si>
    <t>phone</t>
  </si>
  <si>
    <t>Phone</t>
  </si>
  <si>
    <t>Téléphone</t>
  </si>
  <si>
    <t>Teléfono</t>
  </si>
  <si>
    <t>هاتف</t>
  </si>
  <si>
    <t>Tous</t>
  </si>
  <si>
    <t>Todos</t>
  </si>
  <si>
    <t>جميع القنوات</t>
  </si>
  <si>
    <t>channel</t>
  </si>
  <si>
    <t>Channel</t>
  </si>
  <si>
    <t>Moyen de communication</t>
  </si>
  <si>
    <t>Canal</t>
  </si>
  <si>
    <t>قناة التواصل</t>
  </si>
  <si>
    <t>commlog</t>
  </si>
  <si>
    <t>audittrail</t>
  </si>
  <si>
    <t>Audit Trail</t>
  </si>
  <si>
    <t>Audit trail</t>
  </si>
  <si>
    <t>Registro de auditoría</t>
  </si>
  <si>
    <t>سجل التدقيق</t>
  </si>
  <si>
    <t>Communcation log</t>
  </si>
  <si>
    <t>Registre des communications</t>
  </si>
  <si>
    <t>Registro de comunicaciones</t>
  </si>
  <si>
    <t>سجل الاتصالات</t>
  </si>
  <si>
    <t>communicationcenter</t>
  </si>
  <si>
    <t>Communication Center</t>
  </si>
  <si>
    <t>مركز الاتصالات</t>
  </si>
  <si>
    <t>welcometofdrsbackoffice</t>
  </si>
  <si>
    <t>مرحبًا بكم في FDRS Backoffice</t>
  </si>
  <si>
    <t>gotofdrswebsite</t>
  </si>
  <si>
    <t>Go to FDRS Website</t>
  </si>
  <si>
    <t>Visiter le site web FDRS</t>
  </si>
  <si>
    <t>Ir al sitio web del FDRS</t>
  </si>
  <si>
    <t>الانتقال إلى موقع FDRS</t>
  </si>
  <si>
    <t>addcontact</t>
  </si>
  <si>
    <t>Add contact</t>
  </si>
  <si>
    <t>Ajouter contact</t>
  </si>
  <si>
    <t>Agregar contacto</t>
  </si>
  <si>
    <t>إضافة جهة اتصال</t>
  </si>
  <si>
    <t>othersocialmedia</t>
  </si>
  <si>
    <t>Other Social Media</t>
  </si>
  <si>
    <t>Autres réseaux sociaux</t>
  </si>
  <si>
    <t>Otras Redes Sociales</t>
  </si>
  <si>
    <t>وسائل التواصل الاجتماعي الأخرى</t>
  </si>
  <si>
    <t>twitter</t>
  </si>
  <si>
    <t>موقع تويتر</t>
  </si>
  <si>
    <t>facebook</t>
  </si>
  <si>
    <t>موقع الفيسبوك</t>
  </si>
  <si>
    <t>adddata</t>
  </si>
  <si>
    <t>Add Data</t>
  </si>
  <si>
    <t>Ajouter les données</t>
  </si>
  <si>
    <t>Agregar datos</t>
  </si>
  <si>
    <t>إضافة البيانات</t>
  </si>
  <si>
    <t>viewerdesc</t>
  </si>
  <si>
    <t>Can view forms, can see NS dashboard</t>
  </si>
  <si>
    <t>Possible de voir les formulaires, possible de voir le tableau de bord de la Société Nationale</t>
  </si>
  <si>
    <t>Puede ver formularios, puede ver el tablero de la Sociedad Nacional</t>
  </si>
  <si>
    <t>يمكن رؤية النمازج، يمكن رؤية لوحة قيادة الجمعية الوطنية</t>
  </si>
  <si>
    <t>socialinclusiondescription</t>
  </si>
  <si>
    <t>cashtransferdescriptionlong</t>
  </si>
  <si>
    <t>Cash transfer programming supports and provides the transfer of cash or cash equivalents (e.g. vouchers), including cash for work programmes, in order to cover the short- and/or long-term essential food and non-food needs of vulnerable populations. Transfers may or may not depend on recipients having certain characteristics or doing certain things.</t>
  </si>
  <si>
    <t>Les programmes de transferts monétaires soutiennent et garantissent le transfert d’espèces ou de quasi-espèces (p. ex. de bons), y compris dans le cadre de programme argent contre travail, pour permettre aux populations vulnérables de couvrir leurs besoins alimentaires et non alimentaires essentiels à court et/ou à long terme. Les transferts monétaires peuvent être assortis ou non de conditions (concernant les récipiendaires éligibles) et de restrictions (concernant la finalité des transferts).</t>
  </si>
  <si>
    <t>Mediante los programas de transferencias monetarias se apoya y se abarca la transferencia de dinero en efectivo o medios equivalentes (por ejemplo, cupones), incluidos los programas de dinero a cambio de trabajo, con el fin de que las poblaciones vulnerables satisfagan sus necesidades esenciales, alimentarias y no alimentarias, a corto y a largo plazo. Las transferencias monetarias pueden, o no, depender de ciertas características de los beneficiarios o de una conducta determinada de estos.</t>
  </si>
  <si>
    <t>تمثل برامج التحويلات النقدية آلية لدعم وتوفير التحويلات النقدية أو ما يكافئها (مثل قسائم الشراء)، بما في ذلك أنشطة النقود مقابل العمل، وذلك لتغطية الاحتياجات الأساسية للفئات السكانية المستضعفة على المدى القصير و/أو الطويل من الغذاء والمواد غير الغذائية. وقد تعتمد التحويلات النقدية على توافر بعض الخصائص لدى المستفيدين أو تستلزم منهم القيام بأشياء معينة.</t>
  </si>
  <si>
    <t>cashtransferdescriptionshort</t>
  </si>
  <si>
    <t>Cash transfer programming supports and provides the transfer of cash or cash equivalents</t>
  </si>
  <si>
    <t>Les programmes de transferts monétaires soutiennent et garantissent le transfert d’espèces ou de quasi-espèces (p. ex. de bons)</t>
  </si>
  <si>
    <t>Mediante los programas de transferencias monetarias se apoya y se abarca la transferencia de dinero en efectivo o medios equivalentes (por ejemplo, cupones)</t>
  </si>
  <si>
    <t>تمثل برامج التحويلات النقدية آلية لدعم وتوفير التحويلات النقدية أو ما يكافئها (مثل قسائم الشراء)...</t>
  </si>
  <si>
    <t>migrationdescriptionlong</t>
  </si>
  <si>
    <t>Migration activities support the needs of people who leave or flee their homes in search of a more secure and stable environment in other countries. The Red Cross and Red Crescent has a trusted and vital role to play in meeting immediate needs and insisting on principled humanitarian action to protect the dignity and well-being of migrants, including migrant workers, irregular migrants, refugees and unaccompanied minors, among others.</t>
  </si>
  <si>
    <t>Les activités en matière de migration visent à répondre aux besoins des personnes qui quittent ou fuient leur maison en quête d’un environnement plus sûr et plus stable dans d’autres pays. La Croix-Rouge et le Croissant-Rouge ont un rôle de confiance et de premier plan à jouer dans la satisfaction des besoins immédiats et dans la promotion d’une action humanitaire fondée sur des principes pour protéger la dignité et le bien-être des migrants, notamment des travailleurs migrants, des migrants en situation irrégulière, des réfugiés et des mineurs non accompagnés.</t>
  </si>
  <si>
    <t>Las actividades en materia de migración contribuyen a la atención de las necesidades de quienes abandonan sus hogares o huyen de éstos en busca de mayor seguridad y estabilidad en otros países. Incumbe a las organizaciones de la Cruz Roja y de la Media Luna Roja una función crucial y digna de confianza en la atención de las necesidades inmediatas de los migrantes y en la perseverante defensa de la acción humanitaria basada en principios para la protección de la dignidad y del bienestar de estos, incluidos entre otros, los trabajadores migrantes, los migrantes en situación irregular, los refugiados y los menores no acompañados.</t>
  </si>
  <si>
    <t>تساعد أنشطة الهجرة على تلبية احتياجات الأشخاص الذين يغادرون أو يفرون من بيوتهم بحثاً عن أماكن أكثر أمناً واستقراراً في بلدهم. ويضطلع الصليب الأحمر والهلال الأحمر بدور حيوي ويحظى بالثقة في تلبية الاحتياجات الملحة والتأكيد على العمل الإنساني القائم على المبادئ حفاظاً على كرامة المهاجرين ورفاههم، بمن في ذلك العمال المهاجرون والمهاجرون غير النظاميين واللاجئون والقُصّر غير المصحوبين بذويهم وغيرهم.</t>
  </si>
  <si>
    <t>migrationdescriptionshort</t>
  </si>
  <si>
    <t>Migration activities support the needs of people who leave or flee their homes  in search of a more secure and stable environment in other countries</t>
  </si>
  <si>
    <t>Les activités en matière de migration visent à répondre aux besoins des personnes qui quittent ou fuient leur maison en quête d’un environnement plus sûr et plus stable dans d’autres pays</t>
  </si>
  <si>
    <t>Las actividades en materia de migración contribuyen a la atención de las necesidades de quienes abandonan sus hogares o huyen de éstos en busca de mayor seguridad y estabilidad en otros países</t>
  </si>
  <si>
    <t>تساعد أنشطة الهجرة على تلبية احتياجات الأشخاص الذين يغادرون أو يفرون من بيوتهم بحثاً عن أماكن أكثر أمناً واستقراراً من بلدهم.</t>
  </si>
  <si>
    <t>waterdescription</t>
  </si>
  <si>
    <t>WASH activities and services promote the availability and sustainability of safe water, sanitation and hygiene of vulnerable people.</t>
  </si>
  <si>
    <t>Les activités et les services liés à l'eau, l'assainissement et l'hygiène visent à favoriser l'accès des personnes vulnérables aux services d'eau, d'assainissement et d'hygiène et la durabilité de ces services.</t>
  </si>
  <si>
    <t>Mediante los servicios y actividades en materia de agua, saneamiento e higiene se fomenta la disponibilidad y el carácter sostenible de fuentes de agua salubre, servicios de saneamiento y la higiene de las personas vulnerables.</t>
  </si>
  <si>
    <t>تساعد أنشطة وخدمات الماء والصرف الصحي والنظافة الصحية على تعزيز إتاحة الماء النقي والصرف الصحي والنظافة الصحية للأشخاص المستضعفين.</t>
  </si>
  <si>
    <t>healthdescription</t>
  </si>
  <si>
    <t>تساهم الأنشطة الصحية مباشرة في حماية صحة السكان المعنيين وتعزيزها، وذلك بدءاً من التوعية بأهمية الصحة وصولاً إلى الوقاية والتشخيص والعلاج وإعادة التأهيل والرعاية التلطيفية والرعاية العاجلة وخدمات الرعاية طويلة المدى.</t>
  </si>
  <si>
    <t>livelihoodsdescriptionlong</t>
  </si>
  <si>
    <t>Livelihoods comprise the capabilities, assets and activities (or strategies) required for generating income and securing a means of living. Livelihoods services help communities (especially but not only in disaster and crisis affected areas) by supporting people to replace livelihood assets, restore livelihood activities, and strengthen, diversify and protect livelihoods, without damaging the natural resource base.</t>
  </si>
  <si>
    <t>Les moyens de subsistance sont les capacités, les actifs, et les activités (ou stratégies) nécessaires pour générer des revenus et assurer sa subsistance. Les services liés aux moyens de subsistance aident les communautés (en particulier mais pas uniquement dans les zones touchées par des catastrophes et des crises) à remplacer, restaurer, renforcer, diversifier et protéger leurs moyens de subsistance, sans endommager la base de ressources naturelles.</t>
  </si>
  <si>
    <t>Se entiende por medios de vida las capacidades, los bienes y las actividades (o estrategias) necesarios para generar ingresos y asegurar un sustento. Los servicios relativos a medios de vida ayudan a las comunidades (en particular, aunque no de manera exclusiva, en zonas afectadas por crisis y desastres) a remplazar los activos y reanudar las actividades de sustento, además de fortalecer, diversificar y proteger los medios de vida, sin menoscabo de los recursos naturales disponibles en su entorno.</t>
  </si>
  <si>
    <t>تشمل مصادر الرزق القدرات والأصول والأنشطة (أو الاستراتيجيات) اللازمة لتوليد الدخل وتأمين وسيلة لكسب الرزق. وتساعد خدمات تعزيز مصادر الرزق المجتمعات المحلية (لا سيما في المناطق المتضررة من الكوارث والأزمات على سبيل المثال لا الحصر) عن طريق دعم الناس من أجل الاستعاضة عن أصول كسب الرزق، واستعادة أنشطة كسب الرزق، وتعزيز سبل العيش وتنويعها وحمايتها، دون الإضرار بقاعدة الموارد الطبيعية.</t>
  </si>
  <si>
    <t>livelihoodsdescriptionshort</t>
  </si>
  <si>
    <t>Livelihoods comprise the capabilities, assets and activities (or strategies) required for generating income and securing a means of living</t>
  </si>
  <si>
    <t>Les moyens de subsistance sont les capacités, les actifs, et les activités (ou stratégies) nécessaires pour générer des revenus et assurer sa subsistance</t>
  </si>
  <si>
    <t>Se entiende por medios de vida las capacidades, los bienes y las actividades (o estrategias) necesarios para generar ingresos y asegurar un sustento.</t>
  </si>
  <si>
    <t>تشمل مصادر الرزق القدرات والأصول والأنشطة (أو الاستراتيجيات) اللازمة لتوليد الدخل وتأمين وسيلة لكسب الرزق...</t>
  </si>
  <si>
    <t>shelterdescription</t>
  </si>
  <si>
    <t>Les services et l'assistance dans le domaine du logement sont fournis avant, pendant et après une catastrophe afin de répondre aux besoins existants en matière de logement et d'établissements humains, de réduire les risques auxquels les personnes touchées sont confrontées et d'améliorer leur sécurité, leur bien-être et le relèvement à long terme.</t>
  </si>
  <si>
    <t>disasterriskdescriptionlong</t>
  </si>
  <si>
    <t>Disaster Risk Reduction is the concept and practice of reducing disaster risks through systematic efforts to analyse and manage the causal factors of disasters, including through reduced exposure to hazards, lessened vulnerability of people and property, wise management of land and the environment, and improved preparedness for adverse events. National Society activities include preparing and assisting communities in disaster- and crisis-vulnerable areas in adopting climate-risk-informed and environmentally responsible and other relevant values and practices.</t>
  </si>
  <si>
    <t>La réduction des risques de catastrophe est un concept et une pratique visant à réduire les risques de catastrophe par le biais d’activités systématiques d’analyse et de gestion des facteurs déterminants des catastrophes. L’objectif est notamment de réduire l’exposition aux risques, d’atténuer la vulnérabilité des personnes, de réduire la pauvreté, de garantir une gestion responsable des sols et de l’environnement et d’améliorer la préparation aux aléas. Les activités des Sociétés nationales visent notamment à préparer et à aider les communautés dans les régions exposées aux catastrophes et aux crises à adopter des valeurs et des pratiques tenant compte des risques climatiques et écologiquement responsables.</t>
  </si>
  <si>
    <t>La reducción del riesgo de desastres abarca el concepto y la práctica de esfuerzos sistemáticos de análisis y gestión de los factores causales de desastres con miras a la reducción del riesgo de estos, entre otros, gracias a una menor exposición a los peligros, la menor vulnerabilidad de las personas y los bienes, la gestión sensata de la tierra y del medio ambiente, así como una mejor preparación para hacer frente a acontecimientos adversos. Las actividades de la Sociedad Nacional incluyen tanto la preparación preventiva de las comunidades en las zonas expuestas a desastres y crisis, como la asistencia que se les brinda para fomentar la adopción de valores y prácticas fundamentadas en los riesgos climáticos y que respeten el medio ambiente, además de otros valores y prácticas pertinentes.</t>
  </si>
  <si>
    <t>الحد من مخاطر الكوارث هو مفهوم وممارسة بغرض الحد من مخاطر الكوارث من خلال بذل جهود منهجية لتحليل وإدارة العوامل المسببة للكوارث، بما في ذلك من خلال تقليل التعرض للأخطار، والحد من ضعف الناس وتعرض الممتلكات للخطر، والإدارة الحكيمة للأرض والبيئة، وتحسين التأهب للأحداث السلبية. وتشمل أنشطة الجمعية الوطنية إعداد المجتمعات المحلية في المناطق المعرضة للكوارث والأزمات، ومساعدتهم على تبني قيم وممارسات تعي مخاطر المناخ وتراعي المسؤولية البيئية وما إلى ذلك.</t>
  </si>
  <si>
    <t>disasterriskdescriptionshort</t>
  </si>
  <si>
    <t>Disaster Risk Reduction is the concept and practice of reducing disaster risks through</t>
  </si>
  <si>
    <t>La réduction des risques de catastrophe est un concept et une pratique visant à réduire les risques de catastrophe par le bias</t>
  </si>
  <si>
    <t>La reducción del riesgo de desastres abarca el concepto y la práctica</t>
  </si>
  <si>
    <t>الحد من مخاطر الكوارث هو مفهوم وممارسة بغرض الحد من مخاطر الكوارث من خلال...</t>
  </si>
  <si>
    <t>longtermservicesdescription</t>
  </si>
  <si>
    <t>Il s’agit des services fournis par la Société nationale dans les domaines du renforcement de la résilience communautaire, de l’amélioration de la santé et de la réponse aux besoins des personnes les plus vulnérables.</t>
  </si>
  <si>
    <t>Servicios de la Sociedad Nacional destinados al fortalecimiento de la capacidad de resiliencia comunitaria, al mejoramiento de la salud y a la atención de las necesidades de las personas más vulnerables.</t>
  </si>
  <si>
    <t>خدمات تقدمها الجمعية الوطنية لتعزيز قدرة المجتمعات المحلية على الصمود والنهوض بالصحة وتلبية احتياجات أشد الناس ضعفاً.</t>
  </si>
  <si>
    <t>indirectrecipientsdescription</t>
  </si>
  <si>
    <t>People reached Indirectly are People Reached who do not fit the definition of People Reached Directly.</t>
  </si>
  <si>
    <t>Les récipiendaires indirects sont les personnes couvertes qui n’entrent pas dans la définition des récipiendaires directs.</t>
  </si>
  <si>
    <t>Se entiende por beneficiarios indirectos quienes reciben ayuda fuera del ámbito establecido por la definición de beneficiarios directos.</t>
  </si>
  <si>
    <t>للاطلاع على مزيد من المعلومات يرجى الرجوع إلى دليل المستخدم لقاعدة البيانات ونظام الإفادة في الاتحاد الدولي.</t>
  </si>
  <si>
    <t>directrecipientsdescription</t>
  </si>
  <si>
    <t>People reached are people who receive (from the reporting National Society in the Reporting Year) tangible goods and/or any of a range of activities offering protection and assistance, including a positive change or support in knowledge, skills, awareness, attitudes, behaviour, and physical and psychosocial well-being and who can be counted or at least estimated with some degree of reliability.                //                        Reporting National Society staff, members, and volunteers are only counted as People Reached when they receive services due to their own need or development, and not as preparation to deliver services.                   /#/#/                             People Reached Directly are People Reached at a delivery point (or through a reliable link with a delivery point, e.g. when a household head receives goods specifically for a family member) and the reporting National Society provider is present to verify delivery of the goods or service. The delivery point can be stationary, as with a nurse at a health clinic, or mobile, as with a nurse providing vaccinations at households.        //                        When a recipient receives both direct and indirect services within the same Thematic Area or Type of Programme , they should only be reported as a direct recipient.                  //                                                         One person may be counted on more than one of the nine "People Reached" Indicators in the same Reporting Year.</t>
  </si>
  <si>
    <t>Les personnes couvertes sont les personnes qui reçoivent (de la Société nationale durant la période considérée) des biens matériels et/ou tout type de service de protection et d’assistance donnant lieu à un changement positif sur le plan des connaissances, des compétences, de la sensibilisation, des attitudes, du comportement et du bien-être physique et psychologique, dont le volume peut être mesuré ou au moins estimé avec un certain degré de fiabilité.      //          Le personnel, les membres et les volontaires de la Société nationale ne sont inclus dans le nombre de personnes couvertes que s’ils reçoivent des services visant à répondre à leurs propres besoins ou à contribuer à leur propre développement. Les activités de préparation à la fourniture de services n’entrent pas dans le cadre de cet indicateur.       /#/#/          Les récipiendaires directs sont les personnes ayant bénéficié d’un service fourni à un point de livraison (ou par le biais d’une personne de confiance présente à un point de livraison, p. ex. lorsque le chef du ménage reçoit des articles pour un membre donné de sa famille), où la Société nationale est présente pour contrôler la prestation du service ou la distribution du bien. Le point de livraison peut être fixe (p. ex. une infirmière oeuvrant dans un établissement de santé) ou mobile (p. ex. une infirmière assurant des services de vaccination à domicile).       //             Les personnes qui reçoivent à la fois des services directs et indirects au titre du même domaine thématique ou du même type de programme sont comptabilisées uniquement comme des récipiendaires directs.       //       Une personne peut être comptabilisée sous plusieurs des neuf indicateurs relatifs aux « personnes couvertes » pour la même période considérée.</t>
  </si>
  <si>
    <t>Se entiende por beneficiarios quienes reciben (de la Sociedad Nacional que aporta información sobre el año al que corresponden los datos) bienes tangibles, y/o quienes se benefician de cualquiera de las diversas actividades relacionadas con protección y asistencia - con inclusión de cambios positivos, o apoyo, en materia de conocimientos, destrezas, sensibilización, actitudes, comportamiento, bienestar físico y psicosocial -, cuya cantidad es posible establecer mediante conteo o, al menos, calcular con cierto grado de fiabilidad.  El personal, los miembros y los voluntarios de la Sociedad Nacional que aporta información figurarán incluidos bajo esta categoría únicamente cuando reciban servicios debido a sus propias necesidades o a acontecimientos específicos, más no cuando formen parte del esfuerzo de preparación para prestar servicios.  Se entiende por beneficiarios directos quienes reciben ayuda en el lugar donde se prestan los servicios (o a través de un vínculo fiable, por ejemplo, cuando la cabeza del hogar recibe bienes específicamente para un miembro de su familia), en presencia del agente de la Sociedad Nacional que aporta información que puede verificar la entrega de los bienes o la prestación de servicios. Los servicios se pueden prestar en un punto fijo, por ejemplo, una enfermera presente en un dispensario, o revestir carácter ambulatorio, por ejemplo, atención domiciliaria para la administración de vacunas.  Se entiende por beneficiarios indirectos quienes reciben ayuda fuera del ámbito establecido por la definición de beneficiarios directos.  Quienes reciben servicios directos e indirectos en el contexto de un mismo tipo de programa o esfera temática deberán figurar únicamente en calidad de beneficiarios directos.  Una persona puede figurar contada bajo varios de los nueve indicadores de la categoría “Beneficiarios” en un mismo año objeto de información.</t>
  </si>
  <si>
    <t>الأشخاص المستفيدون هم الذين يتلقون (من الجمعية الوطنية المُبلِّغة في سنة الإبلاغ) سلعاً مادية و/أو أي مجموعة من الأنشطة التي توفر الحماية والمساعدة، بما في ذلك التغير الإيجابي أو الدعم في مجالات المعرفة والمهارات والوعي والمواقف والسلوك والرفاه البدني والنفسي الاجتماعي، ويمكن إحصاء عددهم أو تقديره بشيء من الموثوقية على الأقل.  لا يُدرَج موظفو الجمعية الوطنية المُبلِّغة وأعضاؤها ومتطوعوها ضمن المستفيدين إلا عند تلقيهم خدمات لتلبية حاجاتهم أو لتنميتهم، وليس في إطار الإعداد لتقديم خدمات.  المستفيدون المباشرون هم متلقو الخدمة عند نقطة تقديمها (أو من خلال رابط موثوق بنقطة تقديم الخدمة، على سبيل المثال عندما يتلقى رب أسرة سلعاً مخصصة لأحد أفراد الأسرة)، مع وجود موفِّر الخدمة لدى الجمعية الوطنية المُبلِّغة للتحقق من تسليم السلع أو الخدمة. ويمكن أن تكون نقطة تقديم الخدمة ثابتة، كما هو الحال مع ممرضة في عيادة صحية، أو نقطة متنقلة، كما هو الحال مع ممرضة تقدم اللقاحات إلى الأسر في منازلهم.  المستفيدون غير المباشرين هم الذين لا ينطبق عليهم تعريف المستفيدين المباشرين.  عند تلقي مستفيد خدمات مباشرة وغير مباشرة ضمن نفس المجال المواضيعي أو نوع البرنامج، فينبغي الإبلاغ عنه كمستفيد مباشر فقط.  يجوز احتساب شخص واحد ضمن أكثر من مؤشر من مؤشرات "المستفيدين" التسعة في سنة الإبلاغ ذاتها.</t>
  </si>
  <si>
    <t>disasterresponsedescription</t>
  </si>
  <si>
    <t>Il s’agit des services fournis par la Société nationale dans les domaines des secours d’urgence et du relèvement à la suite d’une catastrophe naturelle ou provoquée par l’homme.</t>
  </si>
  <si>
    <t>Servicios que presta la Sociedad Nacional a raíz de desastres naturales y antropogénicos y con miras al fortalecimiento de la recuperación posterior a estos.</t>
  </si>
  <si>
    <t>خدمات تقدمها الجمعية الوطنية لمواجهة الكوارث الطبيعية والتي يتسبب فيها الإنسان وتعزيز الانتعاش منها.</t>
  </si>
  <si>
    <t>fdrsuserguideforprogramdefinition</t>
  </si>
  <si>
    <t>The definitions of Type of Programme and Thematic Areas are given in the FDRS User Guide.</t>
  </si>
  <si>
    <t>Vous trouverez une définition des types de programmes et des domaines thématiques dans le Guide de l’utilisateur du FDRS.</t>
  </si>
  <si>
    <t>Las definiciones de los tipos de programa y de los ámbitos temáticos figuran en la guía del usuario del banco de datos y sistema de información general interno de la Federación Internacional.</t>
  </si>
  <si>
    <t>وترد تعاريف أنواع البرامج والمجالات المواضيعية في دليل المستخدم لقاعدة البيانات ونظام الإفادة في الاتحاد الدولي.</t>
  </si>
  <si>
    <t>peopletraineddescription</t>
  </si>
  <si>
    <t>blooddonationdescription</t>
  </si>
  <si>
    <t>staffdeathsdescriptionlong</t>
  </si>
  <si>
    <t>People who are contracted by the Reporting National Society for a minimum of three months in total during the Reporting Year and are either remunerated for their work or are interns       //            AND           //           who have died during the Reporting Year while performing duties for the reporting National Society.</t>
  </si>
  <si>
    <t>Il s’agit des personnes ayant travaillé au moins trois mois pendant les douze mois considérés pour la Société nationale en étant rémunérées ou en tant que stagiaires    //       ET        //      qui ont perdu la vie au cours de l’année considérée en oeuvrant pour la Société nationale.</t>
  </si>
  <si>
    <t>Personas que, durante al menos tres meses del año objeto de informe, han trabajado bajo contrato a cambio de una remuneración, o han realizado una pasantía con la Sociedad Nacional Y que fallecieron durante el periodo sujeto a examen, en el desempeño de funciones en representación de la Sociedad Nacional.</t>
  </si>
  <si>
    <t>الأشخاص الذين تطوعوا  من أجل تقديم الخدمات لدى الجمعية الوطنية المُبلِّغة لمدة لا تقل عن 4 ساعات خلال سنة الإيلاغ، ولقوا حتفهم خلال سنة الإبلاغ ذاتها أثناء أداء مهامهم لأجل الجمعية الوطنية.</t>
  </si>
  <si>
    <t>staffdeathsdescriptionshort</t>
  </si>
  <si>
    <t>People who are contracted by the Reporting National Society for a minimum of three months</t>
  </si>
  <si>
    <t>Personas que, durante al menos tres meses del año objeto de informe, han trabajado bajo contrato a cambio de una remuneración, o han realizado una pasantía con la Sociedad Nacional</t>
  </si>
  <si>
    <t>عدد الموظفين بأجر الذين لقوا حتفهم خلال سنة الإبلاغ ذاتها أثناء أداء مهامهم لأجل الجمعية الوطنية.</t>
  </si>
  <si>
    <t>staffwithinsurancedescriptionlong</t>
  </si>
  <si>
    <t>People who are contracted by the Reporting National Society for a minimum of three months in total during the Reporting Year and are either remunerated for their work or are interns       //            AND        //               who are covered under an accident insurance scheme of the National Society such as the IFRC global accident insurance scheme  or another similar scheme, at the end of the Reporting Year.</t>
  </si>
  <si>
    <t>Il s’agit des personnes ayant travaillé au moins trois mois pendant les douze mois considérés pour la Société nationale en étant rémunérées ou en tant que stagiaires ET qui bénéficient au cours de l’année considérée d’une couverture d’assurance-accident de la Société nationale dans le cadre de leurs activités avec la Société nationale.</t>
  </si>
  <si>
    <t>Personas que, durante al menos tres meses del año objeto de informe, han trabajado bajo contrato a cambio de una remuneración, o han realizado una pasantía con la Sociedad Nacional Y que gozan de cobertura de seguro contra accidentes por parte de la Sociedad Nacional (por ejemplo, a tenor del plan de seguro mundial contra accidentes de la Federación Internacional, u otro sistema de características similares) durante el servicio que prestan a la Sociedad Nacional en el periodo concernido.</t>
  </si>
  <si>
    <t>الأشخاص الذين تطوعوا من أجل تقديم الخدمات لدى الجمعية الوطنية المُبلِّغة لمدة لا تقل عن 4 ساعات خلال سنة الإيلاغ، ويشملهم برنامج الجمعية الوطنية للتأمين ضد الحوادث من قبيل برنامج الاتحاد الدولي العالمي للتأمين ضد الحوادث أو برنامج آخر مماثل في نهاية سنة الإبلاغ.</t>
  </si>
  <si>
    <t>staffwithinsurancedescriptionshort</t>
  </si>
  <si>
    <t>عدد الموظفين بأجر الذين يشملهم برنامج الجمعية الوطنية للتأمين ضد الحوادث...</t>
  </si>
  <si>
    <t>paidstaffdescription</t>
  </si>
  <si>
    <t>fdrsuserguide</t>
  </si>
  <si>
    <t>For more information please refer to the FDRS User Guide.</t>
  </si>
  <si>
    <t>Pour des informations complémentaires, veuillez vous référer au Guide de l’utilisateur du FDRS.</t>
  </si>
  <si>
    <t>Puede obtener más información en la guía del usuario del banco de datos y sistema de información general interno de la Federación Internacional.</t>
  </si>
  <si>
    <t>volunteerdeathsdescriptionlong</t>
  </si>
  <si>
    <t>People that have given their time voluntarily to support the delivery of services of the reporting National Society for at least four hours during the Reporting Year                //           AND              //        who have died during the Reporting Year while performing duties for the reporting National Society</t>
  </si>
  <si>
    <t>Personnes ayant travaillé au moins quatre heures comme volontaires pendant les douze mois considérés pour soutenir la fourniture de services de la Société nationale      //    ET      //     qui ont perdu la vie au cours de l’année considérée en oeuvrant pour la Société nationale.</t>
  </si>
  <si>
    <t>Personas que han cedido al menos cuatro horas de su tiempo a título voluntario para apoyar la prestación de servicios de la Sociedad Nacional que aporta información, durante el periodo concernido Y que fallecieron durante el periodo sujeto a examen, en el desempeño de funciones en representación de la Sociedad Nacional.</t>
  </si>
  <si>
    <t>volunteerdeathsdescriptionshort</t>
  </si>
  <si>
    <t>عدد المتطوعين الذين لقوا حتفهم خلال سنة الإبلاغ ذاتها أثناء أداء مهامهم لأجل الجمعية الوطنية</t>
  </si>
  <si>
    <t>volunteeringaccidentinsurancedescriptionlong</t>
  </si>
  <si>
    <t>People that have given their time voluntarily to support the delivery of services of the reporting National Society for at least four hours during the Reporting Year              //        AND      //       who are covered under an accident insurance scheme of the National Society such as the IFRC global accident insurance scheme  or another similar scheme, during their activities for the National Society in the reporting year.</t>
  </si>
  <si>
    <t>Personnes ayant travaillé au moins quatre heures comme volontaires pendant les douze mois considérés pour soutenir la fourniture de services de la Société nationale ET qui bénéficient au cours de l’année considérée d’une couverture d’assurance-accident de la Société nationale dans le cadre de leurs activités avec la Société nationale.</t>
  </si>
  <si>
    <t>Personas que han cedido al menos cuatro horas de su tiempo a título voluntario para apoyar la prestación de servicios de la Sociedad Nacional que aporta información, durante el periodo concernido Y que gozan de cobertura de seguro contra accidentes por parte de la Sociedad Nacional (por ejemplo, a tenor del plan de seguro mundial contra accidentes de la Federación Internacional, u otro sistema de características similares) durante el servicio que prestan a la Sociedad Nacional en el periodo concernido.</t>
  </si>
  <si>
    <t>volunteeringaccidentinsurancedescriptionshort</t>
  </si>
  <si>
    <t>People that have given their time voluntarily to support the delivery of services of the reporting National Society</t>
  </si>
  <si>
    <t>Personas que han cedido al menos cuatro horas de su tiempo a título voluntario para apoyar la prestación de servicios de la Sociedad Nacional que aporta información</t>
  </si>
  <si>
    <t>عدد المتطوعين الذين يشملهم برنامج الجمعية الوطنية للتأمين ضد الحوادث...</t>
  </si>
  <si>
    <t>volunteeringtimedescription</t>
  </si>
  <si>
    <t>financereportingincomepersourcedescription</t>
  </si>
  <si>
    <t>See full list of definitions in the FDRS User Guide</t>
  </si>
  <si>
    <t>Voir la liste complète de définitions dans le Guide de l’utilisateur du FDRS</t>
  </si>
  <si>
    <t>En la guía del usuario del banco de datos y sistema de información general interno de la Federación Internacional figura la lista completa de definiciones.</t>
  </si>
  <si>
    <t>إجمالي الدخل مقسم حسب مصدر الدخل (بالعملة المحلية)</t>
  </si>
  <si>
    <t>financereportingexpendituredescription</t>
  </si>
  <si>
    <t>The total expenditure is the fiscal value of money, material goods, and services which the Reporting National Society spends during the Reporting Year, excluding internal transfers within the reporting National Society.</t>
  </si>
  <si>
    <t>Indicateur total des dépenses indique la valeur fiscale des fonds, des biens matériels et des services payés par la Société nationale au cours de l’année considérée, à l’exclusion des transferts internes à la Société nationale.</t>
  </si>
  <si>
    <t>Indicador gastos totales indica el valor fiscal del dinero, de los bienes materiales y los servicios que incluye en su labor la Sociedad Nacional durante el periodo objeto de informe, con exclusión de las transferencias internas realizadas durante ese lapso.</t>
  </si>
  <si>
    <t>financereportingincomedescription</t>
  </si>
  <si>
    <t>The total income is the fiscal value of money, material goods, and services received by the reporting National Society during the Reporting Year, from any source, excluding internal transfers within the reporting National Society.</t>
  </si>
  <si>
    <t>Indicateur recettes totales indique la valeur fiscale des fonds, des biens matériels et des services reçus par la Société nationale au cours de l’année considérée de toutes les sources confondues, étant exclus des transferts internes à la Société nationale.</t>
  </si>
  <si>
    <t>Indicador ingresos totales indica el valor fiscal del dinero, los bienes materiales y los servicios que recibe de cualquier fuente para su labor la Sociedad Nacional durante el periodo objeto de informe, sin incluir las transferencias internas realizadas durante ese lapso.</t>
  </si>
  <si>
    <t>financereportingcurrencydescription</t>
  </si>
  <si>
    <t>Monnaie de compte, selon les codes de l’Organisation internationale de normalisation (ISO). La Société nationale décide de la monnaie dans laquelle elle soumettra ses données financières. Généralement il s’agit de la monnaie utilisée pour tous ses rapports financiers, dont ses états financiers.</t>
  </si>
  <si>
    <t>La moneda, de conformidad con los códigos de la Organización Internacional de la Normalización (ISO). La Sociedad Nacional determina la moneda en la que expresa sus cifras financieras. Suele ser idéntica para toda la información financiera, con inclusión de los estados financieros.</t>
  </si>
  <si>
    <t>localunitdescriptionlong</t>
  </si>
  <si>
    <t>Local units are any physical subdivisions of a National Society that coordinate and deliver services to people. These include branches, sections or chapters, headquarters, regional and intermediate offices.</t>
  </si>
  <si>
    <t>Les unités locales sont définies comme les bureaux physiques de la Société nationale qui travaillent directement auprès de la population. Elles englobent notamment les chapitres locaux, les sections, les bureaux régionaux et intermédiaires, et le siège.</t>
  </si>
  <si>
    <t xml:space="preserve">Unidades locales son cualquier subdivisión física de la Sociedad Nacional que coordina y brinda servicios a las personas. Ello incluye secciones locales, sucursales, filiales, regionales, comités, oficina central y oficinas intermedias. </t>
  </si>
  <si>
    <t>الوحدات المحلية هي مكاتب الجمعية الوطنية التي تنسق الخدمات وتقدمها للسكان مباشرة. وتشمل هذه المكاتب الفروع أو الأقسام أو الفصول، والمقر الرئيسي، والمكاتب الإقليمية والمتوسطة.</t>
  </si>
  <si>
    <t>localunitdescriptionshort</t>
  </si>
  <si>
    <t>Local units are any physical subdivisions of a National Society that coordinate and deliver services to people.</t>
  </si>
  <si>
    <t>Les unités locales sont définies comme les bureaux physiques de la Société nationale qui travaillent directement auprès de la population</t>
  </si>
  <si>
    <t>Unidades locales son cualquier subdivisión física de la Sociedad Nacional que coordina y brinda servicios a las personas</t>
  </si>
  <si>
    <t>الوحدات المحلية هي مكاتب الجمعية الوطنية التي تنسق الخدمات وتقدمها للسكان مباشرة.</t>
  </si>
  <si>
    <t>governingboarddescriptionlong</t>
  </si>
  <si>
    <t>The National Society Governing Board is the highest, national level decision-making governing body between sessions of the General Assembly.   // The Governing Board uses its authority to direct and make decisions on behalf of the National Society, in particular in regard to setting direction and priorities, being accountable to stakeholders and ensuring compliance with internal rules and agreements. The Governing Board traditionally includes the President, Vice President(s), Treasurer and other elected or appointed members.  Do not include governing boards related to branches, sections or local units.</t>
  </si>
  <si>
    <t>Le conseil de direction de la Société nationale - est l’organe suprême de prise de décision entre les sessions de l’assemblée générale.        //        Le conseil de direction a compétence pour diriger la Société nationale et prendre des décisions en son nom. En particulier, il définit l’orientation et les priorités de la Société nationale, garantit la redevabilité à l’égard des parties prenantes et veille au respect des règles internes et des accords. Le conseil de direction est normalement composé du président, des vice-présidents, du trésorier et d’autres membres élus ou nommés. N’incluez pas les informations relatives aux conseils de direction des sections, des chapitres ou des unités locales.</t>
  </si>
  <si>
    <t>La junta de gobierno de la Sociedad Nacional es el órgano de gobierno más alto a nivel nacional que rige los destinos de esta entre periodos de sesiones de la asamblea general.      //   La junta de gobierno utiliza su autoridad para orientar y tomar decisiones en nombre de la Sociedad Nacional, en particular en cuanto a la dirección y las prioridades de esta, la rendición de cuentas a las partes interesadas y la garantía de que se cumplan las normas y acuerdos internos. Por lo general, la junta de gobierno incluye un presidente, un vicepresidente, un tesorero y otros miembros elegidos. No se deberá incluir las juntas de gobierno de secciones, subdivisiones o unidades locales.</t>
  </si>
  <si>
    <t>يشير مجلس إدارة الجمعية الوطنية إلى أعلى هيئة حكم معنية بصناعة القرار خلال الفترات الفاصلة بين دورات الجمعية العامة. ويستخدم مجلس الإدارة سلطته لتوجيه الجمعية الوطنية واتخاذ القرارات باسمها، لا سيما فيما يتعلق بتحديد الاتجاه والأولويات، وتحمُّل المسؤولية أمام الأطراف المعنية، وضمان الامتثال  للاتفاقات والقواعد الداخلية. وعادة ما يتألف مجلس الإدارة من الرئيس ونائب أو نوَّاب الرئيس، وأمين الصندوق، وغيره من الأعضاء المنتخبين أو المعينين. وهو لا يشمل مجالس إدارة الفروع أو القطاعات أو الوحدات المحلية.</t>
  </si>
  <si>
    <t>governingboarddescriptionshort</t>
  </si>
  <si>
    <t>The National Society Governing Board is the highest, national level decision-making governing body between sessions of the General Assembly</t>
  </si>
  <si>
    <t>Le conseil de direction de la Société nationale - est l’organe suprême de prise de décision entre les sessions de l’assemblée générale</t>
  </si>
  <si>
    <t>La junta de gobierno de la Sociedad Nacional es el órgano de gobierno más alto a nivel nacional que rige los destinos de esta entre periodos de sesiones de la asamblea general</t>
  </si>
  <si>
    <t>يشير مجلس إدارة الجمعية الوطنية إلى أعلى هيئة حكم معنية بصناعة القرار خلال الفترات الفاصلة بين دورات الجمعية العامة...</t>
  </si>
  <si>
    <t>due</t>
  </si>
  <si>
    <t>Due</t>
  </si>
  <si>
    <t>Délai pour soumettre les informations</t>
  </si>
  <si>
    <t>Debido</t>
  </si>
  <si>
    <t>مهلة تقديم المعلومات</t>
  </si>
  <si>
    <t>today</t>
  </si>
  <si>
    <t>Today</t>
  </si>
  <si>
    <t>Aujourd'hui</t>
  </si>
  <si>
    <t>Hoy</t>
  </si>
  <si>
    <t>اليوم</t>
  </si>
  <si>
    <t>start</t>
  </si>
  <si>
    <t>Start</t>
  </si>
  <si>
    <t>Commencer</t>
  </si>
  <si>
    <t>Comienzar</t>
  </si>
  <si>
    <t>ابدأ</t>
  </si>
  <si>
    <t>I DON'T KNOW</t>
  </si>
  <si>
    <t>JE NE SAIS PAS</t>
  </si>
  <si>
    <t>NO LE SÉ</t>
  </si>
  <si>
    <t>لا أعلم</t>
  </si>
  <si>
    <t>optionaldocuments</t>
  </si>
  <si>
    <t>Optional Documents</t>
  </si>
  <si>
    <t>Documents facultatifs</t>
  </si>
  <si>
    <t>Documentos adicionales</t>
  </si>
  <si>
    <t>الوثائق الاختيارية</t>
  </si>
  <si>
    <t>requireddocuments</t>
  </si>
  <si>
    <t>Required Documents</t>
  </si>
  <si>
    <t>Documents requis</t>
  </si>
  <si>
    <t>Documentos requeridos</t>
  </si>
  <si>
    <t>الوثائق المطلوبة</t>
  </si>
  <si>
    <t>selectoneormore</t>
  </si>
  <si>
    <t>Select one or more</t>
  </si>
  <si>
    <t>Sélectionner un ou plusieurs</t>
  </si>
  <si>
    <t>Seleccione uno o más</t>
  </si>
  <si>
    <t>انتق واحد أو أكثر</t>
  </si>
  <si>
    <t>nspeoplereachedbythematicareaandothers</t>
  </si>
  <si>
    <t>NS Activities By Thematic Areas</t>
  </si>
  <si>
    <t>Personnes couvertes par domaine thématique</t>
  </si>
  <si>
    <t>Beneficiarios por ámbito temático</t>
  </si>
  <si>
    <t>الأشخاص المشمولين حسب المواضيع</t>
  </si>
  <si>
    <t>nspeoplereachedbytypeofprogramme</t>
  </si>
  <si>
    <t>People reached By Type Of Programme</t>
  </si>
  <si>
    <t>Personnes couvertes par type de programme</t>
  </si>
  <si>
    <t>Beneficiarios por tipo de programa</t>
  </si>
  <si>
    <t>الأشخاص المشمولين حسب نوع البرنامج</t>
  </si>
  <si>
    <t>nsbloodfirstaidactivities</t>
  </si>
  <si>
    <t>Blood And First Aid Activities</t>
  </si>
  <si>
    <t>Activités dans les domaines du sang et des premiers secours</t>
  </si>
  <si>
    <t>Actividades sanguíneas y de primeros auxilios</t>
  </si>
  <si>
    <t>الأنشطة في مجال الدم والإسعافات الأولية</t>
  </si>
  <si>
    <t>nsreachdescription</t>
  </si>
  <si>
    <t>Fill out information regarding the reach from your National Society.</t>
  </si>
  <si>
    <t>Saisir les informations concernant la portée de votre Société nationale</t>
  </si>
  <si>
    <t>Llenar información en relación al alcance de su Sociedad Nacional</t>
  </si>
  <si>
    <t>دوّن المعلومات المتعلقة بتغطية جمعيتك الوطنية</t>
  </si>
  <si>
    <t>othernationalsocietysupport</t>
  </si>
  <si>
    <t>Other National Society support</t>
  </si>
  <si>
    <t>Soutien d'autres Sociétés nationales</t>
  </si>
  <si>
    <t>Otro apoyo de Sociedades Nacionales</t>
  </si>
  <si>
    <t>دعم الجمعيات الوطنية الأخرى</t>
  </si>
  <si>
    <t>nationalsocietyfinancialdata</t>
  </si>
  <si>
    <t>National Society financial data</t>
  </si>
  <si>
    <t>Données financières de la Société nationale</t>
  </si>
  <si>
    <t>Datos financieros de la Sociedad Nacional</t>
  </si>
  <si>
    <t>البيانات المالية للجمعية الوطنية</t>
  </si>
  <si>
    <t>nationalsocietystaff</t>
  </si>
  <si>
    <t>Employés de la Société nationale</t>
  </si>
  <si>
    <t>Personal remunerado de la Sociedad Nacional</t>
  </si>
  <si>
    <t>موظفو الجمعية الوطنية</t>
  </si>
  <si>
    <t>nationalsocietyvolunteers</t>
  </si>
  <si>
    <t>Voluntarios de la Sociedad Nacional</t>
  </si>
  <si>
    <t>متطوعو الجمعية الوطنية</t>
  </si>
  <si>
    <t>nationalsocietyfinancialdatalong</t>
  </si>
  <si>
    <t>nsfinanceandpartnershipsdescription</t>
  </si>
  <si>
    <t>Fill out information regarding the finance and other NS support from your National Society.</t>
  </si>
  <si>
    <t>Saisir les informations concernant les finances de votre Société nationale et le soutien qu'elle apporte à d'autres Sociétés nationales</t>
  </si>
  <si>
    <t>Llenar información en relación a las finanzas y apoyo de Sociedades Nacionales a su Sociedad Nacional.</t>
  </si>
  <si>
    <t>دوّن المعلومات المتعلقة بمالية جمعيتك الوطنية والدعم الذي تقدمه لجمعيات أخرى</t>
  </si>
  <si>
    <t>nsgovandstructuredescription</t>
  </si>
  <si>
    <t>Fill out information regarding the governing board, local units, volunteers, and staff from your National Society.</t>
  </si>
  <si>
    <t>Saisir les informations concernant le conseil de direction, les unités locales, les volontaires et les employés de votre Société nationale</t>
  </si>
  <si>
    <t>Llenar información en relación a la Junta de Gobierno, unidades locales, voluntarios y personal remunerado de su Sociedad Nacional.</t>
  </si>
  <si>
    <t>دوّن المعلومات المتعلقة بمجلس الإدارة والوحدات المحلية والمتطوعين والموظفين في جمعيتك الوطنية.</t>
  </si>
  <si>
    <t>secondarycontact</t>
  </si>
  <si>
    <t>Secondary contact</t>
  </si>
  <si>
    <t>Personne de contact secondaire</t>
  </si>
  <si>
    <t>Contacto secundario</t>
  </si>
  <si>
    <t>الشخص المعني الثانوي</t>
  </si>
  <si>
    <t>primarycontact</t>
  </si>
  <si>
    <t>Primary contact</t>
  </si>
  <si>
    <t>Principale personne de contact</t>
  </si>
  <si>
    <t>Contacto principal</t>
  </si>
  <si>
    <t>الشخص المعني الرئيسي</t>
  </si>
  <si>
    <t>contactinfo</t>
  </si>
  <si>
    <t>Contact Information</t>
  </si>
  <si>
    <t>Informations de contact</t>
  </si>
  <si>
    <t>Información de contacto</t>
  </si>
  <si>
    <t>بيانات الاتصال</t>
  </si>
  <si>
    <t>address</t>
  </si>
  <si>
    <t>Address</t>
  </si>
  <si>
    <t>Adresse</t>
  </si>
  <si>
    <t>Dirección</t>
  </si>
  <si>
    <t>العنوان</t>
  </si>
  <si>
    <t>generalinfo</t>
  </si>
  <si>
    <t>General Information</t>
  </si>
  <si>
    <t>Informations générales</t>
  </si>
  <si>
    <t>Información general</t>
  </si>
  <si>
    <t>معلومات عامة</t>
  </si>
  <si>
    <t>seconddata</t>
  </si>
  <si>
    <t>Documents Uploaded (%)</t>
  </si>
  <si>
    <t>Documents chargés</t>
  </si>
  <si>
    <t>Documentos cargados</t>
  </si>
  <si>
    <t>الوثائق التي تم تحميلها</t>
  </si>
  <si>
    <t>firstdata</t>
  </si>
  <si>
    <t>KPI Data Completion (%)</t>
  </si>
  <si>
    <t>Pourcentage d'informations soumises</t>
  </si>
  <si>
    <t>Porcentaje de cumplimiento</t>
  </si>
  <si>
    <t>نسبة المعلومات المقدمة</t>
  </si>
  <si>
    <t>inprogress</t>
  </si>
  <si>
    <t>In progress</t>
  </si>
  <si>
    <t>En cours</t>
  </si>
  <si>
    <t>En progreso</t>
  </si>
  <si>
    <t>جاري</t>
  </si>
  <si>
    <t>completionoverlastthreeyears</t>
  </si>
  <si>
    <t>Completion over the last 3 years</t>
  </si>
  <si>
    <t>Informations soumises ces trois dernières années</t>
  </si>
  <si>
    <t>Cumplimiento en los últimos 3 años</t>
  </si>
  <si>
    <t>المعلومات المقدمة خلال السنوات الثلاث الأخيرة</t>
  </si>
  <si>
    <t>nationalsocietypeoplereachedbythematicarea</t>
  </si>
  <si>
    <t>nationalsocietypeoplereachedbytypeofprogramme</t>
  </si>
  <si>
    <t>nationalsocietybloodandfirstaidactivities</t>
  </si>
  <si>
    <t>أنشطة في مجال الدم والإسعافات الأولية</t>
  </si>
  <si>
    <t>Other NS Support</t>
  </si>
  <si>
    <t>دعم جمعيات وطنية أخرى</t>
  </si>
  <si>
    <t>Financial Data</t>
  </si>
  <si>
    <t>Datos financieros</t>
  </si>
  <si>
    <t>البيانات المالية</t>
  </si>
  <si>
    <t>Employés</t>
  </si>
  <si>
    <t>الموظفون</t>
  </si>
  <si>
    <t>nationalsocietylocalunits</t>
  </si>
  <si>
    <t>Local units and branches</t>
  </si>
  <si>
    <t>governingboardinformation</t>
  </si>
  <si>
    <t>Conseil de direction</t>
  </si>
  <si>
    <t>Junta de Gobierno</t>
  </si>
  <si>
    <t>مجلس الإدارة</t>
  </si>
  <si>
    <t>complete</t>
  </si>
  <si>
    <t>Complete</t>
  </si>
  <si>
    <t>Terminé</t>
  </si>
  <si>
    <t>Completar</t>
  </si>
  <si>
    <t>انتهى</t>
  </si>
  <si>
    <t>keydocumentsheader</t>
  </si>
  <si>
    <t>Key Documents</t>
  </si>
  <si>
    <t>Documents clés</t>
  </si>
  <si>
    <t>Documentos clave</t>
  </si>
  <si>
    <t>الوثائق الرئيسية</t>
  </si>
  <si>
    <t>nsreach</t>
  </si>
  <si>
    <t>NS Reach</t>
  </si>
  <si>
    <t>Portée de la Société nationale</t>
  </si>
  <si>
    <t>Alcance de la Sociedad Nacional</t>
  </si>
  <si>
    <t>تغطية الجمعية الوطنية</t>
  </si>
  <si>
    <t>nsfinanceandpartnerships</t>
  </si>
  <si>
    <t>NS Finance &amp; Partnerships</t>
  </si>
  <si>
    <t>Finances et partenariats de la Société nationale</t>
  </si>
  <si>
    <t>Alianzas y Finanzas de la Sociedad Nacional</t>
  </si>
  <si>
    <t>مالية الجمعية الوطنية وشراكاتها</t>
  </si>
  <si>
    <t>nsgovandstructure</t>
  </si>
  <si>
    <t>NS Governance &amp; Structure</t>
  </si>
  <si>
    <t>Gouvernance et structure de la Société nationale</t>
  </si>
  <si>
    <t>Estructura y Gobierno de la Sociedad Nacional</t>
  </si>
  <si>
    <t>حوكمة الجمعية الوطنية وهيكلها</t>
  </si>
  <si>
    <t>reportingcompletionsummary</t>
  </si>
  <si>
    <t>Your reporting completion summary</t>
  </si>
  <si>
    <t>Aperçu des informations que vous avez soumises</t>
  </si>
  <si>
    <t>Resumen de finalización de reportes</t>
  </si>
  <si>
    <t>موجز المعلومات التي قدمتموها</t>
  </si>
  <si>
    <t>daysoverdue</t>
  </si>
  <si>
    <t>Days Overdue</t>
  </si>
  <si>
    <t>Nombre de jours de retard</t>
  </si>
  <si>
    <t>Días atrasados</t>
  </si>
  <si>
    <t>عدد أيام التأخير</t>
  </si>
  <si>
    <t>publishallvalidateddata</t>
  </si>
  <si>
    <t>Publish all validated date</t>
  </si>
  <si>
    <t>Publier toutes les dates validées</t>
  </si>
  <si>
    <t>Publicar todas las fechas validadas</t>
  </si>
  <si>
    <t>انشر كل البيانات المعتمدة</t>
  </si>
  <si>
    <t>dbt001</t>
  </si>
  <si>
    <t>Bhutan Red Cross</t>
  </si>
  <si>
    <t>الصليب الأحمر  البوتاني</t>
  </si>
  <si>
    <t>dmh001</t>
  </si>
  <si>
    <t>الصليب الأحمر  لجزر  مارشال</t>
  </si>
  <si>
    <t>closelocaltime</t>
  </si>
  <si>
    <t>Close window</t>
  </si>
  <si>
    <t>Fermer la fenêtre</t>
  </si>
  <si>
    <t>Cerrar ventana</t>
  </si>
  <si>
    <t>اغلق النافذة</t>
  </si>
  <si>
    <t>clickherelocaltime</t>
  </si>
  <si>
    <t>Click here to see local time</t>
  </si>
  <si>
    <t>Cliquer ici pour voir l'heure locale</t>
  </si>
  <si>
    <t>Clic aquí para ver la hora local</t>
  </si>
  <si>
    <t>انقر هنا للاطلاع على التوقيت المحلي</t>
  </si>
  <si>
    <t>uploaddocument_title</t>
  </si>
  <si>
    <t>Upload document</t>
  </si>
  <si>
    <t>Charger un document</t>
  </si>
  <si>
    <t>Cargar documento</t>
  </si>
  <si>
    <t>تحميل وثيقة</t>
  </si>
  <si>
    <t>deletedocumentconfirmmessage</t>
  </si>
  <si>
    <t>Are you sure you want to Delete this document?</t>
  </si>
  <si>
    <t>Êtes-vous sûr de vouloir supprimer ce document ?</t>
  </si>
  <si>
    <t>¿Está seguro que quiere Borrar éste documento?</t>
  </si>
  <si>
    <t>هل انت متأكد من أنك تريد حذف هذه الوثيقة؟</t>
  </si>
  <si>
    <t>editnationalsociety_backbutton</t>
  </si>
  <si>
    <t>Back to list of documents</t>
  </si>
  <si>
    <t>Retour à la liste des documents</t>
  </si>
  <si>
    <t>Regresar al listado de documentos</t>
  </si>
  <si>
    <t>العودة إلى قائمة الوثائق</t>
  </si>
  <si>
    <t>editdocument_title</t>
  </si>
  <si>
    <t>Edit Document</t>
  </si>
  <si>
    <t>Modifier le document</t>
  </si>
  <si>
    <t>Editar documento</t>
  </si>
  <si>
    <t>تحرير الوثيقة</t>
  </si>
  <si>
    <t>nodocumentfound</t>
  </si>
  <si>
    <t>No documents found</t>
  </si>
  <si>
    <t>Aucun document trouvé</t>
  </si>
  <si>
    <t>No se han encontrado documentos</t>
  </si>
  <si>
    <t>لم يُعثر على أي وثيقة</t>
  </si>
  <si>
    <t>Upload New</t>
  </si>
  <si>
    <t>تحميل وثيقة جديدة</t>
  </si>
  <si>
    <t>editlink_button</t>
  </si>
  <si>
    <t>documentpagepublic</t>
  </si>
  <si>
    <t>Public</t>
  </si>
  <si>
    <t>Público</t>
  </si>
  <si>
    <t>الجممهور</t>
  </si>
  <si>
    <t>documentpagedocumenttype</t>
  </si>
  <si>
    <t>Type</t>
  </si>
  <si>
    <t>Tipo</t>
  </si>
  <si>
    <t>النوع</t>
  </si>
  <si>
    <t>documentpagelanguage</t>
  </si>
  <si>
    <t>Language</t>
  </si>
  <si>
    <t>Langue</t>
  </si>
  <si>
    <t>Idioma</t>
  </si>
  <si>
    <t>اللغة</t>
  </si>
  <si>
    <t>documentpagename</t>
  </si>
  <si>
    <t>الاسم</t>
  </si>
  <si>
    <t>guideandtoolsintro</t>
  </si>
  <si>
    <t>On this page, you can find guides and tools that will be useful to your FDRS reporting.</t>
  </si>
  <si>
    <t>Vous trouverez sur cette page les guides et les outils utiles pour saisir vos informations dans le FDRS.</t>
  </si>
  <si>
    <t>En esta página, puede encontrar guías y herramientas que serán de utilidad al momento de reportar datos a FDRS</t>
  </si>
  <si>
    <t>تجدون على هذه الصفحة إرشادات وأدوات مفيدة لتدوين معلوماتكم في نظام الإفادة</t>
  </si>
  <si>
    <t>إرشادات وأدوات</t>
  </si>
  <si>
    <t>Audit Trail Report</t>
  </si>
  <si>
    <t>Rapport de validation</t>
  </si>
  <si>
    <t>Informe del registro de auditoría</t>
  </si>
  <si>
    <t>تقرير عملية الاعتماد</t>
  </si>
  <si>
    <t>Processus de validation</t>
  </si>
  <si>
    <t>عملية الاعتماد</t>
  </si>
  <si>
    <t>desc_weeklytrends</t>
  </si>
  <si>
    <t>weeklytrends</t>
  </si>
  <si>
    <t>Weekly Trends</t>
  </si>
  <si>
    <t>desc_weeklyreport</t>
  </si>
  <si>
    <t>weeklyreport</t>
  </si>
  <si>
    <t>Weekly Report</t>
  </si>
  <si>
    <t>compliancereport</t>
  </si>
  <si>
    <t>Compliance Report</t>
  </si>
  <si>
    <t>Rapport de conformité</t>
  </si>
  <si>
    <t>Tablero de cumplimiento</t>
  </si>
  <si>
    <t>تقرير الإلتزام</t>
  </si>
  <si>
    <t>desc_compliancereport</t>
  </si>
  <si>
    <t>Compliance Dashboard</t>
  </si>
  <si>
    <t>desc_kpicompletion</t>
  </si>
  <si>
    <t>kpicompletion</t>
  </si>
  <si>
    <t>KPI Completion Reports</t>
  </si>
  <si>
    <t>Rapport d'achèvement des indicateurs clés</t>
  </si>
  <si>
    <t>Reporte de indicadores completados</t>
  </si>
  <si>
    <t>تقرير إنجاز المؤشرات الرئيسية</t>
  </si>
  <si>
    <t>homepage</t>
  </si>
  <si>
    <t>reportrefreshdone</t>
  </si>
  <si>
    <t>Report Data refreshed. All third party reports will be refreshed within an hour.</t>
  </si>
  <si>
    <t>Le rapport de données est actualisé. Tous les rapports de tiers seront actualisés d'ici une heure.</t>
  </si>
  <si>
    <t>Informe de datos refrescado. Todos los reportes de terceras partes serán refrescados en una hora.</t>
  </si>
  <si>
    <t>تم تحديث تقرير البيانات. سيجري تحديث كل تقارير الأطراف الأخرى بعد ساعة</t>
  </si>
  <si>
    <t>pleasewait</t>
  </si>
  <si>
    <t>Please wait until the operation completes.</t>
  </si>
  <si>
    <t>Opération en cours, merci de patienter</t>
  </si>
  <si>
    <t>Por favor esperar hasta que la operación sea completada.</t>
  </si>
  <si>
    <t>العملية جارية، يرجى الانتظار</t>
  </si>
  <si>
    <t>refreshreportinfo</t>
  </si>
  <si>
    <t>Last report data refresh was at {0} ({1} hour(s) ago)</t>
  </si>
  <si>
    <t>Le rapport de données a été actualisé pour la dernière fois à {0} (il y a {1} heure(s))</t>
  </si>
  <si>
    <t>Último informe de datos refescado en [0} (hace {1} horas)</t>
  </si>
  <si>
    <t>تم تحديث تقرير البيانات للمرة الأخيرة في (0) ، قبل (1) ساعة/ساعات</t>
  </si>
  <si>
    <t>buttonrefreshreport</t>
  </si>
  <si>
    <t>Refresh Report Data</t>
  </si>
  <si>
    <t>Actualiser le rapport de données</t>
  </si>
  <si>
    <t>Refescar Informe de Datos</t>
  </si>
  <si>
    <t>تحديث تقرير البيانات</t>
  </si>
  <si>
    <t>cancel</t>
  </si>
  <si>
    <t>إلغاء</t>
  </si>
  <si>
    <t>openwritemode</t>
  </si>
  <si>
    <t>Open write mode</t>
  </si>
  <si>
    <t>Ouvrir en mode écriture</t>
  </si>
  <si>
    <t>Abrir modo escritura</t>
  </si>
  <si>
    <t>افتح بصيغة الكتابة</t>
  </si>
  <si>
    <t>deprecatedagerange</t>
  </si>
  <si>
    <t>This age range has been adjusted in 2017</t>
  </si>
  <si>
    <t>Cette tranche d'âge a été ajustée en 2017</t>
  </si>
  <si>
    <t>Este rango de edad ha sido ajustado en el año 2017</t>
  </si>
  <si>
    <t>تم تكييف هذه الفئة العمرية في 2017</t>
  </si>
  <si>
    <t>thirdpartyreports</t>
  </si>
  <si>
    <t>Third Party Reports</t>
  </si>
  <si>
    <t>excelformat</t>
  </si>
  <si>
    <t>Excel Format</t>
  </si>
  <si>
    <t>Format Excel</t>
  </si>
  <si>
    <t>Formato Excel</t>
  </si>
  <si>
    <t>صغة أكسل</t>
  </si>
  <si>
    <t>csvformat</t>
  </si>
  <si>
    <t>CSV Format</t>
  </si>
  <si>
    <t>Format CSV</t>
  </si>
  <si>
    <t>Formato CSV</t>
  </si>
  <si>
    <t>صيغة CSV</t>
  </si>
  <si>
    <t>changeyear</t>
  </si>
  <si>
    <t>Change Year</t>
  </si>
  <si>
    <t>Changer année</t>
  </si>
  <si>
    <t>Cambiar el año</t>
  </si>
  <si>
    <t>تغيير السنة</t>
  </si>
  <si>
    <t>fdrsbackofficetooltip</t>
  </si>
  <si>
    <t>FDRS Backoffice - Default reporting year: {0}</t>
  </si>
  <si>
    <t>Backoffice FDRS - année de compte rendu par défaut : {0}</t>
  </si>
  <si>
    <t>Oficina interna de FDRS - Año de reporte por defecto: {0}</t>
  </si>
  <si>
    <t>المكتب الخلفي لنظام الإفادة - السنة الافتراضية لتقديم المعلومات (0)</t>
  </si>
  <si>
    <t>fdrsbackoffice</t>
  </si>
  <si>
    <t>FDRS Backoffice</t>
  </si>
  <si>
    <t>Backoffice FDRS</t>
  </si>
  <si>
    <t>Oficina interna de FDRS</t>
  </si>
  <si>
    <t>المكتب الخلفي لنظام الإفادة</t>
  </si>
  <si>
    <t>buttonenterdata_button</t>
  </si>
  <si>
    <t>Enter {0} Data</t>
  </si>
  <si>
    <t>Entrer les données de {0}</t>
  </si>
  <si>
    <t>Ingrese datos correspondientes a {0}</t>
  </si>
  <si>
    <t>ادخل بيانات سنة {0}</t>
  </si>
  <si>
    <t>download_alltimevalidationspreadsheetexcel</t>
  </si>
  <si>
    <t>All time data - xlsx</t>
  </si>
  <si>
    <t>Ensemble des données toutes années confondues - xlsx</t>
  </si>
  <si>
    <t>Hoja de validación con información de todos los años - xlsx</t>
  </si>
  <si>
    <t>جدول إكسل الخاص بالتحقق في جميع الأوقات - xlsx</t>
  </si>
  <si>
    <t>download_lastyearvalidationspreadsheetexcel</t>
  </si>
  <si>
    <t>Last year's data - xlsx</t>
  </si>
  <si>
    <t>Ensemble des données de l'année précédente - xlsx</t>
  </si>
  <si>
    <t>Hoja de validación correspondiente al año pasado - xlsx</t>
  </si>
  <si>
    <t>جدول إكسل الخاص بالتحقق عن العام الماضي - xlsx</t>
  </si>
  <si>
    <t>reportadmin</t>
  </si>
  <si>
    <t>deleteconfirm</t>
  </si>
  <si>
    <t>Are you sure you want to delete the report?</t>
  </si>
  <si>
    <t>Êtes-vous sûr de vouloir supprimer le rapport ?</t>
  </si>
  <si>
    <t>¿Esta seguro que desea borrar el informe?</t>
  </si>
  <si>
    <t>هل أنت متأكد من أنك تريد حذف التقرير؟</t>
  </si>
  <si>
    <t>menutitle</t>
  </si>
  <si>
    <t>Menu element name</t>
  </si>
  <si>
    <t>Menu des éléments</t>
  </si>
  <si>
    <t>Nombre del elemento del menú</t>
  </si>
  <si>
    <t>جدول العناصر</t>
  </si>
  <si>
    <t>savesuccess</t>
  </si>
  <si>
    <t>Save successful!</t>
  </si>
  <si>
    <t>Sauvegarde réussie</t>
  </si>
  <si>
    <t>Guardado exitosamente</t>
  </si>
  <si>
    <t>تم الحفظ</t>
  </si>
  <si>
    <t>Back To List</t>
  </si>
  <si>
    <t>العودة إلى القائمة</t>
  </si>
  <si>
    <t>admin</t>
  </si>
  <si>
    <t>Admin Management</t>
  </si>
  <si>
    <t>Administrador</t>
  </si>
  <si>
    <t>الإدارة</t>
  </si>
  <si>
    <t>technicalname</t>
  </si>
  <si>
    <t>Technical name</t>
  </si>
  <si>
    <t>Nom technique</t>
  </si>
  <si>
    <t>Nombre técnico</t>
  </si>
  <si>
    <t>الاسم الفني</t>
  </si>
  <si>
    <t>new</t>
  </si>
  <si>
    <t>New</t>
  </si>
  <si>
    <t>Nouveau</t>
  </si>
  <si>
    <t>Nuevo</t>
  </si>
  <si>
    <t>جديد</t>
  </si>
  <si>
    <t>Order Number</t>
  </si>
  <si>
    <t>Numéro de référence</t>
  </si>
  <si>
    <t>Número de orden</t>
  </si>
  <si>
    <t>الرقم المرجعي</t>
  </si>
  <si>
    <t>save</t>
  </si>
  <si>
    <t>Save</t>
  </si>
  <si>
    <t>Sauvegarder</t>
  </si>
  <si>
    <t>Guardar</t>
  </si>
  <si>
    <t>احفظ</t>
  </si>
  <si>
    <t>embededcode</t>
  </si>
  <si>
    <t>Embeded Code</t>
  </si>
  <si>
    <t>Code d'incorporation</t>
  </si>
  <si>
    <t>Código incrustado</t>
  </si>
  <si>
    <t>رمز الإدراج</t>
  </si>
  <si>
    <t>ordernumber</t>
  </si>
  <si>
    <t>reportdescription</t>
  </si>
  <si>
    <t>Text</t>
  </si>
  <si>
    <t>Texte</t>
  </si>
  <si>
    <t>Texto</t>
  </si>
  <si>
    <t>النص</t>
  </si>
  <si>
    <t>reporttitle</t>
  </si>
  <si>
    <t>Titre</t>
  </si>
  <si>
    <t>edittitle</t>
  </si>
  <si>
    <t>Edit Report details</t>
  </si>
  <si>
    <t>Modifier le rapport</t>
  </si>
  <si>
    <t>Editar detalles del reporte</t>
  </si>
  <si>
    <t>تحرير التقرير</t>
  </si>
  <si>
    <t>Report Admin</t>
  </si>
  <si>
    <t>Rapport Admin</t>
  </si>
  <si>
    <t>Informe administrativo</t>
  </si>
  <si>
    <t>تقرير الإدارة</t>
  </si>
  <si>
    <t>FDRS Report Admin</t>
  </si>
  <si>
    <t>Rapport Admin FDRS</t>
  </si>
  <si>
    <t>Informe administrativo FDRS</t>
  </si>
  <si>
    <t>publishconfirm</t>
  </si>
  <si>
    <t>Are you sure you want to publish all validated data for {0}?</t>
  </si>
  <si>
    <t>Êtes-vous sûr de vouloir publier toutes les données validées de {0} ?</t>
  </si>
  <si>
    <t>¿Está seguro(a) de que quiere publicar todos los datos validados del {0}?</t>
  </si>
  <si>
    <t>هل انت متأكد من أنك تريد نشر كل البيانات المعتمدة (0) ؟</t>
  </si>
  <si>
    <t>publishallresult</t>
  </si>
  <si>
    <t>Publishing for year {0} suceeded, published {1} sections (tables) in {2} National Societies.</t>
  </si>
  <si>
    <t>Publication des données de {0} achevée ; {1} sections (tableaux) concernant {2} Sociétés nationales ont été publiées.</t>
  </si>
  <si>
    <t>Publicación del año {0} exitosamente, publicadas {1} secciones (tablas) en {2} Sociedades Nacionales</t>
  </si>
  <si>
    <t>تم نشر بيانات السنة (0)، (1) تم نشر الأقسام (الجداول) المتعلقة بالجمعيات الوطنية (2)</t>
  </si>
  <si>
    <t>Weekly Trends - Internal use only</t>
  </si>
  <si>
    <t>publish2confirm</t>
  </si>
  <si>
    <t>Are you sure you want to publish all validated and submitted data for {0}?</t>
  </si>
  <si>
    <t>Êtes-vous sûr de vouloir publier toutes les données soumises et validées de {0} ?</t>
  </si>
  <si>
    <t>¿Está seguro(a) de que quiere publicar todos los datos validados y remitidos del {0}?</t>
  </si>
  <si>
    <t>هل انت متأكد من أنك تريد نشر كل البيانات المعتمدة  والمقدمة (0) ؟</t>
  </si>
  <si>
    <t>publishconfir+i361m</t>
  </si>
  <si>
    <t>Are You sure to publish all validated data for {0}?</t>
  </si>
  <si>
    <t>buttonpublish_buttonmain2</t>
  </si>
  <si>
    <t>Publish all data (submitted or validated)</t>
  </si>
  <si>
    <t>Publier toutes les données (soumises ou validées)</t>
  </si>
  <si>
    <t>Publicar todos los datos (remitidos o validados)</t>
  </si>
  <si>
    <t>انشر كل البيانات (المعروضة أو المعتمدة)</t>
  </si>
  <si>
    <t>buttonpublish_buttonmain</t>
  </si>
  <si>
    <t>Publish all validated data</t>
  </si>
  <si>
    <t>Publier toutes les données validées</t>
  </si>
  <si>
    <t>Publicar todos los datos validados</t>
  </si>
  <si>
    <t>publishalldescription</t>
  </si>
  <si>
    <t>Please click one of the buttons below if you would like to publish {0} year data for all National Societies</t>
  </si>
  <si>
    <t>Cliquer sur l'un des boutons ci-dessous pour publier des données de {0} pour toutes les Sociétés nationales</t>
  </si>
  <si>
    <t>Por favor haga clic en uno de los botones de abajo si desea publicar datos del año {0} para todas las Sociedades Nacionales</t>
  </si>
  <si>
    <t>يرجى النقر على أحد الأزرار أدناه إذا رغبت في نشر (0) بيانات سنوية لكل الجمعيات الوطنية</t>
  </si>
  <si>
    <t>administratordesc</t>
  </si>
  <si>
    <t>Can maintain users, limitless access to every function.</t>
  </si>
  <si>
    <t>Droit de gérer les utilisateurs. Accès illimité à toutes les fonctionnalités</t>
  </si>
  <si>
    <t>Puede mantener usuarios, acceso ilimitado a cada función</t>
  </si>
  <si>
    <t>حق إدارة المستخدمين. الاستفادة اللامحدودة من كل الوظائف</t>
  </si>
  <si>
    <t>coordinatordesc</t>
  </si>
  <si>
    <t>Can publish data, receive notifications about data collection</t>
  </si>
  <si>
    <t>Droit de publier des données et de recevoir des notifications sur la collecte de données</t>
  </si>
  <si>
    <t>Puede publicar datos, recibe notificaciones sobre la recolección de datos</t>
  </si>
  <si>
    <t>حق نشر بيانات واستلام إشعارات بشأن جمع البيانات</t>
  </si>
  <si>
    <t>datamanagerdesc</t>
  </si>
  <si>
    <t>Can edit, save, submit, validate, reopen forms, can see NS dashboard, edit NS data including Communication log and has full access to Documents. (Upload, Edit, Delete) Access to database, (Download menu) KoBo tool and all reports</t>
  </si>
  <si>
    <t>Droit de modifier, sauvegarder, soumettre, valider et rouvrir les formulaires, de visualiser le Tableau de bord de la Société nationale, y compris au registre des communications. Accès illimité aux documents. (Charger, Modifier, Supprimer) Accès à la base de données (menu de téléchargement), à l'outil KoBo et à tous les rapports</t>
  </si>
  <si>
    <t>Puede editar, guardar, validar, reabrir formularios, puede ver el tablero de la Sociedad Nacional, editar datos de la Sociedad Nacional incluyendo registro de comunicación y tiene acceso completo a los documentos (cargar, editar, borrar), acceso a la base de datos, (menu de descarga) herramienta KoBo y todos los informes.</t>
  </si>
  <si>
    <t>حق التحرير والحفظ وتقديم استمارات واعتمادها وفتحها ورؤية جدول متابعة الجمعية الوطنية وتغيير المعلومات العامة للجمعية الوطنية . الاطلاع المحدود على الوثائق (تغيير، تعديل)</t>
  </si>
  <si>
    <t>editordesc</t>
  </si>
  <si>
    <t>Can edit, save and submit forms, can see NS dashboard, edit NS basic data and has limited access to Documents. (Upload, Edit)</t>
  </si>
  <si>
    <t>Droit de modifier, sauvegarder et soumettre les formulaires, de visualiser le Tableau de bord de la Société nationale, de modifier les informations générales de la Société nationale. Accès limité aux documents (Charger, Modifier)</t>
  </si>
  <si>
    <t>Puede editar, guardar y remitir formularios, puede ver el tablero de la Sociedad Nacional, editar datos básicos de la Sociedad Nacional y tiene acceso limitado a los documentos (cargar, editar)</t>
  </si>
  <si>
    <t>حق التحرير والحفظ وتقديم استمارات ورؤية جدول متابعة الجمعية الوطنية وتغيير المعلومات العامة للجمعية الوطنية . الاطلاع المحدود على الوثائق (تغيير، تعديل)</t>
  </si>
  <si>
    <t>getnationalsocietieswithdataforthelastyear</t>
  </si>
  <si>
    <t>country_columntitle</t>
  </si>
  <si>
    <t>البلد</t>
  </si>
  <si>
    <t>sumofregion</t>
  </si>
  <si>
    <t>- National Society count: {0}</t>
  </si>
  <si>
    <t>- Nombre de Sociétés nationales : {0}</t>
  </si>
  <si>
    <t>- Conteo de Sociedades Nacionales: {0}</t>
  </si>
  <si>
    <t>عدد الجمعيات الوطنية (0)</t>
  </si>
  <si>
    <t>notstartedyet</t>
  </si>
  <si>
    <t>National Societies haven't started data collection yet</t>
  </si>
  <si>
    <t>Les Sociétés nationales n'ont pas encore commencé la collecte de données</t>
  </si>
  <si>
    <t>Sociedades Nacionales no han comenzado la recolección de datos</t>
  </si>
  <si>
    <t>لم تبدأ الجمعيات الوطنية بجمع البيانات بعد</t>
  </si>
  <si>
    <t>started</t>
  </si>
  <si>
    <t>National Societies started data collection</t>
  </si>
  <si>
    <t>Les Sociétés nationales ont commencé la collecte de données</t>
  </si>
  <si>
    <t>Sociedades Nacionales han comenzado la recolección de datos</t>
  </si>
  <si>
    <t>بدأت الجمعيات الوطنية بجمع البيانات</t>
  </si>
  <si>
    <t>published_columntitle</t>
  </si>
  <si>
    <t>Published</t>
  </si>
  <si>
    <t>Publié</t>
  </si>
  <si>
    <t>Publicado</t>
  </si>
  <si>
    <t>منشور</t>
  </si>
  <si>
    <t>validated_columntitle</t>
  </si>
  <si>
    <t>Validated</t>
  </si>
  <si>
    <t>Validé</t>
  </si>
  <si>
    <t>Validado</t>
  </si>
  <si>
    <t>معتمد</t>
  </si>
  <si>
    <t>submitted_columntitle</t>
  </si>
  <si>
    <t>Submitted</t>
  </si>
  <si>
    <t>Soumis</t>
  </si>
  <si>
    <t>Remitido</t>
  </si>
  <si>
    <t>مُقدم</t>
  </si>
  <si>
    <t>started_columntitle</t>
  </si>
  <si>
    <t>Started</t>
  </si>
  <si>
    <t>Commencé</t>
  </si>
  <si>
    <t>Iniciado</t>
  </si>
  <si>
    <t>بدأ</t>
  </si>
  <si>
    <t>zonename_columntitle</t>
  </si>
  <si>
    <t>المنطقة</t>
  </si>
  <si>
    <t>No results found based on your search criteria</t>
  </si>
  <si>
    <t>Aucun résultat pour ces critères de recherche</t>
  </si>
  <si>
    <t>No se encontró información basada en el criterio de búsqueda</t>
  </si>
  <si>
    <t>لم يتم العثور على نتيجة استنادا إلى معايير البحث</t>
  </si>
  <si>
    <t>sectiontitle</t>
  </si>
  <si>
    <t>Section</t>
  </si>
  <si>
    <t>Sección</t>
  </si>
  <si>
    <t>القسم</t>
  </si>
  <si>
    <t>formns</t>
  </si>
  <si>
    <t>National Society Opened</t>
  </si>
  <si>
    <t>Société nationale ouverte</t>
  </si>
  <si>
    <t>Sociedad Nacional consultada</t>
  </si>
  <si>
    <t>الجمعية الوطنية المفتوحة</t>
  </si>
  <si>
    <t>downloadresult</t>
  </si>
  <si>
    <t>Download Result</t>
  </si>
  <si>
    <t>Télécharger le résultat</t>
  </si>
  <si>
    <t>Descargar resultados</t>
  </si>
  <si>
    <t>تنزيل النتيجة</t>
  </si>
  <si>
    <t>showresult</t>
  </si>
  <si>
    <t>Show Result</t>
  </si>
  <si>
    <t>Voir le résultat</t>
  </si>
  <si>
    <t>Mostrar resultados</t>
  </si>
  <si>
    <t>بيان النتيجة</t>
  </si>
  <si>
    <t>eventtime</t>
  </si>
  <si>
    <t>Event Time</t>
  </si>
  <si>
    <t>Heure de l'événement</t>
  </si>
  <si>
    <t>Hora del evento</t>
  </si>
  <si>
    <t>ساعة تنظيم المناسبة</t>
  </si>
  <si>
    <t>ip</t>
  </si>
  <si>
    <t>IP</t>
  </si>
  <si>
    <t>بروتوكول الانترنت</t>
  </si>
  <si>
    <t>formyear</t>
  </si>
  <si>
    <t>Year Opened</t>
  </si>
  <si>
    <t>Année ouverte</t>
  </si>
  <si>
    <t>Año de apertura</t>
  </si>
  <si>
    <t>سنة مفتوحة</t>
  </si>
  <si>
    <t>action</t>
  </si>
  <si>
    <t>Action</t>
  </si>
  <si>
    <t>Acción</t>
  </si>
  <si>
    <t>الإجراء</t>
  </si>
  <si>
    <t>Résultat</t>
  </si>
  <si>
    <t>Resultados</t>
  </si>
  <si>
    <t>النتيجة</t>
  </si>
  <si>
    <t>nses</t>
  </si>
  <si>
    <t>user</t>
  </si>
  <si>
    <t>User</t>
  </si>
  <si>
    <t>Utilisateur</t>
  </si>
  <si>
    <t>Usuario(a)</t>
  </si>
  <si>
    <t>المستخدم</t>
  </si>
  <si>
    <t>section</t>
  </si>
  <si>
    <t>Section (FDRS function)</t>
  </si>
  <si>
    <t>Section (fonction FDRS)</t>
  </si>
  <si>
    <t>Sección (función de FDRS)</t>
  </si>
  <si>
    <t>القسم (وظيفة نظام الإفادة)</t>
  </si>
  <si>
    <t>Year</t>
  </si>
  <si>
    <t>Año</t>
  </si>
  <si>
    <t>collapsensreport2</t>
  </si>
  <si>
    <t>Collapse "National Societies not reporting for the {0} data collection and what they reported in {1}"</t>
  </si>
  <si>
    <t>Réduire "Sociétés nationales n'ayant pas fourni d'informations au titre de la collecte de données {0} et indicateurs sur lesquels celles-ci ont fait rapport en {1}"</t>
  </si>
  <si>
    <t>Colapsar "Sociedades Nacionales que no han reportado en la recolección de datos del {0} y que han reportado en {1}"</t>
  </si>
  <si>
    <t>تقليص الجمعيات الوطنية التي لم تقدم معلومات في إطار جمع البيانات (0) والمؤشرات التي استندت إليها لتقديم معلومات (1)</t>
  </si>
  <si>
    <t>collapsensreport1</t>
  </si>
  <si>
    <t>Collapse "National Societies reporting for the {0} data collection"</t>
  </si>
  <si>
    <t>Réduire "Sociétés nationales ayant fourni des informations au titre de la collecte de données {0}"</t>
  </si>
  <si>
    <t>Colapsar "Sociedades Nacionales que han reportado en la recolección de datos del {0}"</t>
  </si>
  <si>
    <t>تقليص الجمعيات الوطنية التي قدمت معلومات في إطار جمع البيانات (0)</t>
  </si>
  <si>
    <t>nsreport2title</t>
  </si>
  <si>
    <t>National Societies not reporting for the {0} data collection and what they reported in {1}</t>
  </si>
  <si>
    <t>Sociétés nationales n'ayant pas fourni d'informations au titre de la collecte de données {0} et indicateurs sur lesquels celles-ci ont fait rapport en {1}</t>
  </si>
  <si>
    <t>Sociedades Nacionales que no han reportado en la recolección de datos del {0} y que han reportado en {1}</t>
  </si>
  <si>
    <t>الجمعيات الوطنية التي لم تقدم معلومات في إطار جمع البيانات (0) والمؤشرات التي استندت إليها لتقديم معلومات (1)</t>
  </si>
  <si>
    <t>nsreport1title</t>
  </si>
  <si>
    <t>National Societies reporting for the {0} data collection</t>
  </si>
  <si>
    <t>Sociétés nationales ayant fourni des informations au titre de la collecte de données {0}</t>
  </si>
  <si>
    <t>Sociedades Nacionales que han reportado en la recolección de datos del {0}</t>
  </si>
  <si>
    <t>الجمعيات الوطنية التي قدمت معلومات في إطار جمع البيانات (0)</t>
  </si>
  <si>
    <t>googleanalyticsdescription</t>
  </si>
  <si>
    <t>Click here to see Google Analytics site (Extra Google Analytics user would be needed) :</t>
  </si>
  <si>
    <t>Cliquer ici pour accéder au site Google Analytics (un compte utilisateur devra être créé sur Google Analytics) :</t>
  </si>
  <si>
    <t>Haga clic aquí para ver el sitio de Google Analytics (Es necesario ser usuario de Google Analytics):</t>
  </si>
  <si>
    <t>انقر هنا للاطلاع على موقع غوغل لتحليل المستخدمين (ينبغي إنشاء حساب مستخدم على موقع غوغل لتحليل المستخدمين)</t>
  </si>
  <si>
    <t>fdrsuseranalytics</t>
  </si>
  <si>
    <t>FDRS Backoffice User Analytics</t>
  </si>
  <si>
    <t>Analyse des utilisateurs du backoffice FDRS</t>
  </si>
  <si>
    <t>Analítica de usuario de la oficina interna de FDRS</t>
  </si>
  <si>
    <t>تحليل مستخدمين المكتب الخلفي لنظام الإفادة</t>
  </si>
  <si>
    <t>KPI Completion</t>
  </si>
  <si>
    <t>Achèvement des indicateurs clés</t>
  </si>
  <si>
    <t>Indicadores completados</t>
  </si>
  <si>
    <t>Rapport de l'analyse des utilisateurs</t>
  </si>
  <si>
    <t>Reporte de analítica de usuario</t>
  </si>
  <si>
    <t>تقرير تحليل المستخدمين</t>
  </si>
  <si>
    <t>User Analytics</t>
  </si>
  <si>
    <t>Analyse des utilisateurs</t>
  </si>
  <si>
    <t>Analítica de usuario</t>
  </si>
  <si>
    <t>تحليل المستخدمين</t>
  </si>
  <si>
    <t>governancereport</t>
  </si>
  <si>
    <t>Rapport de conformité (Tableau)</t>
  </si>
  <si>
    <t>Tablero de cumplimiento (Tableau)</t>
  </si>
  <si>
    <t>تقرير الإلتزام (Tableau)</t>
  </si>
  <si>
    <t>tablechart_title</t>
  </si>
  <si>
    <t>Indicator reporting rate</t>
  </si>
  <si>
    <t>Indicateur taux de rapport</t>
  </si>
  <si>
    <t>Tasa de reporte de indicadores</t>
  </si>
  <si>
    <t>مؤشر معدل الإبلاغ</t>
  </si>
  <si>
    <t>cannotbemodifiedcheckboxfdrs</t>
  </si>
  <si>
    <t>Please reopen the table to make any modifications.</t>
  </si>
  <si>
    <t>Veuillez rouvrir le tableau pour apporter des modifications.</t>
  </si>
  <si>
    <t>Por favor, vuelva a abrir la tabla para hacer cualquier modificación</t>
  </si>
  <si>
    <t>يرجى إعادة فتح الجدول لإجراء تعديل</t>
  </si>
  <si>
    <t>cannotbemodifiedfdrs</t>
  </si>
  <si>
    <t>This data cannot be modified because it has been submitted. Please reopen the table to make any modifications.</t>
  </si>
  <si>
    <t>Ces données ne peuvent pas être modifiées car elles sont validées. Veuillez rouvrir le tableau pour apporter des modifications.</t>
  </si>
  <si>
    <t>Estos datos no pueden ser modificados porque están validados. Por favor, vuelva a abrir la tabla para hacer cualquier modificación.</t>
  </si>
  <si>
    <t>لا يمكن تعديل هذه البيانات حيث تم توثيقها. يرجى إعادة فتح الجدول لإجراء تعديل</t>
  </si>
  <si>
    <t>zerobuttontooltip</t>
  </si>
  <si>
    <t>Fill in the empty fields with 0s</t>
  </si>
  <si>
    <t>Remplissez les champs vides avec des 0</t>
  </si>
  <si>
    <t>Rellena los campos vacíos con 0s</t>
  </si>
  <si>
    <t>املأ الخانات الفارغة بالأصفار</t>
  </si>
  <si>
    <t>zerobutton</t>
  </si>
  <si>
    <t>Fill with zeros</t>
  </si>
  <si>
    <t>Remplir de zéros</t>
  </si>
  <si>
    <t>Llenar con ceros</t>
  </si>
  <si>
    <t>Coordinateur</t>
  </si>
  <si>
    <t>Coordinador</t>
  </si>
  <si>
    <t>مُنسّق</t>
  </si>
  <si>
    <t>der001</t>
  </si>
  <si>
    <t>Red Cross Society of Eritrea</t>
  </si>
  <si>
    <t>Société de la Croix-Rouge d'Erythrée</t>
  </si>
  <si>
    <t>Cruz Roja de Eritrea</t>
  </si>
  <si>
    <t>receivedsupporttableboldtitle</t>
  </si>
  <si>
    <t>National Societies from which support was received</t>
  </si>
  <si>
    <t>Sociétés nationales ayant fourni un soutien</t>
  </si>
  <si>
    <t>Apoyo recibido de Sociedades Nacionales</t>
  </si>
  <si>
    <t>الجمعيات الوطنية التي قدمت دعما</t>
  </si>
  <si>
    <t>supportedtableboldtitle</t>
  </si>
  <si>
    <t>National Societies to which support was given</t>
  </si>
  <si>
    <t>Sociétés nationales auxquelles un soutien a été apporté</t>
  </si>
  <si>
    <t>Sociedades Nacionales que reciben apoyo</t>
  </si>
  <si>
    <t>الجمعيات الوطنية التي  حصلت على دعم</t>
  </si>
  <si>
    <t>financialtableboldtitle</t>
  </si>
  <si>
    <t>Financial data</t>
  </si>
  <si>
    <t>Données financières</t>
  </si>
  <si>
    <t>Información financiera</t>
  </si>
  <si>
    <t>بيانات مالية</t>
  </si>
  <si>
    <t>localunittableboldtitle</t>
  </si>
  <si>
    <t>وحدات محلية</t>
  </si>
  <si>
    <t>gendertableboldtitle</t>
  </si>
  <si>
    <t>Leadership profile</t>
  </si>
  <si>
    <t>Profil au sein du leadership</t>
  </si>
  <si>
    <t>Perfil de los dirigentes</t>
  </si>
  <si>
    <t>تمثيل النساء والرجال على مستوى القيادة</t>
  </si>
  <si>
    <t>Ninguno</t>
  </si>
  <si>
    <t>لا يوجد</t>
  </si>
  <si>
    <t>low</t>
  </si>
  <si>
    <t>Low</t>
  </si>
  <si>
    <t>Faible</t>
  </si>
  <si>
    <t>Bajo</t>
  </si>
  <si>
    <t>منخفض</t>
  </si>
  <si>
    <t>medium</t>
  </si>
  <si>
    <t>Medium</t>
  </si>
  <si>
    <t>Moyenne</t>
  </si>
  <si>
    <t>Medio</t>
  </si>
  <si>
    <t>متوسط</t>
  </si>
  <si>
    <t>high</t>
  </si>
  <si>
    <t>High</t>
  </si>
  <si>
    <t>Élevée</t>
  </si>
  <si>
    <t>Elevado</t>
  </si>
  <si>
    <t>مرتفع</t>
  </si>
  <si>
    <t>novalidationinfo</t>
  </si>
  <si>
    <t>No previous data found.</t>
  </si>
  <si>
    <t>Aucune donnée antérieure trouvée.</t>
  </si>
  <si>
    <t>No se encontró información previa</t>
  </si>
  <si>
    <t>لم يتم العثور على بيانات سابقة</t>
  </si>
  <si>
    <t>validationinfo</t>
  </si>
  <si>
    <t>Percentage change compared to previous years: {0:f2} % ({1}). (Over time average: {2:f2})</t>
  </si>
  <si>
    <t>Changement de pourcentage par rapport à l'année précédente : {0:f2} % ({1}). (Moyenne au cours du temps : {2:f2})</t>
  </si>
  <si>
    <t>Diferencia en porcentaje en comparación al año anterior:  {0:f2} % ({1}). (Promedio a lo largo del tiempo: {2:f2})</t>
  </si>
  <si>
    <t>النسبة المئوية للتغير مقارنة بالسنة السابقة: {0: f2}٪ ({1}). (بمتوسط الوقت: {2: f2})</t>
  </si>
  <si>
    <t>editdocumentdocumenttypenotselected</t>
  </si>
  <si>
    <t>You must select at least one document type!</t>
  </si>
  <si>
    <t>Vous devez sélectionner au moins un type de document !</t>
  </si>
  <si>
    <t>¡Debe seleccionar por lo menos un tipo de documento!</t>
  </si>
  <si>
    <t>عليك انتقاء نوع واحد من الوثائق على الأقل</t>
  </si>
  <si>
    <t>reopened</t>
  </si>
  <si>
    <t>Reopened</t>
  </si>
  <si>
    <t>Le tableau est rouvert</t>
  </si>
  <si>
    <t>Reabierto</t>
  </si>
  <si>
    <t>أعيد فتح الجدول</t>
  </si>
  <si>
    <t>buttonsubmitall_button</t>
  </si>
  <si>
    <t>Submit all</t>
  </si>
  <si>
    <t>Tout soumettre</t>
  </si>
  <si>
    <t>Remitir todo</t>
  </si>
  <si>
    <t>تقديم الكل</t>
  </si>
  <si>
    <t>buttonvalidateall_button</t>
  </si>
  <si>
    <t>Validate all</t>
  </si>
  <si>
    <t>Tout valider</t>
  </si>
  <si>
    <t>Validar todo</t>
  </si>
  <si>
    <t>تصديق الكل</t>
  </si>
  <si>
    <t>buttonpublish_button</t>
  </si>
  <si>
    <t>Publish form</t>
  </si>
  <si>
    <t>Publier le formulaire</t>
  </si>
  <si>
    <t>Publicar formulario</t>
  </si>
  <si>
    <t>نشر الاستمارة</t>
  </si>
  <si>
    <t>popupareyousuretovalidatetheform</t>
  </si>
  <si>
    <t>Are you sure you want to Validate all Submitted tables?</t>
  </si>
  <si>
    <t>Êtes-vous sûr de vouloir valider tous les tableaux soumis ?</t>
  </si>
  <si>
    <t>¿Está seguro de que desea validar todas las tablas remitidas?</t>
  </si>
  <si>
    <t>هل تود فعلا توثيق كل الجداول المقدمة؟</t>
  </si>
  <si>
    <t>popupareyousuretopublishtheform</t>
  </si>
  <si>
    <t>Are sure you want to publish the {0} data for {1}?</t>
  </si>
  <si>
    <t>Êtes-vous sûr de vouloir publier les données relatives à {0} pour {1} ?</t>
  </si>
  <si>
    <t>¿Está seguro de que desea publicar {0} datos sobre {1}?</t>
  </si>
  <si>
    <t>هل تود فعلا نشر بيانات {0} لـ {1}؟</t>
  </si>
  <si>
    <t>popupareyousuretoreopentheform</t>
  </si>
  <si>
    <t>Are you sure you want to reopen all Submitted, Validated and Published tables?</t>
  </si>
  <si>
    <t>Êtes-vous sûr de vouloir rouvrir tous les tableaux soumis, validés et publiés ?</t>
  </si>
  <si>
    <t>¿Está seguro de que desea reabrir todos las tablas remitidas, validadas y publicadas?</t>
  </si>
  <si>
    <t>هل تود فعلا إعادة فتح كل الجداول المقدمة والموّثقة والمنشورة؟</t>
  </si>
  <si>
    <t>Reopen all tables</t>
  </si>
  <si>
    <t>Rouvrir tous les tableaux</t>
  </si>
  <si>
    <t>Reabrir todas las tablas</t>
  </si>
  <si>
    <t>فتح كل الجداول من جديد</t>
  </si>
  <si>
    <t>reopentable</t>
  </si>
  <si>
    <t>Reopen table</t>
  </si>
  <si>
    <t>Rouvrir le tableau</t>
  </si>
  <si>
    <t>Reabrir la tabla</t>
  </si>
  <si>
    <t>إعادة فتح  الجدول</t>
  </si>
  <si>
    <t>validatetable</t>
  </si>
  <si>
    <t>Validate table</t>
  </si>
  <si>
    <t>Valider le tableau</t>
  </si>
  <si>
    <t>Validar la tabla</t>
  </si>
  <si>
    <t>تصديق الجدول</t>
  </si>
  <si>
    <t>submitsection</t>
  </si>
  <si>
    <t>Submit section</t>
  </si>
  <si>
    <t>Soumettre la section</t>
  </si>
  <si>
    <t>Remitir la sección</t>
  </si>
  <si>
    <t>تقديم الجزء</t>
  </si>
  <si>
    <t>submittable</t>
  </si>
  <si>
    <t>Submit table</t>
  </si>
  <si>
    <t>Soumettre le tableau</t>
  </si>
  <si>
    <t>Remitir la tabla</t>
  </si>
  <si>
    <t>تقديم الجدول</t>
  </si>
  <si>
    <t>chart_completed_filledkpis_label</t>
  </si>
  <si>
    <t>Filled KPIs count</t>
  </si>
  <si>
    <t>chart_completed_allcountedkpis_label</t>
  </si>
  <si>
    <t>All counted KPIs</t>
  </si>
  <si>
    <t>emailtype_publishvalidatedformnotification</t>
  </si>
  <si>
    <t>Form validated</t>
  </si>
  <si>
    <t>Formulaire validé</t>
  </si>
  <si>
    <t>Formulario validado</t>
  </si>
  <si>
    <t>الاستمارة المصدقة</t>
  </si>
  <si>
    <t>emailtype_publishedformnotification</t>
  </si>
  <si>
    <t>Form published</t>
  </si>
  <si>
    <t>Formulaire publié</t>
  </si>
  <si>
    <t>Formulario publicado</t>
  </si>
  <si>
    <t>الاستمارة المنشورة</t>
  </si>
  <si>
    <t>dashboardchart_nodata</t>
  </si>
  <si>
    <t>No data</t>
  </si>
  <si>
    <t>Pas de données</t>
  </si>
  <si>
    <t>No existe de información</t>
  </si>
  <si>
    <t>لا توجد بيانات</t>
  </si>
  <si>
    <t>clearunsacedatafromlocalstorageconfirm</t>
  </si>
  <si>
    <t>Are you sure you want to delete local storage data?</t>
  </si>
  <si>
    <t>Êtes-vous sûr de vouloir supprimer les données du système de stockage local  ?</t>
  </si>
  <si>
    <t>¿Está seguro de que desea eliminar la información almacenada localmente?</t>
  </si>
  <si>
    <t>هل أنت متأكد من أنك تود حذف البيانات من نظام الخزن المحلي؟</t>
  </si>
  <si>
    <t>backtonsconfirmation</t>
  </si>
  <si>
    <t>Are you sure you want to go back to the NS page? All unsaved data will be lost!</t>
  </si>
  <si>
    <t>Êtes-vous sûr de vouloir retourner aux informations sur la Société nationale ? Toutes les données non sauvegardées seront perdues !</t>
  </si>
  <si>
    <t>¿Está seguro de que desea regresar a la página de la Sociedad Nacional? ¡Se perderá toda información que no ha sido guardada!</t>
  </si>
  <si>
    <t>هل أنت متأكد من أنك تود العودة إلى صفحة  المعلومات عن الجمعية الوطنية؟ إذ ستفقد كل البيانات التي لم يتم  حفظها!</t>
  </si>
  <si>
    <t>emailtype_nsfirstloginnotification</t>
  </si>
  <si>
    <t>NS first login</t>
  </si>
  <si>
    <t>Première connexion</t>
  </si>
  <si>
    <t>Conexión por primera vez</t>
  </si>
  <si>
    <t>أول تسجيل للجمعية الوطنية</t>
  </si>
  <si>
    <t>emailtype_notsubmittedformnotification</t>
  </si>
  <si>
    <t>Not submitted for a long time</t>
  </si>
  <si>
    <t>Soumis il y a peu de temps</t>
  </si>
  <si>
    <t>No remitido en mucho tiempo</t>
  </si>
  <si>
    <t>تم تقديمها مؤخرا</t>
  </si>
  <si>
    <t>emailtype_formsubmitnotification</t>
  </si>
  <si>
    <t>Form submitted</t>
  </si>
  <si>
    <t>Formulaire soumis</t>
  </si>
  <si>
    <t>Formulario remitido</t>
  </si>
  <si>
    <t>الاستمارة المقدَمة</t>
  </si>
  <si>
    <t>emailtype_formeditedyesterdaynotification</t>
  </si>
  <si>
    <t>Modifications made yesterday</t>
  </si>
  <si>
    <t>Modifications précédentes</t>
  </si>
  <si>
    <t>Modificaciones efectuadas ayer</t>
  </si>
  <si>
    <t>التعديلات  السابقة</t>
  </si>
  <si>
    <t>emaildetailsmodel_contentlabel</t>
  </si>
  <si>
    <t>Content</t>
  </si>
  <si>
    <t>Contenu</t>
  </si>
  <si>
    <t>Contenido</t>
  </si>
  <si>
    <t>المضمون</t>
  </si>
  <si>
    <t>emaildetailsmodel_title</t>
  </si>
  <si>
    <t>Email details</t>
  </si>
  <si>
    <t>Adresse de courriel</t>
  </si>
  <si>
    <t>Detalles de correos electrónicos</t>
  </si>
  <si>
    <t>عنوان البريد الالكتروني</t>
  </si>
  <si>
    <t>emaildetailsmodel_closebuttontext</t>
  </si>
  <si>
    <t>Close</t>
  </si>
  <si>
    <t>Fermer</t>
  </si>
  <si>
    <t>Cerrar</t>
  </si>
  <si>
    <t>إغلاق</t>
  </si>
  <si>
    <t>commentsandfeedback_savebutton</t>
  </si>
  <si>
    <t>حفظ</t>
  </si>
  <si>
    <t>tableemail_sentdate_columntitle</t>
  </si>
  <si>
    <t>Sent date</t>
  </si>
  <si>
    <t>Date d'envoi</t>
  </si>
  <si>
    <t>Fecha de envío</t>
  </si>
  <si>
    <t>تاريخ الإرسال</t>
  </si>
  <si>
    <t>tableemail_createddate_columntitle</t>
  </si>
  <si>
    <t>Created date</t>
  </si>
  <si>
    <t>Date de création</t>
  </si>
  <si>
    <t>Fecha de creación</t>
  </si>
  <si>
    <t>تاريخ الإنشاء</t>
  </si>
  <si>
    <t>tableemail_title</t>
  </si>
  <si>
    <t>Emails</t>
  </si>
  <si>
    <t>Courriels</t>
  </si>
  <si>
    <t>Correos electrónicos</t>
  </si>
  <si>
    <t>عناوين البريد الالكتروني</t>
  </si>
  <si>
    <t>tableemail_type_columntitle</t>
  </si>
  <si>
    <t>tableemail_state_columntitle</t>
  </si>
  <si>
    <t>State</t>
  </si>
  <si>
    <t>Statut</t>
  </si>
  <si>
    <t>Estado</t>
  </si>
  <si>
    <t>الدولة</t>
  </si>
  <si>
    <t>tableemail_subject_columntitle</t>
  </si>
  <si>
    <t>Subject</t>
  </si>
  <si>
    <t>Objet</t>
  </si>
  <si>
    <t>Tema</t>
  </si>
  <si>
    <t>الموضوع</t>
  </si>
  <si>
    <t>tableemail_cc_columntitle</t>
  </si>
  <si>
    <t>Cc</t>
  </si>
  <si>
    <t>نسخة إلى</t>
  </si>
  <si>
    <t>tableemail_to_columntitle</t>
  </si>
  <si>
    <t>To</t>
  </si>
  <si>
    <t>À</t>
  </si>
  <si>
    <t>إلى</t>
  </si>
  <si>
    <t>tableemail_from_columntitle</t>
  </si>
  <si>
    <t>From</t>
  </si>
  <si>
    <t>De</t>
  </si>
  <si>
    <t>cannotbemodified</t>
  </si>
  <si>
    <t>This KPI cannot be modified, because it has already been submitted.</t>
  </si>
  <si>
    <t>Cet indicateur ne peut pas être modifié car il a déjà été soumis</t>
  </si>
  <si>
    <t>El indicador no puede ser modificado, porque ya se ha remitido la información</t>
  </si>
  <si>
    <t>لايمكن تعديل مؤشر الأداء الرئيسي إذ تم تقديمه بالفعل</t>
  </si>
  <si>
    <t>published</t>
  </si>
  <si>
    <t>rejected</t>
  </si>
  <si>
    <t>Rejected</t>
  </si>
  <si>
    <t>Refusé</t>
  </si>
  <si>
    <t>Rechazado</t>
  </si>
  <si>
    <t>مرفوض</t>
  </si>
  <si>
    <t>validated</t>
  </si>
  <si>
    <t>تم التصديق</t>
  </si>
  <si>
    <t>submitted</t>
  </si>
  <si>
    <t>تم التقديم</t>
  </si>
  <si>
    <t>saved</t>
  </si>
  <si>
    <t>Inserted / Updated / Deleted</t>
  </si>
  <si>
    <t>Sauvegardé</t>
  </si>
  <si>
    <t>Insertado / Actulaizado / Eliminado</t>
  </si>
  <si>
    <t>datarecoveryinformation</t>
  </si>
  <si>
    <t>Data Recovery information</t>
  </si>
  <si>
    <t>Informations relatives à la récupération des données</t>
  </si>
  <si>
    <t>Información sobre recuperación de datos</t>
  </si>
  <si>
    <t>معلومات عن استرجاع البيانات</t>
  </si>
  <si>
    <t>restorelocaldata</t>
  </si>
  <si>
    <t>Restore unsaved changes</t>
  </si>
  <si>
    <t>Restaurer les éléments non sauvegardés</t>
  </si>
  <si>
    <t>Restablecer los elementos no guardados</t>
  </si>
  <si>
    <t>استعادة عناصر غير محفوظة</t>
  </si>
  <si>
    <t>cleanlocaldata</t>
  </si>
  <si>
    <t>Discard unsaved changes</t>
  </si>
  <si>
    <t>Supprimer les éléments non sauvegardés</t>
  </si>
  <si>
    <t>Eliminar los elementos no guardados</t>
  </si>
  <si>
    <t>حذف العناصر التي لم يتم حفظها</t>
  </si>
  <si>
    <t>morethanoneelementunsaved</t>
  </si>
  <si>
    <t>There are {0} unsaved changes</t>
  </si>
  <si>
    <t>{0} éléments n'ont pas été sauvegardés</t>
  </si>
  <si>
    <t>{0} elementos no guardados</t>
  </si>
  <si>
    <t>لا توجد عناصر  لم  يتم حفظها</t>
  </si>
  <si>
    <t>oneelementunsaved</t>
  </si>
  <si>
    <t>There is 1 unsaved change.</t>
  </si>
  <si>
    <t>Un élément n'a pas été sauvegardé</t>
  </si>
  <si>
    <t>Un elemento no ha sido guardado</t>
  </si>
  <si>
    <t>يوجد عنصر واحد لم يتم حفظه</t>
  </si>
  <si>
    <t>commentsandfeedbacksaveerror</t>
  </si>
  <si>
    <t>Error during save</t>
  </si>
  <si>
    <t>Erreur de sauvegarde</t>
  </si>
  <si>
    <t>Error al guardar</t>
  </si>
  <si>
    <t>وقوع خطأ  أثناء الحفظ</t>
  </si>
  <si>
    <t>commentsandfeedbacksavesuccess</t>
  </si>
  <si>
    <t>Successfully saved</t>
  </si>
  <si>
    <t>Guardado con éxito</t>
  </si>
  <si>
    <t>تم حفظ  البيانات بنجاح</t>
  </si>
  <si>
    <t>commentsandfeedbacksavebutton</t>
  </si>
  <si>
    <t>commentsandfeedbacktitle</t>
  </si>
  <si>
    <t>Comments and feedback (internal to FDRS team)</t>
  </si>
  <si>
    <t>Commentaires et retours (interne à l'équipe FDRS)</t>
  </si>
  <si>
    <t>Comentarios y retroalimentación (interno al equipo de FDRS)</t>
  </si>
  <si>
    <t>التعليقات والملاحظات (خاصة لفريق FDRS)</t>
  </si>
  <si>
    <t>editdocumentfilemissing</t>
  </si>
  <si>
    <t>Please upload a document!</t>
  </si>
  <si>
    <t>Veuillez charger un document !</t>
  </si>
  <si>
    <t>¡Por favor incorpore un documento!</t>
  </si>
  <si>
    <t>يرجى تحميل الوثيقة</t>
  </si>
  <si>
    <t>nsdocumenteditpageendyear</t>
  </si>
  <si>
    <t>End year</t>
  </si>
  <si>
    <t>Année de fin</t>
  </si>
  <si>
    <t>Año final</t>
  </si>
  <si>
    <t>سنة النهاية</t>
  </si>
  <si>
    <t>ageotherrange</t>
  </si>
  <si>
    <t>numberofstaffdeathsonduty</t>
  </si>
  <si>
    <t>Number of staff deaths on duty</t>
  </si>
  <si>
    <t>Nombre d'employés qui ont perdu la vie en service</t>
  </si>
  <si>
    <t>Fallecimientos de personal remunerado en acto de servicio</t>
  </si>
  <si>
    <t>عدد الوفيات في صفوف الموظفين  أثناء أداء عملهم</t>
  </si>
  <si>
    <t>dzw001</t>
  </si>
  <si>
    <t>dzm001</t>
  </si>
  <si>
    <t>dza001</t>
  </si>
  <si>
    <t>dye001</t>
  </si>
  <si>
    <t>dws001</t>
  </si>
  <si>
    <t>dvu001</t>
  </si>
  <si>
    <t>dvn001</t>
  </si>
  <si>
    <t>dve001</t>
  </si>
  <si>
    <t>dvc001</t>
  </si>
  <si>
    <t>duz001</t>
  </si>
  <si>
    <t>Société du Croissant-Rouge de l'Ouzbékistan</t>
  </si>
  <si>
    <t>duy001</t>
  </si>
  <si>
    <t>dus001</t>
  </si>
  <si>
    <t>dug001</t>
  </si>
  <si>
    <t>Croix-Rouge de l'Ouganda</t>
  </si>
  <si>
    <t>dua001</t>
  </si>
  <si>
    <t>Société de la Croix-Rouge d'Ukraine</t>
  </si>
  <si>
    <t>dtz001</t>
  </si>
  <si>
    <t>dtv001</t>
  </si>
  <si>
    <t>dtt001</t>
  </si>
  <si>
    <t>dtr001</t>
  </si>
  <si>
    <t>dto001</t>
  </si>
  <si>
    <t>dtn001</t>
  </si>
  <si>
    <t>dtm001</t>
  </si>
  <si>
    <t>dtl001</t>
  </si>
  <si>
    <t>dtj001</t>
  </si>
  <si>
    <t>dth001</t>
  </si>
  <si>
    <t>dtg001</t>
  </si>
  <si>
    <t>dtd001</t>
  </si>
  <si>
    <t>dsz001</t>
  </si>
  <si>
    <t>Croix-Rouge d'Eswatini</t>
  </si>
  <si>
    <t>dsy001</t>
  </si>
  <si>
    <t>dsv001</t>
  </si>
  <si>
    <t>Croix-Rouge d'El Salvador</t>
  </si>
  <si>
    <t>dst001</t>
  </si>
  <si>
    <t>dss001</t>
  </si>
  <si>
    <t>dsr001</t>
  </si>
  <si>
    <t>dso001</t>
  </si>
  <si>
    <t>dsn001</t>
  </si>
  <si>
    <t>dsm001</t>
  </si>
  <si>
    <t>dsl001</t>
  </si>
  <si>
    <t>dsk001</t>
  </si>
  <si>
    <t>dsi001</t>
  </si>
  <si>
    <t>dsg001</t>
  </si>
  <si>
    <t>dse001</t>
  </si>
  <si>
    <t>dsd001</t>
  </si>
  <si>
    <t>dsc001</t>
  </si>
  <si>
    <t>dsb001</t>
  </si>
  <si>
    <t>dsa001</t>
  </si>
  <si>
    <t>Croissant-Rouge de l'Arabie saoudite</t>
  </si>
  <si>
    <t>drw001</t>
  </si>
  <si>
    <t>dru001</t>
  </si>
  <si>
    <t>dro001</t>
  </si>
  <si>
    <t>dqa001</t>
  </si>
  <si>
    <t>dpy001</t>
  </si>
  <si>
    <t>dpw001</t>
  </si>
  <si>
    <t>dpt001</t>
  </si>
  <si>
    <t>dps001</t>
  </si>
  <si>
    <t>dpl001</t>
  </si>
  <si>
    <t>dpk001</t>
  </si>
  <si>
    <t>dph001</t>
  </si>
  <si>
    <t>dpg001</t>
  </si>
  <si>
    <t>dpe001</t>
  </si>
  <si>
    <t>dpa001</t>
  </si>
  <si>
    <t>dnz001</t>
  </si>
  <si>
    <t>dnp001</t>
  </si>
  <si>
    <t>dno001</t>
  </si>
  <si>
    <t>dnl001</t>
  </si>
  <si>
    <t>dni001</t>
  </si>
  <si>
    <t>dng001</t>
  </si>
  <si>
    <t>dne001</t>
  </si>
  <si>
    <t>dna001</t>
  </si>
  <si>
    <t>dmz001</t>
  </si>
  <si>
    <t>dmy001</t>
  </si>
  <si>
    <t>dmx001</t>
  </si>
  <si>
    <t>dmw001</t>
  </si>
  <si>
    <t>dmv001</t>
  </si>
  <si>
    <t>dmu001</t>
  </si>
  <si>
    <t>dmt001</t>
  </si>
  <si>
    <t>dmr001</t>
  </si>
  <si>
    <t>dmn001</t>
  </si>
  <si>
    <t>dmm001</t>
  </si>
  <si>
    <t>dml001</t>
  </si>
  <si>
    <t>dmk001</t>
  </si>
  <si>
    <t>Red Cross of North Macedonia</t>
  </si>
  <si>
    <t>Croix-Rouge de Macédoine du Nord</t>
  </si>
  <si>
    <t>Cruz Roja de Macedonia del Norte</t>
  </si>
  <si>
    <t>مقدونيا الشمالية</t>
  </si>
  <si>
    <t>dmg001</t>
  </si>
  <si>
    <t>dme001</t>
  </si>
  <si>
    <t>dmd001</t>
  </si>
  <si>
    <t>dmc001</t>
  </si>
  <si>
    <t>dma001</t>
  </si>
  <si>
    <t>dly001</t>
  </si>
  <si>
    <t>dlv001</t>
  </si>
  <si>
    <t>dlu001</t>
  </si>
  <si>
    <t>dlt001</t>
  </si>
  <si>
    <t>dls001</t>
  </si>
  <si>
    <t>dlr001</t>
  </si>
  <si>
    <t>dlk001</t>
  </si>
  <si>
    <t>dli001</t>
  </si>
  <si>
    <t>dlc001</t>
  </si>
  <si>
    <t>dlb001</t>
  </si>
  <si>
    <t>dla001</t>
  </si>
  <si>
    <t>dkz001</t>
  </si>
  <si>
    <t>dkw001</t>
  </si>
  <si>
    <t>dkr001</t>
  </si>
  <si>
    <t>dkp001</t>
  </si>
  <si>
    <t>Red Cross Society of the Democratic People's Republic of Korea</t>
  </si>
  <si>
    <t>dkn001</t>
  </si>
  <si>
    <t>dkm001</t>
  </si>
  <si>
    <t>dki001</t>
  </si>
  <si>
    <t>dkh001</t>
  </si>
  <si>
    <t>dkg001</t>
  </si>
  <si>
    <t>dke001</t>
  </si>
  <si>
    <t>djp001</t>
  </si>
  <si>
    <t>djo001</t>
  </si>
  <si>
    <t>djm001</t>
  </si>
  <si>
    <t>dit001</t>
  </si>
  <si>
    <t>dis001</t>
  </si>
  <si>
    <t>dir001</t>
  </si>
  <si>
    <t>Société du Croissant-Rouge de la République islamique d'Iran</t>
  </si>
  <si>
    <t>diq001</t>
  </si>
  <si>
    <t>Croissant-Rouge de l'Iraq</t>
  </si>
  <si>
    <t>din001</t>
  </si>
  <si>
    <t>Croix-Rouge de l'Inde</t>
  </si>
  <si>
    <t>dil001</t>
  </si>
  <si>
    <t>Israël - Magen David Adom d'Israël</t>
  </si>
  <si>
    <t>die001</t>
  </si>
  <si>
    <t>did001</t>
  </si>
  <si>
    <t>dhu001</t>
  </si>
  <si>
    <t>dht001</t>
  </si>
  <si>
    <t>dhr001</t>
  </si>
  <si>
    <t>dhn001</t>
  </si>
  <si>
    <t>dgy001</t>
  </si>
  <si>
    <t>dgw001</t>
  </si>
  <si>
    <t>dgt001</t>
  </si>
  <si>
    <t>dgr001</t>
  </si>
  <si>
    <t>dgq001</t>
  </si>
  <si>
    <t>dgn001</t>
  </si>
  <si>
    <t>dgm001</t>
  </si>
  <si>
    <t>dgh001</t>
  </si>
  <si>
    <t>dge001</t>
  </si>
  <si>
    <t>dgd001</t>
  </si>
  <si>
    <t>dgb001</t>
  </si>
  <si>
    <t>dga001</t>
  </si>
  <si>
    <t>dfr001</t>
  </si>
  <si>
    <t>dfm001</t>
  </si>
  <si>
    <t>dfj001</t>
  </si>
  <si>
    <t>dfi001</t>
  </si>
  <si>
    <t>det001</t>
  </si>
  <si>
    <t>des001</t>
  </si>
  <si>
    <t>deg001</t>
  </si>
  <si>
    <t>dee001</t>
  </si>
  <si>
    <t>Croix-Rouge d'Estonie</t>
  </si>
  <si>
    <t>dec001</t>
  </si>
  <si>
    <t>ddz001</t>
  </si>
  <si>
    <t>ddo001</t>
  </si>
  <si>
    <t>ddm001</t>
  </si>
  <si>
    <t>ddk001</t>
  </si>
  <si>
    <t>ddj001</t>
  </si>
  <si>
    <t>dde001</t>
  </si>
  <si>
    <t>dcz001</t>
  </si>
  <si>
    <t>dcy001</t>
  </si>
  <si>
    <t>dcv001</t>
  </si>
  <si>
    <t>dcu001</t>
  </si>
  <si>
    <t>drs001</t>
  </si>
  <si>
    <t>dcr001</t>
  </si>
  <si>
    <t>dco001</t>
  </si>
  <si>
    <t>dcn001</t>
  </si>
  <si>
    <t>dcm001</t>
  </si>
  <si>
    <t>dcl001</t>
  </si>
  <si>
    <t>dck001</t>
  </si>
  <si>
    <t>dci001</t>
  </si>
  <si>
    <t>Red Cross Society of Côte d'Ivoire</t>
  </si>
  <si>
    <t>Croix-Rouge de Côte d'Ivoire</t>
  </si>
  <si>
    <t>Cruz Roja de la Côte d'Ivoire</t>
  </si>
  <si>
    <t>dch001</t>
  </si>
  <si>
    <t>dcg001</t>
  </si>
  <si>
    <t>dcf001</t>
  </si>
  <si>
    <t>dcd001</t>
  </si>
  <si>
    <t>dca001</t>
  </si>
  <si>
    <t>dbz001</t>
  </si>
  <si>
    <t>dby001</t>
  </si>
  <si>
    <t>dbw001</t>
  </si>
  <si>
    <t>dbs001</t>
  </si>
  <si>
    <t>dbr001</t>
  </si>
  <si>
    <t>dbo001</t>
  </si>
  <si>
    <t>dbn001</t>
  </si>
  <si>
    <t>dbj001</t>
  </si>
  <si>
    <t>dbi001</t>
  </si>
  <si>
    <t>dbh001</t>
  </si>
  <si>
    <t>dbg001</t>
  </si>
  <si>
    <t>dbf001</t>
  </si>
  <si>
    <t>dbe001</t>
  </si>
  <si>
    <t>dbd001</t>
  </si>
  <si>
    <t>dbb001</t>
  </si>
  <si>
    <t>dba001</t>
  </si>
  <si>
    <t>daz001</t>
  </si>
  <si>
    <t>La Société du Croissant-Rouge d'Azerbaïdjan</t>
  </si>
  <si>
    <t>dau001</t>
  </si>
  <si>
    <t>dat001</t>
  </si>
  <si>
    <t>dar001</t>
  </si>
  <si>
    <t>dao001</t>
  </si>
  <si>
    <t>dam001</t>
  </si>
  <si>
    <t>dal001</t>
  </si>
  <si>
    <t>dag001</t>
  </si>
  <si>
    <t>Croix-Rouge d'Antigua-et-Barbuda</t>
  </si>
  <si>
    <t>daf001</t>
  </si>
  <si>
    <t>dae001</t>
  </si>
  <si>
    <t>dad001</t>
  </si>
  <si>
    <t>zw</t>
  </si>
  <si>
    <t>زيمبابوي</t>
  </si>
  <si>
    <t>zm</t>
  </si>
  <si>
    <t>زامبيا</t>
  </si>
  <si>
    <t>za</t>
  </si>
  <si>
    <t>Sudáfrica</t>
  </si>
  <si>
    <t>جنوب أفريقيا</t>
  </si>
  <si>
    <t>yt</t>
  </si>
  <si>
    <t>مايوت</t>
  </si>
  <si>
    <t>ye</t>
  </si>
  <si>
    <t>ws</t>
  </si>
  <si>
    <t>ساموا</t>
  </si>
  <si>
    <t>wf</t>
  </si>
  <si>
    <t>Wallis y Futuna</t>
  </si>
  <si>
    <t>والس وفوتونا</t>
  </si>
  <si>
    <t>vu</t>
  </si>
  <si>
    <t>فانواتو</t>
  </si>
  <si>
    <t>vn</t>
  </si>
  <si>
    <t>فيتنام</t>
  </si>
  <si>
    <t>vi</t>
  </si>
  <si>
    <t>Vírgenes de los Estados Unidos, Islas</t>
  </si>
  <si>
    <t>جزر العذراء الأمريكية</t>
  </si>
  <si>
    <t>vg</t>
  </si>
  <si>
    <t>Vírgenes británicas, Islas</t>
  </si>
  <si>
    <t>جزر العذراء البريطانية</t>
  </si>
  <si>
    <t>ve</t>
  </si>
  <si>
    <t>Venezuela (República Bolivariana de)</t>
  </si>
  <si>
    <t>فنزويلا</t>
  </si>
  <si>
    <t>vc</t>
  </si>
  <si>
    <t>San Vicente y las Granadinas</t>
  </si>
  <si>
    <t>سانت فينسنت والغرينادين</t>
  </si>
  <si>
    <t>va</t>
  </si>
  <si>
    <t>Santa Sede (la)</t>
  </si>
  <si>
    <t>الفاتيكان</t>
  </si>
  <si>
    <t>uz</t>
  </si>
  <si>
    <t>Uzbekistán</t>
  </si>
  <si>
    <t>أوزبكستان</t>
  </si>
  <si>
    <t>uy</t>
  </si>
  <si>
    <t>الأوروغواي</t>
  </si>
  <si>
    <t>us</t>
  </si>
  <si>
    <t>Estados Unidos de América (los)</t>
  </si>
  <si>
    <t>الولايات المتحدة</t>
  </si>
  <si>
    <t>um</t>
  </si>
  <si>
    <t>Islas Ultramarinas Menores de los Estados Unidos (las)</t>
  </si>
  <si>
    <t>جزر الولايات المتحدة الصغيرة النائية</t>
  </si>
  <si>
    <t>ug</t>
  </si>
  <si>
    <t>أوغندا</t>
  </si>
  <si>
    <t>ua</t>
  </si>
  <si>
    <t>tz</t>
  </si>
  <si>
    <t>Tanzania, República Unida de</t>
  </si>
  <si>
    <t>تنزانيا</t>
  </si>
  <si>
    <t>tw</t>
  </si>
  <si>
    <t>Taïwan / (République de Chine (Taïwan))</t>
  </si>
  <si>
    <t>Taiwán (Provincia de China)</t>
  </si>
  <si>
    <t>تايوان</t>
  </si>
  <si>
    <t>tv</t>
  </si>
  <si>
    <t>توفالو</t>
  </si>
  <si>
    <t>tt</t>
  </si>
  <si>
    <t>Trinidad y Tobago</t>
  </si>
  <si>
    <t>ترينيداد وتوباغو</t>
  </si>
  <si>
    <t>tr</t>
  </si>
  <si>
    <t>to</t>
  </si>
  <si>
    <t>تونغا</t>
  </si>
  <si>
    <t>tn</t>
  </si>
  <si>
    <t>Túnez</t>
  </si>
  <si>
    <t>تونس</t>
  </si>
  <si>
    <t>tm</t>
  </si>
  <si>
    <t>Turkmenistán</t>
  </si>
  <si>
    <t>تركمانستان</t>
  </si>
  <si>
    <t>tl</t>
  </si>
  <si>
    <t>تيمور الشرقية</t>
  </si>
  <si>
    <t>tk</t>
  </si>
  <si>
    <t>توكيلاو</t>
  </si>
  <si>
    <t>tj</t>
  </si>
  <si>
    <t>Tayikistán</t>
  </si>
  <si>
    <t>طاجيكستان</t>
  </si>
  <si>
    <t>th</t>
  </si>
  <si>
    <t>Tailandia</t>
  </si>
  <si>
    <t>تايلاند</t>
  </si>
  <si>
    <t>tg</t>
  </si>
  <si>
    <t>توغو</t>
  </si>
  <si>
    <t>tf</t>
  </si>
  <si>
    <t>Tierras Australes Francesas (las)</t>
  </si>
  <si>
    <t>أراض فرنسية جنوبية وأنتارتيكية</t>
  </si>
  <si>
    <t>td</t>
  </si>
  <si>
    <t>tc</t>
  </si>
  <si>
    <t>Turcas y Caicos, (las) Islas</t>
  </si>
  <si>
    <t>جزر توركس وكايكوس</t>
  </si>
  <si>
    <t>sz</t>
  </si>
  <si>
    <t>Eswatini, the Kingdom of</t>
  </si>
  <si>
    <t>l'Eswatini</t>
  </si>
  <si>
    <t>إسواتيني</t>
  </si>
  <si>
    <t>sy</t>
  </si>
  <si>
    <t>República Árabe Siria</t>
  </si>
  <si>
    <t>سوريا</t>
  </si>
  <si>
    <t>sx</t>
  </si>
  <si>
    <t>Sint Maarten (parte neerlandesa)</t>
  </si>
  <si>
    <t>سينت مارتن</t>
  </si>
  <si>
    <t>sv</t>
  </si>
  <si>
    <t>السلفادور</t>
  </si>
  <si>
    <t>st</t>
  </si>
  <si>
    <t>Santo Tomé y Príncipe</t>
  </si>
  <si>
    <t>ساو تومي وبرينسيب</t>
  </si>
  <si>
    <t>ss</t>
  </si>
  <si>
    <t>sr</t>
  </si>
  <si>
    <t>سورينام</t>
  </si>
  <si>
    <t>so</t>
  </si>
  <si>
    <t>sn</t>
  </si>
  <si>
    <t>السنغال</t>
  </si>
  <si>
    <t>sm</t>
  </si>
  <si>
    <t>سان مارينو</t>
  </si>
  <si>
    <t>sl</t>
  </si>
  <si>
    <t>Sierra leona</t>
  </si>
  <si>
    <t>sk</t>
  </si>
  <si>
    <t>Eslovaquia</t>
  </si>
  <si>
    <t>سلوفاكيا</t>
  </si>
  <si>
    <t>sj</t>
  </si>
  <si>
    <t>Svalbard y Jan Mayen</t>
  </si>
  <si>
    <t>سفالبارد ويان ماين</t>
  </si>
  <si>
    <t>Eslovenia</t>
  </si>
  <si>
    <t>سلوفينيا</t>
  </si>
  <si>
    <t>sh</t>
  </si>
  <si>
    <t>Santa Helena, Ascensión y Tristán de Acuña</t>
  </si>
  <si>
    <t>سانت هيلانة وأسينشين وتريستان دا كونا</t>
  </si>
  <si>
    <t>Singapur</t>
  </si>
  <si>
    <t>سنغافورة</t>
  </si>
  <si>
    <t>se</t>
  </si>
  <si>
    <t>Suecia</t>
  </si>
  <si>
    <t>السويد</t>
  </si>
  <si>
    <t>sd</t>
  </si>
  <si>
    <t>Sudán (el)</t>
  </si>
  <si>
    <t>sc</t>
  </si>
  <si>
    <t>سيشل</t>
  </si>
  <si>
    <t>sb</t>
  </si>
  <si>
    <t>Salomón, Islas</t>
  </si>
  <si>
    <t>جزر سليمان</t>
  </si>
  <si>
    <t>sa</t>
  </si>
  <si>
    <t>Arabia Saudita</t>
  </si>
  <si>
    <t>السعودية</t>
  </si>
  <si>
    <t>rw</t>
  </si>
  <si>
    <t>رواندا</t>
  </si>
  <si>
    <t>ru</t>
  </si>
  <si>
    <t>Rusia, (la) Federación de</t>
  </si>
  <si>
    <t>روسيا</t>
  </si>
  <si>
    <t>rs</t>
  </si>
  <si>
    <t>صربيا</t>
  </si>
  <si>
    <t>ro</t>
  </si>
  <si>
    <t>Rumania</t>
  </si>
  <si>
    <t>رومانيا</t>
  </si>
  <si>
    <t>re</t>
  </si>
  <si>
    <t>La Réunion</t>
  </si>
  <si>
    <t>Reunión</t>
  </si>
  <si>
    <t>لا ريونيون</t>
  </si>
  <si>
    <t>qa</t>
  </si>
  <si>
    <t>قطر</t>
  </si>
  <si>
    <t>py</t>
  </si>
  <si>
    <t>باراغواي</t>
  </si>
  <si>
    <t>pw</t>
  </si>
  <si>
    <t>بالاو</t>
  </si>
  <si>
    <t>pt</t>
  </si>
  <si>
    <t>البرتغال</t>
  </si>
  <si>
    <t>ps</t>
  </si>
  <si>
    <t>Palestina, Estado de</t>
  </si>
  <si>
    <t>فلسطين</t>
  </si>
  <si>
    <t>Porto Rico</t>
  </si>
  <si>
    <t>بورتوريكو</t>
  </si>
  <si>
    <t>pn</t>
  </si>
  <si>
    <t>جزر بيتكيرن</t>
  </si>
  <si>
    <t>pm</t>
  </si>
  <si>
    <t>San Pedro y Miquelón</t>
  </si>
  <si>
    <t>سان بيير وميكلون</t>
  </si>
  <si>
    <t>pl</t>
  </si>
  <si>
    <t>Polonia</t>
  </si>
  <si>
    <t>بولندا</t>
  </si>
  <si>
    <t>pk</t>
  </si>
  <si>
    <t>ph</t>
  </si>
  <si>
    <t>Filipinas (las)</t>
  </si>
  <si>
    <t>pg</t>
  </si>
  <si>
    <t>Papua Nueva Guinea</t>
  </si>
  <si>
    <t>بابوا غينيا الجديدة</t>
  </si>
  <si>
    <t>pf</t>
  </si>
  <si>
    <t>Polinesia Francesa</t>
  </si>
  <si>
    <t>بولينزيا الفرنسية</t>
  </si>
  <si>
    <t>pe</t>
  </si>
  <si>
    <t>Perú</t>
  </si>
  <si>
    <t>بيرو</t>
  </si>
  <si>
    <t>pa</t>
  </si>
  <si>
    <t>Panamá</t>
  </si>
  <si>
    <t>بنما</t>
  </si>
  <si>
    <t>om</t>
  </si>
  <si>
    <t>Omán</t>
  </si>
  <si>
    <t>عمان</t>
  </si>
  <si>
    <t>nz</t>
  </si>
  <si>
    <t>Nueva Zelandia</t>
  </si>
  <si>
    <t>نيوزيلندا</t>
  </si>
  <si>
    <t>nu</t>
  </si>
  <si>
    <t>نييوي</t>
  </si>
  <si>
    <t>nr</t>
  </si>
  <si>
    <t>ناورو</t>
  </si>
  <si>
    <t>np</t>
  </si>
  <si>
    <t>نيبال</t>
  </si>
  <si>
    <t>Noruega</t>
  </si>
  <si>
    <t>النرويج</t>
  </si>
  <si>
    <t>nl</t>
  </si>
  <si>
    <t>Países Bajos (los)</t>
  </si>
  <si>
    <t>هولندا</t>
  </si>
  <si>
    <t>ni</t>
  </si>
  <si>
    <t>نيكاراغوا</t>
  </si>
  <si>
    <t>ng</t>
  </si>
  <si>
    <t>nf</t>
  </si>
  <si>
    <t>Norfolk, Isla</t>
  </si>
  <si>
    <t>جزيرة نورفولك</t>
  </si>
  <si>
    <t>ne</t>
  </si>
  <si>
    <t>Níger (el)</t>
  </si>
  <si>
    <t>nc</t>
  </si>
  <si>
    <t>Nueva Caledonia</t>
  </si>
  <si>
    <t>كاليدونيا الجديدة</t>
  </si>
  <si>
    <t>na</t>
  </si>
  <si>
    <t>ناميبيا</t>
  </si>
  <si>
    <t>mz</t>
  </si>
  <si>
    <t>موزمبيق</t>
  </si>
  <si>
    <t>my</t>
  </si>
  <si>
    <t>Malasia</t>
  </si>
  <si>
    <t>ماليزيا</t>
  </si>
  <si>
    <t>mx</t>
  </si>
  <si>
    <t>México</t>
  </si>
  <si>
    <t>المكسيك</t>
  </si>
  <si>
    <t>mw</t>
  </si>
  <si>
    <t>مالاوي</t>
  </si>
  <si>
    <t>mv</t>
  </si>
  <si>
    <t>Maldivas</t>
  </si>
  <si>
    <t>جزر المالديف</t>
  </si>
  <si>
    <t>mu</t>
  </si>
  <si>
    <t>Maurice (pays)</t>
  </si>
  <si>
    <t>Mauricio</t>
  </si>
  <si>
    <t>موريشيوس</t>
  </si>
  <si>
    <t>mt</t>
  </si>
  <si>
    <t>Malte</t>
  </si>
  <si>
    <t>مالطا</t>
  </si>
  <si>
    <t>ms</t>
  </si>
  <si>
    <t>مونتسرات</t>
  </si>
  <si>
    <t>mr</t>
  </si>
  <si>
    <t>موريتانيا</t>
  </si>
  <si>
    <t>mq</t>
  </si>
  <si>
    <t>مارتينيك</t>
  </si>
  <si>
    <t>mp</t>
  </si>
  <si>
    <t>Marianas del Norte, (las) Islas</t>
  </si>
  <si>
    <t>جزر ماريانا الشمالية</t>
  </si>
  <si>
    <t>mo</t>
  </si>
  <si>
    <t>ماكاو</t>
  </si>
  <si>
    <t>mn</t>
  </si>
  <si>
    <t>منغوليا</t>
  </si>
  <si>
    <t>mm</t>
  </si>
  <si>
    <t>ml</t>
  </si>
  <si>
    <t>mk</t>
  </si>
  <si>
    <t>North Macedonia</t>
  </si>
  <si>
    <t>Macédoine du Nord</t>
  </si>
  <si>
    <t>Macedonia de Norte</t>
  </si>
  <si>
    <t>شمال مقدونيا</t>
  </si>
  <si>
    <t>mh</t>
  </si>
  <si>
    <t>Îles Marshall (pays)</t>
  </si>
  <si>
    <t>Marshall, (las) Islas</t>
  </si>
  <si>
    <t>جزر مارشال</t>
  </si>
  <si>
    <t>mg</t>
  </si>
  <si>
    <t>مدغشقر</t>
  </si>
  <si>
    <t>mf</t>
  </si>
  <si>
    <t>Saint Martin (parte francesa)</t>
  </si>
  <si>
    <t>تجمع سان مارتين</t>
  </si>
  <si>
    <t>me</t>
  </si>
  <si>
    <t>الجبل الأسود</t>
  </si>
  <si>
    <t>md</t>
  </si>
  <si>
    <t>Moldavie</t>
  </si>
  <si>
    <t>Moldova (la República de)</t>
  </si>
  <si>
    <t>مولدوفا</t>
  </si>
  <si>
    <t>mc</t>
  </si>
  <si>
    <t>Mónaco</t>
  </si>
  <si>
    <t>موناكو</t>
  </si>
  <si>
    <t>ma</t>
  </si>
  <si>
    <t>Maroc</t>
  </si>
  <si>
    <t>Marruecos</t>
  </si>
  <si>
    <t>المغرب</t>
  </si>
  <si>
    <t>ly</t>
  </si>
  <si>
    <t>Libia</t>
  </si>
  <si>
    <t>ليبيا</t>
  </si>
  <si>
    <t>lv</t>
  </si>
  <si>
    <t>Letonia</t>
  </si>
  <si>
    <t>لاتفيا</t>
  </si>
  <si>
    <t>lu</t>
  </si>
  <si>
    <t>Luxembourg (pays)</t>
  </si>
  <si>
    <t>Luxemburgo</t>
  </si>
  <si>
    <t>لوكسمبورغ</t>
  </si>
  <si>
    <t>lt</t>
  </si>
  <si>
    <t>Lituania</t>
  </si>
  <si>
    <t>ليتوانيا</t>
  </si>
  <si>
    <t>ls</t>
  </si>
  <si>
    <t>ليسوتو</t>
  </si>
  <si>
    <t>lr</t>
  </si>
  <si>
    <t>lk</t>
  </si>
  <si>
    <t>سريلانكا</t>
  </si>
  <si>
    <t>li</t>
  </si>
  <si>
    <t>ليختنشتاين</t>
  </si>
  <si>
    <t>lc</t>
  </si>
  <si>
    <t>Sainte-Lucie</t>
  </si>
  <si>
    <t>Santa Lucía</t>
  </si>
  <si>
    <t>سانت لوسيا</t>
  </si>
  <si>
    <t>lb</t>
  </si>
  <si>
    <t>Líbano</t>
  </si>
  <si>
    <t>لبنان</t>
  </si>
  <si>
    <t>la</t>
  </si>
  <si>
    <t>Lao People's Democratic Republic</t>
  </si>
  <si>
    <t>Lao, (la) República Democrática Popular</t>
  </si>
  <si>
    <t>لاوس</t>
  </si>
  <si>
    <t>kz</t>
  </si>
  <si>
    <t>Kazajstán</t>
  </si>
  <si>
    <t>كازاخستان</t>
  </si>
  <si>
    <t>ky</t>
  </si>
  <si>
    <t>Îles Caïmans</t>
  </si>
  <si>
    <t>Caimán, (las) Islas</t>
  </si>
  <si>
    <t>جزر كايمان</t>
  </si>
  <si>
    <t>kw</t>
  </si>
  <si>
    <t>الكويت</t>
  </si>
  <si>
    <t>kr</t>
  </si>
  <si>
    <t>Corea (la República de)</t>
  </si>
  <si>
    <t>كوريا الجنوبية</t>
  </si>
  <si>
    <t>kp</t>
  </si>
  <si>
    <t>Korea, Democratic People's Republic of</t>
  </si>
  <si>
    <t>Corea (la República Popular Democrática de)</t>
  </si>
  <si>
    <t>كوريا الشمالية</t>
  </si>
  <si>
    <t>kn</t>
  </si>
  <si>
    <t>Saint Kitts y Nevis</t>
  </si>
  <si>
    <t>سانت كيتس ونيفيس</t>
  </si>
  <si>
    <t>km</t>
  </si>
  <si>
    <t>Comores (pays)</t>
  </si>
  <si>
    <t>Comoras (las)</t>
  </si>
  <si>
    <t>جزر القمر</t>
  </si>
  <si>
    <t>ki</t>
  </si>
  <si>
    <t>كيريباتي</t>
  </si>
  <si>
    <t>kh</t>
  </si>
  <si>
    <t>Cambodge</t>
  </si>
  <si>
    <t>Camboya</t>
  </si>
  <si>
    <t>كمبوديا</t>
  </si>
  <si>
    <t>kg</t>
  </si>
  <si>
    <t>Kirguistán</t>
  </si>
  <si>
    <t>قيرغيزستان</t>
  </si>
  <si>
    <t>ke</t>
  </si>
  <si>
    <t>jp</t>
  </si>
  <si>
    <t>Japón</t>
  </si>
  <si>
    <t>اليابان</t>
  </si>
  <si>
    <t>jo</t>
  </si>
  <si>
    <t>Jordanie</t>
  </si>
  <si>
    <t>Jordania</t>
  </si>
  <si>
    <t>الأردن</t>
  </si>
  <si>
    <t>jm</t>
  </si>
  <si>
    <t>جامايكا</t>
  </si>
  <si>
    <t>je</t>
  </si>
  <si>
    <t>جيرزي</t>
  </si>
  <si>
    <t>it</t>
  </si>
  <si>
    <t>Italia</t>
  </si>
  <si>
    <t>إيطاليا</t>
  </si>
  <si>
    <t>is</t>
  </si>
  <si>
    <t>Islandia</t>
  </si>
  <si>
    <t>آيسلندا</t>
  </si>
  <si>
    <t>ir</t>
  </si>
  <si>
    <t>Irán (República Islámica de)</t>
  </si>
  <si>
    <t>إيران</t>
  </si>
  <si>
    <t>iq</t>
  </si>
  <si>
    <t>io</t>
  </si>
  <si>
    <t>Territoire britannique de l'océan Indien</t>
  </si>
  <si>
    <t>Territorio Británico del Océano Índico (el)</t>
  </si>
  <si>
    <t>إقليم المحيط الهندي البريطاني</t>
  </si>
  <si>
    <t>الهند</t>
  </si>
  <si>
    <t>im</t>
  </si>
  <si>
    <t>Isla de Man</t>
  </si>
  <si>
    <t>جزيرة مان</t>
  </si>
  <si>
    <t>il</t>
  </si>
  <si>
    <t>إسرائيل</t>
  </si>
  <si>
    <t>ie</t>
  </si>
  <si>
    <t>Irlande (pays)</t>
  </si>
  <si>
    <t>Irlanda</t>
  </si>
  <si>
    <t>أيرلندا</t>
  </si>
  <si>
    <t>id</t>
  </si>
  <si>
    <t>إندونيسيا</t>
  </si>
  <si>
    <t>hu</t>
  </si>
  <si>
    <t>Hungría</t>
  </si>
  <si>
    <t>المجر</t>
  </si>
  <si>
    <t>ht</t>
  </si>
  <si>
    <t>hr</t>
  </si>
  <si>
    <t>Croacia</t>
  </si>
  <si>
    <t>كرواتيا</t>
  </si>
  <si>
    <t>hn</t>
  </si>
  <si>
    <t>هندوراس</t>
  </si>
  <si>
    <t>hm</t>
  </si>
  <si>
    <t>Heard (Isla) e Islas McDonald</t>
  </si>
  <si>
    <t>جزيرة هيرد وجزر ماكدونالد</t>
  </si>
  <si>
    <t>hk</t>
  </si>
  <si>
    <t>هونغ كونغ</t>
  </si>
  <si>
    <t>gy</t>
  </si>
  <si>
    <t>غيانا</t>
  </si>
  <si>
    <t>gw</t>
  </si>
  <si>
    <t>Guinea Bissau</t>
  </si>
  <si>
    <t>غينيا بيساو</t>
  </si>
  <si>
    <t>gu</t>
  </si>
  <si>
    <t>غوام</t>
  </si>
  <si>
    <t>gt</t>
  </si>
  <si>
    <t>غواتيمالا</t>
  </si>
  <si>
    <t>gs</t>
  </si>
  <si>
    <t>Georgia del Sur (la) y las Islas Sandwich del Sur</t>
  </si>
  <si>
    <t>جورجيا الجنوبية وجزر ساندويتش الجنوبية</t>
  </si>
  <si>
    <t>gr</t>
  </si>
  <si>
    <t>Grecia</t>
  </si>
  <si>
    <t>اليونان</t>
  </si>
  <si>
    <t>gq</t>
  </si>
  <si>
    <t>Guinea Ecuatorial</t>
  </si>
  <si>
    <t>غينيا الاستوائية</t>
  </si>
  <si>
    <t>gp</t>
  </si>
  <si>
    <t>غوادلوب</t>
  </si>
  <si>
    <t>gn</t>
  </si>
  <si>
    <t>غينيا</t>
  </si>
  <si>
    <t>gm</t>
  </si>
  <si>
    <t>Gambia (la)</t>
  </si>
  <si>
    <t>غامبيا</t>
  </si>
  <si>
    <t>gl</t>
  </si>
  <si>
    <t>Groenlandia</t>
  </si>
  <si>
    <t>جرينلاند</t>
  </si>
  <si>
    <t>gi</t>
  </si>
  <si>
    <t>جبل طارق</t>
  </si>
  <si>
    <t>gh</t>
  </si>
  <si>
    <t>غانا</t>
  </si>
  <si>
    <t>gg</t>
  </si>
  <si>
    <t>غيرنزي</t>
  </si>
  <si>
    <t>gf</t>
  </si>
  <si>
    <t>Guayana Francesa</t>
  </si>
  <si>
    <t>غويانا الفرنسية</t>
  </si>
  <si>
    <t>ge</t>
  </si>
  <si>
    <t>Géorgie (pays)</t>
  </si>
  <si>
    <t>جورجيا</t>
  </si>
  <si>
    <t>gd</t>
  </si>
  <si>
    <t>Grenade (pays)</t>
  </si>
  <si>
    <t>Granada</t>
  </si>
  <si>
    <t>غرينادا</t>
  </si>
  <si>
    <t>gb</t>
  </si>
  <si>
    <t>Royaume-Uni</t>
  </si>
  <si>
    <t>Reino Unido de Gran Bretaña e Irlanda del Norte (el)</t>
  </si>
  <si>
    <t>المملكة المتحدة</t>
  </si>
  <si>
    <t>ga</t>
  </si>
  <si>
    <t>Gabón</t>
  </si>
  <si>
    <t>الغابون</t>
  </si>
  <si>
    <t>Francia</t>
  </si>
  <si>
    <t>فرنسا</t>
  </si>
  <si>
    <t>fo</t>
  </si>
  <si>
    <t>Feroe, (las) Islas</t>
  </si>
  <si>
    <t>جزر فارو</t>
  </si>
  <si>
    <t>fm</t>
  </si>
  <si>
    <t>Micronesia (Estados Federados de)</t>
  </si>
  <si>
    <t>ولايات ميكرونيسيا المتحدة</t>
  </si>
  <si>
    <t>fk</t>
  </si>
  <si>
    <t>Malvinas [Falkland], (las) Islas</t>
  </si>
  <si>
    <t>جزر فوكلاند</t>
  </si>
  <si>
    <t>fj</t>
  </si>
  <si>
    <t>فيجي</t>
  </si>
  <si>
    <t>fi</t>
  </si>
  <si>
    <t>Finlandia</t>
  </si>
  <si>
    <t>فنلندا</t>
  </si>
  <si>
    <t>et</t>
  </si>
  <si>
    <t>Éthiopie</t>
  </si>
  <si>
    <t>España</t>
  </si>
  <si>
    <t>er</t>
  </si>
  <si>
    <t>إريتريا</t>
  </si>
  <si>
    <t>eh</t>
  </si>
  <si>
    <t>Sahara Occidental</t>
  </si>
  <si>
    <t>الصحراء الغربية</t>
  </si>
  <si>
    <t>eg</t>
  </si>
  <si>
    <t>Égypte</t>
  </si>
  <si>
    <t>Egipto</t>
  </si>
  <si>
    <t>مصر</t>
  </si>
  <si>
    <t>ee</t>
  </si>
  <si>
    <t>إستونيا</t>
  </si>
  <si>
    <t>ec</t>
  </si>
  <si>
    <t>Équateur (pays)</t>
  </si>
  <si>
    <t>الإكوادور</t>
  </si>
  <si>
    <t>dz</t>
  </si>
  <si>
    <t>Argelia</t>
  </si>
  <si>
    <t>الجزائر</t>
  </si>
  <si>
    <t>do</t>
  </si>
  <si>
    <t>Dominicana, (la) República</t>
  </si>
  <si>
    <t>جمهورية الدومينيكان</t>
  </si>
  <si>
    <t>dm</t>
  </si>
  <si>
    <t>دومينيكا</t>
  </si>
  <si>
    <t>dk</t>
  </si>
  <si>
    <t>Dinamarca</t>
  </si>
  <si>
    <t>الدنمارك</t>
  </si>
  <si>
    <t>dj</t>
  </si>
  <si>
    <t>جيبوتي</t>
  </si>
  <si>
    <t>de</t>
  </si>
  <si>
    <t>Alemania</t>
  </si>
  <si>
    <t>ألمانيا</t>
  </si>
  <si>
    <t>cz</t>
  </si>
  <si>
    <t>Tchéquie</t>
  </si>
  <si>
    <t>Chequia</t>
  </si>
  <si>
    <t>جمهورية التشيك</t>
  </si>
  <si>
    <t>cy</t>
  </si>
  <si>
    <t>Chypre (pays)</t>
  </si>
  <si>
    <t>Chipre</t>
  </si>
  <si>
    <t>قبرص</t>
  </si>
  <si>
    <t>cx</t>
  </si>
  <si>
    <t>Navidad, Isla de</t>
  </si>
  <si>
    <t>جزيرة عيد الميلاد</t>
  </si>
  <si>
    <t>cw</t>
  </si>
  <si>
    <t>كوراساو</t>
  </si>
  <si>
    <t>cv</t>
  </si>
  <si>
    <t>Cap-Vert</t>
  </si>
  <si>
    <t>Cabo Verde</t>
  </si>
  <si>
    <t>الرأس الأخضر</t>
  </si>
  <si>
    <t>cu</t>
  </si>
  <si>
    <t>cr</t>
  </si>
  <si>
    <t>كوستاريكا</t>
  </si>
  <si>
    <t>co</t>
  </si>
  <si>
    <t>كولومبيا</t>
  </si>
  <si>
    <t>cn</t>
  </si>
  <si>
    <t>الصين</t>
  </si>
  <si>
    <t>cm</t>
  </si>
  <si>
    <t>Camerún</t>
  </si>
  <si>
    <t>الكاميرون</t>
  </si>
  <si>
    <t>cl</t>
  </si>
  <si>
    <t>ck</t>
  </si>
  <si>
    <t>Cook, (las) Islas</t>
  </si>
  <si>
    <t>جزر كوك</t>
  </si>
  <si>
    <t>ci</t>
  </si>
  <si>
    <t>Côte d'Ivoire</t>
  </si>
  <si>
    <t>ch</t>
  </si>
  <si>
    <t>Suiza</t>
  </si>
  <si>
    <t>سويسرا</t>
  </si>
  <si>
    <t>cg</t>
  </si>
  <si>
    <t>Congo (el)</t>
  </si>
  <si>
    <t>cf</t>
  </si>
  <si>
    <t>República Centroafricana (la)</t>
  </si>
  <si>
    <t>cd</t>
  </si>
  <si>
    <t>Congo (la República Democrática del)</t>
  </si>
  <si>
    <t>cc</t>
  </si>
  <si>
    <t>Cocos / Keeling, (las) Islas</t>
  </si>
  <si>
    <t>جزر كوكوس</t>
  </si>
  <si>
    <t>ca</t>
  </si>
  <si>
    <t>Canadá</t>
  </si>
  <si>
    <t>كندا</t>
  </si>
  <si>
    <t>bz</t>
  </si>
  <si>
    <t>Belice</t>
  </si>
  <si>
    <t>بليز</t>
  </si>
  <si>
    <t>by</t>
  </si>
  <si>
    <t>Belarús</t>
  </si>
  <si>
    <t>روسيا البيضاء</t>
  </si>
  <si>
    <t>bw</t>
  </si>
  <si>
    <t>بوتسوانا</t>
  </si>
  <si>
    <t>bv</t>
  </si>
  <si>
    <t>Bouvet, Isla</t>
  </si>
  <si>
    <t>جزيرة بوفيه</t>
  </si>
  <si>
    <t>bt</t>
  </si>
  <si>
    <t>Bután</t>
  </si>
  <si>
    <t>بوتان</t>
  </si>
  <si>
    <t>bs</t>
  </si>
  <si>
    <t>Bahamas (las)</t>
  </si>
  <si>
    <t>باهاماس</t>
  </si>
  <si>
    <t>br</t>
  </si>
  <si>
    <t>Brasil</t>
  </si>
  <si>
    <t>البرازيل</t>
  </si>
  <si>
    <t>bq</t>
  </si>
  <si>
    <t>Bonaire, San Eustaquio y Saba</t>
  </si>
  <si>
    <t>الجزر الكاريبية الهولندية</t>
  </si>
  <si>
    <t>bo</t>
  </si>
  <si>
    <t>Bolivia (Estado Plurinacional de)</t>
  </si>
  <si>
    <t>بوليفيا</t>
  </si>
  <si>
    <t>bn</t>
  </si>
  <si>
    <t>بروناي</t>
  </si>
  <si>
    <t>bm</t>
  </si>
  <si>
    <t>Bermudas</t>
  </si>
  <si>
    <t>برمودا</t>
  </si>
  <si>
    <t>bl</t>
  </si>
  <si>
    <t>Saint-Barthélemy</t>
  </si>
  <si>
    <t>سان بارتيلمي</t>
  </si>
  <si>
    <t>bj</t>
  </si>
  <si>
    <t>بنين</t>
  </si>
  <si>
    <t>bi</t>
  </si>
  <si>
    <t>بوروندي</t>
  </si>
  <si>
    <t>bh</t>
  </si>
  <si>
    <t>Bahrein</t>
  </si>
  <si>
    <t>البحرين</t>
  </si>
  <si>
    <t>bg</t>
  </si>
  <si>
    <t>بلغاريا</t>
  </si>
  <si>
    <t>bf</t>
  </si>
  <si>
    <t>be</t>
  </si>
  <si>
    <t>Bélgica</t>
  </si>
  <si>
    <t>بلجيكا</t>
  </si>
  <si>
    <t>bd</t>
  </si>
  <si>
    <t>bb</t>
  </si>
  <si>
    <t>Barbade</t>
  </si>
  <si>
    <t>باربادوس</t>
  </si>
  <si>
    <t>ba</t>
  </si>
  <si>
    <t>Bosnia y Herzegovina</t>
  </si>
  <si>
    <t>البوسنة والهرسك</t>
  </si>
  <si>
    <t>az</t>
  </si>
  <si>
    <t>Azerbaiyán</t>
  </si>
  <si>
    <t>أذربيجان</t>
  </si>
  <si>
    <t>ax</t>
  </si>
  <si>
    <t>Îles Åland</t>
  </si>
  <si>
    <t>Åland, Islas</t>
  </si>
  <si>
    <t>جزر أولاند</t>
  </si>
  <si>
    <t>aw</t>
  </si>
  <si>
    <t>أروبا</t>
  </si>
  <si>
    <t>au</t>
  </si>
  <si>
    <t>أستراليا</t>
  </si>
  <si>
    <t>at</t>
  </si>
  <si>
    <t>as</t>
  </si>
  <si>
    <t>Samoa Americana</t>
  </si>
  <si>
    <t>ساموا الأمريكية</t>
  </si>
  <si>
    <t>الأرجنتين</t>
  </si>
  <si>
    <t>aq</t>
  </si>
  <si>
    <t>Antártida</t>
  </si>
  <si>
    <t>القارة القطبية الجنوبية</t>
  </si>
  <si>
    <t>ao</t>
  </si>
  <si>
    <t>am</t>
  </si>
  <si>
    <t>أرمينيا</t>
  </si>
  <si>
    <t>al</t>
  </si>
  <si>
    <t>ألبانيا</t>
  </si>
  <si>
    <t>ai</t>
  </si>
  <si>
    <t>Anguila</t>
  </si>
  <si>
    <t>أنغويلا</t>
  </si>
  <si>
    <t>ag</t>
  </si>
  <si>
    <t>Antigua y Barbuda</t>
  </si>
  <si>
    <t>أنتيغوا وباربودا</t>
  </si>
  <si>
    <t>af</t>
  </si>
  <si>
    <t>ae</t>
  </si>
  <si>
    <t>Emiratos Árabes Unidos (los)</t>
  </si>
  <si>
    <t>الإمارات العربية المتحدة</t>
  </si>
  <si>
    <t>ad</t>
  </si>
  <si>
    <t>أندورا</t>
  </si>
  <si>
    <t>indexpage_title</t>
  </si>
  <si>
    <t>FDRS User Management</t>
  </si>
  <si>
    <t>Gestion des utilisateurs FDRS</t>
  </si>
  <si>
    <t>Responsable de gestión de usuarios FDRS</t>
  </si>
  <si>
    <t>إدارة المستخدم</t>
  </si>
  <si>
    <t>Data Manager</t>
  </si>
  <si>
    <t>Gestionnaire des données</t>
  </si>
  <si>
    <t>Responsable de gestión de datos</t>
  </si>
  <si>
    <t>مسؤول عن إدارة البيانات</t>
  </si>
  <si>
    <t>approver</t>
  </si>
  <si>
    <t>Approver</t>
  </si>
  <si>
    <t>Approbateur</t>
  </si>
  <si>
    <t>Aprobador</t>
  </si>
  <si>
    <t>مصادق</t>
  </si>
  <si>
    <t>Editeur</t>
  </si>
  <si>
    <t>Edición</t>
  </si>
  <si>
    <t>محرر</t>
  </si>
  <si>
    <t>Administrator</t>
  </si>
  <si>
    <t>Administrateur</t>
  </si>
  <si>
    <t>مسؤول إداري</t>
  </si>
  <si>
    <t>SI</t>
  </si>
  <si>
    <t>documenttype</t>
  </si>
  <si>
    <t>Nos états financiers non vérifiés</t>
  </si>
  <si>
    <t>Estados financieros no auditados</t>
  </si>
  <si>
    <t>بياناتنا المالية التي لم تخضع للتدقيق</t>
  </si>
  <si>
    <t>Notre plan stratégique</t>
  </si>
  <si>
    <t>Plan estratégico</t>
  </si>
  <si>
    <t>خطتنا الاستراتيجية</t>
  </si>
  <si>
    <t>Nos statuts en vigueur</t>
  </si>
  <si>
    <t>Estatutos vigentes</t>
  </si>
  <si>
    <t>تطبيق نظامنا الداخلي</t>
  </si>
  <si>
    <t>Loi  sur la Croix-Rouge en vigueur dans notre pays</t>
  </si>
  <si>
    <t>Ley sobre la Cruz Roja</t>
  </si>
  <si>
    <t>قانون الهلال/ الصليب الأحمر المطبق في بلدنا</t>
  </si>
  <si>
    <t>Loi sur l'emblème en vigueur dans notre pays</t>
  </si>
  <si>
    <t>Ley sobre el emblema</t>
  </si>
  <si>
    <t>قانون الشارة المطبق في بلدنا</t>
  </si>
  <si>
    <t>Our Audited Financial Statement</t>
  </si>
  <si>
    <t>Nos états financiers vérifiés</t>
  </si>
  <si>
    <t>Informes financieros auditados</t>
  </si>
  <si>
    <t>بياننا المالي المدقَق</t>
  </si>
  <si>
    <t>Notre rapport annuel</t>
  </si>
  <si>
    <t>Informe anual</t>
  </si>
  <si>
    <t>تقريرنا السنوي</t>
  </si>
  <si>
    <t>Otro</t>
  </si>
  <si>
    <t>غيرها</t>
  </si>
  <si>
    <t>Eliminar</t>
  </si>
  <si>
    <t>Are you sure you want to delete this item?</t>
  </si>
  <si>
    <t>Êtes-vous sûr de vouloir effacer cette information ?</t>
  </si>
  <si>
    <t>¿Desea confirmar esta eliminación?</t>
  </si>
  <si>
    <t>هل أنت متأكد من حذف هذا الصنف؟</t>
  </si>
  <si>
    <t>deletedocument_button</t>
  </si>
  <si>
    <t>Delete Document</t>
  </si>
  <si>
    <t>Supprimer le document</t>
  </si>
  <si>
    <t>Elimine documento</t>
  </si>
  <si>
    <t>احذف الوثيقة</t>
  </si>
  <si>
    <t>keydocument</t>
  </si>
  <si>
    <t>Key document</t>
  </si>
  <si>
    <t>Document clé</t>
  </si>
  <si>
    <t>Documento fundamental</t>
  </si>
  <si>
    <t>وثيقة رئيسية</t>
  </si>
  <si>
    <t>Upload Document</t>
  </si>
  <si>
    <t>Cargue documento</t>
  </si>
  <si>
    <t>Edición de documento</t>
  </si>
  <si>
    <t>تعديل وثيقة</t>
  </si>
  <si>
    <t>keydocumentsthereisnodocuemntsavailable</t>
  </si>
  <si>
    <t>No document of this type found</t>
  </si>
  <si>
    <t>Aucun document de ce type n'a été trouvé.</t>
  </si>
  <si>
    <t>Categoría de documento no encontrada</t>
  </si>
  <si>
    <t>نوع الوثيقة غير موجود</t>
  </si>
  <si>
    <t>keydocuments</t>
  </si>
  <si>
    <t>Key Documents for this reporting year</t>
  </si>
  <si>
    <t>Principales documentos</t>
  </si>
  <si>
    <t>searchmenupleasestarttyping</t>
  </si>
  <si>
    <t>Nom de la Société Nationale</t>
  </si>
  <si>
    <t>اسم الجمعية الوطنية</t>
  </si>
  <si>
    <t>backtodocuments</t>
  </si>
  <si>
    <t>Go to National Society's Documents</t>
  </si>
  <si>
    <t>Retour aux documents</t>
  </si>
  <si>
    <t>Regreso a documentos</t>
  </si>
  <si>
    <t>العودة إلى الوثيقة</t>
  </si>
  <si>
    <t>resencecheck_documentpresence</t>
  </si>
  <si>
    <t>A document is available</t>
  </si>
  <si>
    <t>Un document est disponible.</t>
  </si>
  <si>
    <t>Presencia de documento</t>
  </si>
  <si>
    <t>وجود الوثيقة</t>
  </si>
  <si>
    <t>buttonselectanotherns_button</t>
  </si>
  <si>
    <t>Select another NS</t>
  </si>
  <si>
    <t>Sélectionner une autre Société nationale</t>
  </si>
  <si>
    <t>انتق جمعية وطنية أخرى</t>
  </si>
  <si>
    <t>gotodashboard</t>
  </si>
  <si>
    <t>Go to National Society Dashboard</t>
  </si>
  <si>
    <t>Accéder au tableau de bord</t>
  </si>
  <si>
    <t>Ir al tablero de la Sociedad Nacional</t>
  </si>
  <si>
    <t>اذهب إلى لوحة البيان</t>
  </si>
  <si>
    <t>validationerrors</t>
  </si>
  <si>
    <t>Validation Errors:</t>
  </si>
  <si>
    <t>Erreurs de validation :</t>
  </si>
  <si>
    <t>Errores en validación</t>
  </si>
  <si>
    <t>أخطاء أثناء التحقق:</t>
  </si>
  <si>
    <t>form_title</t>
  </si>
  <si>
    <t>KPI Data</t>
  </si>
  <si>
    <t>Données relatives aux indicateurs clés</t>
  </si>
  <si>
    <t>Datos sobre indicadores principales de desempeño</t>
  </si>
  <si>
    <t>بيانات مؤشر الأداء الرئيسي</t>
  </si>
  <si>
    <t>deletecommunicationlogconfirmmessage</t>
  </si>
  <si>
    <t>deletefocalpointconfirmmessage</t>
  </si>
  <si>
    <t>edit_save_button</t>
  </si>
  <si>
    <t>typeofcontact_label</t>
  </si>
  <si>
    <t>Type of contact</t>
  </si>
  <si>
    <t>Type de communication</t>
  </si>
  <si>
    <t>Tipo de contacto</t>
  </si>
  <si>
    <t>نوع وسيلة الاتصال</t>
  </si>
  <si>
    <t>edit_title</t>
  </si>
  <si>
    <t>Communication Log</t>
  </si>
  <si>
    <t>Registro de comunicación</t>
  </si>
  <si>
    <t>سجل  الاتصالات</t>
  </si>
  <si>
    <t>add_title</t>
  </si>
  <si>
    <t>سِجل الاتصالات</t>
  </si>
  <si>
    <t>add_save_button</t>
  </si>
  <si>
    <t>phone_radiobutton</t>
  </si>
  <si>
    <t>رقم  الهاتف</t>
  </si>
  <si>
    <t>email_radiobutton</t>
  </si>
  <si>
    <t>عنوان البريد الإلكتروني:</t>
  </si>
  <si>
    <t>savesuccessmessage</t>
  </si>
  <si>
    <t>Communication Log record has been successfully saved.</t>
  </si>
  <si>
    <t>Le registre des communications a été enregistré avec succès.</t>
  </si>
  <si>
    <t>El registro de comunicación ha sido guardado exitosamente</t>
  </si>
  <si>
    <t>تم حفظ سجل الاتصالات بنجاح</t>
  </si>
  <si>
    <t>callmadeat_label</t>
  </si>
  <si>
    <t>Call Made At</t>
  </si>
  <si>
    <t>Appel passé à</t>
  </si>
  <si>
    <t>Llamada efectuada: hora</t>
  </si>
  <si>
    <t>نداء موجّه في</t>
  </si>
  <si>
    <t>comment_label</t>
  </si>
  <si>
    <t>Comment</t>
  </si>
  <si>
    <t>Commentaire</t>
  </si>
  <si>
    <t>Comentario</t>
  </si>
  <si>
    <t>تعليق</t>
  </si>
  <si>
    <t>addfocalpoint_button</t>
  </si>
  <si>
    <t>Add Focal Point</t>
  </si>
  <si>
    <t>Ajouter une personne de référence</t>
  </si>
  <si>
    <t>Añada una persona de referencia</t>
  </si>
  <si>
    <t>أضف  مُنسّق</t>
  </si>
  <si>
    <t>selectnationalsociety</t>
  </si>
  <si>
    <t>Select National Society</t>
  </si>
  <si>
    <t>Sélectionner la Société nationale</t>
  </si>
  <si>
    <t>Seleccione la Sociedad Nacional</t>
  </si>
  <si>
    <t>انتق جمعية وطنية</t>
  </si>
  <si>
    <t>selectnsfirstplease</t>
  </si>
  <si>
    <t>Select NS first please</t>
  </si>
  <si>
    <t>Veuillez sélectionner une Société nationale.</t>
  </si>
  <si>
    <t>Seleccione primero una Sociedad Nacional</t>
  </si>
  <si>
    <t>يرجى اختيار المكان الأول للجمعية الوطنية</t>
  </si>
  <si>
    <t>contactperson_label</t>
  </si>
  <si>
    <t>Contact Person</t>
  </si>
  <si>
    <t>Personne de contact</t>
  </si>
  <si>
    <t>Coordinador responsable</t>
  </si>
  <si>
    <t>الشخص المعني</t>
  </si>
  <si>
    <t>doncode_label</t>
  </si>
  <si>
    <t>addnewuser_button</t>
  </si>
  <si>
    <t>Add new user</t>
  </si>
  <si>
    <t>Ajouter un nouvel utilisateur</t>
  </si>
  <si>
    <t>Agregar nuevo usuario</t>
  </si>
  <si>
    <t>إضافة مستخدم جديد</t>
  </si>
  <si>
    <t>allowedsocieties_label</t>
  </si>
  <si>
    <t>Allowed Societies</t>
  </si>
  <si>
    <t>Sociétés nationales autorisées</t>
  </si>
  <si>
    <t>Sociedades Nacionales autorizadas</t>
  </si>
  <si>
    <t>الجمعيات المسموح لها</t>
  </si>
  <si>
    <t>usersearchnoresultmessage</t>
  </si>
  <si>
    <t>Your search returned 0 users.</t>
  </si>
  <si>
    <t>Votre recherche ne correspond à aucun utilisateur.</t>
  </si>
  <si>
    <t>Su búsqueda ha resultado en 0 usuarios</t>
  </si>
  <si>
    <t>لم يسفر البحث عن أي مستخدم</t>
  </si>
  <si>
    <t>userlist_editbutton</t>
  </si>
  <si>
    <t>تعديل</t>
  </si>
  <si>
    <t>roles_label</t>
  </si>
  <si>
    <t>Roles</t>
  </si>
  <si>
    <t>Rôles</t>
  </si>
  <si>
    <t>Funciones</t>
  </si>
  <si>
    <t>الأدوار</t>
  </si>
  <si>
    <t>title_label</t>
  </si>
  <si>
    <t>Título o cargo</t>
  </si>
  <si>
    <t>اللقب</t>
  </si>
  <si>
    <t>name_label</t>
  </si>
  <si>
    <t>logonname_label</t>
  </si>
  <si>
    <t>Logon Name</t>
  </si>
  <si>
    <t>Nom d'utilisateur</t>
  </si>
  <si>
    <t>Nombre de conexión</t>
  </si>
  <si>
    <t>الاسم التعريفي للدخول</t>
  </si>
  <si>
    <t>selectallsocieties_checkbox</t>
  </si>
  <si>
    <t>Select All Societies</t>
  </si>
  <si>
    <t>Sélectionner toutes les Sociétés nationales</t>
  </si>
  <si>
    <t>Selección de todas las Sociedades Nacionales</t>
  </si>
  <si>
    <t>اختيار جميع الجمعيات</t>
  </si>
  <si>
    <t>saveuser_button</t>
  </si>
  <si>
    <t>Save User</t>
  </si>
  <si>
    <t>Enregistrer les informations d'utilisateur</t>
  </si>
  <si>
    <t>Guardar datos del usuario</t>
  </si>
  <si>
    <t>حفظ بيانات المستخدم</t>
  </si>
  <si>
    <t>User has been saved successfully.</t>
  </si>
  <si>
    <t>Les informations d'utilisateur ont été enregistrées avec succès.</t>
  </si>
  <si>
    <t>Los datos del usuario han sido guardados exitosamente</t>
  </si>
  <si>
    <t>تم حفظ بيانات المستخدم بنجاح</t>
  </si>
  <si>
    <t>edituser_title</t>
  </si>
  <si>
    <t>Edit User</t>
  </si>
  <si>
    <t>Modifier les informations d'utilisateur</t>
  </si>
  <si>
    <t>Edición de datos de usuario</t>
  </si>
  <si>
    <t>تعديل ملف مستخدم</t>
  </si>
  <si>
    <t>createuser_title</t>
  </si>
  <si>
    <t>Create User</t>
  </si>
  <si>
    <t>Créer un compte d'utilisateur</t>
  </si>
  <si>
    <t>Creación de usuario</t>
  </si>
  <si>
    <t>إنشاء ملف مستخدم</t>
  </si>
  <si>
    <t>section10</t>
  </si>
  <si>
    <t>Section 10: Additional Information and Feedback</t>
  </si>
  <si>
    <t>Section 10 : informations complémentaires et commentaires</t>
  </si>
  <si>
    <t>Sección 10: Información adicional y comentarios</t>
  </si>
  <si>
    <t>الجزء 10: معلومات إضافية  وتعليقات</t>
  </si>
  <si>
    <t>fromrange</t>
  </si>
  <si>
    <t>{0}+</t>
  </si>
  <si>
    <t>fromtorange</t>
  </si>
  <si>
    <t>{0}-{1}</t>
  </si>
  <si>
    <t>من {0} إلى {1}</t>
  </si>
  <si>
    <t>validatesection_button</t>
  </si>
  <si>
    <t>Validate section</t>
  </si>
  <si>
    <t>Valider la section</t>
  </si>
  <si>
    <t>Validación de la sección</t>
  </si>
  <si>
    <t>تحقق من القسم</t>
  </si>
  <si>
    <t>validation</t>
  </si>
  <si>
    <t>validationpageofkpistitle</t>
  </si>
  <si>
    <t>Validation page of KPIs</t>
  </si>
  <si>
    <t>Page de validation des indicateurs clés</t>
  </si>
  <si>
    <t>Página de validación de los indicadores</t>
  </si>
  <si>
    <t>صفحة التحقق الخاصة بمؤشرات الأداء الرئيسية</t>
  </si>
  <si>
    <t>nsswithdatafor</t>
  </si>
  <si>
    <t>National Societies Report</t>
  </si>
  <si>
    <t>Sociétés nationales ayant soumis leurs données concernant</t>
  </si>
  <si>
    <t>Sociedades Nacionales sobre las que se dispone información relativa a</t>
  </si>
  <si>
    <t>الجمعيات الوطنية التي توجد بياناتها عن</t>
  </si>
  <si>
    <t>Gestión de usuarios FDRS</t>
  </si>
  <si>
    <t>download_alltimevalidationspreadsheet</t>
  </si>
  <si>
    <t>All time data - csv</t>
  </si>
  <si>
    <t>Ensemble des données toutes années confondues - csv</t>
  </si>
  <si>
    <t>Hoja de validación con información de todos los años - csv</t>
  </si>
  <si>
    <t>جدول إكسل الخاص بالتحقق في جميع الأوقات - csv</t>
  </si>
  <si>
    <t>download_lastyearvalidationspreadsheet</t>
  </si>
  <si>
    <t>Last year's data - csv</t>
  </si>
  <si>
    <t>Ensemble des données de l'année précédente - csv</t>
  </si>
  <si>
    <t>Hoja de validación correspondiente al año pasado - csv</t>
  </si>
  <si>
    <t>جدول إكسل الخاص بالتحقق عن العام الماضي - csv</t>
  </si>
  <si>
    <t>kobotool</t>
  </si>
  <si>
    <t>FDRS KoBo Tool</t>
  </si>
  <si>
    <t>Outil KoBo FDRS</t>
  </si>
  <si>
    <t>Herramienta KoBo FDRS</t>
  </si>
  <si>
    <t>أداة   كوبو</t>
  </si>
  <si>
    <t>nonstoshow</t>
  </si>
  <si>
    <t>Toggle navigation</t>
  </si>
  <si>
    <t>Barre de basculement</t>
  </si>
  <si>
    <t>Función de conmutación</t>
  </si>
  <si>
    <t>تشغيل / إيقاف التنقل</t>
  </si>
  <si>
    <t>name_columntitle</t>
  </si>
  <si>
    <t>doncode_columntitle</t>
  </si>
  <si>
    <t>DON Code</t>
  </si>
  <si>
    <t>Code DONATEUR</t>
  </si>
  <si>
    <t>Código DON</t>
  </si>
  <si>
    <t>رمز المتبرع</t>
  </si>
  <si>
    <t>Sociétés nationales ayant soumis leurs données relatives à l'année précédente</t>
  </si>
  <si>
    <t>Sociedades Nacionales sobre las que se dispone información relativa al año pasado</t>
  </si>
  <si>
    <t>الجمعيات الوطنية التي توجد بياناتها عن العام السابق</t>
  </si>
  <si>
    <t>حرر</t>
  </si>
  <si>
    <t>Your search returned 0 documents.</t>
  </si>
  <si>
    <t>Votre recherche ne correspond à aucun document.</t>
  </si>
  <si>
    <t>Su búsqueda ha dado 0 resultados</t>
  </si>
  <si>
    <t>لم يسفر البحث عن شيء</t>
  </si>
  <si>
    <t>savedocument_button</t>
  </si>
  <si>
    <t>Save Document</t>
  </si>
  <si>
    <t>Sauvegarder le document</t>
  </si>
  <si>
    <t>Guardar documento</t>
  </si>
  <si>
    <t>حفظ الوثيقة</t>
  </si>
  <si>
    <t>backtons_button</t>
  </si>
  <si>
    <t>Back to NS</t>
  </si>
  <si>
    <t>Retour aux informations sur la Société nationale</t>
  </si>
  <si>
    <t>Regreso a Sociedad Nacional</t>
  </si>
  <si>
    <t>العودة إلى المعلومات عن الجمعية الوطنية</t>
  </si>
  <si>
    <t>edit_documentupload</t>
  </si>
  <si>
    <t>Document Upload</t>
  </si>
  <si>
    <t>تحميل الوثيقة</t>
  </si>
  <si>
    <t>edit_documentlink_label</t>
  </si>
  <si>
    <t>Document Link</t>
  </si>
  <si>
    <t>Lien vers le document</t>
  </si>
  <si>
    <t>Enlace a documento</t>
  </si>
  <si>
    <t>الرابط إلى الوثيقة</t>
  </si>
  <si>
    <t>edit_successfullysaved</t>
  </si>
  <si>
    <t>Document has been saved successfully.</t>
  </si>
  <si>
    <t>Le document a été sauvegardé avec succès.</t>
  </si>
  <si>
    <t>El documento ha sido guardado exitosamente</t>
  </si>
  <si>
    <t>تم حفظ الوثيقة بنجاح</t>
  </si>
  <si>
    <t>index_deleted_label</t>
  </si>
  <si>
    <t>DELETED</t>
  </si>
  <si>
    <t>SUPPRIMÉ</t>
  </si>
  <si>
    <t>ELIMINADO</t>
  </si>
  <si>
    <t>محذوف</t>
  </si>
  <si>
    <t>editnationalsociety_backtons_button</t>
  </si>
  <si>
    <t>editnationalsociety_save_button</t>
  </si>
  <si>
    <t>editnationalsociety_language</t>
  </si>
  <si>
    <t>Language:</t>
  </si>
  <si>
    <t>Langue :</t>
  </si>
  <si>
    <t>editnationalsociety_phone</t>
  </si>
  <si>
    <t>Phone:</t>
  </si>
  <si>
    <t>Téléphone :</t>
  </si>
  <si>
    <t>رقم الهاتف</t>
  </si>
  <si>
    <t>editnationalsociety_fax</t>
  </si>
  <si>
    <t>Fax:</t>
  </si>
  <si>
    <t>Fax :</t>
  </si>
  <si>
    <t>Fax</t>
  </si>
  <si>
    <t>رقم الفاكس:</t>
  </si>
  <si>
    <t>editnationalsociety_emailaddress</t>
  </si>
  <si>
    <t>Email address:</t>
  </si>
  <si>
    <t>Courriel :</t>
  </si>
  <si>
    <t>البريد الالكتروني</t>
  </si>
  <si>
    <t>editnationalsociety_websiteurl</t>
  </si>
  <si>
    <t>WebSite url:</t>
  </si>
  <si>
    <t>Url du site web :</t>
  </si>
  <si>
    <t>URL del sitio web</t>
  </si>
  <si>
    <t>عنوان الموقع الإلكتروني:</t>
  </si>
  <si>
    <t>editnationalsociety_country</t>
  </si>
  <si>
    <t>Country:</t>
  </si>
  <si>
    <t>Pays :</t>
  </si>
  <si>
    <t>البلد:</t>
  </si>
  <si>
    <t>editnationalsociety_city</t>
  </si>
  <si>
    <t>City:</t>
  </si>
  <si>
    <t>Ville :</t>
  </si>
  <si>
    <t>Ciudad</t>
  </si>
  <si>
    <t>المدينة:</t>
  </si>
  <si>
    <t>editnationalsociety_addressline3</t>
  </si>
  <si>
    <t>Address line 3:</t>
  </si>
  <si>
    <t>Complément d'adresse 2 :</t>
  </si>
  <si>
    <t>Dirección línea 3</t>
  </si>
  <si>
    <t>العنوان - السطر الثالث:</t>
  </si>
  <si>
    <t>editnationalsociety_addressline2</t>
  </si>
  <si>
    <t>Address line 2:</t>
  </si>
  <si>
    <t>Complément d'adresse 1 :</t>
  </si>
  <si>
    <t>Dirección línea 2</t>
  </si>
  <si>
    <t>العنوان- السطر الثاني:</t>
  </si>
  <si>
    <t>editnationalsociety_addressline1</t>
  </si>
  <si>
    <t>Address line 1:</t>
  </si>
  <si>
    <t>Adresse :</t>
  </si>
  <si>
    <t>Dirección línea 1</t>
  </si>
  <si>
    <t>العنوان - السطر الأول:</t>
  </si>
  <si>
    <t>editnationalsociety_successfullysaved</t>
  </si>
  <si>
    <t>National Society Information has been successfully saved.</t>
  </si>
  <si>
    <t>Les informations sur la Société nationale ont été enregistrées avec succès.</t>
  </si>
  <si>
    <t>La información de la Sociedad Nacional ha sido guardada exitosamente</t>
  </si>
  <si>
    <t>تم حفظ بيانات الجمعية الوطنية بنجاح</t>
  </si>
  <si>
    <t>editnationalsociety_title</t>
  </si>
  <si>
    <t>Edit National Society Information</t>
  </si>
  <si>
    <t>Modifier les informations sur la Société nationale</t>
  </si>
  <si>
    <t>Edición de informacion relativa a la Sociedad Nacional</t>
  </si>
  <si>
    <t>تعديل بيانات جمعية وطنية</t>
  </si>
  <si>
    <t>focalpointsavesuccess</t>
  </si>
  <si>
    <t>Focal point has been successfully saved.</t>
  </si>
  <si>
    <t>La personne de référence a été enregistrée avec succès.</t>
  </si>
  <si>
    <t>La persona de referencia ha sido guardada exitosamente</t>
  </si>
  <si>
    <t>تم حفظ بيانات المنسق بنجاح</t>
  </si>
  <si>
    <t>nsinformationlabel</t>
  </si>
  <si>
    <t>NS INFORMATION</t>
  </si>
  <si>
    <t>INFORMATIONS SUR LA SOCIÉTÉ NATIONALE</t>
  </si>
  <si>
    <t>Información de la Sociedad Nacional</t>
  </si>
  <si>
    <t>buttonbacktonsdashboard_button</t>
  </si>
  <si>
    <t>Back to NS Dashboard</t>
  </si>
  <si>
    <t>Retour au Tableau de bord de la Société nationale</t>
  </si>
  <si>
    <t>العودة إلى سجل معلومات الجمعية الوطنية</t>
  </si>
  <si>
    <t>thankyouforfillingtheform</t>
  </si>
  <si>
    <t>Thank you for filling out the form.</t>
  </si>
  <si>
    <t>Nous vous remercions d'avoir pris le temps de remplir le formulaire.</t>
  </si>
  <si>
    <t>Gracias por llenar el formulario.</t>
  </si>
  <si>
    <t>شكرا على الوقت الذي كرستموه لملء الاستمارة</t>
  </si>
  <si>
    <t>thankyou</t>
  </si>
  <si>
    <t>Thank you!</t>
  </si>
  <si>
    <t>Merci !</t>
  </si>
  <si>
    <t>¡Gracias!</t>
  </si>
  <si>
    <t>شكرا لكم!</t>
  </si>
  <si>
    <t>pleaseprovideanyadditionalinformationrelatedtothisdatacollection</t>
  </si>
  <si>
    <t>Please provide any additional information related to this data collection that could help improve the Federation-wide databank and reporting system and our global accountability. Your feedback on this new set of indicators will be highly appreciated.</t>
  </si>
  <si>
    <t>Veuillez nous faire part de toute information concernant cette collecte de données qui pourrait nous aider à améliorer la Base de données et système de compte rendu à l'échelle de la Fédération ainsi que notre niveau de redevabilité en général. Vos avis sur le nouvel ensemble d'indicateurs seront très appréciés.</t>
  </si>
  <si>
    <t>Agradeceremos cualquier información adicional relativa a esta recopilación de datos que pudiera contribuir al perfeccionamiento de la rendición de cuentas a través del banco de datos y sistema general de información de la Federación Internacional. Su opinión con respecto al nuevo con junto de indicadores es muy valiosa.                                            ¡Gracias!                              Apreciamos el tiempo dedicado a cumplimentar este formulario.                                         Regreso al menú principal de la Sociedad Nacional</t>
  </si>
  <si>
    <t>يرجى توفير أي معلومات إضافية ذات صلة بمجموعة البيانات الحالية ومن شأنها أن تحسّن قاعدة بيانات الاتحاد الدولي ونظام الإفادة فيه ومساءلتنا العالمية. ونحن نقدر تعليقاتكم على هذه المجموعة الجديدة من المؤشرات بالغ التقدير.</t>
  </si>
  <si>
    <t>socialinclusionandcultureofnonviolenceandpeace</t>
  </si>
  <si>
    <t>Nombre de personnes couvertes par les programmes axés sur la protection, l'égalité de genre et l'inclusion</t>
  </si>
  <si>
    <t>migration</t>
  </si>
  <si>
    <t>Programas sobre migración</t>
  </si>
  <si>
    <t>برامج الهجرة</t>
  </si>
  <si>
    <t>watersanitationandhygiene</t>
  </si>
  <si>
    <t>Eau, assainissement et hygiène</t>
  </si>
  <si>
    <t>AGUA, SANEAMIENTO E HIGIENE</t>
  </si>
  <si>
    <t>برامج الماء والصرف الصحي والنظافة الصحية</t>
  </si>
  <si>
    <t>health</t>
  </si>
  <si>
    <t>SALUD</t>
  </si>
  <si>
    <t>برامج الصحة</t>
  </si>
  <si>
    <t>livelihoods</t>
  </si>
  <si>
    <t>MEDIOS DE VIDA</t>
  </si>
  <si>
    <t>البرامج الخاصة بسبل المعيشة</t>
  </si>
  <si>
    <t>shelter</t>
  </si>
  <si>
    <t>Logement</t>
  </si>
  <si>
    <t>ALOJAMIENTO PROVISIONAL Y DE EMERGENCIA</t>
  </si>
  <si>
    <t>برامج المأوى</t>
  </si>
  <si>
    <t>disasterriskreduction</t>
  </si>
  <si>
    <t>Reducción del riesgo de desastres</t>
  </si>
  <si>
    <t>برامج الحد من مخاطر الكوارث</t>
  </si>
  <si>
    <t>section9</t>
  </si>
  <si>
    <t>Section 9: National Society people reached by thematic area, reflecting the continuum of preparedness, response, recovery, and development</t>
  </si>
  <si>
    <t>Section 9 : Indicateurs relatifs aux personnes couvertes par domaine thématique</t>
  </si>
  <si>
    <t>Sección 9: Beneficiarios de la labor de la Sociedad Nacional, por ámbito temático</t>
  </si>
  <si>
    <t>القسم التاسع: المؤشرات الخاصة  بالأشخاص االمشمولين بالمجالات المواضيعية ، بما يعكس استمرارية التأهب والاستجابة والتعافي والتنمية</t>
  </si>
  <si>
    <t>longtermservicesanddevelopmentprogrammes</t>
  </si>
  <si>
    <t>People reached with long term services and development programmes</t>
  </si>
  <si>
    <t>Nombre de personnes couvertes par les services à long terme et les programmes de développement</t>
  </si>
  <si>
    <t>Beneficiarios de servicios a largo plazo y programas de desarrollo</t>
  </si>
  <si>
    <t>الخدمات الطويلة الأجل وبرامج التنمية</t>
  </si>
  <si>
    <t>indirectrecipients</t>
  </si>
  <si>
    <t>Indirect Recipients</t>
  </si>
  <si>
    <t>Récipiendaires indirects</t>
  </si>
  <si>
    <t>Beneficiarios indirectos</t>
  </si>
  <si>
    <t>المستفيدون غير المباشرين</t>
  </si>
  <si>
    <t>directrecipients</t>
  </si>
  <si>
    <t>Direct Recipients</t>
  </si>
  <si>
    <t>Récipiendaires directs</t>
  </si>
  <si>
    <t>Beneficiarios directos</t>
  </si>
  <si>
    <t>المستفيدون المباشرون</t>
  </si>
  <si>
    <t>disasterresponseandearlyrecovery</t>
  </si>
  <si>
    <t>People reached with disaster response and early recovery programmes</t>
  </si>
  <si>
    <t>Nombre de personnes couvertes par les programmes d’intervention en cas de catastrophe et les programmes de relèvement précoce</t>
  </si>
  <si>
    <t>Beneficiarios de programas de intervención y recuperación temprana a raíz de desastres</t>
  </si>
  <si>
    <t>برامج مواجهة الكوارث والتعافي السريع من تبعاتها</t>
  </si>
  <si>
    <t>section8</t>
  </si>
  <si>
    <t>Section 8: National Society people reached by type of programme</t>
  </si>
  <si>
    <t>Section 8 : Indicateurs relatifs aux personnes couvertes par type de programme</t>
  </si>
  <si>
    <t>Sección 8: Beneficiarios de la labor de la Sociedad Nacional, por tipo de programa</t>
  </si>
  <si>
    <t>القسم الثامن: المؤشرات الخاصة بالأشخاص المشمولين حسب نوع البرنامج</t>
  </si>
  <si>
    <t>18to29</t>
  </si>
  <si>
    <t>18 إلى 29</t>
  </si>
  <si>
    <t>13to17</t>
  </si>
  <si>
    <t>13 إلى 17</t>
  </si>
  <si>
    <t>6to12</t>
  </si>
  <si>
    <t>6 إلى 12</t>
  </si>
  <si>
    <t>0to5</t>
  </si>
  <si>
    <t>0 إلى 5</t>
  </si>
  <si>
    <t>numberofpeopletrainedinfirstaidanylevel</t>
  </si>
  <si>
    <t>People trained in First Aid (any level)</t>
  </si>
  <si>
    <t>Nombre de personnes formées aux premiers secours (tous niveaux)</t>
  </si>
  <si>
    <t>Personas con formación en primeros auxilios (sea cual sea el nivel)</t>
  </si>
  <si>
    <t>عدد الأشخاص الذين تلقوا تدريباً في مجال الإسعافات الأولية (جميع المستويات)</t>
  </si>
  <si>
    <t>numberofpeopledonatingblood</t>
  </si>
  <si>
    <t>Donantes de sangre</t>
  </si>
  <si>
    <t>section7</t>
  </si>
  <si>
    <t>Section 7: National Society blood and first aid activities</t>
  </si>
  <si>
    <t>Section 7 : Activités de la Société nationale dans les domaines du sang et des premiers secours</t>
  </si>
  <si>
    <t>Sección 7: Actividades de la Sociedad Nacional relacionadas con servicios de sangre y primeros auxilios</t>
  </si>
  <si>
    <t>القسم السابع: أنشطة الجمعية الوطنية في مجال التبرع بالدم والإسعافات الأولية</t>
  </si>
  <si>
    <t>numberofstaffcoveredbyaccidentinsurance</t>
  </si>
  <si>
    <t>Number of staff covered by accident insurance</t>
  </si>
  <si>
    <t>Nombres d'employés couverts par une assurance-accident</t>
  </si>
  <si>
    <t>Personal remunerado que goza de cobertura de seguro contra accidentes</t>
  </si>
  <si>
    <t>عدد الموظفون والأشخاص الذين يعملون مقابل أجر المشمولين بالتأمين ضد الحوادث</t>
  </si>
  <si>
    <t>numberofpaidstafftheirtime</t>
  </si>
  <si>
    <t>Number of paid staff</t>
  </si>
  <si>
    <t>Nombre d'employés rémunérés</t>
  </si>
  <si>
    <t>عدد الموظفين والأشخاص الذين يعملون مقابل أجر</t>
  </si>
  <si>
    <t>section6</t>
  </si>
  <si>
    <t>Section 6: National Society staff</t>
  </si>
  <si>
    <t>Section 6 : Employés rémunérés</t>
  </si>
  <si>
    <t>Sección 6: Personal remunerado de la Sociedad Nacional</t>
  </si>
  <si>
    <t>القسم السادس: الموظفون والأشخاص الذين يعملون مقابل أجر</t>
  </si>
  <si>
    <t>ifdisaggregatedyesisyoutdisability</t>
  </si>
  <si>
    <t>If answered yes, is your disability disaggregated data in accordance to the Washington Group questions?</t>
  </si>
  <si>
    <t>Si oui, ces données sont-elles ventilées selon les questions du Washington Group ?</t>
  </si>
  <si>
    <t>Si la respuesta es afirmativa, indique si los datos desglosados sobre discapacidad guardan conformidad con las preguntas del grupo de Washington?</t>
  </si>
  <si>
    <t>إذا كانت الإجابة بنعم، هل تُصنِّفون بياناتكم المعنية بالحالة من حيث الإعاقة وفقاً لاستبيان مجموعة واشنطن؟</t>
  </si>
  <si>
    <t>isyournationalsocietycapturingdisaggregated</t>
  </si>
  <si>
    <t>Is your National Society capturing disaggregated data based on disability for this indicator, i.e.the number of persons with disabilities?</t>
  </si>
  <si>
    <t>Votre Société nationale collecte-t-elle des données relatives aux personnes handicapées pour cet indicateur, p. ex. le nombre de personnes handicapées ?</t>
  </si>
  <si>
    <t>¿Establece la Sociedad Nacional datos desglosados por discapacidad bajo este indicador, i.e, la cantidad de personas con discapacidades?</t>
  </si>
  <si>
    <t>هل تُصنف جمعيتكم الوطنية البيانات التي تجمعها من أجل هذا المؤشر استناداً إلى الحالة من حيث الإعاقة، أي عدد الأشخاص المعوقين؟</t>
  </si>
  <si>
    <t>numberofvolunteerdeathsonduty</t>
  </si>
  <si>
    <t>Number of volunteer deaths on duty</t>
  </si>
  <si>
    <t>Nombre de volontaires qui ont perdu la vie en service</t>
  </si>
  <si>
    <t>Fallecimientos de voluntarios en acto de servicio</t>
  </si>
  <si>
    <t>عدد الوفيات في صفوف المتطوعين أثناء أداء عملهم</t>
  </si>
  <si>
    <t>numberofvolunteerscoveredbyaccidentinsurance</t>
  </si>
  <si>
    <t>Number of volunteers covered by accident insurance</t>
  </si>
  <si>
    <t>Nombres de volontaires couverts par une assurance-accident</t>
  </si>
  <si>
    <t>Voluntarios que gozan de cobertura de seguro contra accidentes</t>
  </si>
  <si>
    <t>عدد المتطوعين المشمولين بتأمين ضد الحوادث</t>
  </si>
  <si>
    <t>numberofpeoplevolunteeringtheirtime</t>
  </si>
  <si>
    <t>Number of people volunteering their time</t>
  </si>
  <si>
    <t>Nombre de personnes donnant de leur temps comme volontaires</t>
  </si>
  <si>
    <t>Personas que ceden tiempo en servicio voluntario</t>
  </si>
  <si>
    <t>عدد الأشخاص المتطوعين بوقتهم</t>
  </si>
  <si>
    <t>iskpipeoplevolbrokendownbysex</t>
  </si>
  <si>
    <t>is [{0}] broken down by sex?</t>
  </si>
  <si>
    <t>Les données de l'année [{0}] sont-elles ventilées par sexe ?</t>
  </si>
  <si>
    <t>¿Están [{0}] desglosados por sexo?</t>
  </si>
  <si>
    <t>هل صٌنفت البيانات الخاصة بهذا المؤشر حسب  نوع الجنس؟</t>
  </si>
  <si>
    <t>iskpipeoplevolbrokendownbyage</t>
  </si>
  <si>
    <t>is [{0}] broken down by age?</t>
  </si>
  <si>
    <t>Les données de l'année [{0}] sont-elles ventilées par âge ?</t>
  </si>
  <si>
    <t>¿Están [{0}] desglosados por edad?</t>
  </si>
  <si>
    <t>هل صٌنفت البيانات الخاصة بهذا المؤشر حسب فئة العمر؟</t>
  </si>
  <si>
    <t>section5</t>
  </si>
  <si>
    <t>Section 5: National Society volunteers</t>
  </si>
  <si>
    <t>Section 5 : Volontaires de la Société nationale</t>
  </si>
  <si>
    <t>Sección 5: Voluntarios de la Sociedad Nacional</t>
  </si>
  <si>
    <t>القسم الخامس: متطوعو الجمعية الوطنية</t>
  </si>
  <si>
    <t>whichnationalsocietieshaveyoudirectlyreceivedsupport</t>
  </si>
  <si>
    <t>Name of each National Society from which the reporting National Society has received support, during the Reporting Year (i.e., incoming support). Resources are defined as either human resources (at least the work of one person for one day), financial resources, or any other type of in-kind resources that exceed a value of 1.000 USD. Optional: In the table below, please provide the total funding received in CHF, of each National Society from which the reporting National Society has received support.</t>
  </si>
  <si>
    <t>Nom de chaque Société Nationale de laquelle la Société Nationale rapporteuse a reçu du soutien, pendant l'année de rapport (c'est-à-dire, soutien entrant). Les ressources sont définies soit comme des ressources humaines (au moins le travail d'une personne pour un jour), des ressources financières, ou tout autre type de ressources en nature qui excèdent une valeur de 1.000 USD. Facultatif : Dans le tableau ci-dessous, veuillez fournir le financement total fourni en CHF, de chaque Société Nationale à laquelle la Société Nationale rapporteuse a fourni du soutien.</t>
  </si>
  <si>
    <t>Nombres de las Sociedades Nacionales que han prestado apoyo a la Sociedad Nacional que facilita los datos durante el año al que corresponden los datos. Se incluyen bajo este concepto los recursos humanos (cesión de una persona durante al menos un día de trabajo), los recursos financieros y cualquier otro tipo de recursos en especie por valor superior a mil dólares estadounidenses (USD 1 000). Opcional: En la tabla siguente, por favor proporcione el financiamiento total recibido en CHF, de cada Sociedad Nacional de la cual la Sociedad Nacional informante ha recibido apoyo.</t>
  </si>
  <si>
    <t>whichnationalsocietieshaveyoudirectlygivensupport</t>
  </si>
  <si>
    <t>Names of each National Society to which the reporting National Society has provided support, during the Reporting Year (i.e., outgoing support). Resources are defined as either human resources (at least the work of one person for one day), financial resources, or any other type of in-kind resources that exceed a value of 1.000 USD. Optional: In the table below, please provide the total funding provided in CHF, of each National Society to which the reporting National Society has provided support.</t>
  </si>
  <si>
    <t>Noms de chaque Société Nationale à laquelle la Société Nationale rapporteuse a fourni du soutien, pendant l'année de rapport (c'est-à-dire, soutien sortant). Les ressources sont définies soit comme des ressources humaines (au moins le travail d'une personne pour un jour), des ressources financières, ou tout autre type de ressources en nature qui excèdent une valeur de 1.000 USD. Facultatif : Dans ce tableau ci-dessous, veuillez fournir le financement total reçu en CHF, de chaque Société Nationale de laquelle la Société Nationale rapporteuse a reçu du soutien.</t>
  </si>
  <si>
    <t>Nombres de las Sociedades Nacionales que han prestado apoyo a la Sociedad Nacional que facilita los datos durante el año al que corresponden los datos. Se incluyen bajo este concepto los recursos humanos (cesión de una persona durante al menos un día de trabajo), los recursos financieros y cualquier otro tipo de recursos en especie por valor superior a mil dólares estadounidenses (USD 1 000). Opcional: En la tabla seguente, por favor proporcione el financiamiento total otorgado en CHF de cada Sociedad Nacional a la cual la Sociedad Nacional reportante ha brindado su apoyo.</t>
  </si>
  <si>
    <t>اسم كل جمعية وطنية تلقت دعماً من الجمعية الوطنية المُبلِّغة في مجال الموارد البشرية (علي الأقل لمدة يوم عمل واحد) و/أو تلقت موارد مالية أو عينية (تتجاوز قيمتها ألف دولار أمريكي) خلال سنة الإبلاغ.في حالة معرفة الدعم الدقيق الذي يقدمه الصندوق، يرجى الإشارة إلى هذا الرقم بجانب اسم الجمعية الوطنية في الجدول أدناه.</t>
  </si>
  <si>
    <t>section4</t>
  </si>
  <si>
    <t>Section 4: Other National Society support</t>
  </si>
  <si>
    <t>Section 4 : Soutien d'autres Sociétés nationales</t>
  </si>
  <si>
    <t>Sección 4: Otro tipo de apoyo de la Sociedad Nacional</t>
  </si>
  <si>
    <t>القسم الرابع: الدعم المُقدَّم إلى جمعيات وطنية أخرى</t>
  </si>
  <si>
    <t>othernationalsociety</t>
  </si>
  <si>
    <t>incomegeneratingactivity</t>
  </si>
  <si>
    <t>serviceincome</t>
  </si>
  <si>
    <t>nongovernmentalorganizations</t>
  </si>
  <si>
    <t>pooledfunds</t>
  </si>
  <si>
    <t>unagenciesothermultilateralagencies</t>
  </si>
  <si>
    <t>UN Agencies &amp; other Multilateral Agencies</t>
  </si>
  <si>
    <t>foundations</t>
  </si>
  <si>
    <t>corporations</t>
  </si>
  <si>
    <t>individuals</t>
  </si>
  <si>
    <t>foreigngoverment</t>
  </si>
  <si>
    <t>Foreign Goverment</t>
  </si>
  <si>
    <t>homegoverment</t>
  </si>
  <si>
    <t>Home Goverment</t>
  </si>
  <si>
    <t>totalincomebrokendownpersourceofincomeinlocalcurrency</t>
  </si>
  <si>
    <t>Total income broken down per source of income</t>
  </si>
  <si>
    <t>Recettes totales ventilées par source de revenus</t>
  </si>
  <si>
    <t>Ingresos totales desglosados en función de la fuente</t>
  </si>
  <si>
    <t>إجمالي الدخل مصنف حسب مصدر الدخل</t>
  </si>
  <si>
    <t>totalexpenditure</t>
  </si>
  <si>
    <t>Total expenditure</t>
  </si>
  <si>
    <t>مجموع النفقات</t>
  </si>
  <si>
    <t>totalincome</t>
  </si>
  <si>
    <t>Total income</t>
  </si>
  <si>
    <t>مجموع الإيرادات</t>
  </si>
  <si>
    <t>financialreportingenddate</t>
  </si>
  <si>
    <t>Financial reporting end date</t>
  </si>
  <si>
    <t>Date de clôture de l'exercice financier</t>
  </si>
  <si>
    <t>Fecha de finalización del periodo financiero sujeto a examen</t>
  </si>
  <si>
    <t>تاريخ انتهاء إعداد التقارير المالية</t>
  </si>
  <si>
    <t>financialreportingstartdate</t>
  </si>
  <si>
    <t>Financial reporting start date</t>
  </si>
  <si>
    <t>Date de début de l'exercice financier</t>
  </si>
  <si>
    <t>Fecha de inicio del periodo financiero sujeto a examen</t>
  </si>
  <si>
    <t>تاريخ بدء إعداد التقارير المالية</t>
  </si>
  <si>
    <t>reportingcurrency</t>
  </si>
  <si>
    <t>Reporting currency</t>
  </si>
  <si>
    <t>Monnaie de compte (code ISO)</t>
  </si>
  <si>
    <t>Moneda utilizada en la información (código ISO)</t>
  </si>
  <si>
    <t>عملة الإبلاغ</t>
  </si>
  <si>
    <t>section3</t>
  </si>
  <si>
    <t>Section 3: National Society financial data</t>
  </si>
  <si>
    <t>Section 3 : Données financières de la Société nationale</t>
  </si>
  <si>
    <t>Sección 4: Información financiera de la Sociedad Nacional</t>
  </si>
  <si>
    <t>القسم الثالث: البيانات المالية للجمعية الوطنية</t>
  </si>
  <si>
    <t>numberoflocalunits</t>
  </si>
  <si>
    <t>Number of local units</t>
  </si>
  <si>
    <t>Nombre d'unités locales</t>
  </si>
  <si>
    <t>Cantidad de unidades locales</t>
  </si>
  <si>
    <t>عدد الوحدات المحلية</t>
  </si>
  <si>
    <t>section2</t>
  </si>
  <si>
    <t>Section 2: National Society local units</t>
  </si>
  <si>
    <t>Section 2 : Unités locales de la Société nationale</t>
  </si>
  <si>
    <t>Sección 3: Unidades locales de la Sociedad Nacional</t>
  </si>
  <si>
    <t>القسم الثاني: الوحدات المحلية التابعة للجمعية الوطنية</t>
  </si>
  <si>
    <t>70to79</t>
  </si>
  <si>
    <t>70 إلى 79</t>
  </si>
  <si>
    <t>60to69</t>
  </si>
  <si>
    <t>60 إلى 69</t>
  </si>
  <si>
    <t>50to59</t>
  </si>
  <si>
    <t>50 إلى 59</t>
  </si>
  <si>
    <t>40to49</t>
  </si>
  <si>
    <t>40-49</t>
  </si>
  <si>
    <t>40 إلى 49</t>
  </si>
  <si>
    <t>30to39</t>
  </si>
  <si>
    <t>30-39</t>
  </si>
  <si>
    <t>30 إلى 39</t>
  </si>
  <si>
    <t>0to29</t>
  </si>
  <si>
    <t>0-29</t>
  </si>
  <si>
    <t>0 إلى 29</t>
  </si>
  <si>
    <t>المجموع</t>
  </si>
  <si>
    <t>Age Group</t>
  </si>
  <si>
    <t>secretarygeneral</t>
  </si>
  <si>
    <t>Secretary General:</t>
  </si>
  <si>
    <t>Secrétaire général</t>
  </si>
  <si>
    <t>Secretario(a) general</t>
  </si>
  <si>
    <t>onlyforpresidentandsgfemale</t>
  </si>
  <si>
    <t>Mujer</t>
  </si>
  <si>
    <t>onlyforpresidentandsgmale</t>
  </si>
  <si>
    <t>Hombre</t>
  </si>
  <si>
    <t>president</t>
  </si>
  <si>
    <t>President:</t>
  </si>
  <si>
    <t>Président</t>
  </si>
  <si>
    <t>Presidente(a)</t>
  </si>
  <si>
    <t>numberofpeopleonthenationalsocietygoverningboardhq</t>
  </si>
  <si>
    <t>Number of people on the National Society Governing Board (HQ)</t>
  </si>
  <si>
    <t>Nombre de personnes siégeant au conseil de direction de la Société nationale (siège)</t>
  </si>
  <si>
    <t>Cantidad de miembros en la junta de gobierno de la Sociedad Nacional (oficina central)</t>
  </si>
  <si>
    <t>عدد أعضاء مجلس إدارة الجمعية الوطنية (في المقر)</t>
  </si>
  <si>
    <t>section1</t>
  </si>
  <si>
    <t>Section 1: Governing Board Information</t>
  </si>
  <si>
    <t>Section 1 : Informations relatives au conseil de direction</t>
  </si>
  <si>
    <t>Sección 1 : Junta de Gobierno</t>
  </si>
  <si>
    <t>القسم الأول: معلومات عن مجلس الإدارة</t>
  </si>
  <si>
    <t>pleasefillinareasmarkedinyellow</t>
  </si>
  <si>
    <t>Please fill in areas marked in yellow</t>
  </si>
  <si>
    <t>Veuillez remplir les champs marqués en jaune</t>
  </si>
  <si>
    <t>Cumplimente los campos resaltados en amarillo</t>
  </si>
  <si>
    <t>يرجى ملء الخانات المظللة باللون الأصفر</t>
  </si>
  <si>
    <t>federationwidedatabankandreportingsystemdatacollectionform</t>
  </si>
  <si>
    <t>Federation-wide databank and reporting system - Data Collection Form -</t>
  </si>
  <si>
    <t>Base de données et système de compte rendu à l'échelle de la Fédération - Formulaire de collecte de données -</t>
  </si>
  <si>
    <t>Banco de datos y sistema de información general interno de la Federación Internacional Formulario de recopilación de información -</t>
  </si>
  <si>
    <t>قاعدة البيانات ونظام الإفادة في الاتحاد الدولي - نموذج جمع البيانات</t>
  </si>
  <si>
    <t>قسم</t>
  </si>
  <si>
    <t>popupareyousuretosubmittheform</t>
  </si>
  <si>
    <t>You are submitting the {} section of  your {} FDRS Report. You will not be able to edit it after submitting it.</t>
  </si>
  <si>
    <t>Vous êtes sur le point de soumettre la section {} de votre rapport au FDRS pour {}. Une fois soumise, vous ne pourrez plus la modifier.</t>
  </si>
  <si>
    <t>¿Está seguro de que desea remitir todas las tablas abiertas en el formulario?</t>
  </si>
  <si>
    <t>هل تود فعلا تقديم كل الجداول المفتوحة  في الاستمارة؟</t>
  </si>
  <si>
    <t>buttonsaveandsubmit_button</t>
  </si>
  <si>
    <t>Save and Submit</t>
  </si>
  <si>
    <t>Sauvegarder et soumettre</t>
  </si>
  <si>
    <t>Guardar y remitir</t>
  </si>
  <si>
    <t>حفظ وتقديم</t>
  </si>
  <si>
    <t>buttonsave_button</t>
  </si>
  <si>
    <t>ifrcdatainitiatives</t>
  </si>
  <si>
    <t>INITIATIVES DE LA FÉDÉRATION INTERNATIONALE EN MATIÈRE DE GESTION DES DONNÉES</t>
  </si>
  <si>
    <t>مبادرات الاتحاد الدولي الخاصة بالبيانات</t>
  </si>
  <si>
    <t>documentuploadsavedocument_button</t>
  </si>
  <si>
    <t>documentuploadlanguage</t>
  </si>
  <si>
    <t>documentuploaddocumenttype</t>
  </si>
  <si>
    <t>Document Type</t>
  </si>
  <si>
    <t>Type de document</t>
  </si>
  <si>
    <t>Tipo de documento</t>
  </si>
  <si>
    <t>نوع الوثيقة</t>
  </si>
  <si>
    <t>documentuploadyear</t>
  </si>
  <si>
    <t>documentuploadnationalsociety</t>
  </si>
  <si>
    <t>documentuploadupload_button</t>
  </si>
  <si>
    <t>Charger</t>
  </si>
  <si>
    <t>Cargar</t>
  </si>
  <si>
    <t>documentuploaduploadadocument</t>
  </si>
  <si>
    <t>Upload a Document</t>
  </si>
  <si>
    <t>Charger un  document</t>
  </si>
  <si>
    <t>Cargar un documento</t>
  </si>
  <si>
    <t>حمّل وثيقة</t>
  </si>
  <si>
    <t>documentuploaddocumentupload</t>
  </si>
  <si>
    <t>nsdocumentpageuploaddocument_button</t>
  </si>
  <si>
    <t>nsdocumentpageedit</t>
  </si>
  <si>
    <t>nsdocumentpagepublic</t>
  </si>
  <si>
    <t>عام</t>
  </si>
  <si>
    <t>nsdocumentpagelanguage</t>
  </si>
  <si>
    <t>nsdocumentpagename</t>
  </si>
  <si>
    <t>nsdocumentpageyear</t>
  </si>
  <si>
    <t>nsdocumentpageuploadnewdocument</t>
  </si>
  <si>
    <t>Upload New Document</t>
  </si>
  <si>
    <t>Cargar un nuevo documento</t>
  </si>
  <si>
    <t>تحميل وثائق جديدة</t>
  </si>
  <si>
    <t>nsdocumentpageall</t>
  </si>
  <si>
    <t>كلها</t>
  </si>
  <si>
    <t>nsdocumentpagedocumenttype</t>
  </si>
  <si>
    <t>nsdocumentpagenationalsociety</t>
  </si>
  <si>
    <t>Documents</t>
  </si>
  <si>
    <t>Documentos</t>
  </si>
  <si>
    <t>الوثائق</t>
  </si>
  <si>
    <t>validationprocessnewdataentered</t>
  </si>
  <si>
    <t>New data entered</t>
  </si>
  <si>
    <t>De nouvelles données ont été ajoutées</t>
  </si>
  <si>
    <t>Nuevos datos ingresados</t>
  </si>
  <si>
    <t>البيانات الجديدة المدخلة</t>
  </si>
  <si>
    <t>validationprocesscreatedby</t>
  </si>
  <si>
    <t>Created by</t>
  </si>
  <si>
    <t>Créé par</t>
  </si>
  <si>
    <t>Creado por</t>
  </si>
  <si>
    <t>أعدّه (الاسم)</t>
  </si>
  <si>
    <t>validationprocesscomment</t>
  </si>
  <si>
    <t>validationprocesskpicode</t>
  </si>
  <si>
    <t>KPI Code</t>
  </si>
  <si>
    <t>Code de l'indicateur</t>
  </si>
  <si>
    <t>Código del indicador principal</t>
  </si>
  <si>
    <t>رمز المؤشر</t>
  </si>
  <si>
    <t>validationprocessaction</t>
  </si>
  <si>
    <t>الفعل</t>
  </si>
  <si>
    <t>validationprocesscreatedat</t>
  </si>
  <si>
    <t>Created At</t>
  </si>
  <si>
    <t>Créé à</t>
  </si>
  <si>
    <t>أعد في</t>
  </si>
  <si>
    <t>validationprocessthereisnohistoryavailable</t>
  </si>
  <si>
    <t>There is no history available</t>
  </si>
  <si>
    <t>Aucun historique disponible</t>
  </si>
  <si>
    <t>No existe historial disponible</t>
  </si>
  <si>
    <t>عدم وجود خلفية</t>
  </si>
  <si>
    <t>validationprocessvalidationprocess</t>
  </si>
  <si>
    <t>Validación del proceso</t>
  </si>
  <si>
    <t>توثيق المعلومات</t>
  </si>
  <si>
    <t>communicationlogbacktons_button</t>
  </si>
  <si>
    <t>communicationlogsave_button</t>
  </si>
  <si>
    <t>communicationlogcallmadeat</t>
  </si>
  <si>
    <t>Call Made at</t>
  </si>
  <si>
    <t>Llamada efectuada a</t>
  </si>
  <si>
    <t>communicationlogcomment</t>
  </si>
  <si>
    <t>communicationlogdropdowmlistnofocalpointavailable</t>
  </si>
  <si>
    <t>No Focal Point available</t>
  </si>
  <si>
    <t>Aucune information disponible concernant la personne de référence</t>
  </si>
  <si>
    <t>No existe persona de referencia</t>
  </si>
  <si>
    <t>لا يوجد منسق متفرغ</t>
  </si>
  <si>
    <t>communicationlogcontactperson</t>
  </si>
  <si>
    <t>Persona de contacto</t>
  </si>
  <si>
    <t>communicationlogdropdowmlistselectnationalsociety</t>
  </si>
  <si>
    <t>Sélectioner la Société nationale</t>
  </si>
  <si>
    <t>Seleccione una Sociedad Nacional</t>
  </si>
  <si>
    <t>communicationlognationalsociety</t>
  </si>
  <si>
    <t>communicationlogphone</t>
  </si>
  <si>
    <t>communicationlogemail</t>
  </si>
  <si>
    <t>communicationlogtypeofconatct</t>
  </si>
  <si>
    <t>نوع وسائل الاتصال</t>
  </si>
  <si>
    <t>communicationlogfocalpointcomment</t>
  </si>
  <si>
    <t>Focal Point - comment</t>
  </si>
  <si>
    <t>Personne de référence - commentaire</t>
  </si>
  <si>
    <t>Comentario de la persona de referencia</t>
  </si>
  <si>
    <t>المنسق- تعليق</t>
  </si>
  <si>
    <t>communicationlogcreatedby</t>
  </si>
  <si>
    <t>Autor</t>
  </si>
  <si>
    <t>communicationlogdate</t>
  </si>
  <si>
    <t>Date</t>
  </si>
  <si>
    <t>Fecha</t>
  </si>
  <si>
    <t>التاريخ</t>
  </si>
  <si>
    <t>communicationlogaddcommunicationlog_button</t>
  </si>
  <si>
    <t>Add a new entry</t>
  </si>
  <si>
    <t>Ajouter une communication</t>
  </si>
  <si>
    <t>Añadir registro de comunicación</t>
  </si>
  <si>
    <t>اضافة سجل اتصالات</t>
  </si>
  <si>
    <t>communicationlogcommunicationlog</t>
  </si>
  <si>
    <t>focalpointbacktons_button</t>
  </si>
  <si>
    <t>focalpointsave_button</t>
  </si>
  <si>
    <t>focalpointemail</t>
  </si>
  <si>
    <t>focalpointphone</t>
  </si>
  <si>
    <t>focalpointname</t>
  </si>
  <si>
    <t>focalpointeditfocalpoint</t>
  </si>
  <si>
    <t>Edit Focal Point</t>
  </si>
  <si>
    <t>Modifier la personne de référence</t>
  </si>
  <si>
    <t>Edite la persona de referencia</t>
  </si>
  <si>
    <t>حرر البيانات الخاصة بالمنسق</t>
  </si>
  <si>
    <t>focalpointaddfocalpoint_button</t>
  </si>
  <si>
    <t>Añada la persona de referencia</t>
  </si>
  <si>
    <t>اضف منسقا</t>
  </si>
  <si>
    <t>focalpointfocalpoint</t>
  </si>
  <si>
    <t>Focal Point</t>
  </si>
  <si>
    <t>Personne de référence</t>
  </si>
  <si>
    <t>Persona de referencia</t>
  </si>
  <si>
    <t>المنسق</t>
  </si>
  <si>
    <t>nsinformationedit_button</t>
  </si>
  <si>
    <t>nsinformationnsinformatiom</t>
  </si>
  <si>
    <t>NS information</t>
  </si>
  <si>
    <t>Información correspondiente a la Sociedad Nacional</t>
  </si>
  <si>
    <t>buttonenterlastyeardata_button</t>
  </si>
  <si>
    <t>ادخل بيانات سنة 2017</t>
  </si>
  <si>
    <t>nationalsocietyinformationboard</t>
  </si>
  <si>
    <t>National Society Information Board</t>
  </si>
  <si>
    <t>Tableau de bord de la Société nationale</t>
  </si>
  <si>
    <t>Tablero de información de la Sociedad Nacional</t>
  </si>
  <si>
    <t>سجل معلومات الجمعية الوطنية</t>
  </si>
  <si>
    <t>Reporting</t>
  </si>
  <si>
    <t>Rapports</t>
  </si>
  <si>
    <t>Informes</t>
  </si>
  <si>
    <t>تقارير</t>
  </si>
  <si>
    <t>تنزيل</t>
  </si>
  <si>
    <t>indicators</t>
  </si>
  <si>
    <t>Indicateurs FDRS</t>
  </si>
  <si>
    <t>Indicadores FDRS</t>
  </si>
  <si>
    <t>مؤشرات</t>
  </si>
  <si>
    <t>Document Repository</t>
  </si>
  <si>
    <t>وثائق</t>
  </si>
  <si>
    <t>welcome</t>
  </si>
  <si>
    <t>Welcome,</t>
  </si>
  <si>
    <t>Bienvenue,</t>
  </si>
  <si>
    <t>Bienvenido,</t>
  </si>
  <si>
    <t>مرحبا بكم</t>
  </si>
  <si>
    <t>extra</t>
  </si>
  <si>
    <t>غير ثنائي</t>
  </si>
  <si>
    <t>نحن لا نجمع بيانات لهذا المؤشر</t>
  </si>
  <si>
    <t>Please, include an explanation of this number in the comments section.</t>
  </si>
  <si>
    <t>Veuillez expliquer ce chiffre dans la section des commentaires.</t>
  </si>
  <si>
    <t>Por favor, incluya una explicación de este número en la sección de comentarios.</t>
  </si>
  <si>
    <t>يُرجى تضمين شرح لهذا الرقم في قسم التعليقات.</t>
  </si>
  <si>
    <t xml:space="preserve">نحن نقدم هذه الخدمة بالفعل ولكننا لا تتوفر لدينا البيانات اللازمة </t>
  </si>
  <si>
    <t>Please select the leadership profile</t>
  </si>
  <si>
    <t>Veuillez sélectionner le profil de leadership</t>
  </si>
  <si>
    <t>Seleccione el perfil de liderazgo</t>
  </si>
  <si>
    <t>يرجى تحديد ملف تعريف القيادة</t>
  </si>
  <si>
    <t>This applies to all next questions</t>
  </si>
  <si>
    <t>Ceci s'applique à toutes les questions suivantes</t>
  </si>
  <si>
    <t>Esto se aplica a todas las preguntas siguientes</t>
  </si>
  <si>
    <t>ينطبق هذا على جميع الأسئلة التالية</t>
  </si>
  <si>
    <t>If the data is not disaggregated by age but by sex, place it under "Unknown" column.</t>
  </si>
  <si>
    <t>Si les données ne sont pas ventilées par âge mais par sexe, merci de les placer dans la colonne « Inconnu ».</t>
  </si>
  <si>
    <t>Si los datos no están desglosados por edad sino por sexo, colóquelos en la columna «Desconocido».</t>
  </si>
  <si>
    <t>إذا كانت البيانات غير مصنفة حسب العمر ولكن حسب الجنس، ضعها تحت عمود ”غير معروف“.</t>
  </si>
  <si>
    <t>If the data is not disaggregated by sex but by age, place it under "Unknown" row.</t>
  </si>
  <si>
    <t>Si les données ne sont pas ventilées par sexe mais par âge, les placer dans la ligne « Inconnu ».</t>
  </si>
  <si>
    <t>Si los datos no están desglosados por sexo sino por edad, colóquelos en la fila «Desconocido».</t>
  </si>
  <si>
    <t>إذا لم تكن البيانات مصنفة حسب الجنس ولكن حسب العمر، ضعها تحت صف ”غير معروف“.</t>
  </si>
  <si>
    <t>If the data is not disaggregated at all, place it in the green box.</t>
  </si>
  <si>
    <t>Si les données ne sont pas du tout ventilées, placez-les dans la case verte.</t>
  </si>
  <si>
    <t>Si los datos no están desglosados en absoluto, colóquelos en la casilla verde.</t>
  </si>
  <si>
    <t>إذا كانت البيانات غير مصنفة على الإطلاق، ضعها في المربع الأخضر.</t>
  </si>
  <si>
    <t>Once completed please email back to fdrs@ifrc.org</t>
  </si>
  <si>
    <t>Une fois le formulaire rempli, veuillez l'envoyer par email à l'adresse fdrs@ifrc.org</t>
  </si>
  <si>
    <t>Una vez cumplimentado, envíelo por correo electrónico a fdrs@ifrc.org</t>
  </si>
  <si>
    <t>بمجرد الانتهاء، يرجى إرسال بريد إلكتروني إلى fdrs@ifrc.org</t>
  </si>
  <si>
    <t>See your and all other National Societies' data at FDRS Public Website</t>
  </si>
  <si>
    <t>Vous pouvez voir vos données et celles de toutes les autres Sociétés Nationales sur le site public du FDRS</t>
  </si>
  <si>
    <t>Consulte sus datos y los de todas las demás Sociedades Nacionales en el sitio web público de FDRS</t>
  </si>
  <si>
    <t xml:space="preserve">اطلع على بياناتك وبيانات جميع الجمعيات الوطنية الأخرى على الموقع الإلكتروني العام </t>
  </si>
  <si>
    <t>To fill in this form, please refer to the definition of each indicator as well as the examples, tips and clarifications that can be found in the FDRS User Guide</t>
  </si>
  <si>
    <t>Pour remplir ce formulaire, veuillez vous référer à la définition de chaque indicateur ainsi qu'aux exemples, conseils et clarifications qui se trouvent dans le Guide de l'utilisateur du FDRS.</t>
  </si>
  <si>
    <t>Para rellenar este formulario, consulte la definición de cada indicador, así como los ejemplos, consejos y aclaraciones que encontrará en la Guía del usuario de FDRS</t>
  </si>
  <si>
    <t>لملء هذا النموذج، يرجى الرجوع إلى تعريف كل مؤشر بالإضافة إلى الأمثلة والنصائح والتوضيحات التي يمكن العثور عليها في دليل مستخدم FDRS</t>
  </si>
  <si>
    <t>You can insert your data online directly at the FDRS Backoffice</t>
  </si>
  <si>
    <t>Vous pouvez insérer vos données en ligne directement dans le Backoffice du FDRS.</t>
  </si>
  <si>
    <t>Puede insertar sus datos en línea directamente en el FDRS Backoffice</t>
  </si>
  <si>
    <t>يمكنك إدخال بياناتك عبر الإنترنت مباشرةً في المكتب الخلفي لنظام الإبلاغ عن حالة الطوارئ الفيدرالي</t>
  </si>
  <si>
    <t xml:space="preserve">Required questions not answered: </t>
  </si>
  <si>
    <t xml:space="preserve">Questions obligatoires sans réponse : </t>
  </si>
  <si>
    <t xml:space="preserve">Preguntas obligatorias sin respuesta </t>
  </si>
  <si>
    <t xml:space="preserve">الأسئلة المطلوبة التي لم تتم الإجابة عنها </t>
  </si>
  <si>
    <t>Name of reporting National Society</t>
  </si>
  <si>
    <t>Nom de la Société Nationale déclarante</t>
  </si>
  <si>
    <t>Nombre de la Sociedad Nacional informante</t>
  </si>
  <si>
    <t>اسم الجمعية الوطنية المبلغة</t>
  </si>
  <si>
    <t>Reporting Year</t>
  </si>
  <si>
    <t>Année de déclaration</t>
  </si>
  <si>
    <t>Año del informe</t>
  </si>
  <si>
    <t>سنة الإبلاغ</t>
  </si>
  <si>
    <t xml:space="preserve">Phone </t>
  </si>
  <si>
    <t xml:space="preserve">Téléphone </t>
  </si>
  <si>
    <t xml:space="preserve">Teléfono </t>
  </si>
  <si>
    <t xml:space="preserve">الهاتف </t>
  </si>
  <si>
    <t>Primary FDRS contact person</t>
  </si>
  <si>
    <t>Personne de contact principale du FDRS</t>
  </si>
  <si>
    <t>Persona de contacto principal del FDRS</t>
  </si>
  <si>
    <t>جهة الاتصال الرئيسية في FDRS</t>
  </si>
  <si>
    <t>Secondary FDRS contact person</t>
  </si>
  <si>
    <t>Personne de contact secondaire du FDRS</t>
  </si>
  <si>
    <t>Persona de contacto secundaria del FDRS</t>
  </si>
  <si>
    <t>مسؤول الاتصال الثانوي في FDRS</t>
  </si>
  <si>
    <t>Federation-wide Databank and Reporting System - Data Collection Form//Please fill in areas marked in yellow</t>
  </si>
  <si>
    <t>Système de banque de données et de rapports à l'échelle de la Fédération - Formulaire de collecte de données // Veuillez remplir les champs marqués en jaune.</t>
  </si>
  <si>
    <t>Banco de datos y sistema de presentación de informes para toda la Federación - Formulario de recogida de datos // Por favor, rellene las áreas marcadas en amarillo</t>
  </si>
  <si>
    <t>بنك البيانات ونظام الإبلاغ على مستوى الاتحاد // استمارة جمع البيانات - يرجى ملء المناطق المحددة باللون الأصفر</t>
  </si>
  <si>
    <t>A branch has its roles and responsibilities and relationship with the National Headquarters defined through National Societies’ Statutes, including the level of autonomy given especially in the area of its legal status, mobilising local resources and building local partnership, and decisions it makes. It has local level decision making mechanism through its branch members, board and volunteers, equally defined through National Societies’ Statutes.</t>
  </si>
  <si>
    <t>Le rôle et les responsabilités d'une branche, ainsi que ses relations avec le siège national, sont définis dans les statuts des Sociétés Nationales, y compris le niveau d'autonomie qui lui est accordé, notamment en ce qui concerne son statut juridique, la mobilisation des ressources locales et la mise en place de partenariats locaux, ainsi que les décisions qu'elle prend. Elle dispose d'un mécanisme de prise de décision au niveau local par l'intermédiaire des membres de ses branches, de son conseil d'administration et de ses volontaires, également défini dans les statuts de la Société Nationale.</t>
  </si>
  <si>
    <t>Los Estatutos de las Sociedades Nacionales definen las funciones y responsabilidades de una sucursal, así como su relación con la Sede Nacional, incluido el grado de autonomía que se le concede, especialmente en lo que se refiere a su estatuto jurídico, la movilización de recursos locales y la creación de asociaciones locales, así como las decisiones que adopta. Dispone de un mecanismo de toma de decisiones a nivel local a través de los miembros de sus filiales, la junta directiva y los voluntarios, definido igualmente a través de los Estatutos de las Sociedades Nacionales.</t>
  </si>
  <si>
    <t>للفرع أدواره ومسؤولياته وعلاقته مع المقر الوطني محددة من خلال النظام الأساسي للجمعيات الوطنية، بما في ذلك مستوى الاستقلالية الممنوحة له خاصة في مجال وضعه القانوني، وتعبئة الموارد المحلية وبناء الشراكة المحلية، والقرارات التي يتخذها. لديها آلية لصنع القرار على المستوى المحلي من خلال أعضاء فروعها ومجلس إدارتها ومتطوعيها، والتي تم تحديدها بنفس القدر من خلال النظام الأساسي للجمعيات الوطنية.</t>
  </si>
  <si>
    <t>Optional: In this table, please provide the name, and total funding provided in CHF, of each National Society to which the reporting National Society has provided support.</t>
  </si>
  <si>
    <t>Facultatif : dans ce tableau, veuillez indiquer le nom et le financement total en francs suisses de chaque Société nationale à laquelle la Société Nationale déclarante a apporté son soutien.</t>
  </si>
  <si>
    <t>Optativo: En este cuadro, indique el nombre y la financiación total proporcionada en francos suizos de cada Sociedad Nacional a la que la Sociedad Nacional informante ha prestado apoyo.</t>
  </si>
  <si>
    <t>اختياري: في هذا الجدول، يُرجى ذكر اسم كل جمعية وطنية قدمت لها الجمعية الوطنية المبلغة الدعم وإجمالي التمويل المقدم بالفرنك السويسري.</t>
  </si>
  <si>
    <t>Name of each National Society from which the reporting National Society has received support, during the Reporting Year (i.e., incoming support). Resources are defined as either human resources (at least the work of one person for one day), financial resources, or any other type of in-kind resources that exceed a value of 1.000 USD. In case the exact CHF support received is known, please provide this number next to the National Society name in the table below.</t>
  </si>
  <si>
    <t>Nom de chaque Société Nationale de laquelle la Société Nationale rapporteuse a reçu du soutien, pendant l'année de rapport (c'est-à-dire, soutien entrant). Les ressources sont définies soit comme des ressources humaines (au moins le travail d'une personne pour un jour), des ressources financières, ou tout autre type de ressources en nature qui excèdent une valeur de 1.000 USD. Facultatif : Dans le tableau ci-dessous, veuillez fournir le financement total fourni en francs suisses, de chaque Société Nationale à laquelle la Société Nationale rapporteuse a fourni du soutien.</t>
  </si>
  <si>
    <t>Nombres de las Sociedades Nacionales que han prestado apoyo a la Sociedad Nacional que facilita los datos durante el año al que corresponden los datos. Se incluyen bajo este concepto los recursos humanos (cesión de una persona durante al menos un día de trabajo), los recursos financieros y cualquier otro tipo de recursos en especie por valor superior a mil dólares estadounidenses (USD 1 000). Opcional: En la tabla seguente, por favor proporcione el financiamiento total otorgado en CHF de cada Sociedad Nacional a la cual la Sociedad Nacional reportante ha brindado su apoyo.</t>
  </si>
  <si>
    <t>سم كل جمعية وطنية تلقت دعماً من الجمعية الوطنية المُبلِّغة في مجال الموارد البشرية (علي الأقل لمدة يوم عمل واحد) و/أو تلقت موارد مالية أو عينية (تتجاوز قيمتها ألف دولار أمريكي) خلال سنة الإبلاغ.في حالة معرفة الدعم الدقيق الذي يقدمه الصندوق، يرجى الإشارة إلى هذا الرقم بجانب اسم الجمعية الوطنية في الجدول أدناه.</t>
  </si>
  <si>
    <t>Optional: In this table, please provide the name, and total funding received in CHF, of each National Society from which the reporting National Society has received support.</t>
  </si>
  <si>
    <t>Facultatif : dans ce tableau, veuillez indiquer le nom et le financement total reçu en francs suisses de chaque Société nationale dont la Société nationale déclarante a reçu un soutien.</t>
  </si>
  <si>
    <t>Opcional: En este cuadro, indique el nombre y la financiación total recibida en francos suizos de cada Sociedad Nacional de la que la Sociedad Nacional informante haya recibido apoyo.</t>
  </si>
  <si>
    <t>اختياري: في هذا الجدول، يُرجى ذكر اسم كل جمعية وطنية تلقت منها الجمعية الوطنية المبلغة الدعم وإجمالي التمويل الذي تلقته بالفرنك السويسري.</t>
  </si>
  <si>
    <t>This indicator is for National Society that operates blood banks. If your National Society is doing blood promotion, kindly include the number of people reached in the "Long term services and development programmes" indicator.</t>
  </si>
  <si>
    <t>Cet indicateur concerne les Sociétés Nationales qui gèrent des banques de sang. Si votre Société Nationale fait de la promotion du sang, veuillez inclure le nombre de personnes touchées dans l'indicateur « Services à long terme et programmes de développement »</t>
  </si>
  <si>
    <t>Este indicador es para las Sociedades Nacionales que gestionan bancos de sangre. Si su Sociedad Nacional realiza actividades de promoción de la sangre, sírvase incluir el número de personas atendidas en el indicador «Servicios a largo plazo y programas de desarrollo».</t>
  </si>
  <si>
    <t>هذا المؤشر خاص بالجمعيات الوطنية التي تدير بنوك الدم. إذا كانت جمعيتك الوطنية تقوم بالترويج للدم، يرجى إدراج عدد الأشخاص الذين تم الوصول إليهم في مؤشر ”الخدمات طويلة الأجل وبرامج التنمية“.</t>
  </si>
  <si>
    <t>يشمل دعم الصحة النفسية والدعم النفسي والاجتماعي أي دعم يتلقاه الأشخاص لحماية أو تعزيز صحتهم النفسية ورفاههم النفسي والاجتماعي.</t>
  </si>
  <si>
    <t>Personnes auxquelles les Sociétés Nationales de la Croix-Rouge et du Croissant-Rouge ont administré des vaccins vitaux. La vaccination est un point d'entrée essentiel pour les soins de santé primaires et l'investissement dans la vaccination permet de sauver des vies, de renforcer les systèmes de santé, de garantir la sécurité sanitaire et de faire progresser la couverture sanitaire universelle. Cet indicateur comprend toutes les activités liées à la vaccination contre les maladies évitables par la vaccination.</t>
  </si>
  <si>
    <t>Personas a las que las Sociedades Nacionales de la Cruz Roja y de la Media Luna Roja han suministrado vacunas que salvan vidas. La inmunización es un punto de entrada fundamental para la atención primaria de salud y la inversión en inmunización salva vidas, fortalece los sistemas de salud, garantiza la seguridad sanitaria y promueve la cobertura sanitaria universal. Este indicador incluye cualquier actividad relacionada con la inmunización para enfermedades prevenibles mediante vacunación.</t>
  </si>
  <si>
    <t>الأشخاص الذين تصلهم الجمعيات الوطنية للصليب الأحمر والهلال الأحمر باللقاحات المنقذة للحياة. التحصين هو نقطة دخول حاسمة للرعاية الصحية الأولية، والاستثمار في التحصين ينقذ الأرواح، ويعزز النظم الصحية، ويضمن الأمن الصحي ويعزز التغطية الصحية الشاملة. يشمل هذا المؤشر أي أنشطة متعلقة بالتحصين ضد الأمراض التي يمكن الوقاية منها باللقاحات.</t>
  </si>
  <si>
    <t>Nombre de personnes couvertes par les programmes liés à la migration</t>
  </si>
  <si>
    <t>المهاجرون والنازحون الذين تم الوصول إليهم بخدمات المساعدة والحماية</t>
  </si>
  <si>
    <t>Votre Société Nationale a-t-elle réalisé une évaluation des besoins en lien avec la migration et le déplacement ?</t>
  </si>
  <si>
    <t xml:space="preserve">
¿La Sociedad Nacional ha realizado una evaluación de las necesidades existentes en materia de migración y desplazamiento de personas?</t>
  </si>
  <si>
    <t>هل قام مكتبكم الوطني بتقييم احتياجات الهجرة والنزوح؟</t>
  </si>
  <si>
    <t>Votre Société nationale a-t-elle intégré la migration et le déplacement dans sa planification stratégique ?</t>
  </si>
  <si>
    <t>¿La Sociedad Nacional ha integrado la migración y el desplazamiento en su planificación estratégica?</t>
  </si>
  <si>
    <t>هل قام برنامجكم الوطني بدمج الهجرة والنزوح في تخطيطكم الاستراتيجي؟</t>
  </si>
  <si>
    <t>People reached with climate and environmental activities</t>
  </si>
  <si>
    <t>الأشخاص الذين تم الوصول إليهم من خلال الأنشطة المناخية والبيئية</t>
  </si>
  <si>
    <t xml:space="preserve">Programs that reduce risks and vulnerability to climate-related shocks, stresses and longer-term changes, such as climate change adaptation, disaster risk reduction and anticipatory action.
Climate change adaptation (CCA) refers to actions that reduce the negative impacts of the current and predicted future impacts of climate change, while taking advantage of potential new opportunities. For humanitarian organizations, this most often means working to decrease the harm that the changing climate may pose to people. Disaster risk reduction (DRR) and anticipatory action refer to efforts to reduce the exposure of people and communities to risks that might arise from disasters and preventing the negative impacts of disasters before they are felt. </t>
  </si>
  <si>
    <t>”البرامج التي تقلل من المخاطر وقابلية التأثر بالصدمات والضغوط والتغيرات طويلة الأجل المرتبطة بالمناخ، مثل التكيف مع تغير المناخ، والحد من مخاطر الكوارث والعمل الاستباقي.</t>
  </si>
  <si>
    <t>يشير التكيف مع تغير المناخ إلى الإجراءات التي تقلل من الآثار السلبية للآثار الحالية والمستقبلية المتوقعة لتغير المناخ، مع الاستفادة من الفرص الجديدة المحتملة. وبالنسبة للمنظمات الإنسانية، يعني ذلك في أغلب الأحيان العمل على الحد من الأضرار التي قد يسببها تغير المناخ للناس. يشير الحد من مخاطر الكوارث والعمل الاستباقي إلى الجهود الرامية إلى الحد من تعرض الناس والمجتمعات للمخاطر التي قد تنشأ عن الكوارث ومنع الآثار السلبية للكوارث قبل وقوعها. “</t>
  </si>
  <si>
    <t>Votre Société Nationale a-t-elle mis en place des solutions fondées sur la nature ?</t>
  </si>
  <si>
    <t>يشير الحد من مخاطر موجات الحر والتأهب لموجات الحر إلى الحد من المخاطر المتعلقة بموجات الحر. تتضمن الاستجابة لموجات الحر اتخاذ إجراءات خلال موجة الحر</t>
  </si>
  <si>
    <t>Votre Société Nationale a-t-elle mis en œuvre des campagnes de sensibilisation à l’environnement ou au climat centrées sur les changements de comportement ?</t>
  </si>
  <si>
    <t>هل نفذت مؤسستك الوطنية حلولاً قائمة على الطبيعة؟</t>
  </si>
  <si>
    <t>هل نفذت منظمتكم الوطنية حملات بيئية أو مناخية تركز على تغيير السلوك؟</t>
  </si>
  <si>
    <t>الأشخاص الذين تم الوصول إليهم من خلال برامج الحماية والنوع الاجتماعي والإدماج</t>
  </si>
  <si>
    <t>تسعى أنشطة مبادرة الحوكمة العامة إلى منع جميع أشكال العنف والتمييز والإقصاء والاستجابة لها والتخفيف من أسبابها ومخاطرها وعواقبها.  تستند الفئات العامة للأنشطة إلى سياسة مبادرة الحوكمة العامة والإطار التشغيلي (سيصدر قريباً). وتشمل الأنشطة التي تركز بشكل خاص على التصدي للعنف والتمييز والإقصاء. وتجدر الإشارة إلى أن العديد من الأنشطة تعالج الفئات الثلاث جميعها، مع التركيز على فئات معينة.</t>
  </si>
  <si>
    <t>Toute information supplémentaire importante concernant les données rapportées dans le formulaire</t>
  </si>
  <si>
    <t>Cualquier información adicional importante sobre los datos comunicados en el Formulario</t>
  </si>
  <si>
    <t>تسعى برمجة التعليم إلى المساهمة في ضمان الوصول الآمن والمستمر والمنصف إلى فرص التعليم الشامل والجيد.</t>
  </si>
  <si>
    <t>Criticisms of, or suggestions for, the Questionnaire and the rest of the FDRS system including the User Guide.</t>
  </si>
  <si>
    <t>Critiques ou suggestions concernant le questionnaire et le reste du système FDRS, y compris le guide de l'utilisateur.</t>
  </si>
  <si>
    <t>Críticas o sugerencias sobre el Cuestionario y el resto del sistema FDRS, incluida la Guía del usuario.</t>
  </si>
  <si>
    <t>الانتقادات أو الاقتراحات الخاصة بالاستبيان وبقية نظام FDRS بما في ذلك دليل المستخدم.</t>
  </si>
  <si>
    <t>Required</t>
  </si>
  <si>
    <t>Obligatoire</t>
  </si>
  <si>
    <t>Obligatorio</t>
  </si>
  <si>
    <t>مطلوب</t>
  </si>
  <si>
    <t>Nom de chaque Société Nationale à laquelle la Société Nationale déclarante a apporté son soutien au cours de l'année de référence (c'est-à-dire le soutien sortant). Les ressources sont définies comme des ressources humaines (au moins le travail d'une personne pendant une journée), des ressources financières ou tout autre type de ressources en nature d'une valeur supérieure à 1 000 USD. Facultatif : dans le tableau ci-dessous, veuillez indiquer le financement total, en francs suisses, de chaque Société Nationale à laquelle la Société Nationale déclarante a apporté son soutien.</t>
  </si>
  <si>
    <t>Nombres de cada Sociedad Nacional a la que la Sociedad Nacional informante ha prestado apoyo, durante el año del informe (es decir, apoyo saliente). Los recursos se definen como recursos humanos (al menos el trabajo de una persona durante un día), recursos financieros o cualquier otro tipo de recursos en especie que superen un valor de 1.000 USD. Opcional: En el cuadro que figura a continuación, indique la financiación total proporcionada, en francos suizos, de cada Sociedad Nacional a la que la Sociedad Nacional informante haya prestado apoyo.</t>
  </si>
  <si>
    <t>أسماء كل جمعية وطنية قدمت لها الجمعية الوطنية المبلغة الدعم، خلال السنة المشمولة بالتقرير (أي الدعم الصادر). يتم تعريف الموارد على أنها إما موارد بشرية (على الأقل عمل شخص واحد ليوم واحد)، أو موارد مالية، أو أي نوع آخر من الموارد العينية التي تتجاوز قيمتها 1.000 دولار أمريكي. اختياري: في الجدول أدناه، يرجى تقديم إجمالي التمويل المقدم بالفرنك السويسري لكل جمعية وطنية قدمت لها الجمعية الوطنية المبلغة الدعم.</t>
  </si>
  <si>
    <t>Total income does not match with Total Income Broken Down</t>
  </si>
  <si>
    <t>Le revenu total ne correspond pas au revenu total ventilé</t>
  </si>
  <si>
    <t>Los ingresos totales no coinciden con los ingresos totales desglosados</t>
  </si>
  <si>
    <t>إجمالي الدخل لا يتطابق مع إجمالي الدخل المقطوع</t>
  </si>
  <si>
    <t>The breakdown of support from other National Societies exceeds the total amount reported. Please review.</t>
  </si>
  <si>
    <t>La ventilation du soutien apporté par d'autres Sociétés Nationales dépasse le montant total indiqué. Veuillez vérifier.</t>
  </si>
  <si>
    <t>El desglose de apoyo de otras Sociedades Nacionales supera la cantidad total reportada. Por favor, revise.</t>
  </si>
  <si>
    <t>يفوق توزيع الدعم المقدم من الجمعيات الوطنية الأخرى المبلغ الإجمالي المبلغ المُبلغ عنه. يرجى التحقق من ذلك.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</si>
</sst>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2000401]0"/>
  </numFmts>
  <fonts count="54" x14ac:knownFonts="1">
    <font>
      <sz val="11"/>
      <color theme="1"/>
      <name val="Calibri"/>
      <family val="2"/>
      <scheme val="minor"/>
    </font>
    <font>
      <u/>
      <sz val="11"/>
      <color theme="10"/>
      <name val="Calibri"/>
      <family val="2"/>
      <scheme val="minor"/>
    </font>
    <font>
      <b/>
      <sz val="20"/>
      <name val="Arial"/>
      <family val="2"/>
    </font>
    <font>
      <sz val="11"/>
      <color theme="1"/>
      <name val="Arial"/>
      <family val="2"/>
    </font>
    <font>
      <sz val="12"/>
      <color theme="1"/>
      <name val="Arial"/>
      <family val="2"/>
    </font>
    <font>
      <b/>
      <sz val="12"/>
      <color theme="1"/>
      <name val="Arial"/>
      <family val="2"/>
    </font>
    <font>
      <u/>
      <sz val="12"/>
      <color rgb="FF0070C0"/>
      <name val="Calibri"/>
      <family val="2"/>
      <scheme val="minor"/>
    </font>
    <font>
      <b/>
      <sz val="13"/>
      <color theme="0"/>
      <name val="Calibri Light"/>
      <family val="2"/>
    </font>
    <font>
      <b/>
      <sz val="11"/>
      <color theme="4" tint="-0.499984740745262"/>
      <name val="Arial"/>
      <family val="2"/>
    </font>
    <font>
      <b/>
      <sz val="11"/>
      <color theme="1"/>
      <name val="Arial"/>
      <family val="2"/>
    </font>
    <font>
      <sz val="11"/>
      <color theme="0"/>
      <name val="Arial"/>
      <family val="2"/>
    </font>
    <font>
      <sz val="9"/>
      <color theme="1"/>
      <name val="Arial"/>
      <family val="2"/>
    </font>
    <font>
      <sz val="10"/>
      <color theme="1"/>
      <name val="Arial"/>
      <family val="2"/>
    </font>
    <font>
      <b/>
      <sz val="11"/>
      <color rgb="FF002060"/>
      <name val="Arial"/>
      <family val="2"/>
    </font>
    <font>
      <sz val="9"/>
      <color indexed="81"/>
      <name val="Tahoma"/>
      <family val="2"/>
    </font>
    <font>
      <sz val="11"/>
      <color theme="0" tint="-0.499984740745262"/>
      <name val="Arial"/>
      <family val="2"/>
    </font>
    <font>
      <sz val="11"/>
      <color theme="1" tint="0.34998626667073579"/>
      <name val="Arial"/>
      <family val="2"/>
    </font>
    <font>
      <b/>
      <sz val="11"/>
      <name val="Arial"/>
      <family val="2"/>
    </font>
    <font>
      <sz val="10"/>
      <color theme="1" tint="0.34998626667073579"/>
      <name val="Arial"/>
      <family val="2"/>
    </font>
    <font>
      <sz val="11"/>
      <color theme="1"/>
      <name val="Calibri"/>
      <family val="2"/>
      <scheme val="minor"/>
    </font>
    <font>
      <b/>
      <sz val="14"/>
      <name val="Arial"/>
      <family val="2"/>
    </font>
    <font>
      <sz val="14"/>
      <color theme="1"/>
      <name val="Calibri"/>
      <family val="2"/>
      <scheme val="minor"/>
    </font>
    <font>
      <b/>
      <sz val="14"/>
      <color rgb="FFFF0000"/>
      <name val="Arial"/>
      <family val="2"/>
    </font>
    <font>
      <b/>
      <sz val="11"/>
      <color theme="9" tint="-0.249977111117893"/>
      <name val="Arial"/>
      <family val="2"/>
    </font>
    <font>
      <sz val="11"/>
      <name val="Arial"/>
      <family val="2"/>
    </font>
    <font>
      <b/>
      <sz val="14"/>
      <color rgb="FFC00000"/>
      <name val="Arial"/>
      <family val="2"/>
    </font>
    <font>
      <sz val="11"/>
      <name val="Calibri"/>
      <family val="2"/>
      <scheme val="minor"/>
    </font>
    <font>
      <b/>
      <sz val="16"/>
      <color theme="0"/>
      <name val="Calibri Light"/>
      <family val="2"/>
    </font>
    <font>
      <b/>
      <sz val="18"/>
      <color theme="0"/>
      <name val="Calibri Light"/>
      <family val="2"/>
    </font>
    <font>
      <b/>
      <sz val="18"/>
      <color rgb="FFC00000"/>
      <name val="Calibri Light"/>
      <family val="2"/>
    </font>
    <font>
      <b/>
      <sz val="11"/>
      <color rgb="FFC00000"/>
      <name val="Arial"/>
      <family val="2"/>
    </font>
    <font>
      <b/>
      <sz val="13"/>
      <color theme="0"/>
      <name val="Arial"/>
      <family val="2"/>
    </font>
    <font>
      <b/>
      <sz val="11"/>
      <color theme="5" tint="-0.499984740745262"/>
      <name val="Arial"/>
      <family val="2"/>
    </font>
    <font>
      <sz val="13"/>
      <color rgb="FF292929"/>
      <name val="Arial"/>
      <family val="2"/>
    </font>
    <font>
      <sz val="7"/>
      <color rgb="FF333333"/>
      <name val="Source Sans Pro"/>
      <family val="2"/>
    </font>
    <font>
      <b/>
      <sz val="20"/>
      <color rgb="FFFF0000"/>
      <name val="Calibri Light"/>
      <family val="2"/>
    </font>
    <font>
      <b/>
      <sz val="16"/>
      <name val="Calibri"/>
      <family val="2"/>
      <scheme val="minor"/>
    </font>
    <font>
      <sz val="9"/>
      <color theme="1" tint="0.34998626667073579"/>
      <name val="Arial"/>
      <family val="2"/>
    </font>
    <font>
      <b/>
      <sz val="20"/>
      <color rgb="FFF2F2F2"/>
      <name val="Arial"/>
      <family val="2"/>
    </font>
    <font>
      <b/>
      <sz val="12"/>
      <color theme="0"/>
      <name val="Arial"/>
      <family val="2"/>
    </font>
    <font>
      <b/>
      <sz val="14"/>
      <color theme="1"/>
      <name val="Arial"/>
      <family val="2"/>
    </font>
    <font>
      <b/>
      <sz val="14"/>
      <color theme="9" tint="-0.249977111117893"/>
      <name val="Arial"/>
      <family val="2"/>
    </font>
    <font>
      <b/>
      <sz val="16"/>
      <color rgb="FFFF0000"/>
      <name val="Arial"/>
      <family val="2"/>
    </font>
    <font>
      <b/>
      <sz val="12"/>
      <color theme="4" tint="-0.499984740745262"/>
      <name val="Arial"/>
      <family val="2"/>
    </font>
    <font>
      <b/>
      <sz val="14"/>
      <color theme="0"/>
      <name val="Calibri Light"/>
      <family val="2"/>
    </font>
    <font>
      <b/>
      <sz val="11"/>
      <color rgb="FFFF0000"/>
      <name val="Arial"/>
      <family val="2"/>
    </font>
    <font>
      <b/>
      <sz val="14"/>
      <color theme="5" tint="-0.499984740745262"/>
      <name val="Arial"/>
      <family val="2"/>
    </font>
    <font>
      <sz val="11"/>
      <color theme="5" tint="-0.499984740745262"/>
      <name val="Calibri"/>
      <family val="2"/>
      <scheme val="minor"/>
    </font>
    <font>
      <b/>
      <sz val="20"/>
      <color theme="5" tint="-0.499984740745262"/>
      <name val="Arial"/>
      <family val="2"/>
    </font>
    <font>
      <b/>
      <sz val="20"/>
      <color theme="0" tint="-4.9989318521683403E-2"/>
      <name val="Arial"/>
      <family val="2"/>
    </font>
    <font>
      <sz val="11"/>
      <color theme="2" tint="-0.749992370372631"/>
      <name val="Arial"/>
    </font>
    <font>
      <sz val="10"/>
      <color theme="1"/>
      <name val="Arial"/>
    </font>
    <font>
      <b/>
      <sz val="14"/>
      <color theme="1"/>
      <name val="Arial"/>
    </font>
    <font>
      <sz val="11"/>
      <color theme="1" tint="0.34998626667073579"/>
      <name val="Arial"/>
    </font>
  </fonts>
  <fills count="1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49998474074526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57171"/>
        <bgColor indexed="64"/>
      </patternFill>
    </fill>
  </fills>
  <borders count="4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theme="1" tint="0.499984740745262"/>
      </left>
      <right/>
      <top style="thin">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
      <left style="thin">
        <color indexed="64"/>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indexed="64"/>
      </left>
      <right style="thin">
        <color indexed="64"/>
      </right>
      <top/>
      <bottom style="thin">
        <color indexed="64"/>
      </bottom>
      <diagonal/>
    </border>
    <border>
      <left style="thin">
        <color theme="1" tint="0.499984740745262"/>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theme="1" tint="0.499984740745262"/>
      </right>
      <top/>
      <bottom style="thin">
        <color theme="1" tint="0.499984740745262"/>
      </bottom>
      <diagonal/>
    </border>
    <border>
      <left style="thin">
        <color indexed="64"/>
      </left>
      <right/>
      <top style="thin">
        <color theme="1" tint="0.499984740745262"/>
      </top>
      <bottom style="thin">
        <color indexed="64"/>
      </bottom>
      <diagonal/>
    </border>
    <border>
      <left/>
      <right/>
      <top style="thin">
        <color theme="1" tint="0.499984740745262"/>
      </top>
      <bottom style="thin">
        <color indexed="64"/>
      </bottom>
      <diagonal/>
    </border>
    <border>
      <left/>
      <right style="thin">
        <color indexed="64"/>
      </right>
      <top style="thin">
        <color theme="1" tint="0.499984740745262"/>
      </top>
      <bottom style="thin">
        <color indexed="64"/>
      </bottom>
      <diagonal/>
    </border>
    <border>
      <left style="thin">
        <color theme="1" tint="0.499984740745262"/>
      </left>
      <right/>
      <top/>
      <bottom/>
      <diagonal/>
    </border>
    <border>
      <left/>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top/>
      <bottom style="thin">
        <color theme="1" tint="0.499984740745262"/>
      </bottom>
      <diagonal/>
    </border>
    <border>
      <left/>
      <right/>
      <top style="thin">
        <color indexed="64"/>
      </top>
      <bottom style="thin">
        <color theme="1" tint="0.499984740745262"/>
      </bottom>
      <diagonal/>
    </border>
    <border>
      <left/>
      <right style="thin">
        <color indexed="64"/>
      </right>
      <top style="thin">
        <color indexed="64"/>
      </top>
      <bottom style="thin">
        <color theme="1" tint="0.499984740745262"/>
      </bottom>
      <diagonal/>
    </border>
    <border>
      <left style="thin">
        <color indexed="64"/>
      </left>
      <right/>
      <top style="thin">
        <color indexed="64"/>
      </top>
      <bottom style="thin">
        <color theme="1" tint="0.499984740745262"/>
      </bottom>
      <diagonal/>
    </border>
    <border>
      <left style="thin">
        <color indexed="64"/>
      </left>
      <right style="thin">
        <color indexed="64"/>
      </right>
      <top/>
      <bottom style="thin">
        <color theme="1" tint="0.499984740745262"/>
      </bottom>
      <diagonal/>
    </border>
    <border>
      <left/>
      <right style="thin">
        <color theme="1" tint="0.499984740745262"/>
      </right>
      <top/>
      <bottom/>
      <diagonal/>
    </border>
    <border>
      <left/>
      <right style="thin">
        <color theme="1" tint="0.499984740745262"/>
      </right>
      <top style="thin">
        <color indexed="64"/>
      </top>
      <bottom style="thin">
        <color theme="1" tint="0.499984740745262"/>
      </bottom>
      <diagonal/>
    </border>
    <border>
      <left style="thin">
        <color indexed="64"/>
      </left>
      <right/>
      <top/>
      <bottom style="thin">
        <color theme="1" tint="0.499984740745262"/>
      </bottom>
      <diagonal/>
    </border>
    <border>
      <left style="thin">
        <color theme="1" tint="0.499984740745262"/>
      </left>
      <right/>
      <top style="thin">
        <color indexed="64"/>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style="thin">
        <color theme="1" tint="0.499984740745262"/>
      </top>
      <bottom style="thin">
        <color indexed="64"/>
      </bottom>
      <diagonal/>
    </border>
    <border>
      <left style="thin">
        <color theme="1" tint="0.499984740745262"/>
      </left>
      <right style="thin">
        <color theme="1" tint="0.499984740745262"/>
      </right>
      <top style="thin">
        <color indexed="64"/>
      </top>
      <bottom style="thin">
        <color theme="1" tint="0.499984740745262"/>
      </bottom>
      <diagonal/>
    </border>
    <border>
      <left style="thin">
        <color theme="1" tint="0.499984740745262"/>
      </left>
      <right/>
      <top style="thin">
        <color theme="1" tint="0.499984740745262"/>
      </top>
      <bottom style="thin">
        <color indexed="64"/>
      </bottom>
      <diagonal/>
    </border>
    <border>
      <left style="thin">
        <color theme="1"/>
      </left>
      <right style="thin">
        <color theme="1"/>
      </right>
      <top style="thin">
        <color theme="1"/>
      </top>
      <bottom style="thin">
        <color theme="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applyNumberFormat="0" applyFill="0" applyBorder="0" applyAlignment="0" applyProtection="0"/>
    <xf numFmtId="43" fontId="19" fillId="0" borderId="0" applyFont="0" applyFill="0" applyBorder="0" applyAlignment="0" applyProtection="0"/>
  </cellStyleXfs>
  <cellXfs count="413">
    <xf numFmtId="0" fontId="0" fillId="0" borderId="0" xfId="0"/>
    <xf numFmtId="0" fontId="3" fillId="5" borderId="12" xfId="0" applyFont="1" applyFill="1" applyBorder="1" applyAlignment="1" applyProtection="1">
      <alignment vertical="center"/>
      <protection locked="0"/>
    </xf>
    <xf numFmtId="0" fontId="3" fillId="5" borderId="11" xfId="0" applyFont="1" applyFill="1" applyBorder="1" applyAlignment="1" applyProtection="1">
      <alignment vertical="center"/>
      <protection locked="0"/>
    </xf>
    <xf numFmtId="0" fontId="3" fillId="5" borderId="12" xfId="0" applyFont="1" applyFill="1" applyBorder="1" applyAlignment="1" applyProtection="1">
      <alignment vertical="center" wrapText="1"/>
      <protection locked="0"/>
    </xf>
    <xf numFmtId="3" fontId="3" fillId="5" borderId="12" xfId="0" applyNumberFormat="1" applyFont="1" applyFill="1" applyBorder="1" applyAlignment="1" applyProtection="1">
      <alignment horizontal="left" vertical="center" indent="1"/>
      <protection locked="0"/>
    </xf>
    <xf numFmtId="0" fontId="24" fillId="3" borderId="11" xfId="0" applyFont="1" applyFill="1" applyBorder="1" applyProtection="1">
      <protection locked="0"/>
    </xf>
    <xf numFmtId="0" fontId="24" fillId="3" borderId="11" xfId="0" applyFont="1" applyFill="1" applyBorder="1" applyAlignment="1" applyProtection="1">
      <alignment wrapText="1"/>
      <protection locked="0"/>
    </xf>
    <xf numFmtId="0" fontId="0" fillId="2" borderId="0" xfId="0" applyFill="1"/>
    <xf numFmtId="0" fontId="2" fillId="2" borderId="0" xfId="0" applyFont="1" applyFill="1" applyAlignment="1">
      <alignment vertical="center"/>
    </xf>
    <xf numFmtId="0" fontId="26" fillId="0" borderId="11" xfId="0" applyFont="1" applyBorder="1"/>
    <xf numFmtId="0" fontId="0" fillId="2" borderId="4" xfId="0" applyFill="1" applyBorder="1"/>
    <xf numFmtId="0" fontId="2" fillId="3" borderId="24" xfId="0" applyFont="1" applyFill="1" applyBorder="1" applyAlignment="1">
      <alignment vertical="center"/>
    </xf>
    <xf numFmtId="0" fontId="4" fillId="3" borderId="16" xfId="0" applyFont="1" applyFill="1" applyBorder="1" applyAlignment="1">
      <alignment vertical="top"/>
    </xf>
    <xf numFmtId="0" fontId="2" fillId="3" borderId="0" xfId="0" applyFont="1" applyFill="1" applyAlignment="1">
      <alignment vertical="center"/>
    </xf>
    <xf numFmtId="0" fontId="7" fillId="2" borderId="2" xfId="0" applyFont="1" applyFill="1" applyBorder="1" applyAlignment="1">
      <alignment vertical="center"/>
    </xf>
    <xf numFmtId="0" fontId="29" fillId="2" borderId="2" xfId="0" applyFont="1" applyFill="1" applyBorder="1" applyAlignment="1">
      <alignment horizontal="left" vertical="center"/>
    </xf>
    <xf numFmtId="0" fontId="27" fillId="2" borderId="2" xfId="0" applyFont="1" applyFill="1" applyBorder="1" applyAlignment="1">
      <alignment vertical="center"/>
    </xf>
    <xf numFmtId="0" fontId="28" fillId="2" borderId="2" xfId="0" applyFont="1" applyFill="1" applyBorder="1" applyAlignment="1">
      <alignment vertical="center"/>
    </xf>
    <xf numFmtId="0" fontId="3" fillId="3" borderId="0" xfId="0" applyFont="1" applyFill="1" applyAlignment="1">
      <alignment horizontal="left" vertical="center" indent="1"/>
    </xf>
    <xf numFmtId="0" fontId="3" fillId="3" borderId="0" xfId="0" applyFont="1" applyFill="1" applyAlignment="1">
      <alignment vertical="center"/>
    </xf>
    <xf numFmtId="0" fontId="3" fillId="3" borderId="0" xfId="0" applyFont="1" applyFill="1" applyAlignment="1">
      <alignment horizontal="center" vertical="center"/>
    </xf>
    <xf numFmtId="0" fontId="8" fillId="3" borderId="0" xfId="0" applyFont="1" applyFill="1"/>
    <xf numFmtId="0" fontId="9" fillId="3" borderId="0" xfId="0" applyFont="1" applyFill="1"/>
    <xf numFmtId="0" fontId="3" fillId="3" borderId="0" xfId="0" applyFont="1" applyFill="1"/>
    <xf numFmtId="0" fontId="3" fillId="3" borderId="4" xfId="0" applyFont="1" applyFill="1" applyBorder="1" applyAlignment="1">
      <alignment vertical="center"/>
    </xf>
    <xf numFmtId="0" fontId="22" fillId="3" borderId="0" xfId="0" applyFont="1" applyFill="1" applyAlignment="1">
      <alignment horizontal="center" vertical="center"/>
    </xf>
    <xf numFmtId="0" fontId="25" fillId="3" borderId="18" xfId="0" applyFont="1" applyFill="1" applyBorder="1" applyAlignment="1">
      <alignment horizontal="left" vertical="center" indent="3"/>
    </xf>
    <xf numFmtId="0" fontId="3" fillId="3" borderId="0" xfId="0" applyFont="1" applyFill="1" applyAlignment="1">
      <alignment vertical="top" wrapText="1"/>
    </xf>
    <xf numFmtId="0" fontId="3" fillId="3" borderId="19" xfId="0" applyFont="1" applyFill="1" applyBorder="1" applyAlignment="1">
      <alignment horizontal="center" vertical="center"/>
    </xf>
    <xf numFmtId="0" fontId="3" fillId="0" borderId="13" xfId="0" applyFont="1" applyBorder="1" applyAlignment="1">
      <alignment horizontal="center" vertical="center"/>
    </xf>
    <xf numFmtId="0" fontId="3" fillId="6" borderId="12" xfId="0" applyFont="1" applyFill="1" applyBorder="1" applyAlignment="1">
      <alignment vertical="center"/>
    </xf>
    <xf numFmtId="0" fontId="24" fillId="3" borderId="11" xfId="0" applyFont="1" applyFill="1" applyBorder="1"/>
    <xf numFmtId="0" fontId="3" fillId="3" borderId="0" xfId="0" applyFont="1" applyFill="1" applyAlignment="1">
      <alignment horizontal="left" vertical="top" wrapText="1"/>
    </xf>
    <xf numFmtId="0" fontId="3" fillId="3" borderId="0" xfId="0" applyFont="1" applyFill="1" applyAlignment="1">
      <alignment vertical="center" wrapText="1"/>
    </xf>
    <xf numFmtId="0" fontId="3" fillId="3" borderId="18" xfId="0" applyFont="1" applyFill="1" applyBorder="1" applyAlignment="1">
      <alignment horizontal="left" vertical="center" wrapText="1" indent="1"/>
    </xf>
    <xf numFmtId="0" fontId="3" fillId="3" borderId="0" xfId="0" applyFont="1" applyFill="1" applyAlignment="1">
      <alignment horizontal="left" vertical="center" wrapText="1" indent="1"/>
    </xf>
    <xf numFmtId="0" fontId="3" fillId="3" borderId="0" xfId="0" applyFont="1" applyFill="1" applyAlignment="1">
      <alignment horizontal="lef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2" xfId="0" applyFont="1" applyFill="1" applyBorder="1" applyAlignment="1">
      <alignment vertical="center"/>
    </xf>
    <xf numFmtId="0" fontId="8" fillId="3" borderId="0" xfId="0" applyFont="1" applyFill="1" applyAlignment="1">
      <alignment vertical="center"/>
    </xf>
    <xf numFmtId="0" fontId="7" fillId="2" borderId="0" xfId="0" applyFont="1" applyFill="1" applyAlignment="1">
      <alignment vertical="center"/>
    </xf>
    <xf numFmtId="0" fontId="3" fillId="2" borderId="24" xfId="0" applyFont="1" applyFill="1" applyBorder="1" applyAlignment="1">
      <alignment vertical="center"/>
    </xf>
    <xf numFmtId="4" fontId="0" fillId="2" borderId="4" xfId="0" applyNumberFormat="1" applyFill="1" applyBorder="1"/>
    <xf numFmtId="4" fontId="3" fillId="3" borderId="24" xfId="0" applyNumberFormat="1" applyFont="1" applyFill="1" applyBorder="1" applyAlignment="1">
      <alignment vertical="center"/>
    </xf>
    <xf numFmtId="0" fontId="3" fillId="3" borderId="24" xfId="0" applyFont="1" applyFill="1" applyBorder="1" applyAlignment="1">
      <alignment vertical="center"/>
    </xf>
    <xf numFmtId="4" fontId="3" fillId="3" borderId="31" xfId="0" applyNumberFormat="1" applyFont="1" applyFill="1" applyBorder="1" applyAlignment="1">
      <alignment vertical="center"/>
    </xf>
    <xf numFmtId="4" fontId="0" fillId="0" borderId="0" xfId="0" applyNumberFormat="1"/>
    <xf numFmtId="4" fontId="26" fillId="0" borderId="11" xfId="0" applyNumberFormat="1" applyFont="1" applyBorder="1"/>
    <xf numFmtId="4" fontId="3" fillId="3" borderId="4" xfId="0" applyNumberFormat="1" applyFont="1" applyFill="1" applyBorder="1" applyAlignment="1">
      <alignment vertical="center"/>
    </xf>
    <xf numFmtId="16" fontId="3" fillId="0" borderId="14" xfId="0" applyNumberFormat="1" applyFont="1" applyBorder="1" applyAlignment="1">
      <alignment horizontal="center" vertical="center"/>
    </xf>
    <xf numFmtId="0" fontId="3" fillId="0" borderId="14" xfId="0" applyFont="1" applyBorder="1" applyAlignment="1">
      <alignment horizontal="center" vertical="center"/>
    </xf>
    <xf numFmtId="0" fontId="15" fillId="3" borderId="0" xfId="0" applyFont="1" applyFill="1" applyAlignment="1">
      <alignment vertical="top" wrapText="1"/>
    </xf>
    <xf numFmtId="0" fontId="3" fillId="3" borderId="0" xfId="0" applyFont="1" applyFill="1" applyAlignment="1">
      <alignment horizontal="center" vertical="center" wrapText="1"/>
    </xf>
    <xf numFmtId="16" fontId="3" fillId="0" borderId="11" xfId="0" applyNumberFormat="1" applyFont="1" applyBorder="1" applyAlignment="1">
      <alignment horizontal="center" vertical="center"/>
    </xf>
    <xf numFmtId="0" fontId="3" fillId="0" borderId="11" xfId="0" applyFont="1" applyBorder="1" applyAlignment="1">
      <alignment horizontal="center" vertical="center"/>
    </xf>
    <xf numFmtId="0" fontId="3" fillId="3" borderId="25" xfId="0" applyFont="1" applyFill="1" applyBorder="1" applyAlignment="1">
      <alignment horizontal="left" vertical="center" wrapText="1" indent="1"/>
    </xf>
    <xf numFmtId="0" fontId="3" fillId="3" borderId="16" xfId="0" applyFont="1" applyFill="1" applyBorder="1" applyAlignment="1">
      <alignment horizontal="left" vertical="center" wrapText="1"/>
    </xf>
    <xf numFmtId="0" fontId="3" fillId="3" borderId="16" xfId="0" applyFont="1" applyFill="1" applyBorder="1" applyAlignment="1">
      <alignment vertical="center"/>
    </xf>
    <xf numFmtId="0" fontId="3" fillId="3" borderId="16" xfId="0" applyFont="1" applyFill="1" applyBorder="1" applyAlignment="1">
      <alignment horizontal="center" vertical="center" wrapText="1"/>
    </xf>
    <xf numFmtId="0" fontId="3" fillId="3" borderId="17" xfId="0" applyFont="1" applyFill="1" applyBorder="1" applyAlignment="1">
      <alignment vertical="center"/>
    </xf>
    <xf numFmtId="0" fontId="3" fillId="3" borderId="31" xfId="0" applyFont="1" applyFill="1" applyBorder="1" applyAlignment="1">
      <alignment vertical="center"/>
    </xf>
    <xf numFmtId="0" fontId="26" fillId="0" borderId="0" xfId="0" applyFont="1"/>
    <xf numFmtId="0" fontId="16" fillId="3" borderId="0" xfId="0" applyFont="1" applyFill="1" applyAlignment="1">
      <alignment horizontal="left" vertical="center" wrapText="1" indent="1"/>
    </xf>
    <xf numFmtId="0" fontId="3" fillId="3" borderId="25" xfId="0" applyFont="1" applyFill="1" applyBorder="1" applyAlignment="1">
      <alignment horizontal="left" vertical="center" indent="1"/>
    </xf>
    <xf numFmtId="0" fontId="3" fillId="3" borderId="16" xfId="0" applyFont="1" applyFill="1" applyBorder="1" applyAlignment="1">
      <alignment horizontal="center" vertical="center"/>
    </xf>
    <xf numFmtId="0" fontId="11" fillId="3" borderId="16" xfId="0" applyFont="1" applyFill="1" applyBorder="1" applyAlignment="1">
      <alignment vertical="center"/>
    </xf>
    <xf numFmtId="0" fontId="3" fillId="3" borderId="24" xfId="0" applyFont="1" applyFill="1" applyBorder="1" applyAlignment="1">
      <alignment horizontal="center" vertical="center"/>
    </xf>
    <xf numFmtId="0" fontId="22" fillId="3" borderId="0" xfId="0" applyFont="1" applyFill="1" applyAlignment="1">
      <alignment horizontal="left" vertical="center"/>
    </xf>
    <xf numFmtId="0" fontId="15" fillId="3" borderId="0" xfId="0" applyFont="1" applyFill="1" applyAlignment="1">
      <alignment horizontal="center" vertical="center"/>
    </xf>
    <xf numFmtId="0" fontId="25" fillId="3" borderId="0" xfId="0" applyFont="1" applyFill="1" applyAlignment="1">
      <alignment vertical="center"/>
    </xf>
    <xf numFmtId="3" fontId="24" fillId="3" borderId="11" xfId="0" applyNumberFormat="1" applyFont="1" applyFill="1" applyBorder="1"/>
    <xf numFmtId="0" fontId="9" fillId="3" borderId="16" xfId="0" applyFont="1" applyFill="1" applyBorder="1" applyAlignment="1">
      <alignment vertical="center"/>
    </xf>
    <xf numFmtId="0" fontId="3" fillId="3" borderId="18" xfId="0" applyFont="1" applyFill="1" applyBorder="1" applyAlignment="1">
      <alignment horizontal="left" vertical="center" indent="1"/>
    </xf>
    <xf numFmtId="0" fontId="10" fillId="3" borderId="0" xfId="0" applyFont="1" applyFill="1" applyAlignment="1">
      <alignment vertical="center"/>
    </xf>
    <xf numFmtId="0" fontId="16" fillId="3" borderId="0" xfId="0" applyFont="1" applyFill="1" applyAlignment="1">
      <alignment vertical="center" wrapText="1"/>
    </xf>
    <xf numFmtId="0" fontId="9" fillId="3" borderId="18" xfId="0" applyFont="1" applyFill="1" applyBorder="1" applyAlignment="1">
      <alignment horizontal="left" vertical="center" wrapText="1" indent="1"/>
    </xf>
    <xf numFmtId="0" fontId="9" fillId="3" borderId="0" xfId="0" applyFont="1" applyFill="1" applyAlignment="1">
      <alignment horizontal="center" vertical="center" wrapText="1"/>
    </xf>
    <xf numFmtId="0" fontId="3" fillId="0" borderId="0" xfId="0" applyFont="1" applyAlignment="1">
      <alignment vertical="center" wrapText="1"/>
    </xf>
    <xf numFmtId="0" fontId="3" fillId="3" borderId="30" xfId="0" applyFont="1" applyFill="1" applyBorder="1" applyAlignment="1">
      <alignment horizontal="left" vertical="center" wrapText="1"/>
    </xf>
    <xf numFmtId="0" fontId="3" fillId="3" borderId="24" xfId="0" applyFont="1" applyFill="1" applyBorder="1" applyAlignment="1">
      <alignment horizontal="left" vertical="center" wrapText="1"/>
    </xf>
    <xf numFmtId="0" fontId="3" fillId="3" borderId="24" xfId="0" applyFont="1" applyFill="1" applyBorder="1" applyAlignment="1">
      <alignment vertical="center" wrapText="1"/>
    </xf>
    <xf numFmtId="0" fontId="16" fillId="3" borderId="0" xfId="0" applyFont="1" applyFill="1" applyAlignment="1">
      <alignment vertical="top" wrapText="1"/>
    </xf>
    <xf numFmtId="0" fontId="11" fillId="3" borderId="4" xfId="0" applyFont="1" applyFill="1" applyBorder="1" applyAlignment="1">
      <alignment vertical="center"/>
    </xf>
    <xf numFmtId="0" fontId="11" fillId="3" borderId="0" xfId="0" applyFont="1" applyFill="1" applyAlignment="1">
      <alignment vertical="center" wrapText="1"/>
    </xf>
    <xf numFmtId="0" fontId="3" fillId="3" borderId="18" xfId="0" applyFont="1" applyFill="1" applyBorder="1" applyAlignment="1">
      <alignment vertical="center" wrapText="1"/>
    </xf>
    <xf numFmtId="0" fontId="3" fillId="3" borderId="25" xfId="0" applyFont="1" applyFill="1" applyBorder="1" applyAlignment="1">
      <alignment horizontal="left" indent="1"/>
    </xf>
    <xf numFmtId="0" fontId="3" fillId="3" borderId="16" xfId="0" applyFont="1" applyFill="1" applyBorder="1"/>
    <xf numFmtId="0" fontId="17" fillId="6" borderId="27" xfId="0" applyFont="1" applyFill="1" applyBorder="1" applyAlignment="1">
      <alignment horizontal="left" vertical="center" wrapText="1" indent="1"/>
    </xf>
    <xf numFmtId="0" fontId="17" fillId="6" borderId="26" xfId="0" applyFont="1" applyFill="1" applyBorder="1" applyAlignment="1">
      <alignment horizontal="left" vertical="center" wrapText="1" indent="1"/>
    </xf>
    <xf numFmtId="0" fontId="16" fillId="3" borderId="4" xfId="0" applyFont="1" applyFill="1" applyBorder="1" applyAlignment="1">
      <alignment vertical="top" wrapText="1"/>
    </xf>
    <xf numFmtId="0" fontId="16" fillId="3" borderId="4" xfId="0" applyFont="1" applyFill="1" applyBorder="1" applyAlignment="1">
      <alignment vertical="center" wrapText="1"/>
    </xf>
    <xf numFmtId="0" fontId="9" fillId="3" borderId="25" xfId="0" applyFont="1" applyFill="1" applyBorder="1" applyAlignment="1">
      <alignment horizontal="left" vertical="center" indent="1"/>
    </xf>
    <xf numFmtId="0" fontId="9" fillId="3" borderId="16" xfId="0" applyFont="1" applyFill="1" applyBorder="1" applyAlignment="1">
      <alignment horizontal="center" vertical="center" wrapText="1"/>
    </xf>
    <xf numFmtId="0" fontId="9" fillId="3" borderId="16" xfId="0" applyFont="1" applyFill="1" applyBorder="1" applyAlignment="1">
      <alignment horizontal="center" vertical="center"/>
    </xf>
    <xf numFmtId="0" fontId="20" fillId="2" borderId="0" xfId="0" applyFont="1" applyFill="1" applyAlignment="1">
      <alignment vertical="center"/>
    </xf>
    <xf numFmtId="0" fontId="21" fillId="0" borderId="0" xfId="0" applyFont="1"/>
    <xf numFmtId="0" fontId="3" fillId="3" borderId="20" xfId="0" applyFont="1" applyFill="1" applyBorder="1" applyAlignment="1">
      <alignment horizontal="left" vertical="center" indent="1"/>
    </xf>
    <xf numFmtId="0" fontId="3" fillId="3" borderId="21" xfId="0" applyFont="1" applyFill="1" applyBorder="1" applyAlignment="1">
      <alignment vertical="center"/>
    </xf>
    <xf numFmtId="0" fontId="3" fillId="3" borderId="22" xfId="0" applyFont="1" applyFill="1" applyBorder="1" applyAlignment="1">
      <alignment vertical="center"/>
    </xf>
    <xf numFmtId="0" fontId="3" fillId="3" borderId="0" xfId="0" applyFont="1" applyFill="1" applyAlignment="1" applyProtection="1">
      <alignment vertical="center"/>
      <protection locked="0"/>
    </xf>
    <xf numFmtId="0" fontId="25" fillId="3" borderId="0" xfId="0" applyFont="1" applyFill="1" applyAlignment="1">
      <alignment horizontal="center" vertical="top"/>
    </xf>
    <xf numFmtId="0" fontId="7" fillId="2" borderId="3" xfId="0" applyFont="1" applyFill="1" applyBorder="1" applyAlignment="1">
      <alignment vertical="center"/>
    </xf>
    <xf numFmtId="0" fontId="3" fillId="3" borderId="35" xfId="0" applyFont="1" applyFill="1" applyBorder="1" applyAlignment="1">
      <alignment vertical="center"/>
    </xf>
    <xf numFmtId="0" fontId="31" fillId="2" borderId="24" xfId="0" applyFont="1" applyFill="1" applyBorder="1" applyAlignment="1">
      <alignment vertical="center"/>
    </xf>
    <xf numFmtId="0" fontId="3" fillId="3" borderId="17"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5" xfId="0" applyFont="1" applyFill="1" applyBorder="1" applyAlignment="1">
      <alignment horizontal="center" vertical="center"/>
    </xf>
    <xf numFmtId="0" fontId="3" fillId="3" borderId="18" xfId="0" applyFont="1" applyFill="1" applyBorder="1" applyAlignment="1">
      <alignment horizontal="center" vertical="center"/>
    </xf>
    <xf numFmtId="0" fontId="10" fillId="3" borderId="18" xfId="0" applyFont="1" applyFill="1" applyBorder="1" applyAlignment="1">
      <alignment horizontal="left" vertical="center" wrapText="1" indent="1"/>
    </xf>
    <xf numFmtId="0" fontId="10" fillId="3" borderId="0" xfId="0" applyFont="1" applyFill="1" applyAlignment="1">
      <alignment horizontal="left" vertical="center" wrapText="1" indent="1"/>
    </xf>
    <xf numFmtId="0" fontId="3" fillId="3" borderId="18" xfId="0" applyFont="1" applyFill="1" applyBorder="1" applyAlignment="1">
      <alignment vertical="center"/>
    </xf>
    <xf numFmtId="0" fontId="3" fillId="3" borderId="7" xfId="0" applyFont="1" applyFill="1" applyBorder="1" applyAlignment="1">
      <alignment horizontal="left" vertical="center" indent="1"/>
    </xf>
    <xf numFmtId="0" fontId="0" fillId="2" borderId="2" xfId="0" applyFill="1" applyBorder="1"/>
    <xf numFmtId="0" fontId="3" fillId="3" borderId="18" xfId="0" applyFont="1" applyFill="1" applyBorder="1" applyAlignment="1">
      <alignment horizontal="right" vertical="center" wrapText="1"/>
    </xf>
    <xf numFmtId="0" fontId="0" fillId="0" borderId="0" xfId="0" applyAlignment="1">
      <alignment wrapText="1"/>
    </xf>
    <xf numFmtId="16" fontId="0" fillId="0" borderId="0" xfId="0" applyNumberFormat="1" applyAlignment="1">
      <alignment wrapText="1"/>
    </xf>
    <xf numFmtId="15" fontId="0" fillId="0" borderId="0" xfId="0" applyNumberFormat="1" applyAlignment="1">
      <alignment wrapText="1"/>
    </xf>
    <xf numFmtId="164" fontId="0" fillId="0" borderId="0" xfId="0" applyNumberFormat="1" applyAlignment="1">
      <alignment wrapText="1"/>
    </xf>
    <xf numFmtId="9" fontId="0" fillId="0" borderId="0" xfId="0" applyNumberFormat="1" applyAlignment="1">
      <alignment wrapText="1"/>
    </xf>
    <xf numFmtId="0" fontId="3" fillId="3" borderId="0" xfId="0" applyFont="1" applyFill="1" applyAlignment="1">
      <alignment vertical="top"/>
    </xf>
    <xf numFmtId="0" fontId="16" fillId="9" borderId="0" xfId="0" applyFont="1" applyFill="1" applyAlignment="1">
      <alignment vertical="center" wrapText="1"/>
    </xf>
    <xf numFmtId="0" fontId="16" fillId="10" borderId="0" xfId="0" applyFont="1" applyFill="1" applyAlignment="1">
      <alignment vertical="center" wrapText="1"/>
    </xf>
    <xf numFmtId="0" fontId="16" fillId="8" borderId="0" xfId="0" applyFont="1" applyFill="1" applyAlignment="1">
      <alignment vertical="center" wrapText="1"/>
    </xf>
    <xf numFmtId="0" fontId="23" fillId="3" borderId="0" xfId="0" applyFont="1" applyFill="1" applyAlignment="1">
      <alignment vertical="center" wrapText="1"/>
    </xf>
    <xf numFmtId="0" fontId="33" fillId="0" borderId="0" xfId="0" applyFont="1"/>
    <xf numFmtId="0" fontId="34" fillId="0" borderId="0" xfId="0" applyFont="1" applyAlignment="1">
      <alignment wrapText="1"/>
    </xf>
    <xf numFmtId="0" fontId="11" fillId="0" borderId="0" xfId="0" applyFont="1" applyAlignment="1">
      <alignment wrapText="1"/>
    </xf>
    <xf numFmtId="0" fontId="3" fillId="0" borderId="5" xfId="0" applyFont="1" applyBorder="1" applyAlignment="1">
      <alignment horizontal="left" vertical="center" wrapText="1"/>
    </xf>
    <xf numFmtId="0" fontId="8" fillId="3" borderId="0" xfId="0" applyFont="1" applyFill="1" applyAlignment="1">
      <alignment wrapText="1"/>
    </xf>
    <xf numFmtId="3" fontId="30" fillId="3" borderId="18" xfId="0" applyNumberFormat="1" applyFont="1" applyFill="1" applyBorder="1" applyAlignment="1">
      <alignment vertical="center" wrapText="1"/>
    </xf>
    <xf numFmtId="0" fontId="36" fillId="5" borderId="11" xfId="0" applyFont="1" applyFill="1" applyBorder="1" applyAlignment="1" applyProtection="1">
      <alignment horizontal="center" vertical="center"/>
      <protection locked="0"/>
    </xf>
    <xf numFmtId="0" fontId="3" fillId="6" borderId="5" xfId="0" applyFont="1" applyFill="1" applyBorder="1" applyAlignment="1">
      <alignment vertical="center"/>
    </xf>
    <xf numFmtId="0" fontId="12" fillId="3" borderId="0" xfId="0" applyFont="1" applyFill="1" applyAlignment="1">
      <alignment vertical="center" wrapText="1"/>
    </xf>
    <xf numFmtId="0" fontId="38" fillId="2" borderId="0" xfId="0" applyFont="1" applyFill="1" applyAlignment="1">
      <alignment vertical="center"/>
    </xf>
    <xf numFmtId="0" fontId="5" fillId="0" borderId="0" xfId="0" applyFont="1" applyAlignment="1">
      <alignment horizontal="center" vertical="center"/>
    </xf>
    <xf numFmtId="0" fontId="3" fillId="3" borderId="19" xfId="0" applyFont="1" applyFill="1" applyBorder="1" applyAlignment="1">
      <alignment horizontal="center" vertical="center" wrapText="1"/>
    </xf>
    <xf numFmtId="0" fontId="3" fillId="3" borderId="24" xfId="0" applyFont="1" applyFill="1" applyBorder="1"/>
    <xf numFmtId="0" fontId="3" fillId="3" borderId="16" xfId="0" applyFont="1" applyFill="1" applyBorder="1" applyAlignment="1">
      <alignment horizontal="left" vertical="center" wrapText="1" indent="1"/>
    </xf>
    <xf numFmtId="0" fontId="35" fillId="2" borderId="2" xfId="0" applyFont="1" applyFill="1" applyBorder="1" applyAlignment="1">
      <alignment horizontal="right" vertical="center" indent="1"/>
    </xf>
    <xf numFmtId="0" fontId="3" fillId="8" borderId="12" xfId="0" applyFont="1" applyFill="1" applyBorder="1" applyAlignment="1" applyProtection="1">
      <alignment vertical="center"/>
      <protection locked="0"/>
    </xf>
    <xf numFmtId="0" fontId="3" fillId="9" borderId="12" xfId="0" applyFont="1" applyFill="1" applyBorder="1" applyAlignment="1" applyProtection="1">
      <alignment vertical="center"/>
      <protection locked="0"/>
    </xf>
    <xf numFmtId="0" fontId="3" fillId="13" borderId="12" xfId="0" applyFont="1" applyFill="1" applyBorder="1" applyAlignment="1" applyProtection="1">
      <alignment vertical="center"/>
      <protection locked="0"/>
    </xf>
    <xf numFmtId="0" fontId="16" fillId="3" borderId="24" xfId="0" applyFont="1" applyFill="1" applyBorder="1" applyAlignment="1">
      <alignment vertical="center" wrapText="1"/>
    </xf>
    <xf numFmtId="0" fontId="16" fillId="3" borderId="16" xfId="0" applyFont="1" applyFill="1" applyBorder="1" applyAlignment="1">
      <alignment vertical="center" wrapText="1"/>
    </xf>
    <xf numFmtId="0" fontId="5" fillId="3" borderId="3" xfId="0" applyFont="1" applyFill="1" applyBorder="1" applyAlignment="1">
      <alignment vertical="center" wrapText="1"/>
    </xf>
    <xf numFmtId="0" fontId="5" fillId="3" borderId="0" xfId="0" applyFont="1" applyFill="1" applyAlignment="1">
      <alignment horizontal="center" vertical="center" wrapText="1"/>
    </xf>
    <xf numFmtId="0" fontId="3" fillId="3" borderId="23" xfId="0" applyFont="1" applyFill="1" applyBorder="1" applyAlignment="1">
      <alignment horizontal="center" vertical="center"/>
    </xf>
    <xf numFmtId="0" fontId="3" fillId="3" borderId="23" xfId="0" applyFont="1" applyFill="1" applyBorder="1" applyAlignment="1">
      <alignment vertical="center"/>
    </xf>
    <xf numFmtId="0" fontId="25" fillId="3" borderId="0" xfId="0" applyFont="1" applyFill="1" applyAlignment="1">
      <alignment horizontal="left" vertical="center" indent="3"/>
    </xf>
    <xf numFmtId="0" fontId="3" fillId="3" borderId="16" xfId="0" applyFont="1" applyFill="1" applyBorder="1" applyAlignment="1">
      <alignment horizontal="left" vertical="center" indent="1"/>
    </xf>
    <xf numFmtId="0" fontId="9" fillId="3" borderId="0" xfId="0" applyFont="1" applyFill="1" applyAlignment="1">
      <alignment horizontal="left" vertical="center" wrapText="1" indent="1"/>
    </xf>
    <xf numFmtId="0" fontId="3" fillId="3" borderId="16" xfId="0" applyFont="1" applyFill="1" applyBorder="1" applyAlignment="1">
      <alignment horizontal="left" indent="1"/>
    </xf>
    <xf numFmtId="0" fontId="9" fillId="3" borderId="16" xfId="0" applyFont="1" applyFill="1" applyBorder="1" applyAlignment="1">
      <alignment horizontal="left" vertical="center" indent="1"/>
    </xf>
    <xf numFmtId="0" fontId="3" fillId="3" borderId="21" xfId="0" applyFont="1" applyFill="1" applyBorder="1" applyAlignment="1">
      <alignment horizontal="left" vertical="center" indent="1"/>
    </xf>
    <xf numFmtId="0" fontId="22" fillId="3" borderId="0" xfId="0" applyFont="1" applyFill="1" applyAlignment="1">
      <alignment horizontal="center" vertical="top"/>
    </xf>
    <xf numFmtId="0" fontId="3" fillId="5" borderId="44" xfId="0" applyFont="1" applyFill="1" applyBorder="1" applyAlignment="1" applyProtection="1">
      <alignment vertical="center"/>
      <protection locked="0"/>
    </xf>
    <xf numFmtId="0" fontId="22" fillId="3" borderId="18" xfId="0" applyFont="1" applyFill="1" applyBorder="1" applyAlignment="1">
      <alignment horizontal="center" vertical="center" wrapText="1"/>
    </xf>
    <xf numFmtId="0" fontId="43" fillId="3" borderId="0" xfId="0" applyFont="1" applyFill="1"/>
    <xf numFmtId="0" fontId="22" fillId="3" borderId="4" xfId="0" applyFont="1" applyFill="1" applyBorder="1" applyAlignment="1">
      <alignment vertical="center"/>
    </xf>
    <xf numFmtId="0" fontId="22" fillId="3" borderId="32" xfId="0" applyFont="1" applyFill="1" applyBorder="1" applyAlignment="1">
      <alignment horizontal="center" vertical="top"/>
    </xf>
    <xf numFmtId="0" fontId="0" fillId="2" borderId="4" xfId="0" applyFill="1" applyBorder="1" applyAlignment="1">
      <alignment horizontal="left" vertical="center" indent="1"/>
    </xf>
    <xf numFmtId="0" fontId="3" fillId="5" borderId="11" xfId="0" applyFont="1" applyFill="1" applyBorder="1" applyAlignment="1" applyProtection="1">
      <alignment horizontal="left" vertical="center" indent="1"/>
      <protection locked="0"/>
    </xf>
    <xf numFmtId="0" fontId="3" fillId="3" borderId="4" xfId="0" applyFont="1" applyFill="1" applyBorder="1" applyAlignment="1">
      <alignment horizontal="left" vertical="center" indent="1"/>
    </xf>
    <xf numFmtId="0" fontId="2" fillId="2" borderId="0" xfId="0" applyFont="1" applyFill="1" applyAlignment="1">
      <alignment horizontal="left" vertical="center" indent="1"/>
    </xf>
    <xf numFmtId="0" fontId="0" fillId="0" borderId="0" xfId="0" applyAlignment="1">
      <alignment horizontal="left" vertical="center" indent="1"/>
    </xf>
    <xf numFmtId="0" fontId="26" fillId="0" borderId="11" xfId="0" applyFont="1" applyBorder="1" applyAlignment="1">
      <alignment horizontal="left" vertical="center" indent="1"/>
    </xf>
    <xf numFmtId="0" fontId="24" fillId="3" borderId="11" xfId="0" applyFont="1" applyFill="1" applyBorder="1" applyAlignment="1">
      <alignment horizontal="left" vertical="center" indent="1"/>
    </xf>
    <xf numFmtId="0" fontId="3" fillId="3" borderId="0" xfId="0" applyFont="1" applyFill="1" applyAlignment="1" applyProtection="1">
      <alignment horizontal="left" vertical="center" indent="1"/>
      <protection locked="0"/>
    </xf>
    <xf numFmtId="49" fontId="3" fillId="5" borderId="11" xfId="0" applyNumberFormat="1" applyFont="1" applyFill="1" applyBorder="1" applyAlignment="1" applyProtection="1">
      <alignment horizontal="left" vertical="center" indent="1"/>
      <protection locked="0"/>
    </xf>
    <xf numFmtId="0" fontId="3" fillId="0" borderId="0" xfId="0" applyFont="1" applyAlignment="1" applyProtection="1">
      <alignment horizontal="left" vertical="center" indent="1"/>
      <protection locked="0"/>
    </xf>
    <xf numFmtId="0" fontId="3" fillId="5" borderId="11" xfId="0" applyFont="1" applyFill="1" applyBorder="1" applyAlignment="1" applyProtection="1">
      <alignment horizontal="center" vertical="center"/>
      <protection locked="0"/>
    </xf>
    <xf numFmtId="0" fontId="39" fillId="14" borderId="16" xfId="0" applyFont="1" applyFill="1" applyBorder="1" applyAlignment="1" applyProtection="1">
      <alignment horizontal="center" vertical="center"/>
      <protection locked="0" hidden="1"/>
      <extLst>
        <ext xmlns:xfpb="http://schemas.microsoft.com/office/spreadsheetml/2022/featurepropertybag" uri="{C7286773-470A-42A8-94C5-96B5CB345126}">
          <xfpb:xfComplement i="0"/>
        </ext>
      </extLst>
    </xf>
    <xf numFmtId="0" fontId="3" fillId="0" borderId="46" xfId="0" applyFont="1" applyBorder="1" applyAlignment="1">
      <alignment horizontal="left" vertical="center" indent="1"/>
    </xf>
    <xf numFmtId="0" fontId="0" fillId="3" borderId="0" xfId="0" applyFill="1"/>
    <xf numFmtId="0" fontId="47" fillId="2" borderId="0" xfId="0" applyFont="1" applyFill="1"/>
    <xf numFmtId="0" fontId="48" fillId="2" borderId="0" xfId="0" applyFont="1" applyFill="1" applyAlignment="1">
      <alignment vertical="center"/>
    </xf>
    <xf numFmtId="0" fontId="47" fillId="0" borderId="0" xfId="0" applyFont="1"/>
    <xf numFmtId="0" fontId="47" fillId="0" borderId="11" xfId="0" applyFont="1" applyBorder="1"/>
    <xf numFmtId="0" fontId="49" fillId="2" borderId="0" xfId="0" applyFont="1" applyFill="1" applyAlignment="1" applyProtection="1">
      <alignment vertical="center"/>
      <protection locked="0" hidden="1"/>
    </xf>
    <xf numFmtId="0" fontId="39" fillId="14" borderId="18" xfId="0" applyFont="1" applyFill="1" applyBorder="1" applyAlignment="1" applyProtection="1">
      <alignment horizontal="center" vertical="center"/>
      <protection locked="0" hidden="1"/>
      <extLst>
        <ext xmlns:xfpb="http://schemas.microsoft.com/office/spreadsheetml/2022/featurepropertybag" uri="{C7286773-470A-42A8-94C5-96B5CB345126}">
          <xfpb:xfComplement i="0"/>
        </ext>
      </extLst>
    </xf>
    <xf numFmtId="0" fontId="3" fillId="5" borderId="9" xfId="0" applyFont="1" applyFill="1" applyBorder="1" applyAlignment="1" applyProtection="1">
      <alignment vertical="center"/>
      <protection locked="0"/>
    </xf>
    <xf numFmtId="0" fontId="3" fillId="13" borderId="9" xfId="0" applyFont="1" applyFill="1" applyBorder="1" applyAlignment="1" applyProtection="1">
      <alignment vertical="center"/>
      <protection locked="0"/>
    </xf>
    <xf numFmtId="0" fontId="12" fillId="0" borderId="13" xfId="0" applyFont="1" applyBorder="1" applyAlignment="1">
      <alignment horizontal="center" vertical="center" wrapText="1"/>
    </xf>
    <xf numFmtId="0" fontId="51" fillId="0" borderId="13" xfId="0" applyFont="1" applyBorder="1" applyAlignment="1">
      <alignment horizontal="center" vertical="center" wrapText="1"/>
    </xf>
    <xf numFmtId="0" fontId="22" fillId="3" borderId="1" xfId="0" applyFont="1" applyFill="1" applyBorder="1" applyAlignment="1">
      <alignment horizontal="center" vertical="center"/>
    </xf>
    <xf numFmtId="0" fontId="50" fillId="3" borderId="0" xfId="0" applyFont="1" applyFill="1" applyAlignment="1">
      <alignment vertical="center" wrapText="1"/>
    </xf>
    <xf numFmtId="0" fontId="50" fillId="3" borderId="4" xfId="0" applyFont="1" applyFill="1" applyBorder="1" applyAlignment="1">
      <alignment vertical="center" wrapText="1"/>
    </xf>
    <xf numFmtId="0" fontId="3" fillId="6" borderId="5" xfId="0" applyFont="1" applyFill="1" applyBorder="1" applyAlignment="1">
      <alignment vertical="center"/>
    </xf>
    <xf numFmtId="0" fontId="3" fillId="6" borderId="9" xfId="0" applyFont="1" applyFill="1" applyBorder="1" applyAlignment="1">
      <alignment vertical="center"/>
    </xf>
    <xf numFmtId="0" fontId="3" fillId="13" borderId="5" xfId="0" applyFont="1" applyFill="1" applyBorder="1" applyAlignment="1" applyProtection="1">
      <alignment vertical="center"/>
      <protection locked="0"/>
    </xf>
    <xf numFmtId="0" fontId="3" fillId="13" borderId="9" xfId="0" applyFont="1" applyFill="1" applyBorder="1" applyAlignment="1" applyProtection="1">
      <alignment vertical="center"/>
      <protection locked="0"/>
    </xf>
    <xf numFmtId="0" fontId="3" fillId="0" borderId="41" xfId="0" applyFont="1" applyBorder="1" applyAlignment="1">
      <alignment horizontal="center" vertical="center"/>
    </xf>
    <xf numFmtId="0" fontId="3" fillId="0" borderId="39" xfId="0" applyFont="1" applyBorder="1" applyAlignment="1">
      <alignment horizontal="center" vertical="center"/>
    </xf>
    <xf numFmtId="0" fontId="3" fillId="5" borderId="5" xfId="0" applyFont="1" applyFill="1" applyBorder="1" applyAlignment="1" applyProtection="1">
      <alignment vertical="center"/>
      <protection locked="0"/>
    </xf>
    <xf numFmtId="0" fontId="3" fillId="5" borderId="9" xfId="0" applyFont="1" applyFill="1" applyBorder="1" applyAlignment="1" applyProtection="1">
      <alignment vertical="center"/>
      <protection locked="0"/>
    </xf>
    <xf numFmtId="0" fontId="10" fillId="7" borderId="16" xfId="0" applyFont="1" applyFill="1" applyBorder="1" applyAlignment="1">
      <alignment vertical="center"/>
    </xf>
    <xf numFmtId="0" fontId="3" fillId="3" borderId="40" xfId="0" applyFont="1" applyFill="1" applyBorder="1" applyAlignment="1">
      <alignment horizontal="center" vertical="center"/>
    </xf>
    <xf numFmtId="0" fontId="3" fillId="3" borderId="19" xfId="0" applyFont="1" applyFill="1" applyBorder="1" applyAlignment="1">
      <alignment horizontal="center" vertical="center"/>
    </xf>
    <xf numFmtId="0" fontId="42" fillId="0" borderId="30" xfId="0" applyFont="1" applyBorder="1" applyAlignment="1">
      <alignment horizontal="center" vertical="center"/>
    </xf>
    <xf numFmtId="0" fontId="42" fillId="0" borderId="31" xfId="0" applyFont="1" applyBorder="1" applyAlignment="1">
      <alignment horizontal="center" vertical="center"/>
    </xf>
    <xf numFmtId="0" fontId="42" fillId="0" borderId="25" xfId="0" applyFont="1" applyBorder="1" applyAlignment="1">
      <alignment horizontal="center" vertical="center"/>
    </xf>
    <xf numFmtId="0" fontId="42" fillId="0" borderId="17" xfId="0" applyFont="1" applyBorder="1" applyAlignment="1">
      <alignment horizontal="center" vertical="center"/>
    </xf>
    <xf numFmtId="0" fontId="5" fillId="0" borderId="1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5" borderId="41" xfId="0" applyFont="1" applyFill="1" applyBorder="1" applyAlignment="1" applyProtection="1">
      <alignment vertical="center"/>
      <protection locked="0"/>
    </xf>
    <xf numFmtId="0" fontId="3" fillId="5" borderId="39" xfId="0" applyFont="1" applyFill="1" applyBorder="1" applyAlignment="1" applyProtection="1">
      <alignment vertical="center"/>
      <protection locked="0"/>
    </xf>
    <xf numFmtId="0" fontId="12" fillId="0" borderId="42" xfId="0" applyFont="1" applyBorder="1" applyAlignment="1">
      <alignment horizontal="center" vertical="center" wrapText="1"/>
    </xf>
    <xf numFmtId="0" fontId="12" fillId="0" borderId="19" xfId="0" applyFont="1" applyBorder="1" applyAlignment="1">
      <alignment horizontal="center" vertical="center"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22" fillId="3" borderId="0" xfId="0" applyFont="1" applyFill="1" applyAlignment="1">
      <alignment horizontal="center" vertical="center" wrapText="1"/>
    </xf>
    <xf numFmtId="0" fontId="44" fillId="4" borderId="1" xfId="0" applyFont="1" applyFill="1" applyBorder="1" applyAlignment="1">
      <alignment horizontal="left" vertical="center" indent="1"/>
    </xf>
    <xf numFmtId="0" fontId="44" fillId="4" borderId="2" xfId="0" applyFont="1" applyFill="1" applyBorder="1" applyAlignment="1">
      <alignment horizontal="left" vertical="center" indent="1"/>
    </xf>
    <xf numFmtId="0" fontId="7" fillId="11" borderId="16" xfId="0" applyFont="1" applyFill="1" applyBorder="1" applyAlignment="1">
      <alignment horizontal="left" vertical="center" indent="1"/>
    </xf>
    <xf numFmtId="0" fontId="7" fillId="11" borderId="17" xfId="0" applyFont="1" applyFill="1" applyBorder="1" applyAlignment="1">
      <alignment horizontal="left" vertical="center" indent="1"/>
    </xf>
    <xf numFmtId="0" fontId="3" fillId="5" borderId="5" xfId="0" applyFont="1" applyFill="1" applyBorder="1" applyAlignment="1" applyProtection="1">
      <alignment horizontal="center" vertical="center"/>
      <protection locked="0"/>
    </xf>
    <xf numFmtId="0" fontId="3" fillId="5" borderId="9" xfId="0" applyFont="1" applyFill="1" applyBorder="1" applyAlignment="1" applyProtection="1">
      <alignment horizontal="center" vertical="center"/>
      <protection locked="0"/>
    </xf>
    <xf numFmtId="0" fontId="3" fillId="5" borderId="5" xfId="0" applyFont="1" applyFill="1" applyBorder="1" applyAlignment="1" applyProtection="1">
      <alignment horizontal="center" vertical="center" wrapText="1"/>
      <protection locked="0"/>
    </xf>
    <xf numFmtId="0" fontId="3" fillId="5" borderId="9" xfId="0" applyFont="1" applyFill="1" applyBorder="1" applyAlignment="1" applyProtection="1">
      <alignment horizontal="center" vertical="center" wrapText="1"/>
      <protection locked="0"/>
    </xf>
    <xf numFmtId="0" fontId="50" fillId="3" borderId="0" xfId="0" applyFont="1" applyFill="1" applyAlignment="1">
      <alignment horizontal="left" vertical="center" wrapText="1"/>
    </xf>
    <xf numFmtId="0" fontId="50" fillId="3" borderId="4" xfId="0" applyFont="1" applyFill="1" applyBorder="1" applyAlignment="1">
      <alignment horizontal="left" vertical="center" wrapText="1"/>
    </xf>
    <xf numFmtId="0" fontId="10" fillId="3" borderId="18" xfId="0" applyFont="1" applyFill="1" applyBorder="1" applyAlignment="1">
      <alignment horizontal="left" vertical="center" wrapText="1" indent="1"/>
    </xf>
    <xf numFmtId="0" fontId="10" fillId="3" borderId="0" xfId="0" applyFont="1" applyFill="1" applyAlignment="1">
      <alignment horizontal="left" vertical="center" wrapText="1" indent="1"/>
    </xf>
    <xf numFmtId="0" fontId="40" fillId="0" borderId="2" xfId="0" applyFont="1" applyBorder="1" applyAlignment="1">
      <alignment horizontal="center" vertical="center"/>
    </xf>
    <xf numFmtId="0" fontId="40" fillId="0" borderId="3" xfId="0" applyFont="1" applyBorder="1" applyAlignment="1">
      <alignment horizontal="center" vertical="center"/>
    </xf>
    <xf numFmtId="0" fontId="3" fillId="5" borderId="1" xfId="0" applyFont="1" applyFill="1" applyBorder="1" applyAlignment="1" applyProtection="1">
      <alignment horizontal="center" vertical="center"/>
      <protection locked="0"/>
    </xf>
    <xf numFmtId="0" fontId="3" fillId="5" borderId="2" xfId="0" applyFont="1" applyFill="1" applyBorder="1" applyAlignment="1" applyProtection="1">
      <alignment horizontal="center" vertical="center"/>
      <protection locked="0"/>
    </xf>
    <xf numFmtId="0" fontId="3" fillId="5" borderId="3" xfId="0" applyFont="1" applyFill="1" applyBorder="1" applyAlignment="1" applyProtection="1">
      <alignment horizontal="center" vertical="center"/>
      <protection locked="0"/>
    </xf>
    <xf numFmtId="0" fontId="40" fillId="0" borderId="0" xfId="0" applyFont="1" applyAlignment="1">
      <alignment horizontal="center" vertical="center"/>
    </xf>
    <xf numFmtId="0" fontId="40" fillId="0" borderId="4" xfId="0" applyFont="1" applyBorder="1" applyAlignment="1">
      <alignment horizontal="center" vertical="center"/>
    </xf>
    <xf numFmtId="0" fontId="16" fillId="3" borderId="24" xfId="0" applyFont="1" applyFill="1" applyBorder="1" applyAlignment="1">
      <alignment horizontal="left" vertical="center" wrapText="1" indent="1"/>
    </xf>
    <xf numFmtId="0" fontId="16" fillId="3" borderId="31" xfId="0" applyFont="1" applyFill="1" applyBorder="1" applyAlignment="1">
      <alignment horizontal="left" vertical="center" wrapText="1" indent="1"/>
    </xf>
    <xf numFmtId="0" fontId="16" fillId="3" borderId="0" xfId="0" applyFont="1" applyFill="1" applyAlignment="1">
      <alignment horizontal="left" vertical="center" wrapText="1" indent="1"/>
    </xf>
    <xf numFmtId="0" fontId="16" fillId="3" borderId="4" xfId="0" applyFont="1" applyFill="1" applyBorder="1" applyAlignment="1">
      <alignment horizontal="left" vertical="center" wrapText="1" indent="1"/>
    </xf>
    <xf numFmtId="0" fontId="3" fillId="6" borderId="5" xfId="0" applyFont="1" applyFill="1" applyBorder="1" applyAlignment="1">
      <alignment horizontal="center" vertical="center"/>
    </xf>
    <xf numFmtId="0" fontId="3" fillId="6" borderId="9" xfId="0" applyFont="1" applyFill="1" applyBorder="1" applyAlignment="1">
      <alignment horizontal="center" vertical="center"/>
    </xf>
    <xf numFmtId="0" fontId="3" fillId="9" borderId="5" xfId="0" applyFont="1" applyFill="1" applyBorder="1" applyAlignment="1" applyProtection="1">
      <alignment horizontal="center" vertical="center"/>
      <protection locked="0"/>
    </xf>
    <xf numFmtId="0" fontId="3" fillId="9" borderId="9" xfId="0" applyFont="1" applyFill="1" applyBorder="1" applyAlignment="1" applyProtection="1">
      <alignment horizontal="center" vertical="center"/>
      <protection locked="0"/>
    </xf>
    <xf numFmtId="0" fontId="16" fillId="3" borderId="0" xfId="0" applyFont="1" applyFill="1" applyAlignment="1">
      <alignment horizontal="left" vertical="top" wrapText="1" indent="1"/>
    </xf>
    <xf numFmtId="0" fontId="16" fillId="3" borderId="4" xfId="0" applyFont="1" applyFill="1" applyBorder="1" applyAlignment="1">
      <alignment horizontal="left" vertical="top" wrapText="1" indent="1"/>
    </xf>
    <xf numFmtId="0" fontId="3" fillId="0" borderId="46" xfId="0" applyFont="1" applyBorder="1" applyAlignment="1">
      <alignment horizontal="left" vertical="center" indent="1"/>
    </xf>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8" borderId="5" xfId="0" applyFont="1" applyFill="1" applyBorder="1" applyAlignment="1" applyProtection="1">
      <alignment horizontal="center" vertical="center"/>
      <protection locked="0"/>
    </xf>
    <xf numFmtId="0" fontId="3" fillId="8" borderId="9" xfId="0" applyFont="1" applyFill="1" applyBorder="1" applyAlignment="1" applyProtection="1">
      <alignment horizontal="center" vertical="center"/>
      <protection locked="0"/>
    </xf>
    <xf numFmtId="0" fontId="3" fillId="13" borderId="5" xfId="0" applyFont="1" applyFill="1" applyBorder="1" applyAlignment="1" applyProtection="1">
      <alignment horizontal="center" vertical="center"/>
      <protection locked="0"/>
    </xf>
    <xf numFmtId="0" fontId="3" fillId="13" borderId="9" xfId="0" applyFont="1" applyFill="1" applyBorder="1" applyAlignment="1" applyProtection="1">
      <alignment horizontal="center" vertical="center"/>
      <protection locked="0"/>
    </xf>
    <xf numFmtId="0" fontId="13" fillId="6" borderId="0" xfId="0" applyFont="1" applyFill="1" applyAlignment="1">
      <alignment horizontal="center" vertical="center" wrapText="1"/>
    </xf>
    <xf numFmtId="0" fontId="7" fillId="4" borderId="1" xfId="0" applyFont="1" applyFill="1" applyBorder="1" applyAlignment="1">
      <alignment horizontal="left" vertical="center" indent="1"/>
    </xf>
    <xf numFmtId="0" fontId="7" fillId="4" borderId="2" xfId="0" applyFont="1" applyFill="1" applyBorder="1" applyAlignment="1">
      <alignment horizontal="left" vertical="center" indent="1"/>
    </xf>
    <xf numFmtId="0" fontId="40" fillId="0" borderId="1" xfId="0" applyFont="1" applyBorder="1" applyAlignment="1">
      <alignment horizontal="center" vertical="center"/>
    </xf>
    <xf numFmtId="0" fontId="3" fillId="5" borderId="41" xfId="0" applyFont="1" applyFill="1" applyBorder="1" applyAlignment="1" applyProtection="1">
      <alignment horizontal="center" vertical="center"/>
      <protection locked="0"/>
    </xf>
    <xf numFmtId="0" fontId="3" fillId="5" borderId="39" xfId="0" applyFont="1" applyFill="1" applyBorder="1" applyAlignment="1" applyProtection="1">
      <alignment horizontal="center" vertical="center"/>
      <protection locked="0"/>
    </xf>
    <xf numFmtId="0" fontId="3" fillId="5" borderId="45" xfId="0" applyFont="1" applyFill="1" applyBorder="1" applyAlignment="1" applyProtection="1">
      <alignment horizontal="center" vertical="center"/>
      <protection locked="0"/>
    </xf>
    <xf numFmtId="0" fontId="3" fillId="5" borderId="43" xfId="0" applyFont="1" applyFill="1" applyBorder="1" applyAlignment="1" applyProtection="1">
      <alignment horizontal="center" vertical="center"/>
      <protection locked="0"/>
    </xf>
    <xf numFmtId="0" fontId="3" fillId="13" borderId="34" xfId="0" applyFont="1" applyFill="1" applyBorder="1" applyAlignment="1" applyProtection="1">
      <alignment horizontal="center" vertical="center"/>
      <protection locked="0"/>
    </xf>
    <xf numFmtId="0" fontId="3" fillId="13" borderId="39" xfId="0" applyFont="1" applyFill="1" applyBorder="1" applyAlignment="1" applyProtection="1">
      <alignment horizontal="center" vertical="center"/>
      <protection locked="0"/>
    </xf>
    <xf numFmtId="0" fontId="3" fillId="0" borderId="18" xfId="0" applyFont="1" applyBorder="1" applyAlignment="1">
      <alignment horizontal="left" vertical="center" wrapText="1" indent="1"/>
    </xf>
    <xf numFmtId="0" fontId="3" fillId="0" borderId="0" xfId="0" applyFont="1" applyAlignment="1">
      <alignment horizontal="left" vertical="center" wrapText="1" indent="1"/>
    </xf>
    <xf numFmtId="0" fontId="3" fillId="0" borderId="4" xfId="0" applyFont="1" applyBorder="1" applyAlignment="1">
      <alignment horizontal="left" vertical="center" wrapText="1" indent="1"/>
    </xf>
    <xf numFmtId="0" fontId="3" fillId="9" borderId="42" xfId="0" applyFont="1" applyFill="1" applyBorder="1" applyAlignment="1" applyProtection="1">
      <alignment horizontal="center" vertical="center"/>
      <protection locked="0"/>
    </xf>
    <xf numFmtId="0" fontId="3" fillId="9" borderId="19" xfId="0" applyFont="1" applyFill="1" applyBorder="1" applyAlignment="1" applyProtection="1">
      <alignment horizontal="center" vertical="center"/>
      <protection locked="0"/>
    </xf>
    <xf numFmtId="0" fontId="16" fillId="6" borderId="27" xfId="0" applyFont="1" applyFill="1" applyBorder="1" applyAlignment="1">
      <alignment horizontal="left" vertical="center" wrapText="1" indent="1"/>
    </xf>
    <xf numFmtId="0" fontId="16" fillId="6" borderId="28" xfId="0" applyFont="1" applyFill="1" applyBorder="1" applyAlignment="1">
      <alignment horizontal="left" vertical="center" wrapText="1" indent="1"/>
    </xf>
    <xf numFmtId="0" fontId="16" fillId="6" borderId="29" xfId="0" applyFont="1" applyFill="1" applyBorder="1" applyAlignment="1">
      <alignment horizontal="left" vertical="center" wrapText="1" indent="1"/>
    </xf>
    <xf numFmtId="0" fontId="3" fillId="5" borderId="1" xfId="0" applyFont="1" applyFill="1" applyBorder="1" applyAlignment="1" applyProtection="1">
      <alignment horizontal="center" vertical="center" wrapText="1"/>
      <protection locked="0"/>
    </xf>
    <xf numFmtId="0" fontId="3" fillId="5" borderId="2" xfId="0" applyFont="1" applyFill="1" applyBorder="1" applyAlignment="1" applyProtection="1">
      <alignment horizontal="center" vertical="center" wrapText="1"/>
      <protection locked="0"/>
    </xf>
    <xf numFmtId="0" fontId="3" fillId="5" borderId="3" xfId="0" applyFont="1" applyFill="1" applyBorder="1" applyAlignment="1" applyProtection="1">
      <alignment horizontal="center" vertical="center" wrapText="1"/>
      <protection locked="0"/>
    </xf>
    <xf numFmtId="0" fontId="3" fillId="5" borderId="42" xfId="0" applyFont="1" applyFill="1" applyBorder="1" applyAlignment="1" applyProtection="1">
      <alignment vertical="center"/>
      <protection locked="0"/>
    </xf>
    <xf numFmtId="0" fontId="3" fillId="5" borderId="19" xfId="0" applyFont="1" applyFill="1" applyBorder="1" applyAlignment="1" applyProtection="1">
      <alignment vertical="center"/>
      <protection locked="0"/>
    </xf>
    <xf numFmtId="0" fontId="3" fillId="3" borderId="0" xfId="0" applyFont="1" applyFill="1" applyAlignment="1">
      <alignment horizontal="left"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1" fontId="3" fillId="5" borderId="1" xfId="2" applyNumberFormat="1" applyFont="1" applyFill="1" applyBorder="1" applyAlignment="1" applyProtection="1">
      <alignment horizontal="center" vertical="center"/>
      <protection locked="0"/>
    </xf>
    <xf numFmtId="1" fontId="3" fillId="5" borderId="3" xfId="2" applyNumberFormat="1" applyFont="1" applyFill="1" applyBorder="1" applyAlignment="1" applyProtection="1">
      <alignment horizontal="center" vertical="center"/>
      <protection locked="0"/>
    </xf>
    <xf numFmtId="0" fontId="32" fillId="3" borderId="0" xfId="0" applyFont="1" applyFill="1" applyAlignment="1">
      <alignment horizontal="left" vertical="center" wrapText="1"/>
    </xf>
    <xf numFmtId="0" fontId="32" fillId="3" borderId="4" xfId="0" applyFont="1" applyFill="1" applyBorder="1" applyAlignment="1">
      <alignment horizontal="left" vertical="center" wrapText="1"/>
    </xf>
    <xf numFmtId="0" fontId="3" fillId="3" borderId="18" xfId="0" applyFont="1" applyFill="1" applyBorder="1" applyAlignment="1">
      <alignment horizontal="left" vertical="center" wrapText="1" indent="1"/>
    </xf>
    <xf numFmtId="0" fontId="3" fillId="3" borderId="0" xfId="0" applyFont="1" applyFill="1" applyAlignment="1">
      <alignment horizontal="left" vertical="center" wrapText="1" indent="1"/>
    </xf>
    <xf numFmtId="0" fontId="3" fillId="3" borderId="4" xfId="0" applyFont="1" applyFill="1" applyBorder="1" applyAlignment="1">
      <alignment horizontal="left" vertical="center" wrapText="1" indent="1"/>
    </xf>
    <xf numFmtId="0" fontId="9" fillId="3" borderId="16" xfId="0" applyFont="1" applyFill="1" applyBorder="1" applyAlignment="1">
      <alignment horizontal="center" vertical="center"/>
    </xf>
    <xf numFmtId="0" fontId="5" fillId="0" borderId="5" xfId="0" applyFont="1" applyBorder="1" applyAlignment="1">
      <alignment horizontal="left" vertical="center" wrapText="1" indent="1"/>
    </xf>
    <xf numFmtId="0" fontId="5" fillId="0" borderId="8" xfId="0" applyFont="1" applyBorder="1" applyAlignment="1">
      <alignment horizontal="left" vertical="center" wrapText="1" indent="1"/>
    </xf>
    <xf numFmtId="0" fontId="5" fillId="0" borderId="6" xfId="0" applyFont="1" applyBorder="1" applyAlignment="1">
      <alignment horizontal="left" vertical="center" wrapText="1" indent="1"/>
    </xf>
    <xf numFmtId="0" fontId="3" fillId="5" borderId="5" xfId="0" applyFont="1" applyFill="1" applyBorder="1" applyAlignment="1" applyProtection="1">
      <alignment horizontal="left" vertical="center"/>
      <protection locked="0"/>
    </xf>
    <xf numFmtId="0" fontId="3" fillId="5" borderId="8" xfId="0" applyFont="1" applyFill="1" applyBorder="1" applyAlignment="1" applyProtection="1">
      <alignment horizontal="left" vertical="center"/>
      <protection locked="0"/>
    </xf>
    <xf numFmtId="0" fontId="3" fillId="5" borderId="6" xfId="0" applyFont="1" applyFill="1" applyBorder="1" applyAlignment="1" applyProtection="1">
      <alignment horizontal="left" vertical="center"/>
      <protection locked="0"/>
    </xf>
    <xf numFmtId="0" fontId="3" fillId="5" borderId="11" xfId="0" applyFont="1" applyFill="1" applyBorder="1" applyAlignment="1" applyProtection="1">
      <alignment horizontal="center" vertical="center" wrapText="1"/>
      <protection locked="0"/>
    </xf>
    <xf numFmtId="0" fontId="3" fillId="5" borderId="7" xfId="0" applyFont="1" applyFill="1" applyBorder="1" applyAlignment="1" applyProtection="1">
      <alignment horizontal="left" vertical="center"/>
      <protection locked="0"/>
    </xf>
    <xf numFmtId="0" fontId="5" fillId="0" borderId="5" xfId="0" applyFont="1" applyBorder="1" applyAlignment="1">
      <alignment horizontal="left" vertical="center" indent="1"/>
    </xf>
    <xf numFmtId="0" fontId="5" fillId="0" borderId="8" xfId="0" applyFont="1" applyBorder="1" applyAlignment="1">
      <alignment horizontal="left" vertical="center" indent="1"/>
    </xf>
    <xf numFmtId="0" fontId="5" fillId="0" borderId="6" xfId="0" applyFont="1" applyBorder="1" applyAlignment="1">
      <alignment horizontal="left" vertical="center" indent="1"/>
    </xf>
    <xf numFmtId="0" fontId="7" fillId="11" borderId="1" xfId="0" applyFont="1" applyFill="1" applyBorder="1" applyAlignment="1">
      <alignment horizontal="left" vertical="center" indent="1"/>
    </xf>
    <xf numFmtId="0" fontId="7" fillId="11" borderId="2" xfId="0" applyFont="1" applyFill="1" applyBorder="1" applyAlignment="1">
      <alignment horizontal="left" vertical="center" indent="1"/>
    </xf>
    <xf numFmtId="0" fontId="7" fillId="11" borderId="3" xfId="0" applyFont="1" applyFill="1" applyBorder="1" applyAlignment="1">
      <alignment horizontal="left" vertical="center" indent="1"/>
    </xf>
    <xf numFmtId="0" fontId="9" fillId="0" borderId="20" xfId="0" applyFont="1" applyBorder="1" applyAlignment="1">
      <alignment horizontal="left" vertical="center"/>
    </xf>
    <xf numFmtId="0" fontId="9" fillId="0" borderId="21" xfId="0" applyFont="1" applyBorder="1" applyAlignment="1">
      <alignment horizontal="left" vertical="center"/>
    </xf>
    <xf numFmtId="0" fontId="9" fillId="0" borderId="22" xfId="0" applyFont="1" applyBorder="1" applyAlignment="1">
      <alignment horizontal="left" vertical="center"/>
    </xf>
    <xf numFmtId="0" fontId="3" fillId="3" borderId="36" xfId="0" applyFont="1" applyFill="1" applyBorder="1" applyAlignment="1">
      <alignment horizontal="left" vertical="center" wrapText="1"/>
    </xf>
    <xf numFmtId="0" fontId="3" fillId="3" borderId="34" xfId="0" applyFont="1" applyFill="1" applyBorder="1" applyAlignment="1">
      <alignment horizontal="left" vertical="center" wrapText="1"/>
    </xf>
    <xf numFmtId="0" fontId="3" fillId="3" borderId="35" xfId="0" applyFont="1" applyFill="1" applyBorder="1" applyAlignment="1">
      <alignment horizontal="left" vertical="center" wrapText="1"/>
    </xf>
    <xf numFmtId="0" fontId="7" fillId="11" borderId="25" xfId="0" applyFont="1" applyFill="1" applyBorder="1" applyAlignment="1">
      <alignment horizontal="left" vertical="center" indent="1"/>
    </xf>
    <xf numFmtId="0" fontId="16" fillId="3" borderId="18" xfId="0" applyFont="1" applyFill="1" applyBorder="1" applyAlignment="1">
      <alignment horizontal="left" vertical="top" wrapText="1" indent="1"/>
    </xf>
    <xf numFmtId="0" fontId="3" fillId="6" borderId="0" xfId="0" applyFont="1" applyFill="1" applyAlignment="1">
      <alignment horizontal="center" vertical="center" wrapText="1"/>
    </xf>
    <xf numFmtId="0" fontId="16" fillId="3" borderId="23" xfId="0" applyFont="1" applyFill="1" applyBorder="1" applyAlignment="1">
      <alignment horizontal="left" vertical="top" wrapText="1" indent="1"/>
    </xf>
    <xf numFmtId="0" fontId="3" fillId="0" borderId="11" xfId="0" applyFont="1" applyBorder="1" applyAlignment="1">
      <alignment horizontal="center"/>
    </xf>
    <xf numFmtId="0" fontId="7" fillId="4" borderId="30" xfId="0" applyFont="1" applyFill="1" applyBorder="1" applyAlignment="1">
      <alignment horizontal="left" vertical="center" indent="1"/>
    </xf>
    <xf numFmtId="0" fontId="7" fillId="4" borderId="24" xfId="0" applyFont="1" applyFill="1" applyBorder="1" applyAlignment="1">
      <alignment horizontal="left" vertical="center" indent="1"/>
    </xf>
    <xf numFmtId="0" fontId="16" fillId="3" borderId="18" xfId="0" applyFont="1" applyFill="1" applyBorder="1" applyAlignment="1">
      <alignment horizontal="center" vertical="center" wrapText="1"/>
    </xf>
    <xf numFmtId="0" fontId="16" fillId="3" borderId="0" xfId="0" applyFont="1" applyFill="1" applyAlignment="1">
      <alignment horizontal="center" vertical="center" wrapText="1"/>
    </xf>
    <xf numFmtId="0" fontId="16" fillId="3" borderId="4"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3" fillId="5" borderId="46" xfId="0" applyFont="1" applyFill="1" applyBorder="1" applyAlignment="1" applyProtection="1">
      <alignment horizontal="center" vertical="center"/>
      <protection locked="0"/>
    </xf>
    <xf numFmtId="1" fontId="3" fillId="5" borderId="46" xfId="0" applyNumberFormat="1" applyFont="1" applyFill="1" applyBorder="1" applyAlignment="1" applyProtection="1">
      <alignment horizontal="center" vertical="center"/>
      <protection locked="0"/>
    </xf>
    <xf numFmtId="0" fontId="44" fillId="11" borderId="2" xfId="0" applyFont="1" applyFill="1" applyBorder="1" applyAlignment="1">
      <alignment horizontal="left" vertical="center" indent="1"/>
    </xf>
    <xf numFmtId="0" fontId="44" fillId="11" borderId="3" xfId="0" applyFont="1" applyFill="1" applyBorder="1" applyAlignment="1">
      <alignment horizontal="left" vertical="center" indent="1"/>
    </xf>
    <xf numFmtId="0" fontId="4" fillId="3" borderId="18" xfId="0" applyFont="1" applyFill="1" applyBorder="1" applyAlignment="1">
      <alignment horizontal="right" vertical="center" wrapText="1"/>
    </xf>
    <xf numFmtId="0" fontId="4" fillId="3" borderId="0" xfId="0" applyFont="1" applyFill="1" applyAlignment="1">
      <alignment horizontal="right" vertical="center" wrapText="1"/>
    </xf>
    <xf numFmtId="0" fontId="44" fillId="4" borderId="3" xfId="0" applyFont="1" applyFill="1" applyBorder="1" applyAlignment="1">
      <alignment horizontal="left" vertical="center" indent="1"/>
    </xf>
    <xf numFmtId="0" fontId="3" fillId="0" borderId="1" xfId="0" applyFont="1" applyBorder="1" applyAlignment="1">
      <alignment horizontal="left" vertical="center" wrapText="1" indent="1"/>
    </xf>
    <xf numFmtId="0" fontId="3" fillId="0" borderId="2" xfId="0" applyFont="1" applyBorder="1" applyAlignment="1">
      <alignment horizontal="left" vertical="center" wrapText="1" indent="1"/>
    </xf>
    <xf numFmtId="0" fontId="3" fillId="0" borderId="3" xfId="0" applyFont="1" applyBorder="1" applyAlignment="1">
      <alignment horizontal="left" vertical="center" wrapText="1" indent="1"/>
    </xf>
    <xf numFmtId="0" fontId="16" fillId="9" borderId="0" xfId="0" applyFont="1" applyFill="1" applyAlignment="1">
      <alignment horizontal="center" vertical="center" wrapText="1"/>
    </xf>
    <xf numFmtId="0" fontId="16" fillId="9" borderId="4" xfId="0" applyFont="1" applyFill="1" applyBorder="1" applyAlignment="1">
      <alignment horizontal="center" vertical="center" wrapText="1"/>
    </xf>
    <xf numFmtId="0" fontId="16" fillId="13" borderId="0" xfId="0" applyFont="1" applyFill="1" applyAlignment="1">
      <alignment horizontal="center" vertical="center" wrapText="1"/>
    </xf>
    <xf numFmtId="0" fontId="16" fillId="13" borderId="4"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4" xfId="0" applyFont="1" applyFill="1" applyBorder="1" applyAlignment="1">
      <alignment horizontal="center" vertical="center" wrapText="1"/>
    </xf>
    <xf numFmtId="0" fontId="41" fillId="3" borderId="0" xfId="0" applyFont="1" applyFill="1" applyAlignment="1">
      <alignment horizontal="center" vertical="center"/>
    </xf>
    <xf numFmtId="0" fontId="41" fillId="3" borderId="4" xfId="0" applyFont="1" applyFill="1" applyBorder="1" applyAlignment="1">
      <alignment horizontal="center" vertical="center"/>
    </xf>
    <xf numFmtId="0" fontId="3" fillId="3" borderId="24"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3" fillId="3" borderId="24" xfId="0" applyFont="1" applyFill="1" applyBorder="1" applyAlignment="1">
      <alignment horizontal="left"/>
    </xf>
    <xf numFmtId="0" fontId="3" fillId="3" borderId="31" xfId="0" applyFont="1" applyFill="1" applyBorder="1" applyAlignment="1">
      <alignment horizontal="left"/>
    </xf>
    <xf numFmtId="0" fontId="1" fillId="3" borderId="16" xfId="1" applyFill="1" applyBorder="1" applyAlignment="1" applyProtection="1">
      <alignment horizontal="left" vertical="center"/>
    </xf>
    <xf numFmtId="0" fontId="6" fillId="3" borderId="16" xfId="1" applyFont="1" applyFill="1" applyBorder="1" applyAlignment="1" applyProtection="1">
      <alignment horizontal="left" vertical="center"/>
    </xf>
    <xf numFmtId="0" fontId="6" fillId="3" borderId="17" xfId="1" applyFont="1" applyFill="1" applyBorder="1" applyAlignment="1" applyProtection="1">
      <alignment horizontal="left" vertical="center"/>
    </xf>
    <xf numFmtId="0" fontId="3" fillId="3" borderId="30" xfId="0" applyFont="1" applyFill="1" applyBorder="1" applyAlignment="1">
      <alignment horizontal="left" vertical="center" wrapText="1" indent="1"/>
    </xf>
    <xf numFmtId="0" fontId="3" fillId="3" borderId="24" xfId="0" applyFont="1" applyFill="1" applyBorder="1" applyAlignment="1">
      <alignment horizontal="left" vertical="center" wrapText="1" indent="1"/>
    </xf>
    <xf numFmtId="0" fontId="3" fillId="3" borderId="25" xfId="0" applyFont="1" applyFill="1" applyBorder="1" applyAlignment="1">
      <alignment horizontal="left" vertical="center" wrapText="1" indent="1"/>
    </xf>
    <xf numFmtId="0" fontId="3" fillId="3" borderId="16" xfId="0" applyFont="1" applyFill="1" applyBorder="1" applyAlignment="1">
      <alignment horizontal="left" vertical="center" wrapText="1" indent="1"/>
    </xf>
    <xf numFmtId="0" fontId="3" fillId="0" borderId="18" xfId="0" applyFont="1" applyBorder="1" applyAlignment="1">
      <alignment horizontal="left" vertical="top" wrapText="1" indent="1"/>
    </xf>
    <xf numFmtId="0" fontId="3" fillId="0" borderId="0" xfId="0" applyFont="1" applyAlignment="1">
      <alignment horizontal="left" vertical="top" wrapText="1" indent="1"/>
    </xf>
    <xf numFmtId="0" fontId="3" fillId="0" borderId="4" xfId="0" applyFont="1" applyBorder="1" applyAlignment="1">
      <alignment horizontal="left" vertical="top" wrapText="1" indent="1"/>
    </xf>
    <xf numFmtId="0" fontId="9" fillId="0" borderId="18" xfId="0" applyFont="1" applyBorder="1" applyAlignment="1">
      <alignment horizontal="center" vertical="center" wrapText="1"/>
    </xf>
    <xf numFmtId="0" fontId="9" fillId="0" borderId="0" xfId="0" applyFont="1" applyAlignment="1">
      <alignment horizontal="center" vertical="center" wrapText="1"/>
    </xf>
    <xf numFmtId="3" fontId="3" fillId="5" borderId="11" xfId="0" applyNumberFormat="1" applyFont="1" applyFill="1" applyBorder="1" applyAlignment="1" applyProtection="1">
      <alignment horizontal="center" vertical="center"/>
      <protection locked="0"/>
    </xf>
    <xf numFmtId="0" fontId="3" fillId="5" borderId="11" xfId="0" applyFont="1" applyFill="1" applyBorder="1" applyAlignment="1" applyProtection="1">
      <alignment horizontal="center" vertical="center"/>
      <protection locked="0"/>
    </xf>
    <xf numFmtId="0" fontId="53" fillId="3" borderId="0" xfId="0" applyFont="1" applyFill="1" applyAlignment="1">
      <alignment horizontal="left" vertical="top" wrapText="1" indent="1"/>
    </xf>
    <xf numFmtId="0" fontId="53" fillId="3" borderId="4" xfId="0" applyFont="1" applyFill="1" applyBorder="1" applyAlignment="1">
      <alignment horizontal="left" vertical="top" wrapText="1" indent="1"/>
    </xf>
    <xf numFmtId="0" fontId="53" fillId="3" borderId="23" xfId="0" applyFont="1" applyFill="1" applyBorder="1" applyAlignment="1">
      <alignment horizontal="left" vertical="top" wrapText="1" indent="1"/>
    </xf>
    <xf numFmtId="14" fontId="3" fillId="5" borderId="11" xfId="0" applyNumberFormat="1" applyFont="1" applyFill="1" applyBorder="1" applyAlignment="1" applyProtection="1">
      <alignment horizontal="center" vertical="center"/>
      <protection locked="0"/>
    </xf>
    <xf numFmtId="0" fontId="10" fillId="7" borderId="16" xfId="0" applyFont="1" applyFill="1" applyBorder="1" applyAlignment="1">
      <alignment horizontal="left" vertical="center"/>
    </xf>
    <xf numFmtId="0" fontId="9" fillId="0" borderId="11" xfId="0" applyFont="1" applyBorder="1" applyAlignment="1">
      <alignment horizontal="center" vertical="center" wrapText="1"/>
    </xf>
    <xf numFmtId="0" fontId="16" fillId="3" borderId="18" xfId="0" applyFont="1" applyFill="1" applyBorder="1" applyAlignment="1">
      <alignment horizontal="left" vertical="center" wrapText="1" indent="2"/>
    </xf>
    <xf numFmtId="0" fontId="16" fillId="3" borderId="0" xfId="0" applyFont="1" applyFill="1" applyAlignment="1">
      <alignment horizontal="left" vertical="center" wrapText="1" indent="2"/>
    </xf>
    <xf numFmtId="0" fontId="16" fillId="3" borderId="4" xfId="0" applyFont="1" applyFill="1" applyBorder="1" applyAlignment="1">
      <alignment horizontal="left" vertical="center" wrapText="1" indent="2"/>
    </xf>
    <xf numFmtId="0" fontId="31" fillId="4" borderId="11" xfId="0" applyFont="1" applyFill="1" applyBorder="1" applyAlignment="1">
      <alignment horizontal="left" vertical="center" indent="1"/>
    </xf>
    <xf numFmtId="0" fontId="16" fillId="3" borderId="33" xfId="0" applyFont="1" applyFill="1" applyBorder="1" applyAlignment="1">
      <alignment horizontal="left" vertical="center" wrapText="1"/>
    </xf>
    <xf numFmtId="0" fontId="16" fillId="3" borderId="34" xfId="0" applyFont="1" applyFill="1" applyBorder="1" applyAlignment="1">
      <alignment horizontal="left" vertical="center" wrapText="1"/>
    </xf>
    <xf numFmtId="0" fontId="40" fillId="12" borderId="10" xfId="0" applyFont="1" applyFill="1" applyBorder="1" applyAlignment="1">
      <alignment horizontal="center" vertical="center"/>
    </xf>
    <xf numFmtId="0" fontId="22" fillId="3" borderId="1" xfId="0" applyFont="1" applyFill="1" applyBorder="1" applyAlignment="1">
      <alignment horizontal="center" vertical="center" wrapText="1"/>
    </xf>
    <xf numFmtId="0" fontId="22" fillId="3" borderId="2" xfId="0" applyFont="1" applyFill="1" applyBorder="1" applyAlignment="1">
      <alignment horizontal="center" vertical="center" wrapText="1"/>
    </xf>
    <xf numFmtId="0" fontId="10" fillId="7" borderId="0" xfId="0" applyFont="1" applyFill="1" applyAlignment="1">
      <alignment vertical="center"/>
    </xf>
    <xf numFmtId="0" fontId="40" fillId="0" borderId="18" xfId="0" applyFont="1" applyBorder="1" applyAlignment="1">
      <alignment horizontal="right" vertical="center" wrapText="1" indent="1"/>
    </xf>
    <xf numFmtId="0" fontId="40" fillId="0" borderId="0" xfId="0" applyFont="1" applyAlignment="1">
      <alignment horizontal="right" vertical="center" wrapText="1" indent="1"/>
    </xf>
    <xf numFmtId="0" fontId="40" fillId="0" borderId="38" xfId="0" applyFont="1" applyBorder="1" applyAlignment="1">
      <alignment horizontal="right" vertical="center" wrapText="1" indent="1"/>
    </xf>
    <xf numFmtId="0" fontId="16" fillId="3" borderId="16" xfId="0" applyFont="1" applyFill="1" applyBorder="1" applyAlignment="1">
      <alignment horizontal="left" vertical="center" wrapText="1" indent="1"/>
    </xf>
    <xf numFmtId="0" fontId="16" fillId="3" borderId="17" xfId="0" applyFont="1" applyFill="1" applyBorder="1" applyAlignment="1">
      <alignment horizontal="left" vertical="center" wrapText="1" indent="1"/>
    </xf>
    <xf numFmtId="0" fontId="3" fillId="3" borderId="36" xfId="0" applyFont="1" applyFill="1" applyBorder="1" applyAlignment="1">
      <alignment horizontal="center" vertical="center" wrapText="1"/>
    </xf>
    <xf numFmtId="0" fontId="3" fillId="3" borderId="39" xfId="0" applyFont="1" applyFill="1" applyBorder="1" applyAlignment="1">
      <alignment horizontal="center" vertical="center" wrapText="1"/>
    </xf>
    <xf numFmtId="0" fontId="40" fillId="3" borderId="2" xfId="0" applyFont="1" applyFill="1" applyBorder="1" applyAlignment="1">
      <alignment horizontal="center" vertical="center" wrapText="1"/>
    </xf>
    <xf numFmtId="0" fontId="10" fillId="14" borderId="0" xfId="0" applyFont="1" applyFill="1" applyAlignment="1">
      <alignment vertical="center"/>
    </xf>
    <xf numFmtId="0" fontId="7" fillId="4" borderId="11" xfId="0" applyFont="1" applyFill="1" applyBorder="1" applyAlignment="1">
      <alignment horizontal="left" vertical="center" indent="1"/>
    </xf>
    <xf numFmtId="0" fontId="3" fillId="0" borderId="1" xfId="0" applyFont="1" applyBorder="1" applyAlignment="1">
      <alignment horizontal="left" vertical="center" indent="1"/>
    </xf>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3" fillId="3" borderId="36" xfId="0" applyFont="1" applyFill="1" applyBorder="1" applyAlignment="1">
      <alignment horizontal="center" vertical="center"/>
    </xf>
    <xf numFmtId="0" fontId="3" fillId="3" borderId="39" xfId="0" applyFont="1" applyFill="1" applyBorder="1" applyAlignment="1">
      <alignment horizontal="center" vertical="center"/>
    </xf>
    <xf numFmtId="0" fontId="3" fillId="3" borderId="20"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6" xfId="0" applyFont="1" applyFill="1" applyBorder="1" applyAlignment="1">
      <alignment horizontal="center" vertical="center"/>
    </xf>
    <xf numFmtId="0" fontId="40" fillId="3" borderId="3" xfId="0" applyFont="1" applyFill="1" applyBorder="1" applyAlignment="1">
      <alignment horizontal="center" vertical="center" wrapText="1"/>
    </xf>
    <xf numFmtId="0" fontId="44" fillId="4" borderId="30" xfId="0" applyFont="1" applyFill="1" applyBorder="1" applyAlignment="1">
      <alignment horizontal="left" vertical="center" indent="1"/>
    </xf>
    <xf numFmtId="0" fontId="44" fillId="4" borderId="24" xfId="0" applyFont="1" applyFill="1" applyBorder="1" applyAlignment="1">
      <alignment horizontal="left" vertical="center" indent="1"/>
    </xf>
    <xf numFmtId="0" fontId="40" fillId="3" borderId="2" xfId="0" applyFont="1" applyFill="1" applyBorder="1" applyAlignment="1">
      <alignment horizontal="center" vertical="center"/>
    </xf>
    <xf numFmtId="0" fontId="40" fillId="3" borderId="3" xfId="0" applyFont="1" applyFill="1" applyBorder="1" applyAlignment="1">
      <alignment horizontal="center" vertical="center"/>
    </xf>
    <xf numFmtId="0" fontId="40" fillId="3" borderId="47" xfId="0" applyFont="1" applyFill="1" applyBorder="1" applyAlignment="1">
      <alignment horizontal="center" vertical="center"/>
    </xf>
    <xf numFmtId="0" fontId="52" fillId="3" borderId="47" xfId="0" applyFont="1" applyFill="1" applyBorder="1" applyAlignment="1">
      <alignment horizontal="center" vertical="center"/>
    </xf>
    <xf numFmtId="0" fontId="52" fillId="3" borderId="48" xfId="0" applyFont="1" applyFill="1" applyBorder="1" applyAlignment="1">
      <alignment horizontal="center" vertical="center"/>
    </xf>
    <xf numFmtId="0" fontId="22" fillId="3" borderId="1" xfId="0" applyFont="1" applyFill="1" applyBorder="1" applyAlignment="1">
      <alignment horizontal="center" vertical="center"/>
    </xf>
    <xf numFmtId="0" fontId="22" fillId="3" borderId="2" xfId="0" applyFont="1" applyFill="1" applyBorder="1" applyAlignment="1">
      <alignment horizontal="center" vertical="center"/>
    </xf>
    <xf numFmtId="0" fontId="40" fillId="12" borderId="37" xfId="0" applyFont="1" applyFill="1" applyBorder="1" applyAlignment="1">
      <alignment horizontal="center" vertical="center"/>
    </xf>
    <xf numFmtId="0" fontId="46" fillId="3" borderId="18" xfId="0" applyFont="1" applyFill="1" applyBorder="1" applyAlignment="1">
      <alignment horizontal="center" vertical="center" wrapText="1"/>
    </xf>
    <xf numFmtId="0" fontId="46" fillId="3" borderId="0" xfId="0" applyFont="1" applyFill="1" applyAlignment="1">
      <alignment horizontal="center" vertical="center" wrapText="1"/>
    </xf>
    <xf numFmtId="0" fontId="46" fillId="3" borderId="4" xfId="0" applyFont="1" applyFill="1" applyBorder="1" applyAlignment="1">
      <alignment horizontal="center" vertical="center" wrapText="1"/>
    </xf>
    <xf numFmtId="0" fontId="46" fillId="3" borderId="18" xfId="0" applyFont="1" applyFill="1" applyBorder="1" applyAlignment="1">
      <alignment horizontal="left" vertical="center" wrapText="1" indent="1"/>
    </xf>
    <xf numFmtId="3" fontId="45" fillId="3" borderId="18" xfId="0" applyNumberFormat="1" applyFont="1" applyFill="1" applyBorder="1" applyAlignment="1">
      <alignment horizontal="center" vertical="center" wrapText="1"/>
    </xf>
    <xf numFmtId="3" fontId="45" fillId="3" borderId="0" xfId="0" applyNumberFormat="1" applyFont="1" applyFill="1" applyAlignment="1">
      <alignment horizontal="center" vertical="center" wrapText="1"/>
    </xf>
    <xf numFmtId="0" fontId="37" fillId="3" borderId="0" xfId="0" applyFont="1" applyFill="1" applyAlignment="1">
      <alignment horizontal="left" vertical="top" wrapText="1" indent="1"/>
    </xf>
    <xf numFmtId="0" fontId="37" fillId="3" borderId="4" xfId="0" applyFont="1" applyFill="1" applyBorder="1" applyAlignment="1">
      <alignment horizontal="left" vertical="top" wrapText="1" indent="1"/>
    </xf>
    <xf numFmtId="0" fontId="18" fillId="3" borderId="0" xfId="0" applyFont="1" applyFill="1" applyAlignment="1">
      <alignment horizontal="left" vertical="top" wrapText="1" indent="1"/>
    </xf>
    <xf numFmtId="0" fontId="18" fillId="3" borderId="4" xfId="0" applyFont="1" applyFill="1" applyBorder="1" applyAlignment="1">
      <alignment horizontal="left" vertical="top" wrapText="1" indent="1"/>
    </xf>
    <xf numFmtId="0" fontId="3" fillId="6" borderId="12" xfId="0" applyFont="1" applyFill="1" applyBorder="1" applyAlignment="1">
      <alignment horizontal="center" vertical="center"/>
    </xf>
    <xf numFmtId="0" fontId="7" fillId="4" borderId="3" xfId="0" applyFont="1" applyFill="1" applyBorder="1" applyAlignment="1">
      <alignment horizontal="left" vertical="center" indent="1"/>
    </xf>
    <xf numFmtId="0" fontId="3" fillId="3" borderId="16" xfId="0" applyFont="1" applyFill="1" applyBorder="1" applyAlignment="1">
      <alignment horizontal="center" vertical="center"/>
    </xf>
    <xf numFmtId="0" fontId="10" fillId="7" borderId="16" xfId="0" applyFont="1" applyFill="1" applyBorder="1" applyAlignment="1">
      <alignment horizontal="left" vertical="center" indent="1"/>
    </xf>
  </cellXfs>
  <cellStyles count="3">
    <cellStyle name="Comma" xfId="2" builtinId="3"/>
    <cellStyle name="Hyperlink" xfId="1" builtinId="8"/>
    <cellStyle name="Normal" xfId="0" builtinId="0"/>
  </cellStyles>
  <dxfs count="101">
    <dxf>
      <font>
        <color theme="0" tint="-0.499984740745262"/>
      </font>
      <fill>
        <patternFill>
          <bgColor theme="0" tint="-0.499984740745262"/>
        </patternFill>
      </fill>
      <border>
        <left/>
        <right/>
        <top/>
        <bottom/>
      </border>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border>
        <left/>
        <right/>
        <top/>
        <bottom/>
      </border>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border>
        <left/>
        <right/>
        <top/>
        <bottom/>
      </border>
    </dxf>
    <dxf>
      <font>
        <color theme="1"/>
      </font>
    </dxf>
    <dxf>
      <font>
        <color theme="1"/>
      </font>
    </dxf>
    <dxf>
      <font>
        <color theme="1"/>
      </font>
    </dxf>
    <dxf>
      <font>
        <color theme="1"/>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1" defaultTableStyle="TableStyleMedium2" defaultPivotStyle="PivotStyleLight16">
    <tableStyle name="Invisible" pivot="0" table="0" count="0" xr9:uid="{2A5C6E16-E537-491D-800B-470499093D96}"/>
  </tableStyles>
  <colors>
    <mruColors>
      <color rgb="FFF2F2F2"/>
      <color rgb="FF7571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1295401</xdr:colOff>
      <xdr:row>0</xdr:row>
      <xdr:rowOff>185057</xdr:rowOff>
    </xdr:from>
    <xdr:to>
      <xdr:col>2</xdr:col>
      <xdr:colOff>286291</xdr:colOff>
      <xdr:row>0</xdr:row>
      <xdr:rowOff>1069828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86164" y="185057"/>
          <a:ext cx="935227" cy="893661"/>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AC1E8-22BC-40AB-BD6F-A547FCAD2649}" name="TranslationTable" displayName="TranslationTable" ref="A1:H4602" totalsRowShown="0" headerRowDxfId="100" dataDxfId="99">
  <autoFilter ref="A1:H4602" xr:uid="{0BFAC1E8-22BC-40AB-BD6F-A547FCAD2649}"/>
  <sortState xmlns:xlrd2="http://schemas.microsoft.com/office/spreadsheetml/2017/richdata2" ref="A2:H4556">
    <sortCondition descending="1" ref="A1:A4556"/>
  </sortState>
  <tableColumns count="8">
    <tableColumn id="1" xr3:uid="{71DF3BF3-860B-4FDF-BFD7-492E84A439A2}" name="TranslationKeyId" dataDxfId="98"/>
    <tableColumn id="2" xr3:uid="{FAB4F2D2-153E-4683-8275-A8D5DCF38F2E}" name="Page" dataDxfId="97"/>
    <tableColumn id="3" xr3:uid="{4306D324-2FCC-4A2F-ACF9-79D65477F764}" name="Key" dataDxfId="96"/>
    <tableColumn id="4" xr3:uid="{24432B59-DF9D-4859-AF27-24F2A567F59D}" name="ApplicationId" dataDxfId="95"/>
    <tableColumn id="5" xr3:uid="{4332CBC9-D7F3-485D-8FCB-10F7B86D18F8}" name="en" dataDxfId="94"/>
    <tableColumn id="6" xr3:uid="{7843C768-A19D-4B16-A7F3-DEEA4546DBE0}" name="fr" dataDxfId="93"/>
    <tableColumn id="7" xr3:uid="{A8AE625E-EBDB-4466-B85A-23FAE4F175B2}" name="es" dataDxfId="92"/>
    <tableColumn id="8" xr3:uid="{5674C035-602D-4EB2-AE60-55B6369032CA}" name="ar" dataDxfId="91"/>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api.ifrc.org/Backoffic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428"/>
  <sheetViews>
    <sheetView tabSelected="1" zoomScale="60" zoomScaleNormal="60" workbookViewId="0">
      <selection activeCell="R10" sqref="R10:T10"/>
    </sheetView>
  </sheetViews>
  <sheetFormatPr defaultColWidth="0" defaultRowHeight="26.25" zeroHeight="1" x14ac:dyDescent="0.25"/>
  <cols>
    <col min="1" max="1" width="4.42578125" customWidth="1"/>
    <col min="2" max="2" width="29.42578125" style="8" customWidth="1"/>
    <col min="3" max="3" width="6" style="8" customWidth="1"/>
    <col min="4" max="4" width="18.140625" style="8" customWidth="1"/>
    <col min="5" max="5" width="18.5703125" style="8" customWidth="1"/>
    <col min="6" max="6" width="15.42578125" style="134" customWidth="1"/>
    <col min="7" max="7" width="15.5703125" style="134" customWidth="1"/>
    <col min="8" max="8" width="4.85546875" style="134" customWidth="1"/>
    <col min="9" max="9" width="18" style="134" customWidth="1"/>
    <col min="10" max="10" width="19.42578125" style="8" customWidth="1"/>
    <col min="11" max="11" width="19.5703125" style="8" customWidth="1"/>
    <col min="12" max="13" width="15.140625" style="8" customWidth="1"/>
    <col min="14" max="14" width="4.28515625" style="8" customWidth="1"/>
    <col min="15" max="15" width="14" style="8" customWidth="1"/>
    <col min="16" max="16" width="18.5703125" style="8" customWidth="1"/>
    <col min="17" max="17" width="5.140625" style="8" customWidth="1"/>
    <col min="18" max="18" width="18.140625" style="8" customWidth="1"/>
    <col min="19" max="19" width="11.42578125" style="8" customWidth="1"/>
    <col min="20" max="20" width="15.85546875" style="8" customWidth="1"/>
    <col min="21" max="21" width="11.42578125" style="8" customWidth="1"/>
    <col min="22" max="22" width="18" style="8" customWidth="1"/>
    <col min="23" max="23" width="7.42578125" style="8" customWidth="1"/>
    <col min="24" max="24" width="9.140625" hidden="1" customWidth="1"/>
    <col min="25" max="26" width="10.42578125" style="9" hidden="1" customWidth="1"/>
    <col min="27" max="27" width="10.5703125" style="9" hidden="1" customWidth="1"/>
    <col min="28" max="28" width="9.140625" hidden="1" customWidth="1"/>
    <col min="29" max="29" width="16.42578125" hidden="1" customWidth="1"/>
    <col min="30" max="16384" width="1.85546875" hidden="1"/>
  </cols>
  <sheetData>
    <row r="1" spans="1:29" ht="95.45" customHeight="1" x14ac:dyDescent="0.25">
      <c r="A1" s="7"/>
      <c r="B1" s="316" t="str">
        <f>SUBSTITUTE(INDEX(TranslationTable[], MATCH(9022, TranslationTable[TranslationKeyId], 0), MATCH(TRIM(LOWER(Language)), TranslationTable[#Headers], 0)), "//", CHAR(10))</f>
        <v>Federation-wide Databank and Reporting System - Data Collection Form
Please fill in areas marked in yellow</v>
      </c>
      <c r="C1" s="316"/>
      <c r="D1" s="316"/>
      <c r="E1" s="316"/>
      <c r="F1" s="316"/>
      <c r="G1" s="316"/>
      <c r="H1" s="316"/>
      <c r="I1" s="316"/>
      <c r="J1" s="316"/>
      <c r="K1" s="316"/>
      <c r="L1" s="316"/>
      <c r="M1" s="316"/>
      <c r="N1" s="316"/>
      <c r="O1" s="316"/>
      <c r="P1" s="316"/>
      <c r="Q1" s="316"/>
      <c r="R1" s="316"/>
      <c r="S1" s="316"/>
      <c r="T1" s="316"/>
      <c r="U1" s="316"/>
      <c r="V1" s="316"/>
      <c r="AC1" t="s">
        <v>0</v>
      </c>
    </row>
    <row r="2" spans="1:29" ht="30" customHeight="1" x14ac:dyDescent="0.25">
      <c r="A2" s="10"/>
      <c r="B2" s="342" t="str">
        <f>INDEX(TranslationTable[], MATCH(9010, TranslationTable[TranslationKeyId], 0), MATCH(TRIM(LOWER(Language)), TranslationTable[#Headers], 0)) &amp; CHAR(10) &amp; IFERROR(INDEX(TranslationTable[], MATCH(9011, TranslationTable[TranslationKeyId], 0), MATCH(TRIM(LOWER(Language)), TranslationTable[#Headers], 0)), "")</f>
        <v>Once completed please email back to fdrs@ifrc.org
See your and all other National Societies' data at FDRS Public Website</v>
      </c>
      <c r="C2" s="343"/>
      <c r="D2" s="343"/>
      <c r="E2" s="343"/>
      <c r="F2" s="343"/>
      <c r="G2" s="343"/>
      <c r="H2" s="343"/>
      <c r="I2" s="343"/>
      <c r="J2" s="335" t="str">
        <f>INDEX(TranslationTable[], MATCH(9012, TranslationTable[TranslationKeyId], 0), MATCH(TRIM(LOWER(Language)), TranslationTable[#Headers], 0))</f>
        <v>To fill in this form, please refer to the definition of each indicator as well as the examples, tips and clarifications that can be found in the FDRS User Guide</v>
      </c>
      <c r="K2" s="335"/>
      <c r="L2" s="335"/>
      <c r="M2" s="335"/>
      <c r="N2" s="80"/>
      <c r="O2" s="137"/>
      <c r="P2" s="337" t="str">
        <f>INDEX(TranslationTable[], MATCH(9013, TranslationTable[TranslationKeyId], 0), MATCH(TRIM(LOWER(Language)), TranslationTable[#Headers], 0))</f>
        <v>You can insert your data online directly at the FDRS Backoffice</v>
      </c>
      <c r="Q2" s="337"/>
      <c r="R2" s="337"/>
      <c r="S2" s="337"/>
      <c r="T2" s="337"/>
      <c r="U2" s="337"/>
      <c r="V2" s="338"/>
      <c r="AC2" t="s">
        <v>1</v>
      </c>
    </row>
    <row r="3" spans="1:29" ht="26.1" customHeight="1" x14ac:dyDescent="0.25">
      <c r="A3" s="10"/>
      <c r="B3" s="344"/>
      <c r="C3" s="345"/>
      <c r="D3" s="345"/>
      <c r="E3" s="345"/>
      <c r="F3" s="345"/>
      <c r="G3" s="345"/>
      <c r="H3" s="345"/>
      <c r="I3" s="345"/>
      <c r="J3" s="336"/>
      <c r="K3" s="336"/>
      <c r="L3" s="336"/>
      <c r="M3" s="336"/>
      <c r="N3" s="57"/>
      <c r="O3" s="12"/>
      <c r="P3" s="339" t="s">
        <v>2</v>
      </c>
      <c r="Q3" s="339"/>
      <c r="R3" s="340"/>
      <c r="S3" s="340"/>
      <c r="T3" s="340"/>
      <c r="U3" s="340"/>
      <c r="V3" s="341"/>
      <c r="AC3" t="s">
        <v>3</v>
      </c>
    </row>
    <row r="4" spans="1:29" ht="22.35" customHeight="1" x14ac:dyDescent="0.25">
      <c r="A4" s="7"/>
      <c r="B4" s="14"/>
      <c r="C4" s="14"/>
      <c r="D4" s="14"/>
      <c r="E4" s="14"/>
      <c r="F4" s="14"/>
      <c r="G4" s="14"/>
      <c r="H4" s="14"/>
      <c r="I4" s="14"/>
      <c r="J4" s="14"/>
      <c r="K4" s="14"/>
      <c r="L4" s="14"/>
      <c r="M4" s="14"/>
      <c r="N4" s="14"/>
      <c r="O4" s="14"/>
      <c r="P4" s="14"/>
      <c r="Q4" s="14"/>
      <c r="R4" s="14"/>
      <c r="S4" s="14"/>
      <c r="T4" s="14"/>
      <c r="U4" s="14"/>
      <c r="V4" s="14"/>
    </row>
    <row r="5" spans="1:29" ht="33" customHeight="1" x14ac:dyDescent="0.25">
      <c r="A5" s="7"/>
      <c r="B5" s="15" t="str">
        <f>INDEX(TranslationTable[], MATCH(9014, TranslationTable[TranslationKeyId], 0), MATCH(TRIM(LOWER(Language)), TranslationTable[#Headers], 0))&amp;": "&amp;COUNTIF(A7:V425,J426)</f>
        <v>Required questions not answered: : 73</v>
      </c>
      <c r="C5" s="15"/>
      <c r="D5" s="16"/>
      <c r="E5" s="17"/>
      <c r="F5" s="14"/>
      <c r="G5" s="14"/>
      <c r="H5" s="14"/>
      <c r="I5" s="14"/>
      <c r="L5" s="14"/>
      <c r="M5" s="14"/>
      <c r="N5" s="14"/>
      <c r="O5" s="14"/>
      <c r="P5" s="14"/>
      <c r="Q5" s="14"/>
      <c r="R5" s="14"/>
      <c r="S5" s="14"/>
      <c r="T5" s="14"/>
      <c r="U5" s="139" t="str">
        <f>IF(Language="EN", "Language",
IF(Language="ES", "Idioma",
IF(Language="FR", "Langue",
IF(Language="AR", "اللغة", ""))))</f>
        <v>Language</v>
      </c>
      <c r="V5" s="131" t="s">
        <v>4</v>
      </c>
    </row>
    <row r="6" spans="1:29" ht="22.35" customHeight="1" x14ac:dyDescent="0.25">
      <c r="A6" s="7"/>
      <c r="B6" s="14"/>
      <c r="C6" s="14"/>
      <c r="D6" s="14"/>
      <c r="E6" s="14"/>
      <c r="F6" s="14"/>
      <c r="G6" s="14"/>
      <c r="H6" s="14"/>
      <c r="I6" s="14"/>
      <c r="J6" s="14"/>
      <c r="K6" s="14"/>
      <c r="L6" s="14"/>
      <c r="M6" s="14"/>
      <c r="N6" s="14"/>
      <c r="O6" s="14"/>
      <c r="P6" s="14"/>
      <c r="Q6" s="14"/>
      <c r="R6" s="14"/>
      <c r="S6" s="14"/>
      <c r="T6" s="14"/>
      <c r="U6" s="14"/>
      <c r="V6" s="14"/>
    </row>
    <row r="7" spans="1:29" ht="22.35" customHeight="1" x14ac:dyDescent="0.25">
      <c r="A7" s="10"/>
      <c r="B7" s="216" t="str">
        <f>INDEX(TranslationTable[], MATCH(30, TranslationTable[TranslationKeyId], 0), MATCH(TRIM(LOWER(Language)), TranslationTable[#Headers], 0))</f>
        <v>National Society</v>
      </c>
      <c r="C7" s="217"/>
      <c r="D7" s="217"/>
      <c r="E7" s="217"/>
      <c r="F7" s="217"/>
      <c r="G7" s="217"/>
      <c r="H7" s="217"/>
      <c r="I7" s="217"/>
      <c r="J7" s="217"/>
      <c r="K7" s="217"/>
      <c r="L7" s="217"/>
      <c r="M7" s="217"/>
      <c r="N7" s="217"/>
      <c r="O7" s="217"/>
      <c r="P7" s="217"/>
      <c r="Q7" s="217"/>
      <c r="R7" s="217"/>
      <c r="S7" s="217"/>
      <c r="T7" s="217"/>
      <c r="U7" s="217"/>
      <c r="V7" s="323"/>
    </row>
    <row r="8" spans="1:29" ht="22.35" customHeight="1" x14ac:dyDescent="0.25">
      <c r="A8" s="10"/>
      <c r="B8" s="18"/>
      <c r="C8" s="18"/>
      <c r="D8" s="19"/>
      <c r="E8" s="19"/>
      <c r="F8" s="19"/>
      <c r="G8" s="19"/>
      <c r="H8" s="19"/>
      <c r="I8" s="20"/>
      <c r="J8" s="158" t="str">
        <f>INDEX(TranslationTable[], MATCH(9020, TranslationTable[TranslationKeyId], 0), MATCH(TRIM(LOWER(Language)), TranslationTable[#Headers], 0))</f>
        <v>Primary FDRS contact person</v>
      </c>
      <c r="K8" s="22"/>
      <c r="L8" s="22"/>
      <c r="M8" s="22"/>
      <c r="N8" s="22"/>
      <c r="O8" s="22"/>
      <c r="P8" s="158" t="str">
        <f>INDEX(TranslationTable[], MATCH(9021, TranslationTable[TranslationKeyId], 0), MATCH(TRIM(LOWER(Language)), TranslationTable[#Headers], 0))</f>
        <v>Secondary FDRS contact person</v>
      </c>
      <c r="Q8" s="21"/>
      <c r="R8" s="23"/>
      <c r="S8" s="19"/>
      <c r="T8" s="19"/>
      <c r="U8" s="20"/>
      <c r="V8" s="24"/>
    </row>
    <row r="9" spans="1:29" ht="22.35" customHeight="1" x14ac:dyDescent="0.25">
      <c r="A9" s="10"/>
      <c r="B9" s="324" t="str">
        <f>INDEX(TranslationTable[], MATCH(9015, TranslationTable[TranslationKeyId], 0), MATCH(TRIM(LOWER(Language)), TranslationTable[#Headers], 0))</f>
        <v>Name of reporting National Society</v>
      </c>
      <c r="C9" s="325"/>
      <c r="D9" s="326"/>
      <c r="E9" s="230"/>
      <c r="F9" s="231"/>
      <c r="G9" s="231"/>
      <c r="H9" s="232"/>
      <c r="I9" s="25"/>
      <c r="J9" s="173" t="str">
        <f>INDEX(TranslationTable[], MATCH(9017, TranslationTable[TranslationKeyId], 0), MATCH(TRIM(LOWER(Language)), TranslationTable[#Headers], 0))</f>
        <v>Name</v>
      </c>
      <c r="K9" s="317"/>
      <c r="L9" s="317"/>
      <c r="M9" s="317"/>
      <c r="N9" s="22"/>
      <c r="O9" s="25"/>
      <c r="P9" s="245" t="str">
        <f>INDEX(TranslationTable[], MATCH(9017, TranslationTable[TranslationKeyId], 0), MATCH(TRIM(LOWER(Language)), TranslationTable[#Headers], 0))</f>
        <v>Name</v>
      </c>
      <c r="Q9" s="245"/>
      <c r="R9" s="317"/>
      <c r="S9" s="317"/>
      <c r="T9" s="317"/>
      <c r="U9" s="20"/>
      <c r="V9" s="24"/>
    </row>
    <row r="10" spans="1:29" ht="22.35" customHeight="1" x14ac:dyDescent="0.25">
      <c r="A10" s="10"/>
      <c r="B10" s="379" t="str">
        <f>INDEX(TranslationTable[], MATCH(9016, TranslationTable[TranslationKeyId], 0), MATCH(TRIM(LOWER(Language)), TranslationTable[#Headers], 0))</f>
        <v>Reporting Year</v>
      </c>
      <c r="C10" s="380"/>
      <c r="D10" s="381"/>
      <c r="E10" s="171">
        <v>2025</v>
      </c>
      <c r="F10" s="19"/>
      <c r="G10" s="19"/>
      <c r="H10" s="19"/>
      <c r="I10" s="19"/>
      <c r="J10" s="173" t="str">
        <f>INDEX(TranslationTable[], MATCH(9018, TranslationTable[TranslationKeyId], 0), MATCH(TRIM(LOWER(Language)), TranslationTable[#Headers], 0))</f>
        <v>Email</v>
      </c>
      <c r="K10" s="317"/>
      <c r="L10" s="317"/>
      <c r="M10" s="317"/>
      <c r="N10" s="22"/>
      <c r="O10" s="19"/>
      <c r="P10" s="245" t="str">
        <f>INDEX(TranslationTable[], MATCH(9018, TranslationTable[TranslationKeyId], 0), MATCH(TRIM(LOWER(Language)), TranslationTable[#Headers], 0))</f>
        <v>Email</v>
      </c>
      <c r="Q10" s="245"/>
      <c r="R10" s="317"/>
      <c r="S10" s="317"/>
      <c r="T10" s="317"/>
      <c r="U10" s="20"/>
      <c r="V10" s="24"/>
    </row>
    <row r="11" spans="1:29" ht="22.35" customHeight="1" x14ac:dyDescent="0.25">
      <c r="A11" s="10"/>
      <c r="B11" s="18"/>
      <c r="C11" s="18"/>
      <c r="D11" s="19"/>
      <c r="E11" s="19"/>
      <c r="F11" s="19"/>
      <c r="G11" s="19"/>
      <c r="H11" s="19"/>
      <c r="I11" s="19"/>
      <c r="J11" s="173" t="str">
        <f>INDEX(TranslationTable[], MATCH(9019, TranslationTable[TranslationKeyId], 0), MATCH(TRIM(LOWER(Language)), TranslationTable[#Headers], 0))</f>
        <v xml:space="preserve">Phone </v>
      </c>
      <c r="K11" s="318"/>
      <c r="L11" s="318"/>
      <c r="M11" s="318"/>
      <c r="N11" s="22"/>
      <c r="O11" s="19"/>
      <c r="P11" s="245" t="str">
        <f>INDEX(TranslationTable[], MATCH(9019, TranslationTable[TranslationKeyId], 0), MATCH(TRIM(LOWER(Language)), TranslationTable[#Headers], 0))</f>
        <v xml:space="preserve">Phone </v>
      </c>
      <c r="Q11" s="245"/>
      <c r="R11" s="317"/>
      <c r="S11" s="317"/>
      <c r="T11" s="317"/>
      <c r="U11" s="20"/>
      <c r="V11" s="24"/>
    </row>
    <row r="12" spans="1:29" ht="22.35" customHeight="1" x14ac:dyDescent="0.25">
      <c r="A12" s="10"/>
      <c r="B12" s="13"/>
      <c r="C12" s="13"/>
      <c r="D12" s="13"/>
      <c r="E12" s="13"/>
      <c r="F12" s="13"/>
      <c r="G12" s="13"/>
      <c r="H12" s="13"/>
      <c r="I12" s="13"/>
      <c r="J12" s="13"/>
      <c r="K12" s="13"/>
      <c r="L12" s="13"/>
      <c r="M12" s="13"/>
      <c r="N12" s="13"/>
      <c r="O12" s="13"/>
      <c r="P12" s="13"/>
      <c r="Q12" s="13"/>
      <c r="R12" s="13"/>
      <c r="S12" s="13"/>
      <c r="T12" s="13"/>
      <c r="U12" s="20"/>
      <c r="V12" s="24"/>
    </row>
    <row r="13" spans="1:29" ht="22.35" customHeight="1" x14ac:dyDescent="0.25">
      <c r="A13" s="7"/>
      <c r="B13" s="14"/>
      <c r="C13" s="14"/>
      <c r="D13" s="14"/>
      <c r="E13" s="14"/>
      <c r="F13" s="14"/>
      <c r="G13" s="14"/>
      <c r="H13" s="14"/>
      <c r="I13" s="14"/>
      <c r="J13" s="14"/>
      <c r="K13" s="14"/>
      <c r="L13" s="14"/>
      <c r="M13" s="14"/>
      <c r="N13" s="14"/>
      <c r="O13" s="14"/>
      <c r="P13" s="14"/>
      <c r="Q13" s="14"/>
      <c r="R13" s="14"/>
      <c r="S13" s="14"/>
      <c r="T13" s="14"/>
      <c r="U13" s="14"/>
      <c r="V13" s="14"/>
    </row>
    <row r="14" spans="1:29" ht="22.35" customHeight="1" x14ac:dyDescent="0.25">
      <c r="A14" s="10"/>
      <c r="B14" s="319" t="str">
        <f>"1: " &amp; INDEX(TranslationTable[], MATCH(909, TranslationTable[TranslationKeyId], 0), MATCH(TRIM(LOWER(V5)), TranslationTable[#Headers], 0))</f>
        <v>1: NS Governance &amp; Structure</v>
      </c>
      <c r="C14" s="319"/>
      <c r="D14" s="319"/>
      <c r="E14" s="319"/>
      <c r="F14" s="319"/>
      <c r="G14" s="319"/>
      <c r="H14" s="319"/>
      <c r="I14" s="319"/>
      <c r="J14" s="319"/>
      <c r="K14" s="319"/>
      <c r="L14" s="319"/>
      <c r="M14" s="319"/>
      <c r="N14" s="319"/>
      <c r="O14" s="319"/>
      <c r="P14" s="319"/>
      <c r="Q14" s="319"/>
      <c r="R14" s="319"/>
      <c r="S14" s="319"/>
      <c r="T14" s="319"/>
      <c r="U14" s="319"/>
      <c r="V14" s="320"/>
    </row>
    <row r="15" spans="1:29" ht="22.35" customHeight="1" x14ac:dyDescent="0.25">
      <c r="A15" s="10"/>
      <c r="B15" s="389" t="str">
        <f xml:space="preserve"> "1.1 " &amp; INDEX(TranslationTable[], MATCH(914, TranslationTable[TranslationKeyId], 0), MATCH(TRIM(LOWER($V$5)), TranslationTable[#Headers], 0))</f>
        <v>1.1 Governing Board</v>
      </c>
      <c r="C15" s="390"/>
      <c r="D15" s="390"/>
      <c r="E15" s="19"/>
      <c r="F15" s="19"/>
      <c r="G15" s="19"/>
      <c r="H15" s="19"/>
      <c r="I15" s="23"/>
      <c r="J15" s="23"/>
      <c r="K15" s="23"/>
      <c r="L15" s="23"/>
      <c r="M15" s="23"/>
      <c r="N15" s="23"/>
      <c r="O15" s="19"/>
      <c r="P15" s="19"/>
      <c r="Q15" s="19"/>
      <c r="R15" s="19"/>
      <c r="S15" s="19"/>
      <c r="T15" s="19"/>
      <c r="U15" s="20"/>
      <c r="V15" s="24"/>
    </row>
    <row r="16" spans="1:29" ht="22.35" customHeight="1" x14ac:dyDescent="0.25">
      <c r="A16" s="10"/>
      <c r="B16" s="26"/>
      <c r="C16" s="149"/>
      <c r="D16" s="19"/>
      <c r="E16" s="19"/>
      <c r="F16" s="19"/>
      <c r="G16" s="19"/>
      <c r="H16" s="19"/>
      <c r="I16" s="25"/>
      <c r="J16" s="120"/>
      <c r="K16" s="27"/>
      <c r="L16" s="27"/>
      <c r="M16" s="19"/>
      <c r="N16" s="19"/>
      <c r="O16" s="243" t="str">
        <f>SUBSTITUTE(INDEX(TranslationTable[], MATCH(951, TranslationTable[TranslationKeyId], 0), MATCH(TRIM(LOWER(Language)), TranslationTable[#Headers], 0)), "//", CHAR(10))</f>
        <v>The National Society Governing Board is the highest, national level decision-making governing body between sessions of the General Assembly.   
 The Governing Board uses its authority to direct and make decisions on behalf of the National Society, in particular in regard to setting direction and priorities, being accountable to stakeholders and ensuring compliance with internal rules and agreements. The Governing Board traditionally includes the President, Vice President(s), Treasurer and other elected or appointed members.  Do not include governing boards related to branches, sections or local units.</v>
      </c>
      <c r="P16" s="243"/>
      <c r="Q16" s="243"/>
      <c r="R16" s="243"/>
      <c r="S16" s="243"/>
      <c r="T16" s="243"/>
      <c r="U16" s="243"/>
      <c r="V16" s="24"/>
    </row>
    <row r="17" spans="1:27" ht="22.35" customHeight="1" x14ac:dyDescent="0.25">
      <c r="A17" s="10"/>
      <c r="B17" s="366" t="str">
        <f>IF(M23&lt;&gt;"", "", IFERROR(INDEX(TranslationTable[], MATCH(9043, TranslationTable[TranslationKeyId], 0), MATCH(LOWER(Language), TranslationTable[#Headers], 0)), ""))</f>
        <v>Required</v>
      </c>
      <c r="C17" s="367"/>
      <c r="D17" s="376" t="str">
        <f>INDEX(TranslationTable[], MATCH(75, TranslationTable[TranslationKeyId], 0), MATCH(TRIM(LOWER(V5)), TranslationTable[#Headers], 0))</f>
        <v>Number of people on the National Society Governing Board (HQ)</v>
      </c>
      <c r="E17" s="376"/>
      <c r="F17" s="376"/>
      <c r="G17" s="376"/>
      <c r="H17" s="376"/>
      <c r="I17" s="376"/>
      <c r="J17" s="376"/>
      <c r="K17" s="376"/>
      <c r="L17" s="376"/>
      <c r="M17" s="388"/>
      <c r="N17" s="146"/>
      <c r="O17" s="243"/>
      <c r="P17" s="243"/>
      <c r="Q17" s="243"/>
      <c r="R17" s="243"/>
      <c r="S17" s="243"/>
      <c r="T17" s="243"/>
      <c r="U17" s="243"/>
      <c r="V17" s="24"/>
    </row>
    <row r="18" spans="1:27" ht="30" customHeight="1" x14ac:dyDescent="0.25">
      <c r="A18" s="10"/>
      <c r="B18" s="382" t="str">
        <f>INDEX(TranslationTable[], MATCH(3306, TranslationTable[TranslationKeyId], 0), MATCH(TRIM(LOWER($V$5)), TranslationTable[#Headers], 0))</f>
        <v>Age group</v>
      </c>
      <c r="C18" s="383"/>
      <c r="D18" s="29" t="s">
        <v>5</v>
      </c>
      <c r="E18" s="29" t="s">
        <v>6</v>
      </c>
      <c r="F18" s="29" t="s">
        <v>7</v>
      </c>
      <c r="G18" s="192" t="s">
        <v>8</v>
      </c>
      <c r="H18" s="193"/>
      <c r="I18" s="29" t="s">
        <v>9</v>
      </c>
      <c r="J18" s="29" t="s">
        <v>10</v>
      </c>
      <c r="K18" s="29" t="s">
        <v>11</v>
      </c>
      <c r="L18" s="136" t="str">
        <f>INDEX(TranslationTable[], MATCH(701, TranslationTable[TranslationKeyId], 0), MATCH(TRIM(LOWER($V$5)), TranslationTable[#Headers], 0))</f>
        <v>Unknown</v>
      </c>
      <c r="M18" s="28" t="str">
        <f>INDEX(TranslationTable[], MATCH(6383, TranslationTable[TranslationKeyId], 0), MATCH(TRIM(LOWER($V$5)), TranslationTable[#Headers], 0))</f>
        <v>Total</v>
      </c>
      <c r="N18" s="20"/>
      <c r="O18" s="243"/>
      <c r="P18" s="243"/>
      <c r="Q18" s="243"/>
      <c r="R18" s="243"/>
      <c r="S18" s="243"/>
      <c r="T18" s="243"/>
      <c r="U18" s="243"/>
      <c r="V18" s="24"/>
    </row>
    <row r="19" spans="1:27" ht="22.35" customHeight="1" x14ac:dyDescent="0.25">
      <c r="A19" s="10"/>
      <c r="B19" s="386" t="str">
        <f>INDEX(TranslationTable[], MATCH(3301, TranslationTable[TranslationKeyId], 0), MATCH(TRIM(LOWER($V$5)), TranslationTable[#Headers], 0))</f>
        <v>Male</v>
      </c>
      <c r="C19" s="387"/>
      <c r="D19" s="181"/>
      <c r="E19" s="1"/>
      <c r="F19" s="1"/>
      <c r="G19" s="194"/>
      <c r="H19" s="195"/>
      <c r="I19" s="1"/>
      <c r="J19" s="1"/>
      <c r="K19" s="1"/>
      <c r="L19" s="141"/>
      <c r="M19" s="30" t="str">
        <f>IF(SUM(D19:L19)=0,"",SUM(D19:L19))</f>
        <v/>
      </c>
      <c r="N19" s="20"/>
      <c r="O19" s="243"/>
      <c r="P19" s="243"/>
      <c r="Q19" s="243"/>
      <c r="R19" s="243"/>
      <c r="S19" s="243"/>
      <c r="T19" s="243"/>
      <c r="U19" s="243"/>
      <c r="V19" s="24"/>
    </row>
    <row r="20" spans="1:27" ht="22.35" customHeight="1" x14ac:dyDescent="0.25">
      <c r="A20" s="10"/>
      <c r="B20" s="386" t="str">
        <f>INDEX(TranslationTable[], MATCH(3302, TranslationTable[TranslationKeyId], 0), MATCH(TRIM(LOWER($V$5)), TranslationTable[#Headers], 0))</f>
        <v>Female</v>
      </c>
      <c r="C20" s="387"/>
      <c r="D20" s="181"/>
      <c r="E20" s="1"/>
      <c r="F20" s="1"/>
      <c r="G20" s="194"/>
      <c r="H20" s="195"/>
      <c r="I20" s="1"/>
      <c r="J20" s="1"/>
      <c r="K20" s="1"/>
      <c r="L20" s="141"/>
      <c r="M20" s="30" t="str">
        <f>IF(SUM(D20:L20)=0,"",SUM(D20:L20))</f>
        <v/>
      </c>
      <c r="N20" s="20"/>
      <c r="O20" s="243"/>
      <c r="P20" s="243"/>
      <c r="Q20" s="243"/>
      <c r="R20" s="243"/>
      <c r="S20" s="243"/>
      <c r="T20" s="243"/>
      <c r="U20" s="243"/>
      <c r="V20" s="24"/>
    </row>
    <row r="21" spans="1:27" ht="22.35" customHeight="1" x14ac:dyDescent="0.25">
      <c r="A21" s="10"/>
      <c r="B21" s="386" t="str">
        <f>INDEX(TranslationTable[], MATCH(9001, TranslationTable[TranslationKeyId], 0), MATCH(TRIM(LOWER($V$5)), TranslationTable[#Headers], 0))</f>
        <v>Non-binary</v>
      </c>
      <c r="C21" s="387"/>
      <c r="D21" s="181"/>
      <c r="E21" s="1"/>
      <c r="F21" s="1"/>
      <c r="G21" s="194"/>
      <c r="H21" s="195"/>
      <c r="I21" s="1"/>
      <c r="J21" s="1"/>
      <c r="K21" s="1"/>
      <c r="L21" s="141"/>
      <c r="M21" s="30" t="str">
        <f>IF(SUM(D21:L21)=0,"",SUM(D21:L21))</f>
        <v/>
      </c>
      <c r="N21" s="20"/>
      <c r="O21" s="243"/>
      <c r="P21" s="243"/>
      <c r="Q21" s="243"/>
      <c r="R21" s="243"/>
      <c r="S21" s="243"/>
      <c r="T21" s="243"/>
      <c r="U21" s="243"/>
      <c r="V21" s="24"/>
    </row>
    <row r="22" spans="1:27" ht="22.35" customHeight="1" x14ac:dyDescent="0.25">
      <c r="A22" s="10"/>
      <c r="B22" s="384" t="str">
        <f>INDEX(TranslationTable[], MATCH(701, TranslationTable[TranslationKeyId], 0), MATCH(TRIM(LOWER($V$5)), TranslationTable[#Headers], 0))</f>
        <v>Unknown</v>
      </c>
      <c r="C22" s="385"/>
      <c r="D22" s="182"/>
      <c r="E22" s="142"/>
      <c r="F22" s="142"/>
      <c r="G22" s="190"/>
      <c r="H22" s="191"/>
      <c r="I22" s="142"/>
      <c r="J22" s="142"/>
      <c r="K22" s="142"/>
      <c r="L22" s="140"/>
      <c r="M22" s="30" t="str">
        <f>IF(SUM(D22:L22)=0,"",SUM(D22:L22))</f>
        <v/>
      </c>
      <c r="N22" s="20"/>
      <c r="O22" s="243"/>
      <c r="P22" s="243"/>
      <c r="Q22" s="243"/>
      <c r="R22" s="243"/>
      <c r="S22" s="243"/>
      <c r="T22" s="243"/>
      <c r="U22" s="243"/>
      <c r="V22" s="24"/>
      <c r="AA22" s="31" t="str">
        <f>IF(M23="", "Required", "")</f>
        <v>Required</v>
      </c>
    </row>
    <row r="23" spans="1:27" ht="22.35" customHeight="1" x14ac:dyDescent="0.25">
      <c r="A23" s="10"/>
      <c r="B23" s="197" t="str">
        <f>INDEX(TranslationTable[], MATCH(6383, TranslationTable[TranslationKeyId], 0), MATCH(TRIM(LOWER($V$5)), TranslationTable[#Headers], 0))</f>
        <v>Total</v>
      </c>
      <c r="C23" s="198"/>
      <c r="D23" s="30" t="str">
        <f>IF(SUM(D19:D22)=0,"",SUM(D19:D22))</f>
        <v/>
      </c>
      <c r="E23" s="30"/>
      <c r="F23" s="30" t="str">
        <f t="shared" ref="F23:L23" si="0">IF(SUM(F19:F22)=0,"",SUM(F19:F22))</f>
        <v/>
      </c>
      <c r="G23" s="188"/>
      <c r="H23" s="189"/>
      <c r="I23" s="30" t="str">
        <f t="shared" si="0"/>
        <v/>
      </c>
      <c r="J23" s="30" t="str">
        <f t="shared" si="0"/>
        <v/>
      </c>
      <c r="K23" s="30" t="str">
        <f t="shared" si="0"/>
        <v/>
      </c>
      <c r="L23" s="30" t="str">
        <f t="shared" si="0"/>
        <v/>
      </c>
      <c r="M23" s="30" t="str">
        <f>IF(SUM(M19:M22)=0,"",SUM(M19:M22))</f>
        <v/>
      </c>
      <c r="N23" s="20"/>
      <c r="O23" s="333" t="str">
        <f>INDEX(TranslationTable[], MATCH(9006, TranslationTable[TranslationKeyId], 0), MATCH(TRIM(LOWER(Language)), TranslationTable[#Headers], 0))</f>
        <v>This applies to all next questions</v>
      </c>
      <c r="P23" s="333"/>
      <c r="Q23" s="333"/>
      <c r="R23" s="333"/>
      <c r="S23" s="333"/>
      <c r="T23" s="333"/>
      <c r="U23" s="333"/>
      <c r="V23" s="334"/>
    </row>
    <row r="24" spans="1:27" ht="22.35" customHeight="1" x14ac:dyDescent="0.25">
      <c r="A24" s="10"/>
      <c r="B24" s="18"/>
      <c r="C24" s="18"/>
      <c r="D24" s="19"/>
      <c r="E24" s="19"/>
      <c r="F24" s="19"/>
      <c r="G24" s="19"/>
      <c r="H24" s="19"/>
      <c r="I24" s="32"/>
      <c r="J24" s="32"/>
      <c r="K24" s="32"/>
      <c r="L24" s="32"/>
      <c r="M24" s="19"/>
      <c r="N24" s="20"/>
      <c r="O24" s="327" t="str">
        <f>INDEX(TranslationTable[], MATCH(9007, TranslationTable[TranslationKeyId], 0), MATCH(TRIM(LOWER(Language)), TranslationTable[#Headers], 0))</f>
        <v>If the data is not disaggregated by age but by sex, place it under "Unknown" column.</v>
      </c>
      <c r="P24" s="327"/>
      <c r="Q24" s="327"/>
      <c r="R24" s="327"/>
      <c r="S24" s="327"/>
      <c r="T24" s="327"/>
      <c r="U24" s="327"/>
      <c r="V24" s="328"/>
    </row>
    <row r="25" spans="1:27" ht="27.95" customHeight="1" x14ac:dyDescent="0.25">
      <c r="A25" s="10"/>
      <c r="B25" s="262" t="str">
        <f>INDEX(TranslationTable[], MATCH(124, TranslationTable[TranslationKeyId], 0), MATCH(TRIM(LOWER($V$5)), TranslationTable[#Headers], 0))</f>
        <v>Is your National Society capturing disaggregated data based on disability for this indicator, i.e.the number of persons with disabilities?</v>
      </c>
      <c r="C25" s="263"/>
      <c r="D25" s="263"/>
      <c r="E25" s="263"/>
      <c r="F25" s="263"/>
      <c r="G25" s="263"/>
      <c r="H25" s="263"/>
      <c r="I25" s="263"/>
      <c r="J25" s="264"/>
      <c r="K25" s="162"/>
      <c r="L25" s="25" t="str">
        <f>IF(K25="", INDEX(TranslationTable[], MATCH(9043, TranslationTable[TranslationKeyId], 0), MATCH(LOWER(Language), TranslationTable[#Headers], 0)), "")</f>
        <v>Required</v>
      </c>
      <c r="M25"/>
      <c r="N25" s="20"/>
      <c r="O25" s="329" t="str">
        <f>INDEX(TranslationTable[], MATCH(9008, TranslationTable[TranslationKeyId], 0), MATCH(TRIM(LOWER(Language)), TranslationTable[#Headers], 0))</f>
        <v>If the data is not disaggregated by sex but by age, place it under "Unknown" row.</v>
      </c>
      <c r="P25" s="329"/>
      <c r="Q25" s="329"/>
      <c r="R25" s="329"/>
      <c r="S25" s="329"/>
      <c r="T25" s="329"/>
      <c r="U25" s="329"/>
      <c r="V25" s="330"/>
      <c r="AA25" s="31" t="str">
        <f>IF(K25="", "Required", "")</f>
        <v>Required</v>
      </c>
    </row>
    <row r="26" spans="1:27" ht="22.35" customHeight="1" x14ac:dyDescent="0.25">
      <c r="A26" s="10"/>
      <c r="B26" s="33"/>
      <c r="C26" s="33"/>
      <c r="D26" s="33"/>
      <c r="E26" s="33"/>
      <c r="F26" s="33"/>
      <c r="G26" s="33"/>
      <c r="H26" s="33"/>
      <c r="I26" s="33"/>
      <c r="J26" s="33"/>
      <c r="K26" s="33"/>
      <c r="L26" s="33"/>
      <c r="M26" s="33"/>
      <c r="N26" s="20"/>
      <c r="O26" s="331" t="str">
        <f>INDEX(TranslationTable[], MATCH(9009, TranslationTable[TranslationKeyId], 0), MATCH(TRIM(LOWER(Language)), TranslationTable[#Headers], 0))</f>
        <v>If the data is not disaggregated at all, place it in the green box.</v>
      </c>
      <c r="P26" s="331"/>
      <c r="Q26" s="331"/>
      <c r="R26" s="331"/>
      <c r="S26" s="331"/>
      <c r="T26" s="331"/>
      <c r="U26" s="331"/>
      <c r="V26" s="332"/>
      <c r="AA26" s="31" t="str">
        <f>IF(AND(K25="Yes", J27=""), "Required", "")</f>
        <v/>
      </c>
    </row>
    <row r="27" spans="1:27" ht="27.95" customHeight="1" x14ac:dyDescent="0.25">
      <c r="A27" s="10"/>
      <c r="B27" s="226" t="str">
        <f>INDEX(TranslationTable[], MATCH(125, TranslationTable[TranslationKeyId], 0), MATCH(TRIM(LOWER(Language)), TranslationTable[#Headers], 0))</f>
        <v>If answered yes, is your disability disaggregated data in accordance to the Washington Group questions?</v>
      </c>
      <c r="C27" s="227"/>
      <c r="D27" s="227"/>
      <c r="E27" s="227"/>
      <c r="F27" s="227"/>
      <c r="G27" s="227"/>
      <c r="H27" s="227"/>
      <c r="I27" s="227"/>
      <c r="J27" s="100"/>
      <c r="K27" s="25" t="str">
        <f>IF(AND(K25=YesLANG, J27=""),INDEX(TranslationTable[], MATCH(9043, TranslationTable[TranslationKeyId], 0), MATCH(LOWER(Language), TranslationTable[#Headers], 0)),"")</f>
        <v/>
      </c>
      <c r="L27" s="33"/>
      <c r="M27"/>
      <c r="N27" s="20"/>
      <c r="O27" s="19"/>
      <c r="P27" s="33"/>
      <c r="Q27" s="33"/>
      <c r="R27" s="33"/>
      <c r="S27" s="33"/>
      <c r="T27" s="33"/>
      <c r="U27" s="19"/>
      <c r="V27" s="24"/>
    </row>
    <row r="28" spans="1:27" ht="22.35" customHeight="1" x14ac:dyDescent="0.25">
      <c r="A28" s="10"/>
      <c r="B28" s="35"/>
      <c r="C28" s="35"/>
      <c r="D28" s="36"/>
      <c r="E28" s="36"/>
      <c r="F28" s="36"/>
      <c r="G28" s="19"/>
      <c r="H28" s="19"/>
      <c r="I28" s="32"/>
      <c r="J28" s="32"/>
      <c r="K28" s="32"/>
      <c r="L28" s="32"/>
      <c r="M28" s="19"/>
      <c r="N28" s="20"/>
      <c r="O28" s="19"/>
      <c r="P28" s="33"/>
      <c r="Q28" s="33"/>
      <c r="R28" s="33"/>
      <c r="S28" s="33"/>
      <c r="T28" s="33"/>
      <c r="U28" s="19"/>
      <c r="V28" s="24"/>
    </row>
    <row r="29" spans="1:27" ht="22.35" customHeight="1" x14ac:dyDescent="0.25">
      <c r="A29" s="10"/>
      <c r="B29" s="321" t="str">
        <f>INDEX(TranslationTable[], MATCH(9005, TranslationTable[TranslationKeyId], 0), MATCH(TRIM(LOWER($V$5)), TranslationTable[#Headers], 0))</f>
        <v>Please select the leadership profile</v>
      </c>
      <c r="C29" s="322"/>
      <c r="D29" s="322"/>
      <c r="E29" s="322"/>
      <c r="F29" s="233" t="str">
        <f>SUBSTITUTE(INDEX(TranslationTable[], MATCH(5582, TranslationTable[TranslationKeyId], 0), MATCH(TRIM(LOWER($V$5)), TranslationTable[#Headers], 0)), "//", CHAR(10))</f>
        <v>President</v>
      </c>
      <c r="G29" s="233"/>
      <c r="H29" s="234"/>
      <c r="I29" s="2"/>
      <c r="J29" s="155" t="str">
        <f>IF(I29="", INDEX(TranslationTable[], MATCH(9043, TranslationTable[TranslationKeyId], 0), MATCH(LOWER(Language), TranslationTable[#Headers], 0)), "")</f>
        <v>Required</v>
      </c>
      <c r="K29" s="233" t="str">
        <f>SUBSTITUTE(INDEX(TranslationTable[], MATCH(5584, TranslationTable[TranslationKeyId], 0), MATCH(TRIM(LOWER($V$5)), TranslationTable[#Headers], 0)), "//", CHAR(10))</f>
        <v>Secretary General</v>
      </c>
      <c r="L29" s="234"/>
      <c r="M29" s="2"/>
      <c r="N29" s="20"/>
      <c r="O29" s="155" t="str">
        <f>IF(M29="", INDEX(TranslationTable[], MATCH(9043, TranslationTable[TranslationKeyId], 0), MATCH(LOWER(Language), TranslationTable[#Headers], 0)), "")</f>
        <v>Required</v>
      </c>
      <c r="P29" s="33"/>
      <c r="Q29" s="33"/>
      <c r="R29" s="33"/>
      <c r="S29" s="33"/>
      <c r="T29" s="33"/>
      <c r="U29" s="19"/>
      <c r="V29" s="24"/>
      <c r="AA29" s="31" t="str">
        <f>IF(OR(I29="", M29=""), "Required", "")</f>
        <v>Required</v>
      </c>
    </row>
    <row r="30" spans="1:27" ht="22.35" customHeight="1" x14ac:dyDescent="0.25">
      <c r="A30" s="10"/>
      <c r="B30" s="33"/>
      <c r="C30" s="33"/>
      <c r="D30" s="33"/>
      <c r="E30" s="33"/>
      <c r="F30" s="33"/>
      <c r="G30" s="33"/>
      <c r="H30" s="33"/>
      <c r="I30" s="33"/>
      <c r="J30" s="33"/>
      <c r="K30" s="32"/>
      <c r="L30" s="32"/>
      <c r="M30" s="19"/>
      <c r="N30" s="19"/>
      <c r="O30" s="19"/>
      <c r="P30" s="33"/>
      <c r="Q30" s="33"/>
      <c r="R30" s="33"/>
      <c r="S30" s="33"/>
      <c r="T30" s="33"/>
      <c r="U30" s="19"/>
      <c r="V30" s="24"/>
    </row>
    <row r="31" spans="1:27" ht="22.35" customHeight="1" x14ac:dyDescent="0.25">
      <c r="A31" s="10"/>
      <c r="B31" s="253" t="str">
        <f xml:space="preserve"> "1.2 " &amp; SUBSTITUTE(INDEX(TranslationTable[], MATCH(7534, TranslationTable[TranslationKeyId], 0), MATCH(TRIM(LOWER($V$5)), TranslationTable[#Headers], 0)), "//", CHAR(10))</f>
        <v>1.2 Local units</v>
      </c>
      <c r="C31" s="410"/>
      <c r="D31" s="37"/>
      <c r="E31" s="38"/>
      <c r="F31" s="38"/>
      <c r="G31" s="38"/>
      <c r="H31" s="38"/>
      <c r="I31" s="38"/>
      <c r="J31" s="38"/>
      <c r="K31" s="38"/>
      <c r="L31" s="38"/>
      <c r="M31" s="38"/>
      <c r="N31" s="38"/>
      <c r="O31" s="38"/>
      <c r="P31" s="38"/>
      <c r="Q31" s="38"/>
      <c r="R31" s="38"/>
      <c r="S31" s="38"/>
      <c r="T31" s="38"/>
      <c r="U31" s="38"/>
      <c r="V31" s="39"/>
    </row>
    <row r="32" spans="1:27" ht="22.35" customHeight="1" x14ac:dyDescent="0.25">
      <c r="A32" s="10"/>
      <c r="B32" s="157" t="str">
        <f>IF((E33&lt;&gt;""), "", IFERROR(INDEX(TranslationTable[], MATCH(9043, TranslationTable[TranslationKeyId], 0), MATCH(LOWER(Language), TranslationTable[#Headers], 0)), ""))</f>
        <v>Required</v>
      </c>
      <c r="C32" s="149"/>
      <c r="D32" s="25"/>
      <c r="E32" s="143"/>
      <c r="F32" s="235" t="str">
        <f xml:space="preserve"> SUBSTITUTE(INDEX(TranslationTable[], MATCH(9023, TranslationTable[TranslationKeyId], 0), MATCH(TRIM(LOWER($V$5)), TranslationTable[#Headers], 0)), "//", CHAR(10))</f>
        <v>A branch has its roles and responsibilities and relationship with the National Headquarters defined through National Societies’ Statutes, including the level of autonomy given especially in the area of its legal status, mobilising local resources and building local partnership, and decisions it makes. It has local level decision making mechanism through its branch members, board and volunteers, equally defined through National Societies’ Statutes.</v>
      </c>
      <c r="G32" s="235"/>
      <c r="H32" s="235"/>
      <c r="I32" s="235"/>
      <c r="J32" s="235"/>
      <c r="K32" s="235"/>
      <c r="L32" s="235"/>
      <c r="M32" s="235"/>
      <c r="N32" s="235"/>
      <c r="O32" s="235"/>
      <c r="P32" s="235"/>
      <c r="Q32" s="235"/>
      <c r="R32" s="235"/>
      <c r="S32" s="235"/>
      <c r="T32" s="235"/>
      <c r="U32" s="235"/>
      <c r="V32" s="236"/>
    </row>
    <row r="33" spans="1:27" ht="22.35" customHeight="1" x14ac:dyDescent="0.25">
      <c r="A33" s="10"/>
      <c r="B33" s="369" t="str">
        <f xml:space="preserve"> SUBSTITUTE(INDEX(TranslationTable[], MATCH(8109, TranslationTable[TranslationKeyId], 0), MATCH(TRIM(LOWER($V$5)), TranslationTable[#Headers], 0)), "//", CHAR(10))</f>
        <v>Number of branches</v>
      </c>
      <c r="C33" s="370"/>
      <c r="D33" s="371"/>
      <c r="E33" s="3"/>
      <c r="F33" s="237"/>
      <c r="G33" s="237"/>
      <c r="H33" s="237"/>
      <c r="I33" s="237"/>
      <c r="J33" s="237"/>
      <c r="K33" s="237"/>
      <c r="L33" s="237"/>
      <c r="M33" s="237"/>
      <c r="N33" s="237"/>
      <c r="O33" s="237"/>
      <c r="P33" s="237"/>
      <c r="Q33" s="237"/>
      <c r="R33" s="237"/>
      <c r="S33" s="237"/>
      <c r="T33" s="237"/>
      <c r="U33" s="237"/>
      <c r="V33" s="238"/>
      <c r="AA33" s="31" t="str">
        <f>IF(OR(E33&lt;&gt;""),"","Required")</f>
        <v>Required</v>
      </c>
    </row>
    <row r="34" spans="1:27" ht="22.35" customHeight="1" x14ac:dyDescent="0.25">
      <c r="A34" s="10"/>
      <c r="B34" s="18"/>
      <c r="C34" s="18"/>
      <c r="D34" s="40"/>
      <c r="E34" s="75"/>
      <c r="F34" s="75"/>
      <c r="G34" s="75"/>
      <c r="H34" s="75"/>
      <c r="I34" s="75"/>
      <c r="J34" s="75"/>
      <c r="K34" s="75"/>
      <c r="L34" s="75"/>
      <c r="M34" s="75"/>
      <c r="N34" s="75"/>
      <c r="O34" s="75"/>
      <c r="P34" s="75"/>
      <c r="Q34" s="75"/>
      <c r="R34" s="75"/>
      <c r="S34" s="75"/>
      <c r="T34" s="75"/>
      <c r="U34" s="75"/>
      <c r="V34" s="91"/>
      <c r="AA34" s="31"/>
    </row>
    <row r="35" spans="1:27" ht="22.35" customHeight="1" x14ac:dyDescent="0.25">
      <c r="A35" s="7"/>
      <c r="B35" s="157" t="str">
        <f>IF((E36&lt;&gt;""), "", IFERROR(INDEX(TranslationTable[], MATCH(9043, TranslationTable[TranslationKeyId], 0), MATCH(LOWER(Language), TranslationTable[#Headers], 0)), ""))</f>
        <v>Required</v>
      </c>
      <c r="C35" s="149"/>
      <c r="D35" s="40"/>
      <c r="E35" s="75"/>
      <c r="F35" s="237" t="str">
        <f>INDEX(TranslationTable[], MATCH(952, TranslationTable[TranslationKeyId], 0), MATCH(TRIM(LOWER(Language)), TranslationTable[#Headers], 0))</f>
        <v>Local units are any physical subdivisions of a National Society that coordinate and deliver services to people.</v>
      </c>
      <c r="G35" s="237"/>
      <c r="H35" s="237"/>
      <c r="I35" s="237"/>
      <c r="J35" s="237"/>
      <c r="K35" s="237"/>
      <c r="L35" s="237"/>
      <c r="M35" s="237"/>
      <c r="N35" s="237"/>
      <c r="O35" s="237"/>
      <c r="P35" s="237"/>
      <c r="Q35" s="237"/>
      <c r="R35" s="237"/>
      <c r="S35" s="237"/>
      <c r="T35" s="237"/>
      <c r="U35" s="237"/>
      <c r="V35" s="238"/>
      <c r="AA35" s="31"/>
    </row>
    <row r="36" spans="1:27" ht="22.35" customHeight="1" x14ac:dyDescent="0.25">
      <c r="A36" s="10"/>
      <c r="B36" s="369" t="str">
        <f xml:space="preserve"> SUBSTITUTE(INDEX(TranslationTable[], MATCH(92, TranslationTable[TranslationKeyId], 0), MATCH(TRIM(LOWER($V$5)), TranslationTable[#Headers], 0)), "//", CHAR(10))</f>
        <v>Number of local units</v>
      </c>
      <c r="C36" s="370"/>
      <c r="D36" s="371"/>
      <c r="E36" s="3"/>
      <c r="F36" s="237"/>
      <c r="G36" s="237"/>
      <c r="H36" s="237"/>
      <c r="I36" s="237"/>
      <c r="J36" s="237"/>
      <c r="K36" s="237"/>
      <c r="L36" s="237"/>
      <c r="M36" s="237"/>
      <c r="N36" s="237"/>
      <c r="O36" s="237"/>
      <c r="P36" s="237"/>
      <c r="Q36" s="237"/>
      <c r="R36" s="237"/>
      <c r="S36" s="237"/>
      <c r="T36" s="237"/>
      <c r="U36" s="237"/>
      <c r="V36" s="238"/>
      <c r="AA36" s="31" t="str">
        <f>IF(OR(E36&lt;&gt;""),"","Required")</f>
        <v>Required</v>
      </c>
    </row>
    <row r="37" spans="1:27" ht="22.35" customHeight="1" x14ac:dyDescent="0.25">
      <c r="A37" s="10"/>
      <c r="B37" s="18"/>
      <c r="C37" s="18"/>
      <c r="D37" s="40"/>
      <c r="E37" s="144"/>
      <c r="F37" s="372"/>
      <c r="G37" s="372"/>
      <c r="H37" s="372"/>
      <c r="I37" s="372"/>
      <c r="J37" s="372"/>
      <c r="K37" s="372"/>
      <c r="L37" s="372"/>
      <c r="M37" s="372"/>
      <c r="N37" s="372"/>
      <c r="O37" s="372"/>
      <c r="P37" s="372"/>
      <c r="Q37" s="372"/>
      <c r="R37" s="372"/>
      <c r="S37" s="372"/>
      <c r="T37" s="372"/>
      <c r="U37" s="372"/>
      <c r="V37" s="373"/>
    </row>
    <row r="38" spans="1:27" ht="22.35" customHeight="1" x14ac:dyDescent="0.25">
      <c r="A38" s="10"/>
      <c r="B38" s="378" t="str">
        <f>"1.3 "&amp; SUBSTITUTE(INDEX(TranslationTable[],MATCH(935,TranslationTable[TranslationKeyId],0),MATCH(TRIM(LOWER($V$5)),TranslationTable[#Headers],0)),"//",CHAR(10))</f>
        <v>1.3 National Society Volunteers</v>
      </c>
      <c r="C38" s="378"/>
      <c r="D38" s="378"/>
      <c r="E38" s="41"/>
      <c r="F38" s="41"/>
      <c r="G38" s="41"/>
      <c r="H38" s="41"/>
      <c r="I38" s="41"/>
      <c r="J38" s="41"/>
      <c r="K38" s="41"/>
      <c r="L38" s="41"/>
      <c r="M38" s="41"/>
      <c r="N38" s="41"/>
      <c r="O38" s="41"/>
      <c r="P38" s="41"/>
      <c r="Q38" s="41"/>
      <c r="R38" s="41"/>
      <c r="S38" s="41"/>
      <c r="T38" s="41"/>
      <c r="U38" s="41"/>
      <c r="V38" s="42"/>
    </row>
    <row r="39" spans="1:27" s="47" customFormat="1" ht="22.35" customHeight="1" x14ac:dyDescent="0.25">
      <c r="A39" s="43"/>
      <c r="B39" s="26"/>
      <c r="C39" s="149"/>
      <c r="D39" s="44"/>
      <c r="E39" s="44"/>
      <c r="F39" s="44"/>
      <c r="G39" s="44"/>
      <c r="H39" s="44"/>
      <c r="I39" s="44"/>
      <c r="J39" s="44"/>
      <c r="K39" s="44"/>
      <c r="L39" s="44"/>
      <c r="M39" s="44"/>
      <c r="N39" s="44"/>
      <c r="O39" s="45"/>
      <c r="P39" s="45"/>
      <c r="Q39" s="45"/>
      <c r="R39" s="44"/>
      <c r="S39" s="44"/>
      <c r="T39" s="44"/>
      <c r="U39" s="44"/>
      <c r="V39" s="46"/>
      <c r="W39" s="8"/>
      <c r="Y39" s="48"/>
      <c r="Z39" s="48"/>
      <c r="AA39" s="31"/>
    </row>
    <row r="40" spans="1:27" ht="22.35" customHeight="1" x14ac:dyDescent="0.25">
      <c r="A40" s="10"/>
      <c r="B40" s="366" t="str">
        <f>IF(OR(Q40=TRUE,P46&lt;&gt;""), "", IFERROR(INDEX(TranslationTable[], MATCH(9043, TranslationTable[TranslationKeyId], 0), MATCH(LOWER(Language), TranslationTable[#Headers], 0)), ""))</f>
        <v>Required</v>
      </c>
      <c r="C40" s="367"/>
      <c r="D40" s="376" t="str">
        <f xml:space="preserve"> SUBSTITUTE(INDEX(TranslationTable[], MATCH(121, TranslationTable[TranslationKeyId], 0), MATCH(TRIM(LOWER($V$5)), TranslationTable[#Headers], 0)), "//", CHAR(10))</f>
        <v>Number of people volunteering their time</v>
      </c>
      <c r="E40" s="376"/>
      <c r="F40" s="376"/>
      <c r="G40" s="376"/>
      <c r="H40" s="376"/>
      <c r="I40" s="376"/>
      <c r="J40" s="376"/>
      <c r="K40" s="376"/>
      <c r="L40" s="376"/>
      <c r="M40" s="376"/>
      <c r="N40" s="376"/>
      <c r="O40" s="376"/>
      <c r="P40" s="145"/>
      <c r="Q40" s="180" t="b">
        <v>0</v>
      </c>
      <c r="R40" s="377" t="str">
        <f>IF($V$5&lt;&gt;"AR",SUBSTITUTE(INDEX(TranslationTable[],MATCH(9002,TranslationTable[TranslationKeyId],0),MATCH(TRIM(LOWER($V$5)),TranslationTable[#Headers],0)),"//",CHAR(10)),
SUBSTITUTE(INDEX(TranslationTable[],MATCH(9002,TranslationTable[TranslationKeyId],0),MATCH(TRIM(LOWER($V$5)),TranslationTable[#Headers],0)),"//",CHAR(10))
)</f>
        <v>We do not collect data for this indicator</v>
      </c>
      <c r="S40" s="377"/>
      <c r="T40" s="377"/>
      <c r="U40" s="377"/>
      <c r="V40" s="49"/>
      <c r="Z40" s="5" t="b">
        <v>0</v>
      </c>
      <c r="AA40" s="31" t="str">
        <f>IF(OR(P46&lt;&gt;"", Z40=TRUE), "", "Required")</f>
        <v>Required</v>
      </c>
    </row>
    <row r="41" spans="1:27" ht="30" customHeight="1" x14ac:dyDescent="0.25">
      <c r="A41" s="10"/>
      <c r="B41" s="197" t="str">
        <f>INDEX(TranslationTable[], MATCH(3306, TranslationTable[TranslationKeyId], 0), MATCH(TRIM(LOWER($V$5)), TranslationTable[#Headers], 0))</f>
        <v>Age group</v>
      </c>
      <c r="C41" s="198"/>
      <c r="D41" s="50" t="s">
        <v>12</v>
      </c>
      <c r="E41" s="51" t="s">
        <v>13</v>
      </c>
      <c r="F41" s="51" t="s">
        <v>14</v>
      </c>
      <c r="G41" s="206" t="s">
        <v>6</v>
      </c>
      <c r="H41" s="207"/>
      <c r="I41" s="51" t="s">
        <v>7</v>
      </c>
      <c r="J41" s="51" t="s">
        <v>8</v>
      </c>
      <c r="K41" s="51" t="s">
        <v>9</v>
      </c>
      <c r="L41" s="51" t="s">
        <v>10</v>
      </c>
      <c r="M41" s="51" t="s">
        <v>11</v>
      </c>
      <c r="N41" s="374" t="str">
        <f>INDEX(TranslationTable[], MATCH(701, TranslationTable[TranslationKeyId], 0), MATCH(TRIM(LOWER($V$5)), TranslationTable[#Headers], 0))</f>
        <v>Unknown</v>
      </c>
      <c r="O41" s="375"/>
      <c r="P41" s="28" t="str">
        <f>INDEX(TranslationTable[], MATCH(6383, TranslationTable[TranslationKeyId], 0), MATCH(TRIM(LOWER($V$5)), TranslationTable[#Headers], 0))</f>
        <v>Total</v>
      </c>
      <c r="Q41" s="20"/>
      <c r="R41" s="19"/>
      <c r="S41" s="19"/>
      <c r="T41" s="19"/>
      <c r="U41" s="19"/>
      <c r="V41" s="49"/>
      <c r="AA41" s="31"/>
    </row>
    <row r="42" spans="1:27" ht="22.35" customHeight="1" x14ac:dyDescent="0.25">
      <c r="A42" s="10"/>
      <c r="B42" s="197" t="str">
        <f>INDEX(TranslationTable[], MATCH(3301, TranslationTable[TranslationKeyId], 0), MATCH(TRIM(LOWER($V$5)), TranslationTable[#Headers], 0))</f>
        <v>Male</v>
      </c>
      <c r="C42" s="198"/>
      <c r="D42" s="181"/>
      <c r="E42" s="1"/>
      <c r="F42" s="1"/>
      <c r="G42" s="273"/>
      <c r="H42" s="274"/>
      <c r="I42" s="1"/>
      <c r="J42" s="1"/>
      <c r="K42" s="1"/>
      <c r="L42" s="1"/>
      <c r="M42" s="1"/>
      <c r="N42" s="241"/>
      <c r="O42" s="242"/>
      <c r="P42" s="30" t="str">
        <f>IF(SUM(D42:O42)=0,"",SUM((D42:O42)))</f>
        <v/>
      </c>
      <c r="Q42" s="147"/>
      <c r="R42" s="243" t="str">
        <f xml:space="preserve"> SUBSTITUTE(INDEX(TranslationTable[], MATCH(2979, TranslationTable[TranslationKeyId], 0), MATCH(TRIM(LOWER($V$5)), TranslationTable[#Headers], 0)), "//", CHAR(10))</f>
        <v>People that have given their time voluntarily to support the delivery of services of the reporting National Society for at least four hours during the Reporting Year. This includes young people and/or participants in youth programmes, while it excludes blood donors, who are counted separately.</v>
      </c>
      <c r="S42" s="243"/>
      <c r="T42" s="243"/>
      <c r="U42" s="243"/>
      <c r="V42" s="49"/>
      <c r="AA42" s="31"/>
    </row>
    <row r="43" spans="1:27" ht="22.35" customHeight="1" x14ac:dyDescent="0.25">
      <c r="A43" s="10"/>
      <c r="B43" s="197" t="str">
        <f>INDEX(TranslationTable[], MATCH(3302, TranslationTable[TranslationKeyId], 0), MATCH(TRIM(LOWER($V$5)), TranslationTable[#Headers], 0))</f>
        <v>Female</v>
      </c>
      <c r="C43" s="198"/>
      <c r="D43" s="181"/>
      <c r="E43" s="1"/>
      <c r="F43" s="1"/>
      <c r="G43" s="194"/>
      <c r="H43" s="195"/>
      <c r="I43" s="1"/>
      <c r="J43" s="1"/>
      <c r="K43" s="1"/>
      <c r="L43" s="1"/>
      <c r="M43" s="1"/>
      <c r="N43" s="241"/>
      <c r="O43" s="242"/>
      <c r="P43" s="30" t="str">
        <f>IF(SUM(D43:O43)=0,"",SUM((D43:O43)))</f>
        <v/>
      </c>
      <c r="Q43" s="147"/>
      <c r="R43" s="243"/>
      <c r="S43" s="243"/>
      <c r="T43" s="243"/>
      <c r="U43" s="243"/>
      <c r="V43" s="49"/>
      <c r="AA43" s="31"/>
    </row>
    <row r="44" spans="1:27" ht="22.35" customHeight="1" x14ac:dyDescent="0.25">
      <c r="A44" s="10"/>
      <c r="B44" s="197" t="str">
        <f>INDEX(TranslationTable[], MATCH(9001, TranslationTable[TranslationKeyId], 0), MATCH(TRIM(LOWER($V$5)), TranslationTable[#Headers], 0))</f>
        <v>Non-binary</v>
      </c>
      <c r="C44" s="198"/>
      <c r="D44" s="181"/>
      <c r="E44" s="1"/>
      <c r="F44" s="1"/>
      <c r="G44" s="194"/>
      <c r="H44" s="195"/>
      <c r="I44" s="1"/>
      <c r="J44" s="1"/>
      <c r="K44" s="1"/>
      <c r="L44" s="1"/>
      <c r="M44" s="1"/>
      <c r="N44" s="241"/>
      <c r="O44" s="242"/>
      <c r="P44" s="30" t="str">
        <f>IF(SUM(D44:O44)=0,"",SUM((D44:O44)))</f>
        <v/>
      </c>
      <c r="Q44" s="147"/>
      <c r="R44" s="243"/>
      <c r="S44" s="243"/>
      <c r="T44" s="243"/>
      <c r="U44" s="243"/>
      <c r="V44" s="49"/>
      <c r="AA44" s="31"/>
    </row>
    <row r="45" spans="1:27" ht="22.35" customHeight="1" x14ac:dyDescent="0.25">
      <c r="A45" s="10"/>
      <c r="B45" s="197" t="str">
        <f>INDEX(TranslationTable[], MATCH(701, TranslationTable[TranslationKeyId], 0), MATCH(TRIM(LOWER($V$5)), TranslationTable[#Headers], 0))</f>
        <v>Unknown</v>
      </c>
      <c r="C45" s="198"/>
      <c r="D45" s="142"/>
      <c r="E45" s="142"/>
      <c r="F45" s="142"/>
      <c r="G45" s="190"/>
      <c r="H45" s="191"/>
      <c r="I45" s="142"/>
      <c r="J45" s="142"/>
      <c r="K45" s="142"/>
      <c r="L45" s="142"/>
      <c r="M45" s="142"/>
      <c r="N45" s="248"/>
      <c r="O45" s="249"/>
      <c r="P45" s="30" t="str">
        <f>IF(SUM(D45:O45)=0,"",SUM((D45:O45)))</f>
        <v/>
      </c>
      <c r="Q45" s="147"/>
      <c r="R45" s="243"/>
      <c r="S45" s="243"/>
      <c r="T45" s="243"/>
      <c r="U45" s="243"/>
      <c r="V45" s="49"/>
      <c r="AA45" s="31"/>
    </row>
    <row r="46" spans="1:27" ht="22.35" customHeight="1" x14ac:dyDescent="0.25">
      <c r="A46" s="10"/>
      <c r="B46" s="197" t="str">
        <f>INDEX(TranslationTable[], MATCH(6383, TranslationTable[TranslationKeyId], 0), MATCH(TRIM(LOWER($V$5)), TranslationTable[#Headers], 0))</f>
        <v>Total</v>
      </c>
      <c r="C46" s="198"/>
      <c r="D46" s="30" t="str">
        <f>IF(SUM(D42:D45)=0,"",SUM(D42:D45))</f>
        <v/>
      </c>
      <c r="E46" s="30" t="str">
        <f t="shared" ref="E46:N46" si="1">IF(SUM(E42:E45)=0,"",SUM(E42:E45))</f>
        <v/>
      </c>
      <c r="F46" s="30" t="str">
        <f t="shared" si="1"/>
        <v/>
      </c>
      <c r="G46" s="188" t="str">
        <f t="shared" si="1"/>
        <v/>
      </c>
      <c r="H46" s="189"/>
      <c r="I46" s="30" t="str">
        <f t="shared" si="1"/>
        <v/>
      </c>
      <c r="J46" s="30" t="str">
        <f t="shared" si="1"/>
        <v/>
      </c>
      <c r="K46" s="30" t="str">
        <f t="shared" si="1"/>
        <v/>
      </c>
      <c r="L46" s="30" t="str">
        <f t="shared" si="1"/>
        <v/>
      </c>
      <c r="M46" s="30" t="str">
        <f>IF(SUM(M42:M45)=0,"",SUM(M42:M45))</f>
        <v/>
      </c>
      <c r="N46" s="239" t="str">
        <f t="shared" si="1"/>
        <v/>
      </c>
      <c r="O46" s="240"/>
      <c r="P46" s="30" t="str">
        <f>IF(SUM(P42:P45)=0,"",SUM(P42:P45))</f>
        <v/>
      </c>
      <c r="Q46" s="147"/>
      <c r="R46" s="243"/>
      <c r="S46" s="243"/>
      <c r="T46" s="243"/>
      <c r="U46" s="243"/>
      <c r="V46" s="49"/>
      <c r="AA46" s="31"/>
    </row>
    <row r="47" spans="1:27" ht="22.35" customHeight="1" x14ac:dyDescent="0.25">
      <c r="A47" s="10"/>
      <c r="B47" s="19"/>
      <c r="C47" s="19"/>
      <c r="D47" s="19"/>
      <c r="E47" s="19"/>
      <c r="F47" s="19"/>
      <c r="G47" s="19"/>
      <c r="H47" s="19"/>
      <c r="I47" s="19"/>
      <c r="J47" s="19"/>
      <c r="K47" s="19"/>
      <c r="L47" s="19"/>
      <c r="M47" s="19"/>
      <c r="N47" s="19"/>
      <c r="O47" s="19"/>
      <c r="P47" s="19"/>
      <c r="Q47" s="20"/>
      <c r="R47" s="19"/>
      <c r="S47" s="52"/>
      <c r="T47" s="52"/>
      <c r="U47" s="52"/>
      <c r="V47" s="49"/>
      <c r="AA47" s="31"/>
    </row>
    <row r="48" spans="1:27" ht="27.95" customHeight="1" x14ac:dyDescent="0.25">
      <c r="A48" s="10"/>
      <c r="B48" s="346" t="str">
        <f>INDEX(TranslationTable[], MATCH(124, TranslationTable[TranslationKeyId], 0), MATCH(TRIM(LOWER($V$5)), TranslationTable[#Headers], 0))</f>
        <v>Is your National Society capturing disaggregated data based on disability for this indicator, i.e.the number of persons with disabilities?</v>
      </c>
      <c r="C48" s="347"/>
      <c r="D48" s="347"/>
      <c r="E48" s="347"/>
      <c r="F48" s="347"/>
      <c r="G48" s="347"/>
      <c r="H48" s="347"/>
      <c r="I48" s="347"/>
      <c r="J48" s="348"/>
      <c r="K48" s="162"/>
      <c r="L48" s="25" t="str">
        <f>IF(OR(K48&lt;&gt;"", Q40=TRUE), "",INDEX(TranslationTable[], MATCH(9043, TranslationTable[TranslationKeyId], 0), MATCH(LOWER(Language), TranslationTable[#Headers], 0)))</f>
        <v>Required</v>
      </c>
      <c r="M48" s="19"/>
      <c r="N48" s="19"/>
      <c r="O48" s="19"/>
      <c r="P48" s="33"/>
      <c r="Q48" s="20"/>
      <c r="R48" s="33"/>
      <c r="S48" s="52"/>
      <c r="T48" s="52"/>
      <c r="U48" s="52"/>
      <c r="V48" s="24"/>
      <c r="AA48" s="31" t="str">
        <f>IF(AND(Y40+Z40=0,K48=""), "Required", "")</f>
        <v>Required</v>
      </c>
    </row>
    <row r="49" spans="1:27" ht="22.35" customHeight="1" x14ac:dyDescent="0.25">
      <c r="A49" s="10"/>
      <c r="B49" s="33"/>
      <c r="C49" s="33"/>
      <c r="D49" s="33"/>
      <c r="E49" s="33"/>
      <c r="F49" s="33"/>
      <c r="G49" s="33"/>
      <c r="H49" s="33"/>
      <c r="I49" s="33"/>
      <c r="J49" s="33"/>
      <c r="K49" s="33"/>
      <c r="L49" s="33"/>
      <c r="M49" s="33"/>
      <c r="N49" s="33"/>
      <c r="O49" s="19"/>
      <c r="P49" s="33"/>
      <c r="Q49" s="20"/>
      <c r="R49" s="33"/>
      <c r="S49" s="52"/>
      <c r="T49" s="52"/>
      <c r="U49" s="52"/>
      <c r="V49" s="24"/>
      <c r="AA49" s="31" t="str">
        <f>IF(AND(K48="Yes", J50=""), "Required", "")</f>
        <v/>
      </c>
    </row>
    <row r="50" spans="1:27" ht="27.95" customHeight="1" x14ac:dyDescent="0.25">
      <c r="A50" s="10"/>
      <c r="B50" s="226" t="str">
        <f>INDEX(TranslationTable[], MATCH(125, TranslationTable[TranslationKeyId], 0), MATCH(TRIM(LOWER(Language)), TranslationTable[#Headers], 0))</f>
        <v>If answered yes, is your disability disaggregated data in accordance to the Washington Group questions?</v>
      </c>
      <c r="C50" s="227"/>
      <c r="D50" s="227"/>
      <c r="E50" s="227"/>
      <c r="F50" s="227"/>
      <c r="G50" s="227"/>
      <c r="H50" s="227"/>
      <c r="I50" s="227"/>
      <c r="J50" s="168"/>
      <c r="K50" s="25" t="str">
        <f>IF(AND(K48=YesLANG, J50=""),INDEX(TranslationTable[], MATCH(9043, TranslationTable[TranslationKeyId], 0), MATCH(LOWER(Language), TranslationTable[#Headers], 0)),"")</f>
        <v/>
      </c>
      <c r="L50" s="101" t="str">
        <f>IF(AND(L48=YesLANG, K50=""),INDEX(TranslationTable[], MATCH(9043, TranslationTable[Page], 0), MATCH(LOWER(Language), TranslationTable[#Headers], 0)),"")</f>
        <v/>
      </c>
      <c r="M50" s="101" t="str">
        <f>IF(AND(M48=YesLANG, L50=""),INDEX(TranslationTable[], MATCH(9043, TranslationTable[Key], 0), MATCH(LOWER(Language), TranslationTable[#Headers], 0)),"")</f>
        <v/>
      </c>
      <c r="N50"/>
      <c r="O50" s="19"/>
      <c r="P50" s="33"/>
      <c r="Q50" s="20"/>
      <c r="R50" s="33"/>
      <c r="S50" s="33"/>
      <c r="T50" s="33"/>
      <c r="U50" s="19"/>
      <c r="V50" s="24"/>
      <c r="AA50" s="31"/>
    </row>
    <row r="51" spans="1:27" ht="22.35" customHeight="1" x14ac:dyDescent="0.25">
      <c r="A51" s="10"/>
      <c r="B51" s="275"/>
      <c r="C51" s="275"/>
      <c r="D51" s="275"/>
      <c r="E51" s="275"/>
      <c r="F51" s="275"/>
      <c r="G51" s="275"/>
      <c r="H51" s="275"/>
      <c r="I51" s="275"/>
      <c r="J51" s="275"/>
      <c r="K51" s="275"/>
      <c r="L51" s="275"/>
      <c r="M51" s="19"/>
      <c r="N51" s="19"/>
      <c r="O51" s="19"/>
      <c r="P51" s="33"/>
      <c r="Q51" s="20"/>
      <c r="R51" s="33"/>
      <c r="S51" s="33"/>
      <c r="T51" s="33"/>
      <c r="U51" s="19"/>
      <c r="V51" s="24"/>
      <c r="AA51" s="31"/>
    </row>
    <row r="52" spans="1:27" ht="22.35" customHeight="1" x14ac:dyDescent="0.25">
      <c r="A52" s="10"/>
      <c r="B52" s="26"/>
      <c r="C52" s="149"/>
      <c r="D52" s="36"/>
      <c r="E52" s="36"/>
      <c r="F52" s="36"/>
      <c r="G52" s="19"/>
      <c r="H52" s="19"/>
      <c r="I52" s="19"/>
      <c r="J52" s="53"/>
      <c r="K52" s="53"/>
      <c r="L52" s="53"/>
      <c r="M52" s="53"/>
      <c r="N52" s="53"/>
      <c r="O52" s="19"/>
      <c r="P52" s="19"/>
      <c r="Q52" s="20"/>
      <c r="R52" s="53"/>
      <c r="S52" s="53"/>
      <c r="T52" s="53"/>
      <c r="U52" s="53"/>
      <c r="V52" s="24"/>
      <c r="AA52" s="31"/>
    </row>
    <row r="53" spans="1:27" ht="22.35" customHeight="1" x14ac:dyDescent="0.25">
      <c r="A53" s="10"/>
      <c r="B53" s="366" t="str">
        <f>IF(OR(Q53=TRUE,P59&lt;&gt;""), "", IFERROR(INDEX(TranslationTable[], MATCH(9043, TranslationTable[TranslationKeyId], 0), MATCH(LOWER(Language), TranslationTable[#Headers], 0)), ""))</f>
        <v>Required</v>
      </c>
      <c r="C53" s="367"/>
      <c r="D53" s="228" t="str">
        <f xml:space="preserve"> SUBSTITUTE(INDEX(TranslationTable[], MATCH(122, TranslationTable[TranslationKeyId], 0), MATCH(TRIM(LOWER($V$5)), TranslationTable[#Headers], 0)), "//", CHAR(10))</f>
        <v>Number of volunteers covered by accident insurance</v>
      </c>
      <c r="E53" s="228"/>
      <c r="F53" s="228"/>
      <c r="G53" s="228"/>
      <c r="H53" s="228"/>
      <c r="I53" s="228"/>
      <c r="J53" s="228"/>
      <c r="K53" s="228"/>
      <c r="L53" s="228"/>
      <c r="M53" s="228"/>
      <c r="N53" s="228"/>
      <c r="O53" s="228"/>
      <c r="P53" s="229"/>
      <c r="Q53" s="180" t="b">
        <v>0</v>
      </c>
      <c r="R53" s="377" t="str">
        <f>IF($V$5&lt;&gt;"AR",SUBSTITUTE(INDEX(TranslationTable[],MATCH(9002,TranslationTable[TranslationKeyId],0),MATCH(TRIM(LOWER($V$5)),TranslationTable[#Headers],0)),"//",CHAR(10)),
SUBSTITUTE(INDEX(TranslationTable[],MATCH(9002,TranslationTable[TranslationKeyId],0),MATCH(TRIM(LOWER($V$5)),TranslationTable[#Headers],0)),"//",CHAR(10))
)</f>
        <v>We do not collect data for this indicator</v>
      </c>
      <c r="S53" s="377"/>
      <c r="T53" s="377"/>
      <c r="U53" s="377"/>
      <c r="V53" s="49"/>
      <c r="Z53" s="5" t="b">
        <v>0</v>
      </c>
      <c r="AA53" s="31" t="str">
        <f>IF(OR(Y53,Z53,P59&lt;&gt;""),"","Required")</f>
        <v>Required</v>
      </c>
    </row>
    <row r="54" spans="1:27" ht="30" customHeight="1" x14ac:dyDescent="0.25">
      <c r="A54" s="10"/>
      <c r="B54" s="197" t="str">
        <f>INDEX(TranslationTable[], MATCH(3306, TranslationTable[TranslationKeyId], 0), MATCH(TRIM(LOWER($V$5)), TranslationTable[#Headers], 0))</f>
        <v>Age group</v>
      </c>
      <c r="C54" s="198"/>
      <c r="D54" s="54" t="s">
        <v>12</v>
      </c>
      <c r="E54" s="55" t="s">
        <v>13</v>
      </c>
      <c r="F54" s="55" t="s">
        <v>14</v>
      </c>
      <c r="G54" s="206" t="s">
        <v>6</v>
      </c>
      <c r="H54" s="207"/>
      <c r="I54" s="55" t="s">
        <v>7</v>
      </c>
      <c r="J54" s="55" t="s">
        <v>8</v>
      </c>
      <c r="K54" s="55" t="s">
        <v>9</v>
      </c>
      <c r="L54" s="55" t="s">
        <v>10</v>
      </c>
      <c r="M54" s="55" t="s">
        <v>11</v>
      </c>
      <c r="N54" s="374" t="str">
        <f>INDEX(TranslationTable[], MATCH(701, TranslationTable[TranslationKeyId], 0), MATCH(TRIM(LOWER($V$5)), TranslationTable[#Headers], 0))</f>
        <v>Unknown</v>
      </c>
      <c r="O54" s="375"/>
      <c r="P54" s="28" t="str">
        <f>INDEX(TranslationTable[], MATCH(6383, TranslationTable[TranslationKeyId], 0), MATCH(TRIM(LOWER($V$5)), TranslationTable[#Headers], 0))</f>
        <v>Total</v>
      </c>
      <c r="Q54" s="20"/>
      <c r="R54" s="53"/>
      <c r="S54" s="53"/>
      <c r="T54" s="53"/>
      <c r="U54" s="19"/>
      <c r="V54" s="24"/>
      <c r="AA54" s="31" t="str">
        <f>IF(OR(Y54,Z54,P62&lt;&gt;""),"","Required")</f>
        <v/>
      </c>
    </row>
    <row r="55" spans="1:27" ht="22.35" customHeight="1" x14ac:dyDescent="0.25">
      <c r="A55" s="10"/>
      <c r="B55" s="197" t="str">
        <f>INDEX(TranslationTable[], MATCH(3301, TranslationTable[TranslationKeyId], 0), MATCH(TRIM(LOWER($V$5)), TranslationTable[#Headers], 0))</f>
        <v>Male</v>
      </c>
      <c r="C55" s="198"/>
      <c r="D55" s="181"/>
      <c r="E55" s="1"/>
      <c r="F55" s="1"/>
      <c r="G55" s="208"/>
      <c r="H55" s="209"/>
      <c r="I55" s="1"/>
      <c r="J55" s="1"/>
      <c r="K55" s="1"/>
      <c r="L55" s="1"/>
      <c r="M55" s="1"/>
      <c r="N55" s="241"/>
      <c r="O55" s="242"/>
      <c r="P55" s="30" t="str">
        <f>IF(SUM(D55:O55)=0,"",SUM((D55:O55)))</f>
        <v/>
      </c>
      <c r="Q55" s="147"/>
      <c r="R55" s="243" t="str">
        <f xml:space="preserve"> SUBSTITUTE(INDEX(TranslationTable[], MATCH(960, TranslationTable[TranslationKeyId], 0), MATCH(TRIM(LOWER($V$5)), TranslationTable[#Headers], 0)), "//", CHAR(10))</f>
        <v>People that have given their time voluntarily to support the delivery of services of the reporting National Society for at least four hours during the Reporting Year              
        AND      
       who are covered under an accident insurance scheme of the National Society such as the IFRC global accident insurance scheme  or another similar scheme, during their activities for the National Society in the reporting year.</v>
      </c>
      <c r="S55" s="243"/>
      <c r="T55" s="243"/>
      <c r="U55" s="243"/>
      <c r="V55" s="244"/>
      <c r="AA55" s="31"/>
    </row>
    <row r="56" spans="1:27" ht="22.35" customHeight="1" x14ac:dyDescent="0.25">
      <c r="A56" s="10"/>
      <c r="B56" s="197" t="str">
        <f>INDEX(TranslationTable[],MATCH(3302,TranslationTable[TranslationKeyId],0),MATCH(TRIM(LOWER($V$5)),TranslationTable[#Headers],0))</f>
        <v>Female</v>
      </c>
      <c r="C56" s="198"/>
      <c r="D56" s="181"/>
      <c r="E56" s="1"/>
      <c r="F56" s="1"/>
      <c r="G56" s="194"/>
      <c r="H56" s="195"/>
      <c r="I56" s="1"/>
      <c r="J56" s="1"/>
      <c r="K56" s="1"/>
      <c r="L56" s="1"/>
      <c r="M56" s="1"/>
      <c r="N56" s="241"/>
      <c r="O56" s="242"/>
      <c r="P56" s="30" t="str">
        <f>IF(SUM(D56:O56)=0,"",SUM((D56:O56)))</f>
        <v/>
      </c>
      <c r="Q56" s="147"/>
      <c r="R56" s="243"/>
      <c r="S56" s="243"/>
      <c r="T56" s="243"/>
      <c r="U56" s="243"/>
      <c r="V56" s="244"/>
      <c r="AA56" s="31"/>
    </row>
    <row r="57" spans="1:27" ht="22.35" customHeight="1" x14ac:dyDescent="0.25">
      <c r="A57" s="10"/>
      <c r="B57" s="197" t="str">
        <f>INDEX(TranslationTable[], MATCH(9001, TranslationTable[TranslationKeyId], 0), MATCH(TRIM(LOWER($V$5)), TranslationTable[#Headers], 0))</f>
        <v>Non-binary</v>
      </c>
      <c r="C57" s="198"/>
      <c r="D57" s="181"/>
      <c r="E57" s="1"/>
      <c r="F57" s="1"/>
      <c r="G57" s="194"/>
      <c r="H57" s="195"/>
      <c r="I57" s="1"/>
      <c r="J57" s="1"/>
      <c r="K57" s="1"/>
      <c r="L57" s="1"/>
      <c r="M57" s="1"/>
      <c r="N57" s="241"/>
      <c r="O57" s="242"/>
      <c r="P57" s="30" t="str">
        <f>IF(SUM(D57:O57)=0,"",SUM((D57:O57)))</f>
        <v/>
      </c>
      <c r="Q57" s="147"/>
      <c r="R57" s="243"/>
      <c r="S57" s="243"/>
      <c r="T57" s="243"/>
      <c r="U57" s="243"/>
      <c r="V57" s="244"/>
      <c r="AA57" s="31"/>
    </row>
    <row r="58" spans="1:27" ht="22.35" customHeight="1" x14ac:dyDescent="0.25">
      <c r="A58" s="10"/>
      <c r="B58" s="197" t="str">
        <f>INDEX(TranslationTable[], MATCH(701, TranslationTable[TranslationKeyId], 0), MATCH(TRIM(LOWER($V$5)), TranslationTable[#Headers], 0))</f>
        <v>Unknown</v>
      </c>
      <c r="C58" s="198"/>
      <c r="D58" s="142"/>
      <c r="E58" s="142"/>
      <c r="F58" s="142"/>
      <c r="G58" s="190"/>
      <c r="H58" s="191"/>
      <c r="I58" s="142"/>
      <c r="J58" s="142"/>
      <c r="K58" s="142"/>
      <c r="L58" s="142"/>
      <c r="M58" s="142"/>
      <c r="N58" s="248"/>
      <c r="O58" s="249"/>
      <c r="P58" s="30" t="str">
        <f>IF(SUM(D58:O58)=0,"",SUM((D58:O58)))</f>
        <v/>
      </c>
      <c r="Q58" s="147"/>
      <c r="R58" s="243"/>
      <c r="S58" s="243"/>
      <c r="T58" s="243"/>
      <c r="U58" s="243"/>
      <c r="V58" s="244"/>
      <c r="AA58" s="31"/>
    </row>
    <row r="59" spans="1:27" ht="22.35" customHeight="1" x14ac:dyDescent="0.25">
      <c r="A59" s="10"/>
      <c r="B59" s="197" t="str">
        <f>INDEX(TranslationTable[], MATCH(6383, TranslationTable[TranslationKeyId], 0), MATCH(TRIM(LOWER($V$5)), TranslationTable[#Headers], 0))</f>
        <v>Total</v>
      </c>
      <c r="C59" s="198"/>
      <c r="D59" s="30" t="str">
        <f t="shared" ref="D59:P59" si="2">IF(SUM(D55:D58)=0,"",SUM(D55:D58))</f>
        <v/>
      </c>
      <c r="E59" s="30" t="str">
        <f t="shared" si="2"/>
        <v/>
      </c>
      <c r="F59" s="30" t="str">
        <f t="shared" si="2"/>
        <v/>
      </c>
      <c r="G59" s="188" t="str">
        <f t="shared" si="2"/>
        <v/>
      </c>
      <c r="H59" s="189"/>
      <c r="I59" s="30" t="str">
        <f t="shared" si="2"/>
        <v/>
      </c>
      <c r="J59" s="30" t="str">
        <f t="shared" si="2"/>
        <v/>
      </c>
      <c r="K59" s="30" t="str">
        <f t="shared" si="2"/>
        <v/>
      </c>
      <c r="L59" s="30" t="str">
        <f t="shared" si="2"/>
        <v/>
      </c>
      <c r="M59" s="30" t="str">
        <f t="shared" si="2"/>
        <v/>
      </c>
      <c r="N59" s="239" t="str">
        <f t="shared" si="2"/>
        <v/>
      </c>
      <c r="O59" s="240"/>
      <c r="P59" s="30" t="str">
        <f t="shared" si="2"/>
        <v/>
      </c>
      <c r="Q59" s="147"/>
      <c r="R59" s="243"/>
      <c r="S59" s="243"/>
      <c r="T59" s="243"/>
      <c r="U59" s="243"/>
      <c r="V59" s="244"/>
      <c r="AA59" s="31"/>
    </row>
    <row r="60" spans="1:27" ht="22.35" customHeight="1" x14ac:dyDescent="0.25">
      <c r="A60" s="10"/>
      <c r="B60" s="26"/>
      <c r="C60" s="149"/>
      <c r="D60" s="19"/>
      <c r="E60" s="19"/>
      <c r="F60" s="19"/>
      <c r="G60" s="19"/>
      <c r="H60" s="19"/>
      <c r="I60" s="19"/>
      <c r="J60" s="19"/>
      <c r="K60" s="19"/>
      <c r="L60" s="19"/>
      <c r="M60" s="53"/>
      <c r="N60" s="53"/>
      <c r="O60" s="19"/>
      <c r="P60" s="19"/>
      <c r="Q60" s="19"/>
      <c r="R60" s="53"/>
      <c r="S60" s="53"/>
      <c r="T60" s="53"/>
      <c r="U60" s="19"/>
      <c r="V60" s="24"/>
      <c r="AA60" s="31"/>
    </row>
    <row r="61" spans="1:27" ht="22.35" customHeight="1" x14ac:dyDescent="0.25">
      <c r="A61" s="10"/>
      <c r="B61" s="366" t="str">
        <f>IF(OR(Q61=TRUE,P67&lt;&gt;""), "", IFERROR(INDEX(TranslationTable[], MATCH(9043, TranslationTable[TranslationKeyId], 0), MATCH(LOWER(Language), TranslationTable[#Headers], 0)), ""))</f>
        <v>Required</v>
      </c>
      <c r="C61" s="367"/>
      <c r="D61" s="228" t="str">
        <f xml:space="preserve"> SUBSTITUTE(INDEX(TranslationTable[], MATCH(123, TranslationTable[TranslationKeyId], 0), MATCH(TRIM(LOWER($V$5)), TranslationTable[#Headers], 0)), "//", CHAR(10))</f>
        <v>Number of volunteer deaths on duty</v>
      </c>
      <c r="E61" s="228"/>
      <c r="F61" s="228"/>
      <c r="G61" s="228"/>
      <c r="H61" s="228"/>
      <c r="I61" s="228"/>
      <c r="J61" s="228"/>
      <c r="K61" s="228"/>
      <c r="L61" s="228"/>
      <c r="M61" s="228"/>
      <c r="N61" s="228"/>
      <c r="O61" s="228"/>
      <c r="P61" s="229"/>
      <c r="Q61" s="180" t="b">
        <v>0</v>
      </c>
      <c r="R61" s="377" t="str">
        <f>IF($V$5&lt;&gt;"AR",SUBSTITUTE(INDEX(TranslationTable[],MATCH(9002,TranslationTable[TranslationKeyId],0),MATCH(TRIM(LOWER($V$5)),TranslationTable[#Headers],0)),"//",CHAR(10)),
SUBSTITUTE(INDEX(TranslationTable[],MATCH(9002,TranslationTable[TranslationKeyId],0),MATCH(TRIM(LOWER($V$5)),TranslationTable[#Headers],0)),"//",CHAR(10))
)</f>
        <v>We do not collect data for this indicator</v>
      </c>
      <c r="S61" s="377"/>
      <c r="T61" s="377"/>
      <c r="U61" s="377"/>
      <c r="V61" s="49"/>
      <c r="Z61" s="5" t="b">
        <v>0</v>
      </c>
      <c r="AA61" s="31" t="str">
        <f>IF(OR(Y61,Z61,P67&lt;&gt;""),"","Required")</f>
        <v>Required</v>
      </c>
    </row>
    <row r="62" spans="1:27" ht="30" customHeight="1" x14ac:dyDescent="0.25">
      <c r="A62" s="10"/>
      <c r="B62" s="197" t="str">
        <f>INDEX(TranslationTable[], MATCH(3306, TranslationTable[TranslationKeyId], 0), MATCH(TRIM(LOWER($V$5)), TranslationTable[#Headers], 0))</f>
        <v>Age group</v>
      </c>
      <c r="C62" s="198"/>
      <c r="D62" s="54" t="s">
        <v>12</v>
      </c>
      <c r="E62" s="55" t="s">
        <v>13</v>
      </c>
      <c r="F62" s="55" t="s">
        <v>14</v>
      </c>
      <c r="G62" s="206" t="s">
        <v>6</v>
      </c>
      <c r="H62" s="207"/>
      <c r="I62" s="55" t="s">
        <v>7</v>
      </c>
      <c r="J62" s="55" t="s">
        <v>8</v>
      </c>
      <c r="K62" s="55" t="s">
        <v>9</v>
      </c>
      <c r="L62" s="55" t="s">
        <v>10</v>
      </c>
      <c r="M62" s="55" t="s">
        <v>11</v>
      </c>
      <c r="N62" s="374" t="str">
        <f>INDEX(TranslationTable[], MATCH(701, TranslationTable[TranslationKeyId], 0), MATCH(TRIM(LOWER($V$5)), TranslationTable[#Headers], 0))</f>
        <v>Unknown</v>
      </c>
      <c r="O62" s="375"/>
      <c r="P62" s="28" t="str">
        <f>INDEX(TranslationTable[], MATCH(6383, TranslationTable[TranslationKeyId], 0), MATCH(TRIM(LOWER($V$5)), TranslationTable[#Headers], 0))</f>
        <v>Total</v>
      </c>
      <c r="Q62" s="147"/>
      <c r="R62" s="53"/>
      <c r="S62" s="53"/>
      <c r="T62" s="53"/>
      <c r="U62" s="19"/>
      <c r="V62" s="24"/>
      <c r="AA62" s="31"/>
    </row>
    <row r="63" spans="1:27" ht="22.35" customHeight="1" x14ac:dyDescent="0.25">
      <c r="A63" s="10"/>
      <c r="B63" s="197" t="str">
        <f>INDEX(TranslationTable[], MATCH(3301, TranslationTable[TranslationKeyId], 0), MATCH(TRIM(LOWER($V$5)), TranslationTable[#Headers], 0))</f>
        <v>Male</v>
      </c>
      <c r="C63" s="198"/>
      <c r="D63" s="181"/>
      <c r="E63" s="1"/>
      <c r="F63" s="1"/>
      <c r="G63" s="208"/>
      <c r="H63" s="209"/>
      <c r="I63" s="1"/>
      <c r="J63" s="1"/>
      <c r="K63" s="1"/>
      <c r="L63" s="1"/>
      <c r="M63" s="1"/>
      <c r="N63" s="241"/>
      <c r="O63" s="242"/>
      <c r="P63" s="30" t="str">
        <f>IF(SUM(D63:O63)=0,"",SUM((D63:O63)))</f>
        <v/>
      </c>
      <c r="Q63" s="148"/>
      <c r="R63" s="243" t="str">
        <f xml:space="preserve"> SUBSTITUTE(INDEX(TranslationTable[], MATCH(962, TranslationTable[TranslationKeyId], 0), MATCH(TRIM(LOWER($V$5)), TranslationTable[#Headers], 0)), "//", CHAR(10))</f>
        <v>People that have given their time voluntarily to support the delivery of services of the reporting National Society for at least four hours during the Reporting Year                
           AND              
        who have died during the Reporting Year while performing duties for the reporting National Society</v>
      </c>
      <c r="S63" s="243"/>
      <c r="T63" s="243"/>
      <c r="U63" s="243"/>
      <c r="V63" s="244"/>
      <c r="AA63" s="31"/>
    </row>
    <row r="64" spans="1:27" ht="22.35" customHeight="1" x14ac:dyDescent="0.25">
      <c r="A64" s="10"/>
      <c r="B64" s="197" t="str">
        <f>INDEX(TranslationTable[], MATCH(3302, TranslationTable[TranslationKeyId], 0), MATCH(TRIM(LOWER($V$5)), TranslationTable[#Headers], 0))</f>
        <v>Female</v>
      </c>
      <c r="C64" s="198"/>
      <c r="D64" s="181"/>
      <c r="E64" s="1"/>
      <c r="F64" s="1"/>
      <c r="G64" s="194"/>
      <c r="H64" s="195"/>
      <c r="I64" s="1"/>
      <c r="J64" s="1"/>
      <c r="K64" s="1"/>
      <c r="L64" s="1"/>
      <c r="M64" s="1"/>
      <c r="N64" s="241"/>
      <c r="O64" s="242"/>
      <c r="P64" s="30" t="str">
        <f>IF(SUM(D64:O64)=0,"",SUM((D64:O64)))</f>
        <v/>
      </c>
      <c r="Q64" s="148"/>
      <c r="R64" s="243"/>
      <c r="S64" s="243"/>
      <c r="T64" s="243"/>
      <c r="U64" s="243"/>
      <c r="V64" s="244"/>
      <c r="AA64" s="31"/>
    </row>
    <row r="65" spans="1:27" ht="22.35" customHeight="1" x14ac:dyDescent="0.25">
      <c r="A65" s="10"/>
      <c r="B65" s="197" t="str">
        <f>INDEX(TranslationTable[], MATCH(9001, TranslationTable[TranslationKeyId], 0), MATCH(TRIM(LOWER($V$5)), TranslationTable[#Headers], 0))</f>
        <v>Non-binary</v>
      </c>
      <c r="C65" s="198"/>
      <c r="D65" s="181"/>
      <c r="E65" s="1"/>
      <c r="F65" s="1"/>
      <c r="G65" s="194"/>
      <c r="H65" s="195"/>
      <c r="I65" s="1"/>
      <c r="J65" s="1"/>
      <c r="K65" s="1"/>
      <c r="L65" s="1"/>
      <c r="M65" s="1"/>
      <c r="N65" s="241"/>
      <c r="O65" s="242"/>
      <c r="P65" s="30" t="str">
        <f>IF(SUM(D65:O65)=0,"",SUM((D65:O65)))</f>
        <v/>
      </c>
      <c r="Q65" s="148"/>
      <c r="R65" s="243"/>
      <c r="S65" s="243"/>
      <c r="T65" s="243"/>
      <c r="U65" s="243"/>
      <c r="V65" s="244"/>
      <c r="AA65" s="31"/>
    </row>
    <row r="66" spans="1:27" ht="22.35" customHeight="1" x14ac:dyDescent="0.25">
      <c r="A66" s="10"/>
      <c r="B66" s="197" t="str">
        <f>INDEX(TranslationTable[], MATCH(701, TranslationTable[TranslationKeyId], 0), MATCH(TRIM(LOWER($V$5)), TranslationTable[#Headers], 0))</f>
        <v>Unknown</v>
      </c>
      <c r="C66" s="198"/>
      <c r="D66" s="142"/>
      <c r="E66" s="142"/>
      <c r="F66" s="142"/>
      <c r="G66" s="190"/>
      <c r="H66" s="191"/>
      <c r="I66" s="142"/>
      <c r="J66" s="142"/>
      <c r="K66" s="142"/>
      <c r="L66" s="142"/>
      <c r="M66" s="142"/>
      <c r="N66" s="248"/>
      <c r="O66" s="249"/>
      <c r="P66" s="30" t="str">
        <f>IF(SUM(D66:O66)=0,"",SUM((D66:O66)))</f>
        <v/>
      </c>
      <c r="Q66" s="148"/>
      <c r="R66" s="243"/>
      <c r="S66" s="243"/>
      <c r="T66" s="243"/>
      <c r="U66" s="243"/>
      <c r="V66" s="244"/>
      <c r="AA66" s="31"/>
    </row>
    <row r="67" spans="1:27" ht="22.35" customHeight="1" x14ac:dyDescent="0.25">
      <c r="A67" s="10"/>
      <c r="B67" s="197" t="str">
        <f>INDEX(TranslationTable[], MATCH(6383, TranslationTable[TranslationKeyId], 0), MATCH(TRIM(LOWER($V$5)), TranslationTable[#Headers], 0))</f>
        <v>Total</v>
      </c>
      <c r="C67" s="198"/>
      <c r="D67" s="30" t="str">
        <f>IF(SUM(D63:D66)=0,"",SUM(D63:D66))</f>
        <v/>
      </c>
      <c r="E67" s="30" t="str">
        <f t="shared" ref="E67:L67" si="3">IF(SUM(E63:E66)=0,"",SUM(E63:E66))</f>
        <v/>
      </c>
      <c r="F67" s="30" t="str">
        <f t="shared" si="3"/>
        <v/>
      </c>
      <c r="G67" s="188" t="str">
        <f t="shared" si="3"/>
        <v/>
      </c>
      <c r="H67" s="189"/>
      <c r="I67" s="30" t="str">
        <f t="shared" si="3"/>
        <v/>
      </c>
      <c r="J67" s="30" t="str">
        <f t="shared" si="3"/>
        <v/>
      </c>
      <c r="K67" s="30" t="str">
        <f t="shared" si="3"/>
        <v/>
      </c>
      <c r="L67" s="30" t="str">
        <f t="shared" si="3"/>
        <v/>
      </c>
      <c r="M67" s="30" t="str">
        <f>IF(SUM(M63:M66)=0,"",SUM(M63:M66))</f>
        <v/>
      </c>
      <c r="N67" s="239" t="str">
        <f>IF(SUM(O63:O66)=0,"",SUM(O63:O66))</f>
        <v/>
      </c>
      <c r="O67" s="240"/>
      <c r="P67" s="30" t="str">
        <f>IF(SUM(P63:P66)=0,"",SUM(P63:P66))</f>
        <v/>
      </c>
      <c r="Q67" s="148"/>
      <c r="R67" s="243"/>
      <c r="S67" s="243"/>
      <c r="T67" s="243"/>
      <c r="U67" s="243"/>
      <c r="V67" s="244"/>
      <c r="AA67" s="31"/>
    </row>
    <row r="68" spans="1:27" ht="22.35" customHeight="1" x14ac:dyDescent="0.25">
      <c r="A68" s="10"/>
      <c r="B68" s="56"/>
      <c r="C68" s="138"/>
      <c r="D68" s="57"/>
      <c r="E68" s="57"/>
      <c r="F68" s="57"/>
      <c r="G68" s="58"/>
      <c r="H68" s="58"/>
      <c r="I68" s="58"/>
      <c r="J68" s="59"/>
      <c r="K68" s="59"/>
      <c r="L68" s="59"/>
      <c r="M68" s="59"/>
      <c r="N68" s="59"/>
      <c r="O68" s="58"/>
      <c r="P68" s="58"/>
      <c r="Q68" s="58"/>
      <c r="R68" s="59"/>
      <c r="S68" s="59"/>
      <c r="T68" s="59"/>
      <c r="U68" s="59"/>
      <c r="V68" s="60"/>
      <c r="AA68" s="31"/>
    </row>
    <row r="69" spans="1:27" ht="22.35" customHeight="1" x14ac:dyDescent="0.25">
      <c r="A69" s="10"/>
      <c r="B69" s="253" t="str">
        <f>"1.4 "&amp; SUBSTITUTE(INDEX(TranslationTable[],MATCH(936,TranslationTable[TranslationKeyId],0),MATCH(TRIM(LOWER($V$5)),TranslationTable[#Headers],0)),"//",CHAR(10))</f>
        <v>1.4 National Society Staff</v>
      </c>
      <c r="C69" s="254"/>
      <c r="D69" s="254"/>
      <c r="E69" s="254"/>
      <c r="F69" s="41"/>
      <c r="G69" s="41"/>
      <c r="H69" s="41"/>
      <c r="I69" s="41"/>
      <c r="J69" s="41"/>
      <c r="K69" s="41"/>
      <c r="L69" s="41"/>
      <c r="M69" s="41"/>
      <c r="N69" s="41"/>
      <c r="O69" s="41"/>
      <c r="P69" s="41"/>
      <c r="Q69" s="41"/>
      <c r="R69" s="41"/>
      <c r="S69" s="41"/>
      <c r="T69" s="41"/>
      <c r="U69" s="41"/>
      <c r="V69" s="41"/>
      <c r="AA69" s="31"/>
    </row>
    <row r="70" spans="1:27" ht="22.35" customHeight="1" x14ac:dyDescent="0.25">
      <c r="A70" s="10"/>
      <c r="B70" s="26"/>
      <c r="C70" s="149"/>
      <c r="D70" s="45"/>
      <c r="E70" s="45"/>
      <c r="F70" s="45"/>
      <c r="G70" s="45"/>
      <c r="H70" s="45"/>
      <c r="I70" s="45"/>
      <c r="J70" s="45"/>
      <c r="K70" s="45"/>
      <c r="L70" s="45"/>
      <c r="M70" s="45"/>
      <c r="N70" s="45"/>
      <c r="O70" s="45"/>
      <c r="P70" s="45"/>
      <c r="Q70" s="45"/>
      <c r="R70" s="45"/>
      <c r="S70" s="45"/>
      <c r="T70" s="45"/>
      <c r="U70" s="45"/>
      <c r="V70" s="61"/>
      <c r="AA70" s="31"/>
    </row>
    <row r="71" spans="1:27" ht="22.35" customHeight="1" x14ac:dyDescent="0.25">
      <c r="A71" s="10"/>
      <c r="B71" s="366" t="str">
        <f>IF(OR(N71=TRUE,M77&lt;&gt;""), "", IFERROR(INDEX(TranslationTable[], MATCH(9043, TranslationTable[TranslationKeyId], 0), MATCH(LOWER(Language), TranslationTable[#Headers], 0)), ""))</f>
        <v>Required</v>
      </c>
      <c r="C71" s="367"/>
      <c r="D71" s="228" t="str">
        <f xml:space="preserve"> SUBSTITUTE(INDEX(TranslationTable[], MATCH(127, TranslationTable[TranslationKeyId], 0), MATCH(TRIM(LOWER($V$5)), TranslationTable[#Headers], 0)), "//", CHAR(10))</f>
        <v>Number of paid staff</v>
      </c>
      <c r="E71" s="228"/>
      <c r="F71" s="228"/>
      <c r="G71" s="228"/>
      <c r="H71" s="228"/>
      <c r="I71" s="228"/>
      <c r="J71" s="228"/>
      <c r="K71" s="228"/>
      <c r="L71" s="228"/>
      <c r="M71" s="229"/>
      <c r="N71" s="180" t="b">
        <v>0</v>
      </c>
      <c r="O71" s="368" t="str">
        <f>IF($V$5&lt;&gt;"AR",SUBSTITUTE(INDEX(TranslationTable[],MATCH(9002,TranslationTable[TranslationKeyId],0),MATCH(TRIM(LOWER($V$5)),TranslationTable[#Headers],0)),"//",CHAR(10)),
SUBSTITUTE(INDEX(TranslationTable[],MATCH(9002,TranslationTable[TranslationKeyId],0),MATCH(TRIM(LOWER($V$5)),TranslationTable[#Headers],0)),"//",CHAR(10))
)</f>
        <v>We do not collect data for this indicator</v>
      </c>
      <c r="P71" s="368"/>
      <c r="Q71" s="368"/>
      <c r="R71" s="368"/>
      <c r="S71" s="368"/>
      <c r="T71" s="25"/>
      <c r="U71" s="19"/>
      <c r="V71" s="24"/>
      <c r="Z71" s="5" t="b">
        <v>0</v>
      </c>
      <c r="AA71" s="31" t="str">
        <f>IF(OR(Y71,Z71,M77&lt;&gt;""),"","Required")</f>
        <v>Required</v>
      </c>
    </row>
    <row r="72" spans="1:27" ht="30" customHeight="1" x14ac:dyDescent="0.25">
      <c r="A72" s="10"/>
      <c r="B72" s="197" t="str">
        <f>INDEX(TranslationTable[], MATCH(3306, TranslationTable[TranslationKeyId], 0), MATCH(TRIM(LOWER($V$5)), TranslationTable[#Headers], 0))</f>
        <v>Age group</v>
      </c>
      <c r="C72" s="198"/>
      <c r="D72" s="29" t="s">
        <v>15</v>
      </c>
      <c r="E72" s="29" t="s">
        <v>6</v>
      </c>
      <c r="F72" s="29" t="s">
        <v>7</v>
      </c>
      <c r="G72" s="206" t="s">
        <v>8</v>
      </c>
      <c r="H72" s="207"/>
      <c r="I72" s="29" t="s">
        <v>9</v>
      </c>
      <c r="J72" s="29" t="s">
        <v>10</v>
      </c>
      <c r="K72" s="29" t="s">
        <v>11</v>
      </c>
      <c r="L72" s="136" t="str">
        <f>INDEX(TranslationTable[], MATCH(701, TranslationTable[TranslationKeyId], 0), MATCH(TRIM(LOWER($V$5)), TranslationTable[#Headers], 0))</f>
        <v>Unknown</v>
      </c>
      <c r="M72" s="28" t="str">
        <f>INDEX(TranslationTable[], MATCH(6383, TranslationTable[TranslationKeyId], 0), MATCH(TRIM(LOWER($V$5)), TranslationTable[#Headers], 0))</f>
        <v>Total</v>
      </c>
      <c r="N72" s="20"/>
      <c r="O72" s="19"/>
      <c r="P72" s="19"/>
      <c r="Q72" s="19"/>
      <c r="R72" s="19"/>
      <c r="S72" s="19"/>
      <c r="T72" s="19"/>
      <c r="U72" s="19"/>
      <c r="V72" s="24"/>
      <c r="AA72" s="31"/>
    </row>
    <row r="73" spans="1:27" ht="22.35" customHeight="1" x14ac:dyDescent="0.25">
      <c r="A73" s="10"/>
      <c r="B73" s="197" t="str">
        <f>INDEX(TranslationTable[], MATCH(3301, TranslationTable[TranslationKeyId], 0), MATCH(TRIM(LOWER($V$5)), TranslationTable[#Headers], 0))</f>
        <v>Male</v>
      </c>
      <c r="C73" s="198"/>
      <c r="D73" s="181"/>
      <c r="E73" s="1"/>
      <c r="F73" s="1"/>
      <c r="G73" s="208"/>
      <c r="H73" s="209"/>
      <c r="I73" s="1"/>
      <c r="J73" s="1"/>
      <c r="K73" s="1"/>
      <c r="L73" s="141"/>
      <c r="M73" s="30" t="str">
        <f>IF(SUM(D73:L73)=0,"",SUM(D73:L73))</f>
        <v/>
      </c>
      <c r="N73" s="20"/>
      <c r="O73" s="243" t="str">
        <f xml:space="preserve"> SUBSTITUTE(INDEX(TranslationTable[], MATCH(964, TranslationTable[TranslationKeyId], 0), MATCH(TRIM(LOWER($V$5)), TranslationTable[#Headers], 0)), "//", CHAR(10))</f>
        <v>People who are contracted by the Reporting National Society for a minimum of three months in total during the Reporting Year and are either remunerated for their work or are interns.</v>
      </c>
      <c r="P73" s="243"/>
      <c r="Q73" s="243"/>
      <c r="R73" s="243"/>
      <c r="S73" s="243"/>
      <c r="T73" s="243"/>
      <c r="U73" s="19"/>
      <c r="V73" s="24"/>
      <c r="AA73" s="31"/>
    </row>
    <row r="74" spans="1:27" ht="22.35" customHeight="1" x14ac:dyDescent="0.25">
      <c r="A74" s="10"/>
      <c r="B74" s="197" t="str">
        <f>INDEX(TranslationTable[], MATCH(3302, TranslationTable[TranslationKeyId], 0), MATCH(TRIM(LOWER($V$5)), TranslationTable[#Headers], 0))</f>
        <v>Female</v>
      </c>
      <c r="C74" s="198"/>
      <c r="D74" s="181"/>
      <c r="E74" s="1"/>
      <c r="F74" s="1"/>
      <c r="G74" s="194"/>
      <c r="H74" s="195"/>
      <c r="I74" s="1"/>
      <c r="J74" s="1"/>
      <c r="K74" s="1"/>
      <c r="L74" s="141"/>
      <c r="M74" s="30" t="str">
        <f>IF(SUM(D74:L74)=0,"",SUM(D74:L74))</f>
        <v/>
      </c>
      <c r="N74" s="20"/>
      <c r="O74" s="243"/>
      <c r="P74" s="243"/>
      <c r="Q74" s="243"/>
      <c r="R74" s="243"/>
      <c r="S74" s="243"/>
      <c r="T74" s="243"/>
      <c r="U74" s="19"/>
      <c r="V74" s="24"/>
      <c r="AA74" s="31"/>
    </row>
    <row r="75" spans="1:27" ht="22.35" customHeight="1" x14ac:dyDescent="0.25">
      <c r="A75" s="10"/>
      <c r="B75" s="197" t="str">
        <f>INDEX(TranslationTable[], MATCH(9001, TranslationTable[TranslationKeyId], 0), MATCH(TRIM(LOWER($V$5)), TranslationTable[#Headers], 0))</f>
        <v>Non-binary</v>
      </c>
      <c r="C75" s="198"/>
      <c r="D75" s="181"/>
      <c r="E75" s="1"/>
      <c r="F75" s="1"/>
      <c r="G75" s="194"/>
      <c r="H75" s="195"/>
      <c r="I75" s="1"/>
      <c r="J75" s="1"/>
      <c r="K75" s="1"/>
      <c r="L75" s="141"/>
      <c r="M75" s="30" t="str">
        <f>IF(SUM(D75:L75)=0,"",SUM(D75:L75))</f>
        <v/>
      </c>
      <c r="N75" s="20"/>
      <c r="O75" s="243"/>
      <c r="P75" s="243"/>
      <c r="Q75" s="243"/>
      <c r="R75" s="243"/>
      <c r="S75" s="243"/>
      <c r="T75" s="243"/>
      <c r="U75" s="19"/>
      <c r="V75" s="24"/>
      <c r="AA75" s="31"/>
    </row>
    <row r="76" spans="1:27" ht="22.35" customHeight="1" x14ac:dyDescent="0.25">
      <c r="A76" s="10"/>
      <c r="B76" s="197" t="str">
        <f>INDEX(TranslationTable[], MATCH(701, TranslationTable[TranslationKeyId], 0), MATCH(TRIM(LOWER($V$5)), TranslationTable[#Headers], 0))</f>
        <v>Unknown</v>
      </c>
      <c r="C76" s="198"/>
      <c r="D76" s="142"/>
      <c r="E76" s="142"/>
      <c r="F76" s="142"/>
      <c r="G76" s="190"/>
      <c r="H76" s="191"/>
      <c r="I76" s="142"/>
      <c r="J76" s="142"/>
      <c r="K76" s="142"/>
      <c r="L76" s="140"/>
      <c r="M76" s="30" t="str">
        <f>IF(SUM(D76:L76)=0,"",SUM(D76:L76))</f>
        <v/>
      </c>
      <c r="N76" s="20"/>
      <c r="O76" s="243"/>
      <c r="P76" s="243"/>
      <c r="Q76" s="243"/>
      <c r="R76" s="243"/>
      <c r="S76" s="243"/>
      <c r="T76" s="243"/>
      <c r="U76" s="19"/>
      <c r="V76" s="24"/>
      <c r="AA76" s="31"/>
    </row>
    <row r="77" spans="1:27" ht="22.35" customHeight="1" x14ac:dyDescent="0.25">
      <c r="A77" s="10"/>
      <c r="B77" s="197" t="str">
        <f>INDEX(TranslationTable[], MATCH(6383, TranslationTable[TranslationKeyId], 0), MATCH(TRIM(LOWER($V$5)), TranslationTable[#Headers], 0))</f>
        <v>Total</v>
      </c>
      <c r="C77" s="198"/>
      <c r="D77" s="30" t="str">
        <f>IF(SUM(D73:D76)=0,"",SUM(D73:D76))</f>
        <v/>
      </c>
      <c r="E77" s="30" t="str">
        <f t="shared" ref="E77:L77" si="4">IF(SUM(E73:E76)=0,"",SUM(E73:E76))</f>
        <v/>
      </c>
      <c r="F77" s="30" t="str">
        <f t="shared" si="4"/>
        <v/>
      </c>
      <c r="G77" s="188" t="str">
        <f t="shared" si="4"/>
        <v/>
      </c>
      <c r="H77" s="189"/>
      <c r="I77" s="30" t="str">
        <f t="shared" si="4"/>
        <v/>
      </c>
      <c r="J77" s="30" t="str">
        <f t="shared" si="4"/>
        <v/>
      </c>
      <c r="K77" s="30" t="str">
        <f t="shared" si="4"/>
        <v/>
      </c>
      <c r="L77" s="30" t="str">
        <f t="shared" si="4"/>
        <v/>
      </c>
      <c r="M77" s="30" t="str">
        <f>IF(SUM(M73:M76)=0,"",SUM(M73:M76))</f>
        <v/>
      </c>
      <c r="N77" s="20"/>
      <c r="O77" s="243"/>
      <c r="P77" s="243"/>
      <c r="Q77" s="243"/>
      <c r="R77" s="243"/>
      <c r="S77" s="243"/>
      <c r="T77" s="243"/>
      <c r="U77" s="19"/>
      <c r="V77" s="24"/>
      <c r="AA77" s="31"/>
    </row>
    <row r="78" spans="1:27" ht="22.35" customHeight="1" x14ac:dyDescent="0.25">
      <c r="A78" s="10"/>
      <c r="B78" s="18"/>
      <c r="C78" s="18"/>
      <c r="D78" s="19"/>
      <c r="E78" s="19"/>
      <c r="F78" s="19"/>
      <c r="G78" s="19"/>
      <c r="H78" s="19"/>
      <c r="I78" s="19"/>
      <c r="J78" s="19"/>
      <c r="K78" s="19"/>
      <c r="L78" s="19"/>
      <c r="M78" s="19"/>
      <c r="N78" s="19"/>
      <c r="O78" s="19"/>
      <c r="P78" s="19"/>
      <c r="Q78" s="19"/>
      <c r="R78" s="19"/>
      <c r="S78" s="19"/>
      <c r="T78" s="19"/>
      <c r="U78" s="19"/>
      <c r="V78" s="24"/>
      <c r="AA78" s="31"/>
    </row>
    <row r="79" spans="1:27" s="165" customFormat="1" ht="27.95" customHeight="1" x14ac:dyDescent="0.25">
      <c r="A79" s="161"/>
      <c r="B79" s="262" t="str">
        <f>INDEX(TranslationTable[], MATCH(124, TranslationTable[TranslationKeyId], 0), MATCH(TRIM(LOWER($V$5)), TranslationTable[#Headers], 0))</f>
        <v>Is your National Society capturing disaggregated data based on disability for this indicator, i.e.the number of persons with disabilities?</v>
      </c>
      <c r="C79" s="263"/>
      <c r="D79" s="263"/>
      <c r="E79" s="263"/>
      <c r="F79" s="263"/>
      <c r="G79" s="263"/>
      <c r="H79" s="263"/>
      <c r="I79" s="263"/>
      <c r="J79" s="264"/>
      <c r="K79" s="162"/>
      <c r="L79" s="25" t="str">
        <f>IF(OR(K79&lt;&gt;"", N71=TRUE), "", INDEX(TranslationTable[], MATCH(9043, TranslationTable[TranslationKeyId], 0), MATCH(LOWER(Language), TranslationTable[#Headers], 0)))</f>
        <v>Required</v>
      </c>
      <c r="M79" s="35"/>
      <c r="N79" s="35"/>
      <c r="O79" s="18"/>
      <c r="P79" s="35"/>
      <c r="Q79" s="35"/>
      <c r="R79" s="35"/>
      <c r="S79" s="35"/>
      <c r="T79" s="35"/>
      <c r="U79" s="18"/>
      <c r="V79" s="163"/>
      <c r="W79" s="164"/>
      <c r="Y79" s="166"/>
      <c r="Z79" s="166"/>
      <c r="AA79" s="167" t="str">
        <f>IF(AND(Y71+Z71=0,K79=""), "Required", "")</f>
        <v>Required</v>
      </c>
    </row>
    <row r="80" spans="1:27" ht="22.35" customHeight="1" x14ac:dyDescent="0.25">
      <c r="A80" s="10"/>
      <c r="B80" s="33"/>
      <c r="C80" s="33"/>
      <c r="D80" s="33"/>
      <c r="E80" s="33"/>
      <c r="F80" s="33"/>
      <c r="G80" s="33"/>
      <c r="H80" s="33"/>
      <c r="I80" s="33"/>
      <c r="J80" s="33"/>
      <c r="K80" s="33"/>
      <c r="L80" s="33"/>
      <c r="M80" s="33"/>
      <c r="N80" s="33"/>
      <c r="O80" s="19"/>
      <c r="P80" s="33"/>
      <c r="Q80" s="33"/>
      <c r="R80" s="33"/>
      <c r="S80" s="33"/>
      <c r="T80" s="33"/>
      <c r="U80" s="19"/>
      <c r="V80" s="24"/>
      <c r="AA80" s="31"/>
    </row>
    <row r="81" spans="1:27" ht="27.95" customHeight="1" x14ac:dyDescent="0.25">
      <c r="A81" s="10"/>
      <c r="B81" s="226" t="str">
        <f>INDEX(TranslationTable[], MATCH(125, TranslationTable[TranslationKeyId], 0), MATCH(TRIM(LOWER(Language)), TranslationTable[#Headers], 0))</f>
        <v>If answered yes, is your disability disaggregated data in accordance to the Washington Group questions?</v>
      </c>
      <c r="C81" s="227"/>
      <c r="D81" s="227"/>
      <c r="E81" s="227"/>
      <c r="F81" s="227"/>
      <c r="G81" s="227"/>
      <c r="H81" s="227"/>
      <c r="I81" s="227"/>
      <c r="J81" s="168"/>
      <c r="K81" s="25" t="str">
        <f>IF(AND(K79=YesLANG, J81=""),INDEX(TranslationTable[], MATCH(9043, TranslationTable[TranslationKeyId], 0), MATCH(LOWER(Language), TranslationTable[#Headers], 0)),"")</f>
        <v/>
      </c>
      <c r="L81" s="33"/>
      <c r="M81" s="33"/>
      <c r="N81" s="33"/>
      <c r="O81" s="19"/>
      <c r="P81" s="33"/>
      <c r="Q81" s="33"/>
      <c r="R81" s="33"/>
      <c r="S81" s="33"/>
      <c r="T81" s="33"/>
      <c r="U81" s="19"/>
      <c r="V81" s="24"/>
      <c r="AA81" s="31" t="str">
        <f>IF(AND(K79="Yes", J81=""), "Required", "")</f>
        <v/>
      </c>
    </row>
    <row r="82" spans="1:27" ht="22.35" customHeight="1" x14ac:dyDescent="0.25">
      <c r="A82" s="10"/>
      <c r="B82" s="33"/>
      <c r="C82" s="33"/>
      <c r="D82" s="33"/>
      <c r="E82" s="33"/>
      <c r="F82" s="33"/>
      <c r="G82" s="33"/>
      <c r="H82" s="33"/>
      <c r="I82" s="33"/>
      <c r="J82" s="33"/>
      <c r="K82" s="33"/>
      <c r="L82" s="33"/>
      <c r="M82" s="19"/>
      <c r="N82" s="19"/>
      <c r="O82" s="19"/>
      <c r="P82" s="19"/>
      <c r="Q82" s="19"/>
      <c r="R82" s="19"/>
      <c r="S82" s="19"/>
      <c r="T82" s="19"/>
      <c r="U82" s="19"/>
      <c r="V82" s="24"/>
      <c r="AA82" s="31"/>
    </row>
    <row r="83" spans="1:27" ht="22.35" customHeight="1" x14ac:dyDescent="0.25">
      <c r="A83" s="10"/>
      <c r="B83" s="26"/>
      <c r="C83" s="149"/>
      <c r="D83" s="19"/>
      <c r="E83" s="19"/>
      <c r="F83" s="19"/>
      <c r="G83" s="19"/>
      <c r="H83" s="19"/>
      <c r="I83" s="19"/>
      <c r="J83" s="19"/>
      <c r="K83" s="19"/>
      <c r="L83" s="19"/>
      <c r="M83" s="19"/>
      <c r="N83" s="19"/>
      <c r="O83" s="19"/>
      <c r="P83" s="19"/>
      <c r="Q83" s="19"/>
      <c r="R83" s="19"/>
      <c r="S83" s="19"/>
      <c r="T83" s="19"/>
      <c r="U83" s="19"/>
      <c r="V83" s="24"/>
      <c r="AA83" s="31"/>
    </row>
    <row r="84" spans="1:27" ht="22.35" customHeight="1" x14ac:dyDescent="0.25">
      <c r="A84" s="10"/>
      <c r="B84" s="366" t="str">
        <f>IF(OR(N84=TRUE,M90&lt;&gt;""), "", IFERROR(INDEX(TranslationTable[], MATCH(9043, TranslationTable[TranslationKeyId], 0), MATCH(LOWER(Language), TranslationTable[#Headers], 0)), ""))</f>
        <v>Required</v>
      </c>
      <c r="C84" s="367"/>
      <c r="D84" s="228" t="str">
        <f xml:space="preserve"> SUBSTITUTE(INDEX(TranslationTable[], MATCH(128, TranslationTable[TranslationKeyId], 0), MATCH(TRIM(LOWER($V$5)), TranslationTable[#Headers], 0)), "//", CHAR(10))</f>
        <v>Number of staff covered by accident insurance</v>
      </c>
      <c r="E84" s="228"/>
      <c r="F84" s="228"/>
      <c r="G84" s="228"/>
      <c r="H84" s="228"/>
      <c r="I84" s="228"/>
      <c r="J84" s="228"/>
      <c r="K84" s="228"/>
      <c r="L84" s="228"/>
      <c r="M84" s="229"/>
      <c r="N84" s="180" t="b">
        <v>0</v>
      </c>
      <c r="O84" s="368" t="str">
        <f>IF($V$5&lt;&gt;"AR",SUBSTITUTE(INDEX(TranslationTable[],MATCH(9002,TranslationTable[TranslationKeyId],0),MATCH(TRIM(LOWER($V$5)),TranslationTable[#Headers],0)),"//",CHAR(10)),
SUBSTITUTE(INDEX(TranslationTable[],MATCH(9002,TranslationTable[TranslationKeyId],0),MATCH(TRIM(LOWER($V$5)),TranslationTable[#Headers],0)),"//",CHAR(10))
)</f>
        <v>We do not collect data for this indicator</v>
      </c>
      <c r="P84" s="368"/>
      <c r="Q84" s="368"/>
      <c r="R84" s="368"/>
      <c r="S84" s="368"/>
      <c r="T84" s="19"/>
      <c r="U84" s="19"/>
      <c r="V84" s="24"/>
      <c r="AA84" s="31"/>
    </row>
    <row r="85" spans="1:27" ht="30" customHeight="1" x14ac:dyDescent="0.25">
      <c r="A85" s="10"/>
      <c r="B85" s="197" t="str">
        <f>INDEX(TranslationTable[], MATCH(3306, TranslationTable[TranslationKeyId], 0), MATCH(TRIM(LOWER($V$5)), TranslationTable[#Headers], 0))</f>
        <v>Age group</v>
      </c>
      <c r="C85" s="198"/>
      <c r="D85" s="29" t="s">
        <v>15</v>
      </c>
      <c r="E85" s="29" t="s">
        <v>6</v>
      </c>
      <c r="F85" s="29" t="s">
        <v>7</v>
      </c>
      <c r="G85" s="206" t="s">
        <v>8</v>
      </c>
      <c r="H85" s="207"/>
      <c r="I85" s="29" t="s">
        <v>9</v>
      </c>
      <c r="J85" s="29" t="s">
        <v>10</v>
      </c>
      <c r="K85" s="29" t="s">
        <v>11</v>
      </c>
      <c r="L85" s="136" t="str">
        <f>INDEX(TranslationTable[], MATCH(701, TranslationTable[TranslationKeyId], 0), MATCH(TRIM(LOWER($V$5)), TranslationTable[#Headers], 0))</f>
        <v>Unknown</v>
      </c>
      <c r="M85" s="28" t="str">
        <f>INDEX(TranslationTable[], MATCH(6383, TranslationTable[TranslationKeyId], 0), MATCH(TRIM(LOWER($V$5)), TranslationTable[#Headers], 0))</f>
        <v>Total</v>
      </c>
      <c r="N85" s="147"/>
      <c r="O85" s="19"/>
      <c r="P85" s="19"/>
      <c r="Q85" s="19"/>
      <c r="R85" s="19"/>
      <c r="S85" s="19"/>
      <c r="T85" s="19"/>
      <c r="U85" s="19"/>
      <c r="V85" s="24"/>
      <c r="Z85" s="5"/>
      <c r="AA85" s="31" t="str">
        <f>IF(OR(N84,M90&lt;&gt;""),"","Required")</f>
        <v>Required</v>
      </c>
    </row>
    <row r="86" spans="1:27" ht="22.35" customHeight="1" x14ac:dyDescent="0.25">
      <c r="A86" s="10"/>
      <c r="B86" s="197" t="str">
        <f>INDEX(TranslationTable[], MATCH(3301, TranslationTable[TranslationKeyId], 0), MATCH(TRIM(LOWER($V$5)), TranslationTable[#Headers], 0))</f>
        <v>Male</v>
      </c>
      <c r="C86" s="198"/>
      <c r="D86" s="181"/>
      <c r="E86" s="1"/>
      <c r="F86" s="1"/>
      <c r="G86" s="208"/>
      <c r="H86" s="209"/>
      <c r="I86" s="1"/>
      <c r="J86" s="1"/>
      <c r="K86" s="1"/>
      <c r="L86" s="141"/>
      <c r="M86" s="30" t="str">
        <f>IF(SUM(D86:L86)=0,"",SUM(D86:L86))</f>
        <v/>
      </c>
      <c r="N86" s="148"/>
      <c r="O86" s="243" t="str">
        <f>O95</f>
        <v>People who are contracted by the Reporting National Society for a minimum of three months in total during the Reporting Year and are either remunerated for their work or are interns       
            AND           
           who have died during the Reporting Year while performing duties for the reporting National Society.</v>
      </c>
      <c r="P86" s="243"/>
      <c r="Q86" s="243"/>
      <c r="R86" s="243"/>
      <c r="S86" s="243"/>
      <c r="T86" s="243"/>
      <c r="U86" s="19"/>
      <c r="V86" s="24"/>
      <c r="AA86" s="31"/>
    </row>
    <row r="87" spans="1:27" ht="22.35" customHeight="1" x14ac:dyDescent="0.25">
      <c r="A87" s="10"/>
      <c r="B87" s="197" t="str">
        <f>INDEX(TranslationTable[], MATCH(3302, TranslationTable[TranslationKeyId], 0), MATCH(TRIM(LOWER($V$5)), TranslationTable[#Headers], 0))</f>
        <v>Female</v>
      </c>
      <c r="C87" s="198"/>
      <c r="D87" s="181"/>
      <c r="E87" s="1"/>
      <c r="F87" s="1"/>
      <c r="G87" s="194"/>
      <c r="H87" s="195"/>
      <c r="I87" s="1"/>
      <c r="J87" s="1"/>
      <c r="K87" s="1"/>
      <c r="L87" s="141"/>
      <c r="M87" s="30" t="str">
        <f>IF(SUM(D87:L87)=0,"",SUM(D87:L87))</f>
        <v/>
      </c>
      <c r="N87" s="148"/>
      <c r="O87" s="243"/>
      <c r="P87" s="243"/>
      <c r="Q87" s="243"/>
      <c r="R87" s="243"/>
      <c r="S87" s="243"/>
      <c r="T87" s="243"/>
      <c r="U87" s="19"/>
      <c r="V87" s="24"/>
      <c r="AA87" s="31"/>
    </row>
    <row r="88" spans="1:27" ht="22.35" customHeight="1" x14ac:dyDescent="0.25">
      <c r="A88" s="10"/>
      <c r="B88" s="197" t="str">
        <f>INDEX(TranslationTable[], MATCH(9001, TranslationTable[TranslationKeyId], 0), MATCH(TRIM(LOWER($V$5)), TranslationTable[#Headers], 0))</f>
        <v>Non-binary</v>
      </c>
      <c r="C88" s="198"/>
      <c r="D88" s="181"/>
      <c r="E88" s="1"/>
      <c r="F88" s="1"/>
      <c r="G88" s="194"/>
      <c r="H88" s="195"/>
      <c r="I88" s="1"/>
      <c r="J88" s="1"/>
      <c r="K88" s="1"/>
      <c r="L88" s="141"/>
      <c r="M88" s="30" t="str">
        <f>IF(SUM(D88:L88)=0,"",SUM(D88:L88))</f>
        <v/>
      </c>
      <c r="N88" s="148"/>
      <c r="O88" s="243"/>
      <c r="P88" s="243"/>
      <c r="Q88" s="243"/>
      <c r="R88" s="243"/>
      <c r="S88" s="243"/>
      <c r="T88" s="243"/>
      <c r="U88" s="19"/>
      <c r="V88" s="24"/>
      <c r="AA88" s="31"/>
    </row>
    <row r="89" spans="1:27" ht="22.35" customHeight="1" x14ac:dyDescent="0.25">
      <c r="A89" s="10"/>
      <c r="B89" s="197" t="str">
        <f>INDEX(TranslationTable[], MATCH(701, TranslationTable[TranslationKeyId], 0), MATCH(TRIM(LOWER($V$5)), TranslationTable[#Headers], 0))</f>
        <v>Unknown</v>
      </c>
      <c r="C89" s="198"/>
      <c r="D89" s="142"/>
      <c r="E89" s="142"/>
      <c r="F89" s="142"/>
      <c r="G89" s="190"/>
      <c r="H89" s="191"/>
      <c r="I89" s="142"/>
      <c r="J89" s="142"/>
      <c r="K89" s="142"/>
      <c r="L89" s="140"/>
      <c r="M89" s="30" t="str">
        <f>IF(SUM(D89:L89)=0,"",SUM(D89:L89))</f>
        <v/>
      </c>
      <c r="N89" s="148"/>
      <c r="O89" s="243"/>
      <c r="P89" s="243"/>
      <c r="Q89" s="243"/>
      <c r="R89" s="243"/>
      <c r="S89" s="243"/>
      <c r="T89" s="243"/>
      <c r="U89" s="19"/>
      <c r="V89" s="24"/>
      <c r="AA89" s="31"/>
    </row>
    <row r="90" spans="1:27" ht="22.35" customHeight="1" x14ac:dyDescent="0.25">
      <c r="A90" s="10"/>
      <c r="B90" s="197" t="str">
        <f>INDEX(TranslationTable[], MATCH(6383, TranslationTable[TranslationKeyId], 0), MATCH(TRIM(LOWER($V$5)), TranslationTable[#Headers], 0))</f>
        <v>Total</v>
      </c>
      <c r="C90" s="198"/>
      <c r="D90" s="30" t="str">
        <f>IF(SUM(D86:D89)=0,"",SUM(D86:D89))</f>
        <v/>
      </c>
      <c r="E90" s="30" t="str">
        <f t="shared" ref="E90:L90" si="5">IF(SUM(E86:E89)=0,"",SUM(E86:E89))</f>
        <v/>
      </c>
      <c r="F90" s="30" t="str">
        <f t="shared" si="5"/>
        <v/>
      </c>
      <c r="G90" s="188" t="str">
        <f t="shared" si="5"/>
        <v/>
      </c>
      <c r="H90" s="189"/>
      <c r="I90" s="30" t="str">
        <f t="shared" si="5"/>
        <v/>
      </c>
      <c r="J90" s="30" t="str">
        <f t="shared" si="5"/>
        <v/>
      </c>
      <c r="K90" s="30" t="str">
        <f t="shared" si="5"/>
        <v/>
      </c>
      <c r="L90" s="30" t="str">
        <f t="shared" si="5"/>
        <v/>
      </c>
      <c r="M90" s="30" t="str">
        <f>IF(SUM(M86:M89)=0,"",SUM(M86:M89))</f>
        <v/>
      </c>
      <c r="N90" s="148"/>
      <c r="O90" s="243"/>
      <c r="P90" s="243"/>
      <c r="Q90" s="243"/>
      <c r="R90" s="243"/>
      <c r="S90" s="243"/>
      <c r="T90" s="243"/>
      <c r="U90" s="19"/>
      <c r="V90" s="24"/>
      <c r="AA90" s="31"/>
    </row>
    <row r="91" spans="1:27" ht="22.35" customHeight="1" x14ac:dyDescent="0.25">
      <c r="A91" s="10"/>
      <c r="B91" s="18"/>
      <c r="C91" s="18"/>
      <c r="D91" s="19"/>
      <c r="E91" s="19"/>
      <c r="F91" s="19"/>
      <c r="G91" s="19"/>
      <c r="H91" s="19"/>
      <c r="I91" s="19"/>
      <c r="J91" s="19"/>
      <c r="K91" s="19"/>
      <c r="L91" s="19"/>
      <c r="M91" s="19"/>
      <c r="N91" s="19"/>
      <c r="O91" s="19"/>
      <c r="P91" s="19"/>
      <c r="Q91" s="19"/>
      <c r="R91" s="19"/>
      <c r="S91" s="19"/>
      <c r="T91" s="19"/>
      <c r="U91" s="19"/>
      <c r="V91" s="24"/>
      <c r="AA91" s="31"/>
    </row>
    <row r="92" spans="1:27" ht="22.35" customHeight="1" x14ac:dyDescent="0.25">
      <c r="A92" s="10"/>
      <c r="B92" s="26"/>
      <c r="C92" s="149"/>
      <c r="D92" s="19"/>
      <c r="E92" s="19"/>
      <c r="F92" s="19"/>
      <c r="G92" s="19"/>
      <c r="H92" s="19"/>
      <c r="I92" s="19"/>
      <c r="J92" s="19"/>
      <c r="K92" s="19"/>
      <c r="L92" s="19"/>
      <c r="M92" s="19"/>
      <c r="N92" s="19"/>
      <c r="O92" s="19"/>
      <c r="P92" s="19"/>
      <c r="Q92" s="19"/>
      <c r="R92" s="19"/>
      <c r="S92" s="19"/>
      <c r="T92" s="19"/>
      <c r="U92" s="19"/>
      <c r="V92" s="24"/>
      <c r="AA92" s="31"/>
    </row>
    <row r="93" spans="1:27" ht="22.35" customHeight="1" x14ac:dyDescent="0.25">
      <c r="A93" s="10"/>
      <c r="B93" s="366" t="str">
        <f>IF(OR(N93=TRUE,M99&lt;&gt;""), "", IFERROR(INDEX(TranslationTable[], MATCH(9043, TranslationTable[TranslationKeyId], 0), MATCH(LOWER(Language), TranslationTable[#Headers], 0)), ""))</f>
        <v>Required</v>
      </c>
      <c r="C93" s="367"/>
      <c r="D93" s="228" t="str">
        <f xml:space="preserve"> SUBSTITUTE(INDEX(TranslationTable[], MATCH(700, TranslationTable[TranslationKeyId], 0), MATCH(TRIM(LOWER($V$5)), TranslationTable[#Headers], 0)), "//", CHAR(10))</f>
        <v>Number of staff deaths on duty</v>
      </c>
      <c r="E93" s="228"/>
      <c r="F93" s="228"/>
      <c r="G93" s="228"/>
      <c r="H93" s="228"/>
      <c r="I93" s="228"/>
      <c r="J93" s="228"/>
      <c r="K93" s="228"/>
      <c r="L93" s="228"/>
      <c r="M93" s="229"/>
      <c r="N93" s="180" t="b">
        <v>0</v>
      </c>
      <c r="O93" s="368" t="str">
        <f>IF($V$5&lt;&gt;"AR",SUBSTITUTE(INDEX(TranslationTable[],MATCH(9002,TranslationTable[TranslationKeyId],0),MATCH(TRIM(LOWER($V$5)),TranslationTable[#Headers],0)),"//",CHAR(10)),
SUBSTITUTE(INDEX(TranslationTable[],MATCH(9002,TranslationTable[TranslationKeyId],0),MATCH(TRIM(LOWER($V$5)),TranslationTable[#Headers],0)),"//",CHAR(10))
)</f>
        <v>We do not collect data for this indicator</v>
      </c>
      <c r="P93" s="368"/>
      <c r="Q93" s="368"/>
      <c r="R93" s="368"/>
      <c r="S93" s="368"/>
      <c r="T93" s="25"/>
      <c r="U93" s="19"/>
      <c r="V93" s="24"/>
      <c r="X93" s="62"/>
      <c r="Z93" s="5" t="b">
        <v>0</v>
      </c>
      <c r="AA93" s="31" t="str">
        <f>IF(OR(Y93,Z93,M99&lt;&gt;""),"","Required")</f>
        <v>Required</v>
      </c>
    </row>
    <row r="94" spans="1:27" ht="30" customHeight="1" x14ac:dyDescent="0.25">
      <c r="A94" s="10"/>
      <c r="B94" s="197" t="str">
        <f>INDEX(TranslationTable[], MATCH(3306, TranslationTable[TranslationKeyId], 0), MATCH(TRIM(LOWER($V$5)), TranslationTable[#Headers], 0))</f>
        <v>Age group</v>
      </c>
      <c r="C94" s="198"/>
      <c r="D94" s="29" t="s">
        <v>15</v>
      </c>
      <c r="E94" s="29" t="s">
        <v>6</v>
      </c>
      <c r="F94" s="29" t="s">
        <v>7</v>
      </c>
      <c r="G94" s="206" t="s">
        <v>8</v>
      </c>
      <c r="H94" s="207"/>
      <c r="I94" s="29" t="s">
        <v>9</v>
      </c>
      <c r="J94" s="29" t="s">
        <v>10</v>
      </c>
      <c r="K94" s="29" t="s">
        <v>11</v>
      </c>
      <c r="L94" s="136" t="str">
        <f>INDEX(TranslationTable[], MATCH(701, TranslationTable[TranslationKeyId], 0), MATCH(TRIM(LOWER($V$5)), TranslationTable[#Headers], 0))</f>
        <v>Unknown</v>
      </c>
      <c r="M94" s="28" t="str">
        <f>INDEX(TranslationTable[], MATCH(6383, TranslationTable[TranslationKeyId], 0), MATCH(TRIM(LOWER($V$5)), TranslationTable[#Headers], 0))</f>
        <v>Total</v>
      </c>
      <c r="N94" s="148"/>
      <c r="O94" s="19"/>
      <c r="P94" s="19"/>
      <c r="Q94" s="19"/>
      <c r="R94" s="19"/>
      <c r="S94" s="19"/>
      <c r="T94" s="19"/>
      <c r="U94" s="19"/>
      <c r="V94" s="24"/>
      <c r="AA94" s="31"/>
    </row>
    <row r="95" spans="1:27" ht="22.35" customHeight="1" x14ac:dyDescent="0.25">
      <c r="A95" s="10"/>
      <c r="B95" s="197" t="str">
        <f>INDEX(TranslationTable[], MATCH(3301, TranslationTable[TranslationKeyId], 0), MATCH(TRIM(LOWER($V$5)), TranslationTable[#Headers], 0))</f>
        <v>Male</v>
      </c>
      <c r="C95" s="198"/>
      <c r="D95" s="181"/>
      <c r="E95" s="1"/>
      <c r="F95" s="1"/>
      <c r="G95" s="208"/>
      <c r="H95" s="209"/>
      <c r="I95" s="1"/>
      <c r="J95" s="1"/>
      <c r="K95" s="1"/>
      <c r="L95" s="141"/>
      <c r="M95" s="30" t="str">
        <f>IF(SUM(D95:L95)=0,"",SUM(D95:L95))</f>
        <v/>
      </c>
      <c r="N95" s="148"/>
      <c r="O95" s="243" t="str">
        <f xml:space="preserve"> SUBSTITUTE(INDEX(TranslationTable[], MATCH(968, TranslationTable[TranslationKeyId], 0), MATCH(TRIM(LOWER($V$5)), TranslationTable[#Headers], 0)), "//", CHAR(10))</f>
        <v>People who are contracted by the Reporting National Society for a minimum of three months in total during the Reporting Year and are either remunerated for their work or are interns       
            AND           
           who have died during the Reporting Year while performing duties for the reporting National Society.</v>
      </c>
      <c r="P95" s="243"/>
      <c r="Q95" s="243"/>
      <c r="R95" s="243"/>
      <c r="S95" s="243"/>
      <c r="T95" s="243"/>
      <c r="U95" s="19"/>
      <c r="V95" s="24"/>
      <c r="AA95" s="31"/>
    </row>
    <row r="96" spans="1:27" ht="22.35" customHeight="1" x14ac:dyDescent="0.25">
      <c r="A96" s="10"/>
      <c r="B96" s="197" t="str">
        <f>INDEX(TranslationTable[], MATCH(3302, TranslationTable[TranslationKeyId], 0), MATCH(TRIM(LOWER($V$5)), TranslationTable[#Headers], 0))</f>
        <v>Female</v>
      </c>
      <c r="C96" s="198"/>
      <c r="D96" s="181"/>
      <c r="E96" s="1"/>
      <c r="F96" s="1"/>
      <c r="G96" s="194"/>
      <c r="H96" s="195"/>
      <c r="I96" s="1"/>
      <c r="J96" s="1"/>
      <c r="K96" s="1"/>
      <c r="L96" s="141"/>
      <c r="M96" s="30" t="str">
        <f>IF(SUM(D96:L96)=0,"",SUM(D96:L96))</f>
        <v/>
      </c>
      <c r="N96" s="148"/>
      <c r="O96" s="243"/>
      <c r="P96" s="243"/>
      <c r="Q96" s="243"/>
      <c r="R96" s="243"/>
      <c r="S96" s="243"/>
      <c r="T96" s="243"/>
      <c r="U96" s="19"/>
      <c r="V96" s="24"/>
      <c r="AA96" s="31"/>
    </row>
    <row r="97" spans="1:27" ht="22.35" customHeight="1" x14ac:dyDescent="0.25">
      <c r="A97" s="10"/>
      <c r="B97" s="197" t="str">
        <f>INDEX(TranslationTable[], MATCH(9001, TranslationTable[TranslationKeyId], 0), MATCH(TRIM(LOWER($V$5)), TranslationTable[#Headers], 0))</f>
        <v>Non-binary</v>
      </c>
      <c r="C97" s="198"/>
      <c r="D97" s="181"/>
      <c r="E97" s="1"/>
      <c r="F97" s="1"/>
      <c r="G97" s="194"/>
      <c r="H97" s="195"/>
      <c r="I97" s="1"/>
      <c r="J97" s="1"/>
      <c r="K97" s="1"/>
      <c r="L97" s="141"/>
      <c r="M97" s="30" t="str">
        <f>IF(SUM(D97:L97)=0,"",SUM(D97:L97))</f>
        <v/>
      </c>
      <c r="N97" s="148"/>
      <c r="O97" s="243"/>
      <c r="P97" s="243"/>
      <c r="Q97" s="243"/>
      <c r="R97" s="243"/>
      <c r="S97" s="243"/>
      <c r="T97" s="243"/>
      <c r="U97" s="19"/>
      <c r="V97" s="24"/>
      <c r="AA97" s="31"/>
    </row>
    <row r="98" spans="1:27" ht="22.35" customHeight="1" x14ac:dyDescent="0.25">
      <c r="A98" s="10"/>
      <c r="B98" s="197" t="str">
        <f>INDEX(TranslationTable[], MATCH(701, TranslationTable[TranslationKeyId], 0), MATCH(TRIM(LOWER($V$5)), TranslationTable[#Headers], 0))</f>
        <v>Unknown</v>
      </c>
      <c r="C98" s="198"/>
      <c r="D98" s="142"/>
      <c r="E98" s="142"/>
      <c r="F98" s="142"/>
      <c r="G98" s="190"/>
      <c r="H98" s="191"/>
      <c r="I98" s="142"/>
      <c r="J98" s="142"/>
      <c r="K98" s="142"/>
      <c r="L98" s="140"/>
      <c r="M98" s="30" t="str">
        <f>IF(SUM(D98:L98)=0,"",SUM(D98:L98))</f>
        <v/>
      </c>
      <c r="N98" s="148"/>
      <c r="O98" s="243"/>
      <c r="P98" s="243"/>
      <c r="Q98" s="243"/>
      <c r="R98" s="243"/>
      <c r="S98" s="243"/>
      <c r="T98" s="243"/>
      <c r="U98" s="19"/>
      <c r="V98" s="24"/>
      <c r="AA98" s="31"/>
    </row>
    <row r="99" spans="1:27" ht="22.35" customHeight="1" x14ac:dyDescent="0.25">
      <c r="A99" s="10"/>
      <c r="B99" s="197" t="str">
        <f>INDEX(TranslationTable[], MATCH(6383, TranslationTable[TranslationKeyId], 0), MATCH(TRIM(LOWER($V$5)), TranslationTable[#Headers], 0))</f>
        <v>Total</v>
      </c>
      <c r="C99" s="198"/>
      <c r="D99" s="30" t="str">
        <f>IF(SUM(D95:D98)=0,"",SUM(D95:D98))</f>
        <v/>
      </c>
      <c r="E99" s="30" t="str">
        <f t="shared" ref="E99:L99" si="6">IF(SUM(E95:E98)=0,"",SUM(E95:E98))</f>
        <v/>
      </c>
      <c r="F99" s="30" t="str">
        <f t="shared" si="6"/>
        <v/>
      </c>
      <c r="G99" s="188" t="str">
        <f t="shared" si="6"/>
        <v/>
      </c>
      <c r="H99" s="189"/>
      <c r="I99" s="30" t="str">
        <f t="shared" si="6"/>
        <v/>
      </c>
      <c r="J99" s="30" t="str">
        <f t="shared" si="6"/>
        <v/>
      </c>
      <c r="K99" s="30" t="str">
        <f t="shared" si="6"/>
        <v/>
      </c>
      <c r="L99" s="30" t="str">
        <f t="shared" si="6"/>
        <v/>
      </c>
      <c r="M99" s="30" t="str">
        <f>IF(SUM(M95:M98)=0,"",SUM(M95:M98))</f>
        <v/>
      </c>
      <c r="N99" s="148"/>
      <c r="O99" s="243"/>
      <c r="P99" s="243"/>
      <c r="Q99" s="243"/>
      <c r="R99" s="243"/>
      <c r="S99" s="243"/>
      <c r="T99" s="243"/>
      <c r="U99" s="19"/>
      <c r="V99" s="24"/>
      <c r="AA99" s="31"/>
    </row>
    <row r="100" spans="1:27" ht="22.35" customHeight="1" x14ac:dyDescent="0.25">
      <c r="A100" s="10"/>
      <c r="B100" s="64"/>
      <c r="C100" s="150"/>
      <c r="D100" s="65"/>
      <c r="E100" s="65"/>
      <c r="F100" s="65"/>
      <c r="G100" s="65"/>
      <c r="H100" s="65"/>
      <c r="I100" s="65"/>
      <c r="J100" s="65"/>
      <c r="K100" s="65"/>
      <c r="L100" s="65"/>
      <c r="M100" s="65"/>
      <c r="N100" s="65"/>
      <c r="O100" s="65"/>
      <c r="P100" s="66"/>
      <c r="Q100" s="66"/>
      <c r="R100" s="58"/>
      <c r="S100" s="58"/>
      <c r="T100" s="58"/>
      <c r="U100" s="58"/>
      <c r="V100" s="60"/>
      <c r="AA100" s="31"/>
    </row>
    <row r="101" spans="1:27" ht="22.35" customHeight="1" x14ac:dyDescent="0.25">
      <c r="A101" s="7"/>
      <c r="B101" s="14"/>
      <c r="C101" s="14"/>
      <c r="D101" s="14"/>
      <c r="E101" s="14"/>
      <c r="F101" s="14"/>
      <c r="G101" s="14"/>
      <c r="H101" s="14"/>
      <c r="I101" s="14"/>
      <c r="J101" s="14"/>
      <c r="K101" s="14"/>
      <c r="L101" s="14"/>
      <c r="M101" s="14"/>
      <c r="N101" s="14"/>
      <c r="O101" s="14"/>
      <c r="P101" s="14"/>
      <c r="Q101" s="14"/>
      <c r="R101" s="14"/>
      <c r="S101" s="14"/>
      <c r="T101" s="14"/>
      <c r="U101" s="14"/>
      <c r="V101" s="14"/>
      <c r="AA101" s="31"/>
    </row>
    <row r="102" spans="1:27" ht="22.35" customHeight="1" x14ac:dyDescent="0.25">
      <c r="A102" s="10"/>
      <c r="B102" s="218" t="str">
        <f>"2: " &amp; INDEX(TranslationTable[], MATCH(910, TranslationTable[TranslationKeyId], 0), MATCH(TRIM(LOWER(V5)), TranslationTable[#Headers], 0))</f>
        <v>2: NS Finance &amp; Partnerships</v>
      </c>
      <c r="C102" s="218"/>
      <c r="D102" s="218"/>
      <c r="E102" s="218"/>
      <c r="F102" s="218"/>
      <c r="G102" s="218"/>
      <c r="H102" s="218"/>
      <c r="I102" s="218"/>
      <c r="J102" s="218"/>
      <c r="K102" s="218"/>
      <c r="L102" s="218"/>
      <c r="M102" s="218"/>
      <c r="N102" s="218"/>
      <c r="O102" s="218"/>
      <c r="P102" s="218"/>
      <c r="Q102" s="218"/>
      <c r="R102" s="218"/>
      <c r="S102" s="218"/>
      <c r="T102" s="218"/>
      <c r="U102" s="218"/>
      <c r="V102" s="219"/>
      <c r="AA102" s="31"/>
    </row>
    <row r="103" spans="1:27" ht="22.35" customHeight="1" x14ac:dyDescent="0.25">
      <c r="A103" s="10"/>
      <c r="B103" s="216" t="str">
        <f>"2.1 "&amp; SUBSTITUTE(INDEX(TranslationTable[],MATCH(937,TranslationTable[TranslationKeyId],0),MATCH(TRIM(LOWER($V$5)),TranslationTable[#Headers],0)),"//",CHAR(10))</f>
        <v>2.1 National Society financial data</v>
      </c>
      <c r="C103" s="217"/>
      <c r="D103" s="217"/>
      <c r="E103" s="217"/>
      <c r="F103" s="41"/>
      <c r="G103" s="41"/>
      <c r="H103" s="41"/>
      <c r="I103" s="41"/>
      <c r="J103" s="41"/>
      <c r="K103" s="41"/>
      <c r="L103" s="41"/>
      <c r="M103" s="41"/>
      <c r="N103" s="41"/>
      <c r="O103" s="41"/>
      <c r="P103" s="41"/>
      <c r="Q103" s="41"/>
      <c r="R103" s="41"/>
      <c r="S103" s="41"/>
      <c r="T103" s="41"/>
      <c r="U103" s="41"/>
      <c r="V103" s="102"/>
      <c r="AA103" s="31"/>
    </row>
    <row r="104" spans="1:27" ht="22.35" customHeight="1" x14ac:dyDescent="0.25">
      <c r="A104" s="10"/>
      <c r="B104" s="19"/>
      <c r="C104" s="19"/>
      <c r="D104" s="19"/>
      <c r="E104" s="45"/>
      <c r="F104" s="45"/>
      <c r="G104" s="11"/>
      <c r="H104" s="11"/>
      <c r="I104" s="11"/>
      <c r="J104" s="11"/>
      <c r="K104" s="11"/>
      <c r="L104" s="11"/>
      <c r="M104" s="45"/>
      <c r="N104" s="45"/>
      <c r="O104" s="11"/>
      <c r="P104" s="45"/>
      <c r="Q104" s="45"/>
      <c r="R104" s="45"/>
      <c r="S104" s="45"/>
      <c r="T104" s="45"/>
      <c r="U104" s="67"/>
      <c r="V104" s="61"/>
      <c r="AA104" s="31"/>
    </row>
    <row r="105" spans="1:27" ht="22.35" customHeight="1" x14ac:dyDescent="0.25">
      <c r="A105" s="10"/>
      <c r="B105" s="19"/>
      <c r="C105" s="19"/>
      <c r="D105" s="19"/>
      <c r="E105" s="19"/>
      <c r="F105" s="159" t="str">
        <f>IF(K105&lt;&gt;"", "", IFERROR(INDEX(TranslationTable[], MATCH(9043, TranslationTable[TranslationKeyId], 0), MATCH(LOWER(Language), TranslationTable[#Headers], 0)), ""))</f>
        <v>Required</v>
      </c>
      <c r="G105" s="358" t="str">
        <f>INDEX(TranslationTable[], MATCH(94, TranslationTable[TranslationKeyId], 0), MATCH(TRIM(LOWER($V$5)), TranslationTable[#Headers], 0))</f>
        <v>Reporting currency</v>
      </c>
      <c r="H105" s="358"/>
      <c r="I105" s="358"/>
      <c r="J105" s="358"/>
      <c r="K105" s="352"/>
      <c r="L105" s="352"/>
      <c r="M105" s="13"/>
      <c r="N105" s="13"/>
      <c r="O105" s="68"/>
      <c r="P105" s="224" t="str">
        <f xml:space="preserve"> SUBSTITUTE(INDEX(TranslationTable[], MATCH(954, TranslationTable[TranslationKeyId], 0), MATCH(TRIM(LOWER($V$5)), TranslationTable[#Headers], 0)), "//", CHAR(10))</f>
        <v>The reporting currency is in accordance with the International Organization for Standardization (ISO) codes. The National Society decides in which currency it will report its financial figures. Usually, this is the same currency for all its financial data including its financial statements.</v>
      </c>
      <c r="Q105" s="224"/>
      <c r="R105" s="224"/>
      <c r="S105" s="224"/>
      <c r="T105" s="224"/>
      <c r="U105" s="224"/>
      <c r="V105" s="225"/>
      <c r="AA105" s="31" t="str">
        <f>IF(OR(K105&lt;&gt;""),"","Required")</f>
        <v>Required</v>
      </c>
    </row>
    <row r="106" spans="1:27" ht="27.95" customHeight="1" x14ac:dyDescent="0.25">
      <c r="A106" s="10"/>
      <c r="B106" s="26"/>
      <c r="C106" s="149"/>
      <c r="D106" s="215"/>
      <c r="E106" s="215"/>
      <c r="F106" s="159" t="str">
        <f>IF(K106&lt;&gt;"", "", IFERROR(INDEX(TranslationTable[], MATCH(9043, TranslationTable[TranslationKeyId], 0), MATCH(LOWER(Language), TranslationTable[#Headers], 0)), ""))</f>
        <v>Required</v>
      </c>
      <c r="G106" s="358" t="str">
        <f>INDEX(TranslationTable[], MATCH(95, TranslationTable[TranslationKeyId], 0), MATCH(TRIM(LOWER($V$5)), TranslationTable[#Headers], 0))</f>
        <v>Financial reporting start date</v>
      </c>
      <c r="H106" s="358"/>
      <c r="I106" s="358"/>
      <c r="J106" s="358"/>
      <c r="K106" s="356"/>
      <c r="L106" s="356"/>
      <c r="M106" s="69" t="s">
        <v>16</v>
      </c>
      <c r="N106" s="69"/>
      <c r="O106" s="68"/>
      <c r="P106" s="224"/>
      <c r="Q106" s="224"/>
      <c r="R106" s="224"/>
      <c r="S106" s="224"/>
      <c r="T106" s="224"/>
      <c r="U106" s="224"/>
      <c r="V106" s="225"/>
      <c r="AA106" s="31" t="str">
        <f>IF(OR(K106&lt;&gt;""),"","Required")</f>
        <v>Required</v>
      </c>
    </row>
    <row r="107" spans="1:27" ht="27.95" customHeight="1" x14ac:dyDescent="0.25">
      <c r="A107" s="10"/>
      <c r="B107" s="19"/>
      <c r="C107" s="19"/>
      <c r="D107" s="19"/>
      <c r="E107" s="19"/>
      <c r="F107" s="159" t="str">
        <f>IF(K107&lt;&gt;"", "", IFERROR(INDEX(TranslationTable[], MATCH(9043, TranslationTable[TranslationKeyId], 0), MATCH(LOWER(Language), TranslationTable[#Headers], 0)), ""))</f>
        <v>Required</v>
      </c>
      <c r="G107" s="358" t="str">
        <f>INDEX(TranslationTable[], MATCH(96, TranslationTable[TranslationKeyId], 0), MATCH(TRIM(LOWER($V$5)), TranslationTable[#Headers], 0))</f>
        <v>Financial reporting end date</v>
      </c>
      <c r="H107" s="358"/>
      <c r="I107" s="358"/>
      <c r="J107" s="358"/>
      <c r="K107" s="356"/>
      <c r="L107" s="356"/>
      <c r="M107" s="69" t="s">
        <v>16</v>
      </c>
      <c r="N107" s="69"/>
      <c r="O107" s="68"/>
      <c r="P107" s="224"/>
      <c r="Q107" s="224"/>
      <c r="R107" s="224"/>
      <c r="S107" s="224"/>
      <c r="T107" s="224"/>
      <c r="U107" s="224"/>
      <c r="V107" s="225"/>
      <c r="AA107" s="31" t="str">
        <f>IF(OR(K107&lt;&gt;""),"","Required")</f>
        <v>Required</v>
      </c>
    </row>
    <row r="108" spans="1:27" ht="22.35" customHeight="1" x14ac:dyDescent="0.25">
      <c r="A108" s="10"/>
      <c r="B108" s="403" t="str">
        <f>IF((SUM(B113:T113)=K108), "", IFERROR(INDEX(TranslationTable[], MATCH(9045, TranslationTable[TranslationKeyId], 0), MATCH(LOWER(Language), TranslationTable[#Headers], 0)), ""))</f>
        <v/>
      </c>
      <c r="C108" s="404"/>
      <c r="D108" s="404"/>
      <c r="E108" s="19"/>
      <c r="F108" s="159" t="str">
        <f>IF(K108&lt;&gt;"", "", IFERROR(INDEX(TranslationTable[], MATCH(9043, TranslationTable[TranslationKeyId], 0), MATCH(LOWER(Language), TranslationTable[#Headers], 0)), ""))</f>
        <v>Required</v>
      </c>
      <c r="G108" s="358" t="str">
        <f>INDEX(TranslationTable[], MATCH(97, TranslationTable[TranslationKeyId], 0), MATCH(TRIM(LOWER($V$5)), TranslationTable[#Headers], 0))</f>
        <v>Total income</v>
      </c>
      <c r="H108" s="358"/>
      <c r="I108" s="358"/>
      <c r="J108" s="358"/>
      <c r="K108" s="351"/>
      <c r="L108" s="352"/>
      <c r="M108" s="68"/>
      <c r="N108" s="68"/>
      <c r="O108" s="68"/>
      <c r="P108" s="224"/>
      <c r="Q108" s="224"/>
      <c r="R108" s="224"/>
      <c r="S108" s="224"/>
      <c r="T108" s="224"/>
      <c r="U108" s="224"/>
      <c r="V108" s="225"/>
      <c r="AA108" s="31" t="str">
        <f>IF(OR(K108&lt;&gt;""),"","Required")</f>
        <v>Required</v>
      </c>
    </row>
    <row r="109" spans="1:27" ht="22.35" customHeight="1" x14ac:dyDescent="0.25">
      <c r="A109" s="10"/>
      <c r="B109" s="403"/>
      <c r="C109" s="404"/>
      <c r="D109" s="404"/>
      <c r="E109" s="19"/>
      <c r="F109" s="159" t="str">
        <f>IF(K109&lt;&gt;"", "", IFERROR(INDEX(TranslationTable[], MATCH(9043, TranslationTable[TranslationKeyId], 0), MATCH(LOWER(Language), TranslationTable[#Headers], 0)), ""))</f>
        <v>Required</v>
      </c>
      <c r="G109" s="358" t="str">
        <f>INDEX(TranslationTable[], MATCH(98, TranslationTable[TranslationKeyId], 0), MATCH(TRIM(LOWER($V$5)), TranslationTable[#Headers], 0))</f>
        <v>Total expenditure</v>
      </c>
      <c r="H109" s="358"/>
      <c r="I109" s="358"/>
      <c r="J109" s="358"/>
      <c r="K109" s="351"/>
      <c r="L109" s="352"/>
      <c r="M109" s="19"/>
      <c r="N109" s="19"/>
      <c r="O109" s="68"/>
      <c r="P109" s="224"/>
      <c r="Q109" s="224"/>
      <c r="R109" s="224"/>
      <c r="S109" s="224"/>
      <c r="T109" s="224"/>
      <c r="U109" s="224"/>
      <c r="V109" s="225"/>
      <c r="AA109" s="31" t="str">
        <f>IF(OR(K109&lt;&gt;""),"","Required")</f>
        <v>Required</v>
      </c>
    </row>
    <row r="110" spans="1:27" ht="22.35" customHeight="1" x14ac:dyDescent="0.25">
      <c r="A110" s="10"/>
      <c r="B110" s="70"/>
      <c r="C110" s="70"/>
      <c r="D110" s="13"/>
      <c r="E110" s="13"/>
      <c r="F110" s="13"/>
      <c r="G110" s="13"/>
      <c r="H110" s="13"/>
      <c r="I110" s="13"/>
      <c r="J110" s="13"/>
      <c r="K110" s="13"/>
      <c r="L110" s="13"/>
      <c r="M110" s="13"/>
      <c r="N110" s="13"/>
      <c r="O110" s="13"/>
      <c r="P110" s="186"/>
      <c r="Q110" s="186"/>
      <c r="R110" s="186"/>
      <c r="S110" s="186"/>
      <c r="T110" s="186"/>
      <c r="U110" s="186"/>
      <c r="V110" s="187"/>
      <c r="AA110" s="31"/>
    </row>
    <row r="111" spans="1:27" ht="23.45" customHeight="1" x14ac:dyDescent="0.25">
      <c r="A111" s="10"/>
      <c r="B111" s="185" t="str">
        <f>IF(OR(K113,B113,C113,E113,F113,G113,I113,J113,L113,M113,O113,P113,R113,T113,S113&lt;&gt;""), "", IFERROR(INDEX(TranslationTable[], MATCH(9043, TranslationTable[TranslationKeyId], 0), MATCH(LOWER(Language), TranslationTable[#Headers], 0)), ""))</f>
        <v>Required</v>
      </c>
      <c r="C111" s="393" t="str">
        <f>INDEX(TranslationTable[], MATCH(100, TranslationTable[TranslationKeyId], 0), MATCH(TRIM(LOWER($V$5)), TranslationTable[#Headers], 0))</f>
        <v>Total income broken down per source of income</v>
      </c>
      <c r="D111" s="393"/>
      <c r="E111" s="393"/>
      <c r="F111" s="393"/>
      <c r="G111" s="393"/>
      <c r="H111" s="393"/>
      <c r="I111" s="393"/>
      <c r="J111" s="393"/>
      <c r="K111" s="393"/>
      <c r="L111" s="393"/>
      <c r="M111" s="393"/>
      <c r="N111" s="393"/>
      <c r="O111" s="393"/>
      <c r="P111" s="394"/>
      <c r="Q111" s="394"/>
      <c r="R111" s="394"/>
      <c r="S111" s="394"/>
      <c r="T111" s="395"/>
      <c r="U111" s="353"/>
      <c r="V111" s="354"/>
      <c r="AA111" s="31"/>
    </row>
    <row r="112" spans="1:27" ht="54.95" customHeight="1" x14ac:dyDescent="0.25">
      <c r="A112" s="10"/>
      <c r="B112" s="183" t="str">
        <f>INDEX(TranslationTable[], MATCH(101, TranslationTable[TranslationKeyId], 0), MATCH(TRIM(LOWER($V$5)), TranslationTable[#Headers], 0))</f>
        <v>Home Goverment</v>
      </c>
      <c r="C112" s="210" t="str">
        <f>INDEX(TranslationTable[], MATCH(102, TranslationTable[TranslationKeyId], 0), MATCH(TRIM(LOWER($V$5)), TranslationTable[#Headers], 0))</f>
        <v>Foreign Goverment</v>
      </c>
      <c r="D112" s="211"/>
      <c r="E112" s="183" t="str">
        <f>INDEX(TranslationTable[], MATCH(103, TranslationTable[TranslationKeyId], 0), MATCH(TRIM(LOWER($V$5)), TranslationTable[#Headers], 0))</f>
        <v>Individuals</v>
      </c>
      <c r="F112" s="183" t="str">
        <f>INDEX(TranslationTable[], MATCH(104, TranslationTable[TranslationKeyId], 0), MATCH(TRIM(LOWER($V$5)), TranslationTable[#Headers], 0))</f>
        <v>Corporations</v>
      </c>
      <c r="G112" s="210" t="str">
        <f>INDEX(TranslationTable[], MATCH(105, TranslationTable[TranslationKeyId], 0), MATCH(TRIM(LOWER($V$5)), TranslationTable[#Headers], 0))</f>
        <v>Foundations</v>
      </c>
      <c r="H112" s="211"/>
      <c r="I112" s="183" t="str">
        <f>INDEX(TranslationTable[], MATCH(106, TranslationTable[TranslationKeyId], 0), MATCH(TRIM(LOWER($V$5)), TranslationTable[#Headers], 0))</f>
        <v>UN Agencies &amp; other Multilateral Agencies</v>
      </c>
      <c r="J112" s="183" t="str">
        <f>INDEX(TranslationTable[], MATCH(107, TranslationTable[TranslationKeyId], 0), MATCH(TRIM(LOWER($V$5)), TranslationTable[#Headers], 0))</f>
        <v>Pooled funds</v>
      </c>
      <c r="K112" s="183" t="str">
        <f>INDEX(TranslationTable[], MATCH(108, TranslationTable[TranslationKeyId], 0), MATCH(TRIM(LOWER($V$5)), TranslationTable[#Headers], 0))</f>
        <v>Non-governmental organizations</v>
      </c>
      <c r="L112" s="183" t="str">
        <f>INDEX(TranslationTable[], MATCH(109, TranslationTable[TranslationKeyId], 0), MATCH(TRIM(LOWER($V$5)), TranslationTable[#Headers], 0))</f>
        <v>Service income</v>
      </c>
      <c r="M112" s="210" t="str">
        <f>INDEX(TranslationTable[], MATCH(110, TranslationTable[TranslationKeyId], 0), MATCH(TRIM(LOWER($V$5)), TranslationTable[#Headers], 0))</f>
        <v>Income generating activity</v>
      </c>
      <c r="N112" s="211"/>
      <c r="O112" s="183" t="str">
        <f>INDEX(TranslationTable[], MATCH(111, TranslationTable[TranslationKeyId], 0), MATCH(TRIM(LOWER($V$5)), TranslationTable[#Headers], 0))</f>
        <v>Other National Society</v>
      </c>
      <c r="P112" s="210" t="str">
        <f>INDEX(TranslationTable[], MATCH(112, TranslationTable[TranslationKeyId], 0), MATCH(TRIM(LOWER($V$5)), TranslationTable[#Headers], 0))</f>
        <v>IFRC</v>
      </c>
      <c r="Q112" s="211"/>
      <c r="R112" s="183" t="str">
        <f>INDEX(TranslationTable[], MATCH(113, TranslationTable[TranslationKeyId], 0), MATCH(TRIM(LOWER($V$5)), TranslationTable[#Headers], 0))</f>
        <v>ICRC</v>
      </c>
      <c r="S112" s="183" t="str">
        <f>INDEX(TranslationTable[], MATCH(114, TranslationTable[TranslationKeyId], 0), MATCH(TRIM(LOWER($V$5)), TranslationTable[#Headers], 0))</f>
        <v>Other</v>
      </c>
      <c r="T112" s="184" t="str">
        <f>INDEX(TranslationTable[], MATCH(115, TranslationTable[TranslationKeyId], 0), MATCH(TRIM(LOWER($V$5)), TranslationTable[#Headers], 0))</f>
        <v>Section 4: Other National Society support</v>
      </c>
      <c r="U112" s="355"/>
      <c r="V112" s="354"/>
      <c r="AA112" s="71" t="str">
        <f>IF((SUM(B113:T113)=K108),"","Total income does not match with Total Income Brokend Down")</f>
        <v/>
      </c>
    </row>
    <row r="113" spans="1:27" ht="22.35" customHeight="1" x14ac:dyDescent="0.25">
      <c r="A113" s="10"/>
      <c r="B113" s="4"/>
      <c r="C113" s="220"/>
      <c r="D113" s="221"/>
      <c r="E113" s="1"/>
      <c r="F113" s="1"/>
      <c r="G113" s="194"/>
      <c r="H113" s="195"/>
      <c r="I113" s="1"/>
      <c r="J113" s="1"/>
      <c r="K113" s="1"/>
      <c r="L113" s="3"/>
      <c r="M113" s="222"/>
      <c r="N113" s="223"/>
      <c r="O113" s="1"/>
      <c r="P113" s="220"/>
      <c r="Q113" s="221"/>
      <c r="R113" s="1"/>
      <c r="S113" s="1"/>
      <c r="T113" s="1"/>
      <c r="U113" s="20"/>
      <c r="V113" s="24"/>
      <c r="AA113" s="31" t="str">
        <f>IF(OR(K113,B113,D113,E113,F113,G113,I113,J113,L113,M113,O113,P113,R113,T113,S113&lt;&gt;""),"","Required")</f>
        <v>Required</v>
      </c>
    </row>
    <row r="114" spans="1:27" ht="22.35" customHeight="1" x14ac:dyDescent="0.25">
      <c r="A114" s="10"/>
      <c r="B114" s="64"/>
      <c r="C114" s="150"/>
      <c r="D114" s="72"/>
      <c r="E114" s="65"/>
      <c r="F114" s="65"/>
      <c r="G114" s="65"/>
      <c r="H114" s="65"/>
      <c r="I114" s="65"/>
      <c r="J114" s="65"/>
      <c r="K114" s="65"/>
      <c r="L114" s="58"/>
      <c r="M114" s="58"/>
      <c r="N114" s="58"/>
      <c r="O114" s="58"/>
      <c r="P114" s="58"/>
      <c r="Q114" s="58"/>
      <c r="R114" s="58"/>
      <c r="S114" s="58"/>
      <c r="T114" s="58"/>
      <c r="U114" s="65"/>
      <c r="V114" s="60"/>
      <c r="AA114" s="31"/>
    </row>
    <row r="115" spans="1:27" ht="22.35" customHeight="1" x14ac:dyDescent="0.25">
      <c r="A115" s="10"/>
      <c r="B115" s="362" t="str">
        <f>"2.2 "&amp; SUBSTITUTE(INDEX(TranslationTable[],MATCH(938,TranslationTable[TranslationKeyId],0),MATCH(TRIM(LOWER($V$5)),TranslationTable[#Headers],0)),"//",CHAR(10))</f>
        <v>2.2 Other National Society support</v>
      </c>
      <c r="C115" s="362"/>
      <c r="D115" s="362"/>
      <c r="E115" s="104"/>
      <c r="F115" s="104"/>
      <c r="G115" s="104"/>
      <c r="H115" s="104"/>
      <c r="I115" s="104"/>
      <c r="J115" s="104"/>
      <c r="K115" s="104"/>
      <c r="L115" s="104"/>
      <c r="M115" s="104"/>
      <c r="N115" s="104"/>
      <c r="O115" s="104"/>
      <c r="P115" s="104"/>
      <c r="Q115" s="104"/>
      <c r="R115" s="104"/>
      <c r="S115" s="104"/>
      <c r="T115" s="104"/>
      <c r="U115" s="104"/>
      <c r="V115" s="14"/>
      <c r="AA115" s="31"/>
    </row>
    <row r="116" spans="1:27" ht="22.35" customHeight="1" x14ac:dyDescent="0.25">
      <c r="A116" s="10"/>
      <c r="B116" s="34"/>
      <c r="C116" s="35"/>
      <c r="D116" s="363"/>
      <c r="E116" s="364"/>
      <c r="F116" s="364"/>
      <c r="G116" s="364"/>
      <c r="H116" s="364"/>
      <c r="I116" s="364"/>
      <c r="J116" s="364"/>
      <c r="K116" s="364"/>
      <c r="L116" s="364"/>
      <c r="M116" s="364"/>
      <c r="N116" s="364"/>
      <c r="O116" s="364"/>
      <c r="P116" s="364"/>
      <c r="Q116" s="364"/>
      <c r="R116" s="364"/>
      <c r="S116" s="364"/>
      <c r="T116" s="364"/>
      <c r="U116" s="364"/>
      <c r="V116" s="103"/>
      <c r="AA116" s="31"/>
    </row>
    <row r="117" spans="1:27" ht="22.35" customHeight="1" x14ac:dyDescent="0.25">
      <c r="A117" s="10"/>
      <c r="B117" s="365" t="str">
        <f>INDEX(TranslationTable[], MATCH(770, TranslationTable[TranslationKeyId], 0), MATCH(TRIM(LOWER($V$5)), TranslationTable[#Headers], 0))</f>
        <v>National Societies to which support was given</v>
      </c>
      <c r="C117" s="365"/>
      <c r="D117" s="365"/>
      <c r="E117" s="365"/>
      <c r="F117" s="365"/>
      <c r="G117" s="365"/>
      <c r="H117" s="365"/>
      <c r="I117" s="365"/>
      <c r="J117" s="365"/>
      <c r="K117" s="365"/>
      <c r="L117" s="365"/>
      <c r="M117" s="365"/>
      <c r="N117" s="365"/>
      <c r="O117" s="365"/>
      <c r="P117" s="365"/>
      <c r="Q117" s="365"/>
      <c r="R117" s="365"/>
      <c r="S117" s="365"/>
      <c r="T117" s="365"/>
      <c r="U117" s="365"/>
      <c r="V117" s="365"/>
      <c r="AA117" s="31"/>
    </row>
    <row r="118" spans="1:27" ht="36" customHeight="1" x14ac:dyDescent="0.25">
      <c r="A118" s="7"/>
      <c r="B118" s="359" t="str">
        <f>INDEX(TranslationTable[], MATCH(9044, TranslationTable[TranslationKeyId], 0), MATCH(TRIM(LOWER($V$5)), TranslationTable[#Headers], 0))</f>
        <v>Names of each National Society to which the reporting National Society has provided support, during the Reporting Year (i.e., outgoing support). Resources are defined as either human resources (at least the work of one person for one day), financial resources, or any other type of in-kind resources that exceed a value of 1.000 USD. Optional: In the table below, please provide the total funding provided in CHF, of each National Society to which the reporting National Society has provided support.</v>
      </c>
      <c r="C118" s="360"/>
      <c r="D118" s="360"/>
      <c r="E118" s="360"/>
      <c r="F118" s="360"/>
      <c r="G118" s="360"/>
      <c r="H118" s="360"/>
      <c r="I118" s="360"/>
      <c r="J118" s="360"/>
      <c r="K118" s="360"/>
      <c r="L118" s="360"/>
      <c r="M118" s="360"/>
      <c r="N118" s="360"/>
      <c r="O118" s="360"/>
      <c r="P118" s="360"/>
      <c r="Q118" s="360"/>
      <c r="R118" s="360"/>
      <c r="S118" s="360"/>
      <c r="T118" s="360"/>
      <c r="U118" s="360"/>
      <c r="V118" s="361"/>
      <c r="AA118" s="31"/>
    </row>
    <row r="119" spans="1:27" ht="22.35" customHeight="1" x14ac:dyDescent="0.25">
      <c r="A119" s="10"/>
      <c r="B119" s="108"/>
      <c r="C119" s="20"/>
      <c r="D119" s="20"/>
      <c r="E119" s="20"/>
      <c r="F119" s="20"/>
      <c r="G119" s="20"/>
      <c r="H119" s="20"/>
      <c r="I119" s="20"/>
      <c r="J119" s="20"/>
      <c r="K119" s="20"/>
      <c r="L119" s="20"/>
      <c r="M119" s="20"/>
      <c r="N119" s="20"/>
      <c r="O119" s="20"/>
      <c r="P119" s="20"/>
      <c r="Q119" s="20"/>
      <c r="R119" s="20"/>
      <c r="S119" s="20"/>
      <c r="T119" s="20"/>
      <c r="U119" s="20"/>
      <c r="V119" s="106"/>
      <c r="AA119" s="31"/>
    </row>
    <row r="120" spans="1:27" ht="22.35" customHeight="1" x14ac:dyDescent="0.25">
      <c r="A120" s="10"/>
      <c r="B120" s="111"/>
      <c r="C120" s="24"/>
      <c r="D120" s="255" t="str">
        <f>INDEX(TranslationTable[], MATCH(770, TranslationTable[TranslationKeyId], 0), MATCH(TRIM(LOWER(V5)), TranslationTable[#Headers], 0)) &amp; " (CHF)"</f>
        <v>National Societies to which support was given (CHF)</v>
      </c>
      <c r="E120" s="228"/>
      <c r="F120" s="228"/>
      <c r="G120" s="228"/>
      <c r="H120" s="228"/>
      <c r="I120" s="228"/>
      <c r="J120" s="228"/>
      <c r="K120" s="228"/>
      <c r="L120" s="229"/>
      <c r="M120" s="307" t="str">
        <f>INDEX(TranslationTable[], MATCH(9024, TranslationTable[TranslationKeyId], 0), MATCH(TRIM(LOWER(Language)), TranslationTable[#Headers], 0))</f>
        <v>Optional: In this table, please provide the name, and total funding provided in CHF, of each National Society to which the reporting National Society has provided support.</v>
      </c>
      <c r="N120" s="243"/>
      <c r="O120" s="243"/>
      <c r="P120" s="243"/>
      <c r="Q120" s="243"/>
      <c r="R120" s="243"/>
      <c r="S120" s="243"/>
      <c r="T120" s="243"/>
      <c r="U120" s="243"/>
      <c r="V120" s="106"/>
      <c r="AA120" s="31"/>
    </row>
    <row r="121" spans="1:27" ht="22.35" customHeight="1" x14ac:dyDescent="0.25">
      <c r="A121" s="10"/>
      <c r="B121" s="111"/>
      <c r="C121" s="24"/>
      <c r="D121" s="212" t="str">
        <f>INDEX(TranslationTable[], MATCH(30, TranslationTable[TranslationKeyId], 0), MATCH(TRIM(LOWER($V$5)), TranslationTable[#Headers], 0))</f>
        <v>National Society</v>
      </c>
      <c r="E121" s="213"/>
      <c r="F121" s="213"/>
      <c r="G121" s="213"/>
      <c r="H121" s="214"/>
      <c r="I121" s="310" t="str">
        <f>INDEX(TranslationTable[], MATCH(8110, TranslationTable[TranslationKeyId], 0), MATCH(TRIM(LOWER($V$5)), TranslationTable[#Headers], 0))</f>
        <v>CHF provided:</v>
      </c>
      <c r="J121" s="310"/>
      <c r="K121" s="310"/>
      <c r="L121" s="310"/>
      <c r="M121" s="307"/>
      <c r="N121" s="243"/>
      <c r="O121" s="243"/>
      <c r="P121" s="243"/>
      <c r="Q121" s="243"/>
      <c r="R121" s="243"/>
      <c r="S121" s="243"/>
      <c r="T121" s="243"/>
      <c r="U121" s="243"/>
      <c r="V121" s="106"/>
      <c r="AA121" s="31"/>
    </row>
    <row r="122" spans="1:27" ht="22.35" customHeight="1" x14ac:dyDescent="0.25">
      <c r="A122" s="10"/>
      <c r="B122" s="111"/>
      <c r="C122" s="24"/>
      <c r="D122" s="270"/>
      <c r="E122" s="271"/>
      <c r="F122" s="271"/>
      <c r="G122" s="271"/>
      <c r="H122" s="272"/>
      <c r="I122" s="292"/>
      <c r="J122" s="292"/>
      <c r="K122" s="292"/>
      <c r="L122" s="292"/>
      <c r="M122" s="307"/>
      <c r="N122" s="243"/>
      <c r="O122" s="243"/>
      <c r="P122" s="243"/>
      <c r="Q122" s="243"/>
      <c r="R122" s="243"/>
      <c r="S122" s="243"/>
      <c r="T122" s="243"/>
      <c r="U122" s="243"/>
      <c r="V122" s="106"/>
      <c r="AA122" s="31"/>
    </row>
    <row r="123" spans="1:27" ht="22.35" customHeight="1" x14ac:dyDescent="0.25">
      <c r="A123" s="10"/>
      <c r="B123" s="111"/>
      <c r="C123" s="24"/>
      <c r="D123" s="270"/>
      <c r="E123" s="271"/>
      <c r="F123" s="271"/>
      <c r="G123" s="271"/>
      <c r="H123" s="272"/>
      <c r="I123" s="292"/>
      <c r="J123" s="292"/>
      <c r="K123" s="292"/>
      <c r="L123" s="292"/>
      <c r="M123" s="307"/>
      <c r="N123" s="243"/>
      <c r="O123" s="243"/>
      <c r="P123" s="243"/>
      <c r="Q123" s="243"/>
      <c r="R123" s="243"/>
      <c r="S123" s="243"/>
      <c r="T123" s="243"/>
      <c r="U123" s="243"/>
      <c r="V123" s="106"/>
      <c r="AA123" s="31"/>
    </row>
    <row r="124" spans="1:27" ht="22.35" customHeight="1" x14ac:dyDescent="0.25">
      <c r="A124" s="10"/>
      <c r="B124" s="111"/>
      <c r="C124" s="24"/>
      <c r="D124" s="270"/>
      <c r="E124" s="271"/>
      <c r="F124" s="271"/>
      <c r="G124" s="271"/>
      <c r="H124" s="272"/>
      <c r="I124" s="292"/>
      <c r="J124" s="292"/>
      <c r="K124" s="292"/>
      <c r="L124" s="292"/>
      <c r="M124" s="307"/>
      <c r="N124" s="243"/>
      <c r="O124" s="243"/>
      <c r="P124" s="243"/>
      <c r="Q124" s="243"/>
      <c r="R124" s="243"/>
      <c r="S124" s="243"/>
      <c r="T124" s="243"/>
      <c r="U124" s="243"/>
      <c r="V124" s="106"/>
      <c r="AA124" s="31"/>
    </row>
    <row r="125" spans="1:27" ht="22.35" customHeight="1" x14ac:dyDescent="0.25">
      <c r="A125" s="10"/>
      <c r="B125" s="111"/>
      <c r="C125" s="24"/>
      <c r="D125" s="270"/>
      <c r="E125" s="271"/>
      <c r="F125" s="271"/>
      <c r="G125" s="271"/>
      <c r="H125" s="272"/>
      <c r="I125" s="292"/>
      <c r="J125" s="292"/>
      <c r="K125" s="292"/>
      <c r="L125" s="292"/>
      <c r="M125" s="307"/>
      <c r="N125" s="243"/>
      <c r="O125" s="243"/>
      <c r="P125" s="243"/>
      <c r="Q125" s="243"/>
      <c r="R125" s="243"/>
      <c r="S125" s="243"/>
      <c r="T125" s="243"/>
      <c r="U125" s="243"/>
      <c r="V125" s="106"/>
      <c r="AA125" s="31"/>
    </row>
    <row r="126" spans="1:27" ht="22.35" customHeight="1" x14ac:dyDescent="0.25">
      <c r="A126" s="10"/>
      <c r="B126" s="111"/>
      <c r="C126" s="24"/>
      <c r="D126" s="270"/>
      <c r="E126" s="271"/>
      <c r="F126" s="271"/>
      <c r="G126" s="271"/>
      <c r="H126" s="272"/>
      <c r="I126" s="292"/>
      <c r="J126" s="292"/>
      <c r="K126" s="292"/>
      <c r="L126" s="292"/>
      <c r="M126" s="307"/>
      <c r="N126" s="243"/>
      <c r="O126" s="243"/>
      <c r="P126" s="243"/>
      <c r="Q126" s="243"/>
      <c r="R126" s="243"/>
      <c r="S126" s="243"/>
      <c r="T126" s="243"/>
      <c r="U126" s="243"/>
      <c r="V126" s="106"/>
      <c r="AA126" s="31"/>
    </row>
    <row r="127" spans="1:27" ht="22.35" customHeight="1" x14ac:dyDescent="0.25">
      <c r="A127" s="10"/>
      <c r="B127" s="111"/>
      <c r="C127" s="24"/>
      <c r="D127" s="270"/>
      <c r="E127" s="271"/>
      <c r="F127" s="271"/>
      <c r="G127" s="271"/>
      <c r="H127" s="272"/>
      <c r="I127" s="292"/>
      <c r="J127" s="292"/>
      <c r="K127" s="292"/>
      <c r="L127" s="292"/>
      <c r="M127" s="307"/>
      <c r="N127" s="243"/>
      <c r="O127" s="243"/>
      <c r="P127" s="243"/>
      <c r="Q127" s="243"/>
      <c r="R127" s="243"/>
      <c r="S127" s="243"/>
      <c r="T127" s="243"/>
      <c r="U127" s="243"/>
      <c r="V127" s="106"/>
      <c r="AA127" s="31"/>
    </row>
    <row r="128" spans="1:27" ht="22.35" customHeight="1" x14ac:dyDescent="0.25">
      <c r="A128" s="10"/>
      <c r="B128" s="111"/>
      <c r="C128" s="24"/>
      <c r="D128" s="270"/>
      <c r="E128" s="271"/>
      <c r="F128" s="271"/>
      <c r="G128" s="271"/>
      <c r="H128" s="272"/>
      <c r="I128" s="292"/>
      <c r="J128" s="292"/>
      <c r="K128" s="292"/>
      <c r="L128" s="292"/>
      <c r="M128" s="307"/>
      <c r="N128" s="243"/>
      <c r="O128" s="243"/>
      <c r="P128" s="243"/>
      <c r="Q128" s="243"/>
      <c r="R128" s="243"/>
      <c r="S128" s="243"/>
      <c r="T128" s="243"/>
      <c r="U128" s="243"/>
      <c r="V128" s="106"/>
      <c r="AA128" s="31"/>
    </row>
    <row r="129" spans="1:27" ht="22.35" customHeight="1" x14ac:dyDescent="0.25">
      <c r="A129" s="10"/>
      <c r="B129" s="111"/>
      <c r="C129" s="24"/>
      <c r="D129" s="270"/>
      <c r="E129" s="271"/>
      <c r="F129" s="271"/>
      <c r="G129" s="271"/>
      <c r="H129" s="272"/>
      <c r="I129" s="292"/>
      <c r="J129" s="292"/>
      <c r="K129" s="292"/>
      <c r="L129" s="292"/>
      <c r="M129" s="307"/>
      <c r="N129" s="243"/>
      <c r="O129" s="243"/>
      <c r="P129" s="243"/>
      <c r="Q129" s="243"/>
      <c r="R129" s="243"/>
      <c r="S129" s="243"/>
      <c r="T129" s="243"/>
      <c r="U129" s="243"/>
      <c r="V129" s="106"/>
      <c r="AA129" s="31"/>
    </row>
    <row r="130" spans="1:27" ht="22.35" customHeight="1" x14ac:dyDescent="0.25">
      <c r="A130" s="10"/>
      <c r="B130" s="111"/>
      <c r="C130" s="24"/>
      <c r="D130" s="270"/>
      <c r="E130" s="271"/>
      <c r="F130" s="271"/>
      <c r="G130" s="271"/>
      <c r="H130" s="272"/>
      <c r="I130" s="292"/>
      <c r="J130" s="292"/>
      <c r="K130" s="292"/>
      <c r="L130" s="292"/>
      <c r="M130" s="307"/>
      <c r="N130" s="243"/>
      <c r="O130" s="243"/>
      <c r="P130" s="243"/>
      <c r="Q130" s="243"/>
      <c r="R130" s="243"/>
      <c r="S130" s="243"/>
      <c r="T130" s="243"/>
      <c r="U130" s="243"/>
      <c r="V130" s="106"/>
      <c r="AA130" s="31"/>
    </row>
    <row r="131" spans="1:27" ht="22.35" customHeight="1" x14ac:dyDescent="0.25">
      <c r="A131" s="10"/>
      <c r="B131" s="111"/>
      <c r="C131" s="24"/>
      <c r="D131" s="270"/>
      <c r="E131" s="271"/>
      <c r="F131" s="271"/>
      <c r="G131" s="271"/>
      <c r="H131" s="272"/>
      <c r="I131" s="292"/>
      <c r="J131" s="292"/>
      <c r="K131" s="292"/>
      <c r="L131" s="292"/>
      <c r="M131" s="307"/>
      <c r="N131" s="243"/>
      <c r="O131" s="243"/>
      <c r="P131" s="243"/>
      <c r="Q131" s="243"/>
      <c r="R131" s="243"/>
      <c r="S131" s="243"/>
      <c r="T131" s="243"/>
      <c r="U131" s="243"/>
      <c r="V131" s="106"/>
      <c r="AA131" s="31"/>
    </row>
    <row r="132" spans="1:27" ht="22.35" customHeight="1" x14ac:dyDescent="0.25">
      <c r="A132" s="10"/>
      <c r="B132" s="107"/>
      <c r="C132" s="65"/>
      <c r="D132" s="65"/>
      <c r="E132" s="65"/>
      <c r="F132" s="65"/>
      <c r="G132" s="65"/>
      <c r="H132" s="65"/>
      <c r="I132" s="65"/>
      <c r="J132" s="65"/>
      <c r="K132" s="65"/>
      <c r="L132" s="65"/>
      <c r="M132" s="65"/>
      <c r="N132" s="65"/>
      <c r="O132" s="65"/>
      <c r="P132" s="65"/>
      <c r="Q132" s="65"/>
      <c r="R132" s="65"/>
      <c r="S132" s="65"/>
      <c r="T132" s="65"/>
      <c r="U132" s="65"/>
      <c r="V132" s="105"/>
      <c r="AA132" s="31"/>
    </row>
    <row r="133" spans="1:27" ht="22.35" customHeight="1" x14ac:dyDescent="0.25">
      <c r="A133" s="10"/>
      <c r="B133" s="398" t="str">
        <f>INDEX(TranslationTable[], MATCH(771, TranslationTable[TranslationKeyId], 0), MATCH(TRIM(LOWER(V5)), TranslationTable[#Headers], 0))</f>
        <v>National Societies from which support was received</v>
      </c>
      <c r="C133" s="398"/>
      <c r="D133" s="398"/>
      <c r="E133" s="398"/>
      <c r="F133" s="398"/>
      <c r="G133" s="398"/>
      <c r="H133" s="398"/>
      <c r="I133" s="398"/>
      <c r="J133" s="398"/>
      <c r="K133" s="398"/>
      <c r="L133" s="398"/>
      <c r="M133" s="398"/>
      <c r="N133" s="398"/>
      <c r="O133" s="398"/>
      <c r="P133" s="398"/>
      <c r="Q133" s="398"/>
      <c r="R133" s="398"/>
      <c r="S133" s="398"/>
      <c r="T133" s="398"/>
      <c r="U133" s="398"/>
      <c r="V133" s="398"/>
      <c r="AA133" s="31"/>
    </row>
    <row r="134" spans="1:27" ht="33.75" customHeight="1" x14ac:dyDescent="0.25">
      <c r="A134" s="7"/>
      <c r="B134" s="313" t="str">
        <f>INDEX(TranslationTable[], MATCH(9026, TranslationTable[TranslationKeyId], 0), MATCH(TRIM(LOWER(Language)), TranslationTable[#Headers], 0))</f>
        <v>Optional: In this table, please provide the name, and total funding received in CHF, of each National Society from which the reporting National Society has received support.</v>
      </c>
      <c r="C134" s="314"/>
      <c r="D134" s="314"/>
      <c r="E134" s="314"/>
      <c r="F134" s="314"/>
      <c r="G134" s="314"/>
      <c r="H134" s="314"/>
      <c r="I134" s="314"/>
      <c r="J134" s="314"/>
      <c r="K134" s="314"/>
      <c r="L134" s="314"/>
      <c r="M134" s="314"/>
      <c r="N134" s="314"/>
      <c r="O134" s="314"/>
      <c r="P134" s="314"/>
      <c r="Q134" s="314"/>
      <c r="R134" s="314"/>
      <c r="S134" s="314"/>
      <c r="T134" s="314"/>
      <c r="U134" s="314"/>
      <c r="V134" s="315"/>
      <c r="AA134" s="31"/>
    </row>
    <row r="135" spans="1:27" ht="22.35" customHeight="1" x14ac:dyDescent="0.25">
      <c r="A135" s="10"/>
      <c r="B135" s="399"/>
      <c r="C135" s="400"/>
      <c r="D135" s="400"/>
      <c r="E135" s="400"/>
      <c r="F135" s="400"/>
      <c r="G135" s="400"/>
      <c r="H135" s="400"/>
      <c r="I135" s="400"/>
      <c r="J135" s="400"/>
      <c r="K135" s="400"/>
      <c r="L135" s="400"/>
      <c r="M135" s="400"/>
      <c r="N135" s="400"/>
      <c r="O135" s="400"/>
      <c r="P135" s="400"/>
      <c r="Q135" s="400"/>
      <c r="R135" s="400"/>
      <c r="S135" s="400"/>
      <c r="T135" s="400"/>
      <c r="U135" s="400"/>
      <c r="V135" s="401"/>
      <c r="AA135" s="31"/>
    </row>
    <row r="136" spans="1:27" ht="22.35" customHeight="1" x14ac:dyDescent="0.25">
      <c r="A136" s="10"/>
      <c r="B136" s="111"/>
      <c r="C136" s="24"/>
      <c r="D136" s="255" t="str">
        <f>INDEX(TranslationTable[], MATCH(771, TranslationTable[TranslationKeyId], 0), MATCH(TRIM(LOWER(V5)), TranslationTable[#Headers], 0)) &amp; " (CHF)"</f>
        <v>National Societies from which support was received (CHF)</v>
      </c>
      <c r="E136" s="228"/>
      <c r="F136" s="228"/>
      <c r="G136" s="228"/>
      <c r="H136" s="228"/>
      <c r="I136" s="228"/>
      <c r="J136" s="228"/>
      <c r="K136" s="228"/>
      <c r="L136" s="229"/>
      <c r="M136" s="307" t="str">
        <f>INDEX(TranslationTable[], MATCH(9025, TranslationTable[TranslationKeyId], 0), MATCH(TRIM(LOWER(Language)), TranslationTable[#Headers], 0))</f>
        <v>Name of each National Society from which the reporting National Society has received support, during the Reporting Year (i.e., incoming support). Resources are defined as either human resources (at least the work of one person for one day), financial resources, or any other type of in-kind resources that exceed a value of 1.000 USD. In case the exact CHF support received is known, please provide this number next to the National Society name in the table below.</v>
      </c>
      <c r="N136" s="243"/>
      <c r="O136" s="243"/>
      <c r="P136" s="243"/>
      <c r="Q136" s="243"/>
      <c r="R136" s="243"/>
      <c r="S136" s="243"/>
      <c r="T136" s="243"/>
      <c r="U136" s="243"/>
      <c r="V136" s="106"/>
      <c r="AA136" s="31"/>
    </row>
    <row r="137" spans="1:27" ht="22.35" customHeight="1" x14ac:dyDescent="0.25">
      <c r="A137" s="10"/>
      <c r="B137" s="111"/>
      <c r="C137" s="24"/>
      <c r="D137" s="212" t="str">
        <f>INDEX(TranslationTable[], MATCH(30, TranslationTable[TranslationKeyId], 0), MATCH(TRIM(LOWER($V$5)), TranslationTable[#Headers], 0))</f>
        <v>National Society</v>
      </c>
      <c r="E137" s="213"/>
      <c r="F137" s="213"/>
      <c r="G137" s="213"/>
      <c r="H137" s="214"/>
      <c r="I137" s="310" t="str">
        <f>INDEX(TranslationTable[], MATCH(8111, TranslationTable[TranslationKeyId], 0), MATCH(TRIM(LOWER(V5)), TranslationTable[#Headers], 0))</f>
        <v>CHF received:</v>
      </c>
      <c r="J137" s="310"/>
      <c r="K137" s="310"/>
      <c r="L137" s="310"/>
      <c r="M137" s="307"/>
      <c r="N137" s="243"/>
      <c r="O137" s="243"/>
      <c r="P137" s="243"/>
      <c r="Q137" s="243"/>
      <c r="R137" s="243"/>
      <c r="S137" s="243"/>
      <c r="T137" s="243"/>
      <c r="U137" s="243"/>
      <c r="V137" s="106"/>
      <c r="AA137" s="31"/>
    </row>
    <row r="138" spans="1:27" ht="22.35" customHeight="1" x14ac:dyDescent="0.25">
      <c r="A138" s="10"/>
      <c r="B138" s="402" t="str">
        <f>IF(SUM(I138:L147)&gt;O113,INDEX(TranslationTable[], MATCH(9046, TranslationTable[TranslationKeyId], 0), MATCH(TRIM(LOWER(Language)), TranslationTable[#Headers], 0))," ")</f>
        <v xml:space="preserve"> </v>
      </c>
      <c r="C138" s="24"/>
      <c r="D138" s="270"/>
      <c r="E138" s="271"/>
      <c r="F138" s="271"/>
      <c r="G138" s="271"/>
      <c r="H138" s="272"/>
      <c r="I138" s="292"/>
      <c r="J138" s="292"/>
      <c r="K138" s="292"/>
      <c r="L138" s="292"/>
      <c r="M138" s="307"/>
      <c r="N138" s="243"/>
      <c r="O138" s="243"/>
      <c r="P138" s="243"/>
      <c r="Q138" s="243"/>
      <c r="R138" s="243"/>
      <c r="S138" s="243"/>
      <c r="T138" s="243"/>
      <c r="U138" s="243"/>
      <c r="V138" s="106"/>
      <c r="AA138" s="31"/>
    </row>
    <row r="139" spans="1:27" ht="22.35" customHeight="1" x14ac:dyDescent="0.25">
      <c r="A139" s="10"/>
      <c r="B139" s="402"/>
      <c r="C139" s="24"/>
      <c r="D139" s="270"/>
      <c r="E139" s="271"/>
      <c r="F139" s="271"/>
      <c r="G139" s="271"/>
      <c r="H139" s="272"/>
      <c r="I139" s="292"/>
      <c r="J139" s="292"/>
      <c r="K139" s="292"/>
      <c r="L139" s="292"/>
      <c r="M139" s="307"/>
      <c r="N139" s="243"/>
      <c r="O139" s="243"/>
      <c r="P139" s="243"/>
      <c r="Q139" s="243"/>
      <c r="R139" s="243"/>
      <c r="S139" s="243"/>
      <c r="T139" s="243"/>
      <c r="U139" s="243"/>
      <c r="V139" s="106"/>
      <c r="AA139" s="31"/>
    </row>
    <row r="140" spans="1:27" ht="22.35" customHeight="1" x14ac:dyDescent="0.25">
      <c r="A140" s="10"/>
      <c r="B140" s="402"/>
      <c r="C140" s="24"/>
      <c r="D140" s="270"/>
      <c r="E140" s="271"/>
      <c r="F140" s="271"/>
      <c r="G140" s="271"/>
      <c r="H140" s="272"/>
      <c r="I140" s="292"/>
      <c r="J140" s="292"/>
      <c r="K140" s="292"/>
      <c r="L140" s="292"/>
      <c r="M140" s="307"/>
      <c r="N140" s="243"/>
      <c r="O140" s="243"/>
      <c r="P140" s="243"/>
      <c r="Q140" s="243"/>
      <c r="R140" s="243"/>
      <c r="S140" s="243"/>
      <c r="T140" s="243"/>
      <c r="U140" s="243"/>
      <c r="V140" s="106"/>
      <c r="AA140" s="31"/>
    </row>
    <row r="141" spans="1:27" ht="22.35" customHeight="1" x14ac:dyDescent="0.25">
      <c r="A141" s="10"/>
      <c r="B141" s="402"/>
      <c r="C141" s="24"/>
      <c r="D141" s="270"/>
      <c r="E141" s="271"/>
      <c r="F141" s="271"/>
      <c r="G141" s="271"/>
      <c r="H141" s="272"/>
      <c r="I141" s="292"/>
      <c r="J141" s="292"/>
      <c r="K141" s="292"/>
      <c r="L141" s="292"/>
      <c r="M141" s="307"/>
      <c r="N141" s="243"/>
      <c r="O141" s="243"/>
      <c r="P141" s="243"/>
      <c r="Q141" s="243"/>
      <c r="R141" s="243"/>
      <c r="S141" s="243"/>
      <c r="T141" s="243"/>
      <c r="U141" s="243"/>
      <c r="V141" s="106"/>
      <c r="AA141" s="31"/>
    </row>
    <row r="142" spans="1:27" ht="22.35" customHeight="1" x14ac:dyDescent="0.25">
      <c r="A142" s="10"/>
      <c r="B142" s="402"/>
      <c r="C142" s="24"/>
      <c r="D142" s="270"/>
      <c r="E142" s="271"/>
      <c r="F142" s="271"/>
      <c r="G142" s="271"/>
      <c r="H142" s="272"/>
      <c r="I142" s="292"/>
      <c r="J142" s="292"/>
      <c r="K142" s="292"/>
      <c r="L142" s="292"/>
      <c r="M142" s="307"/>
      <c r="N142" s="243"/>
      <c r="O142" s="243"/>
      <c r="P142" s="243"/>
      <c r="Q142" s="243"/>
      <c r="R142" s="243"/>
      <c r="S142" s="243"/>
      <c r="T142" s="243"/>
      <c r="U142" s="243"/>
      <c r="V142" s="106"/>
      <c r="AA142" s="31"/>
    </row>
    <row r="143" spans="1:27" ht="22.35" customHeight="1" x14ac:dyDescent="0.25">
      <c r="A143" s="10"/>
      <c r="B143" s="402"/>
      <c r="C143" s="24"/>
      <c r="D143" s="270"/>
      <c r="E143" s="271"/>
      <c r="F143" s="271"/>
      <c r="G143" s="271"/>
      <c r="H143" s="272"/>
      <c r="I143" s="292"/>
      <c r="J143" s="292"/>
      <c r="K143" s="292"/>
      <c r="L143" s="292"/>
      <c r="M143" s="307"/>
      <c r="N143" s="243"/>
      <c r="O143" s="243"/>
      <c r="P143" s="243"/>
      <c r="Q143" s="243"/>
      <c r="R143" s="243"/>
      <c r="S143" s="243"/>
      <c r="T143" s="243"/>
      <c r="U143" s="243"/>
      <c r="V143" s="106"/>
      <c r="AA143" s="31"/>
    </row>
    <row r="144" spans="1:27" ht="22.35" customHeight="1" x14ac:dyDescent="0.25">
      <c r="A144" s="10"/>
      <c r="B144" s="402"/>
      <c r="C144" s="24"/>
      <c r="D144" s="270"/>
      <c r="E144" s="271"/>
      <c r="F144" s="271"/>
      <c r="G144" s="271"/>
      <c r="H144" s="272"/>
      <c r="I144" s="292"/>
      <c r="J144" s="292"/>
      <c r="K144" s="292"/>
      <c r="L144" s="292"/>
      <c r="M144" s="307"/>
      <c r="N144" s="243"/>
      <c r="O144" s="243"/>
      <c r="P144" s="243"/>
      <c r="Q144" s="243"/>
      <c r="R144" s="243"/>
      <c r="S144" s="243"/>
      <c r="T144" s="243"/>
      <c r="U144" s="243"/>
      <c r="V144" s="106"/>
      <c r="AA144" s="31"/>
    </row>
    <row r="145" spans="1:27" ht="22.35" customHeight="1" x14ac:dyDescent="0.25">
      <c r="A145" s="10"/>
      <c r="B145" s="402"/>
      <c r="C145" s="24"/>
      <c r="D145" s="270"/>
      <c r="E145" s="271"/>
      <c r="F145" s="271"/>
      <c r="G145" s="271"/>
      <c r="H145" s="272"/>
      <c r="I145" s="292"/>
      <c r="J145" s="292"/>
      <c r="K145" s="292"/>
      <c r="L145" s="292"/>
      <c r="M145" s="307"/>
      <c r="N145" s="243"/>
      <c r="O145" s="243"/>
      <c r="P145" s="243"/>
      <c r="Q145" s="243"/>
      <c r="R145" s="243"/>
      <c r="S145" s="243"/>
      <c r="T145" s="243"/>
      <c r="U145" s="243"/>
      <c r="V145" s="106"/>
      <c r="AA145" s="31"/>
    </row>
    <row r="146" spans="1:27" ht="22.35" customHeight="1" x14ac:dyDescent="0.25">
      <c r="A146" s="10"/>
      <c r="B146" s="111"/>
      <c r="C146" s="24"/>
      <c r="D146" s="270"/>
      <c r="E146" s="271"/>
      <c r="F146" s="271"/>
      <c r="G146" s="271"/>
      <c r="H146" s="272"/>
      <c r="I146" s="292"/>
      <c r="J146" s="292"/>
      <c r="K146" s="292"/>
      <c r="L146" s="292"/>
      <c r="M146" s="307"/>
      <c r="N146" s="243"/>
      <c r="O146" s="243"/>
      <c r="P146" s="243"/>
      <c r="Q146" s="243"/>
      <c r="R146" s="243"/>
      <c r="S146" s="243"/>
      <c r="T146" s="243"/>
      <c r="U146" s="243"/>
      <c r="V146" s="106"/>
      <c r="AA146" s="31"/>
    </row>
    <row r="147" spans="1:27" ht="22.35" customHeight="1" x14ac:dyDescent="0.25">
      <c r="A147" s="10"/>
      <c r="B147" s="111"/>
      <c r="C147" s="24"/>
      <c r="D147" s="270"/>
      <c r="E147" s="271"/>
      <c r="F147" s="271"/>
      <c r="G147" s="271"/>
      <c r="H147" s="272"/>
      <c r="I147" s="292"/>
      <c r="J147" s="292"/>
      <c r="K147" s="292"/>
      <c r="L147" s="292"/>
      <c r="M147" s="307"/>
      <c r="N147" s="243"/>
      <c r="O147" s="243"/>
      <c r="P147" s="243"/>
      <c r="Q147" s="243"/>
      <c r="R147" s="243"/>
      <c r="S147" s="243"/>
      <c r="T147" s="243"/>
      <c r="U147" s="243"/>
      <c r="V147" s="106"/>
      <c r="AA147" s="31"/>
    </row>
    <row r="148" spans="1:27" ht="22.35" customHeight="1" x14ac:dyDescent="0.25">
      <c r="A148" s="10"/>
      <c r="B148" s="108"/>
      <c r="C148" s="20"/>
      <c r="D148" s="20"/>
      <c r="E148" s="20"/>
      <c r="F148" s="20"/>
      <c r="G148" s="20"/>
      <c r="H148" s="20"/>
      <c r="I148" s="20"/>
      <c r="J148" s="20"/>
      <c r="K148" s="20"/>
      <c r="L148" s="20"/>
      <c r="M148" s="20"/>
      <c r="N148" s="20"/>
      <c r="O148" s="20"/>
      <c r="P148" s="20"/>
      <c r="Q148" s="20"/>
      <c r="R148" s="20"/>
      <c r="S148" s="20"/>
      <c r="T148" s="20"/>
      <c r="U148" s="20"/>
      <c r="V148" s="106"/>
      <c r="AA148" s="31"/>
    </row>
    <row r="149" spans="1:27" ht="22.35" customHeight="1" x14ac:dyDescent="0.25">
      <c r="A149" s="7"/>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7"/>
      <c r="AA149" s="31"/>
    </row>
    <row r="150" spans="1:27" ht="22.35" customHeight="1" x14ac:dyDescent="0.25">
      <c r="A150" s="10"/>
      <c r="B150" s="306" t="str">
        <f>"3: " &amp; INDEX(TranslationTable[], MATCH(911, TranslationTable[TranslationKeyId], 0), MATCH(TRIM(LOWER(V5)), TranslationTable[#Headers], 0))</f>
        <v>3: NS Reach</v>
      </c>
      <c r="C150" s="218"/>
      <c r="D150" s="218"/>
      <c r="E150" s="218"/>
      <c r="F150" s="218"/>
      <c r="G150" s="218"/>
      <c r="H150" s="218"/>
      <c r="I150" s="218"/>
      <c r="J150" s="218"/>
      <c r="K150" s="218"/>
      <c r="L150" s="218"/>
      <c r="M150" s="218"/>
      <c r="N150" s="218"/>
      <c r="O150" s="218"/>
      <c r="P150" s="218"/>
      <c r="Q150" s="218"/>
      <c r="R150" s="218"/>
      <c r="S150" s="218"/>
      <c r="T150" s="218"/>
      <c r="U150" s="218"/>
      <c r="V150" s="219"/>
      <c r="AA150" s="31"/>
    </row>
    <row r="151" spans="1:27" ht="22.35" customHeight="1" x14ac:dyDescent="0.25">
      <c r="A151" s="10"/>
      <c r="B151" s="311" t="str">
        <f>"3.1 "&amp; SUBSTITUTE(INDEX(TranslationTable[],MATCH(940,TranslationTable[TranslationKeyId],0),MATCH(TRIM(LOWER($V$5)),TranslationTable[#Headers],0)),"//",CHAR(10))</f>
        <v>3.1 Blood And First Aid Activities</v>
      </c>
      <c r="C151" s="312"/>
      <c r="D151" s="312"/>
      <c r="E151" s="312"/>
      <c r="F151" s="312"/>
      <c r="G151" s="45"/>
      <c r="H151" s="45"/>
      <c r="I151" s="45"/>
      <c r="J151" s="45"/>
      <c r="K151" s="45"/>
      <c r="L151" s="45"/>
      <c r="M151" s="45"/>
      <c r="N151" s="45"/>
      <c r="O151" s="45"/>
      <c r="P151" s="45"/>
      <c r="Q151" s="45"/>
      <c r="R151" s="45"/>
      <c r="S151" s="45"/>
      <c r="T151" s="45"/>
      <c r="U151" s="45"/>
      <c r="V151" s="61"/>
      <c r="AA151" s="31"/>
    </row>
    <row r="152" spans="1:27" ht="22.35" customHeight="1" x14ac:dyDescent="0.25">
      <c r="A152" s="10"/>
      <c r="B152" s="73"/>
      <c r="C152" s="18"/>
      <c r="D152" s="13"/>
      <c r="E152" s="13"/>
      <c r="F152" s="19"/>
      <c r="G152" s="13"/>
      <c r="H152" s="13"/>
      <c r="I152" s="13"/>
      <c r="J152" s="13"/>
      <c r="K152" s="13"/>
      <c r="L152" s="19"/>
      <c r="M152" s="19"/>
      <c r="N152" s="19"/>
      <c r="O152" s="19"/>
      <c r="P152" s="19"/>
      <c r="Q152" s="19"/>
      <c r="R152" s="19"/>
      <c r="S152" s="19"/>
      <c r="T152" s="25"/>
      <c r="U152" s="19"/>
      <c r="V152" s="24"/>
      <c r="AA152" s="31"/>
    </row>
    <row r="153" spans="1:27" ht="22.35" customHeight="1" x14ac:dyDescent="0.25">
      <c r="A153" s="10"/>
      <c r="B153" s="26"/>
      <c r="C153" s="172" t="b">
        <v>0</v>
      </c>
      <c r="D153" s="357"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153" s="357"/>
      <c r="F153" s="74" t="b">
        <v>1</v>
      </c>
      <c r="G153" s="35"/>
      <c r="H153" s="172" t="b">
        <v>0</v>
      </c>
      <c r="I153" s="357"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153" s="357"/>
      <c r="K153" s="357"/>
      <c r="L153" s="357"/>
      <c r="M153" s="357"/>
      <c r="N153" s="19"/>
      <c r="O153" s="19"/>
      <c r="P153" s="75"/>
      <c r="Q153" s="75"/>
      <c r="R153" s="75"/>
      <c r="S153" s="75"/>
      <c r="T153" s="75"/>
      <c r="U153" s="19"/>
      <c r="V153" s="24"/>
      <c r="AA153" s="31"/>
    </row>
    <row r="154" spans="1:27" ht="22.35" customHeight="1" x14ac:dyDescent="0.25">
      <c r="A154" s="10"/>
      <c r="B154" s="396" t="str">
        <f>IF(OR(O160&lt;&gt;"", C153=TRUE, H153=TRUE), "", IFERROR(INDEX(TranslationTable[], MATCH(9043, TranslationTable[TranslationKeyId], 0), MATCH(LOWER(Language), TranslationTable[#Headers], 0)), ""))</f>
        <v>Required</v>
      </c>
      <c r="C154" s="397"/>
      <c r="D154" s="391" t="str">
        <f>SUBSTITUTE(INDEX(TranslationTable[],MATCH(130,TranslationTable[TranslationKeyId],0),MATCH(TRIM(LOWER($V$5)),TranslationTable[#Headers],0)),"//",CHAR(10))</f>
        <v>People donating blood</v>
      </c>
      <c r="E154" s="391"/>
      <c r="F154" s="391"/>
      <c r="G154" s="391"/>
      <c r="H154" s="391"/>
      <c r="I154" s="391"/>
      <c r="J154" s="391"/>
      <c r="K154" s="391"/>
      <c r="L154" s="391"/>
      <c r="M154" s="391"/>
      <c r="N154" s="391"/>
      <c r="O154" s="392"/>
      <c r="P154" s="75"/>
      <c r="Q154" s="75"/>
      <c r="R154" s="75"/>
      <c r="S154" s="75"/>
      <c r="T154" s="75"/>
      <c r="U154" s="19"/>
      <c r="V154" s="24"/>
      <c r="AA154" s="31"/>
    </row>
    <row r="155" spans="1:27" ht="30" customHeight="1" x14ac:dyDescent="0.25">
      <c r="A155" s="10"/>
      <c r="B155" s="197" t="str">
        <f>INDEX(TranslationTable[], MATCH(3306, TranslationTable[TranslationKeyId], 0), MATCH(TRIM(LOWER($V$5)), TranslationTable[#Headers], 0))</f>
        <v>Age group</v>
      </c>
      <c r="C155" s="198"/>
      <c r="D155" s="29" t="s">
        <v>13</v>
      </c>
      <c r="E155" s="29" t="s">
        <v>15</v>
      </c>
      <c r="F155" s="29" t="s">
        <v>6</v>
      </c>
      <c r="G155" s="192" t="s">
        <v>7</v>
      </c>
      <c r="H155" s="193"/>
      <c r="I155" s="29" t="s">
        <v>8</v>
      </c>
      <c r="J155" s="29" t="s">
        <v>9</v>
      </c>
      <c r="K155" s="29" t="s">
        <v>10</v>
      </c>
      <c r="L155" s="29" t="s">
        <v>11</v>
      </c>
      <c r="M155" s="246" t="str">
        <f>INDEX(TranslationTable[], MATCH(701, TranslationTable[TranslationKeyId], 0), MATCH(TRIM(LOWER($V$5)), TranslationTable[#Headers], 0))</f>
        <v>Unknown</v>
      </c>
      <c r="N155" s="247"/>
      <c r="O155" s="28" t="str">
        <f>INDEX(TranslationTable[], MATCH(6383, TranslationTable[TranslationKeyId], 0), MATCH(TRIM(LOWER($V$5)), TranslationTable[#Headers], 0))</f>
        <v>Total</v>
      </c>
      <c r="P155" s="309" t="str">
        <f>SUBSTITUTE(INDEX(TranslationTable[],MATCH(969,TranslationTable[TranslationKeyId],0),MATCH(TRIM(LOWER($V$5)),TranslationTable[#Headers],0)),"//",CHAR(10))</f>
        <v>People who have donated blood at a blood donation centre / blood bank or similar, owned or run by the reporting National Society at least once during the Reporting Year</v>
      </c>
      <c r="Q155" s="243"/>
      <c r="R155" s="243"/>
      <c r="S155" s="243"/>
      <c r="T155" s="243"/>
      <c r="U155" s="243"/>
      <c r="V155" s="24"/>
      <c r="Y155" s="5" t="b">
        <v>0</v>
      </c>
      <c r="Z155" s="5" t="b">
        <v>0</v>
      </c>
      <c r="AA155" s="31" t="str">
        <f>IF(OR(Y155,Z155,O160&lt;&gt;""),"","Required")</f>
        <v>Required</v>
      </c>
    </row>
    <row r="156" spans="1:27" ht="22.35" customHeight="1" x14ac:dyDescent="0.25">
      <c r="A156" s="7"/>
      <c r="B156" s="197" t="str">
        <f>INDEX(TranslationTable[], MATCH(3301, TranslationTable[TranslationKeyId], 0), MATCH(TRIM(LOWER($V$5)), TranslationTable[#Headers], 0))</f>
        <v>Male</v>
      </c>
      <c r="C156" s="198"/>
      <c r="D156" s="1"/>
      <c r="E156" s="1"/>
      <c r="F156" s="1"/>
      <c r="G156" s="194"/>
      <c r="H156" s="195"/>
      <c r="I156" s="1"/>
      <c r="J156" s="1"/>
      <c r="K156" s="1"/>
      <c r="L156" s="1"/>
      <c r="M156" s="241"/>
      <c r="N156" s="242"/>
      <c r="O156" s="30" t="str">
        <f>IF(SUM(D156:M156)=0,"",SUM((D156:M156)))</f>
        <v/>
      </c>
      <c r="P156" s="309"/>
      <c r="Q156" s="243"/>
      <c r="R156" s="243"/>
      <c r="S156" s="243"/>
      <c r="T156" s="243"/>
      <c r="U156" s="243"/>
      <c r="V156" s="24"/>
      <c r="AA156" s="31"/>
    </row>
    <row r="157" spans="1:27" ht="22.35" customHeight="1" x14ac:dyDescent="0.25">
      <c r="A157" s="10"/>
      <c r="B157" s="197" t="str">
        <f>INDEX(TranslationTable[], MATCH(3302, TranslationTable[TranslationKeyId], 0), MATCH(TRIM(LOWER($V$5)), TranslationTable[#Headers], 0))</f>
        <v>Female</v>
      </c>
      <c r="C157" s="198"/>
      <c r="D157" s="1"/>
      <c r="E157" s="1"/>
      <c r="F157" s="1"/>
      <c r="G157" s="194"/>
      <c r="H157" s="195"/>
      <c r="I157" s="1"/>
      <c r="J157" s="1"/>
      <c r="K157" s="1"/>
      <c r="L157" s="1"/>
      <c r="M157" s="241"/>
      <c r="N157" s="242"/>
      <c r="O157" s="30" t="str">
        <f>IF(SUM(D157:M157)=0,"",SUM((D157:M157)))</f>
        <v/>
      </c>
      <c r="P157" s="309"/>
      <c r="Q157" s="243"/>
      <c r="R157" s="243"/>
      <c r="S157" s="243"/>
      <c r="T157" s="243"/>
      <c r="U157" s="243"/>
      <c r="V157" s="24"/>
      <c r="AA157" s="31"/>
    </row>
    <row r="158" spans="1:27" ht="22.35" customHeight="1" x14ac:dyDescent="0.25">
      <c r="A158" s="10"/>
      <c r="B158" s="197" t="str">
        <f>INDEX(TranslationTable[], MATCH(9001, TranslationTable[TranslationKeyId], 0), MATCH(TRIM(LOWER($V$5)), TranslationTable[#Headers], 0))</f>
        <v>Non-binary</v>
      </c>
      <c r="C158" s="198"/>
      <c r="D158" s="1"/>
      <c r="E158" s="1"/>
      <c r="F158" s="1"/>
      <c r="G158" s="194"/>
      <c r="H158" s="195"/>
      <c r="I158" s="1"/>
      <c r="J158" s="1"/>
      <c r="K158" s="1"/>
      <c r="L158" s="1"/>
      <c r="M158" s="241"/>
      <c r="N158" s="242"/>
      <c r="O158" s="30" t="str">
        <f>IF(SUM(D158:M158)=0,"",SUM((D158:M158)))</f>
        <v/>
      </c>
      <c r="P158" s="309"/>
      <c r="Q158" s="243"/>
      <c r="R158" s="243"/>
      <c r="S158" s="243"/>
      <c r="T158" s="243"/>
      <c r="U158" s="243"/>
      <c r="V158" s="24"/>
      <c r="AA158" s="31"/>
    </row>
    <row r="159" spans="1:27" ht="22.35" customHeight="1" x14ac:dyDescent="0.25">
      <c r="A159" s="10"/>
      <c r="B159" s="197" t="str">
        <f>INDEX(TranslationTable[], MATCH(701, TranslationTable[TranslationKeyId], 0), MATCH(TRIM(LOWER($V$5)), TranslationTable[#Headers], 0))</f>
        <v>Unknown</v>
      </c>
      <c r="C159" s="198"/>
      <c r="D159" s="142"/>
      <c r="E159" s="142"/>
      <c r="F159" s="142"/>
      <c r="G159" s="190"/>
      <c r="H159" s="191"/>
      <c r="I159" s="142"/>
      <c r="J159" s="142"/>
      <c r="K159" s="142"/>
      <c r="L159" s="142"/>
      <c r="M159" s="248"/>
      <c r="N159" s="249"/>
      <c r="O159" s="30" t="str">
        <f>IF(SUM(D159:M159)=0,"",SUM((D159:M159)))</f>
        <v/>
      </c>
      <c r="P159" s="309"/>
      <c r="Q159" s="243"/>
      <c r="R159" s="243"/>
      <c r="S159" s="243"/>
      <c r="T159" s="243"/>
      <c r="U159" s="243"/>
      <c r="V159" s="24"/>
      <c r="AA159" s="31"/>
    </row>
    <row r="160" spans="1:27" ht="22.35" customHeight="1" x14ac:dyDescent="0.25">
      <c r="A160" s="10"/>
      <c r="B160" s="197" t="str">
        <f>INDEX(TranslationTable[], MATCH(6383, TranslationTable[TranslationKeyId], 0), MATCH(TRIM(LOWER($V$5)), TranslationTable[#Headers], 0))</f>
        <v>Total</v>
      </c>
      <c r="C160" s="198"/>
      <c r="D160" s="30" t="str">
        <f>IF(SUM(D156:D159)=0,"",SUM(D156:D159))</f>
        <v/>
      </c>
      <c r="E160" s="30" t="str">
        <f>IF(SUM(E156:E159)=0,"",SUM(E156:E159))</f>
        <v/>
      </c>
      <c r="F160" s="30" t="str">
        <f t="shared" ref="F160:M160" si="7">IF(SUM(F156:F159)=0,"",SUM(F156:F159))</f>
        <v/>
      </c>
      <c r="G160" s="188" t="str">
        <f t="shared" si="7"/>
        <v/>
      </c>
      <c r="H160" s="189"/>
      <c r="I160" s="30" t="str">
        <f t="shared" si="7"/>
        <v/>
      </c>
      <c r="J160" s="30" t="str">
        <f t="shared" si="7"/>
        <v/>
      </c>
      <c r="K160" s="30" t="str">
        <f t="shared" si="7"/>
        <v/>
      </c>
      <c r="L160" s="30" t="str">
        <f t="shared" si="7"/>
        <v/>
      </c>
      <c r="M160" s="239" t="str">
        <f t="shared" si="7"/>
        <v/>
      </c>
      <c r="N160" s="240"/>
      <c r="O160" s="30" t="str">
        <f>IF(SUM(O156:O159)=0,"",SUM(O156:O159))</f>
        <v/>
      </c>
      <c r="P160" s="309"/>
      <c r="Q160" s="243"/>
      <c r="R160" s="243"/>
      <c r="S160" s="243"/>
      <c r="T160" s="243"/>
      <c r="U160" s="243"/>
      <c r="V160" s="24"/>
      <c r="AA160" s="31"/>
    </row>
    <row r="161" spans="1:27" ht="22.35" customHeight="1" x14ac:dyDescent="0.25">
      <c r="A161" s="10"/>
      <c r="B161" s="73"/>
      <c r="C161" s="18"/>
      <c r="D161" s="19"/>
      <c r="E161" s="19"/>
      <c r="F161" s="19"/>
      <c r="G161" s="19"/>
      <c r="H161" s="19"/>
      <c r="I161" s="19"/>
      <c r="J161" s="19"/>
      <c r="K161" s="19"/>
      <c r="L161" s="19"/>
      <c r="M161" s="19"/>
      <c r="N161" s="19"/>
      <c r="O161" s="19"/>
      <c r="P161" s="19"/>
      <c r="Q161" s="19"/>
      <c r="R161" s="19"/>
      <c r="S161" s="19"/>
      <c r="T161" s="19"/>
      <c r="U161" s="19"/>
      <c r="V161" s="24"/>
      <c r="AA161" s="31"/>
    </row>
    <row r="162" spans="1:27" ht="27.95" customHeight="1" x14ac:dyDescent="0.25">
      <c r="A162" s="10"/>
      <c r="B162" s="349" t="str">
        <f>INDEX(TranslationTable[], MATCH(9027, TranslationTable[TranslationKeyId], 0), MATCH(TRIM(LOWER(Language)), TranslationTable[#Headers], 0))</f>
        <v>This indicator is for National Society that operates blood banks. If your National Society is doing blood promotion, kindly include the number of people reached in the "Long term services and development programmes" indicator.</v>
      </c>
      <c r="C162" s="350"/>
      <c r="D162" s="350"/>
      <c r="E162" s="350"/>
      <c r="F162" s="350"/>
      <c r="G162" s="350"/>
      <c r="H162" s="350"/>
      <c r="I162" s="350"/>
      <c r="J162" s="350"/>
      <c r="K162" s="350"/>
      <c r="L162" s="350"/>
      <c r="M162" s="350"/>
      <c r="N162" s="350"/>
      <c r="O162" s="350"/>
      <c r="P162" s="350"/>
      <c r="Q162" s="350"/>
      <c r="R162" s="350"/>
      <c r="S162" s="350"/>
      <c r="T162" s="350"/>
      <c r="U162" s="350"/>
      <c r="V162" s="24"/>
      <c r="AA162" s="31"/>
    </row>
    <row r="163" spans="1:27" ht="22.35" customHeight="1" x14ac:dyDescent="0.25">
      <c r="A163" s="10"/>
      <c r="B163" s="76"/>
      <c r="C163" s="151"/>
      <c r="D163" s="77"/>
      <c r="E163" s="77"/>
      <c r="F163" s="77"/>
      <c r="G163" s="77"/>
      <c r="H163" s="77"/>
      <c r="I163" s="77"/>
      <c r="J163" s="77"/>
      <c r="K163" s="77"/>
      <c r="L163" s="77"/>
      <c r="M163" s="77"/>
      <c r="N163" s="77"/>
      <c r="O163" s="77"/>
      <c r="P163" s="19"/>
      <c r="Q163" s="19"/>
      <c r="R163" s="19"/>
      <c r="S163" s="19"/>
      <c r="T163" s="19"/>
      <c r="U163" s="19"/>
      <c r="V163" s="24"/>
      <c r="AA163" s="31"/>
    </row>
    <row r="164" spans="1:27" ht="27.95" customHeight="1" x14ac:dyDescent="0.25">
      <c r="A164" s="10"/>
      <c r="B164" s="346" t="str">
        <f>INDEX(TranslationTable[], MATCH(124, TranslationTable[TranslationKeyId], 0), MATCH(TRIM(LOWER($V$5)), TranslationTable[#Headers], 0))</f>
        <v>Is your National Society capturing disaggregated data based on disability for this indicator, i.e.the number of persons with disabilities?</v>
      </c>
      <c r="C164" s="347"/>
      <c r="D164" s="347"/>
      <c r="E164" s="347"/>
      <c r="F164" s="347"/>
      <c r="G164" s="347"/>
      <c r="H164" s="347"/>
      <c r="I164" s="347"/>
      <c r="J164" s="348"/>
      <c r="K164" s="162"/>
      <c r="L164" s="25" t="str">
        <f>IF(OR(K164&lt;&gt;"",C153=TRUE,H153=TRUE),"",INDEX(TranslationTable[],MATCH(9043,TranslationTable[TranslationKeyId],0),MATCH(LOWER(Language),TranslationTable[#Headers],0)))</f>
        <v>Required</v>
      </c>
      <c r="M164" s="19"/>
      <c r="N164" s="19"/>
      <c r="O164" s="19"/>
      <c r="P164" s="33"/>
      <c r="Q164" s="33"/>
      <c r="R164" s="19"/>
      <c r="S164" s="19"/>
      <c r="T164" s="19"/>
      <c r="U164" s="19"/>
      <c r="V164" s="24"/>
      <c r="AA164" s="31" t="str">
        <f>IF(AND(Y155+Z155=0,K164=""), "Required", "")</f>
        <v>Required</v>
      </c>
    </row>
    <row r="165" spans="1:27" ht="22.35" customHeight="1" x14ac:dyDescent="0.25">
      <c r="A165" s="10"/>
      <c r="B165" s="73"/>
      <c r="C165" s="18"/>
      <c r="D165" s="19"/>
      <c r="E165" s="19"/>
      <c r="F165" s="19"/>
      <c r="G165" s="19"/>
      <c r="H165" s="19"/>
      <c r="I165" s="19"/>
      <c r="J165" s="19"/>
      <c r="K165" s="19"/>
      <c r="L165" s="78"/>
      <c r="M165" s="19"/>
      <c r="N165" s="19"/>
      <c r="O165" s="19"/>
      <c r="P165" s="33"/>
      <c r="Q165" s="33"/>
      <c r="R165" s="19"/>
      <c r="S165" s="19"/>
      <c r="T165" s="19"/>
      <c r="U165" s="19"/>
      <c r="V165" s="24"/>
      <c r="AA165" s="31"/>
    </row>
    <row r="166" spans="1:27" ht="27.95" customHeight="1" x14ac:dyDescent="0.25">
      <c r="A166" s="10"/>
      <c r="B166" s="226" t="str">
        <f>INDEX(TranslationTable[], MATCH(125, TranslationTable[TranslationKeyId], 0), MATCH(TRIM(LOWER(Language)), TranslationTable[#Headers], 0))</f>
        <v>If answered yes, is your disability disaggregated data in accordance to the Washington Group questions?</v>
      </c>
      <c r="C166" s="227"/>
      <c r="D166" s="227"/>
      <c r="E166" s="227"/>
      <c r="F166" s="227"/>
      <c r="G166" s="227"/>
      <c r="H166" s="227"/>
      <c r="I166" s="227"/>
      <c r="J166" s="168"/>
      <c r="K166" s="25" t="str">
        <f>IF(AND(K164=YesLANG, J166=""),INDEX(TranslationTable[], MATCH(9043, TranslationTable[TranslationKeyId], 0), MATCH(LOWER(Language), TranslationTable[#Headers], 0)),"")</f>
        <v/>
      </c>
      <c r="L166" s="19"/>
      <c r="M166" s="19"/>
      <c r="N166" s="19"/>
      <c r="O166" s="19"/>
      <c r="P166" s="33"/>
      <c r="Q166" s="33"/>
      <c r="R166" s="19"/>
      <c r="S166" s="19"/>
      <c r="T166" s="19"/>
      <c r="U166" s="19"/>
      <c r="V166" s="24"/>
      <c r="AA166" s="31" t="str">
        <f>IF(AND(K164="Yes", J166=""), "Required", "")</f>
        <v/>
      </c>
    </row>
    <row r="167" spans="1:27" ht="22.35" customHeight="1" x14ac:dyDescent="0.25">
      <c r="A167" s="10"/>
      <c r="B167" s="33"/>
      <c r="C167" s="33"/>
      <c r="D167" s="33"/>
      <c r="E167" s="33"/>
      <c r="F167" s="33"/>
      <c r="G167" s="33"/>
      <c r="H167" s="33"/>
      <c r="I167" s="33"/>
      <c r="J167" s="33"/>
      <c r="K167" s="33"/>
      <c r="L167" s="33"/>
      <c r="M167" s="19"/>
      <c r="N167" s="19"/>
      <c r="O167" s="19"/>
      <c r="P167" s="33"/>
      <c r="Q167" s="33"/>
      <c r="R167" s="33"/>
      <c r="S167" s="33"/>
      <c r="T167" s="33"/>
      <c r="U167" s="19"/>
      <c r="V167" s="24"/>
      <c r="AA167" s="31"/>
    </row>
    <row r="168" spans="1:27" ht="22.35" customHeight="1" x14ac:dyDescent="0.25">
      <c r="A168" s="10"/>
      <c r="B168" s="79"/>
      <c r="C168" s="80"/>
      <c r="D168" s="80"/>
      <c r="E168" s="80"/>
      <c r="F168" s="80"/>
      <c r="G168" s="80"/>
      <c r="H168" s="80"/>
      <c r="I168" s="80"/>
      <c r="J168" s="80"/>
      <c r="K168" s="80"/>
      <c r="L168" s="80"/>
      <c r="M168" s="45"/>
      <c r="N168" s="45"/>
      <c r="O168" s="45"/>
      <c r="P168" s="81"/>
      <c r="Q168" s="81"/>
      <c r="R168" s="81"/>
      <c r="S168" s="81"/>
      <c r="T168" s="81"/>
      <c r="U168" s="45"/>
      <c r="V168" s="61"/>
      <c r="AA168" s="31"/>
    </row>
    <row r="169" spans="1:27" ht="22.35" customHeight="1" x14ac:dyDescent="0.25">
      <c r="A169" s="10"/>
      <c r="B169" s="26"/>
      <c r="C169" s="172" t="b">
        <v>0</v>
      </c>
      <c r="D169" s="357"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169" s="357"/>
      <c r="F169" s="19"/>
      <c r="G169" s="35"/>
      <c r="H169" s="172" t="b">
        <v>0</v>
      </c>
      <c r="I169" s="412"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169" s="412"/>
      <c r="K169" s="412"/>
      <c r="L169" s="412"/>
      <c r="M169" s="412"/>
      <c r="N169" s="58"/>
      <c r="O169" s="19"/>
      <c r="P169" s="19"/>
      <c r="Q169" s="19"/>
      <c r="R169" s="19"/>
      <c r="S169" s="19"/>
      <c r="T169" s="25"/>
      <c r="U169" s="19"/>
      <c r="V169" s="24"/>
      <c r="Y169" s="5" t="b">
        <v>0</v>
      </c>
      <c r="Z169" s="5" t="b">
        <v>0</v>
      </c>
      <c r="AA169" s="31" t="str">
        <f>IF(OR(Y169,Z169,P176&lt;&gt;""),"","Required")</f>
        <v>Required</v>
      </c>
    </row>
    <row r="170" spans="1:27" ht="22.35" customHeight="1" x14ac:dyDescent="0.25">
      <c r="A170" s="10"/>
      <c r="B170" s="396" t="str">
        <f>IF(OR(O176&lt;&gt;"", C169=TRUE, H169=TRUE), "", IFERROR(INDEX(TranslationTable[], MATCH(9043, TranslationTable[TranslationKeyId], 0), MATCH(LOWER(Language), TranslationTable[#Headers], 0)), ""))</f>
        <v>Required</v>
      </c>
      <c r="C170" s="397"/>
      <c r="D170" s="391" t="str">
        <f>SUBSTITUTE(INDEX(TranslationTable[],MATCH(131,TranslationTable[TranslationKeyId],0),MATCH(TRIM(LOWER($V$5)),TranslationTable[#Headers],0)),"//",CHAR(10))</f>
        <v>People trained in First Aid (any level)</v>
      </c>
      <c r="E170" s="391"/>
      <c r="F170" s="391"/>
      <c r="G170" s="391"/>
      <c r="H170" s="391"/>
      <c r="I170" s="391"/>
      <c r="J170" s="391"/>
      <c r="K170" s="391"/>
      <c r="L170" s="391"/>
      <c r="M170" s="391"/>
      <c r="N170" s="391"/>
      <c r="O170" s="391"/>
      <c r="P170" s="392"/>
      <c r="Q170" s="135"/>
      <c r="R170" s="82"/>
      <c r="S170" s="82"/>
      <c r="T170" s="82"/>
      <c r="U170" s="82"/>
      <c r="V170" s="83"/>
      <c r="AA170" s="31"/>
    </row>
    <row r="171" spans="1:27" ht="30" customHeight="1" x14ac:dyDescent="0.25">
      <c r="A171" s="10"/>
      <c r="B171" s="197" t="str">
        <f>INDEX(TranslationTable[], MATCH(3306, TranslationTable[TranslationKeyId], 0), MATCH(TRIM(LOWER($V$5)), TranslationTable[#Headers], 0))</f>
        <v>Age group</v>
      </c>
      <c r="C171" s="198"/>
      <c r="D171" s="54" t="s">
        <v>12</v>
      </c>
      <c r="E171" s="55" t="s">
        <v>13</v>
      </c>
      <c r="F171" s="55" t="s">
        <v>14</v>
      </c>
      <c r="G171" s="192" t="s">
        <v>6</v>
      </c>
      <c r="H171" s="193"/>
      <c r="I171" s="55" t="s">
        <v>7</v>
      </c>
      <c r="J171" s="55" t="s">
        <v>8</v>
      </c>
      <c r="K171" s="55" t="s">
        <v>9</v>
      </c>
      <c r="L171" s="55" t="s">
        <v>10</v>
      </c>
      <c r="M171" s="55" t="s">
        <v>11</v>
      </c>
      <c r="N171" s="246" t="str">
        <f>INDEX(TranslationTable[], MATCH(701, TranslationTable[TranslationKeyId], 0), MATCH(TRIM(LOWER($V$5)), TranslationTable[#Headers], 0))</f>
        <v>Unknown</v>
      </c>
      <c r="O171" s="247"/>
      <c r="P171" s="28" t="str">
        <f>INDEX(TranslationTable[], MATCH(6383, TranslationTable[TranslationKeyId], 0), MATCH(TRIM(LOWER($V$5)), TranslationTable[#Headers], 0))</f>
        <v>Total</v>
      </c>
      <c r="Q171" s="20"/>
      <c r="R171" s="243" t="str">
        <f>SUBSTITUTE(INDEX(TranslationTable[],MATCH(970,TranslationTable[TranslationKeyId],0),MATCH(TRIM(LOWER($V$5)),TranslationTable[#Headers],0)),"//",CHAR(10))</f>
        <v>People who have completed at least one first aid course led or facilitated by the reporting National Society (at any level, either online or face to face) during the Reporting Year.</v>
      </c>
      <c r="S171" s="243"/>
      <c r="T171" s="243"/>
      <c r="U171" s="243"/>
      <c r="V171" s="83"/>
      <c r="AA171" s="31"/>
    </row>
    <row r="172" spans="1:27" ht="22.35" customHeight="1" x14ac:dyDescent="0.25">
      <c r="A172" s="10"/>
      <c r="B172" s="197" t="str">
        <f>INDEX(TranslationTable[], MATCH(3301, TranslationTable[TranslationKeyId], 0), MATCH(TRIM(LOWER($V$5)), TranslationTable[#Headers], 0))</f>
        <v>Male</v>
      </c>
      <c r="C172" s="198"/>
      <c r="D172" s="1"/>
      <c r="E172" s="1"/>
      <c r="F172" s="1"/>
      <c r="G172" s="194"/>
      <c r="H172" s="195"/>
      <c r="I172" s="1"/>
      <c r="J172" s="1"/>
      <c r="K172" s="1"/>
      <c r="L172" s="1"/>
      <c r="M172" s="1"/>
      <c r="N172" s="241"/>
      <c r="O172" s="242"/>
      <c r="P172" s="30" t="str">
        <f>IF(SUM(D172:O172)=0,"",SUM((D172:O172)))</f>
        <v/>
      </c>
      <c r="Q172" s="20"/>
      <c r="R172" s="243"/>
      <c r="S172" s="243"/>
      <c r="T172" s="243"/>
      <c r="U172" s="243"/>
      <c r="V172" s="24"/>
      <c r="AA172" s="31"/>
    </row>
    <row r="173" spans="1:27" ht="22.35" customHeight="1" x14ac:dyDescent="0.25">
      <c r="A173" s="10"/>
      <c r="B173" s="197" t="str">
        <f>INDEX(TranslationTable[], MATCH(3302, TranslationTable[TranslationKeyId], 0), MATCH(TRIM(LOWER($V$5)), TranslationTable[#Headers], 0))</f>
        <v>Female</v>
      </c>
      <c r="C173" s="198"/>
      <c r="D173" s="1"/>
      <c r="E173" s="1"/>
      <c r="F173" s="1"/>
      <c r="G173" s="194"/>
      <c r="H173" s="195"/>
      <c r="I173" s="1"/>
      <c r="J173" s="1"/>
      <c r="K173" s="1"/>
      <c r="L173" s="1"/>
      <c r="M173" s="1"/>
      <c r="N173" s="241"/>
      <c r="O173" s="242"/>
      <c r="P173" s="30" t="str">
        <f>IF(SUM(D173:O173)=0,"",SUM((D173:O173)))</f>
        <v/>
      </c>
      <c r="Q173" s="20"/>
      <c r="R173" s="243"/>
      <c r="S173" s="243"/>
      <c r="T173" s="243"/>
      <c r="U173" s="243"/>
      <c r="V173" s="24"/>
      <c r="AA173" s="31"/>
    </row>
    <row r="174" spans="1:27" ht="19.5" customHeight="1" x14ac:dyDescent="0.25">
      <c r="A174" s="10"/>
      <c r="B174" s="197" t="str">
        <f>INDEX(TranslationTable[], MATCH(9001, TranslationTable[TranslationKeyId], 0), MATCH(TRIM(LOWER($V$5)), TranslationTable[#Headers], 0))</f>
        <v>Non-binary</v>
      </c>
      <c r="C174" s="198"/>
      <c r="D174" s="1"/>
      <c r="E174" s="1"/>
      <c r="F174" s="1"/>
      <c r="G174" s="194"/>
      <c r="H174" s="195"/>
      <c r="I174" s="1"/>
      <c r="J174" s="1"/>
      <c r="K174" s="1"/>
      <c r="L174" s="1"/>
      <c r="M174" s="1"/>
      <c r="N174" s="241"/>
      <c r="O174" s="242"/>
      <c r="P174" s="30" t="str">
        <f>IF(SUM(D174:O174)=0,"",SUM((D174:O174)))</f>
        <v/>
      </c>
      <c r="Q174" s="20"/>
      <c r="R174" s="243"/>
      <c r="S174" s="243"/>
      <c r="T174" s="243"/>
      <c r="U174" s="243"/>
      <c r="V174" s="24"/>
      <c r="AA174" s="31"/>
    </row>
    <row r="175" spans="1:27" ht="19.5" customHeight="1" x14ac:dyDescent="0.25">
      <c r="A175" s="10"/>
      <c r="B175" s="197" t="str">
        <f>INDEX(TranslationTable[], MATCH(701, TranslationTable[TranslationKeyId], 0), MATCH(TRIM(LOWER($V$5)), TranslationTable[#Headers], 0))</f>
        <v>Unknown</v>
      </c>
      <c r="C175" s="198"/>
      <c r="D175" s="142"/>
      <c r="E175" s="142"/>
      <c r="F175" s="142"/>
      <c r="G175" s="190"/>
      <c r="H175" s="191"/>
      <c r="I175" s="142"/>
      <c r="J175" s="142"/>
      <c r="K175" s="142"/>
      <c r="L175" s="142"/>
      <c r="M175" s="142"/>
      <c r="N175" s="248"/>
      <c r="O175" s="249"/>
      <c r="P175" s="30" t="str">
        <f>IF(SUM(D175:O175)=0,"",SUM((D175:O175)))</f>
        <v/>
      </c>
      <c r="Q175" s="20"/>
      <c r="R175" s="243"/>
      <c r="S175" s="243"/>
      <c r="T175" s="243"/>
      <c r="U175" s="243"/>
      <c r="V175" s="24"/>
      <c r="AA175" s="31"/>
    </row>
    <row r="176" spans="1:27" ht="19.5" customHeight="1" x14ac:dyDescent="0.25">
      <c r="A176" s="10"/>
      <c r="B176" s="197" t="str">
        <f>INDEX(TranslationTable[], MATCH(6383, TranslationTable[TranslationKeyId], 0), MATCH(TRIM(LOWER($V$5)), TranslationTable[#Headers], 0))</f>
        <v>Total</v>
      </c>
      <c r="C176" s="198"/>
      <c r="D176" s="30" t="str">
        <f>IF(SUM(D172:D175)=0,"",SUM(D172:D175))</f>
        <v/>
      </c>
      <c r="E176" s="30" t="str">
        <f>IF(SUM(E172:E175)=0,"",SUM(E172:E175))</f>
        <v/>
      </c>
      <c r="F176" s="30" t="str">
        <f>IF(SUM(F172:F175)=0,"",SUM(F172:F175))</f>
        <v/>
      </c>
      <c r="G176" s="188" t="str">
        <f t="shared" ref="G176:M176" si="8">IF(SUM(G172:G175)=0,"",SUM(G172:G175))</f>
        <v/>
      </c>
      <c r="H176" s="189"/>
      <c r="I176" s="30" t="str">
        <f t="shared" si="8"/>
        <v/>
      </c>
      <c r="J176" s="30" t="str">
        <f t="shared" si="8"/>
        <v/>
      </c>
      <c r="K176" s="30" t="str">
        <f t="shared" si="8"/>
        <v/>
      </c>
      <c r="L176" s="30" t="str">
        <f t="shared" si="8"/>
        <v/>
      </c>
      <c r="M176" s="30" t="str">
        <f t="shared" si="8"/>
        <v/>
      </c>
      <c r="N176" s="239" t="str">
        <f>IF(SUM(O172:O175)=0,"",SUM(O172:O175))</f>
        <v/>
      </c>
      <c r="O176" s="240"/>
      <c r="P176" s="30" t="str">
        <f>IF(SUM(P172:P175)=0,"",SUM(P172:P175))</f>
        <v/>
      </c>
      <c r="Q176" s="20"/>
      <c r="R176" s="243"/>
      <c r="S176" s="243"/>
      <c r="T176" s="243"/>
      <c r="U176" s="243"/>
      <c r="V176" s="24"/>
      <c r="AA176" s="31"/>
    </row>
    <row r="177" spans="1:27" ht="19.5" customHeight="1" x14ac:dyDescent="0.25">
      <c r="A177" s="10"/>
      <c r="B177" s="73"/>
      <c r="C177" s="18"/>
      <c r="D177" s="19"/>
      <c r="E177" s="19"/>
      <c r="F177" s="19"/>
      <c r="G177" s="84"/>
      <c r="H177" s="84"/>
      <c r="I177" s="84"/>
      <c r="J177" s="19"/>
      <c r="K177" s="19"/>
      <c r="L177" s="19"/>
      <c r="M177" s="19"/>
      <c r="N177" s="19"/>
      <c r="O177" s="19"/>
      <c r="P177" s="84"/>
      <c r="Q177" s="84"/>
      <c r="R177" s="243"/>
      <c r="S177" s="243"/>
      <c r="T177" s="243"/>
      <c r="U177" s="243"/>
      <c r="V177" s="24"/>
      <c r="AA177" s="31"/>
    </row>
    <row r="178" spans="1:27" ht="27.95" customHeight="1" x14ac:dyDescent="0.25">
      <c r="A178" s="10"/>
      <c r="B178" s="262" t="str">
        <f>INDEX(TranslationTable[], MATCH(124, TranslationTable[TranslationKeyId], 0), MATCH(TRIM(LOWER($V$5)), TranslationTable[#Headers], 0))</f>
        <v>Is your National Society capturing disaggregated data based on disability for this indicator, i.e.the number of persons with disabilities?</v>
      </c>
      <c r="C178" s="263"/>
      <c r="D178" s="263"/>
      <c r="E178" s="263"/>
      <c r="F178" s="263"/>
      <c r="G178" s="263"/>
      <c r="H178" s="263"/>
      <c r="I178" s="263"/>
      <c r="J178" s="264"/>
      <c r="K178" s="162"/>
      <c r="L178" s="25" t="str">
        <f>IF(OR(K178&lt;&gt;"",C169=TRUE,H169=TRUE),"",INDEX(TranslationTable[],MATCH(9043,TranslationTable[TranslationKeyId],0),MATCH(LOWER(Language),TranslationTable[#Headers],0)))</f>
        <v>Required</v>
      </c>
      <c r="M178" s="19"/>
      <c r="N178"/>
      <c r="O178" s="19"/>
      <c r="P178" s="33"/>
      <c r="Q178" s="33"/>
      <c r="R178" s="19"/>
      <c r="S178" s="19"/>
      <c r="T178" s="19"/>
      <c r="U178" s="19"/>
      <c r="V178" s="24"/>
      <c r="AA178" s="31" t="str">
        <f>IF(AND(Y169+Z169=0,K178=""), "Required", "")</f>
        <v>Required</v>
      </c>
    </row>
    <row r="179" spans="1:27" ht="19.5" customHeight="1" x14ac:dyDescent="0.25">
      <c r="A179" s="10"/>
      <c r="B179" s="85"/>
      <c r="C179" s="33"/>
      <c r="D179" s="33"/>
      <c r="E179" s="33"/>
      <c r="F179" s="33"/>
      <c r="G179" s="33"/>
      <c r="H179" s="33"/>
      <c r="I179" s="33"/>
      <c r="J179" s="33"/>
      <c r="K179" s="33"/>
      <c r="L179" s="33"/>
      <c r="M179" s="19"/>
      <c r="N179" s="19"/>
      <c r="O179" s="19"/>
      <c r="P179" s="33"/>
      <c r="Q179" s="33"/>
      <c r="R179" s="19"/>
      <c r="S179" s="19"/>
      <c r="T179" s="19"/>
      <c r="U179" s="19"/>
      <c r="V179" s="24"/>
      <c r="AA179" s="31"/>
    </row>
    <row r="180" spans="1:27" ht="27.95" customHeight="1" x14ac:dyDescent="0.25">
      <c r="A180" s="10"/>
      <c r="B180" s="226" t="str">
        <f>INDEX(TranslationTable[], MATCH(125, TranslationTable[TranslationKeyId], 0), MATCH(TRIM(LOWER(Language)), TranslationTable[#Headers], 0))</f>
        <v>If answered yes, is your disability disaggregated data in accordance to the Washington Group questions?</v>
      </c>
      <c r="C180" s="227"/>
      <c r="D180" s="227"/>
      <c r="E180" s="227"/>
      <c r="F180" s="227"/>
      <c r="G180" s="227"/>
      <c r="H180" s="227"/>
      <c r="I180" s="227"/>
      <c r="J180" s="170"/>
      <c r="K180" s="25" t="str">
        <f>IF(AND(K178=YesLANG, J180=""),INDEX(TranslationTable[], MATCH(9043, TranslationTable[TranslationKeyId], 0), MATCH(LOWER(Language), TranslationTable[#Headers], 0)),"")</f>
        <v/>
      </c>
      <c r="L180" s="33"/>
      <c r="M180" s="19"/>
      <c r="N180"/>
      <c r="O180" s="19"/>
      <c r="P180" s="33"/>
      <c r="Q180" s="33"/>
      <c r="R180" s="19"/>
      <c r="S180" s="19"/>
      <c r="T180" s="19"/>
      <c r="U180" s="19"/>
      <c r="V180" s="24"/>
      <c r="AA180" s="31" t="str">
        <f>IF(AND(K178="Yes", J180=""), "Required", "")</f>
        <v/>
      </c>
    </row>
    <row r="181" spans="1:27" ht="19.5" customHeight="1" x14ac:dyDescent="0.25">
      <c r="A181" s="10"/>
      <c r="B181" s="85"/>
      <c r="C181" s="33"/>
      <c r="D181" s="33"/>
      <c r="E181" s="33"/>
      <c r="F181" s="33"/>
      <c r="G181" s="33"/>
      <c r="H181" s="33"/>
      <c r="I181" s="33"/>
      <c r="J181" s="33"/>
      <c r="K181" s="33"/>
      <c r="L181" s="33"/>
      <c r="M181" s="19"/>
      <c r="N181" s="19"/>
      <c r="O181" s="19"/>
      <c r="P181" s="33"/>
      <c r="Q181" s="33"/>
      <c r="R181" s="33"/>
      <c r="S181" s="33"/>
      <c r="T181" s="33"/>
      <c r="U181" s="19"/>
      <c r="V181" s="24"/>
      <c r="AA181" s="31"/>
    </row>
    <row r="182" spans="1:27" ht="19.5" customHeight="1" x14ac:dyDescent="0.25">
      <c r="A182" s="10"/>
      <c r="B182" s="86"/>
      <c r="C182" s="152"/>
      <c r="D182" s="87"/>
      <c r="E182" s="87"/>
      <c r="F182" s="87"/>
      <c r="G182" s="66"/>
      <c r="H182" s="66"/>
      <c r="I182" s="66"/>
      <c r="J182" s="58"/>
      <c r="K182" s="58"/>
      <c r="L182" s="58"/>
      <c r="M182" s="58"/>
      <c r="N182" s="58"/>
      <c r="O182" s="58"/>
      <c r="P182" s="66"/>
      <c r="Q182" s="66"/>
      <c r="R182" s="66"/>
      <c r="S182" s="58"/>
      <c r="T182" s="58"/>
      <c r="U182" s="58"/>
      <c r="V182" s="60"/>
      <c r="AA182" s="31"/>
    </row>
    <row r="183" spans="1:27" ht="19.5" customHeight="1" x14ac:dyDescent="0.25">
      <c r="A183" s="10"/>
      <c r="B183" s="253" t="str">
        <f>"3.2 "&amp; SUBSTITUTE(INDEX(TranslationTable[],MATCH(941,TranslationTable[TranslationKeyId],0),MATCH(TRIM(LOWER($V$5)),TranslationTable[#Headers],0)),"//",CHAR(10))</f>
        <v>3.2 People reached By Type Of Programme</v>
      </c>
      <c r="C183" s="254"/>
      <c r="D183" s="254"/>
      <c r="E183" s="254"/>
      <c r="F183" s="14"/>
      <c r="G183" s="14"/>
      <c r="H183" s="14"/>
      <c r="I183" s="14"/>
      <c r="J183" s="14"/>
      <c r="K183" s="14"/>
      <c r="L183" s="14"/>
      <c r="M183" s="14"/>
      <c r="N183" s="14"/>
      <c r="O183" s="14"/>
      <c r="P183" s="14"/>
      <c r="Q183" s="14"/>
      <c r="R183" s="14"/>
      <c r="S183" s="14"/>
      <c r="T183" s="14"/>
      <c r="U183" s="14"/>
      <c r="V183" s="14"/>
      <c r="AA183" s="31"/>
    </row>
    <row r="184" spans="1:27" ht="19.5" customHeight="1" x14ac:dyDescent="0.25">
      <c r="A184" s="10"/>
      <c r="B184" s="18"/>
      <c r="C184" s="18"/>
      <c r="D184" s="19"/>
      <c r="E184" s="19"/>
      <c r="F184" s="19"/>
      <c r="G184" s="19"/>
      <c r="H184" s="19"/>
      <c r="I184" s="19"/>
      <c r="J184" s="19"/>
      <c r="K184" s="19"/>
      <c r="L184" s="19"/>
      <c r="M184" s="19"/>
      <c r="N184" s="19"/>
      <c r="O184" s="19"/>
      <c r="P184" s="19"/>
      <c r="Q184" s="19"/>
      <c r="R184" s="19"/>
      <c r="S184" s="19"/>
      <c r="T184" s="19"/>
      <c r="U184" s="19"/>
      <c r="V184" s="24"/>
      <c r="AA184" s="31"/>
    </row>
    <row r="185" spans="1:27" ht="22.35" hidden="1" customHeight="1" x14ac:dyDescent="0.25">
      <c r="A185" s="10"/>
      <c r="B185" s="18"/>
      <c r="C185" s="18"/>
      <c r="D185" s="252"/>
      <c r="E185" s="252"/>
      <c r="F185" s="252"/>
      <c r="G185" s="252"/>
      <c r="H185" s="252"/>
      <c r="I185" s="252"/>
      <c r="J185" s="252"/>
      <c r="K185" s="252"/>
      <c r="L185" s="252"/>
      <c r="M185" s="252"/>
      <c r="N185" s="252"/>
      <c r="O185" s="252"/>
      <c r="P185" s="252"/>
      <c r="Q185" s="252"/>
      <c r="R185" s="252"/>
      <c r="S185" s="252"/>
      <c r="T185" s="252"/>
      <c r="U185" s="19"/>
      <c r="V185" s="24"/>
      <c r="AA185" s="31"/>
    </row>
    <row r="186" spans="1:27" ht="22.35" hidden="1" customHeight="1" x14ac:dyDescent="0.25">
      <c r="A186" s="10"/>
      <c r="B186" s="18"/>
      <c r="C186" s="18"/>
      <c r="D186" s="252"/>
      <c r="E186" s="252"/>
      <c r="F186" s="252"/>
      <c r="G186" s="252"/>
      <c r="H186" s="252"/>
      <c r="I186" s="252"/>
      <c r="J186" s="252"/>
      <c r="K186" s="252"/>
      <c r="L186" s="252"/>
      <c r="M186" s="252"/>
      <c r="N186" s="252"/>
      <c r="O186" s="252"/>
      <c r="P186" s="252"/>
      <c r="Q186" s="252"/>
      <c r="R186" s="252"/>
      <c r="S186" s="252"/>
      <c r="T186" s="252"/>
      <c r="U186" s="19"/>
      <c r="V186" s="24"/>
      <c r="AA186" s="31"/>
    </row>
    <row r="187" spans="1:27" ht="22.35" hidden="1" customHeight="1" x14ac:dyDescent="0.25">
      <c r="A187" s="10"/>
      <c r="B187" s="18"/>
      <c r="C187" s="18"/>
      <c r="D187" s="252"/>
      <c r="E187" s="252"/>
      <c r="F187" s="252"/>
      <c r="G187" s="252"/>
      <c r="H187" s="252"/>
      <c r="I187" s="252"/>
      <c r="J187" s="252"/>
      <c r="K187" s="252"/>
      <c r="L187" s="252"/>
      <c r="M187" s="252"/>
      <c r="N187" s="252"/>
      <c r="O187" s="252"/>
      <c r="P187" s="252"/>
      <c r="Q187" s="252"/>
      <c r="R187" s="252"/>
      <c r="S187" s="252"/>
      <c r="T187" s="252"/>
      <c r="U187" s="19"/>
      <c r="V187" s="24"/>
      <c r="AA187" s="31"/>
    </row>
    <row r="188" spans="1:27" ht="22.35" hidden="1" customHeight="1" x14ac:dyDescent="0.25">
      <c r="A188" s="10"/>
      <c r="B188" s="18"/>
      <c r="C188" s="18"/>
      <c r="D188" s="308"/>
      <c r="E188" s="308"/>
      <c r="F188" s="308"/>
      <c r="G188" s="308"/>
      <c r="H188" s="308"/>
      <c r="I188" s="308"/>
      <c r="J188" s="308"/>
      <c r="K188" s="308"/>
      <c r="L188" s="308"/>
      <c r="M188" s="308"/>
      <c r="N188" s="308"/>
      <c r="O188" s="308"/>
      <c r="P188" s="308"/>
      <c r="Q188" s="308"/>
      <c r="R188" s="308"/>
      <c r="S188" s="308"/>
      <c r="T188" s="308"/>
      <c r="U188" s="19"/>
      <c r="V188" s="24"/>
      <c r="AA188" s="31"/>
    </row>
    <row r="189" spans="1:27" ht="22.35" hidden="1" customHeight="1" x14ac:dyDescent="0.25">
      <c r="A189" s="10"/>
      <c r="B189" s="18"/>
      <c r="C189" s="18"/>
      <c r="D189" s="252"/>
      <c r="E189" s="252"/>
      <c r="F189" s="252"/>
      <c r="G189" s="252"/>
      <c r="H189" s="252"/>
      <c r="I189" s="252"/>
      <c r="J189" s="252"/>
      <c r="K189" s="252"/>
      <c r="L189" s="252"/>
      <c r="M189" s="252"/>
      <c r="N189" s="252"/>
      <c r="O189" s="252"/>
      <c r="P189" s="252"/>
      <c r="Q189" s="252"/>
      <c r="R189" s="252"/>
      <c r="S189" s="252"/>
      <c r="T189" s="252"/>
      <c r="U189" s="19"/>
      <c r="V189" s="24"/>
      <c r="AA189" s="31"/>
    </row>
    <row r="190" spans="1:27" ht="22.35" hidden="1" customHeight="1" x14ac:dyDescent="0.25">
      <c r="A190" s="10"/>
      <c r="B190" s="18"/>
      <c r="C190" s="18"/>
      <c r="D190" s="252"/>
      <c r="E190" s="252"/>
      <c r="F190" s="252"/>
      <c r="G190" s="252"/>
      <c r="H190" s="252"/>
      <c r="I190" s="252"/>
      <c r="J190" s="252"/>
      <c r="K190" s="252"/>
      <c r="L190" s="252"/>
      <c r="M190" s="252"/>
      <c r="N190" s="252"/>
      <c r="O190" s="252"/>
      <c r="P190" s="252"/>
      <c r="Q190" s="252"/>
      <c r="R190" s="252"/>
      <c r="S190" s="252"/>
      <c r="T190" s="252"/>
      <c r="U190" s="19"/>
      <c r="V190" s="24"/>
      <c r="AA190" s="31"/>
    </row>
    <row r="191" spans="1:27" ht="22.35" hidden="1" customHeight="1" thickBot="1" x14ac:dyDescent="0.3">
      <c r="A191" s="10"/>
      <c r="B191" s="18"/>
      <c r="C191" s="18"/>
      <c r="D191" s="18"/>
      <c r="E191" s="18"/>
      <c r="F191" s="18"/>
      <c r="G191" s="18"/>
      <c r="H191" s="18"/>
      <c r="I191" s="18"/>
      <c r="J191" s="18"/>
      <c r="K191" s="18"/>
      <c r="L191" s="18"/>
      <c r="M191" s="18"/>
      <c r="N191" s="18"/>
      <c r="O191" s="18"/>
      <c r="P191" s="18"/>
      <c r="Q191" s="18"/>
      <c r="R191" s="18"/>
      <c r="S191" s="18"/>
      <c r="T191" s="18"/>
      <c r="U191" s="19"/>
      <c r="V191" s="24"/>
      <c r="AA191" s="31"/>
    </row>
    <row r="192" spans="1:27" ht="22.35" hidden="1" customHeight="1" thickBot="1" x14ac:dyDescent="0.3">
      <c r="A192" s="10"/>
      <c r="B192" s="18"/>
      <c r="C192" s="18"/>
      <c r="D192" s="19"/>
      <c r="E192" s="88"/>
      <c r="F192" s="267"/>
      <c r="G192" s="268"/>
      <c r="H192" s="268"/>
      <c r="I192" s="268"/>
      <c r="J192" s="269"/>
      <c r="K192" s="19"/>
      <c r="L192" s="89"/>
      <c r="M192" s="267"/>
      <c r="N192" s="268"/>
      <c r="O192" s="268"/>
      <c r="P192" s="268"/>
      <c r="Q192" s="268"/>
      <c r="R192" s="268"/>
      <c r="S192" s="269"/>
      <c r="T192" s="19"/>
      <c r="U192" s="19"/>
      <c r="V192" s="24"/>
      <c r="AA192" s="31"/>
    </row>
    <row r="193" spans="1:27" ht="22.35" hidden="1" customHeight="1" x14ac:dyDescent="0.25">
      <c r="A193" s="10"/>
      <c r="B193" s="18"/>
      <c r="C193" s="18"/>
      <c r="D193" s="19"/>
      <c r="E193" s="19"/>
      <c r="F193" s="19"/>
      <c r="G193" s="19"/>
      <c r="H193" s="19"/>
      <c r="I193" s="19"/>
      <c r="J193" s="19"/>
      <c r="K193" s="19"/>
      <c r="L193" s="19"/>
      <c r="M193" s="19"/>
      <c r="N193" s="19"/>
      <c r="O193" s="19"/>
      <c r="P193" s="19"/>
      <c r="Q193" s="19"/>
      <c r="R193" s="19"/>
      <c r="S193" s="19"/>
      <c r="T193" s="19"/>
      <c r="U193" s="19"/>
      <c r="V193" s="24"/>
      <c r="AA193" s="31"/>
    </row>
    <row r="194" spans="1:27" ht="22.35" customHeight="1" x14ac:dyDescent="0.25">
      <c r="A194" s="10"/>
      <c r="B194" s="26"/>
      <c r="C194" s="172" t="b">
        <v>0</v>
      </c>
      <c r="D194" s="357"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194" s="357"/>
      <c r="F194" s="19"/>
      <c r="G194" s="35"/>
      <c r="H194" s="172" t="b">
        <v>0</v>
      </c>
      <c r="I194"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194" s="196"/>
      <c r="K194" s="196"/>
      <c r="L194" s="196"/>
      <c r="M194" s="196"/>
      <c r="N194" s="19"/>
      <c r="O194" s="19"/>
      <c r="P194" s="19"/>
      <c r="Q194" s="19"/>
      <c r="R194" s="19"/>
      <c r="S194" s="19"/>
      <c r="T194" s="25"/>
      <c r="U194" s="19"/>
      <c r="V194" s="24"/>
      <c r="Y194" s="5" t="b">
        <v>0</v>
      </c>
      <c r="Z194" s="5" t="b">
        <v>0</v>
      </c>
      <c r="AA194" s="31" t="str">
        <f>IF(OR(Y194,Z194,R202&lt;&gt;""),"","Required")</f>
        <v>Required</v>
      </c>
    </row>
    <row r="195" spans="1:27" ht="22.35" customHeight="1" x14ac:dyDescent="0.25">
      <c r="A195" s="7"/>
      <c r="B195" s="199" t="str">
        <f>IF(OR(R202&lt;&gt;"", C194=TRUE, H194=TRUE), "", IFERROR(INDEX(TranslationTable[], MATCH(9043, TranslationTable[TranslationKeyId], 0), MATCH(LOWER(Language), TranslationTable[#Headers], 0)), ""))</f>
        <v>Required</v>
      </c>
      <c r="C195" s="200"/>
      <c r="D195" s="228" t="str">
        <f>SUBSTITUTE(INDEX(TranslationTable[],MATCH(137,TranslationTable[TranslationKeyId],0),MATCH(TRIM(LOWER($V$5)),TranslationTable[#Headers],0)),"//",CHAR(10))</f>
        <v>People reached with disaster response and early recovery programmes</v>
      </c>
      <c r="E195" s="228"/>
      <c r="F195" s="228"/>
      <c r="G195" s="228"/>
      <c r="H195" s="228"/>
      <c r="I195" s="228"/>
      <c r="J195" s="228"/>
      <c r="K195" s="228"/>
      <c r="L195" s="228"/>
      <c r="M195" s="228"/>
      <c r="N195" s="228"/>
      <c r="O195" s="228"/>
      <c r="P195" s="228"/>
      <c r="Q195" s="228"/>
      <c r="R195" s="229"/>
      <c r="S195" s="19"/>
      <c r="T195" s="19"/>
      <c r="U195" s="19"/>
      <c r="V195" s="24"/>
      <c r="AA195" s="31"/>
    </row>
    <row r="196" spans="1:27" ht="22.35" customHeight="1" x14ac:dyDescent="0.25">
      <c r="A196" s="7"/>
      <c r="B196" s="201"/>
      <c r="C196" s="202"/>
      <c r="D196" s="204" t="str">
        <f xml:space="preserve"> SUBSTITUTE(INDEX(TranslationTable[], MATCH(138, TranslationTable[TranslationKeyId], 0), MATCH(TRIM(LOWER($V$5)), TranslationTable[#Headers], 0)), "//", CHAR(10))</f>
        <v>Direct Recipients</v>
      </c>
      <c r="E196" s="204"/>
      <c r="F196" s="204"/>
      <c r="G196" s="204"/>
      <c r="H196" s="204"/>
      <c r="I196" s="204"/>
      <c r="J196" s="204"/>
      <c r="K196" s="204"/>
      <c r="L196" s="204"/>
      <c r="M196" s="204"/>
      <c r="N196" s="204"/>
      <c r="O196" s="204"/>
      <c r="P196" s="204"/>
      <c r="Q196" s="204"/>
      <c r="R196" s="205"/>
      <c r="S196" s="243" t="str">
        <f>SUBSTITUTE(INDEX(TranslationTable[],MATCH(972,TranslationTable[TranslationKeyId],0),MATCH(TRIM(LOWER($V$5)),TranslationTable[#Headers],0)),"//",CHAR(10))</f>
        <v>National Society services to respond to and strengthen recovery from natural and man-made disasters.</v>
      </c>
      <c r="T196" s="243"/>
      <c r="U196" s="243"/>
      <c r="V196" s="244"/>
      <c r="AA196" s="31"/>
    </row>
    <row r="197" spans="1:27" ht="30" customHeight="1" x14ac:dyDescent="0.25">
      <c r="A197" s="7"/>
      <c r="B197" s="197" t="str">
        <f>INDEX(TranslationTable[], MATCH(3306, TranslationTable[TranslationKeyId], 0), MATCH(TRIM(LOWER($V$5)), TranslationTable[#Headers], 0))</f>
        <v>Age group</v>
      </c>
      <c r="C197" s="198"/>
      <c r="D197" s="54" t="s">
        <v>17</v>
      </c>
      <c r="E197" s="54" t="s">
        <v>12</v>
      </c>
      <c r="F197" s="55" t="s">
        <v>13</v>
      </c>
      <c r="G197" s="192" t="s">
        <v>14</v>
      </c>
      <c r="H197" s="193"/>
      <c r="I197" s="55" t="s">
        <v>6</v>
      </c>
      <c r="J197" s="55" t="s">
        <v>7</v>
      </c>
      <c r="K197" s="55" t="s">
        <v>8</v>
      </c>
      <c r="L197" s="55" t="s">
        <v>9</v>
      </c>
      <c r="M197" s="55" t="s">
        <v>10</v>
      </c>
      <c r="N197" s="206" t="s">
        <v>11</v>
      </c>
      <c r="O197" s="207"/>
      <c r="P197" s="246" t="str">
        <f>INDEX(TranslationTable[], MATCH(701, TranslationTable[TranslationKeyId], 0), MATCH(TRIM(LOWER($V$5)), TranslationTable[#Headers], 0))</f>
        <v>Unknown</v>
      </c>
      <c r="Q197" s="247"/>
      <c r="R197" s="28" t="str">
        <f>INDEX(TranslationTable[], MATCH(6383, TranslationTable[TranslationKeyId], 0), MATCH(TRIM(LOWER($V$5)), TranslationTable[#Headers], 0))</f>
        <v>Total</v>
      </c>
      <c r="S197" s="243"/>
      <c r="T197" s="243"/>
      <c r="U197" s="243"/>
      <c r="V197" s="244"/>
      <c r="AA197" s="31"/>
    </row>
    <row r="198" spans="1:27" ht="22.35" customHeight="1" x14ac:dyDescent="0.25">
      <c r="A198" s="7"/>
      <c r="B198" s="197" t="str">
        <f>INDEX(TranslationTable[], MATCH(3301, TranslationTable[TranslationKeyId], 0), MATCH(TRIM(LOWER($V$5)), TranslationTable[#Headers], 0))</f>
        <v>Male</v>
      </c>
      <c r="C198" s="198"/>
      <c r="D198" s="1"/>
      <c r="E198" s="1"/>
      <c r="F198" s="1"/>
      <c r="G198" s="194"/>
      <c r="H198" s="195"/>
      <c r="I198" s="1"/>
      <c r="J198" s="1"/>
      <c r="K198" s="1"/>
      <c r="L198" s="1"/>
      <c r="M198" s="1"/>
      <c r="N198" s="220"/>
      <c r="O198" s="221"/>
      <c r="P198" s="241"/>
      <c r="Q198" s="242"/>
      <c r="R198" s="30" t="str">
        <f>IF(SUM(D198:P198)=0,"",SUM((D198:P198)))</f>
        <v/>
      </c>
      <c r="S198" s="243"/>
      <c r="T198" s="243"/>
      <c r="U198" s="243"/>
      <c r="V198" s="244"/>
      <c r="AA198" s="31"/>
    </row>
    <row r="199" spans="1:27" ht="22.35" customHeight="1" x14ac:dyDescent="0.25">
      <c r="A199" s="10"/>
      <c r="B199" s="197" t="str">
        <f>INDEX(TranslationTable[], MATCH(3302, TranslationTable[TranslationKeyId], 0), MATCH(TRIM(LOWER($V$5)), TranslationTable[#Headers], 0))</f>
        <v>Female</v>
      </c>
      <c r="C199" s="198"/>
      <c r="D199" s="1"/>
      <c r="E199" s="1"/>
      <c r="F199" s="1"/>
      <c r="G199" s="194"/>
      <c r="H199" s="195"/>
      <c r="I199" s="1"/>
      <c r="J199" s="1"/>
      <c r="K199" s="1"/>
      <c r="L199" s="1"/>
      <c r="M199" s="1"/>
      <c r="N199" s="220"/>
      <c r="O199" s="221"/>
      <c r="P199" s="241"/>
      <c r="Q199" s="242"/>
      <c r="R199" s="30" t="str">
        <f>IF(SUM(D199:P199)=0,"",SUM((D199:P199)))</f>
        <v/>
      </c>
      <c r="S199" s="243"/>
      <c r="T199" s="243"/>
      <c r="U199" s="243"/>
      <c r="V199" s="244"/>
      <c r="AA199" s="31"/>
    </row>
    <row r="200" spans="1:27" ht="22.35" customHeight="1" x14ac:dyDescent="0.25">
      <c r="A200" s="10"/>
      <c r="B200" s="197" t="str">
        <f>INDEX(TranslationTable[], MATCH(9001, TranslationTable[TranslationKeyId], 0), MATCH(TRIM(LOWER($V$5)), TranslationTable[#Headers], 0))</f>
        <v>Non-binary</v>
      </c>
      <c r="C200" s="198"/>
      <c r="D200" s="1"/>
      <c r="E200" s="1"/>
      <c r="F200" s="1"/>
      <c r="G200" s="194"/>
      <c r="H200" s="195"/>
      <c r="I200" s="1"/>
      <c r="J200" s="1"/>
      <c r="K200" s="1"/>
      <c r="L200" s="1"/>
      <c r="M200" s="1"/>
      <c r="N200" s="220"/>
      <c r="O200" s="221"/>
      <c r="P200" s="241"/>
      <c r="Q200" s="242"/>
      <c r="R200" s="30" t="str">
        <f>IF(SUM(D200:P200)=0,"",SUM((D200:P200)))</f>
        <v/>
      </c>
      <c r="S200" s="243"/>
      <c r="T200" s="243"/>
      <c r="U200" s="243"/>
      <c r="V200" s="244"/>
      <c r="AA200" s="31"/>
    </row>
    <row r="201" spans="1:27" ht="22.35" customHeight="1" x14ac:dyDescent="0.25">
      <c r="A201" s="10"/>
      <c r="B201" s="197" t="str">
        <f>INDEX(TranslationTable[], MATCH(701, TranslationTable[TranslationKeyId], 0), MATCH(TRIM(LOWER($V$5)), TranslationTable[#Headers], 0))</f>
        <v>Unknown</v>
      </c>
      <c r="C201" s="198"/>
      <c r="D201" s="142"/>
      <c r="E201" s="142"/>
      <c r="F201" s="142"/>
      <c r="G201" s="190"/>
      <c r="H201" s="191"/>
      <c r="I201" s="142"/>
      <c r="J201" s="142"/>
      <c r="K201" s="142"/>
      <c r="L201" s="142"/>
      <c r="M201" s="142"/>
      <c r="N201" s="250"/>
      <c r="O201" s="251"/>
      <c r="P201" s="248"/>
      <c r="Q201" s="249"/>
      <c r="R201" s="30" t="str">
        <f>IF(SUM(D201:P201)=0,"",SUM((D201:P201)))</f>
        <v/>
      </c>
      <c r="S201" s="63"/>
      <c r="T201" s="276" t="str">
        <f xml:space="preserve"> SUBSTITUTE(INDEX(TranslationTable[], MATCH(139, TranslationTable[TranslationKeyId], 0), MATCH(TRIM(LOWER($V$5)), TranslationTable[#Headers], 0)), "//", CHAR(10))</f>
        <v>Indirect Recipients</v>
      </c>
      <c r="U201" s="277"/>
      <c r="V201" s="24"/>
      <c r="AA201" s="31"/>
    </row>
    <row r="202" spans="1:27" ht="22.35" customHeight="1" x14ac:dyDescent="0.25">
      <c r="A202" s="10"/>
      <c r="B202" s="197" t="str">
        <f>INDEX(TranslationTable[], MATCH(6383, TranslationTable[TranslationKeyId], 0), MATCH(TRIM(LOWER($V$5)), TranslationTable[#Headers], 0))</f>
        <v>Total</v>
      </c>
      <c r="C202" s="198"/>
      <c r="D202" s="30" t="str">
        <f>IF(SUM(D198:D201)=0,"",SUM(D198:D201))</f>
        <v/>
      </c>
      <c r="E202" s="30" t="str">
        <f>IF(SUM(E198:E201)=0,"",SUM(E198:E201))</f>
        <v/>
      </c>
      <c r="F202" s="30" t="str">
        <f>IF(SUM(F198:F201)=0,"",SUM(F198:F201))</f>
        <v/>
      </c>
      <c r="G202" s="188" t="str">
        <f t="shared" ref="G202:P202" si="9">IF(SUM(G198:G201)=0,"",SUM(G198:G201))</f>
        <v/>
      </c>
      <c r="H202" s="189"/>
      <c r="I202" s="30" t="str">
        <f t="shared" si="9"/>
        <v/>
      </c>
      <c r="J202" s="30" t="str">
        <f t="shared" si="9"/>
        <v/>
      </c>
      <c r="K202" s="30" t="str">
        <f t="shared" si="9"/>
        <v/>
      </c>
      <c r="L202" s="30" t="str">
        <f t="shared" si="9"/>
        <v/>
      </c>
      <c r="M202" s="30" t="str">
        <f t="shared" si="9"/>
        <v/>
      </c>
      <c r="N202" s="239" t="str">
        <f>IF(SUM(O198:O201)=0,"",SUM(O198:O201))</f>
        <v/>
      </c>
      <c r="O202" s="240"/>
      <c r="P202" s="239" t="str">
        <f t="shared" si="9"/>
        <v/>
      </c>
      <c r="Q202" s="240"/>
      <c r="R202" s="30" t="str">
        <f>IF(SUM(D202:P202)=0,"",SUM((D202:P202)))</f>
        <v/>
      </c>
      <c r="S202" s="63"/>
      <c r="T202" s="230"/>
      <c r="U202" s="232"/>
      <c r="V202" s="160" t="str">
        <f>IF(OR(T202&lt;&gt;"", C194=TRUE,H194=TRUE), "", IFERROR(INDEX(TranslationTable[], MATCH(9043, TranslationTable[TranslationKeyId], 0), MATCH(LOWER(Language), TranslationTable[#Headers], 0)), ""))</f>
        <v>Required</v>
      </c>
      <c r="AA202" s="31" t="str">
        <f>IF(AND(Y194+Z194=0,T202=""), "Required", "")</f>
        <v>Required</v>
      </c>
    </row>
    <row r="203" spans="1:27" ht="27.95" customHeight="1" x14ac:dyDescent="0.25">
      <c r="A203" s="10"/>
      <c r="B203" s="18"/>
      <c r="C203" s="18"/>
      <c r="D203" s="19"/>
      <c r="E203" s="19"/>
      <c r="F203" s="19"/>
      <c r="G203" s="19"/>
      <c r="H203" s="19"/>
      <c r="I203" s="19"/>
      <c r="J203" s="19"/>
      <c r="K203" s="19"/>
      <c r="L203" s="19"/>
      <c r="M203" s="19"/>
      <c r="N203" s="19"/>
      <c r="O203" s="19"/>
      <c r="P203" s="19"/>
      <c r="Q203" s="19"/>
      <c r="R203" s="19"/>
      <c r="S203" s="19"/>
      <c r="T203" s="280" t="str">
        <f>IF(T202=0,"",$B$426)</f>
        <v/>
      </c>
      <c r="U203" s="280"/>
      <c r="V203" s="281"/>
      <c r="AA203" s="31"/>
    </row>
    <row r="204" spans="1:27" ht="27.95" customHeight="1" x14ac:dyDescent="0.25">
      <c r="A204" s="10"/>
      <c r="B204" s="262" t="str">
        <f>INDEX(TranslationTable[], MATCH(124, TranslationTable[TranslationKeyId], 0), MATCH(TRIM(LOWER($V$5)), TranslationTable[#Headers], 0))</f>
        <v>Is your National Society capturing disaggregated data based on disability for this indicator, i.e.the number of persons with disabilities?</v>
      </c>
      <c r="C204" s="263"/>
      <c r="D204" s="263"/>
      <c r="E204" s="263"/>
      <c r="F204" s="263"/>
      <c r="G204" s="263"/>
      <c r="H204" s="263"/>
      <c r="I204" s="263"/>
      <c r="J204" s="264"/>
      <c r="K204" s="162"/>
      <c r="L204" s="25" t="str">
        <f>IF(OR(K204&lt;&gt;"",C194=TRUE,H194=TRUE),"",INDEX(TranslationTable[],MATCH(9043,TranslationTable[TranslationKeyId],0),MATCH(LOWER(Language),TranslationTable[#Headers],0)))</f>
        <v>Required</v>
      </c>
      <c r="M204" s="19"/>
      <c r="N204" s="19"/>
      <c r="O204" s="19"/>
      <c r="P204" s="19"/>
      <c r="Q204" s="19"/>
      <c r="R204" s="19"/>
      <c r="S204" s="19"/>
      <c r="T204" s="280"/>
      <c r="U204" s="280"/>
      <c r="V204" s="281"/>
      <c r="AA204" s="31" t="str">
        <f>IF(AND(Y194+Z194=0,K204=""), "Required", "")</f>
        <v>Required</v>
      </c>
    </row>
    <row r="205" spans="1:27" ht="27.95" customHeight="1" x14ac:dyDescent="0.25">
      <c r="A205" s="10"/>
      <c r="B205" s="85"/>
      <c r="C205" s="33"/>
      <c r="D205" s="33"/>
      <c r="E205" s="33"/>
      <c r="F205" s="33"/>
      <c r="G205" s="33"/>
      <c r="H205" s="33"/>
      <c r="I205" s="33"/>
      <c r="J205" s="33"/>
      <c r="K205" s="33"/>
      <c r="L205" s="33"/>
      <c r="M205" s="19"/>
      <c r="N205" s="19"/>
      <c r="O205" s="19"/>
      <c r="P205" s="19"/>
      <c r="Q205" s="19"/>
      <c r="R205" s="19"/>
      <c r="S205" s="19"/>
      <c r="T205" s="280"/>
      <c r="U205" s="280"/>
      <c r="V205" s="281"/>
      <c r="AA205" s="31"/>
    </row>
    <row r="206" spans="1:27" ht="27.95" customHeight="1" x14ac:dyDescent="0.25">
      <c r="A206" s="10"/>
      <c r="B206" s="226" t="str">
        <f>INDEX(TranslationTable[], MATCH(125, TranslationTable[TranslationKeyId], 0), MATCH(TRIM(LOWER(Language)), TranslationTable[#Headers], 0))</f>
        <v>If answered yes, is your disability disaggregated data in accordance to the Washington Group questions?</v>
      </c>
      <c r="C206" s="227"/>
      <c r="D206" s="227"/>
      <c r="E206" s="227"/>
      <c r="F206" s="227"/>
      <c r="G206" s="227"/>
      <c r="H206" s="227"/>
      <c r="I206" s="227"/>
      <c r="J206" s="168"/>
      <c r="K206" s="25" t="str">
        <f>IF(AND(K204=YesLANG, J206=""),INDEX(TranslationTable[], MATCH(9043, TranslationTable[TranslationKeyId], 0), MATCH(LOWER(Language), TranslationTable[#Headers], 0)),"")</f>
        <v/>
      </c>
      <c r="L206" s="33"/>
      <c r="M206" s="33"/>
      <c r="N206" s="33"/>
      <c r="O206" s="19"/>
      <c r="P206" s="19"/>
      <c r="Q206" s="19"/>
      <c r="R206" s="19"/>
      <c r="S206" s="19"/>
      <c r="T206" s="280"/>
      <c r="U206" s="280"/>
      <c r="V206" s="281"/>
      <c r="AA206" s="31" t="str">
        <f>IF(AND(K204="Yes", J206=""), "Required", "")</f>
        <v/>
      </c>
    </row>
    <row r="207" spans="1:27" ht="22.35" customHeight="1" x14ac:dyDescent="0.25">
      <c r="A207" s="10"/>
      <c r="B207" s="34"/>
      <c r="C207" s="35"/>
      <c r="D207" s="35"/>
      <c r="E207" s="35"/>
      <c r="F207" s="35"/>
      <c r="G207" s="35"/>
      <c r="H207" s="35"/>
      <c r="I207" s="35"/>
      <c r="J207" s="33"/>
      <c r="K207" s="33"/>
      <c r="L207" s="33"/>
      <c r="M207" s="33"/>
      <c r="N207" s="33"/>
      <c r="O207" s="19"/>
      <c r="P207" s="33"/>
      <c r="Q207" s="33"/>
      <c r="R207" s="19"/>
      <c r="S207" s="19"/>
      <c r="T207" s="19"/>
      <c r="U207" s="19"/>
      <c r="V207" s="24"/>
      <c r="AA207" s="31"/>
    </row>
    <row r="208" spans="1:27" ht="22.35" customHeight="1" x14ac:dyDescent="0.25">
      <c r="A208" s="10"/>
      <c r="B208" s="26"/>
      <c r="C208" s="172" t="b">
        <v>0</v>
      </c>
      <c r="D208"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208" s="196"/>
      <c r="F208" s="19"/>
      <c r="G208" s="35"/>
      <c r="H208" s="172" t="b">
        <v>0</v>
      </c>
      <c r="I208"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208" s="196"/>
      <c r="K208" s="196"/>
      <c r="L208" s="196"/>
      <c r="M208" s="196"/>
      <c r="N208" s="33"/>
      <c r="O208" s="19"/>
      <c r="P208" s="19"/>
      <c r="Q208" s="19"/>
      <c r="R208" s="19"/>
      <c r="S208" s="19"/>
      <c r="T208" s="25"/>
      <c r="U208" s="19"/>
      <c r="V208" s="24"/>
      <c r="Y208" s="5" t="b">
        <v>0</v>
      </c>
      <c r="Z208" s="5" t="b">
        <v>0</v>
      </c>
      <c r="AA208" s="31" t="str">
        <f>IF(OR(Y208,Z208,R216&lt;&gt;""),"","Required")</f>
        <v>Required</v>
      </c>
    </row>
    <row r="209" spans="1:27" ht="22.35" customHeight="1" x14ac:dyDescent="0.25">
      <c r="A209" s="10"/>
      <c r="B209" s="199" t="str">
        <f>IF(OR(R216&lt;&gt;"", C208=TRUE, H208=TRUE), "", IFERROR(INDEX(TranslationTable[], MATCH(9043, TranslationTable[TranslationKeyId], 0), MATCH(LOWER(Language), TranslationTable[#Headers], 0)), ""))</f>
        <v>Required</v>
      </c>
      <c r="C209" s="200"/>
      <c r="D209" s="255" t="str">
        <f>SUBSTITUTE(INDEX(TranslationTable[],MATCH(140,TranslationTable[TranslationKeyId],0),MATCH(TRIM(LOWER($V$5)),TranslationTable[#Headers],0)),"//",CHAR(10))</f>
        <v>People reached with long term services and development programmes</v>
      </c>
      <c r="E209" s="228"/>
      <c r="F209" s="228"/>
      <c r="G209" s="228"/>
      <c r="H209" s="228"/>
      <c r="I209" s="228"/>
      <c r="J209" s="228"/>
      <c r="K209" s="228"/>
      <c r="L209" s="228"/>
      <c r="M209" s="228"/>
      <c r="N209" s="228"/>
      <c r="O209" s="228"/>
      <c r="P209" s="228"/>
      <c r="Q209" s="228"/>
      <c r="R209" s="229"/>
      <c r="S209" s="19"/>
      <c r="T209" s="19"/>
      <c r="U209" s="19"/>
      <c r="V209" s="24"/>
      <c r="AA209" s="31"/>
    </row>
    <row r="210" spans="1:27" ht="22.35" customHeight="1" x14ac:dyDescent="0.25">
      <c r="A210" s="10"/>
      <c r="B210" s="201"/>
      <c r="C210" s="202"/>
      <c r="D210" s="203" t="str">
        <f xml:space="preserve"> SUBSTITUTE(INDEX(TranslationTable[], MATCH(138, TranslationTable[TranslationKeyId], 0), MATCH(TRIM(LOWER($V$5)), TranslationTable[#Headers], 0)), "//", CHAR(10))</f>
        <v>Direct Recipients</v>
      </c>
      <c r="E210" s="204"/>
      <c r="F210" s="204"/>
      <c r="G210" s="204"/>
      <c r="H210" s="204"/>
      <c r="I210" s="204"/>
      <c r="J210" s="204"/>
      <c r="K210" s="204"/>
      <c r="L210" s="204"/>
      <c r="M210" s="204"/>
      <c r="N210" s="204"/>
      <c r="O210" s="204"/>
      <c r="P210" s="204"/>
      <c r="Q210" s="204"/>
      <c r="R210" s="205"/>
      <c r="S210" s="243" t="str">
        <f>SUBSTITUTE(INDEX(TranslationTable[],MATCH(975,TranslationTable[TranslationKeyId],0),MATCH(TRIM(LOWER($V$5)),TranslationTable[#Headers],0)),"//",CHAR(10))</f>
        <v>National Society services to strengthen community resilience, improve health, and address the needs of the most vulnerable.</v>
      </c>
      <c r="T210" s="243"/>
      <c r="U210" s="243"/>
      <c r="V210" s="244"/>
      <c r="AA210" s="31"/>
    </row>
    <row r="211" spans="1:27" ht="30" customHeight="1" x14ac:dyDescent="0.25">
      <c r="A211" s="10"/>
      <c r="B211" s="197" t="str">
        <f>INDEX(TranslationTable[], MATCH(3306, TranslationTable[TranslationKeyId], 0), MATCH(TRIM(LOWER($V$5)), TranslationTable[#Headers], 0))</f>
        <v>Age group</v>
      </c>
      <c r="C211" s="198"/>
      <c r="D211" s="54" t="s">
        <v>17</v>
      </c>
      <c r="E211" s="54" t="s">
        <v>12</v>
      </c>
      <c r="F211" s="55" t="s">
        <v>13</v>
      </c>
      <c r="G211" s="192" t="s">
        <v>14</v>
      </c>
      <c r="H211" s="193"/>
      <c r="I211" s="55" t="s">
        <v>6</v>
      </c>
      <c r="J211" s="55" t="s">
        <v>7</v>
      </c>
      <c r="K211" s="55" t="s">
        <v>8</v>
      </c>
      <c r="L211" s="55" t="s">
        <v>9</v>
      </c>
      <c r="M211" s="55" t="s">
        <v>10</v>
      </c>
      <c r="N211" s="206" t="s">
        <v>11</v>
      </c>
      <c r="O211" s="207"/>
      <c r="P211" s="246" t="str">
        <f>INDEX(TranslationTable[], MATCH(701, TranslationTable[TranslationKeyId], 0), MATCH(TRIM(LOWER($V$5)), TranslationTable[#Headers], 0))</f>
        <v>Unknown</v>
      </c>
      <c r="Q211" s="247"/>
      <c r="R211" s="28" t="str">
        <f>INDEX(TranslationTable[], MATCH(6383, TranslationTable[TranslationKeyId], 0), MATCH(TRIM(LOWER($V$5)), TranslationTable[#Headers], 0))</f>
        <v>Total</v>
      </c>
      <c r="S211" s="243"/>
      <c r="T211" s="243"/>
      <c r="U211" s="243"/>
      <c r="V211" s="244"/>
      <c r="AA211" s="31"/>
    </row>
    <row r="212" spans="1:27" ht="22.35" customHeight="1" x14ac:dyDescent="0.25">
      <c r="A212" s="10"/>
      <c r="B212" s="197" t="str">
        <f>INDEX(TranslationTable[], MATCH(3301, TranslationTable[TranslationKeyId], 0), MATCH(TRIM(LOWER($V$5)), TranslationTable[#Headers], 0))</f>
        <v>Male</v>
      </c>
      <c r="C212" s="198"/>
      <c r="D212" s="1"/>
      <c r="E212" s="1"/>
      <c r="F212" s="1"/>
      <c r="G212" s="194"/>
      <c r="H212" s="195"/>
      <c r="I212" s="1"/>
      <c r="J212" s="1"/>
      <c r="K212" s="1"/>
      <c r="L212" s="1"/>
      <c r="M212" s="1"/>
      <c r="N212" s="220"/>
      <c r="O212" s="221"/>
      <c r="P212" s="241"/>
      <c r="Q212" s="242"/>
      <c r="R212" s="30" t="str">
        <f>IF(SUM(D212:P212)=0,"",SUM((D212:P212)))</f>
        <v/>
      </c>
      <c r="S212" s="243"/>
      <c r="T212" s="243"/>
      <c r="U212" s="243"/>
      <c r="V212" s="244"/>
      <c r="AA212" s="31"/>
    </row>
    <row r="213" spans="1:27" ht="22.35" customHeight="1" x14ac:dyDescent="0.25">
      <c r="A213" s="10"/>
      <c r="B213" s="197" t="str">
        <f>INDEX(TranslationTable[], MATCH(3302, TranslationTable[TranslationKeyId], 0), MATCH(TRIM(LOWER($V$5)), TranslationTable[#Headers], 0))</f>
        <v>Female</v>
      </c>
      <c r="C213" s="198"/>
      <c r="D213" s="1"/>
      <c r="E213" s="1"/>
      <c r="F213" s="1"/>
      <c r="G213" s="194"/>
      <c r="H213" s="195"/>
      <c r="I213" s="1"/>
      <c r="J213" s="1"/>
      <c r="K213" s="1"/>
      <c r="L213" s="1"/>
      <c r="M213" s="1"/>
      <c r="N213" s="220"/>
      <c r="O213" s="221"/>
      <c r="P213" s="241"/>
      <c r="Q213" s="242"/>
      <c r="R213" s="30" t="str">
        <f>IF(SUM(D213:P213)=0,"",SUM((D213:P213)))</f>
        <v/>
      </c>
      <c r="S213" s="243"/>
      <c r="T213" s="243"/>
      <c r="U213" s="243"/>
      <c r="V213" s="244"/>
      <c r="AA213" s="31"/>
    </row>
    <row r="214" spans="1:27" ht="22.35" customHeight="1" x14ac:dyDescent="0.25">
      <c r="A214" s="10"/>
      <c r="B214" s="197" t="str">
        <f>INDEX(TranslationTable[], MATCH(9001, TranslationTable[TranslationKeyId], 0), MATCH(TRIM(LOWER($V$5)), TranslationTable[#Headers], 0))</f>
        <v>Non-binary</v>
      </c>
      <c r="C214" s="198"/>
      <c r="D214" s="1"/>
      <c r="E214" s="1"/>
      <c r="F214" s="1"/>
      <c r="G214" s="194"/>
      <c r="H214" s="195"/>
      <c r="I214" s="1"/>
      <c r="J214" s="1"/>
      <c r="K214" s="1"/>
      <c r="L214" s="1"/>
      <c r="M214" s="1"/>
      <c r="N214" s="220"/>
      <c r="O214" s="221"/>
      <c r="P214" s="241"/>
      <c r="Q214" s="242"/>
      <c r="R214" s="30" t="str">
        <f>IF(SUM(D214:P214)=0,"",SUM((D214:P214)))</f>
        <v/>
      </c>
      <c r="S214" s="243"/>
      <c r="T214" s="243"/>
      <c r="U214" s="243"/>
      <c r="V214" s="244"/>
      <c r="AA214" s="31"/>
    </row>
    <row r="215" spans="1:27" ht="22.35" customHeight="1" x14ac:dyDescent="0.25">
      <c r="A215" s="10"/>
      <c r="B215" s="197" t="str">
        <f>INDEX(TranslationTable[], MATCH(701, TranslationTable[TranslationKeyId], 0), MATCH(TRIM(LOWER($V$5)), TranslationTable[#Headers], 0))</f>
        <v>Unknown</v>
      </c>
      <c r="C215" s="198"/>
      <c r="D215" s="142"/>
      <c r="E215" s="142"/>
      <c r="F215" s="142"/>
      <c r="G215" s="190"/>
      <c r="H215" s="191"/>
      <c r="I215" s="142"/>
      <c r="J215" s="142"/>
      <c r="K215" s="142"/>
      <c r="L215" s="142"/>
      <c r="M215" s="142"/>
      <c r="N215" s="250"/>
      <c r="O215" s="251"/>
      <c r="P215" s="248"/>
      <c r="Q215" s="249"/>
      <c r="R215" s="30" t="str">
        <f>IF(SUM(D215:P215)=0,"",SUM((D215:P215)))</f>
        <v/>
      </c>
      <c r="S215" s="75"/>
      <c r="T215" s="75"/>
      <c r="U215" s="75"/>
      <c r="V215" s="91"/>
      <c r="AA215" s="31"/>
    </row>
    <row r="216" spans="1:27" ht="22.35" customHeight="1" x14ac:dyDescent="0.25">
      <c r="A216" s="10"/>
      <c r="B216" s="197" t="str">
        <f>INDEX(TranslationTable[], MATCH(6383, TranslationTable[TranslationKeyId], 0), MATCH(TRIM(LOWER($V$5)), TranslationTable[#Headers], 0))</f>
        <v>Total</v>
      </c>
      <c r="C216" s="198"/>
      <c r="D216" s="30" t="str">
        <f>IF(SUM(D212:D215)=0,"",SUM(D212:D215))</f>
        <v/>
      </c>
      <c r="E216" s="30" t="str">
        <f>IF(SUM(E212:E215)=0,"",SUM(E212:E215))</f>
        <v/>
      </c>
      <c r="F216" s="30" t="str">
        <f>IF(SUM(F212:F215)=0,"",SUM(F212:F215))</f>
        <v/>
      </c>
      <c r="G216" s="188" t="str">
        <f t="shared" ref="G216:P216" si="10">IF(SUM(G212:G215)=0,"",SUM(G212:G215))</f>
        <v/>
      </c>
      <c r="H216" s="189"/>
      <c r="I216" s="30" t="str">
        <f t="shared" si="10"/>
        <v/>
      </c>
      <c r="J216" s="30" t="str">
        <f t="shared" si="10"/>
        <v/>
      </c>
      <c r="K216" s="30" t="str">
        <f t="shared" si="10"/>
        <v/>
      </c>
      <c r="L216" s="30" t="str">
        <f t="shared" si="10"/>
        <v/>
      </c>
      <c r="M216" s="30" t="str">
        <f t="shared" si="10"/>
        <v/>
      </c>
      <c r="N216" s="239" t="str">
        <f>IF(SUM(N212:N215)=0,"",SUM(N212:N215))</f>
        <v/>
      </c>
      <c r="O216" s="240"/>
      <c r="P216" s="239" t="str">
        <f t="shared" si="10"/>
        <v/>
      </c>
      <c r="Q216" s="240"/>
      <c r="R216" s="30" t="str">
        <f>IF(SUM(D216:P216)=0,"",SUM((D216:P216)))</f>
        <v/>
      </c>
      <c r="S216" s="75"/>
      <c r="T216" s="276" t="str">
        <f xml:space="preserve"> SUBSTITUTE(INDEX(TranslationTable[], MATCH(139, TranslationTable[TranslationKeyId], 0), MATCH(TRIM(LOWER($V$5)), TranslationTable[#Headers], 0)), "//", CHAR(10))</f>
        <v>Indirect Recipients</v>
      </c>
      <c r="U216" s="277"/>
      <c r="V216" s="91"/>
    </row>
    <row r="217" spans="1:27" ht="22.35" customHeight="1" x14ac:dyDescent="0.25">
      <c r="A217" s="10"/>
      <c r="B217" s="73"/>
      <c r="C217" s="18"/>
      <c r="D217" s="19"/>
      <c r="E217" s="19"/>
      <c r="F217" s="19"/>
      <c r="G217" s="19"/>
      <c r="H217" s="19"/>
      <c r="I217" s="19"/>
      <c r="J217" s="19"/>
      <c r="K217" s="19"/>
      <c r="L217" s="19"/>
      <c r="M217" s="19"/>
      <c r="N217" s="19"/>
      <c r="O217" s="19"/>
      <c r="P217" s="19"/>
      <c r="Q217" s="19"/>
      <c r="R217" s="19"/>
      <c r="S217" s="19"/>
      <c r="T217" s="230"/>
      <c r="U217" s="232"/>
      <c r="V217" s="160" t="str">
        <f>IF(OR(T217&lt;&gt;"", C208=TRUE,H208=TRUE), "", IFERROR(INDEX(TranslationTable[], MATCH(9043, TranslationTable[TranslationKeyId], 0), MATCH(LOWER(Language), TranslationTable[#Headers], 0)), ""))</f>
        <v>Required</v>
      </c>
      <c r="AA217" s="31" t="str">
        <f>IF(AND(Y208+Z208=0,T217=""), "Required", "")</f>
        <v>Required</v>
      </c>
    </row>
    <row r="218" spans="1:27" ht="27.95" customHeight="1" x14ac:dyDescent="0.25">
      <c r="A218" s="10"/>
      <c r="B218" s="262" t="str">
        <f>INDEX(TranslationTable[], MATCH(124, TranslationTable[TranslationKeyId], 0), MATCH(TRIM(LOWER($V$5)), TranslationTable[#Headers], 0))</f>
        <v>Is your National Society capturing disaggregated data based on disability for this indicator, i.e.the number of persons with disabilities?</v>
      </c>
      <c r="C218" s="263"/>
      <c r="D218" s="263"/>
      <c r="E218" s="263"/>
      <c r="F218" s="263"/>
      <c r="G218" s="263"/>
      <c r="H218" s="263"/>
      <c r="I218" s="263"/>
      <c r="J218" s="264"/>
      <c r="K218" s="162"/>
      <c r="L218" s="25" t="str">
        <f>IF(OR(K218&lt;&gt;"",C208=TRUE,H208=TRUE),"",INDEX(TranslationTable[],MATCH(9043,TranslationTable[TranslationKeyId],0),MATCH(LOWER(Language),TranslationTable[#Headers],0)))</f>
        <v>Required</v>
      </c>
      <c r="M218" s="19"/>
      <c r="N218" s="19"/>
      <c r="O218" s="19"/>
      <c r="P218" s="33"/>
      <c r="Q218" s="33"/>
      <c r="R218" s="33"/>
      <c r="S218" s="33"/>
      <c r="T218" s="280" t="str">
        <f>IF(T217=0,"",$B$426)</f>
        <v/>
      </c>
      <c r="U218" s="280"/>
      <c r="V218" s="281"/>
      <c r="AA218" s="31" t="str">
        <f>IF(AND(Y208+Z208=0,K218=""), "Required", "")</f>
        <v>Required</v>
      </c>
    </row>
    <row r="219" spans="1:27" ht="27.95" customHeight="1" x14ac:dyDescent="0.25">
      <c r="A219" s="10"/>
      <c r="B219" s="85"/>
      <c r="C219" s="33"/>
      <c r="D219" s="33"/>
      <c r="E219" s="33"/>
      <c r="F219" s="33"/>
      <c r="G219" s="33"/>
      <c r="H219" s="33"/>
      <c r="I219" s="33"/>
      <c r="J219" s="33"/>
      <c r="K219" s="33"/>
      <c r="L219" s="33"/>
      <c r="M219" s="19"/>
      <c r="N219" s="19"/>
      <c r="O219" s="33"/>
      <c r="P219" s="33"/>
      <c r="Q219" s="33"/>
      <c r="R219" s="33"/>
      <c r="S219" s="33"/>
      <c r="T219" s="280"/>
      <c r="U219" s="280"/>
      <c r="V219" s="281"/>
      <c r="AA219" s="31"/>
    </row>
    <row r="220" spans="1:27" ht="27.95" customHeight="1" x14ac:dyDescent="0.25">
      <c r="A220" s="10"/>
      <c r="B220" s="226" t="str">
        <f>INDEX(TranslationTable[], MATCH(125, TranslationTable[TranslationKeyId], 0), MATCH(TRIM(LOWER(Language)), TranslationTable[#Headers], 0))</f>
        <v>If answered yes, is your disability disaggregated data in accordance to the Washington Group questions?</v>
      </c>
      <c r="C220" s="227"/>
      <c r="D220" s="227"/>
      <c r="E220" s="227"/>
      <c r="F220" s="227"/>
      <c r="G220" s="227"/>
      <c r="H220" s="227"/>
      <c r="I220" s="227"/>
      <c r="J220" s="168"/>
      <c r="K220" s="25" t="str">
        <f>IF(AND(K218=YesLANG, J220=""),INDEX(TranslationTable[], MATCH(9043, TranslationTable[TranslationKeyId], 0), MATCH(LOWER(Language), TranslationTable[#Headers], 0)),"")</f>
        <v/>
      </c>
      <c r="L220" s="33"/>
      <c r="M220" s="33"/>
      <c r="N220" s="33"/>
      <c r="O220" s="33"/>
      <c r="P220" s="33"/>
      <c r="Q220" s="33"/>
      <c r="R220" s="33"/>
      <c r="S220" s="33"/>
      <c r="T220" s="280"/>
      <c r="U220" s="280"/>
      <c r="V220" s="281"/>
      <c r="AA220" s="31" t="str">
        <f>IF(AND(K218="Yes", J220=""), "Required", "")</f>
        <v/>
      </c>
    </row>
    <row r="221" spans="1:27" ht="27.95" customHeight="1" x14ac:dyDescent="0.25">
      <c r="A221" s="10"/>
      <c r="B221" s="92"/>
      <c r="C221" s="153"/>
      <c r="D221" s="58"/>
      <c r="E221" s="58"/>
      <c r="F221" s="58"/>
      <c r="G221" s="58"/>
      <c r="H221" s="58"/>
      <c r="I221" s="93"/>
      <c r="J221" s="94"/>
      <c r="K221" s="285"/>
      <c r="L221" s="285"/>
      <c r="M221" s="285"/>
      <c r="N221" s="94"/>
      <c r="O221" s="93"/>
      <c r="P221" s="94"/>
      <c r="Q221" s="94"/>
      <c r="R221" s="58"/>
      <c r="S221" s="58"/>
      <c r="T221" s="280"/>
      <c r="U221" s="280"/>
      <c r="V221" s="281"/>
      <c r="AA221" s="31"/>
    </row>
    <row r="222" spans="1:27" ht="22.35" customHeight="1" x14ac:dyDescent="0.25">
      <c r="A222" s="10"/>
      <c r="B222" s="253" t="str">
        <f>"3.3 "&amp; SUBSTITUTE(INDEX(TranslationTable[],MATCH(942,TranslationTable[TranslationKeyId],0),MATCH(TRIM(LOWER($V$5)),TranslationTable[#Headers],0)),"//",CHAR(10))</f>
        <v>3.3 NS Activities By Thematic Areas</v>
      </c>
      <c r="C222" s="254"/>
      <c r="D222" s="254"/>
      <c r="E222" s="254"/>
      <c r="F222" s="14"/>
      <c r="G222" s="14"/>
      <c r="H222" s="14"/>
      <c r="I222" s="14"/>
      <c r="J222" s="14"/>
      <c r="K222" s="14"/>
      <c r="L222" s="14"/>
      <c r="M222" s="14"/>
      <c r="N222" s="14"/>
      <c r="O222" s="14"/>
      <c r="P222" s="14"/>
      <c r="Q222" s="14"/>
      <c r="R222" s="14"/>
      <c r="S222" s="14"/>
      <c r="T222" s="14"/>
      <c r="U222" s="14"/>
      <c r="V222" s="14"/>
      <c r="AA222" s="31"/>
    </row>
    <row r="223" spans="1:27" ht="22.35" customHeight="1" x14ac:dyDescent="0.25">
      <c r="A223" s="10"/>
      <c r="B223" s="18"/>
      <c r="C223" s="18"/>
      <c r="D223" s="19"/>
      <c r="E223" s="19"/>
      <c r="F223" s="19"/>
      <c r="G223" s="19"/>
      <c r="H223" s="19"/>
      <c r="I223" s="19"/>
      <c r="J223" s="19"/>
      <c r="K223" s="19"/>
      <c r="L223" s="19"/>
      <c r="M223" s="19"/>
      <c r="N223" s="19"/>
      <c r="O223" s="19"/>
      <c r="P223" s="19"/>
      <c r="Q223" s="19"/>
      <c r="R223" s="19"/>
      <c r="S223" s="19"/>
      <c r="T223" s="19"/>
      <c r="U223" s="19"/>
      <c r="V223" s="24"/>
      <c r="AA223" s="31"/>
    </row>
    <row r="224" spans="1:27" ht="22.35" customHeight="1" x14ac:dyDescent="0.25">
      <c r="A224" s="10"/>
      <c r="B224" s="26"/>
      <c r="C224" s="172" t="b">
        <v>0</v>
      </c>
      <c r="D224"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224" s="196"/>
      <c r="F224" s="19"/>
      <c r="G224" s="35"/>
      <c r="H224" s="172" t="b">
        <v>0</v>
      </c>
      <c r="I224"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224" s="196"/>
      <c r="K224" s="196"/>
      <c r="L224" s="196"/>
      <c r="M224" s="196"/>
      <c r="N224" s="19"/>
      <c r="O224" s="19"/>
      <c r="P224" s="19"/>
      <c r="Q224" s="19"/>
      <c r="R224" s="19"/>
      <c r="S224" s="19"/>
      <c r="T224" s="25"/>
      <c r="U224" s="19"/>
      <c r="V224" s="24"/>
      <c r="Y224" s="5" t="b">
        <v>0</v>
      </c>
      <c r="Z224" s="5" t="b">
        <v>0</v>
      </c>
      <c r="AA224" s="31" t="str">
        <f>IF(OR(Y224,Z224,R232&lt;&gt;""),"","Required")</f>
        <v>Required</v>
      </c>
    </row>
    <row r="225" spans="1:27" ht="25.5" customHeight="1" x14ac:dyDescent="0.25">
      <c r="A225" s="10"/>
      <c r="B225" s="199" t="str">
        <f>IF(OR(R232&lt;&gt;"", C224=TRUE, H224=TRUE), "", IFERROR(INDEX(TranslationTable[], MATCH(9043, TranslationTable[TranslationKeyId], 0), MATCH(LOWER(Language), TranslationTable[#Headers], 0)), ""))</f>
        <v>Required</v>
      </c>
      <c r="C225" s="200"/>
      <c r="D225" s="255" t="str">
        <f>SUBSTITUTE(INDEX(TranslationTable[],MATCH(4693,TranslationTable[TranslationKeyId],0),MATCH(TRIM(LOWER($V$5)),TranslationTable[#Headers],0)),"//",CHAR(10))</f>
        <v>People reached by disaster risk reduction</v>
      </c>
      <c r="E225" s="228"/>
      <c r="F225" s="228"/>
      <c r="G225" s="228"/>
      <c r="H225" s="228"/>
      <c r="I225" s="228"/>
      <c r="J225" s="228"/>
      <c r="K225" s="228"/>
      <c r="L225" s="228"/>
      <c r="M225" s="228"/>
      <c r="N225" s="228"/>
      <c r="O225" s="228"/>
      <c r="P225" s="228"/>
      <c r="Q225" s="228"/>
      <c r="R225" s="229"/>
      <c r="S225" s="405" t="str">
        <f>SUBSTITUTE(INDEX(TranslationTable[],MATCH(977,TranslationTable[TranslationKeyId],0),MATCH(TRIM(LOWER($V$5)),TranslationTable[#Headers],0)),"//",CHAR(10))</f>
        <v>Disaster Risk Reduction is the concept and practice of reducing disaster risks through systematic efforts to analyse and manage the causal factors of disasters, including through reduced exposure to hazards, lessened vulnerability of people and property, wise management of land and the environment, and improved preparedness for adverse events. National Society activities include preparing and assisting communities in disaster- and crisis-vulnerable areas in adopting climate-risk-informed and environmentally responsible and other relevant values and practices.</v>
      </c>
      <c r="T225" s="405"/>
      <c r="U225" s="405"/>
      <c r="V225" s="406"/>
      <c r="AA225" s="31"/>
    </row>
    <row r="226" spans="1:27" ht="22.35" customHeight="1" x14ac:dyDescent="0.25">
      <c r="A226" s="10"/>
      <c r="B226" s="201"/>
      <c r="C226" s="202"/>
      <c r="D226" s="203" t="str">
        <f xml:space="preserve"> SUBSTITUTE(INDEX(TranslationTable[], MATCH(138, TranslationTable[TranslationKeyId], 0), MATCH(TRIM(LOWER($V$5)), TranslationTable[#Headers], 0)), "//", CHAR(10))</f>
        <v>Direct Recipients</v>
      </c>
      <c r="E226" s="204"/>
      <c r="F226" s="204"/>
      <c r="G226" s="204"/>
      <c r="H226" s="204"/>
      <c r="I226" s="204"/>
      <c r="J226" s="204"/>
      <c r="K226" s="204"/>
      <c r="L226" s="204"/>
      <c r="M226" s="204"/>
      <c r="N226" s="204"/>
      <c r="O226" s="204"/>
      <c r="P226" s="204"/>
      <c r="Q226" s="204"/>
      <c r="R226" s="205"/>
      <c r="S226" s="405"/>
      <c r="T226" s="405"/>
      <c r="U226" s="405"/>
      <c r="V226" s="406"/>
      <c r="AA226" s="31"/>
    </row>
    <row r="227" spans="1:27" ht="30" customHeight="1" x14ac:dyDescent="0.25">
      <c r="A227" s="7"/>
      <c r="B227" s="197" t="str">
        <f>INDEX(TranslationTable[], MATCH(3306, TranslationTable[TranslationKeyId], 0), MATCH(TRIM(LOWER($V$5)), TranslationTable[#Headers], 0))</f>
        <v>Age group</v>
      </c>
      <c r="C227" s="198"/>
      <c r="D227" s="54" t="s">
        <v>17</v>
      </c>
      <c r="E227" s="54" t="s">
        <v>12</v>
      </c>
      <c r="F227" s="55" t="s">
        <v>13</v>
      </c>
      <c r="G227" s="192" t="s">
        <v>14</v>
      </c>
      <c r="H227" s="193"/>
      <c r="I227" s="55" t="s">
        <v>6</v>
      </c>
      <c r="J227" s="55" t="s">
        <v>7</v>
      </c>
      <c r="K227" s="55" t="s">
        <v>8</v>
      </c>
      <c r="L227" s="55" t="s">
        <v>9</v>
      </c>
      <c r="M227" s="55" t="s">
        <v>10</v>
      </c>
      <c r="N227" s="206" t="s">
        <v>11</v>
      </c>
      <c r="O227" s="207"/>
      <c r="P227" s="246" t="str">
        <f>INDEX(TranslationTable[], MATCH(701, TranslationTable[TranslationKeyId], 0), MATCH(TRIM(LOWER($V$5)), TranslationTable[#Headers], 0))</f>
        <v>Unknown</v>
      </c>
      <c r="Q227" s="247"/>
      <c r="R227" s="28" t="str">
        <f>INDEX(TranslationTable[], MATCH(6383, TranslationTable[TranslationKeyId], 0), MATCH(TRIM(LOWER($V$5)), TranslationTable[#Headers], 0))</f>
        <v>Total</v>
      </c>
      <c r="S227" s="405"/>
      <c r="T227" s="405"/>
      <c r="U227" s="405"/>
      <c r="V227" s="406"/>
      <c r="AA227" s="31"/>
    </row>
    <row r="228" spans="1:27" ht="22.35" customHeight="1" x14ac:dyDescent="0.25">
      <c r="A228" s="7"/>
      <c r="B228" s="197" t="str">
        <f>INDEX(TranslationTable[], MATCH(3301, TranslationTable[TranslationKeyId], 0), MATCH(TRIM(LOWER($V$5)), TranslationTable[#Headers], 0))</f>
        <v>Male</v>
      </c>
      <c r="C228" s="198"/>
      <c r="D228" s="1"/>
      <c r="E228" s="1"/>
      <c r="F228" s="1"/>
      <c r="G228" s="194"/>
      <c r="H228" s="195"/>
      <c r="I228" s="1"/>
      <c r="J228" s="1"/>
      <c r="K228" s="1"/>
      <c r="L228" s="1"/>
      <c r="M228" s="1"/>
      <c r="N228" s="220"/>
      <c r="O228" s="221"/>
      <c r="P228" s="241"/>
      <c r="Q228" s="242"/>
      <c r="R228" s="30" t="str">
        <f>IF(SUM(D228:P228)=0,"",SUM((D228:P228)))</f>
        <v/>
      </c>
      <c r="S228" s="405"/>
      <c r="T228" s="405"/>
      <c r="U228" s="405"/>
      <c r="V228" s="406"/>
      <c r="AA228" s="31"/>
    </row>
    <row r="229" spans="1:27" ht="22.35" customHeight="1" x14ac:dyDescent="0.25">
      <c r="A229" s="10"/>
      <c r="B229" s="197" t="str">
        <f>INDEX(TranslationTable[], MATCH(3302, TranslationTable[TranslationKeyId], 0), MATCH(TRIM(LOWER($V$5)), TranslationTable[#Headers], 0))</f>
        <v>Female</v>
      </c>
      <c r="C229" s="198"/>
      <c r="D229" s="1"/>
      <c r="E229" s="1"/>
      <c r="F229" s="1"/>
      <c r="G229" s="194"/>
      <c r="H229" s="195"/>
      <c r="I229" s="1"/>
      <c r="J229" s="1"/>
      <c r="K229" s="1"/>
      <c r="L229" s="1"/>
      <c r="M229" s="1"/>
      <c r="N229" s="220"/>
      <c r="O229" s="221"/>
      <c r="P229" s="241"/>
      <c r="Q229" s="242"/>
      <c r="R229" s="30" t="str">
        <f>IF(SUM(D229:P229)=0,"",SUM((D229:P229)))</f>
        <v/>
      </c>
      <c r="S229" s="405"/>
      <c r="T229" s="405"/>
      <c r="U229" s="405"/>
      <c r="V229" s="406"/>
      <c r="AA229" s="31"/>
    </row>
    <row r="230" spans="1:27" ht="22.35" customHeight="1" x14ac:dyDescent="0.25">
      <c r="A230" s="10"/>
      <c r="B230" s="197" t="str">
        <f>INDEX(TranslationTable[], MATCH(9001, TranslationTable[TranslationKeyId], 0), MATCH(TRIM(LOWER($V$5)), TranslationTable[#Headers], 0))</f>
        <v>Non-binary</v>
      </c>
      <c r="C230" s="198"/>
      <c r="D230" s="1"/>
      <c r="E230" s="1"/>
      <c r="F230" s="1"/>
      <c r="G230" s="194"/>
      <c r="H230" s="195"/>
      <c r="I230" s="1"/>
      <c r="J230" s="1"/>
      <c r="K230" s="1"/>
      <c r="L230" s="1"/>
      <c r="M230" s="1"/>
      <c r="N230" s="220"/>
      <c r="O230" s="221"/>
      <c r="P230" s="241"/>
      <c r="Q230" s="242"/>
      <c r="R230" s="30" t="str">
        <f>IF(SUM(D230:P230)=0,"",SUM((D230:P230)))</f>
        <v/>
      </c>
      <c r="S230" s="405"/>
      <c r="T230" s="405"/>
      <c r="U230" s="405"/>
      <c r="V230" s="406"/>
      <c r="AA230" s="31"/>
    </row>
    <row r="231" spans="1:27" ht="22.35" customHeight="1" x14ac:dyDescent="0.25">
      <c r="A231" s="10"/>
      <c r="B231" s="197" t="str">
        <f>INDEX(TranslationTable[], MATCH(701, TranslationTable[TranslationKeyId], 0), MATCH(TRIM(LOWER($V$5)), TranslationTable[#Headers], 0))</f>
        <v>Unknown</v>
      </c>
      <c r="C231" s="198"/>
      <c r="D231" s="142"/>
      <c r="E231" s="142"/>
      <c r="F231" s="142"/>
      <c r="G231" s="190"/>
      <c r="H231" s="191"/>
      <c r="I231" s="142"/>
      <c r="J231" s="142"/>
      <c r="K231" s="142"/>
      <c r="L231" s="142"/>
      <c r="M231" s="142"/>
      <c r="N231" s="250"/>
      <c r="O231" s="251"/>
      <c r="P231" s="248"/>
      <c r="Q231" s="249"/>
      <c r="R231" s="30" t="str">
        <f>IF(SUM(D231:P231)=0,"",SUM((D231:P231)))</f>
        <v/>
      </c>
      <c r="S231" s="405"/>
      <c r="T231" s="405"/>
      <c r="U231" s="405"/>
      <c r="V231" s="406"/>
      <c r="AA231" s="31"/>
    </row>
    <row r="232" spans="1:27" ht="22.35" customHeight="1" x14ac:dyDescent="0.25">
      <c r="A232" s="10"/>
      <c r="B232" s="197" t="str">
        <f>INDEX(TranslationTable[], MATCH(6383, TranslationTable[TranslationKeyId], 0), MATCH(TRIM(LOWER($V$5)), TranslationTable[#Headers], 0))</f>
        <v>Total</v>
      </c>
      <c r="C232" s="198"/>
      <c r="D232" s="30" t="str">
        <f>IF(SUM(D228:D231)=0,"",SUM(D228:D231))</f>
        <v/>
      </c>
      <c r="E232" s="30" t="str">
        <f>IF(SUM(E228:E231)=0,"",SUM(E228:E231))</f>
        <v/>
      </c>
      <c r="F232" s="30" t="str">
        <f>IF(SUM(F228:F231)=0,"",SUM(F228:F231))</f>
        <v/>
      </c>
      <c r="G232" s="188" t="str">
        <f t="shared" ref="G232:P232" si="11">IF(SUM(G228:G231)=0,"",SUM(G228:G231))</f>
        <v/>
      </c>
      <c r="H232" s="189"/>
      <c r="I232" s="30" t="str">
        <f t="shared" si="11"/>
        <v/>
      </c>
      <c r="J232" s="30" t="str">
        <f t="shared" si="11"/>
        <v/>
      </c>
      <c r="K232" s="30" t="str">
        <f t="shared" si="11"/>
        <v/>
      </c>
      <c r="L232" s="30" t="str">
        <f t="shared" si="11"/>
        <v/>
      </c>
      <c r="M232" s="30" t="str">
        <f t="shared" si="11"/>
        <v/>
      </c>
      <c r="N232" s="239" t="str">
        <f>IF(SUM(N228:N231)=0,"",SUM(N228:N231))</f>
        <v/>
      </c>
      <c r="O232" s="240"/>
      <c r="P232" s="239" t="str">
        <f t="shared" si="11"/>
        <v/>
      </c>
      <c r="Q232" s="240"/>
      <c r="R232" s="30" t="str">
        <f>IF(SUM(D232:P232)=0,"",SUM((D232:P232)))</f>
        <v/>
      </c>
      <c r="S232" s="405"/>
      <c r="T232" s="405"/>
      <c r="U232" s="405"/>
      <c r="V232" s="406"/>
      <c r="AA232" s="31"/>
    </row>
    <row r="233" spans="1:27" ht="22.35" customHeight="1" x14ac:dyDescent="0.25">
      <c r="A233" s="10"/>
      <c r="B233" s="18"/>
      <c r="C233" s="18"/>
      <c r="D233" s="19"/>
      <c r="E233" s="19"/>
      <c r="F233" s="19"/>
      <c r="G233" s="19"/>
      <c r="H233" s="19"/>
      <c r="I233" s="19"/>
      <c r="J233" s="19"/>
      <c r="K233" s="19"/>
      <c r="L233" s="19"/>
      <c r="M233" s="19"/>
      <c r="N233" s="19"/>
      <c r="O233" s="19"/>
      <c r="P233" s="19"/>
      <c r="Q233" s="19"/>
      <c r="R233" s="19"/>
      <c r="S233" s="405"/>
      <c r="T233" s="405"/>
      <c r="U233" s="405"/>
      <c r="V233" s="406"/>
      <c r="AA233" s="31"/>
    </row>
    <row r="234" spans="1:27" ht="27.95" customHeight="1" x14ac:dyDescent="0.25">
      <c r="A234" s="10"/>
      <c r="B234" s="262" t="str">
        <f>INDEX(TranslationTable[], MATCH(124, TranslationTable[TranslationKeyId], 0), MATCH(TRIM(LOWER($V$5)), TranslationTable[#Headers], 0))</f>
        <v>Is your National Society capturing disaggregated data based on disability for this indicator, i.e.the number of persons with disabilities?</v>
      </c>
      <c r="C234" s="263"/>
      <c r="D234" s="263"/>
      <c r="E234" s="263"/>
      <c r="F234" s="263"/>
      <c r="G234" s="263"/>
      <c r="H234" s="263"/>
      <c r="I234" s="263"/>
      <c r="J234" s="264"/>
      <c r="K234" s="162"/>
      <c r="L234" s="25" t="str">
        <f>IF(OR(K234&lt;&gt;"",C224=TRUE,H224=TRUE),"",INDEX(TranslationTable[],MATCH(9043,TranslationTable[TranslationKeyId],0),MATCH(LOWER(Language),TranslationTable[#Headers],0)))</f>
        <v>Required</v>
      </c>
      <c r="M234" s="33"/>
      <c r="N234" s="33"/>
      <c r="O234" s="33"/>
      <c r="P234" s="19"/>
      <c r="Q234" s="19"/>
      <c r="R234" s="19"/>
      <c r="S234" s="19"/>
      <c r="T234" s="276" t="str">
        <f xml:space="preserve"> SUBSTITUTE(INDEX(TranslationTable[], MATCH(139, TranslationTable[TranslationKeyId], 0), MATCH(TRIM(LOWER($V$5)), TranslationTable[#Headers], 0)), "//", CHAR(10))</f>
        <v>Indirect Recipients</v>
      </c>
      <c r="U234" s="277"/>
      <c r="V234" s="24"/>
      <c r="AA234" s="31" t="str">
        <f>IF(AND(Y224+Z224=0,K234=""), "Required", "")</f>
        <v>Required</v>
      </c>
    </row>
    <row r="235" spans="1:27" ht="22.35" customHeight="1" x14ac:dyDescent="0.25">
      <c r="A235" s="10"/>
      <c r="B235" s="33"/>
      <c r="C235" s="33"/>
      <c r="D235" s="33"/>
      <c r="E235" s="133"/>
      <c r="F235" s="33"/>
      <c r="G235" s="33"/>
      <c r="H235" s="33"/>
      <c r="I235" s="33"/>
      <c r="J235" s="33"/>
      <c r="K235" s="33"/>
      <c r="L235" s="33"/>
      <c r="M235" s="19"/>
      <c r="N235" s="19"/>
      <c r="O235" s="19"/>
      <c r="P235" s="19"/>
      <c r="Q235" s="19"/>
      <c r="R235" s="19"/>
      <c r="S235" s="19"/>
      <c r="T235" s="278"/>
      <c r="U235" s="279"/>
      <c r="V235" s="160" t="str">
        <f>IF(OR(T235&lt;&gt;"", C224=TRUE,H224=TRUE), "", IFERROR(INDEX(TranslationTable[], MATCH(9043, TranslationTable[TranslationKeyId], 0), MATCH(LOWER(Language), TranslationTable[#Headers], 0)), ""))</f>
        <v>Required</v>
      </c>
      <c r="AA235" s="31" t="str">
        <f>IF(AND(Y224+Z224=0,T235=""), "Required", "")</f>
        <v>Required</v>
      </c>
    </row>
    <row r="236" spans="1:27" ht="27.95" customHeight="1" x14ac:dyDescent="0.25">
      <c r="A236" s="10"/>
      <c r="B236" s="226" t="str">
        <f>INDEX(TranslationTable[], MATCH(125, TranslationTable[TranslationKeyId], 0), MATCH(TRIM(LOWER(Language)), TranslationTable[#Headers], 0))</f>
        <v>If answered yes, is your disability disaggregated data in accordance to the Washington Group questions?</v>
      </c>
      <c r="C236" s="227"/>
      <c r="D236" s="227"/>
      <c r="E236" s="227"/>
      <c r="F236" s="227"/>
      <c r="G236" s="227"/>
      <c r="H236" s="227"/>
      <c r="I236" s="227"/>
      <c r="J236" s="168"/>
      <c r="K236" s="25" t="str">
        <f>IF(AND(K234=YesLANG, J236=""),INDEX(TranslationTable[], MATCH(9043, TranslationTable[TranslationKeyId], 0), MATCH(LOWER(Language), TranslationTable[#Headers], 0)),"")</f>
        <v/>
      </c>
      <c r="L236" s="33"/>
      <c r="M236" s="33"/>
      <c r="N236" s="33"/>
      <c r="O236" s="19"/>
      <c r="P236" s="19"/>
      <c r="Q236" s="19"/>
      <c r="R236" s="19"/>
      <c r="S236" s="19"/>
      <c r="T236" s="280" t="str">
        <f>IF(T235=0,"",$B$426)</f>
        <v/>
      </c>
      <c r="U236" s="280"/>
      <c r="V236" s="281"/>
      <c r="AA236" s="31" t="str">
        <f>IF(AND(K234="Yes", J236=""), "Required", "")</f>
        <v/>
      </c>
    </row>
    <row r="237" spans="1:27" ht="22.35" customHeight="1" x14ac:dyDescent="0.25">
      <c r="A237" s="10"/>
      <c r="B237" s="73"/>
      <c r="C237" s="18"/>
      <c r="D237" s="19"/>
      <c r="E237" s="19"/>
      <c r="F237" s="19"/>
      <c r="G237" s="19"/>
      <c r="H237" s="19"/>
      <c r="I237" s="19"/>
      <c r="J237" s="19"/>
      <c r="K237" s="19"/>
      <c r="L237" s="19"/>
      <c r="M237" s="19"/>
      <c r="N237" s="19"/>
      <c r="O237" s="19"/>
      <c r="P237" s="19"/>
      <c r="Q237" s="19"/>
      <c r="R237" s="19"/>
      <c r="S237" s="19"/>
      <c r="T237" s="280"/>
      <c r="U237" s="280"/>
      <c r="V237" s="281"/>
      <c r="AA237" s="31"/>
    </row>
    <row r="238" spans="1:27" ht="22.35" customHeight="1" x14ac:dyDescent="0.25">
      <c r="A238" s="10"/>
      <c r="B238" s="26"/>
      <c r="C238" s="172" t="b">
        <v>0</v>
      </c>
      <c r="D238"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238" s="196"/>
      <c r="F238" s="19"/>
      <c r="G238" s="35"/>
      <c r="H238" s="172" t="b">
        <v>0</v>
      </c>
      <c r="I238"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238" s="196"/>
      <c r="K238" s="196"/>
      <c r="L238" s="196"/>
      <c r="M238" s="196"/>
      <c r="N238" s="19"/>
      <c r="O238" s="19"/>
      <c r="P238" s="19"/>
      <c r="Q238" s="19"/>
      <c r="R238" s="19"/>
      <c r="S238" s="19"/>
      <c r="T238" s="280"/>
      <c r="U238" s="280"/>
      <c r="V238" s="281"/>
      <c r="Y238" s="5" t="b">
        <v>0</v>
      </c>
      <c r="Z238" s="5" t="b">
        <v>0</v>
      </c>
      <c r="AA238" s="31" t="str">
        <f>IF(OR(Y238,Z238,R246&lt;&gt;""),"","Required")</f>
        <v>Required</v>
      </c>
    </row>
    <row r="239" spans="1:27" ht="22.35" customHeight="1" x14ac:dyDescent="0.25">
      <c r="A239" s="10"/>
      <c r="B239" s="199" t="str">
        <f>IF(OR(R246&lt;&gt;"", C238=TRUE, H238=TRUE), "", IFERROR(INDEX(TranslationTable[], MATCH(9043, TranslationTable[TranslationKeyId], 0), MATCH(LOWER(Language), TranslationTable[#Headers], 0)), ""))</f>
        <v>Required</v>
      </c>
      <c r="C239" s="200"/>
      <c r="D239" s="255" t="str">
        <f>SUBSTITUTE(INDEX(TranslationTable[],MATCH(4714,TranslationTable[TranslationKeyId],0),MATCH(TRIM(LOWER($V$5)),TranslationTable[#Headers],0)),"//",CHAR(10))</f>
        <v>People reached by shelter</v>
      </c>
      <c r="E239" s="228"/>
      <c r="F239" s="228"/>
      <c r="G239" s="228"/>
      <c r="H239" s="228"/>
      <c r="I239" s="228"/>
      <c r="J239" s="228"/>
      <c r="K239" s="228"/>
      <c r="L239" s="228"/>
      <c r="M239" s="228"/>
      <c r="N239" s="228"/>
      <c r="O239" s="228"/>
      <c r="P239" s="228"/>
      <c r="Q239" s="228"/>
      <c r="R239" s="229"/>
      <c r="S239" s="19"/>
      <c r="T239" s="33"/>
      <c r="U239" s="33"/>
      <c r="V239" s="24"/>
      <c r="AA239" s="31"/>
    </row>
    <row r="240" spans="1:27" ht="22.35" customHeight="1" x14ac:dyDescent="0.25">
      <c r="A240" s="7"/>
      <c r="B240" s="201"/>
      <c r="C240" s="202"/>
      <c r="D240" s="203" t="str">
        <f xml:space="preserve"> SUBSTITUTE(INDEX(TranslationTable[], MATCH(138, TranslationTable[TranslationKeyId], 0), MATCH(TRIM(LOWER($V$5)), TranslationTable[#Headers], 0)), "//", CHAR(10))</f>
        <v>Direct Recipients</v>
      </c>
      <c r="E240" s="204"/>
      <c r="F240" s="204"/>
      <c r="G240" s="204"/>
      <c r="H240" s="204"/>
      <c r="I240" s="204"/>
      <c r="J240" s="204"/>
      <c r="K240" s="204"/>
      <c r="L240" s="204"/>
      <c r="M240" s="204"/>
      <c r="N240" s="204"/>
      <c r="O240" s="204"/>
      <c r="P240" s="204"/>
      <c r="Q240" s="204"/>
      <c r="R240" s="205"/>
      <c r="S240" s="243" t="str">
        <f>SUBSTITUTE(INDEX(TranslationTable[],MATCH(978,TranslationTable[TranslationKeyId],0),MATCH(TRIM(LOWER($V$5)),TranslationTable[#Headers],0)),"//",CHAR(10))</f>
        <v>Shelter services and assistance are provided before, during, and after a disaster in order to meet the accommodation and settlement needs of affected people, to reduce their accommodation and settlement risks and to strengthen their safety, well-being and longer term recovery.</v>
      </c>
      <c r="T240" s="243"/>
      <c r="U240" s="243"/>
      <c r="V240" s="244"/>
      <c r="AA240" s="31"/>
    </row>
    <row r="241" spans="1:27" ht="30" customHeight="1" x14ac:dyDescent="0.25">
      <c r="A241" s="7"/>
      <c r="B241" s="197" t="str">
        <f>INDEX(TranslationTable[], MATCH(3306, TranslationTable[TranslationKeyId], 0), MATCH(TRIM(LOWER($V$5)), TranslationTable[#Headers], 0))</f>
        <v>Age group</v>
      </c>
      <c r="C241" s="198"/>
      <c r="D241" s="54" t="s">
        <v>17</v>
      </c>
      <c r="E241" s="54" t="s">
        <v>12</v>
      </c>
      <c r="F241" s="55" t="s">
        <v>13</v>
      </c>
      <c r="G241" s="192" t="s">
        <v>14</v>
      </c>
      <c r="H241" s="193"/>
      <c r="I241" s="55" t="s">
        <v>6</v>
      </c>
      <c r="J241" s="55" t="s">
        <v>7</v>
      </c>
      <c r="K241" s="55" t="s">
        <v>8</v>
      </c>
      <c r="L241" s="55" t="s">
        <v>9</v>
      </c>
      <c r="M241" s="55" t="s">
        <v>10</v>
      </c>
      <c r="N241" s="206" t="s">
        <v>11</v>
      </c>
      <c r="O241" s="207"/>
      <c r="P241" s="246" t="str">
        <f>INDEX(TranslationTable[], MATCH(701, TranslationTable[TranslationKeyId], 0), MATCH(TRIM(LOWER($V$5)), TranslationTable[#Headers], 0))</f>
        <v>Unknown</v>
      </c>
      <c r="Q241" s="247"/>
      <c r="R241" s="28" t="str">
        <f>INDEX(TranslationTable[], MATCH(6383, TranslationTable[TranslationKeyId], 0), MATCH(TRIM(LOWER($V$5)), TranslationTable[#Headers], 0))</f>
        <v>Total</v>
      </c>
      <c r="S241" s="243"/>
      <c r="T241" s="243"/>
      <c r="U241" s="243"/>
      <c r="V241" s="244"/>
      <c r="AA241" s="31"/>
    </row>
    <row r="242" spans="1:27" ht="22.35" customHeight="1" x14ac:dyDescent="0.25">
      <c r="A242" s="10"/>
      <c r="B242" s="197" t="str">
        <f>INDEX(TranslationTable[], MATCH(3301, TranslationTable[TranslationKeyId], 0), MATCH(TRIM(LOWER($V$5)), TranslationTable[#Headers], 0))</f>
        <v>Male</v>
      </c>
      <c r="C242" s="198"/>
      <c r="D242" s="1"/>
      <c r="E242" s="1"/>
      <c r="F242" s="1"/>
      <c r="G242" s="194"/>
      <c r="H242" s="195"/>
      <c r="I242" s="1"/>
      <c r="J242" s="1"/>
      <c r="K242" s="1"/>
      <c r="L242" s="1"/>
      <c r="M242" s="1"/>
      <c r="N242" s="220"/>
      <c r="O242" s="221"/>
      <c r="P242" s="241"/>
      <c r="Q242" s="242"/>
      <c r="R242" s="30" t="str">
        <f>IF(SUM(D242:P242)=0,"",SUM((D242:P242)))</f>
        <v/>
      </c>
      <c r="S242" s="243"/>
      <c r="T242" s="243"/>
      <c r="U242" s="243"/>
      <c r="V242" s="244"/>
      <c r="AA242" s="31"/>
    </row>
    <row r="243" spans="1:27" ht="22.35" customHeight="1" x14ac:dyDescent="0.25">
      <c r="A243" s="10"/>
      <c r="B243" s="197" t="str">
        <f>INDEX(TranslationTable[], MATCH(3302, TranslationTable[TranslationKeyId], 0), MATCH(TRIM(LOWER($V$5)), TranslationTable[#Headers], 0))</f>
        <v>Female</v>
      </c>
      <c r="C243" s="198"/>
      <c r="D243" s="1"/>
      <c r="E243" s="1"/>
      <c r="F243" s="1"/>
      <c r="G243" s="194"/>
      <c r="H243" s="195"/>
      <c r="I243" s="1"/>
      <c r="J243" s="1"/>
      <c r="K243" s="1"/>
      <c r="L243" s="1"/>
      <c r="M243" s="1"/>
      <c r="N243" s="220"/>
      <c r="O243" s="221"/>
      <c r="P243" s="241"/>
      <c r="Q243" s="242"/>
      <c r="R243" s="30" t="str">
        <f>IF(SUM(D243:P243)=0,"",SUM((D243:P243)))</f>
        <v/>
      </c>
      <c r="S243" s="243"/>
      <c r="T243" s="243"/>
      <c r="U243" s="243"/>
      <c r="V243" s="244"/>
      <c r="AA243" s="31"/>
    </row>
    <row r="244" spans="1:27" ht="22.35" customHeight="1" x14ac:dyDescent="0.25">
      <c r="A244" s="10"/>
      <c r="B244" s="197" t="str">
        <f>INDEX(TranslationTable[], MATCH(9001, TranslationTable[TranslationKeyId], 0), MATCH(TRIM(LOWER($V$5)), TranslationTable[#Headers], 0))</f>
        <v>Non-binary</v>
      </c>
      <c r="C244" s="198"/>
      <c r="D244" s="1"/>
      <c r="E244" s="1"/>
      <c r="F244" s="1"/>
      <c r="G244" s="194"/>
      <c r="H244" s="195"/>
      <c r="I244" s="1"/>
      <c r="J244" s="1"/>
      <c r="K244" s="1"/>
      <c r="L244" s="1"/>
      <c r="M244" s="1"/>
      <c r="N244" s="220"/>
      <c r="O244" s="221"/>
      <c r="P244" s="241"/>
      <c r="Q244" s="242"/>
      <c r="R244" s="30" t="str">
        <f>IF(SUM(D244:P244)=0,"",SUM((D244:P244)))</f>
        <v/>
      </c>
      <c r="S244" s="243"/>
      <c r="T244" s="243"/>
      <c r="U244" s="243"/>
      <c r="V244" s="244"/>
      <c r="AA244" s="31"/>
    </row>
    <row r="245" spans="1:27" ht="22.35" customHeight="1" x14ac:dyDescent="0.25">
      <c r="A245" s="10"/>
      <c r="B245" s="197" t="str">
        <f>INDEX(TranslationTable[], MATCH(701, TranslationTable[TranslationKeyId], 0), MATCH(TRIM(LOWER($V$5)), TranslationTable[#Headers], 0))</f>
        <v>Unknown</v>
      </c>
      <c r="C245" s="198"/>
      <c r="D245" s="142"/>
      <c r="E245" s="142"/>
      <c r="F245" s="142"/>
      <c r="G245" s="190"/>
      <c r="H245" s="191"/>
      <c r="I245" s="142"/>
      <c r="J245" s="142"/>
      <c r="K245" s="142"/>
      <c r="L245" s="142"/>
      <c r="M245" s="142"/>
      <c r="N245" s="250"/>
      <c r="O245" s="251"/>
      <c r="P245" s="248"/>
      <c r="Q245" s="249"/>
      <c r="R245" s="30" t="str">
        <f>IF(SUM(D245:P245)=0,"",SUM((D245:P245)))</f>
        <v/>
      </c>
      <c r="S245" s="75"/>
      <c r="T245" s="75"/>
      <c r="U245" s="75"/>
      <c r="V245" s="91"/>
      <c r="AA245" s="31"/>
    </row>
    <row r="246" spans="1:27" ht="22.35" customHeight="1" x14ac:dyDescent="0.25">
      <c r="A246" s="10"/>
      <c r="B246" s="197" t="str">
        <f>INDEX(TranslationTable[], MATCH(6383, TranslationTable[TranslationKeyId], 0), MATCH(TRIM(LOWER($V$5)), TranslationTable[#Headers], 0))</f>
        <v>Total</v>
      </c>
      <c r="C246" s="198"/>
      <c r="D246" s="30" t="str">
        <f>IF(SUM(D242:D245)=0,"",SUM(D242:D245))</f>
        <v/>
      </c>
      <c r="E246" s="30" t="str">
        <f>IF(SUM(E242:E245)=0,"",SUM(E242:E245))</f>
        <v/>
      </c>
      <c r="F246" s="30" t="str">
        <f>IF(SUM(F242:F245)=0,"",SUM(F242:F245))</f>
        <v/>
      </c>
      <c r="G246" s="188" t="str">
        <f t="shared" ref="G246:P246" si="12">IF(SUM(G242:G245)=0,"",SUM(G242:G245))</f>
        <v/>
      </c>
      <c r="H246" s="189"/>
      <c r="I246" s="30" t="str">
        <f t="shared" si="12"/>
        <v/>
      </c>
      <c r="J246" s="30" t="str">
        <f t="shared" si="12"/>
        <v/>
      </c>
      <c r="K246" s="30" t="str">
        <f t="shared" si="12"/>
        <v/>
      </c>
      <c r="L246" s="30" t="str">
        <f t="shared" si="12"/>
        <v/>
      </c>
      <c r="M246" s="30" t="str">
        <f t="shared" si="12"/>
        <v/>
      </c>
      <c r="N246" s="239" t="str">
        <f>IF(SUM(N242:N245)=0,"",SUM(N242:N245))</f>
        <v/>
      </c>
      <c r="O246" s="240"/>
      <c r="P246" s="239" t="str">
        <f t="shared" si="12"/>
        <v/>
      </c>
      <c r="Q246" s="240"/>
      <c r="R246" s="30" t="str">
        <f>IF(SUM(D246:P246)=0,"",SUM((D246:P246)))</f>
        <v/>
      </c>
      <c r="S246" s="75"/>
      <c r="T246" s="276" t="str">
        <f xml:space="preserve"> SUBSTITUTE(INDEX(TranslationTable[], MATCH(139, TranslationTable[TranslationKeyId], 0), MATCH(TRIM(LOWER($V$5)), TranslationTable[#Headers], 0)), "//", CHAR(10))</f>
        <v>Indirect Recipients</v>
      </c>
      <c r="U246" s="277"/>
      <c r="V246" s="91"/>
      <c r="AA246" s="31"/>
    </row>
    <row r="247" spans="1:27" ht="22.35" customHeight="1" x14ac:dyDescent="0.25">
      <c r="A247" s="10"/>
      <c r="B247" s="73"/>
      <c r="C247" s="18"/>
      <c r="D247" s="19"/>
      <c r="E247" s="19"/>
      <c r="F247" s="19"/>
      <c r="G247" s="19"/>
      <c r="H247" s="19"/>
      <c r="I247" s="19"/>
      <c r="J247" s="19"/>
      <c r="K247" s="19"/>
      <c r="L247" s="19"/>
      <c r="M247" s="19"/>
      <c r="N247" s="19"/>
      <c r="O247" s="19"/>
      <c r="P247" s="19"/>
      <c r="Q247" s="19"/>
      <c r="R247" s="19"/>
      <c r="S247" s="19"/>
      <c r="T247" s="230"/>
      <c r="U247" s="232"/>
      <c r="V247" s="160" t="str">
        <f>IF(OR(T247&lt;&gt;"", C238=TRUE,H238=TRUE), "", IFERROR(INDEX(TranslationTable[], MATCH(9043, TranslationTable[TranslationKeyId], 0), MATCH(LOWER(Language), TranslationTable[#Headers], 0)), ""))</f>
        <v>Required</v>
      </c>
      <c r="AA247" s="31" t="str">
        <f>IF(AND(Y238+Z238=0,T247=""), "Required", "")</f>
        <v>Required</v>
      </c>
    </row>
    <row r="248" spans="1:27" ht="27.95" customHeight="1" x14ac:dyDescent="0.25">
      <c r="A248" s="10"/>
      <c r="B248" s="262" t="str">
        <f>INDEX(TranslationTable[], MATCH(124, TranslationTable[TranslationKeyId], 0), MATCH(TRIM(LOWER($V$5)), TranslationTable[#Headers], 0))</f>
        <v>Is your National Society capturing disaggregated data based on disability for this indicator, i.e.the number of persons with disabilities?</v>
      </c>
      <c r="C248" s="263"/>
      <c r="D248" s="263"/>
      <c r="E248" s="263"/>
      <c r="F248" s="263"/>
      <c r="G248" s="263"/>
      <c r="H248" s="263"/>
      <c r="I248" s="263"/>
      <c r="J248" s="264"/>
      <c r="K248" s="162"/>
      <c r="L248" s="25" t="str">
        <f>IF(OR(K248&lt;&gt;"",C238=TRUE,H238=TRUE),"",INDEX(TranslationTable[],MATCH(9043,TranslationTable[TranslationKeyId],0),MATCH(LOWER(Language),TranslationTable[#Headers],0)))</f>
        <v>Required</v>
      </c>
      <c r="M248" s="33"/>
      <c r="N248" s="33"/>
      <c r="O248" s="33"/>
      <c r="P248" s="33"/>
      <c r="Q248" s="33"/>
      <c r="R248" s="19"/>
      <c r="S248" s="19"/>
      <c r="T248" s="280" t="str">
        <f>IF(T247=0,"",$B$426)</f>
        <v/>
      </c>
      <c r="U248" s="280"/>
      <c r="V248" s="281"/>
      <c r="AA248" s="31" t="str">
        <f>IF(AND(Y238+Z238=0,K248=""), "Required", "")</f>
        <v>Required</v>
      </c>
    </row>
    <row r="249" spans="1:27" ht="27.95" customHeight="1" x14ac:dyDescent="0.25">
      <c r="A249" s="10"/>
      <c r="B249" s="85"/>
      <c r="C249" s="33"/>
      <c r="D249" s="33"/>
      <c r="E249" s="33"/>
      <c r="F249" s="33"/>
      <c r="G249" s="33"/>
      <c r="H249" s="33"/>
      <c r="I249" s="33"/>
      <c r="J249" s="33"/>
      <c r="K249" s="33"/>
      <c r="L249" s="33"/>
      <c r="M249" s="19"/>
      <c r="N249" s="19"/>
      <c r="O249" s="19"/>
      <c r="P249" s="33"/>
      <c r="Q249" s="33"/>
      <c r="R249" s="19"/>
      <c r="S249" s="19"/>
      <c r="T249" s="280"/>
      <c r="U249" s="280"/>
      <c r="V249" s="281"/>
      <c r="AA249" s="31"/>
    </row>
    <row r="250" spans="1:27" ht="27.95" customHeight="1" x14ac:dyDescent="0.25">
      <c r="A250" s="10"/>
      <c r="B250" s="226" t="str">
        <f>INDEX(TranslationTable[], MATCH(125, TranslationTable[TranslationKeyId], 0), MATCH(TRIM(LOWER(Language)), TranslationTable[#Headers], 0))</f>
        <v>If answered yes, is your disability disaggregated data in accordance to the Washington Group questions?</v>
      </c>
      <c r="C250" s="227"/>
      <c r="D250" s="227"/>
      <c r="E250" s="227"/>
      <c r="F250" s="227"/>
      <c r="G250" s="227"/>
      <c r="H250" s="227"/>
      <c r="I250" s="227"/>
      <c r="J250" s="168"/>
      <c r="K250" s="25" t="str">
        <f>IF(AND(K248=YesLANG, J250=""),INDEX(TranslationTable[], MATCH(9043, TranslationTable[TranslationKeyId], 0), MATCH(LOWER(Language), TranslationTable[#Headers], 0)),"")</f>
        <v/>
      </c>
      <c r="L250" s="33"/>
      <c r="M250" s="33"/>
      <c r="N250" s="33"/>
      <c r="O250" s="19"/>
      <c r="P250" s="33"/>
      <c r="Q250" s="33"/>
      <c r="R250" s="19"/>
      <c r="S250" s="19"/>
      <c r="T250" s="280"/>
      <c r="U250" s="280"/>
      <c r="V250" s="281"/>
      <c r="AA250" s="31" t="str">
        <f>IF(AND(K248="Yes", J250=""), "Required", "")</f>
        <v/>
      </c>
    </row>
    <row r="251" spans="1:27" ht="22.35" customHeight="1" x14ac:dyDescent="0.25">
      <c r="A251" s="10"/>
      <c r="B251" s="18"/>
      <c r="C251" s="18"/>
      <c r="D251" s="19"/>
      <c r="E251" s="19"/>
      <c r="F251" s="19"/>
      <c r="G251" s="19"/>
      <c r="H251" s="19"/>
      <c r="I251" s="19"/>
      <c r="J251" s="19"/>
      <c r="K251" s="19"/>
      <c r="L251" s="19"/>
      <c r="M251" s="19"/>
      <c r="N251" s="19"/>
      <c r="O251" s="19"/>
      <c r="P251" s="19"/>
      <c r="Q251" s="19"/>
      <c r="R251" s="19"/>
      <c r="S251" s="19"/>
      <c r="T251" s="19"/>
      <c r="U251" s="19"/>
      <c r="V251" s="24"/>
      <c r="AA251" s="31"/>
    </row>
    <row r="252" spans="1:27" ht="22.35" customHeight="1" x14ac:dyDescent="0.25">
      <c r="A252" s="10"/>
      <c r="B252" s="26"/>
      <c r="C252" s="172" t="b">
        <v>0</v>
      </c>
      <c r="D252"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252" s="196"/>
      <c r="F252" s="19"/>
      <c r="G252" s="35"/>
      <c r="H252" s="172" t="b">
        <v>0</v>
      </c>
      <c r="I252"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252" s="196"/>
      <c r="K252" s="196"/>
      <c r="L252" s="196"/>
      <c r="M252" s="196"/>
      <c r="N252" s="19"/>
      <c r="O252" s="19"/>
      <c r="P252" s="19"/>
      <c r="Q252" s="19"/>
      <c r="R252" s="19"/>
      <c r="S252" s="19"/>
      <c r="T252" s="25"/>
      <c r="U252" s="19"/>
      <c r="V252" s="24"/>
      <c r="Y252" s="5" t="b">
        <v>0</v>
      </c>
      <c r="Z252" s="5" t="b">
        <v>0</v>
      </c>
      <c r="AA252" s="31" t="str">
        <f>IF(OR(Y252,Z252,R260&lt;&gt;""),"","Required")</f>
        <v>Required</v>
      </c>
    </row>
    <row r="253" spans="1:27" ht="22.35" customHeight="1" x14ac:dyDescent="0.25">
      <c r="A253" s="10"/>
      <c r="B253" s="199" t="str">
        <f>IF(OR(R260&lt;&gt;"", C252=TRUE, H252=TRUE), "", IFERROR(INDEX(TranslationTable[], MATCH(9043, TranslationTable[TranslationKeyId], 0), MATCH(LOWER(Language), TranslationTable[#Headers], 0)), ""))</f>
        <v>Required</v>
      </c>
      <c r="C253" s="200"/>
      <c r="D253" s="255" t="str">
        <f>SUBSTITUTE(INDEX(TranslationTable[],MATCH(4701,TranslationTable[TranslationKeyId],0),MATCH(TRIM(LOWER($V$5)),TranslationTable[#Headers],0)),"//",CHAR(10))</f>
        <v>People reached by livelihoods</v>
      </c>
      <c r="E253" s="228"/>
      <c r="F253" s="228"/>
      <c r="G253" s="228"/>
      <c r="H253" s="228"/>
      <c r="I253" s="228"/>
      <c r="J253" s="228"/>
      <c r="K253" s="228"/>
      <c r="L253" s="228"/>
      <c r="M253" s="228"/>
      <c r="N253" s="228"/>
      <c r="O253" s="228"/>
      <c r="P253" s="228"/>
      <c r="Q253" s="228"/>
      <c r="R253" s="229"/>
      <c r="S253" s="243" t="str">
        <f>SUBSTITUTE(INDEX(TranslationTable[],MATCH(980,TranslationTable[TranslationKeyId],0),MATCH(TRIM(LOWER($V$5)),TranslationTable[#Headers],0)),"//",CHAR(10))</f>
        <v>Livelihoods comprise the capabilities, assets and activities (or strategies) required for generating income and securing a means of living. Livelihoods services help communities (especially but not only in disaster and crisis affected areas) by supporting people to replace livelihood assets, restore livelihood activities, and strengthen, diversify and protect livelihoods, without damaging the natural resource base.</v>
      </c>
      <c r="T253" s="243"/>
      <c r="U253" s="243"/>
      <c r="V253" s="244"/>
      <c r="AA253" s="31"/>
    </row>
    <row r="254" spans="1:27" ht="22.35" customHeight="1" x14ac:dyDescent="0.25">
      <c r="A254" s="10"/>
      <c r="B254" s="201"/>
      <c r="C254" s="202"/>
      <c r="D254" s="203" t="str">
        <f xml:space="preserve"> SUBSTITUTE(INDEX(TranslationTable[], MATCH(138, TranslationTable[TranslationKeyId], 0), MATCH(TRIM(LOWER($V$5)), TranslationTable[#Headers], 0)), "//", CHAR(10))</f>
        <v>Direct Recipients</v>
      </c>
      <c r="E254" s="204"/>
      <c r="F254" s="204"/>
      <c r="G254" s="204"/>
      <c r="H254" s="204"/>
      <c r="I254" s="204"/>
      <c r="J254" s="204"/>
      <c r="K254" s="204"/>
      <c r="L254" s="204"/>
      <c r="M254" s="204"/>
      <c r="N254" s="204"/>
      <c r="O254" s="204"/>
      <c r="P254" s="204"/>
      <c r="Q254" s="204"/>
      <c r="R254" s="205"/>
      <c r="S254" s="243"/>
      <c r="T254" s="243"/>
      <c r="U254" s="243"/>
      <c r="V254" s="244"/>
      <c r="AA254" s="31"/>
    </row>
    <row r="255" spans="1:27" ht="30" customHeight="1" x14ac:dyDescent="0.25">
      <c r="A255" s="10"/>
      <c r="B255" s="197" t="str">
        <f>INDEX(TranslationTable[], MATCH(3306, TranslationTable[TranslationKeyId], 0), MATCH(TRIM(LOWER($V$5)), TranslationTable[#Headers], 0))</f>
        <v>Age group</v>
      </c>
      <c r="C255" s="198"/>
      <c r="D255" s="54" t="s">
        <v>17</v>
      </c>
      <c r="E255" s="54" t="s">
        <v>12</v>
      </c>
      <c r="F255" s="55" t="s">
        <v>13</v>
      </c>
      <c r="G255" s="192" t="s">
        <v>14</v>
      </c>
      <c r="H255" s="193"/>
      <c r="I255" s="55" t="s">
        <v>6</v>
      </c>
      <c r="J255" s="55" t="s">
        <v>7</v>
      </c>
      <c r="K255" s="55" t="s">
        <v>8</v>
      </c>
      <c r="L255" s="55" t="s">
        <v>9</v>
      </c>
      <c r="M255" s="55" t="s">
        <v>10</v>
      </c>
      <c r="N255" s="206" t="s">
        <v>11</v>
      </c>
      <c r="O255" s="207"/>
      <c r="P255" s="246" t="str">
        <f>INDEX(TranslationTable[], MATCH(701, TranslationTable[TranslationKeyId], 0), MATCH(TRIM(LOWER($V$5)), TranslationTable[#Headers], 0))</f>
        <v>Unknown</v>
      </c>
      <c r="Q255" s="247"/>
      <c r="R255" s="28" t="str">
        <f>INDEX(TranslationTable[], MATCH(6383, TranslationTable[TranslationKeyId], 0), MATCH(TRIM(LOWER($V$5)), TranslationTable[#Headers], 0))</f>
        <v>Total</v>
      </c>
      <c r="S255" s="243"/>
      <c r="T255" s="243"/>
      <c r="U255" s="243"/>
      <c r="V255" s="244"/>
      <c r="AA255" s="31"/>
    </row>
    <row r="256" spans="1:27" ht="22.35" customHeight="1" x14ac:dyDescent="0.25">
      <c r="A256" s="10"/>
      <c r="B256" s="197" t="str">
        <f>INDEX(TranslationTable[], MATCH(3301, TranslationTable[TranslationKeyId], 0), MATCH(TRIM(LOWER($V$5)), TranslationTable[#Headers], 0))</f>
        <v>Male</v>
      </c>
      <c r="C256" s="198"/>
      <c r="D256" s="1"/>
      <c r="E256" s="1"/>
      <c r="F256" s="1"/>
      <c r="G256" s="194"/>
      <c r="H256" s="195"/>
      <c r="I256" s="1"/>
      <c r="J256" s="1"/>
      <c r="K256" s="1"/>
      <c r="L256" s="1"/>
      <c r="M256" s="156"/>
      <c r="N256" s="220"/>
      <c r="O256" s="221"/>
      <c r="P256" s="241"/>
      <c r="Q256" s="242"/>
      <c r="R256" s="30" t="str">
        <f>IF(SUM(D256:P256)=0,"",SUM((D256:P256)))</f>
        <v/>
      </c>
      <c r="S256" s="243"/>
      <c r="T256" s="243"/>
      <c r="U256" s="243"/>
      <c r="V256" s="244"/>
      <c r="AA256" s="31"/>
    </row>
    <row r="257" spans="1:27" ht="22.35" customHeight="1" x14ac:dyDescent="0.25">
      <c r="A257" s="10"/>
      <c r="B257" s="197" t="str">
        <f>INDEX(TranslationTable[], MATCH(3302, TranslationTable[TranslationKeyId], 0), MATCH(TRIM(LOWER($V$5)), TranslationTable[#Headers], 0))</f>
        <v>Female</v>
      </c>
      <c r="C257" s="198"/>
      <c r="D257" s="1"/>
      <c r="E257" s="1"/>
      <c r="F257" s="1"/>
      <c r="G257" s="194"/>
      <c r="H257" s="195"/>
      <c r="I257" s="1"/>
      <c r="J257" s="1"/>
      <c r="K257" s="1"/>
      <c r="L257" s="1"/>
      <c r="M257" s="1"/>
      <c r="N257" s="220"/>
      <c r="O257" s="221"/>
      <c r="P257" s="241"/>
      <c r="Q257" s="242"/>
      <c r="R257" s="30" t="str">
        <f>IF(SUM(D257:P257)=0,"",SUM((D257:P257)))</f>
        <v/>
      </c>
      <c r="S257" s="243"/>
      <c r="T257" s="243"/>
      <c r="U257" s="243"/>
      <c r="V257" s="244"/>
      <c r="AA257" s="31"/>
    </row>
    <row r="258" spans="1:27" ht="22.35" customHeight="1" x14ac:dyDescent="0.25">
      <c r="A258" s="10"/>
      <c r="B258" s="197" t="str">
        <f>INDEX(TranslationTable[], MATCH(9001, TranslationTable[TranslationKeyId], 0), MATCH(TRIM(LOWER($V$5)), TranslationTable[#Headers], 0))</f>
        <v>Non-binary</v>
      </c>
      <c r="C258" s="198"/>
      <c r="D258" s="1"/>
      <c r="E258" s="1"/>
      <c r="F258" s="1"/>
      <c r="G258" s="194"/>
      <c r="H258" s="195"/>
      <c r="I258" s="1"/>
      <c r="J258" s="1"/>
      <c r="K258" s="1"/>
      <c r="L258" s="1"/>
      <c r="M258" s="1"/>
      <c r="N258" s="220"/>
      <c r="O258" s="221"/>
      <c r="P258" s="241"/>
      <c r="Q258" s="242"/>
      <c r="R258" s="30" t="str">
        <f>IF(SUM(D258:P258)=0,"",SUM((D258:P258)))</f>
        <v/>
      </c>
      <c r="S258" s="243"/>
      <c r="T258" s="243"/>
      <c r="U258" s="243"/>
      <c r="V258" s="244"/>
      <c r="AA258" s="31"/>
    </row>
    <row r="259" spans="1:27" ht="22.35" customHeight="1" x14ac:dyDescent="0.25">
      <c r="A259" s="10"/>
      <c r="B259" s="197" t="str">
        <f>INDEX(TranslationTable[], MATCH(701, TranslationTable[TranslationKeyId], 0), MATCH(TRIM(LOWER($V$5)), TranslationTable[#Headers], 0))</f>
        <v>Unknown</v>
      </c>
      <c r="C259" s="198"/>
      <c r="D259" s="142"/>
      <c r="E259" s="142"/>
      <c r="F259" s="142"/>
      <c r="G259" s="190"/>
      <c r="H259" s="191"/>
      <c r="I259" s="142"/>
      <c r="J259" s="142"/>
      <c r="K259" s="142"/>
      <c r="L259" s="142"/>
      <c r="M259" s="142"/>
      <c r="N259" s="250"/>
      <c r="O259" s="251"/>
      <c r="P259" s="248"/>
      <c r="Q259" s="249"/>
      <c r="R259" s="30" t="str">
        <f>IF(SUM(D259:P259)=0,"",SUM((D259:P259)))</f>
        <v/>
      </c>
      <c r="S259" s="243"/>
      <c r="T259" s="243"/>
      <c r="U259" s="243"/>
      <c r="V259" s="244"/>
      <c r="AA259" s="31"/>
    </row>
    <row r="260" spans="1:27" ht="22.35" customHeight="1" x14ac:dyDescent="0.25">
      <c r="A260" s="10"/>
      <c r="B260" s="197" t="str">
        <f>INDEX(TranslationTable[], MATCH(6383, TranslationTable[TranslationKeyId], 0), MATCH(TRIM(LOWER($V$5)), TranslationTable[#Headers], 0))</f>
        <v>Total</v>
      </c>
      <c r="C260" s="198"/>
      <c r="D260" s="30" t="str">
        <f>IF(SUM(D256:D259)=0,"",SUM(D256:D259))</f>
        <v/>
      </c>
      <c r="E260" s="30" t="str">
        <f>IF(SUM(E256:E259)=0,"",SUM(E256:E259))</f>
        <v/>
      </c>
      <c r="F260" s="30" t="str">
        <f>IF(SUM(F256:F259)=0,"",SUM(F256:F259))</f>
        <v/>
      </c>
      <c r="G260" s="188" t="str">
        <f t="shared" ref="G260:P260" si="13">IF(SUM(G256:G259)=0,"",SUM(G256:G259))</f>
        <v/>
      </c>
      <c r="H260" s="189"/>
      <c r="I260" s="30" t="str">
        <f t="shared" si="13"/>
        <v/>
      </c>
      <c r="J260" s="30" t="str">
        <f t="shared" si="13"/>
        <v/>
      </c>
      <c r="K260" s="30" t="str">
        <f t="shared" si="13"/>
        <v/>
      </c>
      <c r="L260" s="30" t="str">
        <f t="shared" si="13"/>
        <v/>
      </c>
      <c r="M260" s="30" t="str">
        <f t="shared" si="13"/>
        <v/>
      </c>
      <c r="N260" s="409" t="str">
        <f>IF(SUM(N256:N259)=0,"",SUM(N256:N259))</f>
        <v/>
      </c>
      <c r="O260" s="409"/>
      <c r="P260" s="239" t="str">
        <f t="shared" si="13"/>
        <v/>
      </c>
      <c r="Q260" s="240"/>
      <c r="R260" s="30" t="str">
        <f>IF(SUM(D260:P260)=0,"",SUM((D260:P260)))</f>
        <v/>
      </c>
      <c r="S260" s="82"/>
      <c r="T260" s="276" t="str">
        <f xml:space="preserve"> SUBSTITUTE(INDEX(TranslationTable[], MATCH(139, TranslationTable[TranslationKeyId], 0), MATCH(TRIM(LOWER($V$5)), TranslationTable[#Headers], 0)), "//", CHAR(10))</f>
        <v>Indirect Recipients</v>
      </c>
      <c r="U260" s="277"/>
      <c r="V260" s="90"/>
      <c r="AA260" s="31"/>
    </row>
    <row r="261" spans="1:27" ht="22.35" customHeight="1" x14ac:dyDescent="0.25">
      <c r="A261" s="10"/>
      <c r="B261" s="18"/>
      <c r="C261" s="18"/>
      <c r="D261" s="19"/>
      <c r="E261" s="19"/>
      <c r="F261" s="19"/>
      <c r="G261" s="19"/>
      <c r="H261" s="19"/>
      <c r="I261" s="19"/>
      <c r="J261" s="19"/>
      <c r="K261" s="19"/>
      <c r="L261" s="19"/>
      <c r="M261" s="19"/>
      <c r="N261" s="19"/>
      <c r="O261" s="19"/>
      <c r="P261" s="19"/>
      <c r="Q261" s="19"/>
      <c r="R261" s="19"/>
      <c r="S261" s="19"/>
      <c r="T261" s="230"/>
      <c r="U261" s="232"/>
      <c r="V261" s="160" t="str">
        <f>IF(OR(T261&lt;&gt;"", C252=TRUE,H252=TRUE), "", IFERROR(INDEX(TranslationTable[], MATCH(9043, TranslationTable[TranslationKeyId], 0), MATCH(LOWER(Language), TranslationTable[#Headers], 0)), ""))</f>
        <v>Required</v>
      </c>
      <c r="AA261" s="31" t="str">
        <f>IF(AND(Y252+Z252=0,T261=""), "Required", "")</f>
        <v>Required</v>
      </c>
    </row>
    <row r="262" spans="1:27" ht="27.95" customHeight="1" x14ac:dyDescent="0.25">
      <c r="A262" s="10"/>
      <c r="B262" s="262" t="str">
        <f>INDEX(TranslationTable[], MATCH(124, TranslationTable[TranslationKeyId], 0), MATCH(TRIM(LOWER($V$5)), TranslationTable[#Headers], 0))</f>
        <v>Is your National Society capturing disaggregated data based on disability for this indicator, i.e.the number of persons with disabilities?</v>
      </c>
      <c r="C262" s="263"/>
      <c r="D262" s="263"/>
      <c r="E262" s="263"/>
      <c r="F262" s="263"/>
      <c r="G262" s="263"/>
      <c r="H262" s="263"/>
      <c r="I262" s="263"/>
      <c r="J262" s="264"/>
      <c r="K262" s="162"/>
      <c r="L262" s="25" t="str">
        <f>IF(OR(K262&lt;&gt;"",C252=TRUE,H252=TRUE),"",INDEX(TranslationTable[],MATCH(9043,TranslationTable[TranslationKeyId],0),MATCH(LOWER(Language),TranslationTable[#Headers],0)))</f>
        <v>Required</v>
      </c>
      <c r="M262" s="33"/>
      <c r="N262" s="33"/>
      <c r="O262" s="33"/>
      <c r="P262" s="33"/>
      <c r="Q262" s="33"/>
      <c r="R262" s="19"/>
      <c r="S262" s="19"/>
      <c r="T262" s="280" t="str">
        <f>IF(T261=0,"",$B$426)</f>
        <v/>
      </c>
      <c r="U262" s="280"/>
      <c r="V262" s="281"/>
      <c r="AA262" s="31" t="str">
        <f>IF(AND(Y252+Z252=0,K262=""), "Required", "")</f>
        <v>Required</v>
      </c>
    </row>
    <row r="263" spans="1:27" ht="27.95" customHeight="1" x14ac:dyDescent="0.25">
      <c r="A263" s="10"/>
      <c r="B263" s="33"/>
      <c r="C263" s="33"/>
      <c r="D263" s="33"/>
      <c r="E263" s="33"/>
      <c r="F263" s="33"/>
      <c r="G263" s="33"/>
      <c r="H263" s="33"/>
      <c r="I263" s="33"/>
      <c r="J263" s="33"/>
      <c r="K263" s="33"/>
      <c r="L263" s="33"/>
      <c r="M263" s="19"/>
      <c r="N263" s="19"/>
      <c r="O263" s="19"/>
      <c r="P263" s="33"/>
      <c r="Q263" s="33"/>
      <c r="R263" s="19"/>
      <c r="S263" s="19"/>
      <c r="T263" s="280"/>
      <c r="U263" s="280"/>
      <c r="V263" s="281"/>
      <c r="AA263" s="31"/>
    </row>
    <row r="264" spans="1:27" ht="27.95" customHeight="1" x14ac:dyDescent="0.25">
      <c r="A264" s="10"/>
      <c r="B264" s="226" t="str">
        <f>INDEX(TranslationTable[], MATCH(125, TranslationTable[TranslationKeyId], 0), MATCH(TRIM(LOWER(Language)), TranslationTable[#Headers], 0))</f>
        <v>If answered yes, is your disability disaggregated data in accordance to the Washington Group questions?</v>
      </c>
      <c r="C264" s="227"/>
      <c r="D264" s="227"/>
      <c r="E264" s="227"/>
      <c r="F264" s="227"/>
      <c r="G264" s="227"/>
      <c r="H264" s="227"/>
      <c r="I264" s="227"/>
      <c r="J264" s="168"/>
      <c r="K264" s="25" t="str">
        <f>IF(AND(K262=YesLANG, J264=""),INDEX(TranslationTable[], MATCH(9043, TranslationTable[TranslationKeyId], 0), MATCH(LOWER(Language), TranslationTable[#Headers], 0)),"")</f>
        <v/>
      </c>
      <c r="L264" s="33"/>
      <c r="M264" s="33"/>
      <c r="N264" s="33"/>
      <c r="O264" s="19"/>
      <c r="P264" s="33"/>
      <c r="Q264" s="33"/>
      <c r="R264" s="19"/>
      <c r="S264" s="19"/>
      <c r="T264" s="280"/>
      <c r="U264" s="280"/>
      <c r="V264" s="281"/>
      <c r="AA264" s="31" t="str">
        <f>IF(AND(K262="Yes", J264=""), "Required", "")</f>
        <v/>
      </c>
    </row>
    <row r="265" spans="1:27" ht="27.95" customHeight="1" x14ac:dyDescent="0.25">
      <c r="A265" s="10"/>
      <c r="B265" s="18"/>
      <c r="C265" s="18"/>
      <c r="D265" s="19"/>
      <c r="E265" s="19"/>
      <c r="F265" s="19"/>
      <c r="G265" s="19"/>
      <c r="H265" s="19"/>
      <c r="I265" s="19"/>
      <c r="J265" s="19"/>
      <c r="K265" s="19"/>
      <c r="L265" s="19"/>
      <c r="M265" s="19"/>
      <c r="N265" s="19"/>
      <c r="O265" s="19"/>
      <c r="P265" s="19"/>
      <c r="Q265" s="19"/>
      <c r="R265" s="19"/>
      <c r="S265" s="19"/>
      <c r="T265" s="280"/>
      <c r="U265" s="280"/>
      <c r="V265" s="281"/>
      <c r="AA265" s="31"/>
    </row>
    <row r="266" spans="1:27" ht="22.35" customHeight="1" x14ac:dyDescent="0.25">
      <c r="A266" s="10"/>
      <c r="B266" s="26"/>
      <c r="C266" s="172" t="b">
        <v>0</v>
      </c>
      <c r="D266"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266" s="196"/>
      <c r="F266" s="19"/>
      <c r="G266" s="35"/>
      <c r="H266" s="172" t="b">
        <v>0</v>
      </c>
      <c r="I266"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266" s="196"/>
      <c r="K266" s="196"/>
      <c r="L266" s="196"/>
      <c r="M266" s="196"/>
      <c r="N266" s="19"/>
      <c r="O266" s="19"/>
      <c r="P266" s="19"/>
      <c r="Q266" s="19"/>
      <c r="R266" s="19"/>
      <c r="S266" s="19"/>
      <c r="T266" s="280"/>
      <c r="U266" s="280"/>
      <c r="V266" s="281"/>
      <c r="Y266" s="5" t="b">
        <v>0</v>
      </c>
      <c r="Z266" s="5" t="b">
        <v>0</v>
      </c>
      <c r="AA266" s="31" t="str">
        <f>IF(OR(Y266,Z266,R274&lt;&gt;""),"","Required")</f>
        <v>Required</v>
      </c>
    </row>
    <row r="267" spans="1:27" ht="22.35" customHeight="1" x14ac:dyDescent="0.25">
      <c r="A267" s="10"/>
      <c r="B267" s="199" t="str">
        <f>IF(OR(R274&lt;&gt;"", C266=TRUE, H266=TRUE), "", IFERROR(INDEX(TranslationTable[], MATCH(9043, TranslationTable[TranslationKeyId], 0), MATCH(LOWER(Language), TranslationTable[#Headers], 0)), ""))</f>
        <v>Required</v>
      </c>
      <c r="C267" s="200"/>
      <c r="D267" s="255" t="str">
        <f>SUBSTITUTE(INDEX(TranslationTable[],MATCH(4697,TranslationTable[TranslationKeyId],0),MATCH(TRIM(LOWER($V$5)),TranslationTable[#Headers],0)),"//",CHAR(10))</f>
        <v>People reached by health</v>
      </c>
      <c r="E267" s="228"/>
      <c r="F267" s="228"/>
      <c r="G267" s="228"/>
      <c r="H267" s="228"/>
      <c r="I267" s="228"/>
      <c r="J267" s="228"/>
      <c r="K267" s="228"/>
      <c r="L267" s="228"/>
      <c r="M267" s="228"/>
      <c r="N267" s="228"/>
      <c r="O267" s="228"/>
      <c r="P267" s="228"/>
      <c r="Q267" s="228"/>
      <c r="R267" s="229"/>
      <c r="S267" s="19"/>
      <c r="T267" s="33"/>
      <c r="U267" s="33"/>
      <c r="V267" s="24"/>
      <c r="AA267" s="31"/>
    </row>
    <row r="268" spans="1:27" ht="22.35" customHeight="1" x14ac:dyDescent="0.25">
      <c r="A268" s="10"/>
      <c r="B268" s="201"/>
      <c r="C268" s="202"/>
      <c r="D268" s="203" t="str">
        <f xml:space="preserve"> SUBSTITUTE(INDEX(TranslationTable[], MATCH(138, TranslationTable[TranslationKeyId], 0), MATCH(TRIM(LOWER($V$5)), TranslationTable[#Headers], 0)), "//", CHAR(10))</f>
        <v>Direct Recipients</v>
      </c>
      <c r="E268" s="204"/>
      <c r="F268" s="204"/>
      <c r="G268" s="204"/>
      <c r="H268" s="204"/>
      <c r="I268" s="204"/>
      <c r="J268" s="204"/>
      <c r="K268" s="204"/>
      <c r="L268" s="204"/>
      <c r="M268" s="204"/>
      <c r="N268" s="204"/>
      <c r="O268" s="204"/>
      <c r="P268" s="204"/>
      <c r="Q268" s="204"/>
      <c r="R268" s="205"/>
      <c r="S268" s="243" t="str">
        <f>SUBSTITUTE(INDEX(TranslationTable[],MATCH(981,TranslationTable[TranslationKeyId],0),MATCH(TRIM(LOWER($V$5)),TranslationTable[#Headers],0)),"//",CHAR(10))</f>
        <v>Health activities directly protect and promote the health of the population they serve, from health promotion to prevention, diagnosis, treatment, rehabilitation, palliative care, acute care and long-term care services.</v>
      </c>
      <c r="T268" s="243"/>
      <c r="U268" s="243"/>
      <c r="V268" s="244"/>
      <c r="AA268" s="31"/>
    </row>
    <row r="269" spans="1:27" ht="30" customHeight="1" x14ac:dyDescent="0.25">
      <c r="A269" s="10"/>
      <c r="B269" s="197" t="str">
        <f>INDEX(TranslationTable[], MATCH(3306, TranslationTable[TranslationKeyId], 0), MATCH(TRIM(LOWER($V$5)), TranslationTable[#Headers], 0))</f>
        <v>Age group</v>
      </c>
      <c r="C269" s="198"/>
      <c r="D269" s="54" t="s">
        <v>17</v>
      </c>
      <c r="E269" s="54" t="s">
        <v>12</v>
      </c>
      <c r="F269" s="55" t="s">
        <v>13</v>
      </c>
      <c r="G269" s="192" t="s">
        <v>14</v>
      </c>
      <c r="H269" s="193"/>
      <c r="I269" s="55" t="s">
        <v>6</v>
      </c>
      <c r="J269" s="55" t="s">
        <v>7</v>
      </c>
      <c r="K269" s="55" t="s">
        <v>8</v>
      </c>
      <c r="L269" s="55" t="s">
        <v>9</v>
      </c>
      <c r="M269" s="55" t="s">
        <v>10</v>
      </c>
      <c r="N269" s="206" t="s">
        <v>11</v>
      </c>
      <c r="O269" s="207"/>
      <c r="P269" s="246" t="str">
        <f>INDEX(TranslationTable[], MATCH(701, TranslationTable[TranslationKeyId], 0), MATCH(TRIM(LOWER($V$5)), TranslationTable[#Headers], 0))</f>
        <v>Unknown</v>
      </c>
      <c r="Q269" s="247"/>
      <c r="R269" s="28" t="str">
        <f>INDEX(TranslationTable[], MATCH(6383, TranslationTable[TranslationKeyId], 0), MATCH(TRIM(LOWER($V$5)), TranslationTable[#Headers], 0))</f>
        <v>Total</v>
      </c>
      <c r="S269" s="243"/>
      <c r="T269" s="243"/>
      <c r="U269" s="243"/>
      <c r="V269" s="244"/>
      <c r="AA269" s="31"/>
    </row>
    <row r="270" spans="1:27" ht="22.35" customHeight="1" x14ac:dyDescent="0.25">
      <c r="A270" s="10"/>
      <c r="B270" s="197" t="str">
        <f>INDEX(TranslationTable[], MATCH(3301, TranslationTable[TranslationKeyId], 0), MATCH(TRIM(LOWER($V$5)), TranslationTable[#Headers], 0))</f>
        <v>Male</v>
      </c>
      <c r="C270" s="198"/>
      <c r="D270" s="1"/>
      <c r="E270" s="1"/>
      <c r="F270" s="1"/>
      <c r="G270" s="194"/>
      <c r="H270" s="195"/>
      <c r="I270" s="1"/>
      <c r="J270" s="1"/>
      <c r="K270" s="1"/>
      <c r="L270" s="1"/>
      <c r="M270" s="156"/>
      <c r="N270" s="256"/>
      <c r="O270" s="257"/>
      <c r="P270" s="241"/>
      <c r="Q270" s="242"/>
      <c r="R270" s="30" t="str">
        <f>IF(SUM(D270:P270)=0,"",SUM((D270:P270)))</f>
        <v/>
      </c>
      <c r="S270" s="243"/>
      <c r="T270" s="243"/>
      <c r="U270" s="243"/>
      <c r="V270" s="244"/>
      <c r="AA270" s="31"/>
    </row>
    <row r="271" spans="1:27" ht="22.35" customHeight="1" x14ac:dyDescent="0.25">
      <c r="A271" s="10"/>
      <c r="B271" s="197" t="str">
        <f>INDEX(TranslationTable[], MATCH(3302, TranslationTable[TranslationKeyId], 0), MATCH(TRIM(LOWER($V$5)), TranslationTable[#Headers], 0))</f>
        <v>Female</v>
      </c>
      <c r="C271" s="198"/>
      <c r="D271" s="1"/>
      <c r="E271" s="1"/>
      <c r="F271" s="1"/>
      <c r="G271" s="194"/>
      <c r="H271" s="195"/>
      <c r="I271" s="1"/>
      <c r="J271" s="1"/>
      <c r="K271" s="1"/>
      <c r="L271" s="1"/>
      <c r="M271" s="1"/>
      <c r="N271" s="220"/>
      <c r="O271" s="221"/>
      <c r="P271" s="241"/>
      <c r="Q271" s="242"/>
      <c r="R271" s="30" t="str">
        <f>IF(SUM(D271:P271)=0,"",SUM((D271:P271)))</f>
        <v/>
      </c>
      <c r="S271" s="243"/>
      <c r="T271" s="243"/>
      <c r="U271" s="243"/>
      <c r="V271" s="244"/>
      <c r="AA271" s="31"/>
    </row>
    <row r="272" spans="1:27" ht="22.35" customHeight="1" x14ac:dyDescent="0.25">
      <c r="A272" s="10"/>
      <c r="B272" s="197" t="str">
        <f>INDEX(TranslationTable[], MATCH(9001, TranslationTable[TranslationKeyId], 0), MATCH(TRIM(LOWER($V$5)), TranslationTable[#Headers], 0))</f>
        <v>Non-binary</v>
      </c>
      <c r="C272" s="198"/>
      <c r="D272" s="1"/>
      <c r="E272" s="1"/>
      <c r="F272" s="1"/>
      <c r="G272" s="194"/>
      <c r="H272" s="195"/>
      <c r="I272" s="1"/>
      <c r="J272" s="1"/>
      <c r="K272" s="1"/>
      <c r="L272" s="1"/>
      <c r="M272" s="1"/>
      <c r="N272" s="258"/>
      <c r="O272" s="259"/>
      <c r="P272" s="241"/>
      <c r="Q272" s="242"/>
      <c r="R272" s="30" t="str">
        <f>IF(SUM(D272:P272)=0,"",SUM((D272:P272)))</f>
        <v/>
      </c>
      <c r="S272" s="243"/>
      <c r="T272" s="243"/>
      <c r="U272" s="243"/>
      <c r="V272" s="244"/>
      <c r="AA272" s="31"/>
    </row>
    <row r="273" spans="1:27" ht="22.35" customHeight="1" x14ac:dyDescent="0.25">
      <c r="A273" s="10"/>
      <c r="B273" s="197" t="str">
        <f>INDEX(TranslationTable[], MATCH(701, TranslationTable[TranslationKeyId], 0), MATCH(TRIM(LOWER($V$5)), TranslationTable[#Headers], 0))</f>
        <v>Unknown</v>
      </c>
      <c r="C273" s="198"/>
      <c r="D273" s="142"/>
      <c r="E273" s="142"/>
      <c r="F273" s="142"/>
      <c r="G273" s="190"/>
      <c r="H273" s="191"/>
      <c r="I273" s="142"/>
      <c r="J273" s="142"/>
      <c r="K273" s="142"/>
      <c r="L273" s="142"/>
      <c r="M273" s="142"/>
      <c r="N273" s="260"/>
      <c r="O273" s="261"/>
      <c r="P273" s="248"/>
      <c r="Q273" s="249"/>
      <c r="R273" s="30" t="str">
        <f>IF(SUM(D273:P273)=0,"",SUM((D273:P273)))</f>
        <v/>
      </c>
      <c r="S273" s="82"/>
      <c r="T273" s="276" t="str">
        <f xml:space="preserve"> SUBSTITUTE(INDEX(TranslationTable[], MATCH(139, TranslationTable[TranslationKeyId], 0), MATCH(TRIM(LOWER($V$5)), TranslationTable[#Headers], 0)), "//", CHAR(10))</f>
        <v>Indirect Recipients</v>
      </c>
      <c r="U273" s="277"/>
      <c r="V273" s="90"/>
      <c r="AA273" s="31"/>
    </row>
    <row r="274" spans="1:27" ht="22.35" customHeight="1" x14ac:dyDescent="0.25">
      <c r="A274" s="10"/>
      <c r="B274" s="197" t="str">
        <f>INDEX(TranslationTable[], MATCH(6383, TranslationTable[TranslationKeyId], 0), MATCH(TRIM(LOWER($V$5)), TranslationTable[#Headers], 0))</f>
        <v>Total</v>
      </c>
      <c r="C274" s="198"/>
      <c r="D274" s="30" t="str">
        <f>IF(SUM(D270:D273)=0,"",SUM(D270:D273))</f>
        <v/>
      </c>
      <c r="E274" s="30" t="str">
        <f>IF(SUM(E270:E273)=0,"",SUM(E270:E273))</f>
        <v/>
      </c>
      <c r="F274" s="30" t="str">
        <f>IF(SUM(F270:F273)=0,"",SUM(F270:F273))</f>
        <v/>
      </c>
      <c r="G274" s="188" t="str">
        <f t="shared" ref="G274:P274" si="14">IF(SUM(G270:G273)=0,"",SUM(G270:G273))</f>
        <v/>
      </c>
      <c r="H274" s="189"/>
      <c r="I274" s="30" t="str">
        <f t="shared" si="14"/>
        <v/>
      </c>
      <c r="J274" s="30" t="str">
        <f t="shared" si="14"/>
        <v/>
      </c>
      <c r="K274" s="30" t="str">
        <f t="shared" si="14"/>
        <v/>
      </c>
      <c r="L274" s="30" t="str">
        <f t="shared" si="14"/>
        <v/>
      </c>
      <c r="M274" s="30" t="str">
        <f t="shared" si="14"/>
        <v/>
      </c>
      <c r="N274" s="409" t="str">
        <f>IF(SUM(N270:N273)=0,"",SUM(N270:N273))</f>
        <v/>
      </c>
      <c r="O274" s="409"/>
      <c r="P274" s="239" t="str">
        <f t="shared" si="14"/>
        <v/>
      </c>
      <c r="Q274" s="240"/>
      <c r="R274" s="30" t="str">
        <f>IF(SUM(D274:P274)=0,"",SUM((D274:P274)))</f>
        <v/>
      </c>
      <c r="S274" s="82"/>
      <c r="T274" s="230"/>
      <c r="U274" s="232"/>
      <c r="V274" s="160" t="str">
        <f>IF(OR(T274&lt;&gt;"", C266=TRUE,H266=TRUE), "", IFERROR(INDEX(TranslationTable[], MATCH(9043, TranslationTable[TranslationKeyId], 0), MATCH(LOWER(Language), TranslationTable[#Headers], 0)), ""))</f>
        <v>Required</v>
      </c>
      <c r="AA274" s="31" t="str">
        <f>IF(AND(Y266+Z266=0,T274=""), "Required", "")</f>
        <v>Required</v>
      </c>
    </row>
    <row r="275" spans="1:27" ht="27.95" customHeight="1" x14ac:dyDescent="0.25">
      <c r="A275" s="10"/>
      <c r="B275" s="18"/>
      <c r="C275" s="18"/>
      <c r="D275" s="19"/>
      <c r="E275" s="19"/>
      <c r="F275" s="19"/>
      <c r="G275" s="19"/>
      <c r="H275" s="19"/>
      <c r="I275" s="19"/>
      <c r="J275" s="19"/>
      <c r="K275" s="19"/>
      <c r="L275" s="19"/>
      <c r="M275" s="19"/>
      <c r="N275" s="19"/>
      <c r="O275" s="19"/>
      <c r="P275" s="19"/>
      <c r="Q275" s="19"/>
      <c r="R275" s="19"/>
      <c r="S275" s="19"/>
      <c r="T275" s="280" t="str">
        <f>IF(T274=0,"",$B$426)</f>
        <v/>
      </c>
      <c r="U275" s="280"/>
      <c r="V275" s="281"/>
    </row>
    <row r="276" spans="1:27" ht="27.95" customHeight="1" x14ac:dyDescent="0.25">
      <c r="A276" s="10"/>
      <c r="B276" s="262" t="str">
        <f>INDEX(TranslationTable[], MATCH(124, TranslationTable[TranslationKeyId], 0), MATCH(TRIM(LOWER($V$5)), TranslationTable[#Headers], 0))</f>
        <v>Is your National Society capturing disaggregated data based on disability for this indicator, i.e.the number of persons with disabilities?</v>
      </c>
      <c r="C276" s="263"/>
      <c r="D276" s="263"/>
      <c r="E276" s="263"/>
      <c r="F276" s="263"/>
      <c r="G276" s="263"/>
      <c r="H276" s="263"/>
      <c r="I276" s="263"/>
      <c r="J276" s="264"/>
      <c r="K276" s="162"/>
      <c r="L276" s="25" t="str">
        <f>IF(OR(K276&lt;&gt;"",C266=TRUE,H266=TRUE),"",INDEX(TranslationTable[],MATCH(9043,TranslationTable[TranslationKeyId],0),MATCH(LOWER(Language),TranslationTable[#Headers],0)))</f>
        <v>Required</v>
      </c>
      <c r="M276" s="19"/>
      <c r="N276" s="19"/>
      <c r="O276" s="19"/>
      <c r="P276" s="33"/>
      <c r="Q276" s="33"/>
      <c r="R276" s="19"/>
      <c r="S276" s="19"/>
      <c r="T276" s="280"/>
      <c r="U276" s="280"/>
      <c r="V276" s="281"/>
      <c r="AA276" s="31" t="str">
        <f>IF(AND(Y266+Z266=0,K276=""), "Required", "")</f>
        <v>Required</v>
      </c>
    </row>
    <row r="277" spans="1:27" ht="27.95" customHeight="1" x14ac:dyDescent="0.25">
      <c r="A277" s="10"/>
      <c r="B277" s="226"/>
      <c r="C277" s="227"/>
      <c r="D277" s="227"/>
      <c r="E277" s="227"/>
      <c r="F277" s="227"/>
      <c r="G277" s="227"/>
      <c r="H277" s="227"/>
      <c r="I277" s="227"/>
      <c r="J277" s="33"/>
      <c r="K277" s="33"/>
      <c r="L277" s="33"/>
      <c r="M277" s="19"/>
      <c r="N277" s="19"/>
      <c r="O277" s="19"/>
      <c r="P277" s="33"/>
      <c r="Q277" s="33"/>
      <c r="R277" s="19"/>
      <c r="S277" s="19"/>
      <c r="T277" s="280"/>
      <c r="U277" s="280"/>
      <c r="V277" s="281"/>
      <c r="AA277" s="31"/>
    </row>
    <row r="278" spans="1:27" ht="27.95" customHeight="1" x14ac:dyDescent="0.25">
      <c r="A278" s="10"/>
      <c r="B278" s="226" t="str">
        <f>INDEX(TranslationTable[], MATCH(125, TranslationTable[TranslationKeyId], 0), MATCH(TRIM(LOWER(Language)), TranslationTable[#Headers], 0))</f>
        <v>If answered yes, is your disability disaggregated data in accordance to the Washington Group questions?</v>
      </c>
      <c r="C278" s="227"/>
      <c r="D278" s="227"/>
      <c r="E278" s="227"/>
      <c r="F278" s="227"/>
      <c r="G278" s="227"/>
      <c r="H278" s="227"/>
      <c r="I278" s="227"/>
      <c r="J278" s="168"/>
      <c r="K278" s="25" t="str">
        <f>IF(AND(K276=YesLANG, J278=""),INDEX(TranslationTable[], MATCH(9043, TranslationTable[TranslationKeyId], 0), MATCH(LOWER(Language), TranslationTable[#Headers], 0)),"")</f>
        <v/>
      </c>
      <c r="L278" s="33"/>
      <c r="M278" s="33"/>
      <c r="N278" s="33"/>
      <c r="O278" s="19"/>
      <c r="P278" s="33"/>
      <c r="Q278" s="33"/>
      <c r="R278" s="19"/>
      <c r="S278" s="19"/>
      <c r="T278" s="280"/>
      <c r="U278" s="280"/>
      <c r="V278" s="281"/>
      <c r="AA278" s="31" t="str">
        <f>IF(AND(K276="Yes", J278=""), "Required", "")</f>
        <v/>
      </c>
    </row>
    <row r="279" spans="1:27" ht="22.35" customHeight="1" x14ac:dyDescent="0.25">
      <c r="A279" s="10"/>
      <c r="B279" s="18"/>
      <c r="C279" s="18"/>
      <c r="D279" s="19"/>
      <c r="E279" s="19"/>
      <c r="F279" s="19"/>
      <c r="G279" s="19"/>
      <c r="H279" s="19"/>
      <c r="I279" s="19"/>
      <c r="J279" s="19"/>
      <c r="K279" s="19"/>
      <c r="L279" s="19"/>
      <c r="M279" s="19"/>
      <c r="N279" s="19"/>
      <c r="O279" s="19"/>
      <c r="P279" s="19"/>
      <c r="Q279" s="19"/>
      <c r="R279" s="19"/>
      <c r="S279" s="19"/>
      <c r="T279" s="19"/>
      <c r="U279" s="19"/>
      <c r="V279" s="24"/>
      <c r="AA279" s="31"/>
    </row>
    <row r="280" spans="1:27" ht="22.35" customHeight="1" x14ac:dyDescent="0.25">
      <c r="A280" s="10"/>
      <c r="B280" s="26"/>
      <c r="C280" s="172" t="b">
        <v>0</v>
      </c>
      <c r="D280"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280" s="196"/>
      <c r="F280" s="19"/>
      <c r="G280" s="35"/>
      <c r="H280" s="172" t="b">
        <v>0</v>
      </c>
      <c r="I280"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280" s="196"/>
      <c r="K280" s="196"/>
      <c r="L280" s="196"/>
      <c r="M280" s="196"/>
      <c r="N280" s="19"/>
      <c r="O280" s="19"/>
      <c r="P280" s="19"/>
      <c r="Q280" s="19"/>
      <c r="R280" s="19"/>
      <c r="S280" s="19"/>
      <c r="T280" s="25"/>
      <c r="U280" s="19"/>
      <c r="V280" s="24"/>
      <c r="Y280" s="5" t="b">
        <v>0</v>
      </c>
      <c r="Z280" s="5" t="b">
        <v>0</v>
      </c>
      <c r="AA280" s="31" t="str">
        <f>IF(OR(Y280,Z280,R288&lt;&gt;""),"","Required")</f>
        <v>Required</v>
      </c>
    </row>
    <row r="281" spans="1:27" ht="22.35" customHeight="1" x14ac:dyDescent="0.25">
      <c r="A281" s="10"/>
      <c r="B281" s="199" t="str">
        <f>IF(OR(R288&lt;&gt;"", C280=TRUE, H280=TRUE), "", IFERROR(INDEX(TranslationTable[], MATCH(9043, TranslationTable[TranslationKeyId], 0), MATCH(LOWER(Language), TranslationTable[#Headers], 0)), ""))</f>
        <v>Required</v>
      </c>
      <c r="C281" s="200"/>
      <c r="D281" s="255" t="str">
        <f>SUBSTITUTE(INDEX(TranslationTable[],MATCH(5183,TranslationTable[TranslationKeyId],0),MATCH(TRIM(LOWER($V$5)),TranslationTable[#Headers],0)),"//",CHAR(10))</f>
        <v>People reached with mental health and psychosocial support services</v>
      </c>
      <c r="E281" s="228"/>
      <c r="F281" s="228"/>
      <c r="G281" s="228"/>
      <c r="H281" s="228"/>
      <c r="I281" s="228"/>
      <c r="J281" s="228"/>
      <c r="K281" s="228"/>
      <c r="L281" s="228"/>
      <c r="M281" s="228"/>
      <c r="N281" s="228"/>
      <c r="O281" s="228"/>
      <c r="P281" s="228"/>
      <c r="Q281" s="228"/>
      <c r="R281" s="229"/>
      <c r="S281" s="19"/>
      <c r="T281" s="19"/>
      <c r="U281" s="19"/>
      <c r="V281" s="24"/>
      <c r="AA281" s="31"/>
    </row>
    <row r="282" spans="1:27" ht="22.35" customHeight="1" x14ac:dyDescent="0.25">
      <c r="A282" s="10"/>
      <c r="B282" s="201"/>
      <c r="C282" s="202"/>
      <c r="D282" s="203" t="str">
        <f xml:space="preserve"> SUBSTITUTE(INDEX(TranslationTable[], MATCH(138, TranslationTable[TranslationKeyId], 0), MATCH(TRIM(LOWER($V$5)), TranslationTable[#Headers], 0)), "//", CHAR(10))</f>
        <v>Direct Recipients</v>
      </c>
      <c r="E282" s="204"/>
      <c r="F282" s="204"/>
      <c r="G282" s="204"/>
      <c r="H282" s="204"/>
      <c r="I282" s="204"/>
      <c r="J282" s="204"/>
      <c r="K282" s="204"/>
      <c r="L282" s="204"/>
      <c r="M282" s="204"/>
      <c r="N282" s="204"/>
      <c r="O282" s="204"/>
      <c r="P282" s="204"/>
      <c r="Q282" s="204"/>
      <c r="R282" s="205"/>
      <c r="S282" s="243" t="str">
        <f>INDEX(TranslationTable[], MATCH(9028, TranslationTable[TranslationKeyId], 0), MATCH(TRIM(LOWER(Language)), TranslationTable[#Headers], 0))</f>
        <v>Mental health and psychosocial support (MHPSS) includes any support that people receive to protect or promote their mental health and psychosocial wellbeing.</v>
      </c>
      <c r="T282" s="243"/>
      <c r="U282" s="243"/>
      <c r="V282" s="244"/>
      <c r="AA282" s="31"/>
    </row>
    <row r="283" spans="1:27" ht="30" customHeight="1" x14ac:dyDescent="0.25">
      <c r="A283" s="10"/>
      <c r="B283" s="197" t="str">
        <f>INDEX(TranslationTable[], MATCH(3306, TranslationTable[TranslationKeyId], 0), MATCH(TRIM(LOWER($V$5)), TranslationTable[#Headers], 0))</f>
        <v>Age group</v>
      </c>
      <c r="C283" s="198"/>
      <c r="D283" s="54" t="s">
        <v>17</v>
      </c>
      <c r="E283" s="54" t="s">
        <v>12</v>
      </c>
      <c r="F283" s="55" t="s">
        <v>13</v>
      </c>
      <c r="G283" s="192" t="s">
        <v>14</v>
      </c>
      <c r="H283" s="193"/>
      <c r="I283" s="55" t="s">
        <v>6</v>
      </c>
      <c r="J283" s="55" t="s">
        <v>7</v>
      </c>
      <c r="K283" s="55" t="s">
        <v>8</v>
      </c>
      <c r="L283" s="55" t="s">
        <v>9</v>
      </c>
      <c r="M283" s="55" t="s">
        <v>10</v>
      </c>
      <c r="N283" s="206" t="s">
        <v>11</v>
      </c>
      <c r="O283" s="207"/>
      <c r="P283" s="246" t="str">
        <f>INDEX(TranslationTable[], MATCH(701, TranslationTable[TranslationKeyId], 0), MATCH(TRIM(LOWER($V$5)), TranslationTable[#Headers], 0))</f>
        <v>Unknown</v>
      </c>
      <c r="Q283" s="247"/>
      <c r="R283" s="28" t="str">
        <f>INDEX(TranslationTable[], MATCH(6383, TranslationTable[TranslationKeyId], 0), MATCH(TRIM(LOWER($V$5)), TranslationTable[#Headers], 0))</f>
        <v>Total</v>
      </c>
      <c r="S283" s="243"/>
      <c r="T283" s="243"/>
      <c r="U283" s="243"/>
      <c r="V283" s="244"/>
      <c r="AA283" s="31"/>
    </row>
    <row r="284" spans="1:27" ht="22.35" customHeight="1" x14ac:dyDescent="0.25">
      <c r="A284" s="10"/>
      <c r="B284" s="197" t="str">
        <f>INDEX(TranslationTable[], MATCH(3301, TranslationTable[TranslationKeyId], 0), MATCH(TRIM(LOWER($V$5)), TranslationTable[#Headers], 0))</f>
        <v>Male</v>
      </c>
      <c r="C284" s="198"/>
      <c r="D284" s="1"/>
      <c r="E284" s="1"/>
      <c r="F284" s="1"/>
      <c r="G284" s="194"/>
      <c r="H284" s="195"/>
      <c r="I284" s="1"/>
      <c r="J284" s="1"/>
      <c r="K284" s="1"/>
      <c r="L284" s="1"/>
      <c r="M284" s="156"/>
      <c r="N284" s="220"/>
      <c r="O284" s="221"/>
      <c r="P284" s="241"/>
      <c r="Q284" s="242"/>
      <c r="R284" s="30" t="str">
        <f>IF(SUM(D284:P284)=0,"",SUM((D284:P284)))</f>
        <v/>
      </c>
      <c r="S284" s="243"/>
      <c r="T284" s="243"/>
      <c r="U284" s="243"/>
      <c r="V284" s="244"/>
      <c r="AA284" s="31"/>
    </row>
    <row r="285" spans="1:27" ht="22.35" customHeight="1" x14ac:dyDescent="0.25">
      <c r="A285" s="10"/>
      <c r="B285" s="197" t="str">
        <f>INDEX(TranslationTable[], MATCH(3302, TranslationTable[TranslationKeyId], 0), MATCH(TRIM(LOWER($V$5)), TranslationTable[#Headers], 0))</f>
        <v>Female</v>
      </c>
      <c r="C285" s="198"/>
      <c r="D285" s="1"/>
      <c r="E285" s="1"/>
      <c r="F285" s="1"/>
      <c r="G285" s="194"/>
      <c r="H285" s="195"/>
      <c r="I285" s="1"/>
      <c r="J285" s="1"/>
      <c r="K285" s="1"/>
      <c r="L285" s="1"/>
      <c r="M285" s="1"/>
      <c r="N285" s="220"/>
      <c r="O285" s="221"/>
      <c r="P285" s="241"/>
      <c r="Q285" s="242"/>
      <c r="R285" s="30" t="str">
        <f>IF(SUM(D285:P285)=0,"",SUM((D285:P285)))</f>
        <v/>
      </c>
      <c r="S285" s="243"/>
      <c r="T285" s="243"/>
      <c r="U285" s="243"/>
      <c r="V285" s="244"/>
      <c r="AA285" s="31"/>
    </row>
    <row r="286" spans="1:27" ht="22.35" customHeight="1" x14ac:dyDescent="0.25">
      <c r="A286" s="10"/>
      <c r="B286" s="197" t="str">
        <f>INDEX(TranslationTable[], MATCH(9001, TranslationTable[TranslationKeyId], 0), MATCH(TRIM(LOWER($V$5)), TranslationTable[#Headers], 0))</f>
        <v>Non-binary</v>
      </c>
      <c r="C286" s="198"/>
      <c r="D286" s="1"/>
      <c r="E286" s="1"/>
      <c r="F286" s="1"/>
      <c r="G286" s="194"/>
      <c r="H286" s="195"/>
      <c r="I286" s="1"/>
      <c r="J286" s="1"/>
      <c r="K286" s="1"/>
      <c r="L286" s="1"/>
      <c r="M286" s="1"/>
      <c r="N286" s="220"/>
      <c r="O286" s="221"/>
      <c r="P286" s="241"/>
      <c r="Q286" s="242"/>
      <c r="R286" s="30" t="str">
        <f>IF(SUM(D286:P286)=0,"",SUM((D286:P286)))</f>
        <v/>
      </c>
      <c r="S286" s="243"/>
      <c r="T286" s="243"/>
      <c r="U286" s="243"/>
      <c r="V286" s="244"/>
      <c r="AA286" s="31"/>
    </row>
    <row r="287" spans="1:27" ht="22.35" customHeight="1" x14ac:dyDescent="0.25">
      <c r="A287" s="10"/>
      <c r="B287" s="197" t="str">
        <f>INDEX(TranslationTable[], MATCH(701, TranslationTable[TranslationKeyId], 0), MATCH(TRIM(LOWER($V$5)), TranslationTable[#Headers], 0))</f>
        <v>Unknown</v>
      </c>
      <c r="C287" s="198"/>
      <c r="D287" s="142"/>
      <c r="E287" s="142"/>
      <c r="F287" s="142"/>
      <c r="G287" s="190"/>
      <c r="H287" s="191"/>
      <c r="I287" s="142"/>
      <c r="J287" s="142"/>
      <c r="K287" s="142"/>
      <c r="L287" s="142"/>
      <c r="M287" s="142"/>
      <c r="N287" s="250"/>
      <c r="O287" s="251"/>
      <c r="P287" s="248"/>
      <c r="Q287" s="249"/>
      <c r="R287" s="30" t="str">
        <f>IF(SUM(D287:P287)=0,"",SUM((D287:P287)))</f>
        <v/>
      </c>
      <c r="S287" s="82"/>
      <c r="T287" s="276" t="str">
        <f xml:space="preserve"> SUBSTITUTE(INDEX(TranslationTable[], MATCH(139, TranslationTable[TranslationKeyId], 0), MATCH(TRIM(LOWER($V$5)), TranslationTable[#Headers], 0)), "//", CHAR(10))</f>
        <v>Indirect Recipients</v>
      </c>
      <c r="U287" s="277"/>
      <c r="V287" s="90"/>
      <c r="AA287" s="31"/>
    </row>
    <row r="288" spans="1:27" ht="22.35" customHeight="1" x14ac:dyDescent="0.25">
      <c r="A288" s="10"/>
      <c r="B288" s="197" t="str">
        <f>INDEX(TranslationTable[], MATCH(6383, TranslationTable[TranslationKeyId], 0), MATCH(TRIM(LOWER($V$5)), TranslationTable[#Headers], 0))</f>
        <v>Total</v>
      </c>
      <c r="C288" s="198"/>
      <c r="D288" s="30" t="str">
        <f>IF(SUM(D284:D287)=0,"",SUM(D284:D287))</f>
        <v/>
      </c>
      <c r="E288" s="30" t="str">
        <f>IF(SUM(E284:E287)=0,"",SUM(E284:E287))</f>
        <v/>
      </c>
      <c r="F288" s="30" t="str">
        <f>IF(SUM(F284:F287)=0,"",SUM(F284:F287))</f>
        <v/>
      </c>
      <c r="G288" s="188" t="str">
        <f t="shared" ref="G288:P288" si="15">IF(SUM(G284:G287)=0,"",SUM(G284:G287))</f>
        <v/>
      </c>
      <c r="H288" s="189"/>
      <c r="I288" s="30" t="str">
        <f t="shared" si="15"/>
        <v/>
      </c>
      <c r="J288" s="30" t="str">
        <f t="shared" si="15"/>
        <v/>
      </c>
      <c r="K288" s="30" t="str">
        <f t="shared" si="15"/>
        <v/>
      </c>
      <c r="L288" s="30" t="str">
        <f t="shared" si="15"/>
        <v/>
      </c>
      <c r="M288" s="132" t="str">
        <f t="shared" si="15"/>
        <v/>
      </c>
      <c r="N288" s="239" t="str">
        <f>IF(SUM(N284:N287)=0,"",SUM(N284:N287))</f>
        <v/>
      </c>
      <c r="O288" s="240"/>
      <c r="P288" s="239" t="str">
        <f t="shared" si="15"/>
        <v/>
      </c>
      <c r="Q288" s="240"/>
      <c r="R288" s="30" t="str">
        <f>IF(SUM(D288:P288)=0,"",SUM((D288:P288)))</f>
        <v/>
      </c>
      <c r="S288" s="82"/>
      <c r="T288" s="230"/>
      <c r="U288" s="232"/>
      <c r="V288" s="160" t="str">
        <f>IF(OR(T288&lt;&gt;"", C280=TRUE,H280=TRUE), "", IFERROR(INDEX(TranslationTable[], MATCH(9043, TranslationTable[TranslationKeyId], 0), MATCH(LOWER(Language), TranslationTable[#Headers], 0)), ""))</f>
        <v>Required</v>
      </c>
      <c r="AA288" s="31" t="str">
        <f>IF(AND(Y280+Z280=0,T288=""), "Required", "")</f>
        <v>Required</v>
      </c>
    </row>
    <row r="289" spans="1:27" ht="27.95" customHeight="1" x14ac:dyDescent="0.25">
      <c r="A289" s="10"/>
      <c r="B289" s="18"/>
      <c r="C289" s="18"/>
      <c r="D289" s="19"/>
      <c r="E289" s="19"/>
      <c r="F289" s="19"/>
      <c r="G289" s="19"/>
      <c r="H289" s="19"/>
      <c r="I289" s="19"/>
      <c r="J289" s="19"/>
      <c r="K289" s="19"/>
      <c r="L289" s="19"/>
      <c r="M289" s="19"/>
      <c r="N289" s="19"/>
      <c r="O289" s="19"/>
      <c r="P289" s="19"/>
      <c r="Q289" s="19"/>
      <c r="R289" s="19"/>
      <c r="S289" s="19"/>
      <c r="T289" s="280" t="str">
        <f>IF(T288=0,"",$B$426)</f>
        <v/>
      </c>
      <c r="U289" s="280"/>
      <c r="V289" s="281"/>
    </row>
    <row r="290" spans="1:27" ht="27.95" customHeight="1" x14ac:dyDescent="0.25">
      <c r="A290" s="10"/>
      <c r="B290" s="262" t="str">
        <f>INDEX(TranslationTable[], MATCH(124, TranslationTable[TranslationKeyId], 0), MATCH(TRIM(LOWER($V$5)), TranslationTable[#Headers], 0))</f>
        <v>Is your National Society capturing disaggregated data based on disability for this indicator, i.e.the number of persons with disabilities?</v>
      </c>
      <c r="C290" s="263"/>
      <c r="D290" s="263"/>
      <c r="E290" s="263"/>
      <c r="F290" s="263"/>
      <c r="G290" s="263"/>
      <c r="H290" s="263"/>
      <c r="I290" s="263"/>
      <c r="J290" s="264"/>
      <c r="K290" s="162"/>
      <c r="L290" s="25" t="str">
        <f>IF(OR(K290&lt;&gt;"",C280=TRUE,H280=TRUE),"",INDEX(TranslationTable[],MATCH(9043,TranslationTable[TranslationKeyId],0),MATCH(LOWER(Language),TranslationTable[#Headers],0)))</f>
        <v>Required</v>
      </c>
      <c r="M290" s="19"/>
      <c r="N290" s="19"/>
      <c r="O290" s="19"/>
      <c r="P290" s="33"/>
      <c r="Q290" s="33"/>
      <c r="R290" s="19"/>
      <c r="S290" s="19"/>
      <c r="T290" s="280"/>
      <c r="U290" s="280"/>
      <c r="V290" s="281"/>
      <c r="AA290" s="31" t="str">
        <f>IF(AND(Y280+Z280=0,K290=""), "Required", "")</f>
        <v>Required</v>
      </c>
    </row>
    <row r="291" spans="1:27" ht="27.95" customHeight="1" x14ac:dyDescent="0.25">
      <c r="A291" s="10"/>
      <c r="B291" s="33"/>
      <c r="C291" s="33"/>
      <c r="D291" s="33"/>
      <c r="E291" s="33"/>
      <c r="F291" s="33"/>
      <c r="G291" s="33"/>
      <c r="H291" s="33"/>
      <c r="I291" s="33"/>
      <c r="J291" s="33"/>
      <c r="K291" s="33"/>
      <c r="L291" s="33"/>
      <c r="M291" s="19"/>
      <c r="N291" s="19"/>
      <c r="O291" s="19"/>
      <c r="P291" s="33"/>
      <c r="Q291" s="33"/>
      <c r="R291" s="19"/>
      <c r="S291" s="19"/>
      <c r="T291" s="280"/>
      <c r="U291" s="280"/>
      <c r="V291" s="281"/>
      <c r="AA291" s="31"/>
    </row>
    <row r="292" spans="1:27" ht="27.95" customHeight="1" x14ac:dyDescent="0.25">
      <c r="A292" s="10"/>
      <c r="B292" s="226" t="str">
        <f>INDEX(TranslationTable[], MATCH(125, TranslationTable[TranslationKeyId], 0), MATCH(TRIM(LOWER(Language)), TranslationTable[#Headers], 0))</f>
        <v>If answered yes, is your disability disaggregated data in accordance to the Washington Group questions?</v>
      </c>
      <c r="C292" s="227"/>
      <c r="D292" s="227"/>
      <c r="E292" s="227"/>
      <c r="F292" s="227"/>
      <c r="G292" s="227"/>
      <c r="H292" s="227"/>
      <c r="I292" s="227"/>
      <c r="J292" s="168"/>
      <c r="K292" s="25" t="str">
        <f>IF(AND(K290=YesLANG, J292=""),INDEX(TranslationTable[], MATCH(9043, TranslationTable[TranslationKeyId], 0), MATCH(LOWER(Language), TranslationTable[#Headers], 0)),"")</f>
        <v/>
      </c>
      <c r="L292" s="33"/>
      <c r="M292" s="33"/>
      <c r="N292" s="33"/>
      <c r="O292" s="19"/>
      <c r="P292" s="33"/>
      <c r="Q292" s="33"/>
      <c r="R292" s="19"/>
      <c r="S292" s="19"/>
      <c r="T292" s="280"/>
      <c r="U292" s="280"/>
      <c r="V292" s="281"/>
      <c r="AA292" s="31" t="str">
        <f>IF(AND(K290="Yes", J292=""), "Required", "")</f>
        <v/>
      </c>
    </row>
    <row r="293" spans="1:27" ht="22.35" customHeight="1" x14ac:dyDescent="0.25">
      <c r="A293" s="10"/>
      <c r="B293" s="18"/>
      <c r="C293" s="18"/>
      <c r="D293" s="19"/>
      <c r="E293" s="19"/>
      <c r="F293" s="19"/>
      <c r="G293" s="19"/>
      <c r="H293" s="19"/>
      <c r="I293" s="19"/>
      <c r="J293" s="19"/>
      <c r="K293" s="19"/>
      <c r="L293" s="19"/>
      <c r="M293" s="19"/>
      <c r="N293" s="19"/>
      <c r="O293" s="19"/>
      <c r="P293" s="19"/>
      <c r="Q293" s="19"/>
      <c r="R293" s="19"/>
      <c r="S293" s="19"/>
      <c r="T293" s="19"/>
      <c r="U293" s="19"/>
      <c r="V293" s="24"/>
      <c r="AA293" s="31"/>
    </row>
    <row r="294" spans="1:27" ht="22.35" customHeight="1" x14ac:dyDescent="0.25">
      <c r="A294" s="10"/>
      <c r="B294" s="26"/>
      <c r="C294" s="172" t="b">
        <v>0</v>
      </c>
      <c r="D294"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294" s="196"/>
      <c r="F294" s="19"/>
      <c r="G294" s="35"/>
      <c r="H294" s="172" t="b">
        <v>0</v>
      </c>
      <c r="I294"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294" s="196"/>
      <c r="K294" s="196"/>
      <c r="L294" s="196"/>
      <c r="M294" s="196"/>
      <c r="N294" s="19"/>
      <c r="O294" s="19"/>
      <c r="P294" s="19"/>
      <c r="Q294" s="19"/>
      <c r="R294" s="19"/>
      <c r="S294" s="19"/>
      <c r="T294" s="25"/>
      <c r="U294" s="19"/>
      <c r="V294" s="24"/>
      <c r="Y294" s="5" t="b">
        <v>0</v>
      </c>
      <c r="Z294" s="5" t="b">
        <v>0</v>
      </c>
      <c r="AA294" s="31" t="str">
        <f>IF(OR(Y294,Z294,R302&lt;&gt;""),"","Required")</f>
        <v>Required</v>
      </c>
    </row>
    <row r="295" spans="1:27" ht="22.35" customHeight="1" x14ac:dyDescent="0.25">
      <c r="A295" s="10"/>
      <c r="B295" s="199" t="str">
        <f>IF(OR(R302&lt;&gt;"", C294=TRUE, H294=TRUE), "", IFERROR(INDEX(TranslationTable[], MATCH(9043, TranslationTable[TranslationKeyId], 0), MATCH(LOWER(Language), TranslationTable[#Headers], 0)), ""))</f>
        <v>Required</v>
      </c>
      <c r="C295" s="200"/>
      <c r="D295" s="255" t="str">
        <f>SUBSTITUTE(INDEX(TranslationTable[],MATCH(5184,TranslationTable[TranslationKeyId],0),MATCH(TRIM(LOWER($V$5)),TranslationTable[#Headers],0)),"//",CHAR(10))</f>
        <v>People reached with immunisation services</v>
      </c>
      <c r="E295" s="228"/>
      <c r="F295" s="228"/>
      <c r="G295" s="228"/>
      <c r="H295" s="228"/>
      <c r="I295" s="228"/>
      <c r="J295" s="228"/>
      <c r="K295" s="228"/>
      <c r="L295" s="228"/>
      <c r="M295" s="228"/>
      <c r="N295" s="228"/>
      <c r="O295" s="228"/>
      <c r="P295" s="228"/>
      <c r="Q295" s="228"/>
      <c r="R295" s="229"/>
      <c r="S295" s="243" t="str">
        <f>INDEX(TranslationTable[], MATCH(9029, TranslationTable[TranslationKeyId], 0), MATCH(TRIM(LOWER(Language)), TranslationTable[#Headers], 0))</f>
        <v>People who have been reached by Red Cross and Red Crescent National Societies with life-saving vaccines. Immunization is a critical entry point for primary health care and investing in immunization saves lives, strengthens health systems, ensures health security and advances universal health coverage. This indicator includes any immunization related activities for vaccine preventable diseases.</v>
      </c>
      <c r="T295" s="243"/>
      <c r="U295" s="243"/>
      <c r="V295" s="244"/>
      <c r="AA295" s="31"/>
    </row>
    <row r="296" spans="1:27" ht="22.35" customHeight="1" x14ac:dyDescent="0.25">
      <c r="A296" s="10"/>
      <c r="B296" s="201"/>
      <c r="C296" s="202"/>
      <c r="D296" s="203" t="str">
        <f xml:space="preserve"> SUBSTITUTE(INDEX(TranslationTable[], MATCH(138, TranslationTable[TranslationKeyId], 0), MATCH(TRIM(LOWER($V$5)), TranslationTable[#Headers], 0)), "//", CHAR(10))</f>
        <v>Direct Recipients</v>
      </c>
      <c r="E296" s="204"/>
      <c r="F296" s="204"/>
      <c r="G296" s="204"/>
      <c r="H296" s="204"/>
      <c r="I296" s="204"/>
      <c r="J296" s="204"/>
      <c r="K296" s="204"/>
      <c r="L296" s="204"/>
      <c r="M296" s="204"/>
      <c r="N296" s="204"/>
      <c r="O296" s="204"/>
      <c r="P296" s="204"/>
      <c r="Q296" s="204"/>
      <c r="R296" s="205"/>
      <c r="S296" s="243"/>
      <c r="T296" s="243"/>
      <c r="U296" s="243"/>
      <c r="V296" s="244"/>
      <c r="AA296" s="31"/>
    </row>
    <row r="297" spans="1:27" ht="30" customHeight="1" x14ac:dyDescent="0.25">
      <c r="A297" s="10"/>
      <c r="B297" s="197" t="str">
        <f>INDEX(TranslationTable[], MATCH(3306, TranslationTable[TranslationKeyId], 0), MATCH(TRIM(LOWER($V$5)), TranslationTable[#Headers], 0))</f>
        <v>Age group</v>
      </c>
      <c r="C297" s="198"/>
      <c r="D297" s="54" t="s">
        <v>17</v>
      </c>
      <c r="E297" s="54" t="s">
        <v>12</v>
      </c>
      <c r="F297" s="55" t="s">
        <v>13</v>
      </c>
      <c r="G297" s="192" t="s">
        <v>14</v>
      </c>
      <c r="H297" s="193"/>
      <c r="I297" s="55" t="s">
        <v>6</v>
      </c>
      <c r="J297" s="55" t="s">
        <v>7</v>
      </c>
      <c r="K297" s="55" t="s">
        <v>8</v>
      </c>
      <c r="L297" s="55" t="s">
        <v>9</v>
      </c>
      <c r="M297" s="55" t="s">
        <v>10</v>
      </c>
      <c r="N297" s="206" t="s">
        <v>11</v>
      </c>
      <c r="O297" s="207"/>
      <c r="P297" s="246" t="str">
        <f>INDEX(TranslationTable[], MATCH(701, TranslationTable[TranslationKeyId], 0), MATCH(TRIM(LOWER($V$5)), TranslationTable[#Headers], 0))</f>
        <v>Unknown</v>
      </c>
      <c r="Q297" s="247"/>
      <c r="R297" s="28" t="str">
        <f>INDEX(TranslationTable[], MATCH(6383, TranslationTable[TranslationKeyId], 0), MATCH(TRIM(LOWER($V$5)), TranslationTable[#Headers], 0))</f>
        <v>Total</v>
      </c>
      <c r="S297" s="243"/>
      <c r="T297" s="243"/>
      <c r="U297" s="243"/>
      <c r="V297" s="244"/>
      <c r="AA297" s="31"/>
    </row>
    <row r="298" spans="1:27" ht="22.35" customHeight="1" x14ac:dyDescent="0.25">
      <c r="A298" s="10"/>
      <c r="B298" s="197" t="str">
        <f>INDEX(TranslationTable[], MATCH(3301, TranslationTable[TranslationKeyId], 0), MATCH(TRIM(LOWER($V$5)), TranslationTable[#Headers], 0))</f>
        <v>Male</v>
      </c>
      <c r="C298" s="198"/>
      <c r="D298" s="1"/>
      <c r="E298" s="1"/>
      <c r="F298" s="1"/>
      <c r="G298" s="194"/>
      <c r="H298" s="195"/>
      <c r="I298" s="1"/>
      <c r="J298" s="1"/>
      <c r="K298" s="1"/>
      <c r="L298" s="1"/>
      <c r="M298" s="156"/>
      <c r="N298" s="220"/>
      <c r="O298" s="221"/>
      <c r="P298" s="241"/>
      <c r="Q298" s="242"/>
      <c r="R298" s="30" t="str">
        <f>IF(SUM(D298:P298)=0,"",SUM((D298:P298)))</f>
        <v/>
      </c>
      <c r="S298" s="243"/>
      <c r="T298" s="243"/>
      <c r="U298" s="243"/>
      <c r="V298" s="244"/>
      <c r="AA298" s="31"/>
    </row>
    <row r="299" spans="1:27" ht="22.35" customHeight="1" x14ac:dyDescent="0.25">
      <c r="A299" s="10"/>
      <c r="B299" s="197" t="str">
        <f>INDEX(TranslationTable[], MATCH(3302, TranslationTable[TranslationKeyId], 0), MATCH(TRIM(LOWER($V$5)), TranslationTable[#Headers], 0))</f>
        <v>Female</v>
      </c>
      <c r="C299" s="198"/>
      <c r="D299" s="1"/>
      <c r="E299" s="1"/>
      <c r="F299" s="1"/>
      <c r="G299" s="194"/>
      <c r="H299" s="195"/>
      <c r="I299" s="1"/>
      <c r="J299" s="1"/>
      <c r="K299" s="1"/>
      <c r="L299" s="1"/>
      <c r="M299" s="1"/>
      <c r="N299" s="220"/>
      <c r="O299" s="221"/>
      <c r="P299" s="241"/>
      <c r="Q299" s="242"/>
      <c r="R299" s="30" t="str">
        <f>IF(SUM(D299:P299)=0,"",SUM((D299:P299)))</f>
        <v/>
      </c>
      <c r="S299" s="243"/>
      <c r="T299" s="243"/>
      <c r="U299" s="243"/>
      <c r="V299" s="244"/>
      <c r="AA299" s="31"/>
    </row>
    <row r="300" spans="1:27" ht="22.35" customHeight="1" x14ac:dyDescent="0.25">
      <c r="A300" s="10"/>
      <c r="B300" s="197" t="str">
        <f>INDEX(TranslationTable[], MATCH(9001, TranslationTable[TranslationKeyId], 0), MATCH(TRIM(LOWER($V$5)), TranslationTable[#Headers], 0))</f>
        <v>Non-binary</v>
      </c>
      <c r="C300" s="198"/>
      <c r="D300" s="1"/>
      <c r="E300" s="1"/>
      <c r="F300" s="1"/>
      <c r="G300" s="194"/>
      <c r="H300" s="195"/>
      <c r="I300" s="1"/>
      <c r="J300" s="1"/>
      <c r="K300" s="1"/>
      <c r="L300" s="1"/>
      <c r="M300" s="1"/>
      <c r="N300" s="220"/>
      <c r="O300" s="221"/>
      <c r="P300" s="241"/>
      <c r="Q300" s="242"/>
      <c r="R300" s="30" t="str">
        <f>IF(SUM(D300:P300)=0,"",SUM((D300:P300)))</f>
        <v/>
      </c>
      <c r="S300" s="243"/>
      <c r="T300" s="243"/>
      <c r="U300" s="243"/>
      <c r="V300" s="244"/>
      <c r="AA300" s="31"/>
    </row>
    <row r="301" spans="1:27" ht="22.35" customHeight="1" x14ac:dyDescent="0.25">
      <c r="A301" s="10"/>
      <c r="B301" s="197" t="str">
        <f>INDEX(TranslationTable[], MATCH(701, TranslationTable[TranslationKeyId], 0), MATCH(TRIM(LOWER($V$5)), TranslationTable[#Headers], 0))</f>
        <v>Unknown</v>
      </c>
      <c r="C301" s="198"/>
      <c r="D301" s="142"/>
      <c r="E301" s="142"/>
      <c r="F301" s="142"/>
      <c r="G301" s="190"/>
      <c r="H301" s="191"/>
      <c r="I301" s="142"/>
      <c r="J301" s="142"/>
      <c r="K301" s="142"/>
      <c r="L301" s="142"/>
      <c r="M301" s="142"/>
      <c r="N301" s="250"/>
      <c r="O301" s="251"/>
      <c r="P301" s="248"/>
      <c r="Q301" s="249"/>
      <c r="R301" s="30" t="str">
        <f>IF(SUM(D301:P301)=0,"",SUM((D301:P301)))</f>
        <v/>
      </c>
      <c r="S301" s="243"/>
      <c r="T301" s="243"/>
      <c r="U301" s="243"/>
      <c r="V301" s="244"/>
      <c r="AA301" s="31"/>
    </row>
    <row r="302" spans="1:27" ht="22.35" customHeight="1" x14ac:dyDescent="0.25">
      <c r="A302" s="10"/>
      <c r="B302" s="197" t="str">
        <f>INDEX(TranslationTable[], MATCH(6383, TranslationTable[TranslationKeyId], 0), MATCH(TRIM(LOWER($V$5)), TranslationTable[#Headers], 0))</f>
        <v>Total</v>
      </c>
      <c r="C302" s="198"/>
      <c r="D302" s="30" t="str">
        <f>IF(SUM(D298:D301)=0,"",SUM(D298:D301))</f>
        <v/>
      </c>
      <c r="E302" s="30" t="str">
        <f>IF(SUM(E298:E301)=0,"",SUM(E298:E301))</f>
        <v/>
      </c>
      <c r="F302" s="30" t="str">
        <f>IF(SUM(F298:F301)=0,"",SUM(F298:F301))</f>
        <v/>
      </c>
      <c r="G302" s="188" t="str">
        <f t="shared" ref="G302:P302" si="16">IF(SUM(G298:G301)=0,"",SUM(G298:G301))</f>
        <v/>
      </c>
      <c r="H302" s="189"/>
      <c r="I302" s="30" t="str">
        <f t="shared" si="16"/>
        <v/>
      </c>
      <c r="J302" s="30" t="str">
        <f t="shared" si="16"/>
        <v/>
      </c>
      <c r="K302" s="30" t="str">
        <f t="shared" si="16"/>
        <v/>
      </c>
      <c r="L302" s="30" t="str">
        <f t="shared" si="16"/>
        <v/>
      </c>
      <c r="M302" s="30" t="str">
        <f t="shared" si="16"/>
        <v/>
      </c>
      <c r="N302" s="239" t="str">
        <f t="shared" si="16"/>
        <v/>
      </c>
      <c r="O302" s="240"/>
      <c r="P302" s="239" t="str">
        <f t="shared" si="16"/>
        <v/>
      </c>
      <c r="Q302" s="240"/>
      <c r="R302" s="30" t="str">
        <f>IF(SUM(D302:P302)=0,"",SUM((D302:P302)))</f>
        <v/>
      </c>
      <c r="S302" s="82"/>
      <c r="T302" s="276" t="str">
        <f xml:space="preserve"> SUBSTITUTE(INDEX(TranslationTable[], MATCH(139, TranslationTable[TranslationKeyId], 0), MATCH(TRIM(LOWER($V$5)), TranslationTable[#Headers], 0)), "//", CHAR(10))</f>
        <v>Indirect Recipients</v>
      </c>
      <c r="U302" s="277"/>
      <c r="V302" s="90"/>
      <c r="AA302" s="31"/>
    </row>
    <row r="303" spans="1:27" ht="22.35" customHeight="1" x14ac:dyDescent="0.25">
      <c r="A303" s="10"/>
      <c r="B303" s="18"/>
      <c r="C303" s="18"/>
      <c r="D303" s="19"/>
      <c r="E303" s="19"/>
      <c r="F303" s="19"/>
      <c r="G303" s="19"/>
      <c r="H303" s="19"/>
      <c r="I303" s="19"/>
      <c r="J303" s="19"/>
      <c r="K303" s="19"/>
      <c r="L303" s="19"/>
      <c r="M303" s="19"/>
      <c r="N303" s="19"/>
      <c r="O303" s="19"/>
      <c r="P303" s="19"/>
      <c r="Q303" s="19"/>
      <c r="R303" s="19"/>
      <c r="S303" s="19"/>
      <c r="T303" s="230"/>
      <c r="U303" s="232"/>
      <c r="V303" s="160" t="str">
        <f>IF(OR(T303&lt;&gt;"", C294=TRUE,H294=TRUE), "", IFERROR(INDEX(TranslationTable[], MATCH(9043, TranslationTable[TranslationKeyId], 0), MATCH(LOWER(Language), TranslationTable[#Headers], 0)), ""))</f>
        <v>Required</v>
      </c>
      <c r="AA303" s="31" t="str">
        <f>IF(AND(Y294+Z294=0,T303=""), "Required", "")</f>
        <v>Required</v>
      </c>
    </row>
    <row r="304" spans="1:27" ht="27.95" customHeight="1" x14ac:dyDescent="0.25">
      <c r="A304" s="10"/>
      <c r="B304" s="262" t="str">
        <f>INDEX(TranslationTable[], MATCH(124, TranslationTable[TranslationKeyId], 0), MATCH(TRIM(LOWER($V$5)), TranslationTable[#Headers], 0))</f>
        <v>Is your National Society capturing disaggregated data based on disability for this indicator, i.e.the number of persons with disabilities?</v>
      </c>
      <c r="C304" s="263"/>
      <c r="D304" s="263"/>
      <c r="E304" s="263"/>
      <c r="F304" s="263"/>
      <c r="G304" s="263"/>
      <c r="H304" s="263"/>
      <c r="I304" s="263"/>
      <c r="J304" s="264"/>
      <c r="K304" s="162"/>
      <c r="L304" s="25" t="str">
        <f>IF(OR(K304&lt;&gt;"",C294=TRUE,H294=TRUE),"",INDEX(TranslationTable[],MATCH(9043,TranslationTable[TranslationKeyId],0),MATCH(LOWER(Language),TranslationTable[#Headers],0)))</f>
        <v>Required</v>
      </c>
      <c r="M304" s="19"/>
      <c r="N304" s="19"/>
      <c r="O304" s="19"/>
      <c r="P304" s="33"/>
      <c r="Q304" s="33"/>
      <c r="R304" s="19"/>
      <c r="S304" s="19"/>
      <c r="T304" s="280" t="str">
        <f>IF(T303=0,"",$B$426)</f>
        <v/>
      </c>
      <c r="U304" s="280"/>
      <c r="V304" s="281"/>
      <c r="AA304" s="31" t="str">
        <f>IF(AND(Y294+Z294=0,K304=""), "Required", "")</f>
        <v>Required</v>
      </c>
    </row>
    <row r="305" spans="1:27" ht="27.95" customHeight="1" x14ac:dyDescent="0.25">
      <c r="A305" s="10"/>
      <c r="B305" s="33"/>
      <c r="C305" s="33"/>
      <c r="D305" s="33"/>
      <c r="E305" s="33"/>
      <c r="F305" s="33"/>
      <c r="G305" s="33"/>
      <c r="H305" s="33"/>
      <c r="I305" s="33"/>
      <c r="J305" s="33"/>
      <c r="K305" s="33"/>
      <c r="L305" s="33"/>
      <c r="M305" s="19"/>
      <c r="N305" s="19"/>
      <c r="O305" s="19"/>
      <c r="P305" s="33"/>
      <c r="Q305" s="33"/>
      <c r="R305" s="19"/>
      <c r="S305" s="19"/>
      <c r="T305" s="280"/>
      <c r="U305" s="280"/>
      <c r="V305" s="281"/>
      <c r="AA305" s="31"/>
    </row>
    <row r="306" spans="1:27" ht="27.95" customHeight="1" x14ac:dyDescent="0.25">
      <c r="A306" s="10"/>
      <c r="B306" s="226" t="str">
        <f>INDEX(TranslationTable[], MATCH(125, TranslationTable[TranslationKeyId], 0), MATCH(TRIM(LOWER(Language)), TranslationTable[#Headers], 0))</f>
        <v>If answered yes, is your disability disaggregated data in accordance to the Washington Group questions?</v>
      </c>
      <c r="C306" s="227"/>
      <c r="D306" s="227"/>
      <c r="E306" s="227"/>
      <c r="F306" s="227"/>
      <c r="G306" s="227"/>
      <c r="H306" s="227"/>
      <c r="I306" s="227"/>
      <c r="J306" s="168"/>
      <c r="K306" s="25" t="str">
        <f>IF(AND(K304=YesLANG, J306=""),INDEX(TranslationTable[], MATCH(9043, TranslationTable[TranslationKeyId], 0), MATCH(LOWER(Language), TranslationTable[#Headers], 0)),"")</f>
        <v/>
      </c>
      <c r="L306" s="33"/>
      <c r="M306" s="33"/>
      <c r="N306" s="33"/>
      <c r="O306" s="19"/>
      <c r="P306" s="33"/>
      <c r="Q306" s="33"/>
      <c r="R306" s="19"/>
      <c r="S306" s="19"/>
      <c r="T306" s="280"/>
      <c r="U306" s="280"/>
      <c r="V306" s="281"/>
      <c r="AA306" s="31" t="str">
        <f>IF(AND(K304="Yes", J306=""), "Required", "")</f>
        <v/>
      </c>
    </row>
    <row r="307" spans="1:27" ht="22.35" customHeight="1" x14ac:dyDescent="0.25">
      <c r="A307" s="10"/>
      <c r="B307" s="18"/>
      <c r="C307" s="18"/>
      <c r="D307" s="19"/>
      <c r="E307" s="19"/>
      <c r="F307" s="19"/>
      <c r="G307" s="19"/>
      <c r="H307" s="19"/>
      <c r="I307" s="19"/>
      <c r="J307" s="19"/>
      <c r="K307" s="19"/>
      <c r="L307" s="19"/>
      <c r="M307" s="19"/>
      <c r="N307" s="19"/>
      <c r="O307" s="19"/>
      <c r="P307" s="19"/>
      <c r="Q307" s="19"/>
      <c r="R307" s="19"/>
      <c r="S307" s="19"/>
      <c r="T307" s="19"/>
      <c r="U307" s="19"/>
      <c r="V307" s="24"/>
      <c r="AA307" s="31"/>
    </row>
    <row r="308" spans="1:27" ht="22.35" customHeight="1" x14ac:dyDescent="0.25">
      <c r="A308" s="10"/>
      <c r="B308" s="26"/>
      <c r="C308" s="172" t="b">
        <v>0</v>
      </c>
      <c r="D308"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308" s="196"/>
      <c r="F308" s="19"/>
      <c r="G308" s="35"/>
      <c r="H308" s="172" t="b">
        <v>0</v>
      </c>
      <c r="I308"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308" s="196"/>
      <c r="K308" s="196"/>
      <c r="L308" s="196"/>
      <c r="M308" s="196"/>
      <c r="N308" s="19"/>
      <c r="O308" s="19"/>
      <c r="P308" s="19"/>
      <c r="Q308" s="19"/>
      <c r="R308" s="19"/>
      <c r="S308" s="19"/>
      <c r="T308" s="25"/>
      <c r="U308" s="19"/>
      <c r="V308" s="24"/>
      <c r="Y308" s="5" t="b">
        <v>0</v>
      </c>
      <c r="Z308" s="5" t="b">
        <v>0</v>
      </c>
      <c r="AA308" s="31" t="str">
        <f>IF(OR(Y308,Z308,R316&lt;&gt;""),"","Required")</f>
        <v>Required</v>
      </c>
    </row>
    <row r="309" spans="1:27" ht="22.35" customHeight="1" x14ac:dyDescent="0.25">
      <c r="A309" s="10"/>
      <c r="B309" s="199" t="str">
        <f>IF(OR(R316&lt;&gt;"", C308=TRUE, H308=TRUE), "", IFERROR(INDEX(TranslationTable[], MATCH(9043, TranslationTable[TranslationKeyId], 0), MATCH(LOWER(Language), TranslationTable[#Headers], 0)), ""))</f>
        <v>Required</v>
      </c>
      <c r="C309" s="200"/>
      <c r="D309" s="255" t="str">
        <f>SUBSTITUTE(INDEX(TranslationTable[],MATCH(4722,TranslationTable[TranslationKeyId],0),MATCH(TRIM(LOWER($V$5)),TranslationTable[#Headers],0)),"//",CHAR(10))</f>
        <v>People reached by water, sanitation and hygiene</v>
      </c>
      <c r="E309" s="228"/>
      <c r="F309" s="228"/>
      <c r="G309" s="228"/>
      <c r="H309" s="228"/>
      <c r="I309" s="228"/>
      <c r="J309" s="228"/>
      <c r="K309" s="228"/>
      <c r="L309" s="228"/>
      <c r="M309" s="228"/>
      <c r="N309" s="228"/>
      <c r="O309" s="228"/>
      <c r="P309" s="228"/>
      <c r="Q309" s="228"/>
      <c r="R309" s="229"/>
      <c r="S309" s="19"/>
      <c r="T309" s="33"/>
      <c r="U309" s="33"/>
      <c r="V309" s="24"/>
      <c r="AA309" s="31"/>
    </row>
    <row r="310" spans="1:27" ht="22.35" customHeight="1" x14ac:dyDescent="0.25">
      <c r="A310" s="10"/>
      <c r="B310" s="201"/>
      <c r="C310" s="202"/>
      <c r="D310" s="203" t="str">
        <f xml:space="preserve"> SUBSTITUTE(INDEX(TranslationTable[], MATCH(138, TranslationTable[TranslationKeyId], 0), MATCH(TRIM(LOWER($V$5)), TranslationTable[#Headers], 0)), "//", CHAR(10))</f>
        <v>Direct Recipients</v>
      </c>
      <c r="E310" s="204"/>
      <c r="F310" s="204"/>
      <c r="G310" s="204"/>
      <c r="H310" s="204"/>
      <c r="I310" s="204"/>
      <c r="J310" s="204"/>
      <c r="K310" s="204"/>
      <c r="L310" s="204"/>
      <c r="M310" s="204"/>
      <c r="N310" s="204"/>
      <c r="O310" s="204"/>
      <c r="P310" s="204"/>
      <c r="Q310" s="204"/>
      <c r="R310" s="205"/>
      <c r="S310" s="243" t="str">
        <f>SUBSTITUTE(INDEX(TranslationTable[],MATCH(982,TranslationTable[TranslationKeyId],0),MATCH(TRIM(LOWER($V$5)),TranslationTable[#Headers],0)),"//",CHAR(10))</f>
        <v>WASH activities and services promote the availability and sustainability of safe water, sanitation and hygiene of vulnerable people.</v>
      </c>
      <c r="T310" s="243"/>
      <c r="U310" s="243"/>
      <c r="V310" s="244"/>
      <c r="AA310" s="31"/>
    </row>
    <row r="311" spans="1:27" ht="30" customHeight="1" x14ac:dyDescent="0.25">
      <c r="A311" s="10"/>
      <c r="B311" s="197" t="str">
        <f>INDEX(TranslationTable[], MATCH(3306, TranslationTable[TranslationKeyId], 0), MATCH(TRIM(LOWER($V$5)), TranslationTable[#Headers], 0))</f>
        <v>Age group</v>
      </c>
      <c r="C311" s="198"/>
      <c r="D311" s="54" t="s">
        <v>17</v>
      </c>
      <c r="E311" s="54" t="s">
        <v>12</v>
      </c>
      <c r="F311" s="55" t="s">
        <v>13</v>
      </c>
      <c r="G311" s="192" t="s">
        <v>14</v>
      </c>
      <c r="H311" s="193"/>
      <c r="I311" s="55" t="s">
        <v>6</v>
      </c>
      <c r="J311" s="55" t="s">
        <v>7</v>
      </c>
      <c r="K311" s="55" t="s">
        <v>8</v>
      </c>
      <c r="L311" s="55" t="s">
        <v>9</v>
      </c>
      <c r="M311" s="55" t="s">
        <v>10</v>
      </c>
      <c r="N311" s="206" t="s">
        <v>11</v>
      </c>
      <c r="O311" s="207"/>
      <c r="P311" s="246" t="str">
        <f>INDEX(TranslationTable[], MATCH(701, TranslationTable[TranslationKeyId], 0), MATCH(TRIM(LOWER($V$5)), TranslationTable[#Headers], 0))</f>
        <v>Unknown</v>
      </c>
      <c r="Q311" s="247"/>
      <c r="R311" s="28" t="str">
        <f>INDEX(TranslationTable[], MATCH(6383, TranslationTable[TranslationKeyId], 0), MATCH(TRIM(LOWER($V$5)), TranslationTable[#Headers], 0))</f>
        <v>Total</v>
      </c>
      <c r="S311" s="243"/>
      <c r="T311" s="243"/>
      <c r="U311" s="243"/>
      <c r="V311" s="244"/>
      <c r="AA311" s="31"/>
    </row>
    <row r="312" spans="1:27" ht="22.35" customHeight="1" x14ac:dyDescent="0.25">
      <c r="A312" s="10"/>
      <c r="B312" s="197" t="str">
        <f>INDEX(TranslationTable[], MATCH(3301, TranslationTable[TranslationKeyId], 0), MATCH(TRIM(LOWER($V$5)), TranslationTable[#Headers], 0))</f>
        <v>Male</v>
      </c>
      <c r="C312" s="198"/>
      <c r="D312" s="1"/>
      <c r="E312" s="1"/>
      <c r="F312" s="1"/>
      <c r="G312" s="194"/>
      <c r="H312" s="195"/>
      <c r="I312" s="1"/>
      <c r="J312" s="1"/>
      <c r="K312" s="1"/>
      <c r="L312" s="1"/>
      <c r="M312" s="156"/>
      <c r="N312" s="220"/>
      <c r="O312" s="221"/>
      <c r="P312" s="241"/>
      <c r="Q312" s="242"/>
      <c r="R312" s="30" t="str">
        <f>IF(SUM(D312:P312)=0,"",SUM((D312:P312)))</f>
        <v/>
      </c>
      <c r="S312" s="243"/>
      <c r="T312" s="243"/>
      <c r="U312" s="243"/>
      <c r="V312" s="244"/>
      <c r="AA312" s="31"/>
    </row>
    <row r="313" spans="1:27" ht="22.35" customHeight="1" x14ac:dyDescent="0.25">
      <c r="A313" s="10"/>
      <c r="B313" s="197" t="str">
        <f>INDEX(TranslationTable[], MATCH(3302, TranslationTable[TranslationKeyId], 0), MATCH(TRIM(LOWER($V$5)), TranslationTable[#Headers], 0))</f>
        <v>Female</v>
      </c>
      <c r="C313" s="198"/>
      <c r="D313" s="1"/>
      <c r="E313" s="1"/>
      <c r="F313" s="1"/>
      <c r="G313" s="194"/>
      <c r="H313" s="195"/>
      <c r="I313" s="1"/>
      <c r="J313" s="1"/>
      <c r="K313" s="1"/>
      <c r="L313" s="1"/>
      <c r="M313" s="1"/>
      <c r="N313" s="220"/>
      <c r="O313" s="221"/>
      <c r="P313" s="241"/>
      <c r="Q313" s="242"/>
      <c r="R313" s="30" t="str">
        <f>IF(SUM(D313:P313)=0,"",SUM((D313:P313)))</f>
        <v/>
      </c>
      <c r="S313" s="243"/>
      <c r="T313" s="243"/>
      <c r="U313" s="243"/>
      <c r="V313" s="244"/>
      <c r="AA313" s="31"/>
    </row>
    <row r="314" spans="1:27" ht="22.35" customHeight="1" x14ac:dyDescent="0.25">
      <c r="A314" s="10"/>
      <c r="B314" s="197" t="str">
        <f>INDEX(TranslationTable[], MATCH(9001, TranslationTable[TranslationKeyId], 0), MATCH(TRIM(LOWER($V$5)), TranslationTable[#Headers], 0))</f>
        <v>Non-binary</v>
      </c>
      <c r="C314" s="198"/>
      <c r="D314" s="1"/>
      <c r="E314" s="1"/>
      <c r="F314" s="1"/>
      <c r="G314" s="194"/>
      <c r="H314" s="195"/>
      <c r="I314" s="1"/>
      <c r="J314" s="1"/>
      <c r="K314" s="1"/>
      <c r="L314" s="1"/>
      <c r="M314" s="1"/>
      <c r="N314" s="220"/>
      <c r="O314" s="221"/>
      <c r="P314" s="241"/>
      <c r="Q314" s="242"/>
      <c r="R314" s="30" t="str">
        <f>IF(SUM(D314:P314)=0,"",SUM((D314:P314)))</f>
        <v/>
      </c>
      <c r="S314" s="243"/>
      <c r="T314" s="243"/>
      <c r="U314" s="243"/>
      <c r="V314" s="244"/>
      <c r="AA314" s="31"/>
    </row>
    <row r="315" spans="1:27" ht="22.35" customHeight="1" x14ac:dyDescent="0.25">
      <c r="A315" s="10"/>
      <c r="B315" s="197" t="str">
        <f>INDEX(TranslationTable[], MATCH(701, TranslationTable[TranslationKeyId], 0), MATCH(TRIM(LOWER($V$5)), TranslationTable[#Headers], 0))</f>
        <v>Unknown</v>
      </c>
      <c r="C315" s="198"/>
      <c r="D315" s="142"/>
      <c r="E315" s="142"/>
      <c r="F315" s="142"/>
      <c r="G315" s="190"/>
      <c r="H315" s="191"/>
      <c r="I315" s="142"/>
      <c r="J315" s="142"/>
      <c r="K315" s="142"/>
      <c r="L315" s="142"/>
      <c r="M315" s="142"/>
      <c r="N315" s="250"/>
      <c r="O315" s="251"/>
      <c r="P315" s="248"/>
      <c r="Q315" s="249"/>
      <c r="R315" s="30" t="str">
        <f>IF(SUM(D315:P315)=0,"",SUM((D315:P315)))</f>
        <v/>
      </c>
      <c r="S315" s="82"/>
      <c r="T315" s="276" t="str">
        <f xml:space="preserve"> SUBSTITUTE(INDEX(TranslationTable[], MATCH(139, TranslationTable[TranslationKeyId], 0), MATCH(TRIM(LOWER($V$5)), TranslationTable[#Headers], 0)), "//", CHAR(10))</f>
        <v>Indirect Recipients</v>
      </c>
      <c r="U315" s="277"/>
      <c r="V315" s="90"/>
      <c r="AA315" s="31"/>
    </row>
    <row r="316" spans="1:27" ht="22.35" customHeight="1" x14ac:dyDescent="0.25">
      <c r="A316" s="10"/>
      <c r="B316" s="197" t="str">
        <f>INDEX(TranslationTable[], MATCH(6383, TranslationTable[TranslationKeyId], 0), MATCH(TRIM(LOWER($V$5)), TranslationTable[#Headers], 0))</f>
        <v>Total</v>
      </c>
      <c r="C316" s="198"/>
      <c r="D316" s="30" t="str">
        <f>IF(SUM(D312:D315)=0,"",SUM(D312:D315))</f>
        <v/>
      </c>
      <c r="E316" s="30" t="str">
        <f>IF(SUM(E312:E315)=0,"",SUM(E312:E315))</f>
        <v/>
      </c>
      <c r="F316" s="30" t="str">
        <f>IF(SUM(F312:F315)=0,"",SUM(F312:F315))</f>
        <v/>
      </c>
      <c r="G316" s="188" t="str">
        <f t="shared" ref="G316:P316" si="17">IF(SUM(G312:G315)=0,"",SUM(G312:G315))</f>
        <v/>
      </c>
      <c r="H316" s="189"/>
      <c r="I316" s="30" t="str">
        <f t="shared" si="17"/>
        <v/>
      </c>
      <c r="J316" s="30" t="str">
        <f t="shared" si="17"/>
        <v/>
      </c>
      <c r="K316" s="30" t="str">
        <f t="shared" si="17"/>
        <v/>
      </c>
      <c r="L316" s="30" t="str">
        <f t="shared" si="17"/>
        <v/>
      </c>
      <c r="M316" s="30" t="str">
        <f t="shared" si="17"/>
        <v/>
      </c>
      <c r="N316" s="239" t="str">
        <f t="shared" si="17"/>
        <v/>
      </c>
      <c r="O316" s="240"/>
      <c r="P316" s="239" t="str">
        <f t="shared" si="17"/>
        <v/>
      </c>
      <c r="Q316" s="240"/>
      <c r="R316" s="30" t="str">
        <f>IF(SUM(D316:P316)=0,"",SUM((D316:P316)))</f>
        <v/>
      </c>
      <c r="S316" s="82"/>
      <c r="T316" s="230"/>
      <c r="U316" s="232"/>
      <c r="V316" s="160" t="str">
        <f>IF(OR(T316&lt;&gt;"", C308=TRUE,H308=TRUE), "", IFERROR(INDEX(TranslationTable[], MATCH(9043, TranslationTable[TranslationKeyId], 0), MATCH(LOWER(Language), TranslationTable[#Headers], 0)), ""))</f>
        <v>Required</v>
      </c>
      <c r="AA316" s="31" t="str">
        <f>IF(AND(Y308+Z308=0,T316=""), "Required", "")</f>
        <v>Required</v>
      </c>
    </row>
    <row r="317" spans="1:27" ht="27.95" customHeight="1" x14ac:dyDescent="0.25">
      <c r="A317" s="10"/>
      <c r="B317" s="18"/>
      <c r="C317" s="18"/>
      <c r="D317" s="19"/>
      <c r="E317" s="19"/>
      <c r="F317" s="19"/>
      <c r="G317" s="19"/>
      <c r="H317" s="19"/>
      <c r="I317" s="19"/>
      <c r="J317" s="19"/>
      <c r="K317" s="19"/>
      <c r="L317" s="19"/>
      <c r="M317" s="19"/>
      <c r="N317" s="19"/>
      <c r="O317" s="19"/>
      <c r="P317" s="19"/>
      <c r="Q317" s="19"/>
      <c r="R317" s="19"/>
      <c r="S317" s="19"/>
      <c r="T317" s="280" t="str">
        <f>IF(T316=0,"",$B$426)</f>
        <v/>
      </c>
      <c r="U317" s="280"/>
      <c r="V317" s="281"/>
    </row>
    <row r="318" spans="1:27" ht="27.95" customHeight="1" x14ac:dyDescent="0.25">
      <c r="A318" s="10"/>
      <c r="B318" s="262" t="str">
        <f>INDEX(TranslationTable[], MATCH(124, TranslationTable[TranslationKeyId], 0), MATCH(TRIM(LOWER($V$5)), TranslationTable[#Headers], 0))</f>
        <v>Is your National Society capturing disaggregated data based on disability for this indicator, i.e.the number of persons with disabilities?</v>
      </c>
      <c r="C318" s="263"/>
      <c r="D318" s="263"/>
      <c r="E318" s="263"/>
      <c r="F318" s="263"/>
      <c r="G318" s="263"/>
      <c r="H318" s="263"/>
      <c r="I318" s="263"/>
      <c r="J318" s="264"/>
      <c r="K318" s="162"/>
      <c r="L318" s="25" t="str">
        <f>IF(OR(K318&lt;&gt;"",C308=TRUE,H308=TRUE),"",INDEX(TranslationTable[],MATCH(9043,TranslationTable[TranslationKeyId],0),MATCH(LOWER(Language),TranslationTable[#Headers],0)))</f>
        <v>Required</v>
      </c>
      <c r="M318" s="19"/>
      <c r="N318" s="19"/>
      <c r="O318" s="19"/>
      <c r="P318" s="33"/>
      <c r="Q318" s="33"/>
      <c r="R318" s="19"/>
      <c r="S318" s="19"/>
      <c r="T318" s="280"/>
      <c r="U318" s="280"/>
      <c r="V318" s="281"/>
      <c r="AA318" s="31" t="str">
        <f>IF(AND(Y308+Z308=0,K318=""), "Required", "")</f>
        <v>Required</v>
      </c>
    </row>
    <row r="319" spans="1:27" ht="27.95" customHeight="1" x14ac:dyDescent="0.25">
      <c r="A319" s="10"/>
      <c r="B319" s="33"/>
      <c r="C319" s="33"/>
      <c r="D319" s="33"/>
      <c r="E319" s="33"/>
      <c r="F319" s="33"/>
      <c r="G319" s="33"/>
      <c r="H319" s="33"/>
      <c r="I319" s="33"/>
      <c r="J319" s="33"/>
      <c r="K319" s="33"/>
      <c r="L319" s="33"/>
      <c r="M319" s="19"/>
      <c r="N319" s="19"/>
      <c r="O319" s="19"/>
      <c r="P319" s="33"/>
      <c r="Q319" s="33"/>
      <c r="R319" s="19"/>
      <c r="S319" s="19"/>
      <c r="T319" s="280"/>
      <c r="U319" s="280"/>
      <c r="V319" s="281"/>
      <c r="AA319" s="31"/>
    </row>
    <row r="320" spans="1:27" ht="27.95" customHeight="1" x14ac:dyDescent="0.25">
      <c r="A320" s="10"/>
      <c r="B320" s="226" t="str">
        <f>INDEX(TranslationTable[], MATCH(125, TranslationTable[TranslationKeyId], 0), MATCH(TRIM(LOWER(Language)), TranslationTable[#Headers], 0))</f>
        <v>If answered yes, is your disability disaggregated data in accordance to the Washington Group questions?</v>
      </c>
      <c r="C320" s="227"/>
      <c r="D320" s="227"/>
      <c r="E320" s="227"/>
      <c r="F320" s="227"/>
      <c r="G320" s="227"/>
      <c r="H320" s="227"/>
      <c r="I320" s="227"/>
      <c r="J320" s="168"/>
      <c r="K320" s="25" t="str">
        <f>IF(AND(K318=YesLANG, J320=""),INDEX(TranslationTable[], MATCH(9043, TranslationTable[TranslationKeyId], 0), MATCH(LOWER(Language), TranslationTable[#Headers], 0)),"")</f>
        <v/>
      </c>
      <c r="L320" s="33"/>
      <c r="M320" s="33"/>
      <c r="N320" s="33"/>
      <c r="O320" s="19"/>
      <c r="P320" s="33"/>
      <c r="Q320" s="33"/>
      <c r="R320" s="19"/>
      <c r="S320" s="19"/>
      <c r="T320" s="280"/>
      <c r="U320" s="280"/>
      <c r="V320" s="281"/>
      <c r="AA320" s="31" t="str">
        <f>IF(AND(K318="Yes", J320=""), "Required", "")</f>
        <v/>
      </c>
    </row>
    <row r="321" spans="1:27" ht="22.35" customHeight="1" x14ac:dyDescent="0.25">
      <c r="A321" s="10"/>
      <c r="B321" s="18"/>
      <c r="C321" s="18"/>
      <c r="D321" s="19"/>
      <c r="E321" s="19"/>
      <c r="F321" s="19"/>
      <c r="G321" s="19"/>
      <c r="H321" s="19"/>
      <c r="I321" s="19"/>
      <c r="J321" s="19"/>
      <c r="K321" s="19"/>
      <c r="L321" s="19"/>
      <c r="M321" s="19"/>
      <c r="N321" s="19"/>
      <c r="O321" s="19"/>
      <c r="P321" s="19"/>
      <c r="Q321" s="19"/>
      <c r="R321" s="19"/>
      <c r="S321" s="19"/>
      <c r="T321" s="19"/>
      <c r="U321" s="19"/>
      <c r="V321" s="24"/>
      <c r="AA321" s="31"/>
    </row>
    <row r="322" spans="1:27" ht="22.35" customHeight="1" x14ac:dyDescent="0.25">
      <c r="A322" s="10"/>
      <c r="B322" s="26"/>
      <c r="C322" s="172" t="b">
        <v>0</v>
      </c>
      <c r="D322"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322" s="196"/>
      <c r="F322" s="19"/>
      <c r="G322" s="35"/>
      <c r="H322" s="172" t="b">
        <v>0</v>
      </c>
      <c r="I322"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322" s="196"/>
      <c r="K322" s="196"/>
      <c r="L322" s="196"/>
      <c r="M322" s="196"/>
      <c r="N322" s="19"/>
      <c r="O322" s="19"/>
      <c r="P322" s="19"/>
      <c r="Q322" s="19"/>
      <c r="R322" s="19"/>
      <c r="S322" s="19"/>
      <c r="T322" s="25"/>
      <c r="U322" s="19"/>
      <c r="V322" s="24"/>
      <c r="Y322" s="5" t="b">
        <v>0</v>
      </c>
      <c r="Z322" s="5" t="b">
        <v>0</v>
      </c>
      <c r="AA322" s="31" t="str">
        <f>IF(OR(Y322,Z322,R330&lt;&gt;""),"","Required")</f>
        <v>Required</v>
      </c>
    </row>
    <row r="323" spans="1:27" ht="22.35" customHeight="1" x14ac:dyDescent="0.25">
      <c r="A323" s="10"/>
      <c r="B323" s="199" t="str">
        <f>IF(OR(R330&lt;&gt;"", C322=TRUE, H322=TRUE), "", IFERROR(INDEX(TranslationTable[], MATCH(9043, TranslationTable[TranslationKeyId], 0), MATCH(LOWER(Language), TranslationTable[#Headers], 0)), ""))</f>
        <v>Required</v>
      </c>
      <c r="C323" s="200"/>
      <c r="D323" s="255" t="str">
        <f>INDEX(TranslationTable[], MATCH(9030, TranslationTable[TranslationKeyId], 0), MATCH(TRIM(LOWER(Language)), TranslationTable[#Headers], 0))</f>
        <v>Migrants and displaced persons reached with services for assistance and protection</v>
      </c>
      <c r="E323" s="228"/>
      <c r="F323" s="228"/>
      <c r="G323" s="228"/>
      <c r="H323" s="228"/>
      <c r="I323" s="228"/>
      <c r="J323" s="228"/>
      <c r="K323" s="228"/>
      <c r="L323" s="228"/>
      <c r="M323" s="228"/>
      <c r="N323" s="228"/>
      <c r="O323" s="228"/>
      <c r="P323" s="228"/>
      <c r="Q323" s="228"/>
      <c r="R323" s="229"/>
      <c r="S323" s="407" t="str">
        <f>SUBSTITUTE(INDEX(TranslationTable[],MATCH(984,TranslationTable[TranslationKeyId],0),MATCH(TRIM(LOWER($V$5)),TranslationTable[#Headers],0)),"//",CHAR(10))</f>
        <v>Migration activities support the needs of people who leave or flee their homes in search of a more secure and stable environment in other countries. The Red Cross and Red Crescent has a trusted and vital role to play in meeting immediate needs and insisting on principled humanitarian action to protect the dignity and well-being of migrants, including migrant workers, irregular migrants, refugees and unaccompanied minors, among others.</v>
      </c>
      <c r="T323" s="407"/>
      <c r="U323" s="407"/>
      <c r="V323" s="408"/>
      <c r="AA323" s="31"/>
    </row>
    <row r="324" spans="1:27" ht="22.35" customHeight="1" x14ac:dyDescent="0.25">
      <c r="A324" s="10"/>
      <c r="B324" s="201"/>
      <c r="C324" s="202"/>
      <c r="D324" s="203" t="str">
        <f xml:space="preserve"> SUBSTITUTE(INDEX(TranslationTable[], MATCH(138, TranslationTable[TranslationKeyId], 0), MATCH(TRIM(LOWER($V$5)), TranslationTable[#Headers], 0)), "//", CHAR(10))</f>
        <v>Direct Recipients</v>
      </c>
      <c r="E324" s="204"/>
      <c r="F324" s="204"/>
      <c r="G324" s="204"/>
      <c r="H324" s="204"/>
      <c r="I324" s="204"/>
      <c r="J324" s="204"/>
      <c r="K324" s="204"/>
      <c r="L324" s="204"/>
      <c r="M324" s="204"/>
      <c r="N324" s="204"/>
      <c r="O324" s="204"/>
      <c r="P324" s="204"/>
      <c r="Q324" s="204"/>
      <c r="R324" s="205"/>
      <c r="S324" s="407"/>
      <c r="T324" s="407"/>
      <c r="U324" s="407"/>
      <c r="V324" s="408"/>
      <c r="AA324" s="31"/>
    </row>
    <row r="325" spans="1:27" ht="30" customHeight="1" x14ac:dyDescent="0.25">
      <c r="A325" s="10"/>
      <c r="B325" s="197" t="str">
        <f>INDEX(TranslationTable[], MATCH(3306, TranslationTable[TranslationKeyId], 0), MATCH(TRIM(LOWER($V$5)), TranslationTable[#Headers], 0))</f>
        <v>Age group</v>
      </c>
      <c r="C325" s="198"/>
      <c r="D325" s="54" t="s">
        <v>17</v>
      </c>
      <c r="E325" s="54" t="s">
        <v>12</v>
      </c>
      <c r="F325" s="55" t="s">
        <v>13</v>
      </c>
      <c r="G325" s="192" t="s">
        <v>14</v>
      </c>
      <c r="H325" s="193"/>
      <c r="I325" s="55" t="s">
        <v>6</v>
      </c>
      <c r="J325" s="55" t="s">
        <v>7</v>
      </c>
      <c r="K325" s="55" t="s">
        <v>8</v>
      </c>
      <c r="L325" s="55" t="s">
        <v>9</v>
      </c>
      <c r="M325" s="55" t="s">
        <v>10</v>
      </c>
      <c r="N325" s="206" t="s">
        <v>11</v>
      </c>
      <c r="O325" s="207"/>
      <c r="P325" s="246" t="str">
        <f>INDEX(TranslationTable[], MATCH(701, TranslationTable[TranslationKeyId], 0), MATCH(TRIM(LOWER($V$5)), TranslationTable[#Headers], 0))</f>
        <v>Unknown</v>
      </c>
      <c r="Q325" s="247"/>
      <c r="R325" s="28" t="str">
        <f>INDEX(TranslationTable[], MATCH(6383, TranslationTable[TranslationKeyId], 0), MATCH(TRIM(LOWER($V$5)), TranslationTable[#Headers], 0))</f>
        <v>Total</v>
      </c>
      <c r="S325" s="407"/>
      <c r="T325" s="407"/>
      <c r="U325" s="407"/>
      <c r="V325" s="408"/>
      <c r="AA325" s="31"/>
    </row>
    <row r="326" spans="1:27" ht="22.35" customHeight="1" x14ac:dyDescent="0.25">
      <c r="A326" s="10"/>
      <c r="B326" s="197" t="str">
        <f>INDEX(TranslationTable[], MATCH(3301, TranslationTable[TranslationKeyId], 0), MATCH(TRIM(LOWER($V$5)), TranslationTable[#Headers], 0))</f>
        <v>Male</v>
      </c>
      <c r="C326" s="198"/>
      <c r="D326" s="1"/>
      <c r="E326" s="1"/>
      <c r="F326" s="1"/>
      <c r="G326" s="194"/>
      <c r="H326" s="195"/>
      <c r="I326" s="1"/>
      <c r="J326" s="1"/>
      <c r="K326" s="1"/>
      <c r="L326" s="1"/>
      <c r="M326" s="156"/>
      <c r="N326" s="220"/>
      <c r="O326" s="221"/>
      <c r="P326" s="241"/>
      <c r="Q326" s="242"/>
      <c r="R326" s="30" t="str">
        <f>IF(SUM(D326:P326)=0,"",SUM((D326:P326)))</f>
        <v/>
      </c>
      <c r="S326" s="407"/>
      <c r="T326" s="407"/>
      <c r="U326" s="407"/>
      <c r="V326" s="408"/>
      <c r="AA326" s="31"/>
    </row>
    <row r="327" spans="1:27" ht="22.35" customHeight="1" x14ac:dyDescent="0.25">
      <c r="A327" s="10"/>
      <c r="B327" s="197" t="str">
        <f>INDEX(TranslationTable[], MATCH(3302, TranslationTable[TranslationKeyId], 0), MATCH(TRIM(LOWER($V$5)), TranslationTable[#Headers], 0))</f>
        <v>Female</v>
      </c>
      <c r="C327" s="198"/>
      <c r="D327" s="1"/>
      <c r="E327" s="1"/>
      <c r="F327" s="1"/>
      <c r="G327" s="194"/>
      <c r="H327" s="195"/>
      <c r="I327" s="1"/>
      <c r="J327" s="1"/>
      <c r="K327" s="1"/>
      <c r="L327" s="1"/>
      <c r="M327" s="1"/>
      <c r="N327" s="220"/>
      <c r="O327" s="221"/>
      <c r="P327" s="241"/>
      <c r="Q327" s="242"/>
      <c r="R327" s="30" t="str">
        <f>IF(SUM(D327:P327)=0,"",SUM((D327:P327)))</f>
        <v/>
      </c>
      <c r="S327" s="407"/>
      <c r="T327" s="407"/>
      <c r="U327" s="407"/>
      <c r="V327" s="408"/>
      <c r="AA327" s="31"/>
    </row>
    <row r="328" spans="1:27" ht="22.35" customHeight="1" x14ac:dyDescent="0.25">
      <c r="A328" s="10"/>
      <c r="B328" s="197" t="str">
        <f>INDEX(TranslationTable[], MATCH(9001, TranslationTable[TranslationKeyId], 0), MATCH(TRIM(LOWER($V$5)), TranslationTable[#Headers], 0))</f>
        <v>Non-binary</v>
      </c>
      <c r="C328" s="198"/>
      <c r="D328" s="1"/>
      <c r="E328" s="1"/>
      <c r="F328" s="1"/>
      <c r="G328" s="194"/>
      <c r="H328" s="195"/>
      <c r="I328" s="1"/>
      <c r="J328" s="1"/>
      <c r="K328" s="1"/>
      <c r="L328" s="1"/>
      <c r="M328" s="1"/>
      <c r="N328" s="220"/>
      <c r="O328" s="221"/>
      <c r="P328" s="241"/>
      <c r="Q328" s="242"/>
      <c r="R328" s="30" t="str">
        <f>IF(SUM(D328:P328)=0,"",SUM((D328:P328)))</f>
        <v/>
      </c>
      <c r="S328" s="407"/>
      <c r="T328" s="407"/>
      <c r="U328" s="407"/>
      <c r="V328" s="408"/>
      <c r="AA328" s="31"/>
    </row>
    <row r="329" spans="1:27" ht="22.35" customHeight="1" x14ac:dyDescent="0.25">
      <c r="A329" s="10"/>
      <c r="B329" s="197" t="str">
        <f>INDEX(TranslationTable[], MATCH(701, TranslationTable[TranslationKeyId], 0), MATCH(TRIM(LOWER($V$5)), TranslationTable[#Headers], 0))</f>
        <v>Unknown</v>
      </c>
      <c r="C329" s="198"/>
      <c r="D329" s="142"/>
      <c r="E329" s="142"/>
      <c r="F329" s="142"/>
      <c r="G329" s="190"/>
      <c r="H329" s="191"/>
      <c r="I329" s="142"/>
      <c r="J329" s="142"/>
      <c r="K329" s="142"/>
      <c r="L329" s="142"/>
      <c r="M329" s="142"/>
      <c r="N329" s="250"/>
      <c r="O329" s="251"/>
      <c r="P329" s="248"/>
      <c r="Q329" s="249"/>
      <c r="R329" s="30" t="str">
        <f>IF(SUM(D329:P329)=0,"",SUM((D329:P329)))</f>
        <v/>
      </c>
      <c r="S329" s="407"/>
      <c r="T329" s="407"/>
      <c r="U329" s="407"/>
      <c r="V329" s="408"/>
      <c r="AA329" s="31"/>
    </row>
    <row r="330" spans="1:27" ht="22.35" customHeight="1" x14ac:dyDescent="0.25">
      <c r="A330" s="10"/>
      <c r="B330" s="197" t="str">
        <f>INDEX(TranslationTable[], MATCH(6383, TranslationTable[TranslationKeyId], 0), MATCH(TRIM(LOWER($V$5)), TranslationTable[#Headers], 0))</f>
        <v>Total</v>
      </c>
      <c r="C330" s="198"/>
      <c r="D330" s="30" t="str">
        <f>IF(SUM(D326:D329)=0,"",SUM(D326:D329))</f>
        <v/>
      </c>
      <c r="E330" s="30" t="str">
        <f>IF(SUM(E326:E329)=0,"",SUM(E326:E329))</f>
        <v/>
      </c>
      <c r="F330" s="30" t="str">
        <f>IF(SUM(F326:F329)=0,"",SUM(F326:F329))</f>
        <v/>
      </c>
      <c r="G330" s="188" t="str">
        <f t="shared" ref="G330:P330" si="18">IF(SUM(G326:G329)=0,"",SUM(G326:G329))</f>
        <v/>
      </c>
      <c r="H330" s="189"/>
      <c r="I330" s="30" t="str">
        <f t="shared" si="18"/>
        <v/>
      </c>
      <c r="J330" s="30" t="str">
        <f t="shared" si="18"/>
        <v/>
      </c>
      <c r="K330" s="30" t="str">
        <f t="shared" si="18"/>
        <v/>
      </c>
      <c r="L330" s="30" t="str">
        <f t="shared" si="18"/>
        <v/>
      </c>
      <c r="M330" s="30" t="str">
        <f t="shared" si="18"/>
        <v/>
      </c>
      <c r="N330" s="239" t="str">
        <f t="shared" si="18"/>
        <v/>
      </c>
      <c r="O330" s="240"/>
      <c r="P330" s="239" t="str">
        <f t="shared" si="18"/>
        <v/>
      </c>
      <c r="Q330" s="240"/>
      <c r="R330" s="30" t="str">
        <f>IF(SUM(D330:P330)=0,"",SUM((D330:P330)))</f>
        <v/>
      </c>
      <c r="S330" s="82"/>
      <c r="T330" s="276" t="str">
        <f xml:space="preserve"> SUBSTITUTE(INDEX(TranslationTable[], MATCH(139, TranslationTable[TranslationKeyId], 0), MATCH(TRIM(LOWER($V$5)), TranslationTable[#Headers], 0)), "//", CHAR(10))</f>
        <v>Indirect Recipients</v>
      </c>
      <c r="U330" s="277"/>
      <c r="V330" s="90"/>
      <c r="AA330" s="31"/>
    </row>
    <row r="331" spans="1:27" ht="22.35" customHeight="1" x14ac:dyDescent="0.25">
      <c r="A331" s="10"/>
      <c r="B331" s="18"/>
      <c r="C331" s="18"/>
      <c r="D331" s="19"/>
      <c r="E331" s="19"/>
      <c r="F331" s="19"/>
      <c r="G331" s="19"/>
      <c r="H331" s="19"/>
      <c r="I331" s="19"/>
      <c r="J331" s="19"/>
      <c r="K331" s="19"/>
      <c r="L331" s="19"/>
      <c r="M331" s="19"/>
      <c r="N331" s="19"/>
      <c r="O331" s="19"/>
      <c r="P331" s="19"/>
      <c r="Q331" s="19"/>
      <c r="R331" s="19"/>
      <c r="S331" s="19"/>
      <c r="T331" s="230"/>
      <c r="U331" s="232"/>
      <c r="V331" s="160" t="str">
        <f>IF(OR(T331&lt;&gt;"", C322=TRUE,H322=TRUE), "", IFERROR(INDEX(TranslationTable[], MATCH(9043, TranslationTable[TranslationKeyId], 0), MATCH(LOWER(Language), TranslationTable[#Headers], 0)), ""))</f>
        <v>Required</v>
      </c>
      <c r="AA331" s="31" t="str">
        <f>IF(AND(Y322+Z322=0,T331=""), "Required", "")</f>
        <v>Required</v>
      </c>
    </row>
    <row r="332" spans="1:27" ht="27.95" customHeight="1" x14ac:dyDescent="0.25">
      <c r="A332" s="10"/>
      <c r="B332" s="262" t="str">
        <f>INDEX(TranslationTable[], MATCH(124, TranslationTable[TranslationKeyId], 0), MATCH(TRIM(LOWER($V$5)), TranslationTable[#Headers], 0))</f>
        <v>Is your National Society capturing disaggregated data based on disability for this indicator, i.e.the number of persons with disabilities?</v>
      </c>
      <c r="C332" s="263"/>
      <c r="D332" s="263"/>
      <c r="E332" s="263"/>
      <c r="F332" s="263"/>
      <c r="G332" s="263"/>
      <c r="H332" s="263"/>
      <c r="I332" s="263"/>
      <c r="J332" s="264"/>
      <c r="K332" s="162"/>
      <c r="L332" s="25" t="str">
        <f>IF(OR(K332&lt;&gt;"",C322=TRUE,H322=TRUE),"",INDEX(TranslationTable[],MATCH(9043,TranslationTable[TranslationKeyId],0),MATCH(LOWER(Language),TranslationTable[#Headers],0)))</f>
        <v>Required</v>
      </c>
      <c r="M332" s="19"/>
      <c r="N332" s="19"/>
      <c r="O332" s="19"/>
      <c r="P332" s="19"/>
      <c r="Q332" s="19"/>
      <c r="R332" s="19"/>
      <c r="S332" s="19"/>
      <c r="T332" s="280" t="str">
        <f>IF(T331=0,"",$B$426)</f>
        <v/>
      </c>
      <c r="U332" s="280"/>
      <c r="V332" s="281"/>
      <c r="AA332" s="31" t="str">
        <f>IF(AND(Y322+Z322=0,K332=""), "Required", "")</f>
        <v>Required</v>
      </c>
    </row>
    <row r="333" spans="1:27" ht="27.95" customHeight="1" x14ac:dyDescent="0.25">
      <c r="A333" s="7"/>
      <c r="B333" s="111"/>
      <c r="C333" s="19"/>
      <c r="D333" s="19"/>
      <c r="E333" s="19"/>
      <c r="F333" s="19"/>
      <c r="G333" s="19"/>
      <c r="H333" s="19"/>
      <c r="I333" s="19"/>
      <c r="J333" s="19"/>
      <c r="K333" s="19"/>
      <c r="L333" s="19"/>
      <c r="M333" s="19"/>
      <c r="N333" s="19"/>
      <c r="O333" s="19"/>
      <c r="P333" s="19"/>
      <c r="Q333" s="19"/>
      <c r="R333" s="19"/>
      <c r="S333" s="19"/>
      <c r="T333" s="280"/>
      <c r="U333" s="280"/>
      <c r="V333" s="281"/>
      <c r="AA333" s="31"/>
    </row>
    <row r="334" spans="1:27" ht="27.95" customHeight="1" x14ac:dyDescent="0.25">
      <c r="A334" s="10"/>
      <c r="B334" s="226" t="str">
        <f>INDEX(TranslationTable[], MATCH(125, TranslationTable[TranslationKeyId], 0), MATCH(TRIM(LOWER(Language)), TranslationTable[#Headers], 0))</f>
        <v>If answered yes, is your disability disaggregated data in accordance to the Washington Group questions?</v>
      </c>
      <c r="C334" s="227"/>
      <c r="D334" s="227"/>
      <c r="E334" s="227"/>
      <c r="F334" s="227"/>
      <c r="G334" s="227"/>
      <c r="H334" s="227"/>
      <c r="I334" s="227"/>
      <c r="J334" s="168"/>
      <c r="K334" s="25" t="str">
        <f>IF(AND(K332=YesLANG, J334=""),INDEX(TranslationTable[], MATCH(9043, TranslationTable[TranslationKeyId], 0), MATCH(LOWER(Language), TranslationTable[#Headers], 0)),"")</f>
        <v/>
      </c>
      <c r="L334" s="33"/>
      <c r="M334" s="33"/>
      <c r="N334" s="33"/>
      <c r="O334" s="19"/>
      <c r="P334" s="19"/>
      <c r="Q334" s="19"/>
      <c r="R334" s="19"/>
      <c r="S334" s="19"/>
      <c r="T334" s="280"/>
      <c r="U334" s="280"/>
      <c r="V334" s="281"/>
      <c r="AA334" s="31"/>
    </row>
    <row r="335" spans="1:27" ht="27.95" customHeight="1" x14ac:dyDescent="0.25">
      <c r="A335" s="10"/>
      <c r="B335" s="109"/>
      <c r="C335" s="110"/>
      <c r="D335" s="110"/>
      <c r="E335" s="110"/>
      <c r="F335" s="110"/>
      <c r="G335" s="110"/>
      <c r="H335" s="110"/>
      <c r="I335" s="110"/>
      <c r="J335" s="100"/>
      <c r="K335" s="101"/>
      <c r="L335" s="33"/>
      <c r="M335" s="33"/>
      <c r="N335" s="33"/>
      <c r="O335" s="19"/>
      <c r="P335" s="19"/>
      <c r="Q335" s="19"/>
      <c r="R335" s="19"/>
      <c r="S335" s="19"/>
      <c r="T335" s="280"/>
      <c r="U335" s="280"/>
      <c r="V335" s="281"/>
      <c r="AA335" s="31"/>
    </row>
    <row r="336" spans="1:27" ht="27.95" customHeight="1" x14ac:dyDescent="0.25">
      <c r="A336" s="10"/>
      <c r="B336" s="282" t="str">
        <f>INDEX(TranslationTable[], MATCH(9031, TranslationTable[TranslationKeyId], 0), MATCH(TRIM(LOWER(Language)), TranslationTable[#Headers], 0))</f>
        <v>Has your NS conducted migration and displacement needs assessment?</v>
      </c>
      <c r="C336" s="283"/>
      <c r="D336" s="283"/>
      <c r="E336" s="283"/>
      <c r="F336" s="283"/>
      <c r="G336" s="283"/>
      <c r="H336" s="283"/>
      <c r="I336" s="284"/>
      <c r="J336" s="162"/>
      <c r="K336" s="25" t="str">
        <f>IF(J336="", INDEX(TranslationTable[], MATCH(9043, TranslationTable[TranslationKeyId], 0), MATCH(LOWER(Language), TranslationTable[#Headers], 0)), "")</f>
        <v>Required</v>
      </c>
      <c r="L336" s="33"/>
      <c r="M336" s="33"/>
      <c r="N336" s="33"/>
      <c r="O336" s="19"/>
      <c r="P336" s="33"/>
      <c r="Q336" s="33"/>
      <c r="R336" s="19"/>
      <c r="S336" s="19"/>
      <c r="T336" s="19"/>
      <c r="U336" s="19"/>
      <c r="V336" s="24"/>
      <c r="AA336" s="31" t="str">
        <f>IF(J336="", "Required", "")</f>
        <v>Required</v>
      </c>
    </row>
    <row r="337" spans="1:27" ht="22.35" customHeight="1" x14ac:dyDescent="0.25">
      <c r="A337" s="10"/>
      <c r="B337" s="35"/>
      <c r="C337" s="35"/>
      <c r="D337" s="35"/>
      <c r="E337" s="35"/>
      <c r="F337" s="35"/>
      <c r="G337" s="35"/>
      <c r="H337" s="35"/>
      <c r="I337" s="35"/>
      <c r="J337" s="19"/>
      <c r="K337" s="33"/>
      <c r="L337" s="33"/>
      <c r="M337" s="33"/>
      <c r="N337" s="33"/>
      <c r="O337" s="19"/>
      <c r="P337" s="33"/>
      <c r="Q337" s="33"/>
      <c r="R337" s="19"/>
      <c r="S337" s="19"/>
      <c r="T337" s="19"/>
      <c r="U337" s="19"/>
      <c r="V337" s="24"/>
      <c r="AA337" s="31"/>
    </row>
    <row r="338" spans="1:27" ht="27.95" customHeight="1" x14ac:dyDescent="0.25">
      <c r="A338" s="10"/>
      <c r="B338" s="282" t="str">
        <f>INDEX(TranslationTable[], MATCH(9032, TranslationTable[TranslationKeyId], 0), MATCH(TRIM(LOWER(Language)), TranslationTable[#Headers], 0))</f>
        <v>Has your NS integrated migration and displacement into your strategic planning?</v>
      </c>
      <c r="C338" s="283"/>
      <c r="D338" s="283"/>
      <c r="E338" s="283"/>
      <c r="F338" s="283"/>
      <c r="G338" s="283"/>
      <c r="H338" s="283"/>
      <c r="I338" s="284"/>
      <c r="J338" s="162"/>
      <c r="K338" s="25" t="str">
        <f>IF(J338="", INDEX(TranslationTable[], MATCH(9043, TranslationTable[TranslationKeyId], 0), MATCH(LOWER(Language), TranslationTable[#Headers], 0)), "")</f>
        <v>Required</v>
      </c>
      <c r="L338" s="33"/>
      <c r="M338" s="33"/>
      <c r="N338" s="33"/>
      <c r="O338" s="19"/>
      <c r="P338" s="33"/>
      <c r="Q338" s="33"/>
      <c r="R338" s="19"/>
      <c r="S338" s="19"/>
      <c r="T338" s="19"/>
      <c r="U338" s="19"/>
      <c r="V338" s="24"/>
      <c r="AA338" s="31"/>
    </row>
    <row r="339" spans="1:27" ht="22.35" customHeight="1" x14ac:dyDescent="0.25">
      <c r="A339" s="10"/>
      <c r="B339" s="18"/>
      <c r="C339" s="18"/>
      <c r="D339" s="19"/>
      <c r="E339" s="19"/>
      <c r="F339" s="19"/>
      <c r="G339" s="19"/>
      <c r="H339" s="19"/>
      <c r="I339" s="19"/>
      <c r="J339" s="19"/>
      <c r="K339" s="19"/>
      <c r="L339" s="19"/>
      <c r="M339" s="19"/>
      <c r="N339" s="19"/>
      <c r="O339" s="19"/>
      <c r="P339" s="19"/>
      <c r="Q339" s="19"/>
      <c r="R339" s="19"/>
      <c r="S339" s="19"/>
      <c r="T339" s="19"/>
      <c r="U339" s="19"/>
      <c r="V339" s="24"/>
      <c r="AA339" s="31"/>
    </row>
    <row r="340" spans="1:27" ht="21.75" customHeight="1" x14ac:dyDescent="0.25">
      <c r="A340" s="10"/>
      <c r="B340" s="26"/>
      <c r="C340" s="172" t="b">
        <v>0</v>
      </c>
      <c r="D340"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340" s="196"/>
      <c r="F340" s="19"/>
      <c r="G340" s="35"/>
      <c r="H340" s="172" t="b">
        <v>0</v>
      </c>
      <c r="I340"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340" s="196"/>
      <c r="K340" s="196"/>
      <c r="L340" s="196"/>
      <c r="M340" s="196"/>
      <c r="N340" s="19"/>
      <c r="O340" s="19"/>
      <c r="P340" s="19"/>
      <c r="Q340" s="19"/>
      <c r="R340" s="19"/>
      <c r="S340" s="19"/>
      <c r="T340" s="25"/>
      <c r="U340" s="19"/>
      <c r="V340" s="24"/>
      <c r="AA340" s="31" t="str">
        <f>IF(J338="", "Required", "")</f>
        <v>Required</v>
      </c>
    </row>
    <row r="341" spans="1:27" ht="22.35" customHeight="1" x14ac:dyDescent="0.25">
      <c r="A341" s="10"/>
      <c r="B341" s="199" t="str">
        <f>IF(OR(R348&lt;&gt;"", C340=TRUE, H340=TRUE), "", IFERROR(INDEX(TranslationTable[], MATCH(9043, TranslationTable[TranslationKeyId], 0), MATCH(LOWER(Language), TranslationTable[#Headers], 0)), ""))</f>
        <v>Required</v>
      </c>
      <c r="C341" s="200"/>
      <c r="D341" s="255" t="str">
        <f>INDEX(TranslationTable[], MATCH(9033, TranslationTable[TranslationKeyId], 0), MATCH(TRIM(LOWER(Language)), TranslationTable[#Headers], 0))</f>
        <v>People reached with climate and environmental activities</v>
      </c>
      <c r="E341" s="228"/>
      <c r="F341" s="228"/>
      <c r="G341" s="228"/>
      <c r="H341" s="228"/>
      <c r="I341" s="228"/>
      <c r="J341" s="228"/>
      <c r="K341" s="228"/>
      <c r="L341" s="228"/>
      <c r="M341" s="228"/>
      <c r="N341" s="228"/>
      <c r="O341" s="228"/>
      <c r="P341" s="228"/>
      <c r="Q341" s="228"/>
      <c r="R341" s="229"/>
      <c r="S341" s="407" t="str">
        <f>INDEX(TranslationTable[], MATCH(9034, TranslationTable[TranslationKeyId], 0), MATCH(TRIM(LOWER(Language)), TranslationTable[#Headers], 0))</f>
        <v xml:space="preserve">Programs that reduce risks and vulnerability to climate-related shocks, stresses and longer-term changes, such as climate change adaptation, disaster risk reduction and anticipatory action.
Climate change adaptation (CCA) refers to actions that reduce the negative impacts of the current and predicted future impacts of climate change, while taking advantage of potential new opportunities. For humanitarian organizations, this most often means working to decrease the harm that the changing climate may pose to people. Disaster risk reduction (DRR) and anticipatory action refer to efforts to reduce the exposure of people and communities to risks that might arise from disasters and preventing the negative impacts of disasters before they are felt. </v>
      </c>
      <c r="T341" s="407"/>
      <c r="U341" s="407"/>
      <c r="V341" s="408"/>
      <c r="Y341" s="5" t="b">
        <v>0</v>
      </c>
      <c r="Z341" s="5" t="b">
        <v>0</v>
      </c>
      <c r="AA341" s="31" t="str">
        <f>IF(OR(Y341,Z341,R348&lt;&gt;""),"","Required")</f>
        <v>Required</v>
      </c>
    </row>
    <row r="342" spans="1:27" ht="22.35" customHeight="1" x14ac:dyDescent="0.25">
      <c r="A342" s="10"/>
      <c r="B342" s="201"/>
      <c r="C342" s="202"/>
      <c r="D342" s="203" t="str">
        <f xml:space="preserve"> SUBSTITUTE(INDEX(TranslationTable[], MATCH(138, TranslationTable[TranslationKeyId], 0), MATCH(TRIM(LOWER($V$5)), TranslationTable[#Headers], 0)), "//", CHAR(10))</f>
        <v>Direct Recipients</v>
      </c>
      <c r="E342" s="204"/>
      <c r="F342" s="204"/>
      <c r="G342" s="204"/>
      <c r="H342" s="204"/>
      <c r="I342" s="204"/>
      <c r="J342" s="204"/>
      <c r="K342" s="204"/>
      <c r="L342" s="204"/>
      <c r="M342" s="204"/>
      <c r="N342" s="204"/>
      <c r="O342" s="204"/>
      <c r="P342" s="204"/>
      <c r="Q342" s="204"/>
      <c r="R342" s="205"/>
      <c r="S342" s="407"/>
      <c r="T342" s="407"/>
      <c r="U342" s="407"/>
      <c r="V342" s="408"/>
      <c r="AA342" s="31"/>
    </row>
    <row r="343" spans="1:27" ht="30" customHeight="1" x14ac:dyDescent="0.25">
      <c r="A343" s="10"/>
      <c r="B343" s="197" t="str">
        <f>INDEX(TranslationTable[], MATCH(3306, TranslationTable[TranslationKeyId], 0), MATCH(TRIM(LOWER($V$5)), TranslationTable[#Headers], 0))</f>
        <v>Age group</v>
      </c>
      <c r="C343" s="198"/>
      <c r="D343" s="54" t="s">
        <v>17</v>
      </c>
      <c r="E343" s="54" t="s">
        <v>12</v>
      </c>
      <c r="F343" s="55" t="s">
        <v>13</v>
      </c>
      <c r="G343" s="192" t="s">
        <v>14</v>
      </c>
      <c r="H343" s="193"/>
      <c r="I343" s="55" t="s">
        <v>6</v>
      </c>
      <c r="J343" s="55" t="s">
        <v>7</v>
      </c>
      <c r="K343" s="55" t="s">
        <v>8</v>
      </c>
      <c r="L343" s="55" t="s">
        <v>9</v>
      </c>
      <c r="M343" s="55" t="s">
        <v>10</v>
      </c>
      <c r="N343" s="206" t="s">
        <v>11</v>
      </c>
      <c r="O343" s="207"/>
      <c r="P343" s="246" t="str">
        <f>INDEX(TranslationTable[], MATCH(701, TranslationTable[TranslationKeyId], 0), MATCH(TRIM(LOWER($V$5)), TranslationTable[#Headers], 0))</f>
        <v>Unknown</v>
      </c>
      <c r="Q343" s="247"/>
      <c r="R343" s="28" t="str">
        <f>INDEX(TranslationTable[], MATCH(6383, TranslationTable[TranslationKeyId], 0), MATCH(TRIM(LOWER($V$5)), TranslationTable[#Headers], 0))</f>
        <v>Total</v>
      </c>
      <c r="S343" s="407"/>
      <c r="T343" s="407"/>
      <c r="U343" s="407"/>
      <c r="V343" s="408"/>
      <c r="AA343" s="31"/>
    </row>
    <row r="344" spans="1:27" ht="22.35" customHeight="1" x14ac:dyDescent="0.25">
      <c r="A344" s="10"/>
      <c r="B344" s="197" t="str">
        <f>INDEX(TranslationTable[], MATCH(3301, TranslationTable[TranslationKeyId], 0), MATCH(TRIM(LOWER($V$5)), TranslationTable[#Headers], 0))</f>
        <v>Male</v>
      </c>
      <c r="C344" s="198"/>
      <c r="D344" s="1"/>
      <c r="E344" s="1"/>
      <c r="F344" s="1"/>
      <c r="G344" s="194"/>
      <c r="H344" s="195"/>
      <c r="I344" s="1"/>
      <c r="J344" s="1"/>
      <c r="K344" s="1"/>
      <c r="L344" s="1"/>
      <c r="M344" s="156"/>
      <c r="N344" s="220"/>
      <c r="O344" s="221"/>
      <c r="P344" s="241"/>
      <c r="Q344" s="242"/>
      <c r="R344" s="30" t="str">
        <f>IF(SUM(D344:P344)=0,"",SUM((D344:P344)))</f>
        <v/>
      </c>
      <c r="S344" s="407"/>
      <c r="T344" s="407"/>
      <c r="U344" s="407"/>
      <c r="V344" s="408"/>
      <c r="AA344" s="31"/>
    </row>
    <row r="345" spans="1:27" ht="22.35" customHeight="1" x14ac:dyDescent="0.25">
      <c r="A345" s="10"/>
      <c r="B345" s="197" t="str">
        <f>INDEX(TranslationTable[], MATCH(3302, TranslationTable[TranslationKeyId], 0), MATCH(TRIM(LOWER($V$5)), TranslationTable[#Headers], 0))</f>
        <v>Female</v>
      </c>
      <c r="C345" s="198"/>
      <c r="D345" s="1"/>
      <c r="E345" s="1"/>
      <c r="F345" s="1"/>
      <c r="G345" s="194"/>
      <c r="H345" s="195"/>
      <c r="I345" s="1"/>
      <c r="J345" s="1"/>
      <c r="K345" s="1"/>
      <c r="L345" s="1"/>
      <c r="M345" s="1"/>
      <c r="N345" s="220"/>
      <c r="O345" s="221"/>
      <c r="P345" s="241"/>
      <c r="Q345" s="242"/>
      <c r="R345" s="30" t="str">
        <f>IF(SUM(D345:P345)=0,"",SUM((D345:P345)))</f>
        <v/>
      </c>
      <c r="S345" s="407"/>
      <c r="T345" s="407"/>
      <c r="U345" s="407"/>
      <c r="V345" s="408"/>
      <c r="AA345" s="31"/>
    </row>
    <row r="346" spans="1:27" ht="22.35" customHeight="1" x14ac:dyDescent="0.25">
      <c r="A346" s="10"/>
      <c r="B346" s="197" t="str">
        <f>INDEX(TranslationTable[], MATCH(9001, TranslationTable[TranslationKeyId], 0), MATCH(TRIM(LOWER($V$5)), TranslationTable[#Headers], 0))</f>
        <v>Non-binary</v>
      </c>
      <c r="C346" s="198"/>
      <c r="D346" s="1"/>
      <c r="E346" s="1"/>
      <c r="F346" s="1"/>
      <c r="G346" s="194"/>
      <c r="H346" s="195"/>
      <c r="I346" s="1"/>
      <c r="J346" s="1"/>
      <c r="K346" s="1"/>
      <c r="L346" s="1"/>
      <c r="M346" s="1"/>
      <c r="N346" s="220"/>
      <c r="O346" s="221"/>
      <c r="P346" s="241"/>
      <c r="Q346" s="242"/>
      <c r="R346" s="30" t="str">
        <f>IF(SUM(D346:P346)=0,"",SUM((D346:P346)))</f>
        <v/>
      </c>
      <c r="S346" s="407"/>
      <c r="T346" s="407"/>
      <c r="U346" s="407"/>
      <c r="V346" s="408"/>
      <c r="AA346" s="31"/>
    </row>
    <row r="347" spans="1:27" ht="22.35" customHeight="1" x14ac:dyDescent="0.25">
      <c r="A347" s="10"/>
      <c r="B347" s="197" t="str">
        <f>INDEX(TranslationTable[], MATCH(701, TranslationTable[TranslationKeyId], 0), MATCH(TRIM(LOWER($V$5)), TranslationTable[#Headers], 0))</f>
        <v>Unknown</v>
      </c>
      <c r="C347" s="198"/>
      <c r="D347" s="142"/>
      <c r="E347" s="142"/>
      <c r="F347" s="142"/>
      <c r="G347" s="190"/>
      <c r="H347" s="191"/>
      <c r="I347" s="142"/>
      <c r="J347" s="142"/>
      <c r="K347" s="142"/>
      <c r="L347" s="142"/>
      <c r="M347" s="142"/>
      <c r="N347" s="250"/>
      <c r="O347" s="251"/>
      <c r="P347" s="248"/>
      <c r="Q347" s="249"/>
      <c r="R347" s="30" t="str">
        <f>IF(SUM(D347:P347)=0,"",SUM((D347:P347)))</f>
        <v/>
      </c>
      <c r="S347" s="407"/>
      <c r="T347" s="407"/>
      <c r="U347" s="407"/>
      <c r="V347" s="408"/>
      <c r="AA347" s="31"/>
    </row>
    <row r="348" spans="1:27" ht="22.35" customHeight="1" x14ac:dyDescent="0.25">
      <c r="A348" s="10"/>
      <c r="B348" s="197" t="str">
        <f>INDEX(TranslationTable[], MATCH(6383, TranslationTable[TranslationKeyId], 0), MATCH(TRIM(LOWER($V$5)), TranslationTable[#Headers], 0))</f>
        <v>Total</v>
      </c>
      <c r="C348" s="198"/>
      <c r="D348" s="30" t="str">
        <f>IF(SUM(D344:D347)=0,"",SUM(D344:D347))</f>
        <v/>
      </c>
      <c r="E348" s="30" t="str">
        <f>IF(SUM(E344:E347)=0,"",SUM(E344:E347))</f>
        <v/>
      </c>
      <c r="F348" s="30" t="str">
        <f>IF(SUM(F344:F347)=0,"",SUM(F344:F347))</f>
        <v/>
      </c>
      <c r="G348" s="188" t="str">
        <f t="shared" ref="G348:P348" si="19">IF(SUM(G344:G347)=0,"",SUM(G344:G347))</f>
        <v/>
      </c>
      <c r="H348" s="189"/>
      <c r="I348" s="30" t="str">
        <f t="shared" si="19"/>
        <v/>
      </c>
      <c r="J348" s="30" t="str">
        <f t="shared" si="19"/>
        <v/>
      </c>
      <c r="K348" s="30" t="str">
        <f t="shared" si="19"/>
        <v/>
      </c>
      <c r="L348" s="30" t="str">
        <f t="shared" si="19"/>
        <v/>
      </c>
      <c r="M348" s="30" t="str">
        <f t="shared" si="19"/>
        <v/>
      </c>
      <c r="N348" s="239" t="str">
        <f t="shared" si="19"/>
        <v/>
      </c>
      <c r="O348" s="240"/>
      <c r="P348" s="239" t="str">
        <f t="shared" si="19"/>
        <v/>
      </c>
      <c r="Q348" s="240"/>
      <c r="R348" s="30" t="str">
        <f>IF(SUM(D348:P348)=0,"",SUM((D348:P348)))</f>
        <v/>
      </c>
      <c r="S348" s="407"/>
      <c r="T348" s="407"/>
      <c r="U348" s="407"/>
      <c r="V348" s="408"/>
      <c r="AA348" s="31"/>
    </row>
    <row r="349" spans="1:27" ht="45" customHeight="1" x14ac:dyDescent="0.25">
      <c r="A349" s="10"/>
      <c r="B349" s="18"/>
      <c r="C349" s="18"/>
      <c r="D349" s="19"/>
      <c r="E349" s="19"/>
      <c r="F349" s="19"/>
      <c r="G349" s="19"/>
      <c r="H349" s="19"/>
      <c r="I349" s="19"/>
      <c r="J349" s="19"/>
      <c r="K349" s="19"/>
      <c r="L349" s="19"/>
      <c r="M349" s="19"/>
      <c r="N349" s="19"/>
      <c r="O349" s="19"/>
      <c r="P349" s="19"/>
      <c r="Q349" s="19"/>
      <c r="R349" s="19"/>
      <c r="S349" s="407"/>
      <c r="T349" s="407"/>
      <c r="U349" s="407"/>
      <c r="V349" s="408"/>
      <c r="AA349" s="31"/>
    </row>
    <row r="350" spans="1:27" ht="27.95" customHeight="1" x14ac:dyDescent="0.25">
      <c r="A350" s="10"/>
      <c r="B350" s="262" t="str">
        <f>INDEX(TranslationTable[], MATCH(124, TranslationTable[TranslationKeyId], 0), MATCH(TRIM(LOWER($V$5)), TranslationTable[#Headers], 0))</f>
        <v>Is your National Society capturing disaggregated data based on disability for this indicator, i.e.the number of persons with disabilities?</v>
      </c>
      <c r="C350" s="263"/>
      <c r="D350" s="263"/>
      <c r="E350" s="263"/>
      <c r="F350" s="263"/>
      <c r="G350" s="263"/>
      <c r="H350" s="263"/>
      <c r="I350" s="263"/>
      <c r="J350" s="264"/>
      <c r="K350" s="162"/>
      <c r="L350" s="25" t="str">
        <f>IF(OR(K350&lt;&gt;"",C340=TRUE,H340=TRUE),"",INDEX(TranslationTable[],MATCH(9043,TranslationTable[TranslationKeyId],0),MATCH(LOWER(Language),TranslationTable[#Headers],0)))</f>
        <v>Required</v>
      </c>
      <c r="M350" s="174"/>
      <c r="N350" s="174"/>
      <c r="O350" s="19"/>
      <c r="P350" s="33"/>
      <c r="Q350" s="33"/>
      <c r="R350" s="19"/>
      <c r="S350" s="19"/>
      <c r="T350" s="276" t="str">
        <f xml:space="preserve"> SUBSTITUTE(INDEX(TranslationTable[], MATCH(139, TranslationTable[TranslationKeyId], 0), MATCH(TRIM(LOWER($V$5)), TranslationTable[#Headers], 0)), "//", CHAR(10))</f>
        <v>Indirect Recipients</v>
      </c>
      <c r="U350" s="277"/>
      <c r="V350" s="24"/>
      <c r="AA350" s="31" t="str">
        <f>IF(AND(Y341+Z341=0,K350=""), "Required", "")</f>
        <v>Required</v>
      </c>
    </row>
    <row r="351" spans="1:27" ht="22.35" customHeight="1" x14ac:dyDescent="0.25">
      <c r="A351" s="10"/>
      <c r="B351" s="33"/>
      <c r="C351" s="33"/>
      <c r="D351" s="33"/>
      <c r="E351" s="33"/>
      <c r="F351" s="33"/>
      <c r="G351" s="33"/>
      <c r="H351" s="33"/>
      <c r="I351" s="33"/>
      <c r="J351" s="33"/>
      <c r="K351" s="33"/>
      <c r="L351" s="33"/>
      <c r="M351" s="19"/>
      <c r="N351" s="19"/>
      <c r="O351" s="19"/>
      <c r="P351" s="33"/>
      <c r="Q351" s="33"/>
      <c r="R351" s="19"/>
      <c r="S351" s="19"/>
      <c r="T351" s="230"/>
      <c r="U351" s="232"/>
      <c r="V351" s="160" t="str">
        <f>IF(OR(T351&lt;&gt;"", C340=TRUE,H340=TRUE), "", IFERROR(INDEX(TranslationTable[], MATCH(9043, TranslationTable[TranslationKeyId], 0), MATCH(LOWER(Language), TranslationTable[#Headers], 0)), ""))</f>
        <v>Required</v>
      </c>
      <c r="AA351" s="31" t="str">
        <f>IF(AND(Y341+Z341=0,T351=""), "Required", "")</f>
        <v>Required</v>
      </c>
    </row>
    <row r="352" spans="1:27" ht="27.95" customHeight="1" x14ac:dyDescent="0.25">
      <c r="A352" s="10"/>
      <c r="B352" s="226" t="str">
        <f>INDEX(TranslationTable[], MATCH(125, TranslationTable[TranslationKeyId], 0), MATCH(TRIM(LOWER(Language)), TranslationTable[#Headers], 0))</f>
        <v>If answered yes, is your disability disaggregated data in accordance to the Washington Group questions?</v>
      </c>
      <c r="C352" s="227"/>
      <c r="D352" s="227"/>
      <c r="E352" s="227"/>
      <c r="F352" s="227"/>
      <c r="G352" s="227"/>
      <c r="H352" s="227"/>
      <c r="I352" s="227"/>
      <c r="J352" s="168"/>
      <c r="K352" s="25" t="str">
        <f>IF(AND(K350=YesLANG, J352=""),INDEX(TranslationTable[], MATCH(9043, TranslationTable[TranslationKeyId], 0), MATCH(LOWER(Language), TranslationTable[#Headers], 0)),"")</f>
        <v/>
      </c>
      <c r="L352" s="33"/>
      <c r="M352" s="33"/>
      <c r="N352" s="33"/>
      <c r="O352" s="19"/>
      <c r="P352" s="33"/>
      <c r="Q352" s="33"/>
      <c r="R352" s="19"/>
      <c r="S352" s="19"/>
      <c r="T352" s="280" t="str">
        <f>IF(T351=0,"",$B$426)</f>
        <v/>
      </c>
      <c r="U352" s="280"/>
      <c r="V352" s="281"/>
      <c r="AA352" s="31" t="str">
        <f>IF(AND(K350="Yes", J352=""), "Required", "")</f>
        <v/>
      </c>
    </row>
    <row r="353" spans="1:27" ht="27.95" customHeight="1" x14ac:dyDescent="0.25">
      <c r="A353" s="10"/>
      <c r="B353" s="18"/>
      <c r="C353" s="18"/>
      <c r="D353" s="19"/>
      <c r="E353" s="19"/>
      <c r="F353" s="19"/>
      <c r="G353" s="19"/>
      <c r="H353" s="19"/>
      <c r="I353" s="19"/>
      <c r="J353" s="19"/>
      <c r="K353" s="19"/>
      <c r="L353" s="19"/>
      <c r="M353" s="19"/>
      <c r="N353" s="19"/>
      <c r="O353" s="19"/>
      <c r="P353" s="19"/>
      <c r="Q353" s="19"/>
      <c r="R353" s="19"/>
      <c r="S353" s="19"/>
      <c r="T353" s="280"/>
      <c r="U353" s="280"/>
      <c r="V353" s="281"/>
      <c r="AA353" s="31"/>
    </row>
    <row r="354" spans="1:27" ht="22.35" customHeight="1" x14ac:dyDescent="0.25">
      <c r="A354" s="10"/>
      <c r="B354" s="26"/>
      <c r="C354" s="172" t="b">
        <v>0</v>
      </c>
      <c r="D354"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354" s="196"/>
      <c r="F354" s="19"/>
      <c r="G354" s="35"/>
      <c r="H354" s="172" t="b">
        <v>0</v>
      </c>
      <c r="I354"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354" s="196"/>
      <c r="K354" s="196"/>
      <c r="L354" s="196"/>
      <c r="M354" s="196"/>
      <c r="N354" s="19"/>
      <c r="O354" s="19"/>
      <c r="P354" s="19"/>
      <c r="Q354" s="19"/>
      <c r="R354" s="19"/>
      <c r="S354" s="19"/>
      <c r="T354" s="280"/>
      <c r="U354" s="280"/>
      <c r="V354" s="281"/>
      <c r="Y354" s="5" t="b">
        <v>0</v>
      </c>
      <c r="Z354" s="5" t="b">
        <v>0</v>
      </c>
      <c r="AA354" s="31" t="str">
        <f>IF(OR(Y354,Z354,R362&lt;&gt;""),"","Required")</f>
        <v>Required</v>
      </c>
    </row>
    <row r="355" spans="1:27" ht="27.95" customHeight="1" x14ac:dyDescent="0.25">
      <c r="A355" s="10"/>
      <c r="B355" s="199" t="str">
        <f>IF(OR(R362&lt;&gt;"", C354=TRUE, H354=TRUE), "", IFERROR(INDEX(TranslationTable[], MATCH(9043, TranslationTable[TranslationKeyId], 0), MATCH(LOWER(Language), TranslationTable[#Headers], 0)), ""))</f>
        <v>Required</v>
      </c>
      <c r="C355" s="200"/>
      <c r="D355" s="255" t="str">
        <f>SUBSTITUTE(INDEX(TranslationTable[],MATCH(5182,TranslationTable[TranslationKeyId],0),MATCH(TRIM(LOWER($V$5)),TranslationTable[#Headers],0)),"//",CHAR(10))</f>
        <v>People reached by programmes or operations that involve heatwave risk reduction, preparedness or response</v>
      </c>
      <c r="E355" s="228"/>
      <c r="F355" s="228"/>
      <c r="G355" s="228"/>
      <c r="H355" s="228"/>
      <c r="I355" s="228"/>
      <c r="J355" s="228"/>
      <c r="K355" s="228"/>
      <c r="L355" s="228"/>
      <c r="M355" s="228"/>
      <c r="N355" s="228"/>
      <c r="O355" s="228"/>
      <c r="P355" s="228"/>
      <c r="Q355" s="228"/>
      <c r="R355" s="229"/>
      <c r="S355" s="19"/>
      <c r="T355" s="280"/>
      <c r="U355" s="280"/>
      <c r="V355" s="281"/>
      <c r="AA355" s="31"/>
    </row>
    <row r="356" spans="1:27" ht="27.95" customHeight="1" x14ac:dyDescent="0.25">
      <c r="A356" s="10"/>
      <c r="B356" s="201"/>
      <c r="C356" s="202"/>
      <c r="D356" s="203" t="str">
        <f xml:space="preserve"> SUBSTITUTE(INDEX(TranslationTable[], MATCH(138, TranslationTable[TranslationKeyId], 0), MATCH(TRIM(LOWER($V$5)), TranslationTable[#Headers], 0)), "//", CHAR(10))</f>
        <v>Direct Recipients</v>
      </c>
      <c r="E356" s="204"/>
      <c r="F356" s="204"/>
      <c r="G356" s="204"/>
      <c r="H356" s="204"/>
      <c r="I356" s="204"/>
      <c r="J356" s="204"/>
      <c r="K356" s="204"/>
      <c r="L356" s="204"/>
      <c r="M356" s="204"/>
      <c r="N356" s="204"/>
      <c r="O356" s="204"/>
      <c r="P356" s="204"/>
      <c r="Q356" s="204"/>
      <c r="R356" s="205"/>
      <c r="S356" s="243" t="str">
        <f>INDEX(TranslationTable[], MATCH(9035, TranslationTable[TranslationKeyId], 0), MATCH(TRIM(LOWER(Language)), TranslationTable[#Headers], 0))</f>
        <v>Heatwave risk reduction and preparedness refers to reducing risks related to heatwaves. Heatwave response includes taking actions during a heatwave</v>
      </c>
      <c r="T356" s="243"/>
      <c r="U356" s="243"/>
      <c r="V356" s="244"/>
      <c r="AA356" s="31"/>
    </row>
    <row r="357" spans="1:27" ht="27.95" customHeight="1" x14ac:dyDescent="0.25">
      <c r="A357" s="10"/>
      <c r="B357" s="197" t="str">
        <f>INDEX(TranslationTable[], MATCH(3306, TranslationTable[TranslationKeyId], 0), MATCH(TRIM(LOWER($V$5)), TranslationTable[#Headers], 0))</f>
        <v>Age group</v>
      </c>
      <c r="C357" s="198"/>
      <c r="D357" s="54" t="s">
        <v>17</v>
      </c>
      <c r="E357" s="54" t="s">
        <v>12</v>
      </c>
      <c r="F357" s="55" t="s">
        <v>13</v>
      </c>
      <c r="G357" s="192" t="s">
        <v>14</v>
      </c>
      <c r="H357" s="193"/>
      <c r="I357" s="55" t="s">
        <v>6</v>
      </c>
      <c r="J357" s="55" t="s">
        <v>7</v>
      </c>
      <c r="K357" s="55" t="s">
        <v>8</v>
      </c>
      <c r="L357" s="55" t="s">
        <v>9</v>
      </c>
      <c r="M357" s="55" t="s">
        <v>10</v>
      </c>
      <c r="N357" s="206" t="s">
        <v>11</v>
      </c>
      <c r="O357" s="207"/>
      <c r="P357" s="246" t="str">
        <f>INDEX(TranslationTable[], MATCH(701, TranslationTable[TranslationKeyId], 0), MATCH(TRIM(LOWER($V$5)), TranslationTable[#Headers], 0))</f>
        <v>Unknown</v>
      </c>
      <c r="Q357" s="247"/>
      <c r="R357" s="28" t="str">
        <f>INDEX(TranslationTable[], MATCH(6383, TranslationTable[TranslationKeyId], 0), MATCH(TRIM(LOWER($V$5)), TranslationTable[#Headers], 0))</f>
        <v>Total</v>
      </c>
      <c r="S357" s="243"/>
      <c r="T357" s="243"/>
      <c r="U357" s="243"/>
      <c r="V357" s="244"/>
      <c r="AA357" s="31"/>
    </row>
    <row r="358" spans="1:27" ht="22.35" customHeight="1" x14ac:dyDescent="0.25">
      <c r="A358" s="10"/>
      <c r="B358" s="197" t="str">
        <f>INDEX(TranslationTable[], MATCH(3301, TranslationTable[TranslationKeyId], 0), MATCH(TRIM(LOWER($V$5)), TranslationTable[#Headers], 0))</f>
        <v>Male</v>
      </c>
      <c r="C358" s="198"/>
      <c r="D358" s="1"/>
      <c r="E358" s="1"/>
      <c r="F358" s="1"/>
      <c r="G358" s="194"/>
      <c r="H358" s="195"/>
      <c r="I358" s="1"/>
      <c r="J358" s="1"/>
      <c r="K358" s="1"/>
      <c r="L358" s="1"/>
      <c r="M358" s="156"/>
      <c r="N358" s="220"/>
      <c r="O358" s="221"/>
      <c r="P358" s="265"/>
      <c r="Q358" s="266"/>
      <c r="R358" s="30" t="str">
        <f>IF(SUM(D358:P358)=0,"",SUM((D358:P358)))</f>
        <v/>
      </c>
      <c r="S358" s="243"/>
      <c r="T358" s="243"/>
      <c r="U358" s="243"/>
      <c r="V358" s="244"/>
      <c r="AA358" s="31"/>
    </row>
    <row r="359" spans="1:27" ht="22.35" customHeight="1" x14ac:dyDescent="0.25">
      <c r="A359" s="10"/>
      <c r="B359" s="197" t="str">
        <f>INDEX(TranslationTable[], MATCH(3302, TranslationTable[TranslationKeyId], 0), MATCH(TRIM(LOWER($V$5)), TranslationTable[#Headers], 0))</f>
        <v>Female</v>
      </c>
      <c r="C359" s="198"/>
      <c r="D359" s="1"/>
      <c r="E359" s="1"/>
      <c r="F359" s="1"/>
      <c r="G359" s="194"/>
      <c r="H359" s="195"/>
      <c r="I359" s="1"/>
      <c r="J359" s="1"/>
      <c r="K359" s="1"/>
      <c r="L359" s="1"/>
      <c r="M359" s="1"/>
      <c r="N359" s="220"/>
      <c r="O359" s="221"/>
      <c r="P359" s="241"/>
      <c r="Q359" s="242"/>
      <c r="R359" s="30" t="str">
        <f>IF(SUM(D359:P359)=0,"",SUM((D359:P359)))</f>
        <v/>
      </c>
      <c r="S359" s="243"/>
      <c r="T359" s="243"/>
      <c r="U359" s="243"/>
      <c r="V359" s="244"/>
      <c r="AA359" s="31"/>
    </row>
    <row r="360" spans="1:27" ht="22.35" customHeight="1" x14ac:dyDescent="0.25">
      <c r="A360" s="10"/>
      <c r="B360" s="197" t="str">
        <f>INDEX(TranslationTable[], MATCH(9001, TranslationTable[TranslationKeyId], 0), MATCH(TRIM(LOWER($V$5)), TranslationTable[#Headers], 0))</f>
        <v>Non-binary</v>
      </c>
      <c r="C360" s="198"/>
      <c r="D360" s="1"/>
      <c r="E360" s="1"/>
      <c r="F360" s="1"/>
      <c r="G360" s="194"/>
      <c r="H360" s="195"/>
      <c r="I360" s="1"/>
      <c r="J360" s="1"/>
      <c r="K360" s="1"/>
      <c r="L360" s="1"/>
      <c r="M360" s="1"/>
      <c r="N360" s="220"/>
      <c r="O360" s="221"/>
      <c r="P360" s="241"/>
      <c r="Q360" s="242"/>
      <c r="R360" s="30" t="str">
        <f>IF(SUM(D360:P360)=0,"",SUM((D360:P360)))</f>
        <v/>
      </c>
      <c r="S360" s="243"/>
      <c r="T360" s="243"/>
      <c r="U360" s="243"/>
      <c r="V360" s="244"/>
      <c r="AA360" s="31"/>
    </row>
    <row r="361" spans="1:27" ht="22.35" customHeight="1" x14ac:dyDescent="0.25">
      <c r="A361" s="10"/>
      <c r="B361" s="197" t="str">
        <f>INDEX(TranslationTable[], MATCH(701, TranslationTable[TranslationKeyId], 0), MATCH(TRIM(LOWER($V$5)), TranslationTable[#Headers], 0))</f>
        <v>Unknown</v>
      </c>
      <c r="C361" s="198"/>
      <c r="D361" s="142"/>
      <c r="E361" s="142"/>
      <c r="F361" s="142"/>
      <c r="G361" s="190"/>
      <c r="H361" s="191"/>
      <c r="I361" s="142"/>
      <c r="J361" s="142"/>
      <c r="K361" s="142"/>
      <c r="L361" s="142"/>
      <c r="M361" s="142"/>
      <c r="N361" s="250"/>
      <c r="O361" s="251"/>
      <c r="P361" s="248"/>
      <c r="Q361" s="249"/>
      <c r="R361" s="30" t="str">
        <f>IF(SUM(D361:P361)=0,"",SUM((D361:P361)))</f>
        <v/>
      </c>
      <c r="S361" s="82"/>
      <c r="T361" s="276" t="str">
        <f xml:space="preserve"> SUBSTITUTE(INDEX(TranslationTable[], MATCH(139, TranslationTable[TranslationKeyId], 0), MATCH(TRIM(LOWER($V$5)), TranslationTable[#Headers], 0)), "//", CHAR(10))</f>
        <v>Indirect Recipients</v>
      </c>
      <c r="U361" s="277"/>
      <c r="V361" s="90"/>
      <c r="AA361" s="31"/>
    </row>
    <row r="362" spans="1:27" ht="22.35" customHeight="1" x14ac:dyDescent="0.25">
      <c r="A362" s="10"/>
      <c r="B362" s="197" t="str">
        <f>INDEX(TranslationTable[], MATCH(6383, TranslationTable[TranslationKeyId], 0), MATCH(TRIM(LOWER($V$5)), TranslationTable[#Headers], 0))</f>
        <v>Total</v>
      </c>
      <c r="C362" s="198"/>
      <c r="D362" s="30" t="str">
        <f>IF(SUM(D358:D361)=0,"",SUM(D358:D361))</f>
        <v/>
      </c>
      <c r="E362" s="30" t="str">
        <f>IF(SUM(E358:E361)=0,"",SUM(E358:E361))</f>
        <v/>
      </c>
      <c r="F362" s="30" t="str">
        <f>IF(SUM(F358:F361)=0,"",SUM(F358:F361))</f>
        <v/>
      </c>
      <c r="G362" s="188" t="str">
        <f t="shared" ref="G362:P362" si="20">IF(SUM(G358:G361)=0,"",SUM(G358:G361))</f>
        <v/>
      </c>
      <c r="H362" s="189"/>
      <c r="I362" s="30" t="str">
        <f t="shared" si="20"/>
        <v/>
      </c>
      <c r="J362" s="30" t="str">
        <f t="shared" si="20"/>
        <v/>
      </c>
      <c r="K362" s="30" t="str">
        <f t="shared" si="20"/>
        <v/>
      </c>
      <c r="L362" s="30" t="str">
        <f t="shared" si="20"/>
        <v/>
      </c>
      <c r="M362" s="30" t="str">
        <f t="shared" si="20"/>
        <v/>
      </c>
      <c r="N362" s="239" t="str">
        <f t="shared" si="20"/>
        <v/>
      </c>
      <c r="O362" s="240"/>
      <c r="P362" s="239" t="str">
        <f t="shared" si="20"/>
        <v/>
      </c>
      <c r="Q362" s="240"/>
      <c r="R362" s="30" t="str">
        <f>IF(SUM(D362:P362)=0,"",SUM((D362:P362)))</f>
        <v/>
      </c>
      <c r="S362" s="82"/>
      <c r="T362" s="230"/>
      <c r="U362" s="232"/>
      <c r="V362" s="160" t="str">
        <f>IF(OR(T362&lt;&gt;"", C354=TRUE,H354=TRUE), "", IFERROR(INDEX(TranslationTable[], MATCH(9043, TranslationTable[TranslationKeyId], 0), MATCH(LOWER(Language), TranslationTable[#Headers], 0)), ""))</f>
        <v>Required</v>
      </c>
      <c r="AA362" s="31" t="str">
        <f>IF(AND(Y354+Z354=0,T362=""), "Required", "")</f>
        <v>Required</v>
      </c>
    </row>
    <row r="363" spans="1:27" ht="27.95" customHeight="1" x14ac:dyDescent="0.25">
      <c r="A363" s="10"/>
      <c r="B363" s="18"/>
      <c r="C363" s="18"/>
      <c r="D363" s="19"/>
      <c r="E363" s="19"/>
      <c r="F363" s="19"/>
      <c r="G363" s="19"/>
      <c r="H363" s="19"/>
      <c r="I363" s="19"/>
      <c r="J363" s="19"/>
      <c r="K363" s="19"/>
      <c r="L363" s="19"/>
      <c r="M363" s="19"/>
      <c r="N363" s="19"/>
      <c r="O363" s="19"/>
      <c r="P363" s="19"/>
      <c r="Q363" s="19"/>
      <c r="R363" s="19"/>
      <c r="S363" s="19"/>
      <c r="T363" s="280" t="str">
        <f>IF(T362=0,"",$B$426)</f>
        <v/>
      </c>
      <c r="U363" s="280"/>
      <c r="V363" s="281"/>
      <c r="AA363" s="31"/>
    </row>
    <row r="364" spans="1:27" ht="27.95" customHeight="1" x14ac:dyDescent="0.25">
      <c r="A364" s="10"/>
      <c r="B364" s="262" t="str">
        <f>INDEX(TranslationTable[], MATCH(124, TranslationTable[TranslationKeyId], 0), MATCH(TRIM(LOWER($V$5)), TranslationTable[#Headers], 0))</f>
        <v>Is your National Society capturing disaggregated data based on disability for this indicator, i.e.the number of persons with disabilities?</v>
      </c>
      <c r="C364" s="263"/>
      <c r="D364" s="263"/>
      <c r="E364" s="263"/>
      <c r="F364" s="263"/>
      <c r="G364" s="263"/>
      <c r="H364" s="263"/>
      <c r="I364" s="263"/>
      <c r="J364" s="264"/>
      <c r="K364" s="162"/>
      <c r="L364" s="25" t="str">
        <f>IF(OR(K364&lt;&gt;"",C354=TRUE,H354=TRUE),"",INDEX(TranslationTable[],MATCH(9043,TranslationTable[TranslationKeyId],0),MATCH(LOWER(Language),TranslationTable[#Headers],0)))</f>
        <v>Required</v>
      </c>
      <c r="M364" s="19"/>
      <c r="N364" s="19"/>
      <c r="O364" s="19"/>
      <c r="P364" s="33"/>
      <c r="Q364" s="33"/>
      <c r="R364" s="19"/>
      <c r="S364" s="19"/>
      <c r="T364" s="280"/>
      <c r="U364" s="280"/>
      <c r="V364" s="281"/>
      <c r="AA364" s="31" t="str">
        <f>IF(AND(Y354+Z354=0,K364=""), "Required", "")</f>
        <v>Required</v>
      </c>
    </row>
    <row r="365" spans="1:27" ht="27.95" customHeight="1" x14ac:dyDescent="0.25">
      <c r="A365" s="10"/>
      <c r="B365" s="33"/>
      <c r="C365" s="33"/>
      <c r="D365" s="33"/>
      <c r="E365" s="33"/>
      <c r="F365" s="33"/>
      <c r="G365" s="33"/>
      <c r="H365" s="33"/>
      <c r="I365" s="33"/>
      <c r="J365" s="33"/>
      <c r="K365" s="33"/>
      <c r="L365" s="33"/>
      <c r="M365" s="19"/>
      <c r="N365" s="19"/>
      <c r="O365" s="19"/>
      <c r="P365" s="33"/>
      <c r="Q365" s="33"/>
      <c r="R365" s="19"/>
      <c r="S365" s="19"/>
      <c r="T365" s="280"/>
      <c r="U365" s="280"/>
      <c r="V365" s="281"/>
      <c r="AA365" s="31"/>
    </row>
    <row r="366" spans="1:27" ht="27.95" customHeight="1" x14ac:dyDescent="0.25">
      <c r="A366" s="10"/>
      <c r="B366" s="226" t="str">
        <f>INDEX(TranslationTable[], MATCH(125, TranslationTable[TranslationKeyId], 0), MATCH(TRIM(LOWER(Language)), TranslationTable[#Headers], 0))</f>
        <v>If answered yes, is your disability disaggregated data in accordance to the Washington Group questions?</v>
      </c>
      <c r="C366" s="227"/>
      <c r="D366" s="227"/>
      <c r="E366" s="227"/>
      <c r="F366" s="227"/>
      <c r="G366" s="227"/>
      <c r="H366" s="227"/>
      <c r="I366" s="227"/>
      <c r="J366" s="168"/>
      <c r="K366" s="25" t="str">
        <f>IF(AND(K364=YesLANG, J366=""),INDEX(TranslationTable[], MATCH(9043, TranslationTable[TranslationKeyId], 0), MATCH(LOWER(Language), TranslationTable[#Headers], 0)),"")</f>
        <v/>
      </c>
      <c r="L366" s="33"/>
      <c r="M366" s="19"/>
      <c r="N366" s="19"/>
      <c r="O366" s="19"/>
      <c r="P366" s="33"/>
      <c r="Q366" s="33"/>
      <c r="R366" s="19"/>
      <c r="S366" s="19"/>
      <c r="T366" s="280"/>
      <c r="U366" s="280"/>
      <c r="V366" s="281"/>
      <c r="AA366" s="31" t="str">
        <f>IF(AND(K364="Yes", J366=""), "Required", "")</f>
        <v/>
      </c>
    </row>
    <row r="367" spans="1:27" ht="22.35" customHeight="1" x14ac:dyDescent="0.25">
      <c r="A367" s="10"/>
      <c r="B367" s="33"/>
      <c r="C367" s="33"/>
      <c r="D367" s="33"/>
      <c r="E367" s="33"/>
      <c r="F367" s="33"/>
      <c r="G367" s="33"/>
      <c r="H367" s="33"/>
      <c r="I367" s="33"/>
      <c r="J367" s="33"/>
      <c r="K367" s="33"/>
      <c r="L367" s="33"/>
      <c r="M367" s="19"/>
      <c r="N367" s="19"/>
      <c r="O367" s="19"/>
      <c r="P367" s="33"/>
      <c r="Q367" s="33"/>
      <c r="R367" s="19"/>
      <c r="S367" s="19"/>
      <c r="T367" s="19"/>
      <c r="U367" s="19"/>
      <c r="V367" s="24"/>
      <c r="AA367" s="31"/>
    </row>
    <row r="368" spans="1:27" ht="27.95" customHeight="1" x14ac:dyDescent="0.25">
      <c r="A368" s="10"/>
      <c r="B368" s="282" t="str">
        <f>INDEX(TranslationTable[], MATCH(9036, TranslationTable[TranslationKeyId], 0), MATCH(TRIM(LOWER(Language)), TranslationTable[#Headers], 0))</f>
        <v>Has your NS implemented nature-based solutions?</v>
      </c>
      <c r="C368" s="283"/>
      <c r="D368" s="283"/>
      <c r="E368" s="283"/>
      <c r="F368" s="283"/>
      <c r="G368" s="283"/>
      <c r="H368" s="283"/>
      <c r="I368" s="284"/>
      <c r="J368" s="162"/>
      <c r="K368" s="25" t="str">
        <f>IF(J368="", INDEX(TranslationTable[], MATCH(9043, TranslationTable[TranslationKeyId], 0), MATCH(LOWER(Language), TranslationTable[#Headers], 0)), "")</f>
        <v>Required</v>
      </c>
      <c r="L368" s="33"/>
      <c r="M368" s="19"/>
      <c r="N368" s="19"/>
      <c r="O368" s="19"/>
      <c r="P368" s="33"/>
      <c r="Q368" s="33"/>
      <c r="R368" s="19"/>
      <c r="S368" s="19"/>
      <c r="T368" s="19"/>
      <c r="U368" s="19"/>
      <c r="V368" s="24"/>
      <c r="AA368" s="31" t="str">
        <f>IF(J368="", "Required", "")</f>
        <v>Required</v>
      </c>
    </row>
    <row r="369" spans="1:27" ht="22.35" customHeight="1" x14ac:dyDescent="0.25">
      <c r="A369" s="10"/>
      <c r="B369" s="35"/>
      <c r="C369" s="35"/>
      <c r="D369" s="35"/>
      <c r="E369" s="35"/>
      <c r="F369" s="35"/>
      <c r="G369" s="35"/>
      <c r="H369" s="35"/>
      <c r="I369" s="35"/>
      <c r="J369" s="19"/>
      <c r="K369" s="33"/>
      <c r="L369" s="33"/>
      <c r="M369" s="19"/>
      <c r="N369" s="19"/>
      <c r="O369" s="19"/>
      <c r="P369" s="33"/>
      <c r="Q369" s="33"/>
      <c r="R369" s="19"/>
      <c r="S369" s="19"/>
      <c r="T369" s="19"/>
      <c r="U369" s="19"/>
      <c r="V369" s="24"/>
      <c r="AA369" s="31"/>
    </row>
    <row r="370" spans="1:27" ht="27.95" customHeight="1" x14ac:dyDescent="0.25">
      <c r="A370" s="10"/>
      <c r="B370" s="282" t="str">
        <f>INDEX(TranslationTable[], MATCH(9037, TranslationTable[TranslationKeyId], 0), MATCH(TRIM(LOWER(Language)), TranslationTable[#Headers], 0))</f>
        <v>Has your NS implementing environmental or climate campaigns focused on behavior change?</v>
      </c>
      <c r="C370" s="283"/>
      <c r="D370" s="283"/>
      <c r="E370" s="283"/>
      <c r="F370" s="283"/>
      <c r="G370" s="283"/>
      <c r="H370" s="283"/>
      <c r="I370" s="283"/>
      <c r="J370" s="284"/>
      <c r="K370" s="162"/>
      <c r="L370" s="25" t="str">
        <f>IF(K370="", INDEX(TranslationTable[], MATCH(9043, TranslationTable[TranslationKeyId], 0), MATCH(LOWER(Language), TranslationTable[#Headers], 0)), "")</f>
        <v>Required</v>
      </c>
      <c r="M370" s="19"/>
      <c r="N370" s="19"/>
      <c r="O370" s="19"/>
      <c r="P370" s="33"/>
      <c r="Q370" s="33"/>
      <c r="R370" s="19"/>
      <c r="S370" s="19"/>
      <c r="T370" s="19"/>
      <c r="U370" s="19"/>
      <c r="V370" s="24"/>
      <c r="AA370" s="31" t="str">
        <f>IF(K370="", "Required", "")</f>
        <v>Required</v>
      </c>
    </row>
    <row r="371" spans="1:27" ht="22.35" customHeight="1" x14ac:dyDescent="0.25">
      <c r="A371" s="10"/>
      <c r="B371" s="18"/>
      <c r="C371" s="18"/>
      <c r="D371" s="19"/>
      <c r="E371" s="19"/>
      <c r="F371" s="19"/>
      <c r="G371" s="19"/>
      <c r="H371" s="19"/>
      <c r="I371" s="19"/>
      <c r="J371" s="19"/>
      <c r="K371" s="19"/>
      <c r="L371" s="19"/>
      <c r="M371" s="19"/>
      <c r="N371" s="19"/>
      <c r="O371" s="19"/>
      <c r="P371" s="19"/>
      <c r="Q371" s="19"/>
      <c r="R371" s="19"/>
      <c r="S371" s="19"/>
      <c r="T371" s="19"/>
      <c r="U371" s="19"/>
      <c r="V371" s="24"/>
      <c r="AA371" s="31"/>
    </row>
    <row r="372" spans="1:27" ht="22.35" customHeight="1" x14ac:dyDescent="0.25">
      <c r="A372" s="10"/>
      <c r="B372" s="26"/>
      <c r="C372" s="172" t="b">
        <v>0</v>
      </c>
      <c r="D372"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372" s="196"/>
      <c r="F372" s="19"/>
      <c r="G372" s="35"/>
      <c r="H372" s="172" t="b">
        <v>0</v>
      </c>
      <c r="I372"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372" s="196"/>
      <c r="K372" s="196"/>
      <c r="L372" s="196"/>
      <c r="M372" s="196"/>
      <c r="N372" s="19"/>
      <c r="O372" s="19"/>
      <c r="P372" s="19"/>
      <c r="Q372" s="19"/>
      <c r="R372" s="19"/>
      <c r="S372" s="19"/>
      <c r="T372" s="25"/>
      <c r="U372" s="19"/>
      <c r="V372" s="24"/>
      <c r="Y372" s="5" t="b">
        <v>0</v>
      </c>
      <c r="Z372" s="5" t="b">
        <v>0</v>
      </c>
      <c r="AA372" s="31" t="str">
        <f>IF(OR(Y372,Z372,R380&lt;&gt;""),"","Required")</f>
        <v>Required</v>
      </c>
    </row>
    <row r="373" spans="1:27" ht="22.35" customHeight="1" x14ac:dyDescent="0.25">
      <c r="A373" s="10"/>
      <c r="B373" s="199" t="str">
        <f>IF(OR(R380&lt;&gt;"", C372=TRUE, H372=TRUE), "", IFERROR(INDEX(TranslationTable[], MATCH(9043, TranslationTable[TranslationKeyId], 0), MATCH(LOWER(Language), TranslationTable[#Headers], 0)), ""))</f>
        <v>Required</v>
      </c>
      <c r="C373" s="200"/>
      <c r="D373" s="255" t="str">
        <f>SUBSTITUTE(INDEX(TranslationTable[],MATCH(4684,TranslationTable[TranslationKeyId],0),MATCH(TRIM(LOWER($V$5)),TranslationTable[#Headers],0)),"//",CHAR(10))</f>
        <v>People reached by cash transfer programming</v>
      </c>
      <c r="E373" s="228"/>
      <c r="F373" s="228"/>
      <c r="G373" s="228"/>
      <c r="H373" s="228"/>
      <c r="I373" s="228"/>
      <c r="J373" s="228"/>
      <c r="K373" s="228"/>
      <c r="L373" s="228"/>
      <c r="M373" s="228"/>
      <c r="N373" s="228"/>
      <c r="O373" s="228"/>
      <c r="P373" s="228"/>
      <c r="Q373" s="228"/>
      <c r="R373" s="229"/>
      <c r="S373" s="243" t="str">
        <f xml:space="preserve"> SUBSTITUTE(INDEX(TranslationTable[], MATCH(986, TranslationTable[TranslationKeyId], 0), MATCH(TRIM(LOWER($V$5)), TranslationTable[#Headers], 0)), "//", CHAR(10))</f>
        <v>Cash transfer programming supports and provides the transfer of cash or cash equivalents (e.g. vouchers), including cash for work programmes, in order to cover the short- and/or long-term essential food and non-food needs of vulnerable populations. Transfers may or may not depend on recipients having certain characteristics or doing certain things.</v>
      </c>
      <c r="T373" s="243"/>
      <c r="U373" s="243"/>
      <c r="V373" s="244"/>
      <c r="AA373" s="31"/>
    </row>
    <row r="374" spans="1:27" ht="22.35" customHeight="1" x14ac:dyDescent="0.25">
      <c r="A374" s="10"/>
      <c r="B374" s="201"/>
      <c r="C374" s="202"/>
      <c r="D374" s="203" t="str">
        <f xml:space="preserve"> SUBSTITUTE(INDEX(TranslationTable[], MATCH(138, TranslationTable[TranslationKeyId], 0), MATCH(TRIM(LOWER($V$5)), TranslationTable[#Headers], 0)), "//", CHAR(10))</f>
        <v>Direct Recipients</v>
      </c>
      <c r="E374" s="204"/>
      <c r="F374" s="204"/>
      <c r="G374" s="204"/>
      <c r="H374" s="204"/>
      <c r="I374" s="204"/>
      <c r="J374" s="204"/>
      <c r="K374" s="204"/>
      <c r="L374" s="204"/>
      <c r="M374" s="204"/>
      <c r="N374" s="204"/>
      <c r="O374" s="204"/>
      <c r="P374" s="204"/>
      <c r="Q374" s="204"/>
      <c r="R374" s="205"/>
      <c r="S374" s="243"/>
      <c r="T374" s="243"/>
      <c r="U374" s="243"/>
      <c r="V374" s="244"/>
      <c r="AA374" s="31"/>
    </row>
    <row r="375" spans="1:27" ht="30" customHeight="1" x14ac:dyDescent="0.25">
      <c r="A375" s="10"/>
      <c r="B375" s="197" t="str">
        <f>INDEX(TranslationTable[], MATCH(3306, TranslationTable[TranslationKeyId], 0), MATCH(TRIM(LOWER($V$5)), TranslationTable[#Headers], 0))</f>
        <v>Age group</v>
      </c>
      <c r="C375" s="198"/>
      <c r="D375" s="54" t="s">
        <v>17</v>
      </c>
      <c r="E375" s="54" t="s">
        <v>12</v>
      </c>
      <c r="F375" s="55" t="s">
        <v>13</v>
      </c>
      <c r="G375" s="192" t="s">
        <v>14</v>
      </c>
      <c r="H375" s="193"/>
      <c r="I375" s="55" t="s">
        <v>6</v>
      </c>
      <c r="J375" s="55" t="s">
        <v>7</v>
      </c>
      <c r="K375" s="55" t="s">
        <v>8</v>
      </c>
      <c r="L375" s="55" t="s">
        <v>9</v>
      </c>
      <c r="M375" s="55" t="s">
        <v>10</v>
      </c>
      <c r="N375" s="206" t="s">
        <v>11</v>
      </c>
      <c r="O375" s="207"/>
      <c r="P375" s="246" t="str">
        <f>INDEX(TranslationTable[], MATCH(701, TranslationTable[TranslationKeyId], 0), MATCH(TRIM(LOWER($V$5)), TranslationTable[#Headers], 0))</f>
        <v>Unknown</v>
      </c>
      <c r="Q375" s="247"/>
      <c r="R375" s="28" t="str">
        <f>INDEX(TranslationTable[], MATCH(6383, TranslationTable[TranslationKeyId], 0), MATCH(TRIM(LOWER($V$5)), TranslationTable[#Headers], 0))</f>
        <v>Total</v>
      </c>
      <c r="S375" s="243"/>
      <c r="T375" s="243"/>
      <c r="U375" s="243"/>
      <c r="V375" s="244"/>
      <c r="AA375" s="31"/>
    </row>
    <row r="376" spans="1:27" ht="22.35" customHeight="1" x14ac:dyDescent="0.25">
      <c r="A376" s="10"/>
      <c r="B376" s="197" t="str">
        <f>INDEX(TranslationTable[], MATCH(3301, TranslationTable[TranslationKeyId], 0), MATCH(TRIM(LOWER($V$5)), TranslationTable[#Headers], 0))</f>
        <v>Male</v>
      </c>
      <c r="C376" s="198"/>
      <c r="D376" s="1"/>
      <c r="E376" s="1"/>
      <c r="F376" s="1"/>
      <c r="G376" s="194"/>
      <c r="H376" s="195"/>
      <c r="I376" s="1"/>
      <c r="J376" s="1"/>
      <c r="K376" s="1"/>
      <c r="L376" s="1"/>
      <c r="M376" s="156"/>
      <c r="N376" s="220"/>
      <c r="O376" s="221"/>
      <c r="P376" s="241"/>
      <c r="Q376" s="242"/>
      <c r="R376" s="30" t="str">
        <f>IF(SUM(D376:P376)=0,"",SUM((D376:P376)))</f>
        <v/>
      </c>
      <c r="S376" s="243"/>
      <c r="T376" s="243"/>
      <c r="U376" s="243"/>
      <c r="V376" s="244"/>
      <c r="AA376" s="31"/>
    </row>
    <row r="377" spans="1:27" ht="22.35" customHeight="1" x14ac:dyDescent="0.25">
      <c r="A377" s="10"/>
      <c r="B377" s="197" t="str">
        <f>INDEX(TranslationTable[], MATCH(3302, TranslationTable[TranslationKeyId], 0), MATCH(TRIM(LOWER($V$5)), TranslationTable[#Headers], 0))</f>
        <v>Female</v>
      </c>
      <c r="C377" s="198"/>
      <c r="D377" s="1"/>
      <c r="E377" s="1"/>
      <c r="F377" s="1"/>
      <c r="G377" s="194"/>
      <c r="H377" s="195"/>
      <c r="I377" s="1"/>
      <c r="J377" s="1"/>
      <c r="K377" s="1"/>
      <c r="L377" s="1"/>
      <c r="M377" s="1"/>
      <c r="N377" s="220"/>
      <c r="O377" s="221"/>
      <c r="P377" s="241"/>
      <c r="Q377" s="242"/>
      <c r="R377" s="30" t="str">
        <f>IF(SUM(D377:P377)=0,"",SUM((D377:P377)))</f>
        <v/>
      </c>
      <c r="S377" s="243"/>
      <c r="T377" s="243"/>
      <c r="U377" s="243"/>
      <c r="V377" s="244"/>
      <c r="AA377" s="31"/>
    </row>
    <row r="378" spans="1:27" ht="22.35" customHeight="1" x14ac:dyDescent="0.25">
      <c r="A378" s="10"/>
      <c r="B378" s="197" t="str">
        <f>INDEX(TranslationTable[], MATCH(9001, TranslationTable[TranslationKeyId], 0), MATCH(TRIM(LOWER($V$5)), TranslationTable[#Headers], 0))</f>
        <v>Non-binary</v>
      </c>
      <c r="C378" s="198"/>
      <c r="D378" s="1"/>
      <c r="E378" s="1"/>
      <c r="F378" s="1"/>
      <c r="G378" s="194"/>
      <c r="H378" s="195"/>
      <c r="I378" s="1"/>
      <c r="J378" s="1"/>
      <c r="K378" s="1"/>
      <c r="L378" s="1"/>
      <c r="M378" s="1"/>
      <c r="N378" s="220"/>
      <c r="O378" s="221"/>
      <c r="P378" s="241"/>
      <c r="Q378" s="242"/>
      <c r="R378" s="30" t="str">
        <f>IF(SUM(D378:P378)=0,"",SUM((D378:P378)))</f>
        <v/>
      </c>
      <c r="S378" s="243"/>
      <c r="T378" s="243"/>
      <c r="U378" s="243"/>
      <c r="V378" s="244"/>
      <c r="AA378" s="31"/>
    </row>
    <row r="379" spans="1:27" ht="22.35" customHeight="1" x14ac:dyDescent="0.25">
      <c r="A379" s="10"/>
      <c r="B379" s="197" t="str">
        <f>INDEX(TranslationTable[], MATCH(701, TranslationTable[TranslationKeyId], 0), MATCH(TRIM(LOWER($V$5)), TranslationTable[#Headers], 0))</f>
        <v>Unknown</v>
      </c>
      <c r="C379" s="198"/>
      <c r="D379" s="142"/>
      <c r="E379" s="142"/>
      <c r="F379" s="142"/>
      <c r="G379" s="190"/>
      <c r="H379" s="191"/>
      <c r="I379" s="142"/>
      <c r="J379" s="142"/>
      <c r="K379" s="142"/>
      <c r="L379" s="142"/>
      <c r="M379" s="142"/>
      <c r="N379" s="250"/>
      <c r="O379" s="251"/>
      <c r="P379" s="248"/>
      <c r="Q379" s="249"/>
      <c r="R379" s="30" t="str">
        <f>IF(SUM(D379:P379)=0,"",SUM((D379:P379)))</f>
        <v/>
      </c>
      <c r="S379" s="243"/>
      <c r="T379" s="243"/>
      <c r="U379" s="243"/>
      <c r="V379" s="244"/>
      <c r="AA379" s="31"/>
    </row>
    <row r="380" spans="1:27" ht="22.35" customHeight="1" x14ac:dyDescent="0.25">
      <c r="A380" s="10"/>
      <c r="B380" s="197" t="str">
        <f>INDEX(TranslationTable[], MATCH(6383, TranslationTable[TranslationKeyId], 0), MATCH(TRIM(LOWER($V$5)), TranslationTable[#Headers], 0))</f>
        <v>Total</v>
      </c>
      <c r="C380" s="198"/>
      <c r="D380" s="30" t="str">
        <f>IF(SUM(D376:D379)=0,"",SUM(D376:D379))</f>
        <v/>
      </c>
      <c r="E380" s="30" t="str">
        <f>IF(SUM(E376:E379)=0,"",SUM(E376:E379))</f>
        <v/>
      </c>
      <c r="F380" s="30" t="str">
        <f>IF(SUM(F376:F379)=0,"",SUM(F376:F379))</f>
        <v/>
      </c>
      <c r="G380" s="188" t="str">
        <f t="shared" ref="G380:P380" si="21">IF(SUM(G376:G379)=0,"",SUM(G376:G379))</f>
        <v/>
      </c>
      <c r="H380" s="189"/>
      <c r="I380" s="30" t="str">
        <f t="shared" si="21"/>
        <v/>
      </c>
      <c r="J380" s="30" t="str">
        <f t="shared" si="21"/>
        <v/>
      </c>
      <c r="K380" s="30" t="str">
        <f t="shared" si="21"/>
        <v/>
      </c>
      <c r="L380" s="30" t="str">
        <f t="shared" si="21"/>
        <v/>
      </c>
      <c r="M380" s="30" t="str">
        <f t="shared" si="21"/>
        <v/>
      </c>
      <c r="N380" s="239" t="str">
        <f t="shared" si="21"/>
        <v/>
      </c>
      <c r="O380" s="240"/>
      <c r="P380" s="239" t="str">
        <f t="shared" si="21"/>
        <v/>
      </c>
      <c r="Q380" s="240"/>
      <c r="R380" s="30" t="str">
        <f>IF(SUM(D380:P380)=0,"",SUM((D380:P380)))</f>
        <v/>
      </c>
      <c r="S380" s="82"/>
      <c r="T380" s="82"/>
      <c r="U380" s="82"/>
      <c r="V380" s="90"/>
      <c r="AA380" s="31"/>
    </row>
    <row r="381" spans="1:27" ht="22.35" customHeight="1" x14ac:dyDescent="0.25">
      <c r="A381" s="10"/>
      <c r="B381" s="18"/>
      <c r="C381" s="18"/>
      <c r="D381" s="19"/>
      <c r="E381" s="19"/>
      <c r="F381" s="19"/>
      <c r="G381" s="19"/>
      <c r="H381" s="19"/>
      <c r="I381" s="19"/>
      <c r="J381" s="19"/>
      <c r="K381" s="19"/>
      <c r="L381" s="19"/>
      <c r="M381" s="19"/>
      <c r="N381" s="19"/>
      <c r="O381" s="19"/>
      <c r="P381" s="19"/>
      <c r="Q381" s="19"/>
      <c r="R381" s="19"/>
      <c r="S381" s="33"/>
      <c r="T381" s="276" t="str">
        <f xml:space="preserve"> SUBSTITUTE(INDEX(TranslationTable[], MATCH(139, TranslationTable[TranslationKeyId], 0), MATCH(TRIM(LOWER($V$5)), TranslationTable[#Headers], 0)), "//", CHAR(10))</f>
        <v>Indirect Recipients</v>
      </c>
      <c r="U381" s="277"/>
      <c r="V381" s="24"/>
      <c r="AA381" s="31" t="str">
        <f>IF(AND(Y372+Z372=0,T382=""), "Required", "")</f>
        <v>Required</v>
      </c>
    </row>
    <row r="382" spans="1:27" ht="27.95" customHeight="1" x14ac:dyDescent="0.25">
      <c r="A382" s="10"/>
      <c r="B382" s="262" t="str">
        <f>INDEX(TranslationTable[], MATCH(124, TranslationTable[TranslationKeyId], 0), MATCH(TRIM(LOWER($V$5)), TranslationTable[#Headers], 0))</f>
        <v>Is your National Society capturing disaggregated data based on disability for this indicator, i.e.the number of persons with disabilities?</v>
      </c>
      <c r="C382" s="263"/>
      <c r="D382" s="263"/>
      <c r="E382" s="263"/>
      <c r="F382" s="263"/>
      <c r="G382" s="263"/>
      <c r="H382" s="263"/>
      <c r="I382" s="263"/>
      <c r="J382" s="264"/>
      <c r="K382" s="162"/>
      <c r="L382" s="25" t="str">
        <f>IF(OR(K382&lt;&gt;"",C372=TRUE,H372=TRUE),"",INDEX(TranslationTable[],MATCH(9043,TranslationTable[TranslationKeyId],0),MATCH(LOWER(Language),TranslationTable[#Headers],0)))</f>
        <v>Required</v>
      </c>
      <c r="M382" s="33"/>
      <c r="N382" s="33"/>
      <c r="O382" s="33"/>
      <c r="P382" s="33"/>
      <c r="Q382" s="33"/>
      <c r="R382" s="19"/>
      <c r="S382" s="19"/>
      <c r="T382" s="230"/>
      <c r="U382" s="232"/>
      <c r="V382" s="160" t="str">
        <f>IF(OR(T382&lt;&gt;"", C372=TRUE,H372=TRUE), "", IFERROR(INDEX(TranslationTable[], MATCH(9043, TranslationTable[TranslationKeyId], 0), MATCH(LOWER(Language), TranslationTable[#Headers], 0)), ""))</f>
        <v>Required</v>
      </c>
      <c r="AA382" s="31" t="str">
        <f>IF(AND(Y372+Z372=0,K382=""), "Required", "")</f>
        <v>Required</v>
      </c>
    </row>
    <row r="383" spans="1:27" ht="27.95" customHeight="1" x14ac:dyDescent="0.25">
      <c r="A383" s="10"/>
      <c r="B383" s="33"/>
      <c r="C383" s="33"/>
      <c r="D383" s="33"/>
      <c r="E383" s="33"/>
      <c r="F383" s="33"/>
      <c r="G383" s="33"/>
      <c r="H383" s="33"/>
      <c r="I383" s="33"/>
      <c r="J383" s="33"/>
      <c r="K383" s="33"/>
      <c r="L383" s="33"/>
      <c r="M383" s="33"/>
      <c r="N383" s="33"/>
      <c r="O383" s="33"/>
      <c r="P383" s="33"/>
      <c r="Q383" s="33"/>
      <c r="R383" s="19"/>
      <c r="S383" s="19"/>
      <c r="T383" s="280" t="str">
        <f>IF(T382=0,"",$B$426)</f>
        <v/>
      </c>
      <c r="U383" s="280"/>
      <c r="V383" s="281"/>
      <c r="AA383" s="31"/>
    </row>
    <row r="384" spans="1:27" ht="27.95" customHeight="1" x14ac:dyDescent="0.25">
      <c r="A384" s="10"/>
      <c r="B384" s="226" t="str">
        <f>INDEX(TranslationTable[], MATCH(125, TranslationTable[TranslationKeyId], 0), MATCH(TRIM(LOWER(Language)), TranslationTable[#Headers], 0))</f>
        <v>If answered yes, is your disability disaggregated data in accordance to the Washington Group questions?</v>
      </c>
      <c r="C384" s="227"/>
      <c r="D384" s="227"/>
      <c r="E384" s="227"/>
      <c r="F384" s="227"/>
      <c r="G384" s="227"/>
      <c r="H384" s="227"/>
      <c r="I384" s="227"/>
      <c r="J384" s="168"/>
      <c r="K384" s="25" t="str">
        <f>IF(AND(K382=YesLANG, J384=""),INDEX(TranslationTable[], MATCH(9043, TranslationTable[TranslationKeyId], 0), MATCH(LOWER(Language), TranslationTable[#Headers], 0)),"")</f>
        <v/>
      </c>
      <c r="L384" s="33"/>
      <c r="M384" s="33"/>
      <c r="N384" s="33"/>
      <c r="O384" s="19"/>
      <c r="P384" s="33"/>
      <c r="Q384" s="33"/>
      <c r="R384" s="19"/>
      <c r="S384" s="19"/>
      <c r="T384" s="280"/>
      <c r="U384" s="280"/>
      <c r="V384" s="281"/>
      <c r="AA384" s="31" t="str">
        <f>IF(AND(K382="Yes", J384=""), "Required", "")</f>
        <v/>
      </c>
    </row>
    <row r="385" spans="1:27" ht="27.95" customHeight="1" x14ac:dyDescent="0.25">
      <c r="A385" s="10"/>
      <c r="B385" s="18"/>
      <c r="C385" s="18"/>
      <c r="D385" s="19"/>
      <c r="E385" s="19"/>
      <c r="F385" s="19"/>
      <c r="G385" s="19"/>
      <c r="H385" s="19"/>
      <c r="I385" s="19"/>
      <c r="J385" s="19"/>
      <c r="K385" s="19"/>
      <c r="L385" s="19"/>
      <c r="M385" s="19"/>
      <c r="N385" s="19"/>
      <c r="O385" s="19"/>
      <c r="P385" s="19"/>
      <c r="Q385" s="19"/>
      <c r="R385" s="19"/>
      <c r="S385" s="19"/>
      <c r="T385" s="280"/>
      <c r="U385" s="280"/>
      <c r="V385" s="281"/>
      <c r="AA385" s="31"/>
    </row>
    <row r="386" spans="1:27" ht="22.35" customHeight="1" x14ac:dyDescent="0.25">
      <c r="A386" s="10"/>
      <c r="B386" s="26"/>
      <c r="C386" s="172" t="b">
        <v>0</v>
      </c>
      <c r="D386"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386" s="196"/>
      <c r="F386" s="19"/>
      <c r="G386" s="35"/>
      <c r="H386" s="172" t="b">
        <v>0</v>
      </c>
      <c r="I386"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386" s="196"/>
      <c r="K386" s="196"/>
      <c r="L386" s="196"/>
      <c r="M386" s="196"/>
      <c r="N386" s="19"/>
      <c r="O386" s="19"/>
      <c r="P386" s="19"/>
      <c r="Q386" s="19"/>
      <c r="R386" s="19"/>
      <c r="S386" s="19"/>
      <c r="T386" s="280"/>
      <c r="U386" s="280"/>
      <c r="V386" s="281"/>
      <c r="AA386" s="31"/>
    </row>
    <row r="387" spans="1:27" ht="22.35" customHeight="1" x14ac:dyDescent="0.25">
      <c r="A387" s="10"/>
      <c r="B387" s="199" t="str">
        <f>IF(OR(R394&lt;&gt;"", C386=TRUE, H386=TRUE), "", IFERROR(INDEX(TranslationTable[], MATCH(9043, TranslationTable[TranslationKeyId], 0), MATCH(LOWER(Language), TranslationTable[#Headers], 0)), ""))</f>
        <v>Required</v>
      </c>
      <c r="C387" s="200"/>
      <c r="D387" s="255" t="str">
        <f>INDEX(TranslationTable[], MATCH(9038, TranslationTable[TranslationKeyId], 0), MATCH(TRIM(LOWER(Language)), TranslationTable[#Headers], 0))</f>
        <v>People reached with protection, gender and inclusion programming</v>
      </c>
      <c r="E387" s="228"/>
      <c r="F387" s="228"/>
      <c r="G387" s="228"/>
      <c r="H387" s="228"/>
      <c r="I387" s="228"/>
      <c r="J387" s="228"/>
      <c r="K387" s="228"/>
      <c r="L387" s="228"/>
      <c r="M387" s="228"/>
      <c r="N387" s="228"/>
      <c r="O387" s="228"/>
      <c r="P387" s="228"/>
      <c r="Q387" s="228"/>
      <c r="R387" s="229"/>
      <c r="S387" s="407" t="str">
        <f>INDEX(TranslationTable[], MATCH(9039, TranslationTable[TranslationKeyId], 0), MATCH(TRIM(LOWER(Language)), TranslationTable[#Headers], 0))</f>
        <v>PGI activities seek to prevent, respond and mitigate the causes, risks and consequences of all forms of violence, discrimination and exclusion.  General categories of activities are based on the PGI Policy and Operational Framework (forthcoming). These include activities with a specific focus on addressing violence, discrimination and exclusion. Note that many activities address all three categories, with a particular focus.</v>
      </c>
      <c r="T387" s="407"/>
      <c r="U387" s="407"/>
      <c r="V387" s="408"/>
      <c r="Y387" s="5" t="b">
        <v>0</v>
      </c>
      <c r="Z387" s="5" t="b">
        <v>0</v>
      </c>
      <c r="AA387" s="31" t="str">
        <f>IF(OR(Y387,Z387,R394&lt;&gt;""),"","Required")</f>
        <v>Required</v>
      </c>
    </row>
    <row r="388" spans="1:27" ht="22.35" customHeight="1" x14ac:dyDescent="0.25">
      <c r="A388" s="10"/>
      <c r="B388" s="201"/>
      <c r="C388" s="202"/>
      <c r="D388" s="203" t="str">
        <f xml:space="preserve"> SUBSTITUTE(INDEX(TranslationTable[], MATCH(138, TranslationTable[TranslationKeyId], 0), MATCH(TRIM(LOWER($V$5)), TranslationTable[#Headers], 0)), "//", CHAR(10))</f>
        <v>Direct Recipients</v>
      </c>
      <c r="E388" s="204"/>
      <c r="F388" s="204"/>
      <c r="G388" s="204"/>
      <c r="H388" s="204"/>
      <c r="I388" s="204"/>
      <c r="J388" s="204"/>
      <c r="K388" s="204"/>
      <c r="L388" s="204"/>
      <c r="M388" s="204"/>
      <c r="N388" s="204"/>
      <c r="O388" s="204"/>
      <c r="P388" s="204"/>
      <c r="Q388" s="204"/>
      <c r="R388" s="205"/>
      <c r="S388" s="407"/>
      <c r="T388" s="407"/>
      <c r="U388" s="407"/>
      <c r="V388" s="408"/>
      <c r="AA388" s="31"/>
    </row>
    <row r="389" spans="1:27" ht="30" customHeight="1" x14ac:dyDescent="0.25">
      <c r="A389" s="10"/>
      <c r="B389" s="197" t="str">
        <f>INDEX(TranslationTable[], MATCH(3306, TranslationTable[TranslationKeyId], 0), MATCH(TRIM(LOWER($V$5)), TranslationTable[#Headers], 0))</f>
        <v>Age group</v>
      </c>
      <c r="C389" s="198"/>
      <c r="D389" s="54" t="s">
        <v>17</v>
      </c>
      <c r="E389" s="54" t="s">
        <v>12</v>
      </c>
      <c r="F389" s="55" t="s">
        <v>13</v>
      </c>
      <c r="G389" s="192" t="s">
        <v>14</v>
      </c>
      <c r="H389" s="193"/>
      <c r="I389" s="55" t="s">
        <v>6</v>
      </c>
      <c r="J389" s="55" t="s">
        <v>7</v>
      </c>
      <c r="K389" s="55" t="s">
        <v>8</v>
      </c>
      <c r="L389" s="55" t="s">
        <v>9</v>
      </c>
      <c r="M389" s="55" t="s">
        <v>10</v>
      </c>
      <c r="N389" s="206" t="s">
        <v>11</v>
      </c>
      <c r="O389" s="207"/>
      <c r="P389" s="246" t="str">
        <f>INDEX(TranslationTable[], MATCH(701, TranslationTable[TranslationKeyId], 0), MATCH(TRIM(LOWER($V$5)), TranslationTable[#Headers], 0))</f>
        <v>Unknown</v>
      </c>
      <c r="Q389" s="247"/>
      <c r="R389" s="28" t="str">
        <f>INDEX(TranslationTable[], MATCH(6383, TranslationTable[TranslationKeyId], 0), MATCH(TRIM(LOWER($V$5)), TranslationTable[#Headers], 0))</f>
        <v>Total</v>
      </c>
      <c r="S389" s="407"/>
      <c r="T389" s="407"/>
      <c r="U389" s="407"/>
      <c r="V389" s="408"/>
      <c r="AA389" s="31"/>
    </row>
    <row r="390" spans="1:27" ht="22.35" customHeight="1" x14ac:dyDescent="0.25">
      <c r="A390" s="10"/>
      <c r="B390" s="197" t="str">
        <f>INDEX(TranslationTable[], MATCH(3301, TranslationTable[TranslationKeyId], 0), MATCH(TRIM(LOWER($V$5)), TranslationTable[#Headers], 0))</f>
        <v>Male</v>
      </c>
      <c r="C390" s="198"/>
      <c r="D390" s="1"/>
      <c r="E390" s="1"/>
      <c r="F390" s="1"/>
      <c r="G390" s="194"/>
      <c r="H390" s="195"/>
      <c r="I390" s="1"/>
      <c r="J390" s="1"/>
      <c r="K390" s="1"/>
      <c r="L390" s="1"/>
      <c r="M390" s="156"/>
      <c r="N390" s="220"/>
      <c r="O390" s="221"/>
      <c r="P390" s="241"/>
      <c r="Q390" s="242"/>
      <c r="R390" s="30" t="str">
        <f>IF(SUM(D390:P390)=0,"",SUM((D390:P390)))</f>
        <v/>
      </c>
      <c r="S390" s="407"/>
      <c r="T390" s="407"/>
      <c r="U390" s="407"/>
      <c r="V390" s="408"/>
      <c r="AA390" s="31"/>
    </row>
    <row r="391" spans="1:27" ht="22.35" customHeight="1" x14ac:dyDescent="0.25">
      <c r="A391" s="10"/>
      <c r="B391" s="197" t="str">
        <f>INDEX(TranslationTable[], MATCH(3302, TranslationTable[TranslationKeyId], 0), MATCH(TRIM(LOWER($V$5)), TranslationTable[#Headers], 0))</f>
        <v>Female</v>
      </c>
      <c r="C391" s="198"/>
      <c r="D391" s="1"/>
      <c r="E391" s="1"/>
      <c r="F391" s="1"/>
      <c r="G391" s="194"/>
      <c r="H391" s="195"/>
      <c r="I391" s="1"/>
      <c r="J391" s="1"/>
      <c r="K391" s="1"/>
      <c r="L391" s="1"/>
      <c r="M391" s="1"/>
      <c r="N391" s="220"/>
      <c r="O391" s="221"/>
      <c r="P391" s="241"/>
      <c r="Q391" s="242"/>
      <c r="R391" s="30" t="str">
        <f>IF(SUM(D391:P391)=0,"",SUM((D391:P391)))</f>
        <v/>
      </c>
      <c r="S391" s="407"/>
      <c r="T391" s="407"/>
      <c r="U391" s="407"/>
      <c r="V391" s="408"/>
      <c r="AA391" s="31"/>
    </row>
    <row r="392" spans="1:27" ht="22.35" customHeight="1" x14ac:dyDescent="0.25">
      <c r="A392" s="10"/>
      <c r="B392" s="197" t="str">
        <f>INDEX(TranslationTable[], MATCH(9001, TranslationTable[TranslationKeyId], 0), MATCH(TRIM(LOWER($V$5)), TranslationTable[#Headers], 0))</f>
        <v>Non-binary</v>
      </c>
      <c r="C392" s="198"/>
      <c r="D392" s="1"/>
      <c r="E392" s="1"/>
      <c r="F392" s="1"/>
      <c r="G392" s="194"/>
      <c r="H392" s="195"/>
      <c r="I392" s="1"/>
      <c r="J392" s="1"/>
      <c r="K392" s="1"/>
      <c r="L392" s="1"/>
      <c r="M392" s="1"/>
      <c r="N392" s="220"/>
      <c r="O392" s="221"/>
      <c r="P392" s="241"/>
      <c r="Q392" s="242"/>
      <c r="R392" s="30" t="str">
        <f>IF(SUM(D392:P392)=0,"",SUM((D392:P392)))</f>
        <v/>
      </c>
      <c r="S392" s="407"/>
      <c r="T392" s="407"/>
      <c r="U392" s="407"/>
      <c r="V392" s="408"/>
      <c r="AA392" s="31"/>
    </row>
    <row r="393" spans="1:27" ht="22.35" customHeight="1" x14ac:dyDescent="0.25">
      <c r="A393" s="10"/>
      <c r="B393" s="197" t="str">
        <f>INDEX(TranslationTable[], MATCH(701, TranslationTable[TranslationKeyId], 0), MATCH(TRIM(LOWER($V$5)), TranslationTable[#Headers], 0))</f>
        <v>Unknown</v>
      </c>
      <c r="C393" s="198"/>
      <c r="D393" s="142"/>
      <c r="E393" s="142"/>
      <c r="F393" s="142"/>
      <c r="G393" s="190"/>
      <c r="H393" s="191"/>
      <c r="I393" s="142"/>
      <c r="J393" s="142"/>
      <c r="K393" s="142"/>
      <c r="L393" s="142"/>
      <c r="M393" s="142"/>
      <c r="N393" s="250"/>
      <c r="O393" s="251"/>
      <c r="P393" s="248"/>
      <c r="Q393" s="249"/>
      <c r="R393" s="30" t="str">
        <f>IF(SUM(D393:P393)=0,"",SUM((D393:P393)))</f>
        <v/>
      </c>
      <c r="S393" s="407"/>
      <c r="T393" s="407"/>
      <c r="U393" s="407"/>
      <c r="V393" s="408"/>
      <c r="AA393" s="31"/>
    </row>
    <row r="394" spans="1:27" ht="22.35" customHeight="1" x14ac:dyDescent="0.25">
      <c r="A394" s="10"/>
      <c r="B394" s="197" t="str">
        <f>INDEX(TranslationTable[], MATCH(6383, TranslationTable[TranslationKeyId], 0), MATCH(TRIM(LOWER($V$5)), TranslationTable[#Headers], 0))</f>
        <v>Total</v>
      </c>
      <c r="C394" s="198"/>
      <c r="D394" s="30" t="str">
        <f>IF(SUM(D390:D393)=0,"",SUM(D390:D393))</f>
        <v/>
      </c>
      <c r="E394" s="30" t="str">
        <f>IF(SUM(E390:E393)=0,"",SUM(E390:E393))</f>
        <v/>
      </c>
      <c r="F394" s="30" t="str">
        <f>IF(SUM(F390:F393)=0,"",SUM(F390:F393))</f>
        <v/>
      </c>
      <c r="G394" s="188" t="str">
        <f t="shared" ref="G394:P394" si="22">IF(SUM(G390:G393)=0,"",SUM(G390:G393))</f>
        <v/>
      </c>
      <c r="H394" s="189"/>
      <c r="I394" s="30" t="str">
        <f t="shared" si="22"/>
        <v/>
      </c>
      <c r="J394" s="30" t="str">
        <f t="shared" si="22"/>
        <v/>
      </c>
      <c r="K394" s="30" t="str">
        <f t="shared" si="22"/>
        <v/>
      </c>
      <c r="L394" s="30" t="str">
        <f t="shared" si="22"/>
        <v/>
      </c>
      <c r="M394" s="30" t="str">
        <f t="shared" si="22"/>
        <v/>
      </c>
      <c r="N394" s="239" t="str">
        <f t="shared" si="22"/>
        <v/>
      </c>
      <c r="O394" s="240"/>
      <c r="P394" s="239" t="str">
        <f t="shared" si="22"/>
        <v/>
      </c>
      <c r="Q394" s="240"/>
      <c r="R394" s="30" t="str">
        <f>IF(SUM(D394:P394)=0,"",SUM((D394:P394)))</f>
        <v/>
      </c>
      <c r="S394" s="82"/>
      <c r="T394" s="276" t="str">
        <f xml:space="preserve"> SUBSTITUTE(INDEX(TranslationTable[], MATCH(139, TranslationTable[TranslationKeyId], 0), MATCH(TRIM(LOWER($V$5)), TranslationTable[#Headers], 0)), "//", CHAR(10))</f>
        <v>Indirect Recipients</v>
      </c>
      <c r="U394" s="277"/>
      <c r="V394" s="90"/>
      <c r="AA394" s="31"/>
    </row>
    <row r="395" spans="1:27" ht="22.35" customHeight="1" x14ac:dyDescent="0.25">
      <c r="A395" s="10"/>
      <c r="B395" s="18"/>
      <c r="C395" s="18"/>
      <c r="D395" s="19"/>
      <c r="E395" s="19"/>
      <c r="F395" s="19"/>
      <c r="G395" s="19"/>
      <c r="H395" s="19"/>
      <c r="I395" s="19"/>
      <c r="J395" s="19"/>
      <c r="K395" s="19"/>
      <c r="L395" s="19"/>
      <c r="M395" s="19"/>
      <c r="N395" s="19"/>
      <c r="O395" s="19"/>
      <c r="P395" s="19"/>
      <c r="Q395" s="19"/>
      <c r="R395" s="19"/>
      <c r="S395" s="19"/>
      <c r="T395" s="230"/>
      <c r="U395" s="232"/>
      <c r="V395" s="160" t="str">
        <f>IF(OR(T395&lt;&gt;"", C386=TRUE,H386=TRUE), "", IFERROR(INDEX(TranslationTable[], MATCH(9043, TranslationTable[TranslationKeyId], 0), MATCH(LOWER(Language), TranslationTable[#Headers], 0)), ""))</f>
        <v>Required</v>
      </c>
      <c r="AA395" s="31" t="str">
        <f>IF(AND(Y387+Z387=0,T395=""), "Required", "")</f>
        <v>Required</v>
      </c>
    </row>
    <row r="396" spans="1:27" ht="27.95" customHeight="1" x14ac:dyDescent="0.25">
      <c r="A396" s="10"/>
      <c r="B396" s="262" t="str">
        <f>INDEX(TranslationTable[], MATCH(124, TranslationTable[TranslationKeyId], 0), MATCH(TRIM(LOWER($V$5)), TranslationTable[#Headers], 0))</f>
        <v>Is your National Society capturing disaggregated data based on disability for this indicator, i.e.the number of persons with disabilities?</v>
      </c>
      <c r="C396" s="263"/>
      <c r="D396" s="263"/>
      <c r="E396" s="263"/>
      <c r="F396" s="263"/>
      <c r="G396" s="263"/>
      <c r="H396" s="263"/>
      <c r="I396" s="263"/>
      <c r="J396" s="264"/>
      <c r="K396" s="162"/>
      <c r="L396" s="25" t="str">
        <f>IF(OR(K396&lt;&gt;"",C386=TRUE,H386=TRUE),"",INDEX(TranslationTable[],MATCH(9043,TranslationTable[TranslationKeyId],0),MATCH(LOWER(Language),TranslationTable[#Headers],0)))</f>
        <v>Required</v>
      </c>
      <c r="M396" s="33"/>
      <c r="N396" s="33"/>
      <c r="O396" s="33"/>
      <c r="P396" s="33"/>
      <c r="Q396" s="33"/>
      <c r="R396" s="19"/>
      <c r="S396" s="19"/>
      <c r="T396" s="280" t="str">
        <f>IF(T395=0,"",$B$426)</f>
        <v/>
      </c>
      <c r="U396" s="280"/>
      <c r="V396" s="281"/>
      <c r="AA396" s="31" t="str">
        <f>IF(AND(Y387+Z387=0,K396=""), "Required", "")</f>
        <v>Required</v>
      </c>
    </row>
    <row r="397" spans="1:27" ht="27.95" customHeight="1" x14ac:dyDescent="0.25">
      <c r="A397" s="10"/>
      <c r="B397" s="33"/>
      <c r="C397" s="33"/>
      <c r="D397" s="33"/>
      <c r="E397" s="33"/>
      <c r="F397" s="33"/>
      <c r="G397" s="33"/>
      <c r="H397" s="33"/>
      <c r="I397" s="33"/>
      <c r="J397" s="33"/>
      <c r="K397" s="33"/>
      <c r="L397" s="33"/>
      <c r="M397" s="19"/>
      <c r="N397" s="19"/>
      <c r="O397" s="19"/>
      <c r="P397" s="33"/>
      <c r="Q397" s="33"/>
      <c r="R397" s="19"/>
      <c r="S397" s="19"/>
      <c r="T397" s="280"/>
      <c r="U397" s="280"/>
      <c r="V397" s="281"/>
      <c r="AA397" s="31"/>
    </row>
    <row r="398" spans="1:27" ht="27.95" customHeight="1" x14ac:dyDescent="0.25">
      <c r="A398" s="10"/>
      <c r="B398" s="226" t="str">
        <f>INDEX(TranslationTable[], MATCH(125, TranslationTable[TranslationKeyId], 0), MATCH(TRIM(LOWER(Language)), TranslationTable[#Headers], 0))</f>
        <v>If answered yes, is your disability disaggregated data in accordance to the Washington Group questions?</v>
      </c>
      <c r="C398" s="227"/>
      <c r="D398" s="227"/>
      <c r="E398" s="227"/>
      <c r="F398" s="227"/>
      <c r="G398" s="227"/>
      <c r="H398" s="227"/>
      <c r="I398" s="227"/>
      <c r="J398" s="168"/>
      <c r="K398" s="25" t="str">
        <f>IF(AND(K396=YesLANG, J398=""),INDEX(TranslationTable[], MATCH(9043, TranslationTable[TranslationKeyId], 0), MATCH(LOWER(Language), TranslationTable[#Headers], 0)),"")</f>
        <v/>
      </c>
      <c r="L398" s="33"/>
      <c r="M398" s="33"/>
      <c r="N398" s="33"/>
      <c r="O398" s="19"/>
      <c r="P398" s="33"/>
      <c r="Q398" s="33"/>
      <c r="R398" s="19"/>
      <c r="S398" s="19"/>
      <c r="T398" s="280"/>
      <c r="U398" s="280"/>
      <c r="V398" s="281"/>
      <c r="AA398" s="31" t="str">
        <f>IF(AND(K396="Yes", J398=""), "Required", "")</f>
        <v/>
      </c>
    </row>
    <row r="399" spans="1:27" ht="27.95" customHeight="1" x14ac:dyDescent="0.25">
      <c r="A399" s="10"/>
      <c r="B399" s="35"/>
      <c r="C399" s="35"/>
      <c r="D399" s="35"/>
      <c r="E399" s="35"/>
      <c r="F399" s="35"/>
      <c r="G399" s="35"/>
      <c r="H399" s="35"/>
      <c r="I399" s="35"/>
      <c r="J399" s="33"/>
      <c r="K399" s="33"/>
      <c r="L399" s="33"/>
      <c r="M399" s="33"/>
      <c r="N399" s="33"/>
      <c r="O399" s="19"/>
      <c r="P399" s="33"/>
      <c r="Q399" s="33"/>
      <c r="R399" s="19"/>
      <c r="S399" s="19"/>
      <c r="T399" s="280"/>
      <c r="U399" s="280"/>
      <c r="V399" s="281"/>
      <c r="AA399" s="31"/>
    </row>
    <row r="400" spans="1:27" ht="22.35" customHeight="1" x14ac:dyDescent="0.25">
      <c r="A400" s="10"/>
      <c r="B400" s="26"/>
      <c r="C400" s="172" t="b">
        <v>0</v>
      </c>
      <c r="D400" s="196" t="str">
        <f>IF($V$5&lt;&gt;"AR",SUBSTITUTE(INDEX(TranslationTable[],MATCH(1013,TranslationTable[TranslationKeyId],0),MATCH(TRIM(LOWER($V$5)),TranslationTable[#Headers],0)),"//",CHAR(10)),
SUBSTITUTE(INDEX(TranslationTable[],MATCH(1013,TranslationTable[TranslationKeyId],0),MATCH(TRIM(LOWER($V$5)),TranslationTable[#Headers],0)),"//",CHAR(10))
)</f>
        <v>We do not provide this service</v>
      </c>
      <c r="E400" s="196"/>
      <c r="F400" s="19"/>
      <c r="G400" s="35"/>
      <c r="H400" s="172" t="b">
        <v>0</v>
      </c>
      <c r="I400" s="196" t="str">
        <f>IF($V$5&lt;&gt;"AR",SUBSTITUTE(INDEX(TranslationTable[],MATCH(9004,TranslationTable[TranslationKeyId],0),MATCH(TRIM(LOWER($V$5)),TranslationTable[#Headers],0)),"//",CHAR(10)),
SUBSTITUTE(INDEX(TranslationTable[],MATCH(9004,TranslationTable[TranslationKeyId],0),MATCH(TRIM(LOWER($V$5)),TranslationTable[#Headers],0)),"//",CHAR(10))
)</f>
        <v>We do provide this service but do not have the data available</v>
      </c>
      <c r="J400" s="196"/>
      <c r="K400" s="196"/>
      <c r="L400" s="196"/>
      <c r="M400" s="196"/>
      <c r="N400" s="33"/>
      <c r="O400" s="411"/>
      <c r="P400" s="411"/>
      <c r="Q400" s="411"/>
      <c r="R400" s="411"/>
      <c r="S400" s="19"/>
      <c r="T400" s="25"/>
      <c r="U400" s="19"/>
      <c r="V400" s="24"/>
      <c r="Y400" s="6" t="b">
        <v>0</v>
      </c>
      <c r="Z400" s="6" t="b">
        <v>0</v>
      </c>
      <c r="AA400" s="31" t="str">
        <f>IF(OR(Y400,Z400,R408&lt;&gt;""),"","Required")</f>
        <v>Required</v>
      </c>
    </row>
    <row r="401" spans="1:27" ht="22.35" customHeight="1" x14ac:dyDescent="0.25">
      <c r="A401" s="10"/>
      <c r="B401" s="199" t="str">
        <f>IF(OR(R408&lt;&gt;"", C400=TRUE, H400=TRUE), "", IFERROR(INDEX(TranslationTable[], MATCH(9043, TranslationTable[TranslationKeyId], 0), MATCH(LOWER(Language), TranslationTable[#Headers], 0)), ""))</f>
        <v>Required</v>
      </c>
      <c r="C401" s="200"/>
      <c r="D401" s="255" t="str">
        <f xml:space="preserve"> SUBSTITUTE(INDEX(TranslationTable[], MATCH(5185, TranslationTable[TranslationKeyId], 0), MATCH(TRIM(LOWER($V$5)), TranslationTable[#Headers], 0)), "//", CHAR(10))</f>
        <v>People reached with RCRC educational programmes</v>
      </c>
      <c r="E401" s="228"/>
      <c r="F401" s="228"/>
      <c r="G401" s="228"/>
      <c r="H401" s="228"/>
      <c r="I401" s="228"/>
      <c r="J401" s="228"/>
      <c r="K401" s="228"/>
      <c r="L401" s="228"/>
      <c r="M401" s="228"/>
      <c r="N401" s="228"/>
      <c r="O401" s="228"/>
      <c r="P401" s="228"/>
      <c r="Q401" s="228"/>
      <c r="R401" s="229"/>
      <c r="S401" s="19"/>
      <c r="T401" s="33"/>
      <c r="U401" s="33"/>
      <c r="V401" s="24"/>
      <c r="AA401" s="31"/>
    </row>
    <row r="402" spans="1:27" ht="22.35" customHeight="1" x14ac:dyDescent="0.25">
      <c r="A402" s="10"/>
      <c r="B402" s="201"/>
      <c r="C402" s="202"/>
      <c r="D402" s="203" t="str">
        <f xml:space="preserve"> SUBSTITUTE(INDEX(TranslationTable[], MATCH(138, TranslationTable[TranslationKeyId], 0), MATCH(TRIM(LOWER($V$5)), TranslationTable[#Headers], 0)), "//", CHAR(10))</f>
        <v>Direct Recipients</v>
      </c>
      <c r="E402" s="204"/>
      <c r="F402" s="204"/>
      <c r="G402" s="204"/>
      <c r="H402" s="204"/>
      <c r="I402" s="204"/>
      <c r="J402" s="204"/>
      <c r="K402" s="204"/>
      <c r="L402" s="204"/>
      <c r="M402" s="204"/>
      <c r="N402" s="204"/>
      <c r="O402" s="204"/>
      <c r="P402" s="204"/>
      <c r="Q402" s="204"/>
      <c r="R402" s="205"/>
      <c r="S402" s="243" t="str">
        <f>INDEX(TranslationTable[], MATCH(9040, TranslationTable[TranslationKeyId], 0), MATCH(TRIM(LOWER(Language)), TranslationTable[#Headers], 0))</f>
        <v>Education programming seeks to contribute to ensuring safe, continuous and equitable access to inclusive, quality education opportunities.</v>
      </c>
      <c r="T402" s="243"/>
      <c r="U402" s="243"/>
      <c r="V402" s="244"/>
      <c r="AA402" s="31"/>
    </row>
    <row r="403" spans="1:27" ht="30" customHeight="1" x14ac:dyDescent="0.25">
      <c r="A403" s="10"/>
      <c r="B403" s="197" t="str">
        <f>INDEX(TranslationTable[], MATCH(3306, TranslationTable[TranslationKeyId], 0), MATCH(TRIM(LOWER($V$5)), TranslationTable[#Headers], 0))</f>
        <v>Age group</v>
      </c>
      <c r="C403" s="198"/>
      <c r="D403" s="54" t="s">
        <v>17</v>
      </c>
      <c r="E403" s="54" t="s">
        <v>12</v>
      </c>
      <c r="F403" s="55" t="s">
        <v>13</v>
      </c>
      <c r="G403" s="192" t="s">
        <v>14</v>
      </c>
      <c r="H403" s="193"/>
      <c r="I403" s="55" t="s">
        <v>6</v>
      </c>
      <c r="J403" s="55" t="s">
        <v>7</v>
      </c>
      <c r="K403" s="55" t="s">
        <v>8</v>
      </c>
      <c r="L403" s="55" t="s">
        <v>9</v>
      </c>
      <c r="M403" s="55" t="s">
        <v>10</v>
      </c>
      <c r="N403" s="206" t="s">
        <v>11</v>
      </c>
      <c r="O403" s="207"/>
      <c r="P403" s="246" t="str">
        <f>INDEX(TranslationTable[], MATCH(701, TranslationTable[TranslationKeyId], 0), MATCH(TRIM(LOWER($V$5)), TranslationTable[#Headers], 0))</f>
        <v>Unknown</v>
      </c>
      <c r="Q403" s="247"/>
      <c r="R403" s="28" t="str">
        <f>INDEX(TranslationTable[], MATCH(6383, TranslationTable[TranslationKeyId], 0), MATCH(TRIM(LOWER($V$5)), TranslationTable[#Headers], 0))</f>
        <v>Total</v>
      </c>
      <c r="S403" s="243"/>
      <c r="T403" s="243"/>
      <c r="U403" s="243"/>
      <c r="V403" s="244"/>
      <c r="AA403" s="31"/>
    </row>
    <row r="404" spans="1:27" ht="22.35" customHeight="1" x14ac:dyDescent="0.25">
      <c r="A404" s="10"/>
      <c r="B404" s="197" t="str">
        <f>INDEX(TranslationTable[], MATCH(3301, TranslationTable[TranslationKeyId], 0), MATCH(TRIM(LOWER($V$5)), TranslationTable[#Headers], 0))</f>
        <v>Male</v>
      </c>
      <c r="C404" s="198"/>
      <c r="D404" s="1"/>
      <c r="E404" s="1"/>
      <c r="F404" s="1"/>
      <c r="G404" s="194"/>
      <c r="H404" s="195"/>
      <c r="I404" s="1"/>
      <c r="J404" s="1"/>
      <c r="K404" s="1"/>
      <c r="L404" s="1"/>
      <c r="M404" s="156"/>
      <c r="N404" s="220"/>
      <c r="O404" s="221"/>
      <c r="P404" s="241"/>
      <c r="Q404" s="242"/>
      <c r="R404" s="30" t="str">
        <f>IF(SUM(D404:P404)=0,"",SUM((D404:P404)))</f>
        <v/>
      </c>
      <c r="S404" s="243"/>
      <c r="T404" s="243"/>
      <c r="U404" s="243"/>
      <c r="V404" s="244"/>
      <c r="AA404" s="31"/>
    </row>
    <row r="405" spans="1:27" s="96" customFormat="1" ht="22.35" customHeight="1" x14ac:dyDescent="0.3">
      <c r="A405" s="95"/>
      <c r="B405" s="197" t="str">
        <f>INDEX(TranslationTable[], MATCH(3302, TranslationTable[TranslationKeyId], 0), MATCH(TRIM(LOWER($V$5)), TranslationTable[#Headers], 0))</f>
        <v>Female</v>
      </c>
      <c r="C405" s="198"/>
      <c r="D405" s="1"/>
      <c r="E405" s="1"/>
      <c r="F405" s="1"/>
      <c r="G405" s="194"/>
      <c r="H405" s="195"/>
      <c r="I405" s="1"/>
      <c r="J405" s="1"/>
      <c r="K405" s="1"/>
      <c r="L405" s="1"/>
      <c r="M405" s="1"/>
      <c r="N405" s="220"/>
      <c r="O405" s="221"/>
      <c r="P405" s="241"/>
      <c r="Q405" s="242"/>
      <c r="R405" s="30" t="str">
        <f>IF(SUM(D405:P405)=0,"",SUM((D405:P405)))</f>
        <v/>
      </c>
      <c r="S405" s="243"/>
      <c r="T405" s="243"/>
      <c r="U405" s="243"/>
      <c r="V405" s="244"/>
      <c r="W405" s="95"/>
      <c r="Y405" s="9"/>
      <c r="Z405" s="9"/>
      <c r="AA405" s="31"/>
    </row>
    <row r="406" spans="1:27" ht="22.35" customHeight="1" x14ac:dyDescent="0.25">
      <c r="A406" s="10"/>
      <c r="B406" s="197" t="str">
        <f>INDEX(TranslationTable[], MATCH(9001, TranslationTable[TranslationKeyId], 0), MATCH(TRIM(LOWER($V$5)), TranslationTable[#Headers], 0))</f>
        <v>Non-binary</v>
      </c>
      <c r="C406" s="198"/>
      <c r="D406" s="1"/>
      <c r="E406" s="1"/>
      <c r="F406" s="1"/>
      <c r="G406" s="194"/>
      <c r="H406" s="195"/>
      <c r="I406" s="1"/>
      <c r="J406" s="1"/>
      <c r="K406" s="1"/>
      <c r="L406" s="1"/>
      <c r="M406" s="1"/>
      <c r="N406" s="220"/>
      <c r="O406" s="221"/>
      <c r="P406" s="241"/>
      <c r="Q406" s="242"/>
      <c r="R406" s="30" t="str">
        <f>IF(SUM(D406:P406)=0,"",SUM((D406:P406)))</f>
        <v/>
      </c>
      <c r="S406" s="243"/>
      <c r="T406" s="243"/>
      <c r="U406" s="243"/>
      <c r="V406" s="244"/>
      <c r="AA406" s="31"/>
    </row>
    <row r="407" spans="1:27" ht="22.35" customHeight="1" x14ac:dyDescent="0.25">
      <c r="A407" s="10"/>
      <c r="B407" s="197" t="str">
        <f>INDEX(TranslationTable[], MATCH(701, TranslationTable[TranslationKeyId], 0), MATCH(TRIM(LOWER($V$5)), TranslationTable[#Headers], 0))</f>
        <v>Unknown</v>
      </c>
      <c r="C407" s="198"/>
      <c r="D407" s="142"/>
      <c r="E407" s="142"/>
      <c r="F407" s="142"/>
      <c r="G407" s="190"/>
      <c r="H407" s="191"/>
      <c r="I407" s="142"/>
      <c r="J407" s="142"/>
      <c r="K407" s="142"/>
      <c r="L407" s="142"/>
      <c r="M407" s="142"/>
      <c r="N407" s="250"/>
      <c r="O407" s="251"/>
      <c r="P407" s="248"/>
      <c r="Q407" s="249"/>
      <c r="R407" s="30" t="str">
        <f>IF(SUM(D407:P407)=0,"",SUM((D407:P407)))</f>
        <v/>
      </c>
      <c r="S407" s="82"/>
      <c r="T407" s="276" t="str">
        <f xml:space="preserve"> SUBSTITUTE(INDEX(TranslationTable[], MATCH(139, TranslationTable[TranslationKeyId], 0), MATCH(TRIM(LOWER($V$5)), TranslationTable[#Headers], 0)), "//", CHAR(10))</f>
        <v>Indirect Recipients</v>
      </c>
      <c r="U407" s="277"/>
      <c r="V407" s="90"/>
      <c r="AA407" s="31"/>
    </row>
    <row r="408" spans="1:27" ht="22.35" customHeight="1" x14ac:dyDescent="0.25">
      <c r="A408" s="10"/>
      <c r="B408" s="197" t="str">
        <f>INDEX(TranslationTable[], MATCH(6383, TranslationTable[TranslationKeyId], 0), MATCH(TRIM(LOWER($V$5)), TranslationTable[#Headers], 0))</f>
        <v>Total</v>
      </c>
      <c r="C408" s="198"/>
      <c r="D408" s="30" t="str">
        <f>IF(SUM(D404:D407)=0,"",SUM(D404:D407))</f>
        <v/>
      </c>
      <c r="E408" s="30" t="str">
        <f>IF(SUM(E404:E407)=0,"",SUM(E404:E407))</f>
        <v/>
      </c>
      <c r="F408" s="30" t="str">
        <f>IF(SUM(F404:F407)=0,"",SUM(F404:F407))</f>
        <v/>
      </c>
      <c r="G408" s="188" t="str">
        <f t="shared" ref="G408:P408" si="23">IF(SUM(G404:G407)=0,"",SUM(G404:G407))</f>
        <v/>
      </c>
      <c r="H408" s="189"/>
      <c r="I408" s="30" t="str">
        <f t="shared" si="23"/>
        <v/>
      </c>
      <c r="J408" s="30" t="str">
        <f t="shared" si="23"/>
        <v/>
      </c>
      <c r="K408" s="30" t="str">
        <f t="shared" si="23"/>
        <v/>
      </c>
      <c r="L408" s="30" t="str">
        <f t="shared" si="23"/>
        <v/>
      </c>
      <c r="M408" s="30" t="str">
        <f t="shared" si="23"/>
        <v/>
      </c>
      <c r="N408" s="239" t="str">
        <f t="shared" si="23"/>
        <v/>
      </c>
      <c r="O408" s="240"/>
      <c r="P408" s="239" t="str">
        <f t="shared" si="23"/>
        <v/>
      </c>
      <c r="Q408" s="240"/>
      <c r="R408" s="30" t="str">
        <f>IF(SUM(D408:P408)=0,"",SUM((D408:P408)))</f>
        <v/>
      </c>
      <c r="S408" s="82"/>
      <c r="T408" s="230"/>
      <c r="U408" s="232"/>
      <c r="V408" s="160" t="str">
        <f>IF(OR(T408&lt;&gt;"", C400=TRUE,H400=TRUE), "", IFERROR(INDEX(TranslationTable[], MATCH(9043, TranslationTable[TranslationKeyId], 0), MATCH(LOWER(Language), TranslationTable[#Headers], 0)), ""))</f>
        <v>Required</v>
      </c>
      <c r="AA408" s="31" t="str">
        <f>IF(AND(Y400+Z400=0,T408=""), "Required", "")</f>
        <v>Required</v>
      </c>
    </row>
    <row r="409" spans="1:27" ht="27.95" customHeight="1" x14ac:dyDescent="0.25">
      <c r="A409" s="10"/>
      <c r="B409" s="18"/>
      <c r="C409" s="18"/>
      <c r="D409" s="19"/>
      <c r="E409" s="19"/>
      <c r="F409" s="19"/>
      <c r="G409" s="19"/>
      <c r="H409" s="19"/>
      <c r="I409" s="19"/>
      <c r="J409" s="19"/>
      <c r="K409" s="19"/>
      <c r="L409" s="19"/>
      <c r="M409" s="19"/>
      <c r="N409" s="19"/>
      <c r="O409" s="19"/>
      <c r="P409" s="19"/>
      <c r="Q409" s="19"/>
      <c r="R409" s="19"/>
      <c r="S409" s="19"/>
      <c r="T409" s="280" t="str">
        <f>IF(T408=0,"",$B$426)</f>
        <v/>
      </c>
      <c r="U409" s="280"/>
      <c r="V409" s="281"/>
    </row>
    <row r="410" spans="1:27" ht="27.95" customHeight="1" x14ac:dyDescent="0.25">
      <c r="A410" s="10"/>
      <c r="B410" s="262" t="str">
        <f>INDEX(TranslationTable[], MATCH(124, TranslationTable[TranslationKeyId], 0), MATCH(TRIM(LOWER($V$5)), TranslationTable[#Headers], 0))</f>
        <v>Is your National Society capturing disaggregated data based on disability for this indicator, i.e.the number of persons with disabilities?</v>
      </c>
      <c r="C410" s="263"/>
      <c r="D410" s="263"/>
      <c r="E410" s="263"/>
      <c r="F410" s="263"/>
      <c r="G410" s="263"/>
      <c r="H410" s="263"/>
      <c r="I410" s="263"/>
      <c r="J410" s="264"/>
      <c r="K410" s="169"/>
      <c r="L410" s="25" t="str">
        <f>IF(OR(K410&lt;&gt;"",C400=TRUE,H400=TRUE),"",INDEX(TranslationTable[],MATCH(9043,TranslationTable[TranslationKeyId],0),MATCH(LOWER(Language),TranslationTable[#Headers],0)))</f>
        <v>Required</v>
      </c>
      <c r="M410" s="33"/>
      <c r="N410" s="33"/>
      <c r="O410" s="33"/>
      <c r="P410" s="33"/>
      <c r="Q410" s="33"/>
      <c r="R410" s="19"/>
      <c r="S410" s="19"/>
      <c r="T410" s="280"/>
      <c r="U410" s="280"/>
      <c r="V410" s="281"/>
      <c r="AA410" s="31" t="str">
        <f>IF(AND(Y400+Z400=0,K410=""), "Required", "")</f>
        <v>Required</v>
      </c>
    </row>
    <row r="411" spans="1:27" ht="27.95" customHeight="1" x14ac:dyDescent="0.25">
      <c r="A411" s="10"/>
      <c r="B411" s="33"/>
      <c r="C411" s="33"/>
      <c r="D411" s="33"/>
      <c r="E411" s="33"/>
      <c r="F411" s="33"/>
      <c r="G411" s="33"/>
      <c r="H411" s="33"/>
      <c r="I411" s="33"/>
      <c r="J411" s="33"/>
      <c r="K411" s="33"/>
      <c r="L411" s="33"/>
      <c r="M411" s="19"/>
      <c r="N411" s="19"/>
      <c r="O411" s="19"/>
      <c r="P411" s="33"/>
      <c r="Q411" s="33"/>
      <c r="R411" s="19"/>
      <c r="S411" s="19"/>
      <c r="T411" s="280"/>
      <c r="U411" s="280"/>
      <c r="V411" s="281"/>
    </row>
    <row r="412" spans="1:27" ht="27.95" customHeight="1" x14ac:dyDescent="0.25">
      <c r="A412" s="10"/>
      <c r="B412" s="226" t="str">
        <f>INDEX(TranslationTable[], MATCH(125, TranslationTable[TranslationKeyId], 0), MATCH(TRIM(LOWER(Language)), TranslationTable[#Headers], 0))</f>
        <v>If answered yes, is your disability disaggregated data in accordance to the Washington Group questions?</v>
      </c>
      <c r="C412" s="227"/>
      <c r="D412" s="227"/>
      <c r="E412" s="227"/>
      <c r="F412" s="227"/>
      <c r="G412" s="227"/>
      <c r="H412" s="227"/>
      <c r="I412" s="227"/>
      <c r="J412" s="168"/>
      <c r="K412" s="25" t="str">
        <f>IF(AND(K410=YesLANG, J412=""),INDEX(TranslationTable[], MATCH(9043, TranslationTable[TranslationKeyId], 0), MATCH(LOWER(Language), TranslationTable[#Headers], 0)),"")</f>
        <v/>
      </c>
      <c r="L412" s="33"/>
      <c r="M412" s="33"/>
      <c r="N412" s="33"/>
      <c r="O412" s="19"/>
      <c r="P412" s="33"/>
      <c r="Q412" s="33"/>
      <c r="R412" s="19"/>
      <c r="S412" s="19"/>
      <c r="T412" s="280"/>
      <c r="U412" s="280"/>
      <c r="V412" s="281"/>
      <c r="AA412" s="31" t="str">
        <f>IF(AND(K410="Yes", J412=""), "Required", "")</f>
        <v/>
      </c>
    </row>
    <row r="413" spans="1:27" ht="22.35" customHeight="1" x14ac:dyDescent="0.25">
      <c r="A413" s="10"/>
      <c r="B413" s="64"/>
      <c r="C413" s="150"/>
      <c r="D413" s="58"/>
      <c r="E413" s="58"/>
      <c r="F413" s="58"/>
      <c r="G413" s="58"/>
      <c r="H413" s="58"/>
      <c r="I413" s="94"/>
      <c r="J413" s="58"/>
      <c r="K413" s="58"/>
      <c r="L413" s="58"/>
      <c r="M413" s="58"/>
      <c r="N413" s="58"/>
      <c r="O413" s="58"/>
      <c r="P413" s="94"/>
      <c r="Q413" s="94"/>
      <c r="R413" s="58"/>
      <c r="S413" s="58"/>
      <c r="T413" s="58"/>
      <c r="U413" s="58"/>
      <c r="V413" s="60"/>
    </row>
    <row r="414" spans="1:27" ht="26.25" hidden="1" customHeight="1" x14ac:dyDescent="0.25">
      <c r="A414" s="10"/>
      <c r="B414" s="95"/>
      <c r="C414" s="95"/>
      <c r="D414" s="95"/>
      <c r="E414" s="95"/>
      <c r="F414" s="95"/>
      <c r="G414" s="95"/>
      <c r="H414" s="95"/>
      <c r="I414" s="95"/>
      <c r="J414" s="95"/>
      <c r="K414" s="95"/>
      <c r="L414" s="95"/>
      <c r="M414" s="95"/>
      <c r="N414" s="95"/>
      <c r="O414" s="95"/>
      <c r="P414" s="95"/>
      <c r="Q414" s="95"/>
      <c r="R414" s="95"/>
      <c r="S414" s="95"/>
      <c r="T414" s="95"/>
      <c r="U414" s="95"/>
      <c r="V414" s="95"/>
    </row>
    <row r="415" spans="1:27" ht="26.25" hidden="1" customHeight="1" x14ac:dyDescent="0.25">
      <c r="A415" s="10"/>
      <c r="B415" s="297" t="s">
        <v>18</v>
      </c>
      <c r="C415" s="298"/>
      <c r="D415" s="298"/>
      <c r="E415" s="298"/>
      <c r="F415" s="298"/>
      <c r="G415" s="298"/>
      <c r="H415" s="298"/>
      <c r="I415" s="298"/>
      <c r="J415" s="298"/>
      <c r="K415" s="298"/>
      <c r="L415" s="298"/>
      <c r="M415" s="298"/>
      <c r="N415" s="298"/>
      <c r="O415" s="298"/>
      <c r="P415" s="298"/>
      <c r="Q415" s="298"/>
      <c r="R415" s="298"/>
      <c r="S415" s="298"/>
      <c r="T415" s="298"/>
      <c r="U415" s="298"/>
      <c r="V415" s="299"/>
    </row>
    <row r="416" spans="1:27" ht="26.25" hidden="1" customHeight="1" x14ac:dyDescent="0.25">
      <c r="A416" s="10"/>
      <c r="B416" s="303"/>
      <c r="C416" s="304"/>
      <c r="D416" s="304"/>
      <c r="E416" s="304"/>
      <c r="F416" s="304"/>
      <c r="G416" s="304"/>
      <c r="H416" s="304"/>
      <c r="I416" s="304"/>
      <c r="J416" s="304"/>
      <c r="K416" s="304"/>
      <c r="L416" s="304"/>
      <c r="M416" s="304"/>
      <c r="N416" s="304"/>
      <c r="O416" s="304"/>
      <c r="P416" s="304"/>
      <c r="Q416" s="304"/>
      <c r="R416" s="304"/>
      <c r="S416" s="304"/>
      <c r="T416" s="304"/>
      <c r="U416" s="304"/>
      <c r="V416" s="305"/>
    </row>
    <row r="417" spans="1:27" hidden="1" x14ac:dyDescent="0.25">
      <c r="A417" s="8"/>
      <c r="B417" s="300" t="s">
        <v>19</v>
      </c>
      <c r="C417" s="301"/>
      <c r="D417" s="301"/>
      <c r="E417" s="301"/>
      <c r="F417" s="301"/>
      <c r="G417" s="301"/>
      <c r="H417" s="301"/>
      <c r="I417" s="301"/>
      <c r="J417" s="301"/>
      <c r="K417" s="301"/>
      <c r="L417" s="301"/>
      <c r="M417" s="301"/>
      <c r="N417" s="301"/>
      <c r="O417" s="301"/>
      <c r="P417" s="301"/>
      <c r="Q417" s="301"/>
      <c r="R417" s="301"/>
      <c r="S417" s="301"/>
      <c r="T417" s="301"/>
      <c r="U417" s="301"/>
      <c r="V417" s="302"/>
    </row>
    <row r="418" spans="1:27" hidden="1" x14ac:dyDescent="0.25">
      <c r="B418" s="297" t="s">
        <v>18</v>
      </c>
      <c r="C418" s="298"/>
      <c r="D418" s="298"/>
      <c r="E418" s="298"/>
      <c r="F418" s="298"/>
      <c r="G418" s="298"/>
      <c r="H418" s="298"/>
      <c r="I418" s="298"/>
      <c r="J418" s="298"/>
      <c r="K418" s="298"/>
      <c r="L418" s="298"/>
      <c r="M418" s="298"/>
      <c r="N418" s="298"/>
      <c r="O418" s="298"/>
      <c r="P418" s="298"/>
      <c r="Q418" s="298"/>
      <c r="R418" s="298"/>
      <c r="S418" s="298"/>
      <c r="T418" s="298"/>
      <c r="U418" s="298"/>
      <c r="V418" s="299"/>
    </row>
    <row r="419" spans="1:27" ht="26.25" customHeight="1" x14ac:dyDescent="0.25">
      <c r="A419" s="7"/>
      <c r="F419" s="8"/>
      <c r="G419" s="8"/>
      <c r="H419" s="8"/>
      <c r="I419" s="8"/>
    </row>
    <row r="420" spans="1:27" ht="48.75" customHeight="1" x14ac:dyDescent="0.25">
      <c r="A420" s="10"/>
      <c r="B420" s="294" t="str">
        <f>INDEX(TranslationTable[], MATCH(9041, TranslationTable[TranslationKeyId], 0), MATCH(TRIM(LOWER(Language)), TranslationTable[#Headers], 0))</f>
        <v>Any important extra information about the data reported in the Form</v>
      </c>
      <c r="C420" s="295"/>
      <c r="D420" s="295"/>
      <c r="E420" s="295"/>
      <c r="F420" s="295"/>
      <c r="G420" s="295"/>
      <c r="H420" s="295"/>
      <c r="I420" s="295"/>
      <c r="J420" s="295"/>
      <c r="K420" s="295"/>
      <c r="L420" s="295"/>
      <c r="M420" s="295"/>
      <c r="N420" s="295"/>
      <c r="O420" s="295"/>
      <c r="P420" s="295"/>
      <c r="Q420" s="295"/>
      <c r="R420" s="295"/>
      <c r="S420" s="295"/>
      <c r="T420" s="295"/>
      <c r="U420" s="295"/>
      <c r="V420" s="296"/>
    </row>
    <row r="421" spans="1:27" ht="71.25" customHeight="1" x14ac:dyDescent="0.25">
      <c r="A421" s="10"/>
      <c r="B421" s="293"/>
      <c r="C421" s="290"/>
      <c r="D421" s="290"/>
      <c r="E421" s="290"/>
      <c r="F421" s="290"/>
      <c r="G421" s="290"/>
      <c r="H421" s="290"/>
      <c r="I421" s="290"/>
      <c r="J421" s="290"/>
      <c r="K421" s="290"/>
      <c r="L421" s="290"/>
      <c r="M421" s="290"/>
      <c r="N421" s="290"/>
      <c r="O421" s="290"/>
      <c r="P421" s="290"/>
      <c r="Q421" s="290"/>
      <c r="R421" s="290"/>
      <c r="S421" s="290"/>
      <c r="T421" s="290"/>
      <c r="U421" s="290"/>
      <c r="V421" s="291"/>
    </row>
    <row r="422" spans="1:27" x14ac:dyDescent="0.25">
      <c r="A422" s="10"/>
      <c r="B422" s="112"/>
      <c r="C422" s="18"/>
      <c r="D422" s="19"/>
      <c r="E422" s="19"/>
      <c r="F422" s="19"/>
      <c r="G422" s="19"/>
      <c r="H422" s="19"/>
      <c r="I422" s="19"/>
      <c r="J422" s="19"/>
      <c r="K422" s="19"/>
      <c r="L422" s="19"/>
      <c r="M422" s="19"/>
      <c r="N422" s="19"/>
      <c r="O422" s="19"/>
      <c r="P422" s="19"/>
      <c r="Q422" s="19"/>
      <c r="R422" s="19"/>
      <c r="S422" s="19"/>
      <c r="T422" s="19"/>
      <c r="U422" s="20"/>
      <c r="V422" s="24"/>
    </row>
    <row r="423" spans="1:27" ht="66" customHeight="1" x14ac:dyDescent="0.25">
      <c r="A423" s="10"/>
      <c r="B423" s="286" t="str">
        <f>INDEX(TranslationTable[], MATCH(9042, TranslationTable[TranslationKeyId], 0), MATCH(TRIM(LOWER(Language)), TranslationTable[#Headers], 0))</f>
        <v>Criticisms of, or suggestions for, the Questionnaire and the rest of the FDRS system including the User Guide.</v>
      </c>
      <c r="C423" s="287"/>
      <c r="D423" s="287"/>
      <c r="E423" s="287"/>
      <c r="F423" s="287"/>
      <c r="G423" s="287"/>
      <c r="H423" s="287"/>
      <c r="I423" s="287"/>
      <c r="J423" s="287"/>
      <c r="K423" s="287"/>
      <c r="L423" s="287"/>
      <c r="M423" s="287"/>
      <c r="N423" s="287"/>
      <c r="O423" s="287"/>
      <c r="P423" s="287"/>
      <c r="Q423" s="287"/>
      <c r="R423" s="287"/>
      <c r="S423" s="287"/>
      <c r="T423" s="287"/>
      <c r="U423" s="287"/>
      <c r="V423" s="288"/>
    </row>
    <row r="424" spans="1:27" ht="68.25" customHeight="1" x14ac:dyDescent="0.25">
      <c r="A424" s="10"/>
      <c r="B424" s="289"/>
      <c r="C424" s="290"/>
      <c r="D424" s="290"/>
      <c r="E424" s="290"/>
      <c r="F424" s="290"/>
      <c r="G424" s="290"/>
      <c r="H424" s="290"/>
      <c r="I424" s="290"/>
      <c r="J424" s="290"/>
      <c r="K424" s="290"/>
      <c r="L424" s="290"/>
      <c r="M424" s="290"/>
      <c r="N424" s="290"/>
      <c r="O424" s="290"/>
      <c r="P424" s="290"/>
      <c r="Q424" s="290"/>
      <c r="R424" s="290"/>
      <c r="S424" s="290"/>
      <c r="T424" s="290"/>
      <c r="U424" s="290"/>
      <c r="V424" s="291"/>
    </row>
    <row r="425" spans="1:27" x14ac:dyDescent="0.25">
      <c r="A425" s="10"/>
      <c r="B425" s="97"/>
      <c r="C425" s="154"/>
      <c r="D425" s="98"/>
      <c r="E425" s="98"/>
      <c r="F425" s="98"/>
      <c r="G425" s="98"/>
      <c r="H425" s="98"/>
      <c r="I425" s="98"/>
      <c r="J425" s="98"/>
      <c r="K425" s="98"/>
      <c r="L425" s="98"/>
      <c r="M425" s="98"/>
      <c r="N425" s="98"/>
      <c r="O425" s="98"/>
      <c r="P425" s="98"/>
      <c r="Q425" s="98"/>
      <c r="R425" s="98"/>
      <c r="S425" s="98"/>
      <c r="T425" s="98"/>
      <c r="U425" s="98"/>
      <c r="V425" s="99"/>
    </row>
    <row r="426" spans="1:27" s="177" customFormat="1" x14ac:dyDescent="0.25">
      <c r="A426" s="175"/>
      <c r="B426" s="179" t="str">
        <f xml:space="preserve"> SUBSTITUTE(INDEX(TranslationTable[], MATCH(9003, TranslationTable[TranslationKeyId], 0), MATCH(TRIM(LOWER($V$5)), TranslationTable[#Headers], 0)), "//", CHAR(10))</f>
        <v>Please, include an explanation of this number in the comments section.</v>
      </c>
      <c r="C426" s="179"/>
      <c r="D426" s="179" t="str">
        <f>UPPER(LEFT(INDEX(TranslationTable[], MATCH(7719, TranslationTable[TranslationKeyId], 0), MATCH(TRIM(LOWER(Language)), TranslationTable[#Headers], 0)), 1)) &amp; LOWER(MID(INDEX(TranslationTable[], MATCH(7719, TranslationTable[TranslationKeyId], 0), MATCH(TRIM(LOWER(Language)), TranslationTable[#Headers], 0)), 2, LEN(INDEX(TranslationTable[], MATCH(7719, TranslationTable[TranslationKeyId], 0), MATCH(TRIM(LOWER(Language)), TranslationTable[#Headers], 0)))))</f>
        <v>Yes</v>
      </c>
      <c r="E426" s="179" t="str">
        <f>UPPER(LEFT(INDEX(TranslationTable[], MATCH(7720, TranslationTable[TranslationKeyId], 0), MATCH(TRIM(LOWER(Language)), TranslationTable[#Headers], 0)), 1)) &amp; LOWER(MID(INDEX(TranslationTable[], MATCH(7720, TranslationTable[TranslationKeyId], 0), MATCH(TRIM(LOWER(Language)), TranslationTable[#Headers], 0)), 2, LEN(INDEX(TranslationTable[], MATCH(7720, TranslationTable[TranslationKeyId], 0), MATCH(TRIM(LOWER(Language)), TranslationTable[#Headers], 0)))))</f>
        <v>No</v>
      </c>
      <c r="F426" s="179" t="str">
        <f xml:space="preserve"> SUBSTITUTE(INDEX(TranslationTable[], MATCH(77, TranslationTable[TranslationKeyId], 0), MATCH(TRIM(LOWER(Language)), TranslationTable[#Headers], 0)), "//", CHAR(10))</f>
        <v>Male</v>
      </c>
      <c r="G426" s="179" t="str">
        <f xml:space="preserve"> SUBSTITUTE(INDEX(TranslationTable[], MATCH(78, TranslationTable[TranslationKeyId], 0), MATCH(TRIM(LOWER(Language)), TranslationTable[#Headers], 0)), "//", CHAR(10))</f>
        <v>Female</v>
      </c>
      <c r="H426" s="179" t="str">
        <f xml:space="preserve"> SUBSTITUTE(INDEX(TranslationTable[], MATCH(9001, TranslationTable[TranslationKeyId], 0), MATCH(TRIM(LOWER(Language)), TranslationTable[#Headers], 0)), "//", CHAR(10))</f>
        <v>Non-binary</v>
      </c>
      <c r="I426" s="179"/>
      <c r="J426" s="179" t="str">
        <f>INDEX(TranslationTable[], MATCH(9043, TranslationTable[TranslationKeyId], 0), MATCH(LOWER(Language), TranslationTable[#Headers], 0))</f>
        <v>Required</v>
      </c>
      <c r="K426" s="176"/>
      <c r="L426" s="176"/>
      <c r="M426" s="176"/>
      <c r="N426" s="176"/>
      <c r="O426" s="176"/>
      <c r="P426" s="176"/>
      <c r="Q426" s="176"/>
      <c r="R426" s="176"/>
      <c r="S426" s="176"/>
      <c r="T426" s="176"/>
      <c r="U426" s="176"/>
      <c r="V426" s="176"/>
      <c r="W426" s="176"/>
      <c r="Y426" s="178"/>
      <c r="Z426" s="178"/>
      <c r="AA426" s="178"/>
    </row>
    <row r="427" spans="1:27" x14ac:dyDescent="0.25">
      <c r="A427" s="7"/>
    </row>
    <row r="428" spans="1:27" x14ac:dyDescent="0.25">
      <c r="A428" s="7"/>
    </row>
  </sheetData>
  <sheetProtection algorithmName="SHA-512" hashValue="bgsQQAqQzOiQtxR2hCsnQHAWcMTy/RcDn4/kFblV+yLaYvIndT6ml+vl4NXPO8ob8Qcg3A8jWAVFUiXwmBC+RA==" saltValue="yvjFsyXQAEA2k22jkK6+Cg==" spinCount="100000" sheet="1" selectLockedCells="1"/>
  <mergeCells count="853">
    <mergeCell ref="B31:C31"/>
    <mergeCell ref="O400:R400"/>
    <mergeCell ref="I400:M400"/>
    <mergeCell ref="B69:E69"/>
    <mergeCell ref="I386:M386"/>
    <mergeCell ref="I372:M372"/>
    <mergeCell ref="I354:M354"/>
    <mergeCell ref="I340:M340"/>
    <mergeCell ref="I322:M322"/>
    <mergeCell ref="I308:M308"/>
    <mergeCell ref="I294:M294"/>
    <mergeCell ref="I280:M280"/>
    <mergeCell ref="I266:M266"/>
    <mergeCell ref="I252:M252"/>
    <mergeCell ref="I238:M238"/>
    <mergeCell ref="I224:M224"/>
    <mergeCell ref="I208:M208"/>
    <mergeCell ref="I194:M194"/>
    <mergeCell ref="I169:M169"/>
    <mergeCell ref="I153:M153"/>
    <mergeCell ref="B281:C282"/>
    <mergeCell ref="B295:C296"/>
    <mergeCell ref="B309:C310"/>
    <mergeCell ref="B267:C268"/>
    <mergeCell ref="P408:Q408"/>
    <mergeCell ref="N408:O408"/>
    <mergeCell ref="P362:Q362"/>
    <mergeCell ref="N362:O362"/>
    <mergeCell ref="P380:Q380"/>
    <mergeCell ref="N380:O380"/>
    <mergeCell ref="N176:O176"/>
    <mergeCell ref="N201:O201"/>
    <mergeCell ref="P202:Q202"/>
    <mergeCell ref="N202:O202"/>
    <mergeCell ref="P216:Q216"/>
    <mergeCell ref="N216:O216"/>
    <mergeCell ref="N246:O246"/>
    <mergeCell ref="P302:Q302"/>
    <mergeCell ref="N302:O302"/>
    <mergeCell ref="P316:Q316"/>
    <mergeCell ref="N316:O316"/>
    <mergeCell ref="P330:Q330"/>
    <mergeCell ref="N330:O330"/>
    <mergeCell ref="P348:Q348"/>
    <mergeCell ref="N348:O348"/>
    <mergeCell ref="D402:R402"/>
    <mergeCell ref="D401:R401"/>
    <mergeCell ref="D195:R195"/>
    <mergeCell ref="B401:C402"/>
    <mergeCell ref="O95:R99"/>
    <mergeCell ref="S95:T99"/>
    <mergeCell ref="S225:V233"/>
    <mergeCell ref="S253:V259"/>
    <mergeCell ref="S295:V301"/>
    <mergeCell ref="S323:V329"/>
    <mergeCell ref="S341:V349"/>
    <mergeCell ref="S373:V379"/>
    <mergeCell ref="S387:V393"/>
    <mergeCell ref="N232:O232"/>
    <mergeCell ref="N260:O260"/>
    <mergeCell ref="N274:O274"/>
    <mergeCell ref="P288:Q288"/>
    <mergeCell ref="P274:Q274"/>
    <mergeCell ref="P260:Q260"/>
    <mergeCell ref="P246:Q246"/>
    <mergeCell ref="P232:Q232"/>
    <mergeCell ref="P394:Q394"/>
    <mergeCell ref="B209:C210"/>
    <mergeCell ref="B225:C226"/>
    <mergeCell ref="B239:C240"/>
    <mergeCell ref="B253:C254"/>
    <mergeCell ref="B323:C324"/>
    <mergeCell ref="B202:C202"/>
    <mergeCell ref="B241:C241"/>
    <mergeCell ref="N229:O229"/>
    <mergeCell ref="N230:O230"/>
    <mergeCell ref="N255:O255"/>
    <mergeCell ref="N241:O241"/>
    <mergeCell ref="P228:Q228"/>
    <mergeCell ref="P229:Q229"/>
    <mergeCell ref="P230:Q230"/>
    <mergeCell ref="G212:H212"/>
    <mergeCell ref="G213:H213"/>
    <mergeCell ref="G214:H214"/>
    <mergeCell ref="G215:H215"/>
    <mergeCell ref="G216:H216"/>
    <mergeCell ref="B242:C242"/>
    <mergeCell ref="B243:C243"/>
    <mergeCell ref="B215:C215"/>
    <mergeCell ref="P215:Q215"/>
    <mergeCell ref="G211:H211"/>
    <mergeCell ref="G228:H228"/>
    <mergeCell ref="G229:H229"/>
    <mergeCell ref="G230:H230"/>
    <mergeCell ref="G231:H231"/>
    <mergeCell ref="G232:H232"/>
    <mergeCell ref="D93:M93"/>
    <mergeCell ref="D170:P170"/>
    <mergeCell ref="D154:O154"/>
    <mergeCell ref="B93:C93"/>
    <mergeCell ref="C111:T111"/>
    <mergeCell ref="B154:C154"/>
    <mergeCell ref="B170:C170"/>
    <mergeCell ref="I138:L138"/>
    <mergeCell ref="B133:V133"/>
    <mergeCell ref="C113:D113"/>
    <mergeCell ref="B94:C94"/>
    <mergeCell ref="B95:C95"/>
    <mergeCell ref="B96:C96"/>
    <mergeCell ref="B97:C97"/>
    <mergeCell ref="B98:C98"/>
    <mergeCell ref="B99:C99"/>
    <mergeCell ref="B135:V135"/>
    <mergeCell ref="I125:L125"/>
    <mergeCell ref="I126:L126"/>
    <mergeCell ref="D153:E153"/>
    <mergeCell ref="B138:B145"/>
    <mergeCell ref="B108:D109"/>
    <mergeCell ref="O93:S93"/>
    <mergeCell ref="M112:N112"/>
    <mergeCell ref="B10:D10"/>
    <mergeCell ref="B18:C18"/>
    <mergeCell ref="B23:C23"/>
    <mergeCell ref="B22:C22"/>
    <mergeCell ref="B21:C21"/>
    <mergeCell ref="B20:C20"/>
    <mergeCell ref="B19:C19"/>
    <mergeCell ref="D17:M17"/>
    <mergeCell ref="B17:C17"/>
    <mergeCell ref="B15:D15"/>
    <mergeCell ref="B33:D33"/>
    <mergeCell ref="F35:V37"/>
    <mergeCell ref="N41:O41"/>
    <mergeCell ref="N54:O54"/>
    <mergeCell ref="D53:P53"/>
    <mergeCell ref="D61:P61"/>
    <mergeCell ref="D71:M71"/>
    <mergeCell ref="B36:D36"/>
    <mergeCell ref="D40:O40"/>
    <mergeCell ref="B40:C40"/>
    <mergeCell ref="B53:C53"/>
    <mergeCell ref="B61:C61"/>
    <mergeCell ref="B71:C71"/>
    <mergeCell ref="N58:O58"/>
    <mergeCell ref="R40:U40"/>
    <mergeCell ref="R53:U53"/>
    <mergeCell ref="R61:U61"/>
    <mergeCell ref="O71:S71"/>
    <mergeCell ref="R55:V59"/>
    <mergeCell ref="B38:D38"/>
    <mergeCell ref="N62:O62"/>
    <mergeCell ref="N63:O63"/>
    <mergeCell ref="N64:O64"/>
    <mergeCell ref="N65:O65"/>
    <mergeCell ref="B57:C57"/>
    <mergeCell ref="B58:C58"/>
    <mergeCell ref="B59:C59"/>
    <mergeCell ref="N42:O42"/>
    <mergeCell ref="N43:O43"/>
    <mergeCell ref="N44:O44"/>
    <mergeCell ref="N45:O45"/>
    <mergeCell ref="N55:O55"/>
    <mergeCell ref="B84:C84"/>
    <mergeCell ref="N46:O46"/>
    <mergeCell ref="N59:O59"/>
    <mergeCell ref="B63:C63"/>
    <mergeCell ref="B64:C64"/>
    <mergeCell ref="B65:C65"/>
    <mergeCell ref="B66:C66"/>
    <mergeCell ref="B67:C67"/>
    <mergeCell ref="B72:C72"/>
    <mergeCell ref="B73:C73"/>
    <mergeCell ref="B74:C74"/>
    <mergeCell ref="B79:J79"/>
    <mergeCell ref="B75:C75"/>
    <mergeCell ref="O73:T77"/>
    <mergeCell ref="O84:S84"/>
    <mergeCell ref="N66:O66"/>
    <mergeCell ref="D400:E400"/>
    <mergeCell ref="D208:E208"/>
    <mergeCell ref="D224:E224"/>
    <mergeCell ref="T363:V366"/>
    <mergeCell ref="T362:U362"/>
    <mergeCell ref="T350:U350"/>
    <mergeCell ref="T351:U351"/>
    <mergeCell ref="B338:I338"/>
    <mergeCell ref="T216:U216"/>
    <mergeCell ref="P325:Q325"/>
    <mergeCell ref="P343:Q343"/>
    <mergeCell ref="P357:Q357"/>
    <mergeCell ref="P311:Q311"/>
    <mergeCell ref="P269:Q269"/>
    <mergeCell ref="P283:Q283"/>
    <mergeCell ref="P297:Q297"/>
    <mergeCell ref="P241:Q241"/>
    <mergeCell ref="P255:Q255"/>
    <mergeCell ref="D356:R356"/>
    <mergeCell ref="B350:J350"/>
    <mergeCell ref="B329:C329"/>
    <mergeCell ref="B330:C330"/>
    <mergeCell ref="B343:C343"/>
    <mergeCell ref="B334:I334"/>
    <mergeCell ref="T383:V386"/>
    <mergeCell ref="T396:V399"/>
    <mergeCell ref="T409:V412"/>
    <mergeCell ref="G105:J105"/>
    <mergeCell ref="G106:J106"/>
    <mergeCell ref="I145:L145"/>
    <mergeCell ref="I146:L146"/>
    <mergeCell ref="I129:L129"/>
    <mergeCell ref="I130:L130"/>
    <mergeCell ref="I142:L142"/>
    <mergeCell ref="I143:L143"/>
    <mergeCell ref="G107:J107"/>
    <mergeCell ref="G108:J108"/>
    <mergeCell ref="T361:U361"/>
    <mergeCell ref="T352:V355"/>
    <mergeCell ref="G109:J109"/>
    <mergeCell ref="D120:L120"/>
    <mergeCell ref="B118:V118"/>
    <mergeCell ref="B115:D115"/>
    <mergeCell ref="D116:U116"/>
    <mergeCell ref="B117:V117"/>
    <mergeCell ref="K106:L106"/>
    <mergeCell ref="K105:L105"/>
    <mergeCell ref="D209:R209"/>
    <mergeCell ref="D225:R225"/>
    <mergeCell ref="D239:R239"/>
    <mergeCell ref="D253:R253"/>
    <mergeCell ref="D267:R267"/>
    <mergeCell ref="D281:R281"/>
    <mergeCell ref="D295:R295"/>
    <mergeCell ref="B216:C216"/>
    <mergeCell ref="P258:Q258"/>
    <mergeCell ref="D210:R210"/>
    <mergeCell ref="D226:R226"/>
    <mergeCell ref="D240:R240"/>
    <mergeCell ref="D254:R254"/>
    <mergeCell ref="D268:R268"/>
    <mergeCell ref="D282:R282"/>
    <mergeCell ref="B256:C256"/>
    <mergeCell ref="B257:C257"/>
    <mergeCell ref="B273:C273"/>
    <mergeCell ref="B274:C274"/>
    <mergeCell ref="B259:C259"/>
    <mergeCell ref="B260:C260"/>
    <mergeCell ref="B269:C269"/>
    <mergeCell ref="B270:C270"/>
    <mergeCell ref="B271:C271"/>
    <mergeCell ref="P284:Q284"/>
    <mergeCell ref="D296:R296"/>
    <mergeCell ref="P231:Q231"/>
    <mergeCell ref="N242:O242"/>
    <mergeCell ref="P257:Q257"/>
    <mergeCell ref="P242:Q242"/>
    <mergeCell ref="P243:Q243"/>
    <mergeCell ref="T316:U316"/>
    <mergeCell ref="T302:U302"/>
    <mergeCell ref="T303:U303"/>
    <mergeCell ref="P256:Q256"/>
    <mergeCell ref="P272:Q272"/>
    <mergeCell ref="P270:Q270"/>
    <mergeCell ref="P271:Q271"/>
    <mergeCell ref="N258:O258"/>
    <mergeCell ref="G256:H256"/>
    <mergeCell ref="T275:V278"/>
    <mergeCell ref="T273:U273"/>
    <mergeCell ref="B277:I277"/>
    <mergeCell ref="G273:H273"/>
    <mergeCell ref="G274:H274"/>
    <mergeCell ref="B304:J304"/>
    <mergeCell ref="T247:U247"/>
    <mergeCell ref="D252:E252"/>
    <mergeCell ref="B258:C258"/>
    <mergeCell ref="T317:V320"/>
    <mergeCell ref="B318:J318"/>
    <mergeCell ref="D280:E280"/>
    <mergeCell ref="D294:E294"/>
    <mergeCell ref="D308:E308"/>
    <mergeCell ref="D322:E322"/>
    <mergeCell ref="N288:O288"/>
    <mergeCell ref="T287:U287"/>
    <mergeCell ref="B292:I292"/>
    <mergeCell ref="B314:C314"/>
    <mergeCell ref="B315:C315"/>
    <mergeCell ref="B316:C316"/>
    <mergeCell ref="T304:V306"/>
    <mergeCell ref="T289:V292"/>
    <mergeCell ref="S282:V286"/>
    <mergeCell ref="B300:C300"/>
    <mergeCell ref="B301:C301"/>
    <mergeCell ref="B302:C302"/>
    <mergeCell ref="B311:C311"/>
    <mergeCell ref="B312:C312"/>
    <mergeCell ref="B313:C313"/>
    <mergeCell ref="T288:U288"/>
    <mergeCell ref="P287:Q287"/>
    <mergeCell ref="B306:I306"/>
    <mergeCell ref="B410:J410"/>
    <mergeCell ref="B166:I166"/>
    <mergeCell ref="B164:J164"/>
    <mergeCell ref="K108:L108"/>
    <mergeCell ref="U111:V112"/>
    <mergeCell ref="B368:I368"/>
    <mergeCell ref="B370:J370"/>
    <mergeCell ref="K109:L109"/>
    <mergeCell ref="K107:L107"/>
    <mergeCell ref="P403:Q403"/>
    <mergeCell ref="I137:L137"/>
    <mergeCell ref="T202:U202"/>
    <mergeCell ref="I122:L122"/>
    <mergeCell ref="I123:L123"/>
    <mergeCell ref="I127:L127"/>
    <mergeCell ref="I139:L139"/>
    <mergeCell ref="I140:L140"/>
    <mergeCell ref="I141:L141"/>
    <mergeCell ref="D169:E169"/>
    <mergeCell ref="D194:E194"/>
    <mergeCell ref="S356:V360"/>
    <mergeCell ref="D238:E238"/>
    <mergeCell ref="S310:V314"/>
    <mergeCell ref="T315:U315"/>
    <mergeCell ref="O86:T90"/>
    <mergeCell ref="R42:U46"/>
    <mergeCell ref="B48:J48"/>
    <mergeCell ref="B412:I412"/>
    <mergeCell ref="T394:U394"/>
    <mergeCell ref="T395:U395"/>
    <mergeCell ref="S402:V406"/>
    <mergeCell ref="T407:U407"/>
    <mergeCell ref="T408:U408"/>
    <mergeCell ref="T381:U381"/>
    <mergeCell ref="T382:U382"/>
    <mergeCell ref="B398:I398"/>
    <mergeCell ref="B396:J396"/>
    <mergeCell ref="B384:I384"/>
    <mergeCell ref="B382:J382"/>
    <mergeCell ref="B394:C394"/>
    <mergeCell ref="B403:C403"/>
    <mergeCell ref="B404:C404"/>
    <mergeCell ref="B405:C405"/>
    <mergeCell ref="B406:C406"/>
    <mergeCell ref="B407:C407"/>
    <mergeCell ref="B408:C408"/>
    <mergeCell ref="R171:U177"/>
    <mergeCell ref="B162:U162"/>
    <mergeCell ref="B1:V1"/>
    <mergeCell ref="K10:M10"/>
    <mergeCell ref="R10:T10"/>
    <mergeCell ref="K29:L29"/>
    <mergeCell ref="K11:M11"/>
    <mergeCell ref="R11:T11"/>
    <mergeCell ref="B14:V14"/>
    <mergeCell ref="B29:E29"/>
    <mergeCell ref="B7:V7"/>
    <mergeCell ref="B9:D9"/>
    <mergeCell ref="K9:M9"/>
    <mergeCell ref="R9:T9"/>
    <mergeCell ref="B27:I27"/>
    <mergeCell ref="O24:V24"/>
    <mergeCell ref="O25:V25"/>
    <mergeCell ref="O26:V26"/>
    <mergeCell ref="O23:V23"/>
    <mergeCell ref="O16:U22"/>
    <mergeCell ref="B25:J25"/>
    <mergeCell ref="J2:M3"/>
    <mergeCell ref="P2:V2"/>
    <mergeCell ref="P3:V3"/>
    <mergeCell ref="B2:I3"/>
    <mergeCell ref="P11:Q11"/>
    <mergeCell ref="B155:C155"/>
    <mergeCell ref="I121:L121"/>
    <mergeCell ref="M120:U131"/>
    <mergeCell ref="B151:F151"/>
    <mergeCell ref="B171:C171"/>
    <mergeCell ref="B172:C172"/>
    <mergeCell ref="B173:C173"/>
    <mergeCell ref="B174:C174"/>
    <mergeCell ref="B175:C175"/>
    <mergeCell ref="I124:L124"/>
    <mergeCell ref="I131:L131"/>
    <mergeCell ref="D136:L136"/>
    <mergeCell ref="B134:V134"/>
    <mergeCell ref="I128:L128"/>
    <mergeCell ref="M156:N156"/>
    <mergeCell ref="M157:N157"/>
    <mergeCell ref="D138:H138"/>
    <mergeCell ref="D122:H122"/>
    <mergeCell ref="D123:H123"/>
    <mergeCell ref="D124:H124"/>
    <mergeCell ref="D140:H140"/>
    <mergeCell ref="D141:H141"/>
    <mergeCell ref="D125:H125"/>
    <mergeCell ref="D126:H126"/>
    <mergeCell ref="B423:V423"/>
    <mergeCell ref="B424:V424"/>
    <mergeCell ref="B290:J290"/>
    <mergeCell ref="B366:I366"/>
    <mergeCell ref="I144:L144"/>
    <mergeCell ref="I147:L147"/>
    <mergeCell ref="B421:V421"/>
    <mergeCell ref="B420:V420"/>
    <mergeCell ref="B418:V418"/>
    <mergeCell ref="B417:V417"/>
    <mergeCell ref="B416:V416"/>
    <mergeCell ref="B415:V415"/>
    <mergeCell ref="B150:V150"/>
    <mergeCell ref="B320:I320"/>
    <mergeCell ref="M136:U147"/>
    <mergeCell ref="S210:V214"/>
    <mergeCell ref="B222:E222"/>
    <mergeCell ref="D188:T188"/>
    <mergeCell ref="B204:J204"/>
    <mergeCell ref="B206:I206"/>
    <mergeCell ref="S196:V200"/>
    <mergeCell ref="T217:U217"/>
    <mergeCell ref="P155:U160"/>
    <mergeCell ref="G357:H357"/>
    <mergeCell ref="B336:I336"/>
    <mergeCell ref="B376:C376"/>
    <mergeCell ref="B352:I352"/>
    <mergeCell ref="T330:U330"/>
    <mergeCell ref="T331:U331"/>
    <mergeCell ref="T332:V335"/>
    <mergeCell ref="B341:C342"/>
    <mergeCell ref="T201:U201"/>
    <mergeCell ref="B276:J276"/>
    <mergeCell ref="B220:I220"/>
    <mergeCell ref="T274:U274"/>
    <mergeCell ref="B248:J248"/>
    <mergeCell ref="B250:I250"/>
    <mergeCell ref="B264:I264"/>
    <mergeCell ref="T260:U260"/>
    <mergeCell ref="T261:U261"/>
    <mergeCell ref="K221:M221"/>
    <mergeCell ref="D266:E266"/>
    <mergeCell ref="T266:V266"/>
    <mergeCell ref="B218:J218"/>
    <mergeCell ref="T203:V206"/>
    <mergeCell ref="T246:U246"/>
    <mergeCell ref="B201:C201"/>
    <mergeCell ref="B326:C326"/>
    <mergeCell ref="B327:C327"/>
    <mergeCell ref="B328:C328"/>
    <mergeCell ref="B332:J332"/>
    <mergeCell ref="G325:H325"/>
    <mergeCell ref="G326:H326"/>
    <mergeCell ref="G327:H327"/>
    <mergeCell ref="G328:H328"/>
    <mergeCell ref="G329:H329"/>
    <mergeCell ref="G330:H330"/>
    <mergeCell ref="S268:V272"/>
    <mergeCell ref="N269:O269"/>
    <mergeCell ref="G269:H269"/>
    <mergeCell ref="G270:H270"/>
    <mergeCell ref="G271:H271"/>
    <mergeCell ref="G272:H272"/>
    <mergeCell ref="P259:Q259"/>
    <mergeCell ref="D323:R323"/>
    <mergeCell ref="B283:C283"/>
    <mergeCell ref="B284:C284"/>
    <mergeCell ref="B285:C285"/>
    <mergeCell ref="B286:C286"/>
    <mergeCell ref="B287:C287"/>
    <mergeCell ref="B288:C288"/>
    <mergeCell ref="B297:C297"/>
    <mergeCell ref="B298:C298"/>
    <mergeCell ref="B299:C299"/>
    <mergeCell ref="G286:H286"/>
    <mergeCell ref="G287:H287"/>
    <mergeCell ref="G288:H288"/>
    <mergeCell ref="G297:H297"/>
    <mergeCell ref="G298:H298"/>
    <mergeCell ref="D309:R309"/>
    <mergeCell ref="P273:Q273"/>
    <mergeCell ref="T234:U234"/>
    <mergeCell ref="T235:U235"/>
    <mergeCell ref="S240:V244"/>
    <mergeCell ref="B255:C255"/>
    <mergeCell ref="T218:V221"/>
    <mergeCell ref="T236:V238"/>
    <mergeCell ref="T248:V250"/>
    <mergeCell ref="T262:V265"/>
    <mergeCell ref="B234:J234"/>
    <mergeCell ref="B245:C245"/>
    <mergeCell ref="B244:C244"/>
    <mergeCell ref="B246:C246"/>
    <mergeCell ref="G246:H246"/>
    <mergeCell ref="P244:Q244"/>
    <mergeCell ref="P245:Q245"/>
    <mergeCell ref="N231:O231"/>
    <mergeCell ref="N259:O259"/>
    <mergeCell ref="N243:O243"/>
    <mergeCell ref="N244:O244"/>
    <mergeCell ref="N245:O245"/>
    <mergeCell ref="N256:O256"/>
    <mergeCell ref="N257:O257"/>
    <mergeCell ref="N228:O228"/>
    <mergeCell ref="G227:H227"/>
    <mergeCell ref="B227:C227"/>
    <mergeCell ref="B228:C228"/>
    <mergeCell ref="B229:C229"/>
    <mergeCell ref="B230:C230"/>
    <mergeCell ref="B231:C231"/>
    <mergeCell ref="B232:C232"/>
    <mergeCell ref="B355:C356"/>
    <mergeCell ref="B373:C374"/>
    <mergeCell ref="B377:C377"/>
    <mergeCell ref="B236:I236"/>
    <mergeCell ref="D374:R374"/>
    <mergeCell ref="B345:C345"/>
    <mergeCell ref="B346:C346"/>
    <mergeCell ref="B347:C347"/>
    <mergeCell ref="B278:I278"/>
    <mergeCell ref="B272:C272"/>
    <mergeCell ref="B262:J262"/>
    <mergeCell ref="G255:H255"/>
    <mergeCell ref="B358:C358"/>
    <mergeCell ref="B359:C359"/>
    <mergeCell ref="B360:C360"/>
    <mergeCell ref="B361:C361"/>
    <mergeCell ref="B362:C362"/>
    <mergeCell ref="B325:C325"/>
    <mergeCell ref="B41:C41"/>
    <mergeCell ref="B42:C42"/>
    <mergeCell ref="B43:C43"/>
    <mergeCell ref="B44:C44"/>
    <mergeCell ref="B45:C45"/>
    <mergeCell ref="B46:C46"/>
    <mergeCell ref="B54:C54"/>
    <mergeCell ref="B56:C56"/>
    <mergeCell ref="B62:C62"/>
    <mergeCell ref="B50:I50"/>
    <mergeCell ref="G42:H42"/>
    <mergeCell ref="G43:H43"/>
    <mergeCell ref="G44:H44"/>
    <mergeCell ref="G45:H45"/>
    <mergeCell ref="G46:H46"/>
    <mergeCell ref="G54:H54"/>
    <mergeCell ref="G55:H55"/>
    <mergeCell ref="G56:H56"/>
    <mergeCell ref="G57:H57"/>
    <mergeCell ref="G58:H58"/>
    <mergeCell ref="G59:H59"/>
    <mergeCell ref="G62:H62"/>
    <mergeCell ref="B51:L51"/>
    <mergeCell ref="B55:C55"/>
    <mergeCell ref="D127:H127"/>
    <mergeCell ref="D128:H128"/>
    <mergeCell ref="D129:H129"/>
    <mergeCell ref="D130:H130"/>
    <mergeCell ref="D131:H131"/>
    <mergeCell ref="D137:H137"/>
    <mergeCell ref="D139:H139"/>
    <mergeCell ref="B198:C198"/>
    <mergeCell ref="B199:C199"/>
    <mergeCell ref="D142:H142"/>
    <mergeCell ref="D143:H143"/>
    <mergeCell ref="D144:H144"/>
    <mergeCell ref="D145:H145"/>
    <mergeCell ref="D146:H146"/>
    <mergeCell ref="D147:H147"/>
    <mergeCell ref="G155:H155"/>
    <mergeCell ref="G156:H156"/>
    <mergeCell ref="G157:H157"/>
    <mergeCell ref="G158:H158"/>
    <mergeCell ref="G159:H159"/>
    <mergeCell ref="G160:H160"/>
    <mergeCell ref="G171:H171"/>
    <mergeCell ref="G172:H172"/>
    <mergeCell ref="G173:H173"/>
    <mergeCell ref="B200:C200"/>
    <mergeCell ref="P197:Q197"/>
    <mergeCell ref="P211:Q211"/>
    <mergeCell ref="P227:Q227"/>
    <mergeCell ref="B195:C196"/>
    <mergeCell ref="B156:C156"/>
    <mergeCell ref="B157:C157"/>
    <mergeCell ref="B158:C158"/>
    <mergeCell ref="B159:C159"/>
    <mergeCell ref="B160:C160"/>
    <mergeCell ref="N211:O211"/>
    <mergeCell ref="P212:Q212"/>
    <mergeCell ref="M192:S192"/>
    <mergeCell ref="F192:J192"/>
    <mergeCell ref="B197:C197"/>
    <mergeCell ref="B180:I180"/>
    <mergeCell ref="B176:C176"/>
    <mergeCell ref="B178:J178"/>
    <mergeCell ref="B211:C211"/>
    <mergeCell ref="B212:C212"/>
    <mergeCell ref="B213:C213"/>
    <mergeCell ref="B214:C214"/>
    <mergeCell ref="P213:Q213"/>
    <mergeCell ref="P214:Q214"/>
    <mergeCell ref="P406:Q406"/>
    <mergeCell ref="P344:Q344"/>
    <mergeCell ref="P345:Q345"/>
    <mergeCell ref="P346:Q346"/>
    <mergeCell ref="P347:Q347"/>
    <mergeCell ref="P358:Q358"/>
    <mergeCell ref="P359:Q359"/>
    <mergeCell ref="P360:Q360"/>
    <mergeCell ref="P361:Q361"/>
    <mergeCell ref="P375:Q375"/>
    <mergeCell ref="P376:Q376"/>
    <mergeCell ref="P377:Q377"/>
    <mergeCell ref="P378:Q378"/>
    <mergeCell ref="P379:Q379"/>
    <mergeCell ref="P389:Q389"/>
    <mergeCell ref="D387:R387"/>
    <mergeCell ref="D355:R355"/>
    <mergeCell ref="P392:Q392"/>
    <mergeCell ref="P393:Q393"/>
    <mergeCell ref="N390:O390"/>
    <mergeCell ref="N391:O391"/>
    <mergeCell ref="N392:O392"/>
    <mergeCell ref="N393:O393"/>
    <mergeCell ref="N404:O404"/>
    <mergeCell ref="N345:O345"/>
    <mergeCell ref="N346:O346"/>
    <mergeCell ref="N347:O347"/>
    <mergeCell ref="N358:O358"/>
    <mergeCell ref="N359:O359"/>
    <mergeCell ref="N360:O360"/>
    <mergeCell ref="N361:O361"/>
    <mergeCell ref="P390:Q390"/>
    <mergeCell ref="P391:Q391"/>
    <mergeCell ref="D373:R373"/>
    <mergeCell ref="G358:H358"/>
    <mergeCell ref="G359:H359"/>
    <mergeCell ref="G360:H360"/>
    <mergeCell ref="G361:H361"/>
    <mergeCell ref="G362:H362"/>
    <mergeCell ref="G375:H375"/>
    <mergeCell ref="G376:H376"/>
    <mergeCell ref="G377:H377"/>
    <mergeCell ref="G378:H378"/>
    <mergeCell ref="B364:J364"/>
    <mergeCell ref="B391:C391"/>
    <mergeCell ref="D372:E372"/>
    <mergeCell ref="D386:E386"/>
    <mergeCell ref="B375:C375"/>
    <mergeCell ref="P407:Q407"/>
    <mergeCell ref="N270:O270"/>
    <mergeCell ref="N271:O271"/>
    <mergeCell ref="N272:O272"/>
    <mergeCell ref="N273:O273"/>
    <mergeCell ref="N284:O284"/>
    <mergeCell ref="N285:O285"/>
    <mergeCell ref="N286:O286"/>
    <mergeCell ref="N287:O287"/>
    <mergeCell ref="N298:O298"/>
    <mergeCell ref="N299:O299"/>
    <mergeCell ref="N300:O300"/>
    <mergeCell ref="N301:O301"/>
    <mergeCell ref="N312:O312"/>
    <mergeCell ref="N313:O313"/>
    <mergeCell ref="N314:O314"/>
    <mergeCell ref="N315:O315"/>
    <mergeCell ref="N326:O326"/>
    <mergeCell ref="N327:O327"/>
    <mergeCell ref="N405:O405"/>
    <mergeCell ref="N394:O394"/>
    <mergeCell ref="P404:Q404"/>
    <mergeCell ref="P405:Q405"/>
    <mergeCell ref="N344:O344"/>
    <mergeCell ref="P329:Q329"/>
    <mergeCell ref="N283:O283"/>
    <mergeCell ref="P312:Q312"/>
    <mergeCell ref="P313:Q313"/>
    <mergeCell ref="P314:Q314"/>
    <mergeCell ref="P315:Q315"/>
    <mergeCell ref="P298:Q298"/>
    <mergeCell ref="P299:Q299"/>
    <mergeCell ref="P300:Q300"/>
    <mergeCell ref="P301:Q301"/>
    <mergeCell ref="P285:Q285"/>
    <mergeCell ref="P286:Q286"/>
    <mergeCell ref="D310:R310"/>
    <mergeCell ref="D324:R324"/>
    <mergeCell ref="G313:H313"/>
    <mergeCell ref="G314:H314"/>
    <mergeCell ref="G315:H315"/>
    <mergeCell ref="G316:H316"/>
    <mergeCell ref="P326:Q326"/>
    <mergeCell ref="P327:Q327"/>
    <mergeCell ref="P328:Q328"/>
    <mergeCell ref="G283:H283"/>
    <mergeCell ref="G284:H284"/>
    <mergeCell ref="G285:H285"/>
    <mergeCell ref="N407:O407"/>
    <mergeCell ref="N389:O389"/>
    <mergeCell ref="N403:O403"/>
    <mergeCell ref="N375:O375"/>
    <mergeCell ref="N357:O357"/>
    <mergeCell ref="N343:O343"/>
    <mergeCell ref="N325:O325"/>
    <mergeCell ref="N311:O311"/>
    <mergeCell ref="N297:O297"/>
    <mergeCell ref="N406:O406"/>
    <mergeCell ref="N328:O328"/>
    <mergeCell ref="N329:O329"/>
    <mergeCell ref="N376:O376"/>
    <mergeCell ref="N377:O377"/>
    <mergeCell ref="N378:O378"/>
    <mergeCell ref="N379:O379"/>
    <mergeCell ref="D341:R341"/>
    <mergeCell ref="D342:R342"/>
    <mergeCell ref="G311:H311"/>
    <mergeCell ref="G312:H312"/>
    <mergeCell ref="G299:H299"/>
    <mergeCell ref="G300:H300"/>
    <mergeCell ref="G301:H301"/>
    <mergeCell ref="G302:H302"/>
    <mergeCell ref="M155:N155"/>
    <mergeCell ref="N171:O171"/>
    <mergeCell ref="M160:N160"/>
    <mergeCell ref="N227:O227"/>
    <mergeCell ref="M158:N158"/>
    <mergeCell ref="M159:N159"/>
    <mergeCell ref="N172:O172"/>
    <mergeCell ref="N173:O173"/>
    <mergeCell ref="N174:O174"/>
    <mergeCell ref="N175:O175"/>
    <mergeCell ref="N212:O212"/>
    <mergeCell ref="N213:O213"/>
    <mergeCell ref="N214:O214"/>
    <mergeCell ref="N215:O215"/>
    <mergeCell ref="N198:O198"/>
    <mergeCell ref="N199:O199"/>
    <mergeCell ref="D185:T187"/>
    <mergeCell ref="D189:T190"/>
    <mergeCell ref="N200:O200"/>
    <mergeCell ref="P198:Q198"/>
    <mergeCell ref="P199:Q199"/>
    <mergeCell ref="P200:Q200"/>
    <mergeCell ref="P201:Q201"/>
    <mergeCell ref="B183:E183"/>
    <mergeCell ref="G63:H63"/>
    <mergeCell ref="G64:H64"/>
    <mergeCell ref="G65:H65"/>
    <mergeCell ref="G66:H66"/>
    <mergeCell ref="G67:H67"/>
    <mergeCell ref="G72:H72"/>
    <mergeCell ref="G73:H73"/>
    <mergeCell ref="G74:H74"/>
    <mergeCell ref="E9:H9"/>
    <mergeCell ref="G18:H18"/>
    <mergeCell ref="G19:H19"/>
    <mergeCell ref="G20:H20"/>
    <mergeCell ref="G21:H21"/>
    <mergeCell ref="G22:H22"/>
    <mergeCell ref="G23:H23"/>
    <mergeCell ref="G41:H41"/>
    <mergeCell ref="F29:H29"/>
    <mergeCell ref="F32:V33"/>
    <mergeCell ref="N67:O67"/>
    <mergeCell ref="N56:O56"/>
    <mergeCell ref="N57:O57"/>
    <mergeCell ref="R63:V67"/>
    <mergeCell ref="P10:Q10"/>
    <mergeCell ref="P9:Q9"/>
    <mergeCell ref="G75:H75"/>
    <mergeCell ref="G76:H76"/>
    <mergeCell ref="G77:H77"/>
    <mergeCell ref="G85:H85"/>
    <mergeCell ref="G86:H86"/>
    <mergeCell ref="G87:H87"/>
    <mergeCell ref="G88:H88"/>
    <mergeCell ref="G89:H89"/>
    <mergeCell ref="G90:H90"/>
    <mergeCell ref="B81:I81"/>
    <mergeCell ref="B77:C77"/>
    <mergeCell ref="B85:C85"/>
    <mergeCell ref="B86:C86"/>
    <mergeCell ref="B76:C76"/>
    <mergeCell ref="D84:M84"/>
    <mergeCell ref="B87:C87"/>
    <mergeCell ref="B88:C88"/>
    <mergeCell ref="B89:C89"/>
    <mergeCell ref="B90:C90"/>
    <mergeCell ref="G94:H94"/>
    <mergeCell ref="G95:H95"/>
    <mergeCell ref="G96:H96"/>
    <mergeCell ref="G97:H97"/>
    <mergeCell ref="G98:H98"/>
    <mergeCell ref="G99:H99"/>
    <mergeCell ref="G112:H112"/>
    <mergeCell ref="G113:H113"/>
    <mergeCell ref="D121:H121"/>
    <mergeCell ref="D106:E106"/>
    <mergeCell ref="B103:E103"/>
    <mergeCell ref="B102:V102"/>
    <mergeCell ref="C112:D112"/>
    <mergeCell ref="P112:Q112"/>
    <mergeCell ref="P113:Q113"/>
    <mergeCell ref="M113:N113"/>
    <mergeCell ref="P105:V109"/>
    <mergeCell ref="G174:H174"/>
    <mergeCell ref="G175:H175"/>
    <mergeCell ref="G176:H176"/>
    <mergeCell ref="G197:H197"/>
    <mergeCell ref="G198:H198"/>
    <mergeCell ref="G199:H199"/>
    <mergeCell ref="G200:H200"/>
    <mergeCell ref="G201:H201"/>
    <mergeCell ref="G202:H202"/>
    <mergeCell ref="D196:R196"/>
    <mergeCell ref="N197:O197"/>
    <mergeCell ref="G241:H241"/>
    <mergeCell ref="G242:H242"/>
    <mergeCell ref="G243:H243"/>
    <mergeCell ref="G244:H244"/>
    <mergeCell ref="G245:H245"/>
    <mergeCell ref="G257:H257"/>
    <mergeCell ref="G258:H258"/>
    <mergeCell ref="G259:H259"/>
    <mergeCell ref="G260:H260"/>
    <mergeCell ref="D340:E340"/>
    <mergeCell ref="D354:E354"/>
    <mergeCell ref="B344:C344"/>
    <mergeCell ref="B348:C348"/>
    <mergeCell ref="B357:C357"/>
    <mergeCell ref="G404:H404"/>
    <mergeCell ref="G405:H405"/>
    <mergeCell ref="G406:H406"/>
    <mergeCell ref="G407:H407"/>
    <mergeCell ref="B392:C392"/>
    <mergeCell ref="B393:C393"/>
    <mergeCell ref="B387:C388"/>
    <mergeCell ref="B378:C378"/>
    <mergeCell ref="B379:C379"/>
    <mergeCell ref="B380:C380"/>
    <mergeCell ref="B389:C389"/>
    <mergeCell ref="B390:C390"/>
    <mergeCell ref="D388:R388"/>
    <mergeCell ref="G343:H343"/>
    <mergeCell ref="G344:H344"/>
    <mergeCell ref="G345:H345"/>
    <mergeCell ref="G346:H346"/>
    <mergeCell ref="G347:H347"/>
    <mergeCell ref="G348:H348"/>
    <mergeCell ref="G408:H408"/>
    <mergeCell ref="G379:H379"/>
    <mergeCell ref="G380:H380"/>
    <mergeCell ref="G389:H389"/>
    <mergeCell ref="G390:H390"/>
    <mergeCell ref="G391:H391"/>
    <mergeCell ref="G392:H392"/>
    <mergeCell ref="G393:H393"/>
    <mergeCell ref="G394:H394"/>
    <mergeCell ref="G403:H403"/>
  </mergeCells>
  <conditionalFormatting sqref="B27:C27 F27:I27 B50:C50 F50:I50 B81:C81 F81:I81 B166:C166 F166:I166 B180:C180 F180:I180 B206:C206 F206:I206 B220:C220 F220:I220 B236:C236 F236:I236 B250:C250 F250:I250 B264:C264 F264:I264 B278:C278 F278:I278 B292:C292 F292:I292 B306:C306 F306:I306 B320:C320 F320:I320 B334:C334 F334:I334 B352:C352 F352:I352 B366:C366 F366:I366 B384:C384 F384:I384 B398:C398 F398:I398 B412:C412 F412:I412">
    <cfRule type="expression" dxfId="90" priority="497">
      <formula>K25=YesLANG</formula>
    </cfRule>
  </conditionalFormatting>
  <conditionalFormatting sqref="B335:C335 F335:I335">
    <cfRule type="expression" dxfId="89" priority="527">
      <formula>K334=YesLANG</formula>
    </cfRule>
  </conditionalFormatting>
  <conditionalFormatting sqref="D27:E27 D50:E50 D81:E81 D166:E166 D180:E180 D206:E206 D220:E220 D236:E236 D250:E250 D264:E264 D278:E278 D292:E292 D306:E306 D320:E320 D334:E334 D352:E352 D366:E366 D384:E384 D398:E398 D412:E412">
    <cfRule type="expression" dxfId="88" priority="305">
      <formula>L25=YesLANG</formula>
    </cfRule>
  </conditionalFormatting>
  <conditionalFormatting sqref="D335:E335">
    <cfRule type="expression" dxfId="87" priority="253">
      <formula>L334=YesLANG</formula>
    </cfRule>
  </conditionalFormatting>
  <conditionalFormatting sqref="D260:F260 I260:N260 P260 M274 M288">
    <cfRule type="expression" dxfId="86" priority="200">
      <formula>OR($Y$252,$Z$252)</formula>
    </cfRule>
  </conditionalFormatting>
  <conditionalFormatting sqref="D73:M77 K79">
    <cfRule type="expression" dxfId="85" priority="291">
      <formula>$N$71</formula>
    </cfRule>
  </conditionalFormatting>
  <conditionalFormatting sqref="D86:M90">
    <cfRule type="expression" dxfId="84" priority="310">
      <formula>$N$84</formula>
    </cfRule>
  </conditionalFormatting>
  <conditionalFormatting sqref="D95:M99">
    <cfRule type="expression" dxfId="83" priority="309">
      <formula>$N$93</formula>
    </cfRule>
  </conditionalFormatting>
  <conditionalFormatting sqref="D156:O160 K164">
    <cfRule type="expression" dxfId="82" priority="294">
      <formula>OR($C$153,$H$153)</formula>
    </cfRule>
  </conditionalFormatting>
  <conditionalFormatting sqref="D42:P46 K48">
    <cfRule type="expression" dxfId="81" priority="292">
      <formula>$Q$40</formula>
    </cfRule>
  </conditionalFormatting>
  <conditionalFormatting sqref="D55:P59">
    <cfRule type="expression" dxfId="80" priority="313">
      <formula>$Q$53</formula>
    </cfRule>
  </conditionalFormatting>
  <conditionalFormatting sqref="D63:P67">
    <cfRule type="expression" dxfId="79" priority="312">
      <formula>$Q$61</formula>
    </cfRule>
  </conditionalFormatting>
  <conditionalFormatting sqref="D172:P176 K178">
    <cfRule type="expression" dxfId="78" priority="619">
      <formula>OR($C$169,$H$169)</formula>
    </cfRule>
  </conditionalFormatting>
  <conditionalFormatting sqref="D198:R202 T202 K204">
    <cfRule type="expression" dxfId="77" priority="620">
      <formula>OR($C$194,$H$194)</formula>
    </cfRule>
  </conditionalFormatting>
  <conditionalFormatting sqref="D212:R216 T217 K218">
    <cfRule type="expression" dxfId="76" priority="621">
      <formula>OR($C$208,$H$208)</formula>
    </cfRule>
  </conditionalFormatting>
  <conditionalFormatting sqref="D228:R232 K234 T235">
    <cfRule type="expression" dxfId="75" priority="622">
      <formula>OR($C$224,$H$224)</formula>
    </cfRule>
  </conditionalFormatting>
  <conditionalFormatting sqref="D242:R246 T247 K248">
    <cfRule type="expression" dxfId="74" priority="623">
      <formula>OR($C$238,$H$238)</formula>
    </cfRule>
  </conditionalFormatting>
  <conditionalFormatting sqref="D256:R260 T261 K262">
    <cfRule type="expression" dxfId="73" priority="624">
      <formula>OR($C$252,$H$252)</formula>
    </cfRule>
  </conditionalFormatting>
  <conditionalFormatting sqref="D270:R274 T274 K276">
    <cfRule type="expression" dxfId="72" priority="625">
      <formula>OR($H$266,$C$266)</formula>
    </cfRule>
  </conditionalFormatting>
  <conditionalFormatting sqref="D284:R288 T288 K290">
    <cfRule type="expression" dxfId="71" priority="626">
      <formula>OR($C$280,$H$280)</formula>
    </cfRule>
  </conditionalFormatting>
  <conditionalFormatting sqref="D298:R302 T303 K304">
    <cfRule type="expression" dxfId="70" priority="627">
      <formula>OR($H$294,$C$294)</formula>
    </cfRule>
  </conditionalFormatting>
  <conditionalFormatting sqref="D312:R316 T316 K318">
    <cfRule type="expression" dxfId="69" priority="628">
      <formula>OR($C$308,$H$308)</formula>
    </cfRule>
  </conditionalFormatting>
  <conditionalFormatting sqref="D326:R330 T331 K332">
    <cfRule type="expression" dxfId="68" priority="629">
      <formula>OR($C$322,$H$322)</formula>
    </cfRule>
  </conditionalFormatting>
  <conditionalFormatting sqref="D344:R348 K350 T351">
    <cfRule type="expression" dxfId="67" priority="630">
      <formula>OR($C$340,$H$340)</formula>
    </cfRule>
  </conditionalFormatting>
  <conditionalFormatting sqref="D358:R362 T362 K364">
    <cfRule type="expression" dxfId="66" priority="631">
      <formula>OR($C$354,$H$354)</formula>
    </cfRule>
  </conditionalFormatting>
  <conditionalFormatting sqref="D376:R380 K382 T382">
    <cfRule type="expression" dxfId="65" priority="632">
      <formula>OR($C$372,$H$372)</formula>
    </cfRule>
  </conditionalFormatting>
  <conditionalFormatting sqref="D390:R394 T395 K396">
    <cfRule type="expression" dxfId="64" priority="633">
      <formula>OR($C$386,$H$386)</formula>
    </cfRule>
  </conditionalFormatting>
  <conditionalFormatting sqref="D404:R408 T408 K410">
    <cfRule type="expression" dxfId="63" priority="634">
      <formula>OR($C$400,$H$400)</formula>
    </cfRule>
  </conditionalFormatting>
  <conditionalFormatting sqref="J27 J334">
    <cfRule type="expression" dxfId="62" priority="304">
      <formula>K25=YesLANG</formula>
    </cfRule>
  </conditionalFormatting>
  <conditionalFormatting sqref="J50">
    <cfRule type="expression" dxfId="61" priority="306">
      <formula>K48=YesLANG</formula>
    </cfRule>
  </conditionalFormatting>
  <conditionalFormatting sqref="J81">
    <cfRule type="expression" dxfId="60" priority="300">
      <formula>K79=YesLANG</formula>
    </cfRule>
  </conditionalFormatting>
  <conditionalFormatting sqref="J166">
    <cfRule type="expression" dxfId="59" priority="298">
      <formula>K164=YesLANG</formula>
    </cfRule>
  </conditionalFormatting>
  <conditionalFormatting sqref="J180">
    <cfRule type="expression" dxfId="58" priority="296">
      <formula>K178=YesLANG</formula>
    </cfRule>
  </conditionalFormatting>
  <conditionalFormatting sqref="J206">
    <cfRule type="expression" dxfId="57" priority="274">
      <formula>K204=YesLANG</formula>
    </cfRule>
  </conditionalFormatting>
  <conditionalFormatting sqref="J220">
    <cfRule type="expression" dxfId="56" priority="273">
      <formula>K218=YesLANG</formula>
    </cfRule>
  </conditionalFormatting>
  <conditionalFormatting sqref="J236">
    <cfRule type="expression" dxfId="55" priority="272">
      <formula>K234=YesLANG</formula>
    </cfRule>
  </conditionalFormatting>
  <conditionalFormatting sqref="J250">
    <cfRule type="expression" dxfId="54" priority="271">
      <formula>K248=YesLANG</formula>
    </cfRule>
  </conditionalFormatting>
  <conditionalFormatting sqref="J264">
    <cfRule type="expression" dxfId="53" priority="270">
      <formula>K262=YesLANG</formula>
    </cfRule>
  </conditionalFormatting>
  <conditionalFormatting sqref="J278">
    <cfRule type="expression" dxfId="52" priority="269">
      <formula>K276=YesLANG</formula>
    </cfRule>
  </conditionalFormatting>
  <conditionalFormatting sqref="J292">
    <cfRule type="expression" dxfId="51" priority="245">
      <formula>K290=YesLANG</formula>
    </cfRule>
  </conditionalFormatting>
  <conditionalFormatting sqref="J306">
    <cfRule type="expression" dxfId="50" priority="244">
      <formula>K304=YesLANG</formula>
    </cfRule>
  </conditionalFormatting>
  <conditionalFormatting sqref="J320">
    <cfRule type="expression" dxfId="49" priority="243">
      <formula>K318=YesLANG</formula>
    </cfRule>
  </conditionalFormatting>
  <conditionalFormatting sqref="J335">
    <cfRule type="expression" dxfId="48" priority="242">
      <formula>K334=YesLANG</formula>
    </cfRule>
  </conditionalFormatting>
  <conditionalFormatting sqref="J352">
    <cfRule type="expression" dxfId="47" priority="241">
      <formula>K350=YesLANG</formula>
    </cfRule>
  </conditionalFormatting>
  <conditionalFormatting sqref="J366">
    <cfRule type="expression" dxfId="46" priority="223">
      <formula>K364=YesLANG</formula>
    </cfRule>
  </conditionalFormatting>
  <conditionalFormatting sqref="J384">
    <cfRule type="expression" dxfId="45" priority="239">
      <formula>K382=YesLANG</formula>
    </cfRule>
  </conditionalFormatting>
  <conditionalFormatting sqref="J398">
    <cfRule type="expression" dxfId="44" priority="238">
      <formula>K396=YesLANG</formula>
    </cfRule>
  </conditionalFormatting>
  <conditionalFormatting sqref="J412">
    <cfRule type="expression" dxfId="43" priority="237">
      <formula>K410=YesLANG</formula>
    </cfRule>
  </conditionalFormatting>
  <conditionalFormatting sqref="M270:M273">
    <cfRule type="expression" dxfId="42" priority="56">
      <formula>$Z$61</formula>
    </cfRule>
  </conditionalFormatting>
  <conditionalFormatting sqref="M284:M287">
    <cfRule type="expression" dxfId="41" priority="57">
      <formula>$Z$61</formula>
    </cfRule>
  </conditionalFormatting>
  <conditionalFormatting sqref="M298:M301">
    <cfRule type="expression" dxfId="40" priority="58">
      <formula>$Z$61</formula>
    </cfRule>
  </conditionalFormatting>
  <conditionalFormatting sqref="M312:M315">
    <cfRule type="expression" dxfId="39" priority="59">
      <formula>$Z$61</formula>
    </cfRule>
  </conditionalFormatting>
  <conditionalFormatting sqref="M326:M329">
    <cfRule type="expression" dxfId="38" priority="60">
      <formula>$Z$61</formula>
    </cfRule>
  </conditionalFormatting>
  <conditionalFormatting sqref="M344:M347">
    <cfRule type="expression" dxfId="37" priority="61">
      <formula>$Z$61</formula>
    </cfRule>
  </conditionalFormatting>
  <conditionalFormatting sqref="M358:M361">
    <cfRule type="expression" dxfId="36" priority="62">
      <formula>$Z$61</formula>
    </cfRule>
  </conditionalFormatting>
  <conditionalFormatting sqref="M376:M379">
    <cfRule type="expression" dxfId="35" priority="63">
      <formula>$Z$61</formula>
    </cfRule>
  </conditionalFormatting>
  <conditionalFormatting sqref="M390:M393">
    <cfRule type="expression" dxfId="34" priority="64">
      <formula>$Z$61</formula>
    </cfRule>
  </conditionalFormatting>
  <conditionalFormatting sqref="M404:M407">
    <cfRule type="expression" dxfId="33" priority="75">
      <formula>$Z$61</formula>
    </cfRule>
  </conditionalFormatting>
  <conditionalFormatting sqref="M256:N259">
    <cfRule type="expression" dxfId="32" priority="55">
      <formula>$Z$61</formula>
    </cfRule>
  </conditionalFormatting>
  <conditionalFormatting sqref="N42:N45">
    <cfRule type="expression" dxfId="31" priority="199">
      <formula>$Z$61</formula>
    </cfRule>
  </conditionalFormatting>
  <conditionalFormatting sqref="N172:N175">
    <cfRule type="expression" dxfId="30" priority="187">
      <formula>$Z$61</formula>
    </cfRule>
  </conditionalFormatting>
  <conditionalFormatting sqref="N198:N200">
    <cfRule type="expression" dxfId="29" priority="180">
      <formula>$Z$61</formula>
    </cfRule>
  </conditionalFormatting>
  <conditionalFormatting sqref="N212:N214">
    <cfRule type="expression" dxfId="28" priority="184">
      <formula>$Z$61</formula>
    </cfRule>
  </conditionalFormatting>
  <conditionalFormatting sqref="N228:N230">
    <cfRule type="expression" dxfId="27" priority="172">
      <formula>$Z$61</formula>
    </cfRule>
  </conditionalFormatting>
  <conditionalFormatting sqref="N242:N245">
    <cfRule type="expression" dxfId="26" priority="163">
      <formula>$Z$61</formula>
    </cfRule>
  </conditionalFormatting>
  <conditionalFormatting sqref="N270:N272">
    <cfRule type="expression" dxfId="25" priority="53">
      <formula>OR($Y$266,$Z$266)</formula>
    </cfRule>
  </conditionalFormatting>
  <conditionalFormatting sqref="N284:N286">
    <cfRule type="expression" dxfId="24" priority="49">
      <formula>OR($Y$266,$Z$266)</formula>
    </cfRule>
  </conditionalFormatting>
  <conditionalFormatting sqref="N298:N300">
    <cfRule type="expression" dxfId="23" priority="46">
      <formula>OR($Y$266,$Z$266)</formula>
    </cfRule>
  </conditionalFormatting>
  <conditionalFormatting sqref="N312:N314">
    <cfRule type="expression" dxfId="22" priority="43">
      <formula>OR($Y$266,$Z$266)</formula>
    </cfRule>
  </conditionalFormatting>
  <conditionalFormatting sqref="N326:N328">
    <cfRule type="expression" dxfId="21" priority="40">
      <formula>OR($Y$266,$Z$266)</formula>
    </cfRule>
  </conditionalFormatting>
  <conditionalFormatting sqref="N344:N346">
    <cfRule type="expression" dxfId="20" priority="37">
      <formula>OR($Y$266,$Z$266)</formula>
    </cfRule>
  </conditionalFormatting>
  <conditionalFormatting sqref="N358:N360">
    <cfRule type="expression" dxfId="19" priority="34">
      <formula>OR($Y$266,$Z$266)</formula>
    </cfRule>
  </conditionalFormatting>
  <conditionalFormatting sqref="N376:N378">
    <cfRule type="expression" dxfId="18" priority="28">
      <formula>OR($Y$266,$Z$266)</formula>
    </cfRule>
  </conditionalFormatting>
  <conditionalFormatting sqref="N390:N392">
    <cfRule type="expression" dxfId="17" priority="25">
      <formula>OR($Y$266,$Z$266)</formula>
    </cfRule>
  </conditionalFormatting>
  <conditionalFormatting sqref="N404:N406">
    <cfRule type="expression" dxfId="16" priority="21">
      <formula>OR($Y$266,$Z$266)</formula>
    </cfRule>
  </conditionalFormatting>
  <conditionalFormatting sqref="P198:P201">
    <cfRule type="expression" dxfId="15" priority="175">
      <formula>$Z$61</formula>
    </cfRule>
  </conditionalFormatting>
  <conditionalFormatting sqref="P212:P215">
    <cfRule type="expression" dxfId="14" priority="67">
      <formula>$Z$61</formula>
    </cfRule>
  </conditionalFormatting>
  <conditionalFormatting sqref="P228:P231">
    <cfRule type="expression" dxfId="13" priority="167">
      <formula>$Z$61</formula>
    </cfRule>
  </conditionalFormatting>
  <conditionalFormatting sqref="P242:P245">
    <cfRule type="expression" dxfId="12" priority="159">
      <formula>$Z$61</formula>
    </cfRule>
  </conditionalFormatting>
  <conditionalFormatting sqref="P256:P259">
    <cfRule type="expression" dxfId="11" priority="151">
      <formula>$Z$61</formula>
    </cfRule>
  </conditionalFormatting>
  <conditionalFormatting sqref="P270:P273">
    <cfRule type="expression" dxfId="10" priority="147">
      <formula>$Z$61</formula>
    </cfRule>
  </conditionalFormatting>
  <conditionalFormatting sqref="P284:P287">
    <cfRule type="expression" dxfId="9" priority="135">
      <formula>$Z$61</formula>
    </cfRule>
  </conditionalFormatting>
  <conditionalFormatting sqref="P298:P301">
    <cfRule type="expression" dxfId="8" priority="127">
      <formula>$Z$61</formula>
    </cfRule>
  </conditionalFormatting>
  <conditionalFormatting sqref="P312:P315">
    <cfRule type="expression" dxfId="7" priority="119">
      <formula>$Z$61</formula>
    </cfRule>
  </conditionalFormatting>
  <conditionalFormatting sqref="P326:P329">
    <cfRule type="expression" dxfId="6" priority="111">
      <formula>$Z$61</formula>
    </cfRule>
  </conditionalFormatting>
  <conditionalFormatting sqref="P344:P347">
    <cfRule type="expression" dxfId="5" priority="103">
      <formula>$Z$61</formula>
    </cfRule>
  </conditionalFormatting>
  <conditionalFormatting sqref="P358:P361">
    <cfRule type="expression" dxfId="4" priority="95">
      <formula>$Z$61</formula>
    </cfRule>
  </conditionalFormatting>
  <conditionalFormatting sqref="P376:P379">
    <cfRule type="expression" dxfId="3" priority="87">
      <formula>$Z$61</formula>
    </cfRule>
  </conditionalFormatting>
  <conditionalFormatting sqref="P390:P393">
    <cfRule type="expression" dxfId="2" priority="79">
      <formula>$Z$61</formula>
    </cfRule>
  </conditionalFormatting>
  <conditionalFormatting sqref="P404:P407">
    <cfRule type="expression" dxfId="1" priority="71">
      <formula>$Z$61</formula>
    </cfRule>
  </conditionalFormatting>
  <conditionalFormatting sqref="R256:R260">
    <cfRule type="expression" dxfId="0" priority="201">
      <formula>OR($Y$252,$Z$252)</formula>
    </cfRule>
  </conditionalFormatting>
  <dataValidations count="56">
    <dataValidation type="list" allowBlank="1" showInputMessage="1" showErrorMessage="1" sqref="K333 J335" xr:uid="{00000000-0002-0000-0000-000000000000}">
      <formula1>"Yes,No"</formula1>
    </dataValidation>
    <dataValidation type="list" allowBlank="1" showInputMessage="1" showErrorMessage="1" sqref="E10" xr:uid="{7274BA26-9B3A-4230-B7E0-142DD070BC4E}">
      <formula1>"2025"</formula1>
    </dataValidation>
    <dataValidation type="whole" operator="greaterThanOrEqual" allowBlank="1" showInputMessage="1" showErrorMessage="1" error="Only numbers allowed!" sqref="D201:N201 D20:D21 D45:M45 I19:L22 D66:M66 D76:K76 D89:K89 D98:K98 I58:M58 D175:M175 D231:N231 D215:N215 E19:G22 D58:G58 D159:G159 I159:L159" xr:uid="{B32563D3-BEE9-43BB-BEB4-C4F3698F2530}">
      <formula1>0</formula1>
    </dataValidation>
    <dataValidation type="whole" operator="greaterThanOrEqual" allowBlank="1" showInputMessage="1" showErrorMessage="1" sqref="I122:L131 R113:T113 D63:M65 D73:K75 D86:K88 D95:K97 I113:M113 D172:M174 D198:O200 D212:O214 D242:Q245 D256:Q259 D228:O230 O273 D298:Q301 D312:Q315 D326:Q329 D344:Q347 D358:Q361 D376:Q379 D404:Q407 N284:N286 T408:U408 T395:U395 T382:U382 T362:U362 T351:U351 T331:U331 T316:U316 T303:U303 T288:U288 T274:U274 T261:U261 T247:U247 T235:U235 T217:U217 T202:U202 D390:Q393 I138:L147 I55:M57 D42:M44 N42:O45 N55:O58 N63:N66 L73:L76 L86:L89 L95:L98 M156:N159 N172:O175 P198:Q201 P212:Q215 P228:Q231 O113:P113 D270:N273 P270:Q273 D284:M287 P284:Q287 N287:O287 D55:G57 B113:G113 D156:G158 I156:L158" xr:uid="{53D551FC-0284-4061-94CE-3B950937ABD5}">
      <formula1>0</formula1>
    </dataValidation>
    <dataValidation type="whole" operator="greaterThan" allowBlank="1" showInputMessage="1" showErrorMessage="1" sqref="K108:L109 R11:T11 K11:M11" xr:uid="{47D2EB50-125C-4636-ADA0-6F650E9566BA}">
      <formula1>0</formula1>
    </dataValidation>
    <dataValidation type="date" operator="greaterThan" allowBlank="1" showInputMessage="1" showErrorMessage="1" sqref="K106:L107" xr:uid="{B600A63A-23B2-4DCE-9A6C-AAF798C7E677}">
      <formula1>36526</formula1>
    </dataValidation>
    <dataValidation type="list" allowBlank="1" showInputMessage="1" showErrorMessage="1" sqref="V5" xr:uid="{6D9B1891-1B1B-437D-97E4-970E733848B7}">
      <formula1>"EN, FR, ES, AR"</formula1>
    </dataValidation>
    <dataValidation allowBlank="1" showInputMessage="1" showErrorMessage="1" prompt="_x000a_" sqref="O93 O84 O71" xr:uid="{A0D7FDCB-D2DB-4931-9185-B8318FD39904}"/>
    <dataValidation type="list" allowBlank="1" showInputMessage="1" showErrorMessage="1" sqref="K25" xr:uid="{737AFB57-0518-40E7-A159-04716686533A}">
      <formula1>D426:E426</formula1>
    </dataValidation>
    <dataValidation type="list" allowBlank="1" showInputMessage="1" showErrorMessage="1" sqref="K48" xr:uid="{52BC0D76-EF1C-47E5-813B-5A83F6126486}">
      <formula1>D426:E426</formula1>
    </dataValidation>
    <dataValidation type="list" allowBlank="1" showInputMessage="1" showErrorMessage="1" sqref="J27" xr:uid="{08003180-DB20-4DA6-A2CB-C32002406BC0}">
      <formula1>D426:E426</formula1>
    </dataValidation>
    <dataValidation type="list" allowBlank="1" showInputMessage="1" showErrorMessage="1" sqref="J50" xr:uid="{11E1ECBF-C2EE-4072-97EF-88FDE86E3129}">
      <formula1>D426:E426</formula1>
    </dataValidation>
    <dataValidation type="list" allowBlank="1" showInputMessage="1" showErrorMessage="1" sqref="K79" xr:uid="{0B8703C3-63A6-4A6C-8C6F-418558223D92}">
      <formula1>D426:E426</formula1>
    </dataValidation>
    <dataValidation type="list" allowBlank="1" showInputMessage="1" showErrorMessage="1" sqref="J81" xr:uid="{F93428A9-304D-4DC1-9931-55F549A0F761}">
      <formula1>D426:E426</formula1>
    </dataValidation>
    <dataValidation type="list" allowBlank="1" showInputMessage="1" showErrorMessage="1" sqref="K164" xr:uid="{885DFEAD-F3A1-4110-A6A9-327ED23AE15F}">
      <formula1>D426:E426</formula1>
    </dataValidation>
    <dataValidation type="list" allowBlank="1" showInputMessage="1" showErrorMessage="1" sqref="J166" xr:uid="{8B8EFAF0-5765-4746-8BD3-A3D146C4A0E8}">
      <formula1>D426:E426</formula1>
    </dataValidation>
    <dataValidation type="list" allowBlank="1" showInputMessage="1" showErrorMessage="1" sqref="K178" xr:uid="{8E2722D8-C919-4585-99F5-F7D45629DA45}">
      <formula1>D426:E426</formula1>
    </dataValidation>
    <dataValidation type="list" allowBlank="1" showInputMessage="1" showErrorMessage="1" sqref="J180" xr:uid="{51E63F63-D2E0-4D49-9EEF-73C113E4208A}">
      <formula1>D426:E426</formula1>
    </dataValidation>
    <dataValidation type="list" allowBlank="1" showInputMessage="1" showErrorMessage="1" sqref="K204" xr:uid="{AFB52E03-B466-4608-B9AD-5A8AD2598C5B}">
      <formula1>D426:E426</formula1>
    </dataValidation>
    <dataValidation type="list" allowBlank="1" showInputMessage="1" showErrorMessage="1" sqref="J206" xr:uid="{AFC005EA-B4C0-40A0-A93E-BF1C607A38E7}">
      <formula1>D426:E426</formula1>
    </dataValidation>
    <dataValidation type="list" allowBlank="1" showInputMessage="1" showErrorMessage="1" sqref="K218" xr:uid="{66CB461E-A560-4D46-804B-884417BB77BA}">
      <formula1>D426:E426</formula1>
    </dataValidation>
    <dataValidation type="list" allowBlank="1" showInputMessage="1" showErrorMessage="1" sqref="J220" xr:uid="{2F091265-88BC-4377-A3AA-310B6B1F82B5}">
      <formula1>D426:E426</formula1>
    </dataValidation>
    <dataValidation type="list" allowBlank="1" showInputMessage="1" showErrorMessage="1" sqref="K234" xr:uid="{0AC830BB-FBA7-4AE3-A42B-55007ACA7F2D}">
      <formula1>D426:E426</formula1>
    </dataValidation>
    <dataValidation type="list" allowBlank="1" showInputMessage="1" showErrorMessage="1" sqref="J236" xr:uid="{8CE12A84-71D9-4085-9EE9-4AA8ED0D0A65}">
      <formula1>D426:E426</formula1>
    </dataValidation>
    <dataValidation type="list" allowBlank="1" showInputMessage="1" showErrorMessage="1" sqref="K248" xr:uid="{D0D324A4-86CB-448A-ACF5-5B6ABAF70BAE}">
      <formula1>D426:E426</formula1>
    </dataValidation>
    <dataValidation type="list" allowBlank="1" showInputMessage="1" showErrorMessage="1" sqref="J250" xr:uid="{B1ADD5EB-B12E-4137-BE35-5ADAF18638C3}">
      <formula1>D426:E426</formula1>
    </dataValidation>
    <dataValidation type="list" allowBlank="1" showInputMessage="1" showErrorMessage="1" sqref="K262" xr:uid="{0D2DB113-ECC3-474C-ABCB-0FEC6690B69A}">
      <formula1>D426:E426</formula1>
    </dataValidation>
    <dataValidation type="list" allowBlank="1" showInputMessage="1" showErrorMessage="1" sqref="J264" xr:uid="{B7F3C02E-CBBB-4941-B707-97F5B4597F50}">
      <formula1>D426:E426</formula1>
    </dataValidation>
    <dataValidation type="list" allowBlank="1" showInputMessage="1" showErrorMessage="1" sqref="K276" xr:uid="{8958BB5A-1FB6-4494-9432-FAE9185C489C}">
      <formula1>D426:E426</formula1>
    </dataValidation>
    <dataValidation type="list" allowBlank="1" showInputMessage="1" showErrorMessage="1" sqref="J278" xr:uid="{A44DFC66-F59B-4AF5-AAB1-546F6F91D344}">
      <formula1>D426:E426</formula1>
    </dataValidation>
    <dataValidation type="list" allowBlank="1" showInputMessage="1" showErrorMessage="1" sqref="K290" xr:uid="{A26153F6-260E-4562-A037-BDF8C8116BE6}">
      <formula1>D426:E426</formula1>
    </dataValidation>
    <dataValidation type="list" allowBlank="1" showInputMessage="1" showErrorMessage="1" sqref="J292" xr:uid="{FB5A4940-27CD-4A14-B8C7-A93DAE9A1E09}">
      <formula1>D426:E426</formula1>
    </dataValidation>
    <dataValidation type="list" allowBlank="1" showInputMessage="1" showErrorMessage="1" sqref="K304" xr:uid="{791526A6-7CA3-4BB9-AA79-05F945C021CE}">
      <formula1>D426:E426</formula1>
    </dataValidation>
    <dataValidation type="list" allowBlank="1" showInputMessage="1" showErrorMessage="1" sqref="J306" xr:uid="{82A95ED9-F11E-4C85-B888-874B4D783659}">
      <formula1>D426:E426</formula1>
    </dataValidation>
    <dataValidation type="list" allowBlank="1" showInputMessage="1" showErrorMessage="1" sqref="K318" xr:uid="{4D5A0E33-AC81-4357-A7FF-2A2B93250D03}">
      <formula1>D426:E426</formula1>
    </dataValidation>
    <dataValidation type="list" allowBlank="1" showInputMessage="1" showErrorMessage="1" sqref="J320" xr:uid="{6DBDF6EB-E887-4F66-8118-BD77765D74CD}">
      <formula1>D426:E426</formula1>
    </dataValidation>
    <dataValidation type="list" allowBlank="1" showInputMessage="1" showErrorMessage="1" sqref="K332" xr:uid="{26F07183-F0C4-4571-8DAC-D86B5806B1AA}">
      <formula1>D426:E426</formula1>
    </dataValidation>
    <dataValidation type="list" allowBlank="1" showInputMessage="1" showErrorMessage="1" sqref="J336" xr:uid="{9B9DABB0-EA5A-4DA5-9CC3-529CD73BDC71}">
      <formula1>D426:E426</formula1>
    </dataValidation>
    <dataValidation type="list" allowBlank="1" showInputMessage="1" showErrorMessage="1" sqref="J338" xr:uid="{286E27AA-78FA-4E83-8360-390E52CB0930}">
      <formula1>D426:E426</formula1>
    </dataValidation>
    <dataValidation type="list" allowBlank="1" showInputMessage="1" showErrorMessage="1" sqref="J334" xr:uid="{0B09B571-C1AF-4E3B-99FB-D3D94975F9D6}">
      <formula1>D426:E426</formula1>
    </dataValidation>
    <dataValidation type="list" allowBlank="1" showInputMessage="1" showErrorMessage="1" sqref="K350" xr:uid="{CBF9F046-9FC2-49EE-A890-0EDE3A091A16}">
      <formula1>D426:E426</formula1>
    </dataValidation>
    <dataValidation type="list" allowBlank="1" showInputMessage="1" showErrorMessage="1" sqref="J352" xr:uid="{14898E09-5A12-456E-8F35-47B5A96CEF89}">
      <formula1>D426:E426</formula1>
    </dataValidation>
    <dataValidation type="list" allowBlank="1" showInputMessage="1" showErrorMessage="1" sqref="K364" xr:uid="{B1800DC9-5484-41B4-BD3B-7DC605EE851D}">
      <formula1>D426:E426</formula1>
    </dataValidation>
    <dataValidation type="list" allowBlank="1" showInputMessage="1" showErrorMessage="1" sqref="J366" xr:uid="{5A642F78-3B9E-4843-B41E-22D9EC4DD033}">
      <formula1>D426:E426</formula1>
    </dataValidation>
    <dataValidation type="list" allowBlank="1" showInputMessage="1" showErrorMessage="1" sqref="J368" xr:uid="{D6DE4CF8-68FE-4A55-A276-761448F39619}">
      <formula1>D426:E426</formula1>
    </dataValidation>
    <dataValidation type="list" allowBlank="1" showInputMessage="1" showErrorMessage="1" sqref="K370" xr:uid="{A79DC77F-CB1D-4B1A-81AB-70DD87C0EEEA}">
      <formula1>D426:E426</formula1>
    </dataValidation>
    <dataValidation type="list" allowBlank="1" showInputMessage="1" showErrorMessage="1" sqref="K382" xr:uid="{96AB25F4-3C3F-48DE-B55C-EAF023A07EE0}">
      <formula1>D426:E426</formula1>
    </dataValidation>
    <dataValidation type="list" allowBlank="1" showInputMessage="1" showErrorMessage="1" sqref="J384" xr:uid="{AF5DBA90-5545-4187-84C5-7116230C1F6B}">
      <formula1>D426:E426</formula1>
    </dataValidation>
    <dataValidation type="list" allowBlank="1" showInputMessage="1" showErrorMessage="1" sqref="K396" xr:uid="{E2342F15-49C4-4F06-816E-701E693694A0}">
      <formula1>D426:E426</formula1>
    </dataValidation>
    <dataValidation type="list" allowBlank="1" showInputMessage="1" showErrorMessage="1" sqref="J398" xr:uid="{99AC70CF-B21E-41FF-B061-EB0CE236EC33}">
      <formula1>D426:E426</formula1>
    </dataValidation>
    <dataValidation type="list" allowBlank="1" showInputMessage="1" showErrorMessage="1" sqref="K410" xr:uid="{DCADB94C-78E9-4827-9856-C66CC8CD4DD5}">
      <formula1>D426:E426</formula1>
    </dataValidation>
    <dataValidation type="list" allowBlank="1" showInputMessage="1" showErrorMessage="1" sqref="J412" xr:uid="{30287FA1-526E-4C5A-806E-379B5A792A03}">
      <formula1>D426:E426</formula1>
    </dataValidation>
    <dataValidation allowBlank="1" showInputMessage="1" sqref="E9" xr:uid="{CA414DEA-5909-4F34-BF02-15B5555979DF}"/>
    <dataValidation allowBlank="1" showErrorMessage="1" prompt="_x000a_" sqref="R61:U61 R53:U53 R40:U40" xr:uid="{6584EDCD-A481-4EE8-A537-5FA6D36E69C1}"/>
    <dataValidation type="list" allowBlank="1" showInputMessage="1" showErrorMessage="1" sqref="M29" xr:uid="{00000000-0002-0000-0000-000001000000}">
      <formula1>F426:H426</formula1>
    </dataValidation>
    <dataValidation type="list" allowBlank="1" showInputMessage="1" showErrorMessage="1" sqref="I29" xr:uid="{F4ACD45D-0C19-4A81-B41D-8279219616EE}">
      <formula1>F426:H426</formula1>
    </dataValidation>
  </dataValidations>
  <hyperlinks>
    <hyperlink ref="P3" r:id="rId1" xr:uid="{B3B078C2-CE38-444F-92CF-0D2812C6AD61}"/>
  </hyperlinks>
  <pageMargins left="0.7" right="0.7" top="0.75" bottom="0.75" header="0.3" footer="0.3"/>
  <pageSetup paperSize="9" scale="15" orientation="portrait" verticalDpi="1200" r:id="rId2"/>
  <headerFooter>
    <oddFooter>&amp;L&amp;1#&amp;"Calibri"&amp;10&amp;K000000Internal</oddFooter>
  </headerFooter>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584F-2560-4AD2-A135-AAA2F3BE5D0B}">
  <dimension ref="A1:J4602"/>
  <sheetViews>
    <sheetView topLeftCell="A3147" zoomScaleNormal="100" workbookViewId="0">
      <selection activeCell="E3157" sqref="E3157"/>
    </sheetView>
  </sheetViews>
  <sheetFormatPr defaultRowHeight="15" x14ac:dyDescent="0.25"/>
  <cols>
    <col min="1" max="1" width="18" style="115" customWidth="1"/>
    <col min="2" max="2" width="23.140625" style="115" customWidth="1"/>
    <col min="3" max="3" width="27.42578125" style="115" customWidth="1"/>
    <col min="4" max="4" width="25.28515625" style="115" customWidth="1"/>
    <col min="5" max="5" width="49.85546875" style="115" customWidth="1"/>
    <col min="6" max="6" width="33.7109375" style="115" customWidth="1"/>
    <col min="7" max="7" width="43.85546875" style="115" customWidth="1"/>
    <col min="8" max="8" width="29.5703125" style="115" customWidth="1"/>
  </cols>
  <sheetData>
    <row r="1" spans="1:8" x14ac:dyDescent="0.25">
      <c r="A1" s="115" t="s">
        <v>20</v>
      </c>
      <c r="B1" s="115" t="s">
        <v>21</v>
      </c>
      <c r="C1" s="115" t="s">
        <v>22</v>
      </c>
      <c r="D1" s="115" t="s">
        <v>23</v>
      </c>
      <c r="E1" s="115" t="s">
        <v>24</v>
      </c>
      <c r="F1" s="115" t="s">
        <v>25</v>
      </c>
      <c r="G1" s="115" t="s">
        <v>26</v>
      </c>
      <c r="H1" s="115" t="s">
        <v>27</v>
      </c>
    </row>
    <row r="2" spans="1:8" x14ac:dyDescent="0.25">
      <c r="A2" s="115">
        <v>8908</v>
      </c>
      <c r="B2" s="115" t="s">
        <v>28</v>
      </c>
      <c r="C2" s="115" t="s">
        <v>27</v>
      </c>
      <c r="D2" s="115">
        <v>0</v>
      </c>
      <c r="E2" s="115" t="s">
        <v>29</v>
      </c>
      <c r="F2" s="115" t="s">
        <v>30</v>
      </c>
      <c r="G2" s="115" t="s">
        <v>31</v>
      </c>
      <c r="H2" s="115" t="s">
        <v>32</v>
      </c>
    </row>
    <row r="3" spans="1:8" x14ac:dyDescent="0.25">
      <c r="A3" s="115">
        <v>8907</v>
      </c>
      <c r="B3" s="115" t="s">
        <v>28</v>
      </c>
      <c r="C3" s="115" t="s">
        <v>26</v>
      </c>
      <c r="D3" s="115">
        <v>0</v>
      </c>
      <c r="E3" s="115" t="s">
        <v>33</v>
      </c>
      <c r="F3" s="115" t="s">
        <v>34</v>
      </c>
      <c r="G3" s="115" t="s">
        <v>35</v>
      </c>
      <c r="H3" s="115" t="s">
        <v>36</v>
      </c>
    </row>
    <row r="4" spans="1:8" x14ac:dyDescent="0.25">
      <c r="A4" s="115">
        <v>8906</v>
      </c>
      <c r="B4" s="115" t="s">
        <v>28</v>
      </c>
      <c r="C4" s="115" t="s">
        <v>25</v>
      </c>
      <c r="D4" s="115">
        <v>0</v>
      </c>
      <c r="E4" s="115" t="s">
        <v>37</v>
      </c>
      <c r="F4" s="115" t="s">
        <v>38</v>
      </c>
      <c r="G4" s="115" t="s">
        <v>39</v>
      </c>
      <c r="H4" s="115" t="s">
        <v>40</v>
      </c>
    </row>
    <row r="5" spans="1:8" x14ac:dyDescent="0.25">
      <c r="A5" s="115">
        <v>8905</v>
      </c>
      <c r="B5" s="115" t="s">
        <v>28</v>
      </c>
      <c r="C5" s="115" t="s">
        <v>24</v>
      </c>
      <c r="D5" s="115">
        <v>0</v>
      </c>
      <c r="E5" s="115" t="s">
        <v>41</v>
      </c>
      <c r="F5" s="115" t="s">
        <v>42</v>
      </c>
      <c r="G5" s="115" t="s">
        <v>43</v>
      </c>
      <c r="H5" s="115" t="s">
        <v>44</v>
      </c>
    </row>
    <row r="6" spans="1:8" x14ac:dyDescent="0.25">
      <c r="A6" s="115">
        <v>8899</v>
      </c>
      <c r="B6" s="115" t="s">
        <v>45</v>
      </c>
      <c r="C6" s="115" t="s">
        <v>46</v>
      </c>
      <c r="D6" s="115">
        <v>1</v>
      </c>
      <c r="E6" s="115" t="s">
        <v>47</v>
      </c>
      <c r="F6" s="115" t="s">
        <v>48</v>
      </c>
      <c r="G6" s="115" t="s">
        <v>49</v>
      </c>
      <c r="H6" s="115" t="s">
        <v>50</v>
      </c>
    </row>
    <row r="7" spans="1:8" x14ac:dyDescent="0.25">
      <c r="A7" s="115">
        <v>8898</v>
      </c>
      <c r="B7" s="115" t="s">
        <v>45</v>
      </c>
      <c r="C7" s="115" t="s">
        <v>51</v>
      </c>
      <c r="D7" s="115">
        <v>1</v>
      </c>
      <c r="E7" s="115" t="s">
        <v>52</v>
      </c>
      <c r="F7" s="115" t="s">
        <v>53</v>
      </c>
      <c r="G7" s="115" t="s">
        <v>54</v>
      </c>
      <c r="H7" s="115" t="s">
        <v>55</v>
      </c>
    </row>
    <row r="8" spans="1:8" x14ac:dyDescent="0.25">
      <c r="A8" s="115">
        <v>8897</v>
      </c>
      <c r="B8" s="115" t="s">
        <v>45</v>
      </c>
      <c r="C8" s="115" t="s">
        <v>56</v>
      </c>
      <c r="D8" s="115">
        <v>1</v>
      </c>
      <c r="E8" s="115" t="s">
        <v>57</v>
      </c>
      <c r="F8" s="115" t="s">
        <v>58</v>
      </c>
      <c r="G8" s="115" t="s">
        <v>59</v>
      </c>
      <c r="H8" s="115" t="s">
        <v>60</v>
      </c>
    </row>
    <row r="9" spans="1:8" ht="30" x14ac:dyDescent="0.25">
      <c r="A9" s="115">
        <v>8896</v>
      </c>
      <c r="B9" s="115" t="s">
        <v>45</v>
      </c>
      <c r="C9" s="115" t="s">
        <v>61</v>
      </c>
      <c r="D9" s="115">
        <v>1</v>
      </c>
      <c r="E9" s="115" t="s">
        <v>62</v>
      </c>
      <c r="F9" s="115" t="s">
        <v>63</v>
      </c>
      <c r="G9" s="115" t="s">
        <v>64</v>
      </c>
      <c r="H9" s="115" t="s">
        <v>65</v>
      </c>
    </row>
    <row r="10" spans="1:8" ht="30" x14ac:dyDescent="0.25">
      <c r="A10" s="115">
        <v>8895</v>
      </c>
      <c r="B10" s="115" t="s">
        <v>45</v>
      </c>
      <c r="C10" s="115" t="s">
        <v>66</v>
      </c>
      <c r="D10" s="115">
        <v>1</v>
      </c>
      <c r="E10" s="115" t="s">
        <v>67</v>
      </c>
      <c r="F10" s="115" t="s">
        <v>68</v>
      </c>
      <c r="G10" s="115" t="s">
        <v>69</v>
      </c>
      <c r="H10" s="115" t="s">
        <v>70</v>
      </c>
    </row>
    <row r="11" spans="1:8" ht="30" x14ac:dyDescent="0.25">
      <c r="A11" s="115">
        <v>8894</v>
      </c>
      <c r="B11" s="115" t="s">
        <v>71</v>
      </c>
      <c r="C11" s="115" t="s">
        <v>72</v>
      </c>
      <c r="D11" s="115">
        <v>1</v>
      </c>
      <c r="E11" s="115" t="s">
        <v>73</v>
      </c>
      <c r="F11" s="115" t="s">
        <v>74</v>
      </c>
      <c r="G11" s="115" t="s">
        <v>74</v>
      </c>
      <c r="H11" s="115" t="s">
        <v>74</v>
      </c>
    </row>
    <row r="12" spans="1:8" ht="30" x14ac:dyDescent="0.25">
      <c r="A12" s="115">
        <v>8893</v>
      </c>
      <c r="B12" s="115" t="s">
        <v>71</v>
      </c>
      <c r="C12" s="115" t="s">
        <v>75</v>
      </c>
      <c r="D12" s="115">
        <v>1</v>
      </c>
      <c r="E12" s="115" t="s">
        <v>76</v>
      </c>
      <c r="F12" s="115" t="s">
        <v>74</v>
      </c>
      <c r="G12" s="115" t="s">
        <v>74</v>
      </c>
      <c r="H12" s="115" t="s">
        <v>74</v>
      </c>
    </row>
    <row r="13" spans="1:8" ht="30" x14ac:dyDescent="0.25">
      <c r="A13" s="115">
        <v>8892</v>
      </c>
      <c r="B13" s="115" t="s">
        <v>71</v>
      </c>
      <c r="C13" s="115" t="s">
        <v>77</v>
      </c>
      <c r="D13" s="115">
        <v>1</v>
      </c>
      <c r="E13" s="115" t="s">
        <v>78</v>
      </c>
      <c r="F13" s="115" t="s">
        <v>74</v>
      </c>
      <c r="G13" s="115" t="s">
        <v>74</v>
      </c>
      <c r="H13" s="115" t="s">
        <v>74</v>
      </c>
    </row>
    <row r="14" spans="1:8" x14ac:dyDescent="0.25">
      <c r="A14" s="115">
        <v>8891</v>
      </c>
      <c r="B14" s="115" t="s">
        <v>71</v>
      </c>
      <c r="C14" s="115" t="s">
        <v>79</v>
      </c>
      <c r="D14" s="115">
        <v>1</v>
      </c>
      <c r="E14" s="115" t="s">
        <v>80</v>
      </c>
      <c r="F14" s="115" t="s">
        <v>74</v>
      </c>
      <c r="G14" s="115" t="s">
        <v>74</v>
      </c>
      <c r="H14" s="115" t="s">
        <v>74</v>
      </c>
    </row>
    <row r="15" spans="1:8" x14ac:dyDescent="0.25">
      <c r="A15" s="115">
        <v>8890</v>
      </c>
      <c r="B15" s="115" t="s">
        <v>45</v>
      </c>
      <c r="C15" s="115" t="s">
        <v>81</v>
      </c>
      <c r="D15" s="115">
        <v>1</v>
      </c>
      <c r="E15" s="115" t="s">
        <v>82</v>
      </c>
      <c r="F15" s="115" t="s">
        <v>74</v>
      </c>
      <c r="G15" s="115" t="s">
        <v>74</v>
      </c>
      <c r="H15" s="115" t="s">
        <v>74</v>
      </c>
    </row>
    <row r="16" spans="1:8" x14ac:dyDescent="0.25">
      <c r="A16" s="115">
        <v>8889</v>
      </c>
      <c r="B16" s="115" t="s">
        <v>45</v>
      </c>
      <c r="C16" s="115" t="s">
        <v>83</v>
      </c>
      <c r="D16" s="115">
        <v>1</v>
      </c>
      <c r="E16" s="115" t="s">
        <v>84</v>
      </c>
      <c r="F16" s="115" t="s">
        <v>74</v>
      </c>
      <c r="G16" s="115" t="s">
        <v>74</v>
      </c>
      <c r="H16" s="115" t="s">
        <v>74</v>
      </c>
    </row>
    <row r="17" spans="1:8" x14ac:dyDescent="0.25">
      <c r="A17" s="115">
        <v>8888</v>
      </c>
      <c r="B17" s="115" t="s">
        <v>45</v>
      </c>
      <c r="C17" s="115" t="s">
        <v>85</v>
      </c>
      <c r="D17" s="115">
        <v>1</v>
      </c>
      <c r="E17" s="115" t="s">
        <v>86</v>
      </c>
      <c r="F17" s="115" t="s">
        <v>74</v>
      </c>
      <c r="G17" s="115" t="s">
        <v>74</v>
      </c>
      <c r="H17" s="115" t="s">
        <v>74</v>
      </c>
    </row>
    <row r="18" spans="1:8" x14ac:dyDescent="0.25">
      <c r="A18" s="115">
        <v>8887</v>
      </c>
      <c r="B18" s="115" t="s">
        <v>45</v>
      </c>
      <c r="C18" s="115" t="s">
        <v>87</v>
      </c>
      <c r="D18" s="115">
        <v>1</v>
      </c>
      <c r="E18" s="115" t="s">
        <v>88</v>
      </c>
      <c r="F18" s="115" t="s">
        <v>74</v>
      </c>
      <c r="G18" s="115" t="s">
        <v>74</v>
      </c>
      <c r="H18" s="115" t="s">
        <v>74</v>
      </c>
    </row>
    <row r="19" spans="1:8" x14ac:dyDescent="0.25">
      <c r="A19" s="115">
        <v>8886</v>
      </c>
      <c r="B19" s="115" t="s">
        <v>45</v>
      </c>
      <c r="C19" s="115" t="s">
        <v>89</v>
      </c>
      <c r="D19" s="115">
        <v>1</v>
      </c>
      <c r="E19" s="115" t="s">
        <v>90</v>
      </c>
      <c r="F19" s="115" t="s">
        <v>74</v>
      </c>
      <c r="G19" s="115" t="s">
        <v>74</v>
      </c>
      <c r="H19" s="115" t="s">
        <v>74</v>
      </c>
    </row>
    <row r="20" spans="1:8" x14ac:dyDescent="0.25">
      <c r="A20" s="115">
        <v>8885</v>
      </c>
      <c r="B20" s="115" t="s">
        <v>45</v>
      </c>
      <c r="C20" s="115" t="s">
        <v>91</v>
      </c>
      <c r="D20" s="115">
        <v>1</v>
      </c>
      <c r="E20" s="115" t="s">
        <v>92</v>
      </c>
      <c r="F20" s="115" t="s">
        <v>74</v>
      </c>
      <c r="G20" s="115" t="s">
        <v>74</v>
      </c>
      <c r="H20" s="115" t="s">
        <v>74</v>
      </c>
    </row>
    <row r="21" spans="1:8" x14ac:dyDescent="0.25">
      <c r="A21" s="115">
        <v>8884</v>
      </c>
      <c r="B21" s="115" t="s">
        <v>45</v>
      </c>
      <c r="C21" s="115" t="s">
        <v>93</v>
      </c>
      <c r="D21" s="115">
        <v>1</v>
      </c>
      <c r="E21" s="115" t="s">
        <v>94</v>
      </c>
      <c r="F21" s="115" t="s">
        <v>74</v>
      </c>
      <c r="G21" s="115" t="s">
        <v>74</v>
      </c>
      <c r="H21" s="115" t="s">
        <v>74</v>
      </c>
    </row>
    <row r="22" spans="1:8" x14ac:dyDescent="0.25">
      <c r="A22" s="115">
        <v>8882</v>
      </c>
      <c r="B22" s="115" t="s">
        <v>95</v>
      </c>
      <c r="C22" s="115" t="s">
        <v>96</v>
      </c>
      <c r="D22" s="115">
        <v>1</v>
      </c>
    </row>
    <row r="23" spans="1:8" x14ac:dyDescent="0.25">
      <c r="A23" s="115">
        <v>8881</v>
      </c>
      <c r="B23" s="115" t="s">
        <v>95</v>
      </c>
      <c r="C23" s="115" t="s">
        <v>97</v>
      </c>
      <c r="D23" s="115">
        <v>1</v>
      </c>
    </row>
    <row r="24" spans="1:8" ht="30" x14ac:dyDescent="0.25">
      <c r="A24" s="115">
        <v>8849</v>
      </c>
      <c r="B24" s="115" t="s">
        <v>95</v>
      </c>
      <c r="C24" s="115" t="s">
        <v>98</v>
      </c>
      <c r="D24" s="115">
        <v>1</v>
      </c>
    </row>
    <row r="25" spans="1:8" ht="30" x14ac:dyDescent="0.25">
      <c r="A25" s="115">
        <v>8848</v>
      </c>
      <c r="B25" s="115" t="s">
        <v>95</v>
      </c>
      <c r="C25" s="115" t="s">
        <v>99</v>
      </c>
      <c r="D25" s="115">
        <v>1</v>
      </c>
    </row>
    <row r="26" spans="1:8" x14ac:dyDescent="0.25">
      <c r="A26" s="115">
        <v>8706</v>
      </c>
      <c r="B26" s="115" t="s">
        <v>95</v>
      </c>
      <c r="C26" s="115" t="s">
        <v>100</v>
      </c>
      <c r="D26" s="115">
        <v>1</v>
      </c>
    </row>
    <row r="27" spans="1:8" x14ac:dyDescent="0.25">
      <c r="A27" s="115">
        <v>8705</v>
      </c>
      <c r="B27" s="115" t="s">
        <v>95</v>
      </c>
      <c r="C27" s="115" t="s">
        <v>101</v>
      </c>
      <c r="D27" s="115">
        <v>1</v>
      </c>
    </row>
    <row r="28" spans="1:8" ht="30" x14ac:dyDescent="0.25">
      <c r="A28" s="115">
        <v>8704</v>
      </c>
      <c r="B28" s="115" t="s">
        <v>95</v>
      </c>
      <c r="C28" s="115" t="s">
        <v>102</v>
      </c>
      <c r="D28" s="115">
        <v>1</v>
      </c>
    </row>
    <row r="29" spans="1:8" x14ac:dyDescent="0.25">
      <c r="A29" s="115">
        <v>8703</v>
      </c>
      <c r="B29" s="115" t="s">
        <v>95</v>
      </c>
      <c r="C29" s="115" t="s">
        <v>103</v>
      </c>
      <c r="D29" s="115">
        <v>1</v>
      </c>
    </row>
    <row r="30" spans="1:8" x14ac:dyDescent="0.25">
      <c r="A30" s="115">
        <v>8702</v>
      </c>
      <c r="B30" s="115" t="s">
        <v>95</v>
      </c>
      <c r="C30" s="115" t="s">
        <v>104</v>
      </c>
      <c r="D30" s="115">
        <v>1</v>
      </c>
    </row>
    <row r="31" spans="1:8" x14ac:dyDescent="0.25">
      <c r="A31" s="115">
        <v>8701</v>
      </c>
      <c r="B31" s="115" t="s">
        <v>95</v>
      </c>
      <c r="C31" s="115" t="s">
        <v>105</v>
      </c>
      <c r="D31" s="115">
        <v>1</v>
      </c>
    </row>
    <row r="32" spans="1:8" x14ac:dyDescent="0.25">
      <c r="A32" s="115">
        <v>8700</v>
      </c>
      <c r="B32" s="115" t="s">
        <v>95</v>
      </c>
      <c r="C32" s="115" t="s">
        <v>106</v>
      </c>
      <c r="D32" s="115">
        <v>1</v>
      </c>
    </row>
    <row r="33" spans="1:8" x14ac:dyDescent="0.25">
      <c r="A33" s="115">
        <v>8699</v>
      </c>
      <c r="B33" s="115" t="s">
        <v>95</v>
      </c>
      <c r="C33" s="115" t="s">
        <v>107</v>
      </c>
      <c r="D33" s="115">
        <v>1</v>
      </c>
    </row>
    <row r="34" spans="1:8" ht="30" x14ac:dyDescent="0.25">
      <c r="A34" s="115">
        <v>8698</v>
      </c>
      <c r="B34" s="115" t="s">
        <v>71</v>
      </c>
      <c r="C34" s="115" t="s">
        <v>108</v>
      </c>
      <c r="D34" s="115">
        <v>1</v>
      </c>
      <c r="E34" s="115" t="s">
        <v>109</v>
      </c>
      <c r="F34" s="115" t="s">
        <v>74</v>
      </c>
      <c r="G34" s="115" t="s">
        <v>74</v>
      </c>
      <c r="H34" s="115" t="s">
        <v>74</v>
      </c>
    </row>
    <row r="35" spans="1:8" ht="45" x14ac:dyDescent="0.25">
      <c r="A35" s="115">
        <v>8697</v>
      </c>
      <c r="B35" s="115" t="s">
        <v>71</v>
      </c>
      <c r="C35" s="115" t="s">
        <v>110</v>
      </c>
      <c r="D35" s="115">
        <v>1</v>
      </c>
      <c r="E35" s="115" t="s">
        <v>111</v>
      </c>
      <c r="F35" s="115" t="s">
        <v>74</v>
      </c>
      <c r="G35" s="115" t="s">
        <v>74</v>
      </c>
      <c r="H35" s="115" t="s">
        <v>74</v>
      </c>
    </row>
    <row r="36" spans="1:8" ht="30" x14ac:dyDescent="0.25">
      <c r="A36" s="115">
        <v>8696</v>
      </c>
      <c r="B36" s="115" t="s">
        <v>71</v>
      </c>
      <c r="C36" s="115" t="s">
        <v>112</v>
      </c>
      <c r="D36" s="115">
        <v>1</v>
      </c>
      <c r="E36" s="115" t="s">
        <v>113</v>
      </c>
      <c r="F36" s="115" t="s">
        <v>74</v>
      </c>
      <c r="G36" s="115" t="s">
        <v>74</v>
      </c>
      <c r="H36" s="115" t="s">
        <v>74</v>
      </c>
    </row>
    <row r="37" spans="1:8" x14ac:dyDescent="0.25">
      <c r="A37" s="115">
        <v>8695</v>
      </c>
      <c r="B37" s="115" t="s">
        <v>71</v>
      </c>
      <c r="C37" s="115" t="s">
        <v>114</v>
      </c>
      <c r="D37" s="115">
        <v>1</v>
      </c>
      <c r="E37" s="115" t="s">
        <v>115</v>
      </c>
      <c r="F37" s="115" t="s">
        <v>74</v>
      </c>
      <c r="G37" s="115" t="s">
        <v>74</v>
      </c>
      <c r="H37" s="115" t="s">
        <v>74</v>
      </c>
    </row>
    <row r="38" spans="1:8" x14ac:dyDescent="0.25">
      <c r="A38" s="115">
        <v>8694</v>
      </c>
      <c r="B38" s="115" t="s">
        <v>71</v>
      </c>
      <c r="C38" s="115" t="s">
        <v>116</v>
      </c>
      <c r="D38" s="115">
        <v>1</v>
      </c>
      <c r="E38" s="115" t="s">
        <v>117</v>
      </c>
      <c r="F38" s="115" t="s">
        <v>74</v>
      </c>
      <c r="G38" s="115" t="s">
        <v>74</v>
      </c>
      <c r="H38" s="115" t="s">
        <v>74</v>
      </c>
    </row>
    <row r="39" spans="1:8" x14ac:dyDescent="0.25">
      <c r="A39" s="115">
        <v>8693</v>
      </c>
      <c r="B39" s="115" t="s">
        <v>71</v>
      </c>
      <c r="C39" s="115" t="s">
        <v>118</v>
      </c>
      <c r="D39" s="115">
        <v>1</v>
      </c>
      <c r="E39" s="115" t="s">
        <v>119</v>
      </c>
      <c r="F39" s="115" t="s">
        <v>74</v>
      </c>
      <c r="G39" s="115" t="s">
        <v>74</v>
      </c>
      <c r="H39" s="115" t="s">
        <v>74</v>
      </c>
    </row>
    <row r="40" spans="1:8" x14ac:dyDescent="0.25">
      <c r="A40" s="115">
        <v>8692</v>
      </c>
      <c r="B40" s="115" t="s">
        <v>71</v>
      </c>
      <c r="C40" s="115" t="s">
        <v>120</v>
      </c>
      <c r="D40" s="115">
        <v>1</v>
      </c>
      <c r="E40" s="115" t="s">
        <v>121</v>
      </c>
      <c r="F40" s="115" t="s">
        <v>74</v>
      </c>
      <c r="G40" s="115" t="s">
        <v>74</v>
      </c>
      <c r="H40" s="115" t="s">
        <v>74</v>
      </c>
    </row>
    <row r="41" spans="1:8" x14ac:dyDescent="0.25">
      <c r="A41" s="115">
        <v>8691</v>
      </c>
      <c r="B41" s="115" t="s">
        <v>71</v>
      </c>
      <c r="C41" s="115" t="s">
        <v>122</v>
      </c>
      <c r="D41" s="115">
        <v>1</v>
      </c>
      <c r="E41" s="115" t="s">
        <v>123</v>
      </c>
      <c r="F41" s="115" t="s">
        <v>74</v>
      </c>
      <c r="G41" s="115" t="s">
        <v>74</v>
      </c>
      <c r="H41" s="115" t="s">
        <v>74</v>
      </c>
    </row>
    <row r="42" spans="1:8" x14ac:dyDescent="0.25">
      <c r="A42" s="115">
        <v>8690</v>
      </c>
      <c r="B42" s="115" t="s">
        <v>71</v>
      </c>
      <c r="C42" s="115" t="s">
        <v>124</v>
      </c>
      <c r="D42" s="115">
        <v>1</v>
      </c>
      <c r="E42" s="115" t="s">
        <v>125</v>
      </c>
      <c r="F42" s="115" t="s">
        <v>74</v>
      </c>
      <c r="G42" s="115" t="s">
        <v>74</v>
      </c>
      <c r="H42" s="115" t="s">
        <v>74</v>
      </c>
    </row>
    <row r="43" spans="1:8" x14ac:dyDescent="0.25">
      <c r="A43" s="115">
        <v>8689</v>
      </c>
      <c r="B43" s="115" t="s">
        <v>71</v>
      </c>
      <c r="C43" s="115" t="s">
        <v>126</v>
      </c>
      <c r="D43" s="115">
        <v>1</v>
      </c>
      <c r="E43" s="115" t="s">
        <v>127</v>
      </c>
      <c r="F43" s="115" t="s">
        <v>74</v>
      </c>
      <c r="G43" s="115" t="s">
        <v>74</v>
      </c>
      <c r="H43" s="115" t="s">
        <v>74</v>
      </c>
    </row>
    <row r="44" spans="1:8" x14ac:dyDescent="0.25">
      <c r="A44" s="115">
        <v>8688</v>
      </c>
      <c r="B44" s="115" t="s">
        <v>128</v>
      </c>
      <c r="C44" s="115" t="s">
        <v>129</v>
      </c>
      <c r="D44" s="115">
        <v>1</v>
      </c>
      <c r="F44" s="115" t="s">
        <v>74</v>
      </c>
      <c r="G44" s="115" t="s">
        <v>74</v>
      </c>
      <c r="H44" s="115" t="s">
        <v>74</v>
      </c>
    </row>
    <row r="45" spans="1:8" x14ac:dyDescent="0.25">
      <c r="A45" s="115">
        <v>8687</v>
      </c>
      <c r="B45" s="115" t="s">
        <v>128</v>
      </c>
      <c r="C45" s="115" t="s">
        <v>130</v>
      </c>
      <c r="D45" s="115">
        <v>1</v>
      </c>
      <c r="F45" s="115" t="s">
        <v>74</v>
      </c>
      <c r="G45" s="115" t="s">
        <v>74</v>
      </c>
      <c r="H45" s="115" t="s">
        <v>74</v>
      </c>
    </row>
    <row r="46" spans="1:8" ht="120" x14ac:dyDescent="0.25">
      <c r="A46" s="115">
        <v>8686</v>
      </c>
      <c r="B46" s="115" t="s">
        <v>128</v>
      </c>
      <c r="C46" s="115" t="s">
        <v>131</v>
      </c>
      <c r="D46" s="115">
        <v>1</v>
      </c>
      <c r="E46" s="115" t="s">
        <v>132</v>
      </c>
      <c r="F46" s="115" t="s">
        <v>133</v>
      </c>
      <c r="G46" s="115" t="s">
        <v>134</v>
      </c>
    </row>
    <row r="47" spans="1:8" x14ac:dyDescent="0.25">
      <c r="A47" s="115">
        <v>8685</v>
      </c>
      <c r="B47" s="115" t="s">
        <v>128</v>
      </c>
      <c r="C47" s="115" t="s">
        <v>135</v>
      </c>
      <c r="D47" s="115">
        <v>1</v>
      </c>
      <c r="F47" s="115" t="s">
        <v>74</v>
      </c>
      <c r="G47" s="115" t="s">
        <v>74</v>
      </c>
      <c r="H47" s="115" t="s">
        <v>74</v>
      </c>
    </row>
    <row r="48" spans="1:8" x14ac:dyDescent="0.25">
      <c r="A48" s="115">
        <v>8684</v>
      </c>
      <c r="B48" s="115" t="s">
        <v>128</v>
      </c>
      <c r="C48" s="115" t="s">
        <v>136</v>
      </c>
      <c r="D48" s="115">
        <v>1</v>
      </c>
      <c r="F48" s="115" t="s">
        <v>74</v>
      </c>
      <c r="G48" s="115" t="s">
        <v>74</v>
      </c>
      <c r="H48" s="115" t="s">
        <v>74</v>
      </c>
    </row>
    <row r="49" spans="1:8" ht="60" x14ac:dyDescent="0.25">
      <c r="A49" s="115">
        <v>8683</v>
      </c>
      <c r="B49" s="115" t="s">
        <v>128</v>
      </c>
      <c r="C49" s="115" t="s">
        <v>137</v>
      </c>
      <c r="D49" s="115">
        <v>1</v>
      </c>
      <c r="E49" s="115" t="s">
        <v>138</v>
      </c>
      <c r="F49" s="115" t="s">
        <v>139</v>
      </c>
      <c r="G49" s="115" t="s">
        <v>140</v>
      </c>
    </row>
    <row r="50" spans="1:8" ht="30" x14ac:dyDescent="0.25">
      <c r="A50" s="115">
        <v>8670</v>
      </c>
      <c r="B50" s="115" t="s">
        <v>141</v>
      </c>
      <c r="C50" s="115" t="s">
        <v>142</v>
      </c>
      <c r="D50" s="115">
        <v>0</v>
      </c>
      <c r="E50" s="115" t="s">
        <v>143</v>
      </c>
      <c r="F50" s="115" t="s">
        <v>144</v>
      </c>
      <c r="G50" s="115" t="s">
        <v>145</v>
      </c>
      <c r="H50" s="115" t="s">
        <v>146</v>
      </c>
    </row>
    <row r="51" spans="1:8" ht="30" x14ac:dyDescent="0.25">
      <c r="A51" s="115">
        <v>8555</v>
      </c>
      <c r="B51" s="115" t="s">
        <v>95</v>
      </c>
      <c r="C51" s="115" t="s">
        <v>147</v>
      </c>
      <c r="D51" s="115">
        <v>1</v>
      </c>
    </row>
    <row r="52" spans="1:8" x14ac:dyDescent="0.25">
      <c r="A52" s="115">
        <v>8554</v>
      </c>
      <c r="B52" s="115" t="s">
        <v>95</v>
      </c>
      <c r="C52" s="115" t="s">
        <v>148</v>
      </c>
      <c r="D52" s="115">
        <v>1</v>
      </c>
    </row>
    <row r="53" spans="1:8" x14ac:dyDescent="0.25">
      <c r="A53" s="115">
        <v>8547</v>
      </c>
      <c r="B53" s="115" t="s">
        <v>149</v>
      </c>
      <c r="C53" s="115" t="s">
        <v>150</v>
      </c>
      <c r="D53" s="115">
        <v>0</v>
      </c>
      <c r="E53" s="115" t="s">
        <v>151</v>
      </c>
      <c r="F53" s="115" t="s">
        <v>74</v>
      </c>
      <c r="G53" s="115" t="s">
        <v>74</v>
      </c>
      <c r="H53" s="115" t="s">
        <v>74</v>
      </c>
    </row>
    <row r="54" spans="1:8" x14ac:dyDescent="0.25">
      <c r="A54" s="115">
        <v>8546</v>
      </c>
      <c r="B54" s="115" t="s">
        <v>150</v>
      </c>
      <c r="C54" s="115" t="s">
        <v>152</v>
      </c>
      <c r="D54" s="115">
        <v>1</v>
      </c>
      <c r="E54" s="115" t="s">
        <v>153</v>
      </c>
      <c r="F54" s="115" t="s">
        <v>74</v>
      </c>
      <c r="G54" s="115" t="s">
        <v>74</v>
      </c>
      <c r="H54" s="115" t="s">
        <v>74</v>
      </c>
    </row>
    <row r="55" spans="1:8" x14ac:dyDescent="0.25">
      <c r="A55" s="115">
        <v>8545</v>
      </c>
      <c r="B55" s="115" t="s">
        <v>150</v>
      </c>
      <c r="C55" s="115" t="s">
        <v>154</v>
      </c>
      <c r="D55" s="115">
        <v>1</v>
      </c>
      <c r="E55" s="115" t="s">
        <v>155</v>
      </c>
      <c r="F55" s="115" t="s">
        <v>74</v>
      </c>
      <c r="G55" s="115" t="s">
        <v>74</v>
      </c>
      <c r="H55" s="115" t="s">
        <v>74</v>
      </c>
    </row>
    <row r="56" spans="1:8" x14ac:dyDescent="0.25">
      <c r="A56" s="115">
        <v>8544</v>
      </c>
      <c r="B56" s="115" t="s">
        <v>150</v>
      </c>
      <c r="C56" s="115" t="s">
        <v>156</v>
      </c>
      <c r="D56" s="115">
        <v>1</v>
      </c>
      <c r="E56" s="115" t="s">
        <v>157</v>
      </c>
      <c r="F56" s="115" t="s">
        <v>74</v>
      </c>
      <c r="G56" s="115" t="s">
        <v>74</v>
      </c>
      <c r="H56" s="115" t="s">
        <v>74</v>
      </c>
    </row>
    <row r="57" spans="1:8" x14ac:dyDescent="0.25">
      <c r="A57" s="115">
        <v>8543</v>
      </c>
      <c r="B57" s="115" t="s">
        <v>150</v>
      </c>
      <c r="C57" s="115" t="s">
        <v>158</v>
      </c>
      <c r="D57" s="115">
        <v>1</v>
      </c>
      <c r="E57" s="115" t="s">
        <v>159</v>
      </c>
      <c r="F57" s="115" t="s">
        <v>74</v>
      </c>
      <c r="G57" s="115" t="s">
        <v>74</v>
      </c>
      <c r="H57" s="115" t="s">
        <v>74</v>
      </c>
    </row>
    <row r="58" spans="1:8" x14ac:dyDescent="0.25">
      <c r="A58" s="115">
        <v>8542</v>
      </c>
      <c r="B58" s="115" t="s">
        <v>150</v>
      </c>
      <c r="C58" s="115" t="s">
        <v>160</v>
      </c>
      <c r="D58" s="115">
        <v>1</v>
      </c>
      <c r="E58" s="115" t="s">
        <v>161</v>
      </c>
      <c r="F58" s="115" t="s">
        <v>74</v>
      </c>
      <c r="G58" s="115" t="s">
        <v>74</v>
      </c>
      <c r="H58" s="115" t="s">
        <v>74</v>
      </c>
    </row>
    <row r="59" spans="1:8" x14ac:dyDescent="0.25">
      <c r="A59" s="115">
        <v>8541</v>
      </c>
      <c r="B59" s="115" t="s">
        <v>150</v>
      </c>
      <c r="C59" s="115" t="s">
        <v>162</v>
      </c>
      <c r="D59" s="115">
        <v>1</v>
      </c>
      <c r="E59" s="115" t="s">
        <v>163</v>
      </c>
      <c r="F59" s="115" t="s">
        <v>74</v>
      </c>
      <c r="G59" s="115" t="s">
        <v>74</v>
      </c>
      <c r="H59" s="115" t="s">
        <v>74</v>
      </c>
    </row>
    <row r="60" spans="1:8" x14ac:dyDescent="0.25">
      <c r="A60" s="115">
        <v>8540</v>
      </c>
      <c r="B60" s="115" t="s">
        <v>150</v>
      </c>
      <c r="C60" s="115" t="s">
        <v>164</v>
      </c>
      <c r="D60" s="115">
        <v>1</v>
      </c>
      <c r="E60" s="115" t="s">
        <v>165</v>
      </c>
      <c r="F60" s="115" t="s">
        <v>74</v>
      </c>
      <c r="G60" s="115" t="s">
        <v>74</v>
      </c>
      <c r="H60" s="115" t="s">
        <v>74</v>
      </c>
    </row>
    <row r="61" spans="1:8" x14ac:dyDescent="0.25">
      <c r="A61" s="115">
        <v>8539</v>
      </c>
      <c r="B61" s="115" t="s">
        <v>150</v>
      </c>
      <c r="C61" s="115" t="s">
        <v>166</v>
      </c>
      <c r="D61" s="115">
        <v>1</v>
      </c>
      <c r="E61" s="115" t="s">
        <v>167</v>
      </c>
      <c r="F61" s="115" t="s">
        <v>74</v>
      </c>
      <c r="G61" s="115" t="s">
        <v>74</v>
      </c>
      <c r="H61" s="115" t="s">
        <v>74</v>
      </c>
    </row>
    <row r="62" spans="1:8" x14ac:dyDescent="0.25">
      <c r="A62" s="115">
        <v>8538</v>
      </c>
      <c r="B62" s="115" t="s">
        <v>150</v>
      </c>
      <c r="C62" s="115" t="s">
        <v>168</v>
      </c>
      <c r="D62" s="115">
        <v>1</v>
      </c>
      <c r="E62" s="115" t="s">
        <v>169</v>
      </c>
      <c r="F62" s="115" t="s">
        <v>74</v>
      </c>
      <c r="G62" s="115" t="s">
        <v>74</v>
      </c>
      <c r="H62" s="115" t="s">
        <v>74</v>
      </c>
    </row>
    <row r="63" spans="1:8" x14ac:dyDescent="0.25">
      <c r="A63" s="115">
        <v>8537</v>
      </c>
      <c r="B63" s="115" t="s">
        <v>150</v>
      </c>
      <c r="C63" s="115" t="s">
        <v>170</v>
      </c>
      <c r="D63" s="115">
        <v>1</v>
      </c>
      <c r="E63" s="115" t="s">
        <v>171</v>
      </c>
      <c r="F63" s="115" t="s">
        <v>74</v>
      </c>
      <c r="G63" s="115" t="s">
        <v>74</v>
      </c>
      <c r="H63" s="115" t="s">
        <v>74</v>
      </c>
    </row>
    <row r="64" spans="1:8" x14ac:dyDescent="0.25">
      <c r="A64" s="115">
        <v>8536</v>
      </c>
      <c r="B64" s="115" t="s">
        <v>150</v>
      </c>
      <c r="C64" s="115" t="s">
        <v>172</v>
      </c>
      <c r="D64" s="115">
        <v>1</v>
      </c>
      <c r="E64" s="115" t="s">
        <v>173</v>
      </c>
      <c r="F64" s="115" t="s">
        <v>74</v>
      </c>
      <c r="G64" s="115" t="s">
        <v>74</v>
      </c>
      <c r="H64" s="115" t="s">
        <v>74</v>
      </c>
    </row>
    <row r="65" spans="1:8" x14ac:dyDescent="0.25">
      <c r="A65" s="115">
        <v>8535</v>
      </c>
      <c r="B65" s="115" t="s">
        <v>150</v>
      </c>
      <c r="C65" s="115" t="s">
        <v>174</v>
      </c>
      <c r="D65" s="115">
        <v>1</v>
      </c>
      <c r="E65" s="115" t="s">
        <v>175</v>
      </c>
      <c r="F65" s="115" t="s">
        <v>74</v>
      </c>
      <c r="G65" s="115" t="s">
        <v>74</v>
      </c>
      <c r="H65" s="115" t="s">
        <v>74</v>
      </c>
    </row>
    <row r="66" spans="1:8" x14ac:dyDescent="0.25">
      <c r="A66" s="115">
        <v>8534</v>
      </c>
      <c r="B66" s="115" t="s">
        <v>150</v>
      </c>
      <c r="C66" s="115" t="s">
        <v>176</v>
      </c>
      <c r="D66" s="115">
        <v>1</v>
      </c>
      <c r="E66" s="115" t="s">
        <v>177</v>
      </c>
      <c r="F66" s="115" t="s">
        <v>74</v>
      </c>
      <c r="G66" s="115" t="s">
        <v>74</v>
      </c>
      <c r="H66" s="115" t="s">
        <v>74</v>
      </c>
    </row>
    <row r="67" spans="1:8" x14ac:dyDescent="0.25">
      <c r="A67" s="115">
        <v>8533</v>
      </c>
      <c r="B67" s="115" t="s">
        <v>150</v>
      </c>
      <c r="C67" s="115" t="s">
        <v>178</v>
      </c>
      <c r="D67" s="115">
        <v>1</v>
      </c>
      <c r="E67" s="115" t="s">
        <v>179</v>
      </c>
      <c r="F67" s="115" t="s">
        <v>74</v>
      </c>
      <c r="G67" s="115" t="s">
        <v>74</v>
      </c>
      <c r="H67" s="115" t="s">
        <v>74</v>
      </c>
    </row>
    <row r="68" spans="1:8" x14ac:dyDescent="0.25">
      <c r="A68" s="115">
        <v>8532</v>
      </c>
      <c r="B68" s="115" t="s">
        <v>150</v>
      </c>
      <c r="C68" s="115" t="s">
        <v>180</v>
      </c>
      <c r="D68" s="115">
        <v>1</v>
      </c>
      <c r="E68" s="115" t="s">
        <v>181</v>
      </c>
      <c r="F68" s="115" t="s">
        <v>74</v>
      </c>
      <c r="G68" s="115" t="s">
        <v>74</v>
      </c>
      <c r="H68" s="115" t="s">
        <v>74</v>
      </c>
    </row>
    <row r="69" spans="1:8" x14ac:dyDescent="0.25">
      <c r="A69" s="115">
        <v>8531</v>
      </c>
      <c r="B69" s="115" t="s">
        <v>150</v>
      </c>
      <c r="C69" s="115" t="s">
        <v>182</v>
      </c>
      <c r="D69" s="115">
        <v>1</v>
      </c>
      <c r="E69" s="115" t="s">
        <v>183</v>
      </c>
      <c r="F69" s="115" t="s">
        <v>74</v>
      </c>
      <c r="G69" s="115" t="s">
        <v>74</v>
      </c>
      <c r="H69" s="115" t="s">
        <v>74</v>
      </c>
    </row>
    <row r="70" spans="1:8" x14ac:dyDescent="0.25">
      <c r="A70" s="115">
        <v>8530</v>
      </c>
      <c r="B70" s="115" t="s">
        <v>150</v>
      </c>
      <c r="C70" s="115" t="s">
        <v>184</v>
      </c>
      <c r="D70" s="115">
        <v>1</v>
      </c>
      <c r="E70" s="115" t="s">
        <v>185</v>
      </c>
      <c r="F70" s="115" t="s">
        <v>74</v>
      </c>
      <c r="G70" s="115" t="s">
        <v>74</v>
      </c>
      <c r="H70" s="115" t="s">
        <v>74</v>
      </c>
    </row>
    <row r="71" spans="1:8" x14ac:dyDescent="0.25">
      <c r="A71" s="115">
        <v>8529</v>
      </c>
      <c r="B71" s="115" t="s">
        <v>150</v>
      </c>
      <c r="C71" s="115" t="s">
        <v>186</v>
      </c>
      <c r="D71" s="115">
        <v>1</v>
      </c>
      <c r="E71" s="115" t="s">
        <v>187</v>
      </c>
      <c r="F71" s="115" t="s">
        <v>74</v>
      </c>
      <c r="G71" s="115" t="s">
        <v>74</v>
      </c>
      <c r="H71" s="115" t="s">
        <v>74</v>
      </c>
    </row>
    <row r="72" spans="1:8" x14ac:dyDescent="0.25">
      <c r="A72" s="115">
        <v>8528</v>
      </c>
      <c r="B72" s="115" t="s">
        <v>150</v>
      </c>
      <c r="C72" s="115" t="s">
        <v>188</v>
      </c>
      <c r="D72" s="115">
        <v>1</v>
      </c>
      <c r="E72" s="115" t="s">
        <v>151</v>
      </c>
      <c r="F72" s="115" t="s">
        <v>74</v>
      </c>
      <c r="G72" s="115" t="s">
        <v>74</v>
      </c>
      <c r="H72" s="115" t="s">
        <v>74</v>
      </c>
    </row>
    <row r="73" spans="1:8" ht="30" x14ac:dyDescent="0.25">
      <c r="A73" s="115">
        <v>8527</v>
      </c>
      <c r="B73" s="115" t="s">
        <v>71</v>
      </c>
      <c r="C73" s="115" t="s">
        <v>189</v>
      </c>
      <c r="D73" s="115">
        <v>1</v>
      </c>
      <c r="E73" s="115" t="s">
        <v>190</v>
      </c>
      <c r="F73" s="115" t="s">
        <v>74</v>
      </c>
      <c r="G73" s="115" t="s">
        <v>74</v>
      </c>
      <c r="H73" s="115" t="s">
        <v>74</v>
      </c>
    </row>
    <row r="74" spans="1:8" ht="30" x14ac:dyDescent="0.25">
      <c r="A74" s="115">
        <v>8493</v>
      </c>
      <c r="B74" s="115" t="s">
        <v>45</v>
      </c>
      <c r="C74" s="115" t="s">
        <v>191</v>
      </c>
      <c r="D74" s="115">
        <v>1</v>
      </c>
      <c r="E74" s="115" t="s">
        <v>192</v>
      </c>
      <c r="F74" s="115" t="s">
        <v>74</v>
      </c>
      <c r="G74" s="115" t="s">
        <v>74</v>
      </c>
      <c r="H74" s="115" t="s">
        <v>74</v>
      </c>
    </row>
    <row r="75" spans="1:8" ht="30" x14ac:dyDescent="0.25">
      <c r="A75" s="115">
        <v>8492</v>
      </c>
      <c r="B75" s="115" t="s">
        <v>45</v>
      </c>
      <c r="C75" s="115" t="s">
        <v>193</v>
      </c>
      <c r="D75" s="115">
        <v>1</v>
      </c>
      <c r="E75" s="115" t="s">
        <v>194</v>
      </c>
      <c r="F75" s="115" t="s">
        <v>74</v>
      </c>
      <c r="G75" s="115" t="s">
        <v>74</v>
      </c>
      <c r="H75" s="115" t="s">
        <v>74</v>
      </c>
    </row>
    <row r="76" spans="1:8" x14ac:dyDescent="0.25">
      <c r="A76" s="115">
        <v>8443</v>
      </c>
      <c r="B76" s="115" t="s">
        <v>141</v>
      </c>
      <c r="C76" s="115" t="s">
        <v>195</v>
      </c>
      <c r="D76" s="115">
        <v>0</v>
      </c>
      <c r="E76" s="115" t="s">
        <v>196</v>
      </c>
      <c r="F76" s="115" t="s">
        <v>197</v>
      </c>
      <c r="G76" s="115" t="s">
        <v>198</v>
      </c>
      <c r="H76" s="115" t="s">
        <v>199</v>
      </c>
    </row>
    <row r="77" spans="1:8" x14ac:dyDescent="0.25">
      <c r="A77" s="115">
        <v>8442</v>
      </c>
      <c r="B77" s="115" t="s">
        <v>141</v>
      </c>
      <c r="C77" s="115" t="s">
        <v>200</v>
      </c>
      <c r="D77" s="115">
        <v>0</v>
      </c>
      <c r="E77" s="115" t="s">
        <v>201</v>
      </c>
      <c r="F77" s="115" t="s">
        <v>202</v>
      </c>
      <c r="G77" s="115" t="s">
        <v>203</v>
      </c>
      <c r="H77" s="115" t="s">
        <v>204</v>
      </c>
    </row>
    <row r="78" spans="1:8" x14ac:dyDescent="0.25">
      <c r="A78" s="115">
        <v>8114</v>
      </c>
      <c r="B78" s="115" t="s">
        <v>149</v>
      </c>
      <c r="C78" s="115" t="s">
        <v>205</v>
      </c>
      <c r="D78" s="115">
        <v>0</v>
      </c>
      <c r="E78" s="115" t="s">
        <v>206</v>
      </c>
      <c r="F78" s="115" t="s">
        <v>207</v>
      </c>
      <c r="G78" s="115" t="s">
        <v>208</v>
      </c>
      <c r="H78" s="115" t="s">
        <v>209</v>
      </c>
    </row>
    <row r="79" spans="1:8" x14ac:dyDescent="0.25">
      <c r="A79" s="115">
        <v>8113</v>
      </c>
      <c r="B79" s="115" t="s">
        <v>149</v>
      </c>
      <c r="C79" s="115" t="s">
        <v>210</v>
      </c>
      <c r="D79" s="115">
        <v>0</v>
      </c>
      <c r="E79" s="115" t="s">
        <v>211</v>
      </c>
      <c r="F79" s="115" t="s">
        <v>211</v>
      </c>
      <c r="G79" s="115" t="s">
        <v>211</v>
      </c>
      <c r="H79" s="115" t="s">
        <v>211</v>
      </c>
    </row>
    <row r="80" spans="1:8" ht="45" x14ac:dyDescent="0.25">
      <c r="A80" s="115">
        <v>8112</v>
      </c>
      <c r="B80" s="115" t="s">
        <v>45</v>
      </c>
      <c r="C80" s="115" t="s">
        <v>212</v>
      </c>
      <c r="D80" s="115">
        <v>1</v>
      </c>
      <c r="E80" s="115" t="s">
        <v>213</v>
      </c>
      <c r="F80" s="115" t="s">
        <v>214</v>
      </c>
      <c r="G80" s="115" t="s">
        <v>215</v>
      </c>
    </row>
    <row r="81" spans="1:8" x14ac:dyDescent="0.25">
      <c r="A81" s="115">
        <v>8111</v>
      </c>
      <c r="B81" s="115" t="s">
        <v>45</v>
      </c>
      <c r="C81" s="115" t="s">
        <v>216</v>
      </c>
      <c r="D81" s="115">
        <v>1</v>
      </c>
      <c r="E81" s="115" t="s">
        <v>217</v>
      </c>
      <c r="F81" s="115" t="s">
        <v>218</v>
      </c>
      <c r="G81" s="115" t="s">
        <v>219</v>
      </c>
      <c r="H81" s="115" t="s">
        <v>220</v>
      </c>
    </row>
    <row r="82" spans="1:8" x14ac:dyDescent="0.25">
      <c r="A82" s="115">
        <v>8110</v>
      </c>
      <c r="B82" s="115" t="s">
        <v>45</v>
      </c>
      <c r="C82" s="115" t="s">
        <v>221</v>
      </c>
      <c r="D82" s="115">
        <v>1</v>
      </c>
      <c r="E82" s="115" t="s">
        <v>222</v>
      </c>
      <c r="F82" s="115" t="s">
        <v>223</v>
      </c>
      <c r="G82" s="115" t="s">
        <v>224</v>
      </c>
      <c r="H82" s="115" t="s">
        <v>225</v>
      </c>
    </row>
    <row r="83" spans="1:8" ht="30" x14ac:dyDescent="0.25">
      <c r="A83" s="115">
        <v>8109</v>
      </c>
      <c r="B83" s="115" t="s">
        <v>45</v>
      </c>
      <c r="C83" s="115" t="s">
        <v>226</v>
      </c>
      <c r="D83" s="115">
        <v>1</v>
      </c>
      <c r="E83" s="115" t="s">
        <v>227</v>
      </c>
      <c r="F83" s="115" t="s">
        <v>228</v>
      </c>
      <c r="G83" s="115" t="s">
        <v>229</v>
      </c>
      <c r="H83" s="115" t="s">
        <v>230</v>
      </c>
    </row>
    <row r="84" spans="1:8" ht="330" x14ac:dyDescent="0.25">
      <c r="A84" s="115">
        <v>8108</v>
      </c>
      <c r="B84" s="115" t="s">
        <v>45</v>
      </c>
      <c r="C84" s="115" t="s">
        <v>231</v>
      </c>
      <c r="D84" s="115">
        <v>1</v>
      </c>
      <c r="E84" s="115" t="s">
        <v>232</v>
      </c>
      <c r="F84" s="115" t="s">
        <v>233</v>
      </c>
      <c r="G84" s="115" t="s">
        <v>234</v>
      </c>
    </row>
    <row r="85" spans="1:8" ht="150" x14ac:dyDescent="0.25">
      <c r="A85" s="115">
        <v>8107</v>
      </c>
      <c r="B85" s="115" t="s">
        <v>235</v>
      </c>
      <c r="C85" s="115" t="s">
        <v>236</v>
      </c>
      <c r="D85" s="115">
        <v>1</v>
      </c>
      <c r="E85" s="115" t="s">
        <v>237</v>
      </c>
      <c r="F85" s="115" t="s">
        <v>238</v>
      </c>
      <c r="G85" s="115" t="s">
        <v>239</v>
      </c>
      <c r="H85" s="115" t="s">
        <v>240</v>
      </c>
    </row>
    <row r="86" spans="1:8" ht="45" x14ac:dyDescent="0.25">
      <c r="A86" s="115">
        <v>8106</v>
      </c>
      <c r="B86" s="115" t="s">
        <v>128</v>
      </c>
      <c r="C86" s="115" t="s">
        <v>241</v>
      </c>
      <c r="D86" s="115">
        <v>1</v>
      </c>
      <c r="E86" s="115" t="s">
        <v>242</v>
      </c>
      <c r="F86" s="115" t="s">
        <v>74</v>
      </c>
      <c r="G86" s="115" t="s">
        <v>74</v>
      </c>
      <c r="H86" s="115" t="s">
        <v>74</v>
      </c>
    </row>
    <row r="87" spans="1:8" ht="45" x14ac:dyDescent="0.25">
      <c r="A87" s="115">
        <v>8105</v>
      </c>
      <c r="B87" s="115" t="s">
        <v>45</v>
      </c>
      <c r="C87" s="115" t="s">
        <v>243</v>
      </c>
      <c r="D87" s="115">
        <v>1</v>
      </c>
      <c r="E87" s="115" t="s">
        <v>244</v>
      </c>
      <c r="F87" s="115" t="s">
        <v>245</v>
      </c>
      <c r="G87" s="115" t="s">
        <v>246</v>
      </c>
      <c r="H87" s="115" t="s">
        <v>244</v>
      </c>
    </row>
    <row r="88" spans="1:8" x14ac:dyDescent="0.25">
      <c r="A88" s="115">
        <v>8104</v>
      </c>
      <c r="B88" s="115" t="s">
        <v>128</v>
      </c>
      <c r="C88" s="115" t="s">
        <v>247</v>
      </c>
      <c r="D88" s="115">
        <v>1</v>
      </c>
      <c r="F88" s="115" t="s">
        <v>74</v>
      </c>
      <c r="G88" s="115" t="s">
        <v>74</v>
      </c>
      <c r="H88" s="115" t="s">
        <v>74</v>
      </c>
    </row>
    <row r="89" spans="1:8" x14ac:dyDescent="0.25">
      <c r="A89" s="115">
        <v>8103</v>
      </c>
      <c r="B89" s="115" t="s">
        <v>128</v>
      </c>
      <c r="C89" s="115" t="s">
        <v>248</v>
      </c>
      <c r="D89" s="115">
        <v>1</v>
      </c>
      <c r="F89" s="115" t="s">
        <v>74</v>
      </c>
      <c r="G89" s="115" t="s">
        <v>74</v>
      </c>
      <c r="H89" s="115" t="s">
        <v>74</v>
      </c>
    </row>
    <row r="90" spans="1:8" x14ac:dyDescent="0.25">
      <c r="A90" s="115">
        <v>8102</v>
      </c>
      <c r="B90" s="115" t="s">
        <v>128</v>
      </c>
      <c r="C90" s="115" t="s">
        <v>249</v>
      </c>
      <c r="D90" s="115">
        <v>1</v>
      </c>
      <c r="F90" s="115" t="s">
        <v>74</v>
      </c>
      <c r="G90" s="115" t="s">
        <v>74</v>
      </c>
      <c r="H90" s="115" t="s">
        <v>74</v>
      </c>
    </row>
    <row r="91" spans="1:8" x14ac:dyDescent="0.25">
      <c r="A91" s="115">
        <v>8101</v>
      </c>
      <c r="B91" s="115" t="s">
        <v>128</v>
      </c>
      <c r="C91" s="115" t="s">
        <v>250</v>
      </c>
      <c r="D91" s="115">
        <v>1</v>
      </c>
      <c r="F91" s="115" t="s">
        <v>74</v>
      </c>
      <c r="G91" s="115" t="s">
        <v>74</v>
      </c>
      <c r="H91" s="115" t="s">
        <v>74</v>
      </c>
    </row>
    <row r="92" spans="1:8" x14ac:dyDescent="0.25">
      <c r="A92" s="115">
        <v>8100</v>
      </c>
      <c r="B92" s="115" t="s">
        <v>128</v>
      </c>
      <c r="C92" s="115" t="s">
        <v>251</v>
      </c>
      <c r="D92" s="115">
        <v>1</v>
      </c>
      <c r="F92" s="115" t="s">
        <v>74</v>
      </c>
      <c r="G92" s="115" t="s">
        <v>74</v>
      </c>
      <c r="H92" s="115" t="s">
        <v>74</v>
      </c>
    </row>
    <row r="93" spans="1:8" x14ac:dyDescent="0.25">
      <c r="A93" s="115">
        <v>8099</v>
      </c>
      <c r="B93" s="115" t="s">
        <v>128</v>
      </c>
      <c r="C93" s="115" t="s">
        <v>252</v>
      </c>
      <c r="D93" s="115">
        <v>1</v>
      </c>
      <c r="F93" s="115" t="s">
        <v>74</v>
      </c>
      <c r="G93" s="115" t="s">
        <v>74</v>
      </c>
      <c r="H93" s="115" t="s">
        <v>74</v>
      </c>
    </row>
    <row r="94" spans="1:8" x14ac:dyDescent="0.25">
      <c r="A94" s="115">
        <v>8098</v>
      </c>
      <c r="B94" s="115" t="s">
        <v>128</v>
      </c>
      <c r="C94" s="115" t="s">
        <v>253</v>
      </c>
      <c r="D94" s="115">
        <v>1</v>
      </c>
      <c r="F94" s="115" t="s">
        <v>74</v>
      </c>
      <c r="G94" s="115" t="s">
        <v>74</v>
      </c>
      <c r="H94" s="115" t="s">
        <v>74</v>
      </c>
    </row>
    <row r="95" spans="1:8" x14ac:dyDescent="0.25">
      <c r="A95" s="115">
        <v>8097</v>
      </c>
      <c r="B95" s="115" t="s">
        <v>128</v>
      </c>
      <c r="C95" s="115" t="s">
        <v>254</v>
      </c>
      <c r="D95" s="115">
        <v>1</v>
      </c>
      <c r="F95" s="115" t="s">
        <v>74</v>
      </c>
      <c r="G95" s="115" t="s">
        <v>74</v>
      </c>
      <c r="H95" s="115" t="s">
        <v>74</v>
      </c>
    </row>
    <row r="96" spans="1:8" x14ac:dyDescent="0.25">
      <c r="A96" s="115">
        <v>8096</v>
      </c>
      <c r="B96" s="115" t="s">
        <v>128</v>
      </c>
      <c r="C96" s="115" t="s">
        <v>255</v>
      </c>
      <c r="D96" s="115">
        <v>1</v>
      </c>
      <c r="F96" s="115" t="s">
        <v>74</v>
      </c>
      <c r="G96" s="115" t="s">
        <v>74</v>
      </c>
      <c r="H96" s="115" t="s">
        <v>74</v>
      </c>
    </row>
    <row r="97" spans="1:8" ht="60" x14ac:dyDescent="0.25">
      <c r="A97" s="115">
        <v>8095</v>
      </c>
      <c r="B97" s="115" t="s">
        <v>128</v>
      </c>
      <c r="C97" s="115" t="s">
        <v>256</v>
      </c>
      <c r="D97" s="115">
        <v>1</v>
      </c>
      <c r="E97" s="115" t="s">
        <v>138</v>
      </c>
      <c r="F97" s="115" t="s">
        <v>139</v>
      </c>
      <c r="G97" s="115" t="s">
        <v>140</v>
      </c>
    </row>
    <row r="98" spans="1:8" x14ac:dyDescent="0.25">
      <c r="A98" s="115">
        <v>8094</v>
      </c>
      <c r="B98" s="115" t="s">
        <v>257</v>
      </c>
      <c r="C98" s="115" t="s">
        <v>258</v>
      </c>
      <c r="D98" s="115">
        <v>1</v>
      </c>
      <c r="E98" s="115" t="s">
        <v>259</v>
      </c>
      <c r="F98" s="115" t="s">
        <v>74</v>
      </c>
      <c r="G98" s="115" t="s">
        <v>74</v>
      </c>
      <c r="H98" s="115" t="s">
        <v>74</v>
      </c>
    </row>
    <row r="99" spans="1:8" x14ac:dyDescent="0.25">
      <c r="A99" s="115">
        <v>8093</v>
      </c>
      <c r="B99" s="115" t="s">
        <v>257</v>
      </c>
      <c r="C99" s="115" t="s">
        <v>260</v>
      </c>
      <c r="D99" s="115">
        <v>1</v>
      </c>
      <c r="E99" s="115" t="s">
        <v>261</v>
      </c>
      <c r="F99" s="115" t="s">
        <v>74</v>
      </c>
      <c r="G99" s="115" t="s">
        <v>74</v>
      </c>
      <c r="H99" s="115" t="s">
        <v>74</v>
      </c>
    </row>
    <row r="100" spans="1:8" x14ac:dyDescent="0.25">
      <c r="A100" s="115">
        <v>8092</v>
      </c>
      <c r="B100" s="115" t="s">
        <v>45</v>
      </c>
      <c r="C100" s="115" t="s">
        <v>262</v>
      </c>
      <c r="D100" s="115">
        <v>1</v>
      </c>
      <c r="E100" s="115" t="s">
        <v>263</v>
      </c>
      <c r="F100" s="115" t="s">
        <v>74</v>
      </c>
      <c r="G100" s="115" t="s">
        <v>264</v>
      </c>
      <c r="H100" s="115" t="s">
        <v>74</v>
      </c>
    </row>
    <row r="101" spans="1:8" x14ac:dyDescent="0.25">
      <c r="A101" s="115">
        <v>8091</v>
      </c>
      <c r="B101" s="115" t="s">
        <v>45</v>
      </c>
      <c r="C101" s="115" t="s">
        <v>265</v>
      </c>
      <c r="D101" s="115">
        <v>1</v>
      </c>
      <c r="E101" s="115" t="s">
        <v>266</v>
      </c>
      <c r="F101" s="115" t="s">
        <v>74</v>
      </c>
      <c r="G101" s="115" t="s">
        <v>74</v>
      </c>
      <c r="H101" s="115" t="s">
        <v>74</v>
      </c>
    </row>
    <row r="102" spans="1:8" x14ac:dyDescent="0.25">
      <c r="A102" s="115">
        <v>8071</v>
      </c>
      <c r="B102" s="115" t="s">
        <v>149</v>
      </c>
      <c r="C102" s="115" t="s">
        <v>267</v>
      </c>
      <c r="D102" s="115">
        <v>0</v>
      </c>
      <c r="E102" s="115" t="s">
        <v>268</v>
      </c>
      <c r="F102" s="115" t="s">
        <v>268</v>
      </c>
      <c r="G102" s="115" t="s">
        <v>268</v>
      </c>
      <c r="H102" s="115" t="s">
        <v>268</v>
      </c>
    </row>
    <row r="103" spans="1:8" x14ac:dyDescent="0.25">
      <c r="A103" s="115">
        <v>8067</v>
      </c>
      <c r="B103" s="115" t="s">
        <v>149</v>
      </c>
      <c r="C103" s="115" t="s">
        <v>269</v>
      </c>
      <c r="D103" s="115">
        <v>0</v>
      </c>
      <c r="E103" s="115" t="s">
        <v>270</v>
      </c>
      <c r="F103" s="115" t="s">
        <v>271</v>
      </c>
      <c r="G103" s="115" t="s">
        <v>272</v>
      </c>
      <c r="H103" s="115" t="s">
        <v>273</v>
      </c>
    </row>
    <row r="104" spans="1:8" x14ac:dyDescent="0.25">
      <c r="A104" s="115">
        <v>8066</v>
      </c>
      <c r="B104" s="115" t="s">
        <v>149</v>
      </c>
      <c r="C104" s="115" t="s">
        <v>274</v>
      </c>
      <c r="D104" s="115">
        <v>0</v>
      </c>
      <c r="E104" s="115" t="s">
        <v>275</v>
      </c>
      <c r="F104" s="115" t="s">
        <v>275</v>
      </c>
      <c r="G104" s="115" t="s">
        <v>275</v>
      </c>
      <c r="H104" s="115" t="s">
        <v>275</v>
      </c>
    </row>
    <row r="105" spans="1:8" x14ac:dyDescent="0.25">
      <c r="A105" s="115">
        <v>7984</v>
      </c>
      <c r="B105" s="115" t="s">
        <v>149</v>
      </c>
      <c r="C105" s="115" t="s">
        <v>276</v>
      </c>
      <c r="D105" s="115">
        <v>0</v>
      </c>
      <c r="E105" s="115" t="s">
        <v>277</v>
      </c>
      <c r="F105" s="115" t="s">
        <v>278</v>
      </c>
      <c r="G105" s="115" t="s">
        <v>279</v>
      </c>
      <c r="H105" s="115" t="s">
        <v>280</v>
      </c>
    </row>
    <row r="106" spans="1:8" x14ac:dyDescent="0.25">
      <c r="A106" s="115">
        <v>7983</v>
      </c>
      <c r="B106" s="115" t="s">
        <v>149</v>
      </c>
      <c r="C106" s="115" t="s">
        <v>281</v>
      </c>
      <c r="D106" s="115">
        <v>0</v>
      </c>
      <c r="E106" s="115" t="s">
        <v>270</v>
      </c>
      <c r="F106" s="115" t="s">
        <v>271</v>
      </c>
      <c r="G106" s="115" t="s">
        <v>272</v>
      </c>
      <c r="H106" s="115" t="s">
        <v>273</v>
      </c>
    </row>
    <row r="107" spans="1:8" x14ac:dyDescent="0.25">
      <c r="A107" s="115">
        <v>7982</v>
      </c>
      <c r="B107" s="115" t="s">
        <v>149</v>
      </c>
      <c r="C107" s="115" t="s">
        <v>282</v>
      </c>
      <c r="D107" s="115">
        <v>0</v>
      </c>
      <c r="E107" s="115" t="s">
        <v>283</v>
      </c>
      <c r="F107" s="115" t="s">
        <v>284</v>
      </c>
      <c r="G107" s="115" t="s">
        <v>285</v>
      </c>
      <c r="H107" s="115" t="s">
        <v>286</v>
      </c>
    </row>
    <row r="108" spans="1:8" x14ac:dyDescent="0.25">
      <c r="A108" s="115">
        <v>7981</v>
      </c>
      <c r="B108" s="115" t="s">
        <v>149</v>
      </c>
      <c r="C108" s="115" t="s">
        <v>287</v>
      </c>
      <c r="D108" s="115">
        <v>0</v>
      </c>
      <c r="E108" s="115" t="s">
        <v>288</v>
      </c>
      <c r="F108" s="115" t="s">
        <v>74</v>
      </c>
      <c r="G108" s="115" t="s">
        <v>74</v>
      </c>
      <c r="H108" s="115" t="s">
        <v>74</v>
      </c>
    </row>
    <row r="109" spans="1:8" ht="30" x14ac:dyDescent="0.25">
      <c r="A109" s="115">
        <v>7809</v>
      </c>
      <c r="B109" s="115" t="s">
        <v>149</v>
      </c>
      <c r="C109" s="115" t="s">
        <v>289</v>
      </c>
      <c r="D109" s="115">
        <v>0</v>
      </c>
      <c r="E109" s="115" t="s">
        <v>290</v>
      </c>
      <c r="F109" s="115" t="s">
        <v>291</v>
      </c>
      <c r="G109" s="115" t="s">
        <v>292</v>
      </c>
      <c r="H109" s="115" t="s">
        <v>293</v>
      </c>
    </row>
    <row r="110" spans="1:8" ht="30" x14ac:dyDescent="0.25">
      <c r="A110" s="115">
        <v>7788</v>
      </c>
      <c r="B110" s="115" t="s">
        <v>149</v>
      </c>
      <c r="C110" s="115" t="s">
        <v>294</v>
      </c>
      <c r="D110" s="115">
        <v>0</v>
      </c>
      <c r="E110" s="115" t="s">
        <v>295</v>
      </c>
      <c r="F110" s="115" t="s">
        <v>296</v>
      </c>
      <c r="G110" s="115" t="s">
        <v>297</v>
      </c>
      <c r="H110" s="115" t="s">
        <v>298</v>
      </c>
    </row>
    <row r="111" spans="1:8" ht="30" x14ac:dyDescent="0.25">
      <c r="A111" s="115">
        <v>7764</v>
      </c>
      <c r="B111" s="115" t="s">
        <v>149</v>
      </c>
      <c r="C111" s="115" t="s">
        <v>299</v>
      </c>
      <c r="D111" s="115">
        <v>0</v>
      </c>
      <c r="E111" s="115" t="s">
        <v>300</v>
      </c>
      <c r="F111" s="115" t="s">
        <v>301</v>
      </c>
      <c r="G111" s="115" t="s">
        <v>302</v>
      </c>
      <c r="H111" s="115" t="s">
        <v>303</v>
      </c>
    </row>
    <row r="112" spans="1:8" x14ac:dyDescent="0.25">
      <c r="A112" s="115">
        <v>7740</v>
      </c>
      <c r="B112" s="115" t="s">
        <v>45</v>
      </c>
      <c r="C112" s="115" t="s">
        <v>304</v>
      </c>
      <c r="D112" s="115">
        <v>1</v>
      </c>
      <c r="E112" s="115" t="s">
        <v>305</v>
      </c>
      <c r="F112" s="115" t="s">
        <v>74</v>
      </c>
      <c r="G112" s="115" t="s">
        <v>74</v>
      </c>
      <c r="H112" s="115" t="s">
        <v>74</v>
      </c>
    </row>
    <row r="113" spans="1:8" x14ac:dyDescent="0.25">
      <c r="A113" s="115">
        <v>7739</v>
      </c>
      <c r="B113" s="115" t="s">
        <v>45</v>
      </c>
      <c r="C113" s="115" t="s">
        <v>306</v>
      </c>
      <c r="D113" s="115">
        <v>1</v>
      </c>
      <c r="E113" s="115" t="s">
        <v>307</v>
      </c>
      <c r="F113" s="115" t="s">
        <v>74</v>
      </c>
      <c r="G113" s="115" t="s">
        <v>308</v>
      </c>
      <c r="H113" s="115" t="s">
        <v>74</v>
      </c>
    </row>
    <row r="114" spans="1:8" x14ac:dyDescent="0.25">
      <c r="A114" s="115">
        <v>7738</v>
      </c>
      <c r="B114" s="115" t="s">
        <v>235</v>
      </c>
      <c r="C114" s="115" t="s">
        <v>309</v>
      </c>
      <c r="D114" s="115">
        <v>1</v>
      </c>
      <c r="E114" s="115" t="s">
        <v>310</v>
      </c>
      <c r="F114" s="115" t="s">
        <v>311</v>
      </c>
      <c r="G114" s="115" t="s">
        <v>312</v>
      </c>
      <c r="H114" s="115" t="s">
        <v>74</v>
      </c>
    </row>
    <row r="115" spans="1:8" x14ac:dyDescent="0.25">
      <c r="A115" s="115">
        <v>7737</v>
      </c>
      <c r="B115" s="115" t="s">
        <v>313</v>
      </c>
      <c r="C115" s="115" t="s">
        <v>314</v>
      </c>
      <c r="D115" s="115">
        <v>1</v>
      </c>
      <c r="E115" s="115" t="s">
        <v>315</v>
      </c>
      <c r="F115" s="115" t="s">
        <v>316</v>
      </c>
      <c r="G115" s="115" t="s">
        <v>317</v>
      </c>
      <c r="H115" s="115" t="s">
        <v>318</v>
      </c>
    </row>
    <row r="116" spans="1:8" x14ac:dyDescent="0.25">
      <c r="A116" s="115">
        <v>7736</v>
      </c>
      <c r="B116" s="115" t="s">
        <v>45</v>
      </c>
      <c r="C116" s="115" t="s">
        <v>319</v>
      </c>
      <c r="D116" s="115">
        <v>1</v>
      </c>
      <c r="E116" s="115" t="s">
        <v>320</v>
      </c>
      <c r="F116" s="115" t="s">
        <v>321</v>
      </c>
      <c r="G116" s="115" t="s">
        <v>322</v>
      </c>
      <c r="H116" s="115" t="s">
        <v>323</v>
      </c>
    </row>
    <row r="117" spans="1:8" ht="30" x14ac:dyDescent="0.25">
      <c r="A117" s="115">
        <v>7735</v>
      </c>
      <c r="B117" s="115" t="s">
        <v>45</v>
      </c>
      <c r="C117" s="115" t="s">
        <v>324</v>
      </c>
      <c r="D117" s="115">
        <v>1</v>
      </c>
      <c r="E117" s="115" t="s">
        <v>325</v>
      </c>
      <c r="F117" s="115" t="s">
        <v>326</v>
      </c>
      <c r="G117" s="115" t="s">
        <v>327</v>
      </c>
      <c r="H117" s="115" t="s">
        <v>74</v>
      </c>
    </row>
    <row r="118" spans="1:8" ht="30" x14ac:dyDescent="0.25">
      <c r="A118" s="115">
        <v>7734</v>
      </c>
      <c r="B118" s="115" t="s">
        <v>313</v>
      </c>
      <c r="C118" s="115" t="s">
        <v>328</v>
      </c>
      <c r="D118" s="115">
        <v>1</v>
      </c>
      <c r="E118" s="115" t="s">
        <v>329</v>
      </c>
      <c r="F118" s="115" t="s">
        <v>330</v>
      </c>
      <c r="G118" s="115" t="s">
        <v>331</v>
      </c>
      <c r="H118" s="115" t="s">
        <v>332</v>
      </c>
    </row>
    <row r="119" spans="1:8" x14ac:dyDescent="0.25">
      <c r="A119" s="115">
        <v>7733</v>
      </c>
      <c r="B119" s="115" t="s">
        <v>313</v>
      </c>
      <c r="C119" s="115" t="s">
        <v>333</v>
      </c>
      <c r="D119" s="115">
        <v>1</v>
      </c>
      <c r="E119" s="115" t="s">
        <v>334</v>
      </c>
      <c r="F119" s="115" t="s">
        <v>335</v>
      </c>
      <c r="G119" s="115" t="s">
        <v>336</v>
      </c>
      <c r="H119" s="115" t="s">
        <v>337</v>
      </c>
    </row>
    <row r="120" spans="1:8" x14ac:dyDescent="0.25">
      <c r="A120" s="115">
        <v>7732</v>
      </c>
      <c r="B120" s="115" t="s">
        <v>313</v>
      </c>
      <c r="C120" s="115" t="s">
        <v>158</v>
      </c>
      <c r="D120" s="115">
        <v>1</v>
      </c>
      <c r="E120" s="115" t="s">
        <v>159</v>
      </c>
      <c r="F120" s="115" t="s">
        <v>338</v>
      </c>
      <c r="G120" s="115" t="s">
        <v>339</v>
      </c>
      <c r="H120" s="115" t="s">
        <v>340</v>
      </c>
    </row>
    <row r="121" spans="1:8" ht="30" x14ac:dyDescent="0.25">
      <c r="A121" s="115">
        <v>7731</v>
      </c>
      <c r="B121" s="115" t="s">
        <v>341</v>
      </c>
      <c r="C121" s="115" t="s">
        <v>180</v>
      </c>
      <c r="D121" s="115">
        <v>1</v>
      </c>
      <c r="E121" s="115" t="s">
        <v>342</v>
      </c>
      <c r="F121" s="115" t="s">
        <v>343</v>
      </c>
      <c r="G121" s="115" t="s">
        <v>344</v>
      </c>
      <c r="H121" s="115" t="s">
        <v>345</v>
      </c>
    </row>
    <row r="122" spans="1:8" ht="45" x14ac:dyDescent="0.25">
      <c r="A122" s="115">
        <v>7730</v>
      </c>
      <c r="B122" s="115" t="s">
        <v>341</v>
      </c>
      <c r="C122" s="115" t="s">
        <v>346</v>
      </c>
      <c r="D122" s="115">
        <v>1</v>
      </c>
      <c r="E122" s="115" t="s">
        <v>347</v>
      </c>
      <c r="F122" s="115" t="s">
        <v>348</v>
      </c>
      <c r="G122" s="115" t="s">
        <v>349</v>
      </c>
      <c r="H122" s="115" t="s">
        <v>350</v>
      </c>
    </row>
    <row r="123" spans="1:8" x14ac:dyDescent="0.25">
      <c r="A123" s="115">
        <v>7728</v>
      </c>
      <c r="B123" s="115" t="s">
        <v>257</v>
      </c>
      <c r="C123" s="115" t="s">
        <v>351</v>
      </c>
      <c r="D123" s="115">
        <v>1</v>
      </c>
      <c r="E123" s="115" t="s">
        <v>352</v>
      </c>
      <c r="F123" s="115" t="s">
        <v>74</v>
      </c>
      <c r="G123" s="115" t="s">
        <v>353</v>
      </c>
      <c r="H123" s="115" t="s">
        <v>74</v>
      </c>
    </row>
    <row r="124" spans="1:8" x14ac:dyDescent="0.25">
      <c r="A124" s="115">
        <v>7727</v>
      </c>
      <c r="B124" s="115" t="s">
        <v>257</v>
      </c>
      <c r="C124" s="115" t="s">
        <v>354</v>
      </c>
      <c r="D124" s="115">
        <v>1</v>
      </c>
      <c r="E124" s="115" t="s">
        <v>355</v>
      </c>
      <c r="F124" s="115" t="s">
        <v>356</v>
      </c>
      <c r="G124" s="115" t="s">
        <v>357</v>
      </c>
      <c r="H124" s="115" t="s">
        <v>358</v>
      </c>
    </row>
    <row r="125" spans="1:8" x14ac:dyDescent="0.25">
      <c r="A125" s="115">
        <v>7726</v>
      </c>
      <c r="B125" s="115" t="s">
        <v>45</v>
      </c>
      <c r="C125" s="115" t="s">
        <v>359</v>
      </c>
      <c r="D125" s="115">
        <v>1</v>
      </c>
      <c r="E125" s="115" t="s">
        <v>360</v>
      </c>
      <c r="F125" s="115" t="s">
        <v>361</v>
      </c>
      <c r="G125" s="115" t="s">
        <v>362</v>
      </c>
      <c r="H125" s="115" t="s">
        <v>363</v>
      </c>
    </row>
    <row r="126" spans="1:8" x14ac:dyDescent="0.25">
      <c r="A126" s="115">
        <v>7725</v>
      </c>
      <c r="B126" s="115" t="s">
        <v>235</v>
      </c>
      <c r="C126" s="115" t="s">
        <v>364</v>
      </c>
      <c r="D126" s="115">
        <v>1</v>
      </c>
      <c r="E126" s="115" t="s">
        <v>365</v>
      </c>
      <c r="F126" s="115" t="s">
        <v>366</v>
      </c>
      <c r="G126" s="115" t="s">
        <v>367</v>
      </c>
      <c r="H126" s="115" t="s">
        <v>368</v>
      </c>
    </row>
    <row r="127" spans="1:8" ht="75" x14ac:dyDescent="0.25">
      <c r="A127" s="115">
        <v>7724</v>
      </c>
      <c r="B127" s="115" t="s">
        <v>235</v>
      </c>
      <c r="C127" s="115" t="s">
        <v>369</v>
      </c>
      <c r="D127" s="115">
        <v>1</v>
      </c>
      <c r="E127" s="115" t="s">
        <v>370</v>
      </c>
      <c r="F127" s="115" t="s">
        <v>371</v>
      </c>
      <c r="G127" s="115" t="s">
        <v>372</v>
      </c>
      <c r="H127" s="115" t="s">
        <v>373</v>
      </c>
    </row>
    <row r="128" spans="1:8" ht="75" x14ac:dyDescent="0.25">
      <c r="A128" s="115">
        <v>7723</v>
      </c>
      <c r="B128" s="115" t="s">
        <v>235</v>
      </c>
      <c r="C128" s="115" t="s">
        <v>374</v>
      </c>
      <c r="D128" s="115">
        <v>1</v>
      </c>
      <c r="E128" s="115" t="s">
        <v>375</v>
      </c>
      <c r="F128" s="115" t="s">
        <v>371</v>
      </c>
      <c r="G128" s="115" t="s">
        <v>372</v>
      </c>
      <c r="H128" s="115" t="s">
        <v>373</v>
      </c>
    </row>
    <row r="129" spans="1:8" x14ac:dyDescent="0.25">
      <c r="A129" s="115">
        <v>7722</v>
      </c>
      <c r="B129" s="115" t="s">
        <v>235</v>
      </c>
      <c r="C129" s="115" t="s">
        <v>376</v>
      </c>
      <c r="D129" s="115">
        <v>1</v>
      </c>
      <c r="E129" s="115" t="s">
        <v>365</v>
      </c>
      <c r="F129" s="115" t="s">
        <v>366</v>
      </c>
      <c r="G129" s="115" t="s">
        <v>367</v>
      </c>
      <c r="H129" s="115" t="s">
        <v>368</v>
      </c>
    </row>
    <row r="130" spans="1:8" x14ac:dyDescent="0.25">
      <c r="A130" s="115">
        <v>7721</v>
      </c>
      <c r="B130" s="115" t="s">
        <v>377</v>
      </c>
      <c r="C130" s="115" t="s">
        <v>378</v>
      </c>
      <c r="D130" s="115">
        <v>0</v>
      </c>
      <c r="E130" s="115" t="s">
        <v>379</v>
      </c>
      <c r="F130" s="115" t="s">
        <v>74</v>
      </c>
      <c r="G130" s="115" t="s">
        <v>74</v>
      </c>
      <c r="H130" s="115" t="s">
        <v>74</v>
      </c>
    </row>
    <row r="131" spans="1:8" x14ac:dyDescent="0.25">
      <c r="A131" s="115">
        <v>7720</v>
      </c>
      <c r="B131" s="115" t="s">
        <v>377</v>
      </c>
      <c r="C131" s="115" t="s">
        <v>380</v>
      </c>
      <c r="D131" s="115">
        <v>0</v>
      </c>
      <c r="E131" s="115" t="s">
        <v>381</v>
      </c>
      <c r="F131" s="115" t="s">
        <v>382</v>
      </c>
      <c r="G131" s="115" t="s">
        <v>381</v>
      </c>
      <c r="H131" s="115" t="s">
        <v>383</v>
      </c>
    </row>
    <row r="132" spans="1:8" x14ac:dyDescent="0.25">
      <c r="A132" s="115">
        <v>7719</v>
      </c>
      <c r="B132" s="115" t="s">
        <v>377</v>
      </c>
      <c r="C132" s="115" t="s">
        <v>210</v>
      </c>
      <c r="D132" s="115">
        <v>0</v>
      </c>
      <c r="E132" s="115" t="s">
        <v>211</v>
      </c>
      <c r="F132" s="115" t="s">
        <v>384</v>
      </c>
      <c r="G132" s="115" t="s">
        <v>385</v>
      </c>
      <c r="H132" s="115" t="s">
        <v>386</v>
      </c>
    </row>
    <row r="133" spans="1:8" ht="75" x14ac:dyDescent="0.25">
      <c r="A133" s="115">
        <v>7718</v>
      </c>
      <c r="B133" s="115" t="s">
        <v>235</v>
      </c>
      <c r="C133" s="115" t="s">
        <v>387</v>
      </c>
      <c r="D133" s="115">
        <v>1</v>
      </c>
      <c r="E133" s="115" t="s">
        <v>375</v>
      </c>
      <c r="F133" s="115" t="s">
        <v>371</v>
      </c>
      <c r="G133" s="115" t="s">
        <v>372</v>
      </c>
      <c r="H133" s="115" t="s">
        <v>373</v>
      </c>
    </row>
    <row r="134" spans="1:8" x14ac:dyDescent="0.25">
      <c r="A134" s="115">
        <v>7717</v>
      </c>
      <c r="B134" s="115" t="s">
        <v>235</v>
      </c>
      <c r="C134" s="115" t="s">
        <v>388</v>
      </c>
      <c r="D134" s="115">
        <v>1</v>
      </c>
      <c r="E134" s="115" t="s">
        <v>365</v>
      </c>
      <c r="F134" s="115" t="s">
        <v>366</v>
      </c>
      <c r="G134" s="115" t="s">
        <v>367</v>
      </c>
      <c r="H134" s="115" t="s">
        <v>368</v>
      </c>
    </row>
    <row r="135" spans="1:8" x14ac:dyDescent="0.25">
      <c r="A135" s="115">
        <v>7716</v>
      </c>
      <c r="B135" s="115" t="s">
        <v>389</v>
      </c>
      <c r="C135" s="115" t="s">
        <v>390</v>
      </c>
      <c r="D135" s="115">
        <v>1</v>
      </c>
      <c r="E135" s="115" t="s">
        <v>159</v>
      </c>
      <c r="F135" s="115" t="s">
        <v>74</v>
      </c>
      <c r="G135" s="115" t="s">
        <v>74</v>
      </c>
      <c r="H135" s="115" t="s">
        <v>74</v>
      </c>
    </row>
    <row r="136" spans="1:8" x14ac:dyDescent="0.25">
      <c r="A136" s="115">
        <v>7715</v>
      </c>
      <c r="B136" s="115" t="s">
        <v>257</v>
      </c>
      <c r="C136" s="115" t="s">
        <v>391</v>
      </c>
      <c r="D136" s="115">
        <v>1</v>
      </c>
      <c r="E136" s="115" t="s">
        <v>392</v>
      </c>
      <c r="F136" s="115" t="s">
        <v>74</v>
      </c>
      <c r="G136" s="115" t="s">
        <v>74</v>
      </c>
      <c r="H136" s="115" t="s">
        <v>74</v>
      </c>
    </row>
    <row r="137" spans="1:8" x14ac:dyDescent="0.25">
      <c r="A137" s="115">
        <v>7714</v>
      </c>
      <c r="B137" s="115" t="s">
        <v>257</v>
      </c>
      <c r="C137" s="115" t="s">
        <v>393</v>
      </c>
      <c r="D137" s="115">
        <v>1</v>
      </c>
      <c r="E137" s="115" t="s">
        <v>394</v>
      </c>
      <c r="F137" s="115" t="s">
        <v>74</v>
      </c>
      <c r="G137" s="115" t="s">
        <v>74</v>
      </c>
      <c r="H137" s="115" t="s">
        <v>74</v>
      </c>
    </row>
    <row r="138" spans="1:8" x14ac:dyDescent="0.25">
      <c r="A138" s="115">
        <v>7713</v>
      </c>
      <c r="B138" s="115" t="s">
        <v>149</v>
      </c>
      <c r="C138" s="115" t="s">
        <v>395</v>
      </c>
      <c r="D138" s="115">
        <v>0</v>
      </c>
      <c r="E138" s="115" t="s">
        <v>396</v>
      </c>
      <c r="F138" s="115" t="s">
        <v>74</v>
      </c>
      <c r="G138" s="115" t="s">
        <v>74</v>
      </c>
      <c r="H138" s="115" t="s">
        <v>74</v>
      </c>
    </row>
    <row r="139" spans="1:8" x14ac:dyDescent="0.25">
      <c r="A139" s="115">
        <v>7712</v>
      </c>
      <c r="B139" s="115" t="s">
        <v>95</v>
      </c>
      <c r="C139" s="115" t="s">
        <v>397</v>
      </c>
      <c r="D139" s="115">
        <v>1</v>
      </c>
    </row>
    <row r="140" spans="1:8" x14ac:dyDescent="0.25">
      <c r="A140" s="115">
        <v>7711</v>
      </c>
      <c r="B140" s="115" t="s">
        <v>95</v>
      </c>
      <c r="C140" s="115" t="s">
        <v>398</v>
      </c>
      <c r="D140" s="115">
        <v>1</v>
      </c>
      <c r="E140" s="115" t="s">
        <v>399</v>
      </c>
      <c r="H140" s="115" t="s">
        <v>399</v>
      </c>
    </row>
    <row r="141" spans="1:8" x14ac:dyDescent="0.25">
      <c r="A141" s="115">
        <v>7710</v>
      </c>
      <c r="B141" s="115" t="s">
        <v>149</v>
      </c>
      <c r="C141" s="115" t="s">
        <v>391</v>
      </c>
      <c r="D141" s="115">
        <v>0</v>
      </c>
      <c r="E141" s="115" t="s">
        <v>400</v>
      </c>
      <c r="F141" s="115" t="s">
        <v>74</v>
      </c>
      <c r="G141" s="115" t="s">
        <v>74</v>
      </c>
      <c r="H141" s="115" t="s">
        <v>74</v>
      </c>
    </row>
    <row r="142" spans="1:8" x14ac:dyDescent="0.25">
      <c r="A142" s="115">
        <v>7709</v>
      </c>
      <c r="B142" s="115" t="s">
        <v>149</v>
      </c>
      <c r="C142" s="115" t="s">
        <v>393</v>
      </c>
      <c r="D142" s="115">
        <v>0</v>
      </c>
      <c r="E142" s="115" t="s">
        <v>394</v>
      </c>
      <c r="F142" s="115" t="s">
        <v>74</v>
      </c>
      <c r="G142" s="115" t="s">
        <v>74</v>
      </c>
      <c r="H142" s="115" t="s">
        <v>74</v>
      </c>
    </row>
    <row r="143" spans="1:8" x14ac:dyDescent="0.25">
      <c r="A143" s="115">
        <v>7708</v>
      </c>
      <c r="B143" s="115" t="s">
        <v>149</v>
      </c>
      <c r="C143" s="115" t="s">
        <v>401</v>
      </c>
      <c r="D143" s="115">
        <v>0</v>
      </c>
      <c r="E143" s="115" t="s">
        <v>402</v>
      </c>
      <c r="F143" s="115" t="s">
        <v>403</v>
      </c>
      <c r="G143" s="115" t="s">
        <v>404</v>
      </c>
      <c r="H143" s="115" t="s">
        <v>405</v>
      </c>
    </row>
    <row r="144" spans="1:8" x14ac:dyDescent="0.25">
      <c r="A144" s="115">
        <v>7707</v>
      </c>
      <c r="B144" s="115" t="s">
        <v>149</v>
      </c>
      <c r="C144" s="115" t="s">
        <v>406</v>
      </c>
      <c r="D144" s="115">
        <v>0</v>
      </c>
      <c r="E144" s="115" t="s">
        <v>407</v>
      </c>
      <c r="F144" s="115" t="s">
        <v>74</v>
      </c>
      <c r="G144" s="115" t="s">
        <v>74</v>
      </c>
      <c r="H144" s="115" t="s">
        <v>74</v>
      </c>
    </row>
    <row r="145" spans="1:8" x14ac:dyDescent="0.25">
      <c r="A145" s="115">
        <v>7706</v>
      </c>
      <c r="B145" s="115" t="s">
        <v>389</v>
      </c>
      <c r="C145" s="115" t="s">
        <v>408</v>
      </c>
      <c r="D145" s="115">
        <v>1</v>
      </c>
      <c r="E145" s="115" t="s">
        <v>409</v>
      </c>
      <c r="F145" s="115" t="s">
        <v>74</v>
      </c>
      <c r="G145" s="115" t="s">
        <v>74</v>
      </c>
      <c r="H145" s="115" t="s">
        <v>74</v>
      </c>
    </row>
    <row r="146" spans="1:8" x14ac:dyDescent="0.25">
      <c r="A146" s="115">
        <v>7705</v>
      </c>
      <c r="B146" s="115" t="s">
        <v>389</v>
      </c>
      <c r="C146" s="115" t="s">
        <v>180</v>
      </c>
      <c r="D146" s="115">
        <v>1</v>
      </c>
      <c r="E146" s="115" t="s">
        <v>410</v>
      </c>
      <c r="F146" s="115" t="s">
        <v>74</v>
      </c>
      <c r="G146" s="115" t="s">
        <v>74</v>
      </c>
      <c r="H146" s="115" t="s">
        <v>74</v>
      </c>
    </row>
    <row r="147" spans="1:8" x14ac:dyDescent="0.25">
      <c r="A147" s="115">
        <v>7704</v>
      </c>
      <c r="B147" s="115" t="s">
        <v>71</v>
      </c>
      <c r="C147" s="115" t="s">
        <v>411</v>
      </c>
      <c r="D147" s="115">
        <v>1</v>
      </c>
      <c r="E147" s="115" t="s">
        <v>412</v>
      </c>
      <c r="F147" s="115" t="s">
        <v>74</v>
      </c>
      <c r="G147" s="115" t="s">
        <v>74</v>
      </c>
      <c r="H147" s="115" t="s">
        <v>74</v>
      </c>
    </row>
    <row r="148" spans="1:8" x14ac:dyDescent="0.25">
      <c r="A148" s="115">
        <v>7703</v>
      </c>
      <c r="B148" s="115" t="s">
        <v>313</v>
      </c>
      <c r="C148" s="115" t="s">
        <v>413</v>
      </c>
      <c r="D148" s="115">
        <v>1</v>
      </c>
      <c r="E148" s="115" t="s">
        <v>414</v>
      </c>
      <c r="F148" s="115" t="s">
        <v>74</v>
      </c>
      <c r="G148" s="115" t="s">
        <v>74</v>
      </c>
      <c r="H148" s="115" t="s">
        <v>74</v>
      </c>
    </row>
    <row r="149" spans="1:8" x14ac:dyDescent="0.25">
      <c r="A149" s="115">
        <v>7702</v>
      </c>
      <c r="B149" s="115" t="s">
        <v>71</v>
      </c>
      <c r="C149" s="115" t="s">
        <v>415</v>
      </c>
      <c r="D149" s="115">
        <v>1</v>
      </c>
      <c r="E149" s="115" t="s">
        <v>416</v>
      </c>
      <c r="F149" s="115" t="s">
        <v>417</v>
      </c>
      <c r="G149" s="115" t="s">
        <v>418</v>
      </c>
      <c r="H149" s="115" t="s">
        <v>419</v>
      </c>
    </row>
    <row r="150" spans="1:8" x14ac:dyDescent="0.25">
      <c r="A150" s="115">
        <v>7701</v>
      </c>
      <c r="B150" s="115" t="s">
        <v>313</v>
      </c>
      <c r="C150" s="115" t="s">
        <v>420</v>
      </c>
      <c r="D150" s="115">
        <v>1</v>
      </c>
      <c r="E150" s="115" t="s">
        <v>421</v>
      </c>
      <c r="F150" s="115" t="s">
        <v>74</v>
      </c>
      <c r="G150" s="115" t="s">
        <v>74</v>
      </c>
      <c r="H150" s="115" t="s">
        <v>74</v>
      </c>
    </row>
    <row r="151" spans="1:8" x14ac:dyDescent="0.25">
      <c r="A151" s="115">
        <v>7699</v>
      </c>
      <c r="B151" s="115" t="s">
        <v>313</v>
      </c>
      <c r="C151" s="115" t="s">
        <v>422</v>
      </c>
      <c r="D151" s="115">
        <v>1</v>
      </c>
      <c r="E151" s="115" t="s">
        <v>423</v>
      </c>
      <c r="F151" s="115" t="s">
        <v>424</v>
      </c>
      <c r="G151" s="115" t="s">
        <v>425</v>
      </c>
      <c r="H151" s="115" t="s">
        <v>74</v>
      </c>
    </row>
    <row r="152" spans="1:8" ht="30" x14ac:dyDescent="0.25">
      <c r="A152" s="115">
        <v>7698</v>
      </c>
      <c r="B152" s="115" t="s">
        <v>128</v>
      </c>
      <c r="C152" s="115" t="s">
        <v>426</v>
      </c>
      <c r="D152" s="115">
        <v>1</v>
      </c>
      <c r="E152" s="115" t="s">
        <v>427</v>
      </c>
      <c r="F152" s="115" t="s">
        <v>74</v>
      </c>
      <c r="G152" s="115" t="s">
        <v>428</v>
      </c>
      <c r="H152" s="115" t="s">
        <v>429</v>
      </c>
    </row>
    <row r="153" spans="1:8" ht="150" x14ac:dyDescent="0.25">
      <c r="A153" s="115">
        <v>7697</v>
      </c>
      <c r="B153" s="115" t="s">
        <v>128</v>
      </c>
      <c r="C153" s="115" t="s">
        <v>430</v>
      </c>
      <c r="D153" s="115">
        <v>1</v>
      </c>
      <c r="E153" s="115" t="s">
        <v>431</v>
      </c>
      <c r="F153" s="115" t="s">
        <v>74</v>
      </c>
      <c r="G153" s="115" t="s">
        <v>432</v>
      </c>
      <c r="H153" s="115" t="s">
        <v>433</v>
      </c>
    </row>
    <row r="154" spans="1:8" ht="30" x14ac:dyDescent="0.25">
      <c r="A154" s="115">
        <v>7696</v>
      </c>
      <c r="B154" s="115" t="s">
        <v>128</v>
      </c>
      <c r="C154" s="115" t="s">
        <v>434</v>
      </c>
      <c r="D154" s="115">
        <v>1</v>
      </c>
      <c r="E154" s="115" t="s">
        <v>435</v>
      </c>
      <c r="F154" s="115" t="s">
        <v>436</v>
      </c>
      <c r="G154" s="115" t="s">
        <v>437</v>
      </c>
      <c r="H154" s="115" t="s">
        <v>438</v>
      </c>
    </row>
    <row r="155" spans="1:8" ht="30" x14ac:dyDescent="0.25">
      <c r="A155" s="115">
        <v>7695</v>
      </c>
      <c r="B155" s="115" t="s">
        <v>128</v>
      </c>
      <c r="C155" s="115" t="s">
        <v>439</v>
      </c>
      <c r="D155" s="115">
        <v>1</v>
      </c>
      <c r="E155" s="115" t="s">
        <v>440</v>
      </c>
      <c r="F155" s="115" t="s">
        <v>441</v>
      </c>
      <c r="G155" s="115" t="s">
        <v>442</v>
      </c>
      <c r="H155" s="115" t="s">
        <v>443</v>
      </c>
    </row>
    <row r="156" spans="1:8" x14ac:dyDescent="0.25">
      <c r="A156" s="115">
        <v>7694</v>
      </c>
      <c r="B156" s="115" t="s">
        <v>128</v>
      </c>
      <c r="C156" s="115" t="s">
        <v>444</v>
      </c>
      <c r="D156" s="115">
        <v>1</v>
      </c>
      <c r="E156" s="115" t="s">
        <v>445</v>
      </c>
      <c r="F156" s="115" t="s">
        <v>446</v>
      </c>
      <c r="G156" s="115" t="s">
        <v>447</v>
      </c>
      <c r="H156" s="115" t="s">
        <v>448</v>
      </c>
    </row>
    <row r="157" spans="1:8" ht="30" x14ac:dyDescent="0.25">
      <c r="A157" s="115">
        <v>7693</v>
      </c>
      <c r="B157" s="115" t="s">
        <v>128</v>
      </c>
      <c r="C157" s="115" t="s">
        <v>449</v>
      </c>
      <c r="D157" s="115">
        <v>1</v>
      </c>
      <c r="E157" s="115" t="s">
        <v>450</v>
      </c>
      <c r="F157" s="115" t="s">
        <v>451</v>
      </c>
      <c r="G157" s="115" t="s">
        <v>452</v>
      </c>
      <c r="H157" s="115" t="s">
        <v>453</v>
      </c>
    </row>
    <row r="158" spans="1:8" x14ac:dyDescent="0.25">
      <c r="A158" s="115">
        <v>7692</v>
      </c>
      <c r="B158" s="115" t="s">
        <v>128</v>
      </c>
      <c r="C158" s="115" t="s">
        <v>454</v>
      </c>
      <c r="D158" s="115">
        <v>1</v>
      </c>
      <c r="E158" s="115" t="s">
        <v>455</v>
      </c>
      <c r="F158" s="115" t="s">
        <v>456</v>
      </c>
      <c r="G158" s="115" t="s">
        <v>457</v>
      </c>
      <c r="H158" s="115" t="s">
        <v>458</v>
      </c>
    </row>
    <row r="159" spans="1:8" x14ac:dyDescent="0.25">
      <c r="A159" s="115">
        <v>7691</v>
      </c>
      <c r="B159" s="115" t="s">
        <v>128</v>
      </c>
      <c r="C159" s="115" t="s">
        <v>459</v>
      </c>
      <c r="D159" s="115">
        <v>1</v>
      </c>
      <c r="E159" s="115" t="s">
        <v>460</v>
      </c>
      <c r="F159" s="115" t="s">
        <v>461</v>
      </c>
      <c r="G159" s="115" t="s">
        <v>462</v>
      </c>
      <c r="H159" s="115" t="s">
        <v>463</v>
      </c>
    </row>
    <row r="160" spans="1:8" x14ac:dyDescent="0.25">
      <c r="A160" s="115">
        <v>7690</v>
      </c>
      <c r="B160" s="115" t="s">
        <v>128</v>
      </c>
      <c r="C160" s="115" t="s">
        <v>464</v>
      </c>
      <c r="D160" s="115">
        <v>1</v>
      </c>
      <c r="E160" s="115" t="s">
        <v>465</v>
      </c>
      <c r="F160" s="115" t="s">
        <v>465</v>
      </c>
      <c r="G160" s="115" t="s">
        <v>465</v>
      </c>
      <c r="H160" s="115" t="s">
        <v>465</v>
      </c>
    </row>
    <row r="161" spans="1:8" x14ac:dyDescent="0.25">
      <c r="A161" s="115">
        <v>7689</v>
      </c>
      <c r="B161" s="115" t="s">
        <v>128</v>
      </c>
      <c r="C161" s="115" t="s">
        <v>466</v>
      </c>
      <c r="D161" s="115">
        <v>1</v>
      </c>
      <c r="E161" s="115" t="s">
        <v>467</v>
      </c>
      <c r="F161" s="115" t="s">
        <v>468</v>
      </c>
      <c r="G161" s="115" t="s">
        <v>469</v>
      </c>
      <c r="H161" s="115" t="s">
        <v>470</v>
      </c>
    </row>
    <row r="162" spans="1:8" ht="180" x14ac:dyDescent="0.25">
      <c r="A162" s="115">
        <v>7688</v>
      </c>
      <c r="B162" s="115" t="s">
        <v>128</v>
      </c>
      <c r="C162" s="115" t="s">
        <v>471</v>
      </c>
      <c r="D162" s="115">
        <v>1</v>
      </c>
      <c r="E162" s="115" t="s">
        <v>472</v>
      </c>
      <c r="F162" s="115" t="s">
        <v>473</v>
      </c>
      <c r="G162" s="115" t="s">
        <v>474</v>
      </c>
      <c r="H162" s="115" t="s">
        <v>475</v>
      </c>
    </row>
    <row r="163" spans="1:8" ht="30" x14ac:dyDescent="0.25">
      <c r="A163" s="115">
        <v>7687</v>
      </c>
      <c r="B163" s="115" t="s">
        <v>128</v>
      </c>
      <c r="C163" s="115" t="s">
        <v>476</v>
      </c>
      <c r="D163" s="115">
        <v>1</v>
      </c>
      <c r="E163" s="115" t="s">
        <v>477</v>
      </c>
      <c r="F163" s="115" t="s">
        <v>477</v>
      </c>
      <c r="G163" s="115" t="s">
        <v>477</v>
      </c>
      <c r="H163" s="115" t="s">
        <v>477</v>
      </c>
    </row>
    <row r="164" spans="1:8" ht="30" x14ac:dyDescent="0.25">
      <c r="A164" s="115">
        <v>7686</v>
      </c>
      <c r="B164" s="115" t="s">
        <v>128</v>
      </c>
      <c r="C164" s="115" t="s">
        <v>478</v>
      </c>
      <c r="D164" s="115">
        <v>1</v>
      </c>
      <c r="E164" s="115" t="s">
        <v>479</v>
      </c>
      <c r="F164" s="115" t="s">
        <v>480</v>
      </c>
      <c r="G164" s="115" t="s">
        <v>481</v>
      </c>
      <c r="H164" s="115" t="s">
        <v>482</v>
      </c>
    </row>
    <row r="165" spans="1:8" ht="30" x14ac:dyDescent="0.25">
      <c r="A165" s="115">
        <v>7685</v>
      </c>
      <c r="B165" s="115" t="s">
        <v>128</v>
      </c>
      <c r="C165" s="115" t="s">
        <v>483</v>
      </c>
      <c r="D165" s="115">
        <v>1</v>
      </c>
      <c r="E165" s="115" t="s">
        <v>484</v>
      </c>
      <c r="F165" s="115" t="s">
        <v>485</v>
      </c>
      <c r="G165" s="115" t="s">
        <v>486</v>
      </c>
      <c r="H165" s="115" t="s">
        <v>487</v>
      </c>
    </row>
    <row r="166" spans="1:8" ht="30" x14ac:dyDescent="0.25">
      <c r="A166" s="115">
        <v>7684</v>
      </c>
      <c r="B166" s="115" t="s">
        <v>128</v>
      </c>
      <c r="C166" s="115" t="s">
        <v>488</v>
      </c>
      <c r="D166" s="115">
        <v>1</v>
      </c>
      <c r="E166" s="115">
        <v>10190693.283048</v>
      </c>
      <c r="F166" s="115">
        <v>10190693.283048</v>
      </c>
      <c r="G166" s="115">
        <v>10190693.283048</v>
      </c>
      <c r="H166" s="115">
        <v>10190693.283048</v>
      </c>
    </row>
    <row r="167" spans="1:8" ht="30" x14ac:dyDescent="0.25">
      <c r="A167" s="115">
        <v>7683</v>
      </c>
      <c r="B167" s="115" t="s">
        <v>128</v>
      </c>
      <c r="C167" s="115" t="s">
        <v>489</v>
      </c>
      <c r="D167" s="115">
        <v>1</v>
      </c>
      <c r="E167" s="115">
        <v>72211368.386611</v>
      </c>
      <c r="F167" s="115">
        <v>72211368.386611</v>
      </c>
      <c r="G167" s="115">
        <v>72211368.386611</v>
      </c>
      <c r="H167" s="115">
        <v>72211368.386611</v>
      </c>
    </row>
    <row r="168" spans="1:8" ht="30" x14ac:dyDescent="0.25">
      <c r="A168" s="115">
        <v>7682</v>
      </c>
      <c r="B168" s="115" t="s">
        <v>128</v>
      </c>
      <c r="C168" s="115" t="s">
        <v>490</v>
      </c>
      <c r="D168" s="115">
        <v>1</v>
      </c>
      <c r="E168" s="115" t="s">
        <v>491</v>
      </c>
      <c r="F168" s="115" t="s">
        <v>491</v>
      </c>
      <c r="G168" s="115" t="s">
        <v>491</v>
      </c>
      <c r="H168" s="115" t="s">
        <v>74</v>
      </c>
    </row>
    <row r="169" spans="1:8" ht="30" x14ac:dyDescent="0.25">
      <c r="A169" s="115">
        <v>7681</v>
      </c>
      <c r="B169" s="115" t="s">
        <v>128</v>
      </c>
      <c r="C169" s="115" t="s">
        <v>492</v>
      </c>
      <c r="D169" s="115">
        <v>1</v>
      </c>
      <c r="E169" s="115" t="s">
        <v>491</v>
      </c>
      <c r="F169" s="115" t="s">
        <v>491</v>
      </c>
      <c r="G169" s="115" t="s">
        <v>491</v>
      </c>
      <c r="H169" s="115" t="s">
        <v>74</v>
      </c>
    </row>
    <row r="170" spans="1:8" ht="30" x14ac:dyDescent="0.25">
      <c r="A170" s="115">
        <v>7680</v>
      </c>
      <c r="B170" s="115" t="s">
        <v>128</v>
      </c>
      <c r="C170" s="115" t="s">
        <v>493</v>
      </c>
      <c r="D170" s="115">
        <v>1</v>
      </c>
      <c r="E170" s="115" t="s">
        <v>494</v>
      </c>
      <c r="F170" s="115" t="s">
        <v>495</v>
      </c>
      <c r="G170" s="115" t="s">
        <v>496</v>
      </c>
      <c r="H170" s="115" t="s">
        <v>497</v>
      </c>
    </row>
    <row r="171" spans="1:8" ht="30" x14ac:dyDescent="0.25">
      <c r="A171" s="115">
        <v>7679</v>
      </c>
      <c r="B171" s="115" t="s">
        <v>128</v>
      </c>
      <c r="C171" s="115" t="s">
        <v>498</v>
      </c>
      <c r="D171" s="115">
        <v>1</v>
      </c>
      <c r="E171" s="115">
        <v>5</v>
      </c>
      <c r="F171" s="115">
        <v>5</v>
      </c>
      <c r="G171" s="115">
        <v>5</v>
      </c>
      <c r="H171" s="115">
        <v>5</v>
      </c>
    </row>
    <row r="172" spans="1:8" ht="30" x14ac:dyDescent="0.25">
      <c r="A172" s="115">
        <v>7678</v>
      </c>
      <c r="B172" s="115" t="s">
        <v>128</v>
      </c>
      <c r="C172" s="115" t="s">
        <v>499</v>
      </c>
      <c r="D172" s="115">
        <v>1</v>
      </c>
      <c r="E172" s="115">
        <v>44840952</v>
      </c>
      <c r="F172" s="115">
        <v>44840952</v>
      </c>
      <c r="G172" s="115">
        <v>44840952</v>
      </c>
      <c r="H172" s="115">
        <v>44840952</v>
      </c>
    </row>
    <row r="173" spans="1:8" ht="30" x14ac:dyDescent="0.25">
      <c r="A173" s="115">
        <v>7677</v>
      </c>
      <c r="B173" s="115" t="s">
        <v>128</v>
      </c>
      <c r="C173" s="115" t="s">
        <v>500</v>
      </c>
      <c r="D173" s="115">
        <v>1</v>
      </c>
      <c r="E173" s="115">
        <v>164212671.19679999</v>
      </c>
      <c r="F173" s="115">
        <v>164212671.19679999</v>
      </c>
      <c r="G173" s="115">
        <v>164212671.19679999</v>
      </c>
      <c r="H173" s="115">
        <v>164212671.19679999</v>
      </c>
    </row>
    <row r="174" spans="1:8" ht="30" x14ac:dyDescent="0.25">
      <c r="A174" s="115">
        <v>7676</v>
      </c>
      <c r="B174" s="115" t="s">
        <v>128</v>
      </c>
      <c r="C174" s="115" t="s">
        <v>501</v>
      </c>
      <c r="D174" s="115">
        <v>1</v>
      </c>
      <c r="E174" s="115">
        <v>155249227.13519999</v>
      </c>
      <c r="F174" s="115">
        <v>155249227.13519999</v>
      </c>
      <c r="G174" s="115">
        <v>155249227.13519999</v>
      </c>
      <c r="H174" s="115">
        <v>155249227.13519999</v>
      </c>
    </row>
    <row r="175" spans="1:8" ht="30" x14ac:dyDescent="0.25">
      <c r="A175" s="115">
        <v>7675</v>
      </c>
      <c r="B175" s="115" t="s">
        <v>128</v>
      </c>
      <c r="C175" s="115" t="s">
        <v>502</v>
      </c>
      <c r="D175" s="115">
        <v>1</v>
      </c>
      <c r="E175" s="115" t="s">
        <v>491</v>
      </c>
      <c r="F175" s="115" t="s">
        <v>491</v>
      </c>
      <c r="G175" s="115" t="s">
        <v>491</v>
      </c>
      <c r="H175" s="115" t="s">
        <v>74</v>
      </c>
    </row>
    <row r="176" spans="1:8" ht="30" x14ac:dyDescent="0.25">
      <c r="A176" s="115">
        <v>7674</v>
      </c>
      <c r="B176" s="115" t="s">
        <v>128</v>
      </c>
      <c r="C176" s="115" t="s">
        <v>503</v>
      </c>
      <c r="D176" s="115">
        <v>1</v>
      </c>
      <c r="E176" s="115" t="s">
        <v>491</v>
      </c>
      <c r="F176" s="115" t="s">
        <v>491</v>
      </c>
      <c r="G176" s="115" t="s">
        <v>491</v>
      </c>
      <c r="H176" s="115" t="s">
        <v>74</v>
      </c>
    </row>
    <row r="177" spans="1:8" ht="30" x14ac:dyDescent="0.25">
      <c r="A177" s="115">
        <v>7673</v>
      </c>
      <c r="B177" s="115" t="s">
        <v>128</v>
      </c>
      <c r="C177" s="115" t="s">
        <v>504</v>
      </c>
      <c r="D177" s="115">
        <v>1</v>
      </c>
      <c r="E177" s="115" t="s">
        <v>505</v>
      </c>
      <c r="F177" s="115" t="s">
        <v>506</v>
      </c>
      <c r="G177" s="115" t="s">
        <v>507</v>
      </c>
      <c r="H177" s="115" t="s">
        <v>508</v>
      </c>
    </row>
    <row r="178" spans="1:8" ht="30" x14ac:dyDescent="0.25">
      <c r="A178" s="115">
        <v>7672</v>
      </c>
      <c r="B178" s="115" t="s">
        <v>128</v>
      </c>
      <c r="C178" s="115" t="s">
        <v>509</v>
      </c>
      <c r="D178" s="115">
        <v>1</v>
      </c>
      <c r="E178" s="115">
        <v>4</v>
      </c>
      <c r="F178" s="115">
        <v>4</v>
      </c>
      <c r="G178" s="115">
        <v>4</v>
      </c>
      <c r="H178" s="115">
        <v>4</v>
      </c>
    </row>
    <row r="179" spans="1:8" ht="30" x14ac:dyDescent="0.25">
      <c r="A179" s="115">
        <v>7671</v>
      </c>
      <c r="B179" s="115" t="s">
        <v>128</v>
      </c>
      <c r="C179" s="115" t="s">
        <v>510</v>
      </c>
      <c r="D179" s="115">
        <v>1</v>
      </c>
      <c r="E179" s="115">
        <v>198075518.46777001</v>
      </c>
      <c r="F179" s="115">
        <v>198075518.46777001</v>
      </c>
      <c r="G179" s="115">
        <v>198075518.46777001</v>
      </c>
      <c r="H179" s="115">
        <v>198075518.46777001</v>
      </c>
    </row>
    <row r="180" spans="1:8" ht="30" x14ac:dyDescent="0.25">
      <c r="A180" s="115">
        <v>7670</v>
      </c>
      <c r="B180" s="115" t="s">
        <v>128</v>
      </c>
      <c r="C180" s="115" t="s">
        <v>511</v>
      </c>
      <c r="D180" s="115">
        <v>1</v>
      </c>
      <c r="E180" s="115">
        <v>298001167.04312998</v>
      </c>
      <c r="F180" s="115">
        <v>298001167.04312998</v>
      </c>
      <c r="G180" s="115">
        <v>298001167.04312998</v>
      </c>
      <c r="H180" s="115">
        <v>298001167.04312998</v>
      </c>
    </row>
    <row r="181" spans="1:8" ht="30" x14ac:dyDescent="0.25">
      <c r="A181" s="115">
        <v>7669</v>
      </c>
      <c r="B181" s="115" t="s">
        <v>128</v>
      </c>
      <c r="C181" s="115" t="s">
        <v>512</v>
      </c>
      <c r="D181" s="115">
        <v>1</v>
      </c>
      <c r="E181" s="115">
        <v>250064644.98833999</v>
      </c>
      <c r="F181" s="115">
        <v>250064644.98833999</v>
      </c>
      <c r="G181" s="115">
        <v>250064644.98833999</v>
      </c>
      <c r="H181" s="115">
        <v>250064644.98833999</v>
      </c>
    </row>
    <row r="182" spans="1:8" ht="30" x14ac:dyDescent="0.25">
      <c r="A182" s="115">
        <v>7668</v>
      </c>
      <c r="B182" s="115" t="s">
        <v>128</v>
      </c>
      <c r="C182" s="115" t="s">
        <v>513</v>
      </c>
      <c r="D182" s="115">
        <v>1</v>
      </c>
      <c r="E182" s="115" t="s">
        <v>491</v>
      </c>
      <c r="F182" s="115" t="s">
        <v>491</v>
      </c>
      <c r="G182" s="115" t="s">
        <v>491</v>
      </c>
      <c r="H182" s="115" t="s">
        <v>74</v>
      </c>
    </row>
    <row r="183" spans="1:8" ht="30" x14ac:dyDescent="0.25">
      <c r="A183" s="115">
        <v>7667</v>
      </c>
      <c r="B183" s="115" t="s">
        <v>128</v>
      </c>
      <c r="C183" s="115" t="s">
        <v>514</v>
      </c>
      <c r="D183" s="115">
        <v>1</v>
      </c>
      <c r="E183" s="115" t="s">
        <v>515</v>
      </c>
      <c r="F183" s="115" t="s">
        <v>516</v>
      </c>
      <c r="G183" s="115" t="s">
        <v>515</v>
      </c>
      <c r="H183" s="115" t="s">
        <v>517</v>
      </c>
    </row>
    <row r="184" spans="1:8" ht="30" x14ac:dyDescent="0.25">
      <c r="A184" s="115">
        <v>7666</v>
      </c>
      <c r="B184" s="115" t="s">
        <v>128</v>
      </c>
      <c r="C184" s="115" t="s">
        <v>518</v>
      </c>
      <c r="D184" s="115">
        <v>1</v>
      </c>
      <c r="E184" s="115" t="s">
        <v>519</v>
      </c>
      <c r="F184" s="115" t="s">
        <v>520</v>
      </c>
      <c r="G184" s="115" t="s">
        <v>521</v>
      </c>
      <c r="H184" s="115" t="s">
        <v>522</v>
      </c>
    </row>
    <row r="185" spans="1:8" ht="30" x14ac:dyDescent="0.25">
      <c r="A185" s="115">
        <v>7665</v>
      </c>
      <c r="B185" s="115" t="s">
        <v>128</v>
      </c>
      <c r="C185" s="115" t="s">
        <v>523</v>
      </c>
      <c r="D185" s="115">
        <v>1</v>
      </c>
      <c r="E185" s="115">
        <v>3</v>
      </c>
      <c r="F185" s="115">
        <v>3</v>
      </c>
      <c r="G185" s="115">
        <v>3</v>
      </c>
      <c r="H185" s="115">
        <v>3</v>
      </c>
    </row>
    <row r="186" spans="1:8" ht="30" x14ac:dyDescent="0.25">
      <c r="A186" s="115">
        <v>7664</v>
      </c>
      <c r="B186" s="115" t="s">
        <v>128</v>
      </c>
      <c r="C186" s="115" t="s">
        <v>524</v>
      </c>
      <c r="D186" s="115">
        <v>1</v>
      </c>
      <c r="E186" s="115">
        <v>3015685102.1648002</v>
      </c>
      <c r="F186" s="115">
        <v>3015685102.1648002</v>
      </c>
      <c r="G186" s="115">
        <v>3015685102.1648002</v>
      </c>
      <c r="H186" s="115">
        <v>3015685102.1648002</v>
      </c>
    </row>
    <row r="187" spans="1:8" ht="30" x14ac:dyDescent="0.25">
      <c r="A187" s="115">
        <v>7663</v>
      </c>
      <c r="B187" s="115" t="s">
        <v>128</v>
      </c>
      <c r="C187" s="115" t="s">
        <v>525</v>
      </c>
      <c r="D187" s="115">
        <v>1</v>
      </c>
      <c r="E187" s="115">
        <v>1436783131.4654</v>
      </c>
      <c r="F187" s="115">
        <v>1436783131.4654</v>
      </c>
      <c r="G187" s="115">
        <v>1436783131.4654</v>
      </c>
      <c r="H187" s="115">
        <v>1436783131.4654</v>
      </c>
    </row>
    <row r="188" spans="1:8" ht="30" x14ac:dyDescent="0.25">
      <c r="A188" s="115">
        <v>7662</v>
      </c>
      <c r="B188" s="115" t="s">
        <v>128</v>
      </c>
      <c r="C188" s="115" t="s">
        <v>526</v>
      </c>
      <c r="D188" s="115">
        <v>1</v>
      </c>
      <c r="E188" s="115">
        <v>3438691266.2519002</v>
      </c>
      <c r="F188" s="115">
        <v>3438691266.2519002</v>
      </c>
      <c r="G188" s="115">
        <v>3438691266.2519002</v>
      </c>
      <c r="H188" s="115">
        <v>3438691266.2519002</v>
      </c>
    </row>
    <row r="189" spans="1:8" ht="30" x14ac:dyDescent="0.25">
      <c r="A189" s="115">
        <v>7661</v>
      </c>
      <c r="B189" s="115" t="s">
        <v>128</v>
      </c>
      <c r="C189" s="115" t="s">
        <v>527</v>
      </c>
      <c r="D189" s="115">
        <v>1</v>
      </c>
      <c r="E189" s="115" t="s">
        <v>528</v>
      </c>
      <c r="F189" s="115" t="s">
        <v>529</v>
      </c>
      <c r="G189" s="115" t="s">
        <v>528</v>
      </c>
      <c r="H189" s="115" t="s">
        <v>530</v>
      </c>
    </row>
    <row r="190" spans="1:8" ht="30" x14ac:dyDescent="0.25">
      <c r="A190" s="115">
        <v>7660</v>
      </c>
      <c r="B190" s="115" t="s">
        <v>128</v>
      </c>
      <c r="C190" s="115" t="s">
        <v>531</v>
      </c>
      <c r="D190" s="115">
        <v>1</v>
      </c>
      <c r="E190" s="115" t="s">
        <v>532</v>
      </c>
      <c r="F190" s="115" t="s">
        <v>533</v>
      </c>
      <c r="G190" s="115" t="s">
        <v>532</v>
      </c>
      <c r="H190" s="115" t="s">
        <v>534</v>
      </c>
    </row>
    <row r="191" spans="1:8" ht="30" x14ac:dyDescent="0.25">
      <c r="A191" s="115">
        <v>7659</v>
      </c>
      <c r="B191" s="115" t="s">
        <v>128</v>
      </c>
      <c r="C191" s="115" t="s">
        <v>535</v>
      </c>
      <c r="D191" s="115">
        <v>1</v>
      </c>
      <c r="E191" s="115" t="s">
        <v>536</v>
      </c>
      <c r="F191" s="115" t="s">
        <v>536</v>
      </c>
      <c r="G191" s="115" t="s">
        <v>537</v>
      </c>
      <c r="H191" s="115" t="s">
        <v>538</v>
      </c>
    </row>
    <row r="192" spans="1:8" ht="30" x14ac:dyDescent="0.25">
      <c r="A192" s="115">
        <v>7658</v>
      </c>
      <c r="B192" s="115" t="s">
        <v>128</v>
      </c>
      <c r="C192" s="115" t="s">
        <v>539</v>
      </c>
      <c r="D192" s="115">
        <v>1</v>
      </c>
      <c r="E192" s="115">
        <v>2</v>
      </c>
      <c r="F192" s="115">
        <v>2</v>
      </c>
      <c r="G192" s="115">
        <v>2</v>
      </c>
      <c r="H192" s="115">
        <v>2</v>
      </c>
    </row>
    <row r="193" spans="1:8" ht="30" x14ac:dyDescent="0.25">
      <c r="A193" s="115">
        <v>7657</v>
      </c>
      <c r="B193" s="115" t="s">
        <v>128</v>
      </c>
      <c r="C193" s="115" t="s">
        <v>540</v>
      </c>
      <c r="D193" s="115">
        <v>1</v>
      </c>
      <c r="E193" s="115">
        <v>8042155085.0591002</v>
      </c>
      <c r="F193" s="115">
        <v>8042155085.0591002</v>
      </c>
      <c r="G193" s="115">
        <v>8042155085.0591002</v>
      </c>
      <c r="H193" s="115">
        <v>8042155085.0591002</v>
      </c>
    </row>
    <row r="194" spans="1:8" ht="30" x14ac:dyDescent="0.25">
      <c r="A194" s="115">
        <v>7656</v>
      </c>
      <c r="B194" s="115" t="s">
        <v>128</v>
      </c>
      <c r="C194" s="115" t="s">
        <v>541</v>
      </c>
      <c r="D194" s="115">
        <v>1</v>
      </c>
      <c r="E194" s="115">
        <v>788495015.45650005</v>
      </c>
      <c r="F194" s="115">
        <v>788495015.45650005</v>
      </c>
      <c r="G194" s="115">
        <v>788495015.45650005</v>
      </c>
      <c r="H194" s="115">
        <v>788495015.45650005</v>
      </c>
    </row>
    <row r="195" spans="1:8" ht="30" x14ac:dyDescent="0.25">
      <c r="A195" s="115">
        <v>7655</v>
      </c>
      <c r="B195" s="115" t="s">
        <v>128</v>
      </c>
      <c r="C195" s="115" t="s">
        <v>542</v>
      </c>
      <c r="D195" s="115">
        <v>1</v>
      </c>
      <c r="E195" s="115">
        <v>1839040359.0357001</v>
      </c>
      <c r="F195" s="115">
        <v>1839040359.0357001</v>
      </c>
      <c r="G195" s="115">
        <v>1839040359.0357001</v>
      </c>
      <c r="H195" s="115">
        <v>1839040359.0357001</v>
      </c>
    </row>
    <row r="196" spans="1:8" ht="30" x14ac:dyDescent="0.25">
      <c r="A196" s="115">
        <v>7654</v>
      </c>
      <c r="B196" s="115" t="s">
        <v>128</v>
      </c>
      <c r="C196" s="115" t="s">
        <v>543</v>
      </c>
      <c r="D196" s="115">
        <v>1</v>
      </c>
      <c r="E196" s="115" t="s">
        <v>544</v>
      </c>
      <c r="F196" s="115" t="s">
        <v>545</v>
      </c>
      <c r="G196" s="115" t="s">
        <v>544</v>
      </c>
      <c r="H196" s="115" t="s">
        <v>546</v>
      </c>
    </row>
    <row r="197" spans="1:8" ht="30" x14ac:dyDescent="0.25">
      <c r="A197" s="115">
        <v>7653</v>
      </c>
      <c r="B197" s="115" t="s">
        <v>128</v>
      </c>
      <c r="C197" s="115" t="s">
        <v>547</v>
      </c>
      <c r="D197" s="115">
        <v>1</v>
      </c>
      <c r="E197" s="115" t="s">
        <v>548</v>
      </c>
      <c r="F197" s="115" t="s">
        <v>549</v>
      </c>
      <c r="G197" s="115" t="s">
        <v>548</v>
      </c>
      <c r="H197" s="115" t="s">
        <v>550</v>
      </c>
    </row>
    <row r="198" spans="1:8" ht="30" x14ac:dyDescent="0.25">
      <c r="A198" s="115">
        <v>7652</v>
      </c>
      <c r="B198" s="115" t="s">
        <v>128</v>
      </c>
      <c r="C198" s="115" t="s">
        <v>551</v>
      </c>
      <c r="D198" s="115">
        <v>1</v>
      </c>
      <c r="E198" s="115" t="s">
        <v>552</v>
      </c>
      <c r="F198" s="115" t="s">
        <v>553</v>
      </c>
      <c r="G198" s="115" t="s">
        <v>554</v>
      </c>
      <c r="H198" s="115" t="s">
        <v>555</v>
      </c>
    </row>
    <row r="199" spans="1:8" ht="30" x14ac:dyDescent="0.25">
      <c r="A199" s="115">
        <v>7651</v>
      </c>
      <c r="B199" s="115" t="s">
        <v>128</v>
      </c>
      <c r="C199" s="115" t="s">
        <v>556</v>
      </c>
      <c r="D199" s="115">
        <v>1</v>
      </c>
      <c r="E199" s="115">
        <v>1</v>
      </c>
      <c r="F199" s="115">
        <v>1</v>
      </c>
      <c r="G199" s="115">
        <v>1</v>
      </c>
      <c r="H199" s="115">
        <v>1</v>
      </c>
    </row>
    <row r="200" spans="1:8" ht="30" x14ac:dyDescent="0.25">
      <c r="A200" s="115">
        <v>7650</v>
      </c>
      <c r="B200" s="115" t="s">
        <v>128</v>
      </c>
      <c r="C200" s="115" t="s">
        <v>557</v>
      </c>
      <c r="D200" s="115">
        <v>1</v>
      </c>
      <c r="E200" s="115">
        <v>10618342361.448999</v>
      </c>
      <c r="F200" s="115">
        <v>10618342361.448999</v>
      </c>
      <c r="G200" s="115">
        <v>10618342361.448999</v>
      </c>
      <c r="H200" s="115">
        <v>10618342361.448999</v>
      </c>
    </row>
    <row r="201" spans="1:8" ht="45" x14ac:dyDescent="0.25">
      <c r="A201" s="115">
        <v>7649</v>
      </c>
      <c r="B201" s="115" t="s">
        <v>128</v>
      </c>
      <c r="C201" s="115" t="s">
        <v>558</v>
      </c>
      <c r="D201" s="115">
        <v>1</v>
      </c>
      <c r="E201" s="115" t="s">
        <v>559</v>
      </c>
      <c r="F201" s="115" t="s">
        <v>559</v>
      </c>
      <c r="G201" s="115" t="s">
        <v>560</v>
      </c>
      <c r="H201" s="115" t="s">
        <v>561</v>
      </c>
    </row>
    <row r="202" spans="1:8" ht="30" x14ac:dyDescent="0.25">
      <c r="A202" s="115">
        <v>7648</v>
      </c>
      <c r="B202" s="115" t="s">
        <v>128</v>
      </c>
      <c r="C202" s="115" t="s">
        <v>562</v>
      </c>
      <c r="D202" s="115">
        <v>1</v>
      </c>
      <c r="E202" s="115" t="s">
        <v>563</v>
      </c>
      <c r="F202" s="115" t="s">
        <v>564</v>
      </c>
      <c r="G202" s="115" t="s">
        <v>565</v>
      </c>
      <c r="H202" s="115" t="s">
        <v>566</v>
      </c>
    </row>
    <row r="203" spans="1:8" ht="30" x14ac:dyDescent="0.25">
      <c r="A203" s="115">
        <v>7647</v>
      </c>
      <c r="B203" s="115" t="s">
        <v>128</v>
      </c>
      <c r="C203" s="115" t="s">
        <v>567</v>
      </c>
      <c r="D203" s="115">
        <v>1</v>
      </c>
      <c r="E203" s="115">
        <v>10767668.752589</v>
      </c>
      <c r="F203" s="115">
        <v>10767668.752589</v>
      </c>
      <c r="G203" s="115">
        <v>10767668.752589</v>
      </c>
      <c r="H203" s="115">
        <v>10767668.752589</v>
      </c>
    </row>
    <row r="204" spans="1:8" ht="30" x14ac:dyDescent="0.25">
      <c r="A204" s="115">
        <v>7646</v>
      </c>
      <c r="B204" s="115" t="s">
        <v>128</v>
      </c>
      <c r="C204" s="115" t="s">
        <v>568</v>
      </c>
      <c r="D204" s="115">
        <v>1</v>
      </c>
      <c r="E204" s="115">
        <v>77119232.221200004</v>
      </c>
      <c r="F204" s="115">
        <v>77119232.221200004</v>
      </c>
      <c r="G204" s="115">
        <v>77119232.221200004</v>
      </c>
      <c r="H204" s="115">
        <v>77119232.221200004</v>
      </c>
    </row>
    <row r="205" spans="1:8" ht="30" x14ac:dyDescent="0.25">
      <c r="A205" s="115">
        <v>7645</v>
      </c>
      <c r="B205" s="115" t="s">
        <v>128</v>
      </c>
      <c r="C205" s="115" t="s">
        <v>569</v>
      </c>
      <c r="D205" s="115">
        <v>1</v>
      </c>
      <c r="E205" s="115" t="s">
        <v>491</v>
      </c>
      <c r="F205" s="115" t="s">
        <v>491</v>
      </c>
      <c r="G205" s="115" t="s">
        <v>491</v>
      </c>
      <c r="H205" s="115" t="s">
        <v>74</v>
      </c>
    </row>
    <row r="206" spans="1:8" ht="30" x14ac:dyDescent="0.25">
      <c r="A206" s="115">
        <v>7644</v>
      </c>
      <c r="B206" s="115" t="s">
        <v>128</v>
      </c>
      <c r="C206" s="115" t="s">
        <v>570</v>
      </c>
      <c r="D206" s="115">
        <v>1</v>
      </c>
      <c r="E206" s="115" t="s">
        <v>491</v>
      </c>
      <c r="F206" s="115" t="s">
        <v>491</v>
      </c>
      <c r="G206" s="115" t="s">
        <v>491</v>
      </c>
      <c r="H206" s="115" t="s">
        <v>74</v>
      </c>
    </row>
    <row r="207" spans="1:8" ht="30" x14ac:dyDescent="0.25">
      <c r="A207" s="115">
        <v>7643</v>
      </c>
      <c r="B207" s="115" t="s">
        <v>128</v>
      </c>
      <c r="C207" s="115" t="s">
        <v>571</v>
      </c>
      <c r="D207" s="115">
        <v>1</v>
      </c>
      <c r="E207" s="115" t="s">
        <v>519</v>
      </c>
      <c r="F207" s="115" t="s">
        <v>520</v>
      </c>
      <c r="G207" s="115" t="s">
        <v>521</v>
      </c>
      <c r="H207" s="115" t="s">
        <v>522</v>
      </c>
    </row>
    <row r="208" spans="1:8" ht="30" x14ac:dyDescent="0.25">
      <c r="A208" s="115">
        <v>7642</v>
      </c>
      <c r="B208" s="115" t="s">
        <v>128</v>
      </c>
      <c r="C208" s="115" t="s">
        <v>572</v>
      </c>
      <c r="D208" s="115">
        <v>1</v>
      </c>
      <c r="E208" s="115">
        <v>5</v>
      </c>
      <c r="F208" s="115">
        <v>5</v>
      </c>
      <c r="G208" s="115">
        <v>5</v>
      </c>
      <c r="H208" s="115">
        <v>5</v>
      </c>
    </row>
    <row r="209" spans="1:8" ht="30" x14ac:dyDescent="0.25">
      <c r="A209" s="115">
        <v>7641</v>
      </c>
      <c r="B209" s="115" t="s">
        <v>128</v>
      </c>
      <c r="C209" s="115" t="s">
        <v>573</v>
      </c>
      <c r="D209" s="115">
        <v>1</v>
      </c>
      <c r="E209" s="115">
        <v>41024256</v>
      </c>
      <c r="F209" s="115">
        <v>41024256</v>
      </c>
      <c r="G209" s="115">
        <v>41024256</v>
      </c>
      <c r="H209" s="115">
        <v>41024256</v>
      </c>
    </row>
    <row r="210" spans="1:8" ht="30" x14ac:dyDescent="0.25">
      <c r="A210" s="115">
        <v>7640</v>
      </c>
      <c r="B210" s="115" t="s">
        <v>128</v>
      </c>
      <c r="C210" s="115" t="s">
        <v>574</v>
      </c>
      <c r="D210" s="115">
        <v>1</v>
      </c>
      <c r="E210" s="115">
        <v>162610077.52090001</v>
      </c>
      <c r="F210" s="115">
        <v>162610077.52090001</v>
      </c>
      <c r="G210" s="115">
        <v>162610077.52090001</v>
      </c>
      <c r="H210" s="115">
        <v>162610077.52090001</v>
      </c>
    </row>
    <row r="211" spans="1:8" ht="30" x14ac:dyDescent="0.25">
      <c r="A211" s="115">
        <v>7639</v>
      </c>
      <c r="B211" s="115" t="s">
        <v>128</v>
      </c>
      <c r="C211" s="115" t="s">
        <v>575</v>
      </c>
      <c r="D211" s="115">
        <v>1</v>
      </c>
      <c r="E211" s="115">
        <v>152572225.04122001</v>
      </c>
      <c r="F211" s="115">
        <v>152572225.04122001</v>
      </c>
      <c r="G211" s="115">
        <v>152572225.04122001</v>
      </c>
      <c r="H211" s="115">
        <v>152572225.04122001</v>
      </c>
    </row>
    <row r="212" spans="1:8" ht="30" x14ac:dyDescent="0.25">
      <c r="A212" s="115">
        <v>7638</v>
      </c>
      <c r="B212" s="115" t="s">
        <v>128</v>
      </c>
      <c r="C212" s="115" t="s">
        <v>576</v>
      </c>
      <c r="D212" s="115">
        <v>1</v>
      </c>
      <c r="E212" s="115" t="s">
        <v>491</v>
      </c>
      <c r="F212" s="115" t="s">
        <v>491</v>
      </c>
      <c r="G212" s="115" t="s">
        <v>491</v>
      </c>
      <c r="H212" s="115" t="s">
        <v>74</v>
      </c>
    </row>
    <row r="213" spans="1:8" ht="30" x14ac:dyDescent="0.25">
      <c r="A213" s="115">
        <v>7637</v>
      </c>
      <c r="B213" s="115" t="s">
        <v>128</v>
      </c>
      <c r="C213" s="115" t="s">
        <v>577</v>
      </c>
      <c r="D213" s="115">
        <v>1</v>
      </c>
      <c r="E213" s="115" t="s">
        <v>491</v>
      </c>
      <c r="F213" s="115" t="s">
        <v>491</v>
      </c>
      <c r="G213" s="115" t="s">
        <v>491</v>
      </c>
      <c r="H213" s="115" t="s">
        <v>74</v>
      </c>
    </row>
    <row r="214" spans="1:8" ht="30" x14ac:dyDescent="0.25">
      <c r="A214" s="115">
        <v>7636</v>
      </c>
      <c r="B214" s="115" t="s">
        <v>128</v>
      </c>
      <c r="C214" s="115" t="s">
        <v>578</v>
      </c>
      <c r="D214" s="115">
        <v>1</v>
      </c>
      <c r="E214" s="115" t="s">
        <v>505</v>
      </c>
      <c r="F214" s="115" t="s">
        <v>506</v>
      </c>
      <c r="G214" s="115" t="s">
        <v>507</v>
      </c>
      <c r="H214" s="115" t="s">
        <v>508</v>
      </c>
    </row>
    <row r="215" spans="1:8" ht="30" x14ac:dyDescent="0.25">
      <c r="A215" s="115">
        <v>7635</v>
      </c>
      <c r="B215" s="115" t="s">
        <v>128</v>
      </c>
      <c r="C215" s="115" t="s">
        <v>579</v>
      </c>
      <c r="D215" s="115">
        <v>1</v>
      </c>
      <c r="E215" s="115">
        <v>4</v>
      </c>
      <c r="F215" s="115">
        <v>4</v>
      </c>
      <c r="G215" s="115">
        <v>4</v>
      </c>
      <c r="H215" s="115">
        <v>4</v>
      </c>
    </row>
    <row r="216" spans="1:8" ht="30" x14ac:dyDescent="0.25">
      <c r="A216" s="115">
        <v>7634</v>
      </c>
      <c r="B216" s="115" t="s">
        <v>128</v>
      </c>
      <c r="C216" s="115" t="s">
        <v>580</v>
      </c>
      <c r="D216" s="115">
        <v>1</v>
      </c>
      <c r="E216" s="115">
        <v>235038763.49247</v>
      </c>
      <c r="F216" s="115">
        <v>235038763.49247</v>
      </c>
      <c r="G216" s="115">
        <v>235038763.49247</v>
      </c>
      <c r="H216" s="115">
        <v>235038763.49247</v>
      </c>
    </row>
    <row r="217" spans="1:8" ht="30" x14ac:dyDescent="0.25">
      <c r="A217" s="115">
        <v>7633</v>
      </c>
      <c r="B217" s="115" t="s">
        <v>128</v>
      </c>
      <c r="C217" s="115" t="s">
        <v>581</v>
      </c>
      <c r="D217" s="115">
        <v>1</v>
      </c>
      <c r="E217" s="115">
        <v>300863549.30616999</v>
      </c>
      <c r="F217" s="115">
        <v>300863549.30616999</v>
      </c>
      <c r="G217" s="115">
        <v>300863549.30616999</v>
      </c>
      <c r="H217" s="115">
        <v>300863549.30616999</v>
      </c>
    </row>
    <row r="218" spans="1:8" ht="30" x14ac:dyDescent="0.25">
      <c r="A218" s="115">
        <v>7632</v>
      </c>
      <c r="B218" s="115" t="s">
        <v>128</v>
      </c>
      <c r="C218" s="115" t="s">
        <v>582</v>
      </c>
      <c r="D218" s="115">
        <v>1</v>
      </c>
      <c r="E218" s="115">
        <v>244891909.4962</v>
      </c>
      <c r="F218" s="115">
        <v>244891909.4962</v>
      </c>
      <c r="G218" s="115">
        <v>244891909.4962</v>
      </c>
      <c r="H218" s="115">
        <v>244891909.4962</v>
      </c>
    </row>
    <row r="219" spans="1:8" ht="30" x14ac:dyDescent="0.25">
      <c r="A219" s="115">
        <v>7631</v>
      </c>
      <c r="B219" s="115" t="s">
        <v>128</v>
      </c>
      <c r="C219" s="115" t="s">
        <v>583</v>
      </c>
      <c r="D219" s="115">
        <v>1</v>
      </c>
      <c r="E219" s="115" t="s">
        <v>491</v>
      </c>
      <c r="F219" s="115" t="s">
        <v>491</v>
      </c>
      <c r="G219" s="115" t="s">
        <v>491</v>
      </c>
      <c r="H219" s="115" t="s">
        <v>74</v>
      </c>
    </row>
    <row r="220" spans="1:8" ht="30" x14ac:dyDescent="0.25">
      <c r="A220" s="115">
        <v>7630</v>
      </c>
      <c r="B220" s="115" t="s">
        <v>128</v>
      </c>
      <c r="C220" s="115" t="s">
        <v>584</v>
      </c>
      <c r="D220" s="115">
        <v>1</v>
      </c>
      <c r="E220" s="115" t="s">
        <v>515</v>
      </c>
      <c r="F220" s="115" t="s">
        <v>516</v>
      </c>
      <c r="G220" s="115" t="s">
        <v>515</v>
      </c>
      <c r="H220" s="115" t="s">
        <v>517</v>
      </c>
    </row>
    <row r="221" spans="1:8" ht="30" x14ac:dyDescent="0.25">
      <c r="A221" s="115">
        <v>7629</v>
      </c>
      <c r="B221" s="115" t="s">
        <v>128</v>
      </c>
      <c r="C221" s="115" t="s">
        <v>585</v>
      </c>
      <c r="D221" s="115">
        <v>1</v>
      </c>
      <c r="E221" s="115" t="s">
        <v>494</v>
      </c>
      <c r="F221" s="115" t="s">
        <v>495</v>
      </c>
      <c r="G221" s="115" t="s">
        <v>496</v>
      </c>
      <c r="H221" s="115" t="s">
        <v>497</v>
      </c>
    </row>
    <row r="222" spans="1:8" ht="30" x14ac:dyDescent="0.25">
      <c r="A222" s="115">
        <v>7628</v>
      </c>
      <c r="B222" s="115" t="s">
        <v>128</v>
      </c>
      <c r="C222" s="115" t="s">
        <v>586</v>
      </c>
      <c r="D222" s="115">
        <v>1</v>
      </c>
      <c r="E222" s="115">
        <v>3</v>
      </c>
      <c r="F222" s="115">
        <v>3</v>
      </c>
      <c r="G222" s="115">
        <v>3</v>
      </c>
      <c r="H222" s="115">
        <v>3</v>
      </c>
    </row>
    <row r="223" spans="1:8" ht="30" x14ac:dyDescent="0.25">
      <c r="A223" s="115">
        <v>7627</v>
      </c>
      <c r="B223" s="115" t="s">
        <v>128</v>
      </c>
      <c r="C223" s="115" t="s">
        <v>587</v>
      </c>
      <c r="D223" s="115">
        <v>1</v>
      </c>
      <c r="E223" s="115">
        <v>3065067796.1810999</v>
      </c>
      <c r="F223" s="115">
        <v>3065067796.1810999</v>
      </c>
      <c r="G223" s="115">
        <v>3065067796.1810999</v>
      </c>
      <c r="H223" s="115">
        <v>3065067796.1810999</v>
      </c>
    </row>
    <row r="224" spans="1:8" ht="30" x14ac:dyDescent="0.25">
      <c r="A224" s="115">
        <v>7626</v>
      </c>
      <c r="B224" s="115" t="s">
        <v>128</v>
      </c>
      <c r="C224" s="115" t="s">
        <v>588</v>
      </c>
      <c r="D224" s="115">
        <v>1</v>
      </c>
      <c r="E224" s="115">
        <v>1421776388.7860999</v>
      </c>
      <c r="F224" s="115">
        <v>1421776388.7860999</v>
      </c>
      <c r="G224" s="115">
        <v>1421776388.7860999</v>
      </c>
      <c r="H224" s="115">
        <v>1421776388.7860999</v>
      </c>
    </row>
    <row r="225" spans="1:8" ht="30" x14ac:dyDescent="0.25">
      <c r="A225" s="115">
        <v>7625</v>
      </c>
      <c r="B225" s="115" t="s">
        <v>128</v>
      </c>
      <c r="C225" s="115" t="s">
        <v>589</v>
      </c>
      <c r="D225" s="115">
        <v>1</v>
      </c>
      <c r="E225" s="115">
        <v>3486934229.8231001</v>
      </c>
      <c r="F225" s="115">
        <v>3486934229.8231001</v>
      </c>
      <c r="G225" s="115">
        <v>3486934229.8231001</v>
      </c>
      <c r="H225" s="115">
        <v>3486934229.8231001</v>
      </c>
    </row>
    <row r="226" spans="1:8" ht="30" x14ac:dyDescent="0.25">
      <c r="A226" s="115">
        <v>7624</v>
      </c>
      <c r="B226" s="115" t="s">
        <v>128</v>
      </c>
      <c r="C226" s="115" t="s">
        <v>590</v>
      </c>
      <c r="D226" s="115">
        <v>1</v>
      </c>
      <c r="E226" s="115" t="s">
        <v>528</v>
      </c>
      <c r="F226" s="115" t="s">
        <v>529</v>
      </c>
      <c r="G226" s="115" t="s">
        <v>528</v>
      </c>
      <c r="H226" s="115" t="s">
        <v>530</v>
      </c>
    </row>
    <row r="227" spans="1:8" ht="30" x14ac:dyDescent="0.25">
      <c r="A227" s="115">
        <v>7623</v>
      </c>
      <c r="B227" s="115" t="s">
        <v>128</v>
      </c>
      <c r="C227" s="115" t="s">
        <v>591</v>
      </c>
      <c r="D227" s="115">
        <v>1</v>
      </c>
      <c r="E227" s="115" t="s">
        <v>532</v>
      </c>
      <c r="F227" s="115" t="s">
        <v>533</v>
      </c>
      <c r="G227" s="115" t="s">
        <v>532</v>
      </c>
      <c r="H227" s="115" t="s">
        <v>534</v>
      </c>
    </row>
    <row r="228" spans="1:8" ht="30" x14ac:dyDescent="0.25">
      <c r="A228" s="115">
        <v>7622</v>
      </c>
      <c r="B228" s="115" t="s">
        <v>128</v>
      </c>
      <c r="C228" s="115" t="s">
        <v>592</v>
      </c>
      <c r="D228" s="115">
        <v>1</v>
      </c>
      <c r="E228" s="115" t="s">
        <v>536</v>
      </c>
      <c r="F228" s="115" t="s">
        <v>536</v>
      </c>
      <c r="G228" s="115" t="s">
        <v>537</v>
      </c>
      <c r="H228" s="115" t="s">
        <v>538</v>
      </c>
    </row>
    <row r="229" spans="1:8" ht="30" x14ac:dyDescent="0.25">
      <c r="A229" s="115">
        <v>7621</v>
      </c>
      <c r="B229" s="115" t="s">
        <v>128</v>
      </c>
      <c r="C229" s="115" t="s">
        <v>593</v>
      </c>
      <c r="D229" s="115">
        <v>1</v>
      </c>
      <c r="E229" s="115">
        <v>2</v>
      </c>
      <c r="F229" s="115">
        <v>2</v>
      </c>
      <c r="G229" s="115">
        <v>2</v>
      </c>
      <c r="H229" s="115">
        <v>2</v>
      </c>
    </row>
    <row r="230" spans="1:8" ht="30" x14ac:dyDescent="0.25">
      <c r="A230" s="115">
        <v>7620</v>
      </c>
      <c r="B230" s="115" t="s">
        <v>128</v>
      </c>
      <c r="C230" s="115" t="s">
        <v>594</v>
      </c>
      <c r="D230" s="115">
        <v>1</v>
      </c>
      <c r="E230" s="115">
        <v>8042155085.0591002</v>
      </c>
      <c r="F230" s="115">
        <v>8042155085.0591002</v>
      </c>
      <c r="G230" s="115">
        <v>8042155085.0591002</v>
      </c>
      <c r="H230" s="115">
        <v>8042155085.0591002</v>
      </c>
    </row>
    <row r="231" spans="1:8" ht="30" x14ac:dyDescent="0.25">
      <c r="A231" s="115">
        <v>7619</v>
      </c>
      <c r="B231" s="115" t="s">
        <v>128</v>
      </c>
      <c r="C231" s="115" t="s">
        <v>595</v>
      </c>
      <c r="D231" s="115">
        <v>1</v>
      </c>
      <c r="E231" s="115">
        <v>810096534.69579995</v>
      </c>
      <c r="F231" s="115">
        <v>810096534.69579995</v>
      </c>
      <c r="G231" s="115">
        <v>810096534.69579995</v>
      </c>
      <c r="H231" s="115">
        <v>810096534.69579995</v>
      </c>
    </row>
    <row r="232" spans="1:8" ht="30" x14ac:dyDescent="0.25">
      <c r="A232" s="115">
        <v>7618</v>
      </c>
      <c r="B232" s="115" t="s">
        <v>128</v>
      </c>
      <c r="C232" s="115" t="s">
        <v>596</v>
      </c>
      <c r="D232" s="115">
        <v>1</v>
      </c>
      <c r="E232" s="115">
        <v>2078954900.7381999</v>
      </c>
      <c r="F232" s="115">
        <v>2078954900.7381999</v>
      </c>
      <c r="G232" s="115">
        <v>2078954900.7381999</v>
      </c>
      <c r="H232" s="115">
        <v>2078954900.7381999</v>
      </c>
    </row>
    <row r="233" spans="1:8" ht="30" x14ac:dyDescent="0.25">
      <c r="A233" s="115">
        <v>7617</v>
      </c>
      <c r="B233" s="115" t="s">
        <v>128</v>
      </c>
      <c r="C233" s="115" t="s">
        <v>597</v>
      </c>
      <c r="D233" s="115">
        <v>1</v>
      </c>
      <c r="E233" s="115" t="s">
        <v>544</v>
      </c>
      <c r="F233" s="115" t="s">
        <v>545</v>
      </c>
      <c r="G233" s="115" t="s">
        <v>544</v>
      </c>
      <c r="H233" s="115" t="s">
        <v>546</v>
      </c>
    </row>
    <row r="234" spans="1:8" ht="30" x14ac:dyDescent="0.25">
      <c r="A234" s="115">
        <v>7616</v>
      </c>
      <c r="B234" s="115" t="s">
        <v>128</v>
      </c>
      <c r="C234" s="115" t="s">
        <v>598</v>
      </c>
      <c r="D234" s="115">
        <v>1</v>
      </c>
      <c r="E234" s="115" t="s">
        <v>548</v>
      </c>
      <c r="F234" s="115" t="s">
        <v>549</v>
      </c>
      <c r="G234" s="115" t="s">
        <v>548</v>
      </c>
      <c r="H234" s="115" t="s">
        <v>550</v>
      </c>
    </row>
    <row r="235" spans="1:8" ht="30" x14ac:dyDescent="0.25">
      <c r="A235" s="115">
        <v>7615</v>
      </c>
      <c r="B235" s="115" t="s">
        <v>128</v>
      </c>
      <c r="C235" s="115" t="s">
        <v>599</v>
      </c>
      <c r="D235" s="115">
        <v>1</v>
      </c>
      <c r="E235" s="115" t="s">
        <v>552</v>
      </c>
      <c r="F235" s="115" t="s">
        <v>553</v>
      </c>
      <c r="G235" s="115" t="s">
        <v>554</v>
      </c>
      <c r="H235" s="115" t="s">
        <v>555</v>
      </c>
    </row>
    <row r="236" spans="1:8" ht="30" x14ac:dyDescent="0.25">
      <c r="A236" s="115">
        <v>7614</v>
      </c>
      <c r="B236" s="115" t="s">
        <v>128</v>
      </c>
      <c r="C236" s="115" t="s">
        <v>600</v>
      </c>
      <c r="D236" s="115">
        <v>1</v>
      </c>
      <c r="E236" s="115">
        <v>1</v>
      </c>
      <c r="F236" s="115">
        <v>1</v>
      </c>
      <c r="G236" s="115">
        <v>1</v>
      </c>
      <c r="H236" s="115">
        <v>1</v>
      </c>
    </row>
    <row r="237" spans="1:8" ht="30" x14ac:dyDescent="0.25">
      <c r="A237" s="115">
        <v>7613</v>
      </c>
      <c r="B237" s="115" t="s">
        <v>128</v>
      </c>
      <c r="C237" s="115" t="s">
        <v>601</v>
      </c>
      <c r="D237" s="115">
        <v>1</v>
      </c>
      <c r="E237" s="115">
        <v>10663700440.393</v>
      </c>
      <c r="F237" s="115">
        <v>10663700440.393</v>
      </c>
      <c r="G237" s="115">
        <v>10663700440.393</v>
      </c>
      <c r="H237" s="115">
        <v>10663700440.393</v>
      </c>
    </row>
    <row r="238" spans="1:8" ht="30" x14ac:dyDescent="0.25">
      <c r="A238" s="115">
        <v>7612</v>
      </c>
      <c r="B238" s="115" t="s">
        <v>128</v>
      </c>
      <c r="C238" s="115" t="s">
        <v>602</v>
      </c>
      <c r="D238" s="115">
        <v>1</v>
      </c>
      <c r="E238" s="115" t="s">
        <v>559</v>
      </c>
      <c r="F238" s="115" t="s">
        <v>559</v>
      </c>
      <c r="G238" s="115" t="s">
        <v>559</v>
      </c>
      <c r="H238" s="115" t="s">
        <v>561</v>
      </c>
    </row>
    <row r="239" spans="1:8" ht="270" x14ac:dyDescent="0.25">
      <c r="A239" s="115">
        <v>7611</v>
      </c>
      <c r="B239" s="115" t="s">
        <v>128</v>
      </c>
      <c r="C239" s="115" t="s">
        <v>603</v>
      </c>
      <c r="D239" s="115">
        <v>1</v>
      </c>
      <c r="E239" s="115" t="s">
        <v>604</v>
      </c>
      <c r="F239" s="115" t="s">
        <v>605</v>
      </c>
      <c r="G239" s="115" t="s">
        <v>606</v>
      </c>
      <c r="H239" s="115" t="s">
        <v>607</v>
      </c>
    </row>
    <row r="240" spans="1:8" ht="30" x14ac:dyDescent="0.25">
      <c r="A240" s="115">
        <v>7610</v>
      </c>
      <c r="B240" s="115" t="s">
        <v>128</v>
      </c>
      <c r="C240" s="115" t="s">
        <v>608</v>
      </c>
      <c r="D240" s="115">
        <v>1</v>
      </c>
      <c r="E240" s="115" t="s">
        <v>477</v>
      </c>
      <c r="F240" s="115" t="s">
        <v>477</v>
      </c>
      <c r="G240" s="115" t="s">
        <v>477</v>
      </c>
      <c r="H240" s="115" t="s">
        <v>477</v>
      </c>
    </row>
    <row r="241" spans="1:8" ht="30" x14ac:dyDescent="0.25">
      <c r="A241" s="115">
        <v>7609</v>
      </c>
      <c r="B241" s="115" t="s">
        <v>128</v>
      </c>
      <c r="C241" s="115" t="s">
        <v>609</v>
      </c>
      <c r="D241" s="115">
        <v>1</v>
      </c>
      <c r="E241" s="115" t="s">
        <v>610</v>
      </c>
      <c r="F241" s="115" t="s">
        <v>611</v>
      </c>
      <c r="G241" s="115" t="s">
        <v>612</v>
      </c>
      <c r="H241" s="115" t="s">
        <v>613</v>
      </c>
    </row>
    <row r="242" spans="1:8" ht="30" x14ac:dyDescent="0.25">
      <c r="A242" s="115">
        <v>7608</v>
      </c>
      <c r="B242" s="115" t="s">
        <v>128</v>
      </c>
      <c r="C242" s="115" t="s">
        <v>614</v>
      </c>
      <c r="D242" s="115">
        <v>1</v>
      </c>
      <c r="E242" s="115" t="s">
        <v>615</v>
      </c>
      <c r="F242" s="115" t="s">
        <v>616</v>
      </c>
      <c r="G242" s="115" t="s">
        <v>617</v>
      </c>
      <c r="H242" s="115" t="s">
        <v>618</v>
      </c>
    </row>
    <row r="243" spans="1:8" ht="30" x14ac:dyDescent="0.25">
      <c r="A243" s="115">
        <v>7607</v>
      </c>
      <c r="B243" s="115" t="s">
        <v>128</v>
      </c>
      <c r="C243" s="115" t="s">
        <v>619</v>
      </c>
      <c r="D243" s="115">
        <v>1</v>
      </c>
      <c r="E243" s="115">
        <v>800</v>
      </c>
      <c r="F243" s="115">
        <v>800</v>
      </c>
      <c r="G243" s="115">
        <v>800</v>
      </c>
      <c r="H243" s="115">
        <v>800</v>
      </c>
    </row>
    <row r="244" spans="1:8" ht="30" x14ac:dyDescent="0.25">
      <c r="A244" s="115">
        <v>7606</v>
      </c>
      <c r="B244" s="115" t="s">
        <v>128</v>
      </c>
      <c r="C244" s="115" t="s">
        <v>620</v>
      </c>
      <c r="D244" s="115">
        <v>1</v>
      </c>
      <c r="E244" s="115">
        <v>5868</v>
      </c>
      <c r="F244" s="115">
        <v>5868</v>
      </c>
      <c r="G244" s="115">
        <v>5868</v>
      </c>
      <c r="H244" s="115">
        <v>5868</v>
      </c>
    </row>
    <row r="245" spans="1:8" ht="30" x14ac:dyDescent="0.25">
      <c r="A245" s="115">
        <v>7605</v>
      </c>
      <c r="B245" s="115" t="s">
        <v>128</v>
      </c>
      <c r="C245" s="115" t="s">
        <v>621</v>
      </c>
      <c r="D245" s="115">
        <v>1</v>
      </c>
      <c r="E245" s="115" t="s">
        <v>491</v>
      </c>
      <c r="F245" s="115" t="s">
        <v>491</v>
      </c>
      <c r="G245" s="115" t="s">
        <v>491</v>
      </c>
      <c r="H245" s="115" t="s">
        <v>74</v>
      </c>
    </row>
    <row r="246" spans="1:8" ht="30" x14ac:dyDescent="0.25">
      <c r="A246" s="115">
        <v>7604</v>
      </c>
      <c r="B246" s="115" t="s">
        <v>128</v>
      </c>
      <c r="C246" s="115" t="s">
        <v>622</v>
      </c>
      <c r="D246" s="115">
        <v>1</v>
      </c>
      <c r="E246" s="115" t="s">
        <v>491</v>
      </c>
      <c r="F246" s="115" t="s">
        <v>491</v>
      </c>
      <c r="G246" s="115" t="s">
        <v>491</v>
      </c>
      <c r="H246" s="115" t="s">
        <v>74</v>
      </c>
    </row>
    <row r="247" spans="1:8" ht="30" x14ac:dyDescent="0.25">
      <c r="A247" s="115">
        <v>7603</v>
      </c>
      <c r="B247" s="115" t="s">
        <v>128</v>
      </c>
      <c r="C247" s="115" t="s">
        <v>623</v>
      </c>
      <c r="D247" s="115">
        <v>1</v>
      </c>
      <c r="E247" s="115" t="s">
        <v>519</v>
      </c>
      <c r="F247" s="115" t="s">
        <v>520</v>
      </c>
      <c r="G247" s="115" t="s">
        <v>521</v>
      </c>
      <c r="H247" s="115" t="s">
        <v>522</v>
      </c>
    </row>
    <row r="248" spans="1:8" ht="30" x14ac:dyDescent="0.25">
      <c r="A248" s="115">
        <v>7602</v>
      </c>
      <c r="B248" s="115" t="s">
        <v>128</v>
      </c>
      <c r="C248" s="115" t="s">
        <v>624</v>
      </c>
      <c r="D248" s="115">
        <v>1</v>
      </c>
      <c r="E248" s="115">
        <v>5</v>
      </c>
      <c r="F248" s="115">
        <v>5</v>
      </c>
      <c r="G248" s="115">
        <v>5</v>
      </c>
      <c r="H248" s="115">
        <v>5</v>
      </c>
    </row>
    <row r="249" spans="1:8" ht="30" x14ac:dyDescent="0.25">
      <c r="A249" s="115">
        <v>7601</v>
      </c>
      <c r="B249" s="115" t="s">
        <v>128</v>
      </c>
      <c r="C249" s="115" t="s">
        <v>625</v>
      </c>
      <c r="D249" s="115">
        <v>1</v>
      </c>
      <c r="E249" s="115">
        <v>1114</v>
      </c>
      <c r="F249" s="115">
        <v>1114</v>
      </c>
      <c r="G249" s="115">
        <v>1114</v>
      </c>
      <c r="H249" s="115">
        <v>1114</v>
      </c>
    </row>
    <row r="250" spans="1:8" ht="30" x14ac:dyDescent="0.25">
      <c r="A250" s="115">
        <v>7600</v>
      </c>
      <c r="B250" s="115" t="s">
        <v>128</v>
      </c>
      <c r="C250" s="115" t="s">
        <v>626</v>
      </c>
      <c r="D250" s="115">
        <v>1</v>
      </c>
      <c r="E250" s="115">
        <v>4150</v>
      </c>
      <c r="F250" s="115">
        <v>4150</v>
      </c>
      <c r="G250" s="115">
        <v>4150</v>
      </c>
      <c r="H250" s="115">
        <v>4150</v>
      </c>
    </row>
    <row r="251" spans="1:8" ht="30" x14ac:dyDescent="0.25">
      <c r="A251" s="115">
        <v>7599</v>
      </c>
      <c r="B251" s="115" t="s">
        <v>128</v>
      </c>
      <c r="C251" s="115" t="s">
        <v>627</v>
      </c>
      <c r="D251" s="115">
        <v>1</v>
      </c>
      <c r="E251" s="115">
        <v>10275</v>
      </c>
      <c r="F251" s="115">
        <v>10275</v>
      </c>
      <c r="G251" s="115">
        <v>10275</v>
      </c>
      <c r="H251" s="115">
        <v>10275</v>
      </c>
    </row>
    <row r="252" spans="1:8" ht="30" x14ac:dyDescent="0.25">
      <c r="A252" s="115">
        <v>7598</v>
      </c>
      <c r="B252" s="115" t="s">
        <v>128</v>
      </c>
      <c r="C252" s="115" t="s">
        <v>628</v>
      </c>
      <c r="D252" s="115">
        <v>1</v>
      </c>
      <c r="E252" s="115" t="s">
        <v>491</v>
      </c>
      <c r="F252" s="115" t="s">
        <v>491</v>
      </c>
      <c r="G252" s="115" t="s">
        <v>491</v>
      </c>
      <c r="H252" s="115" t="s">
        <v>74</v>
      </c>
    </row>
    <row r="253" spans="1:8" ht="30" x14ac:dyDescent="0.25">
      <c r="A253" s="115">
        <v>7597</v>
      </c>
      <c r="B253" s="115" t="s">
        <v>128</v>
      </c>
      <c r="C253" s="115" t="s">
        <v>629</v>
      </c>
      <c r="D253" s="115">
        <v>1</v>
      </c>
      <c r="E253" s="115" t="s">
        <v>491</v>
      </c>
      <c r="F253" s="115" t="s">
        <v>491</v>
      </c>
      <c r="G253" s="115" t="s">
        <v>491</v>
      </c>
      <c r="H253" s="115" t="s">
        <v>74</v>
      </c>
    </row>
    <row r="254" spans="1:8" ht="30" x14ac:dyDescent="0.25">
      <c r="A254" s="115">
        <v>7596</v>
      </c>
      <c r="B254" s="115" t="s">
        <v>128</v>
      </c>
      <c r="C254" s="115" t="s">
        <v>630</v>
      </c>
      <c r="D254" s="115">
        <v>1</v>
      </c>
      <c r="E254" s="115" t="s">
        <v>505</v>
      </c>
      <c r="F254" s="115" t="s">
        <v>506</v>
      </c>
      <c r="G254" s="115" t="s">
        <v>507</v>
      </c>
      <c r="H254" s="115" t="s">
        <v>508</v>
      </c>
    </row>
    <row r="255" spans="1:8" ht="30" x14ac:dyDescent="0.25">
      <c r="A255" s="115">
        <v>7595</v>
      </c>
      <c r="B255" s="115" t="s">
        <v>128</v>
      </c>
      <c r="C255" s="115" t="s">
        <v>631</v>
      </c>
      <c r="D255" s="115">
        <v>1</v>
      </c>
      <c r="E255" s="115">
        <v>4</v>
      </c>
      <c r="F255" s="115">
        <v>4</v>
      </c>
      <c r="G255" s="115">
        <v>4</v>
      </c>
      <c r="H255" s="115">
        <v>4</v>
      </c>
    </row>
    <row r="256" spans="1:8" ht="30" x14ac:dyDescent="0.25">
      <c r="A256" s="115">
        <v>7594</v>
      </c>
      <c r="B256" s="115" t="s">
        <v>128</v>
      </c>
      <c r="C256" s="115" t="s">
        <v>632</v>
      </c>
      <c r="D256" s="115">
        <v>1</v>
      </c>
      <c r="E256" s="115">
        <v>7500</v>
      </c>
      <c r="F256" s="115">
        <v>7500</v>
      </c>
      <c r="G256" s="115">
        <v>7500</v>
      </c>
      <c r="H256" s="115">
        <v>7500</v>
      </c>
    </row>
    <row r="257" spans="1:8" ht="30" x14ac:dyDescent="0.25">
      <c r="A257" s="115">
        <v>7593</v>
      </c>
      <c r="B257" s="115" t="s">
        <v>128</v>
      </c>
      <c r="C257" s="115" t="s">
        <v>633</v>
      </c>
      <c r="D257" s="115">
        <v>1</v>
      </c>
      <c r="E257" s="115">
        <v>9273</v>
      </c>
      <c r="F257" s="115">
        <v>9273</v>
      </c>
      <c r="G257" s="115">
        <v>9273</v>
      </c>
      <c r="H257" s="115">
        <v>9273</v>
      </c>
    </row>
    <row r="258" spans="1:8" ht="30" x14ac:dyDescent="0.25">
      <c r="A258" s="115">
        <v>7592</v>
      </c>
      <c r="B258" s="115" t="s">
        <v>128</v>
      </c>
      <c r="C258" s="115" t="s">
        <v>634</v>
      </c>
      <c r="D258" s="115">
        <v>1</v>
      </c>
      <c r="E258" s="115">
        <v>13803</v>
      </c>
      <c r="F258" s="115">
        <v>13803</v>
      </c>
      <c r="G258" s="115">
        <v>13803</v>
      </c>
      <c r="H258" s="115">
        <v>13803</v>
      </c>
    </row>
    <row r="259" spans="1:8" ht="30" x14ac:dyDescent="0.25">
      <c r="A259" s="115">
        <v>7591</v>
      </c>
      <c r="B259" s="115" t="s">
        <v>128</v>
      </c>
      <c r="C259" s="115" t="s">
        <v>635</v>
      </c>
      <c r="D259" s="115">
        <v>1</v>
      </c>
      <c r="E259" s="115" t="s">
        <v>491</v>
      </c>
      <c r="F259" s="115" t="s">
        <v>491</v>
      </c>
      <c r="G259" s="115" t="s">
        <v>491</v>
      </c>
      <c r="H259" s="115" t="s">
        <v>74</v>
      </c>
    </row>
    <row r="260" spans="1:8" ht="30" x14ac:dyDescent="0.25">
      <c r="A260" s="115">
        <v>7590</v>
      </c>
      <c r="B260" s="115" t="s">
        <v>128</v>
      </c>
      <c r="C260" s="115" t="s">
        <v>636</v>
      </c>
      <c r="D260" s="115">
        <v>1</v>
      </c>
      <c r="E260" s="115" t="s">
        <v>515</v>
      </c>
      <c r="F260" s="115" t="s">
        <v>516</v>
      </c>
      <c r="G260" s="115" t="s">
        <v>515</v>
      </c>
      <c r="H260" s="115" t="s">
        <v>517</v>
      </c>
    </row>
    <row r="261" spans="1:8" ht="30" x14ac:dyDescent="0.25">
      <c r="A261" s="115">
        <v>7589</v>
      </c>
      <c r="B261" s="115" t="s">
        <v>128</v>
      </c>
      <c r="C261" s="115" t="s">
        <v>637</v>
      </c>
      <c r="D261" s="115">
        <v>1</v>
      </c>
      <c r="E261" s="115" t="s">
        <v>494</v>
      </c>
      <c r="F261" s="115" t="s">
        <v>495</v>
      </c>
      <c r="G261" s="115" t="s">
        <v>638</v>
      </c>
      <c r="H261" s="115" t="s">
        <v>497</v>
      </c>
    </row>
    <row r="262" spans="1:8" ht="30" x14ac:dyDescent="0.25">
      <c r="A262" s="115">
        <v>7588</v>
      </c>
      <c r="B262" s="115" t="s">
        <v>128</v>
      </c>
      <c r="C262" s="115" t="s">
        <v>639</v>
      </c>
      <c r="D262" s="115">
        <v>1</v>
      </c>
      <c r="E262" s="115">
        <v>3</v>
      </c>
      <c r="F262" s="115">
        <v>3</v>
      </c>
      <c r="G262" s="115">
        <v>3</v>
      </c>
      <c r="H262" s="115">
        <v>3</v>
      </c>
    </row>
    <row r="263" spans="1:8" ht="30" x14ac:dyDescent="0.25">
      <c r="A263" s="115">
        <v>7587</v>
      </c>
      <c r="B263" s="115" t="s">
        <v>128</v>
      </c>
      <c r="C263" s="115" t="s">
        <v>640</v>
      </c>
      <c r="D263" s="115">
        <v>1</v>
      </c>
      <c r="E263" s="115">
        <v>27827</v>
      </c>
      <c r="F263" s="115">
        <v>27827</v>
      </c>
      <c r="G263" s="115">
        <v>27827</v>
      </c>
      <c r="H263" s="115">
        <v>27827</v>
      </c>
    </row>
    <row r="264" spans="1:8" ht="30" x14ac:dyDescent="0.25">
      <c r="A264" s="115">
        <v>7586</v>
      </c>
      <c r="B264" s="115" t="s">
        <v>128</v>
      </c>
      <c r="C264" s="115" t="s">
        <v>641</v>
      </c>
      <c r="D264" s="115">
        <v>1</v>
      </c>
      <c r="E264" s="115">
        <v>40708</v>
      </c>
      <c r="F264" s="115">
        <v>40708</v>
      </c>
      <c r="G264" s="115">
        <v>40708</v>
      </c>
      <c r="H264" s="115">
        <v>40708</v>
      </c>
    </row>
    <row r="265" spans="1:8" ht="30" x14ac:dyDescent="0.25">
      <c r="A265" s="115">
        <v>7585</v>
      </c>
      <c r="B265" s="115" t="s">
        <v>128</v>
      </c>
      <c r="C265" s="115" t="s">
        <v>642</v>
      </c>
      <c r="D265" s="115">
        <v>1</v>
      </c>
      <c r="E265" s="115">
        <v>43803</v>
      </c>
      <c r="F265" s="115">
        <v>43803</v>
      </c>
      <c r="G265" s="115">
        <v>43803</v>
      </c>
      <c r="H265" s="115">
        <v>43803</v>
      </c>
    </row>
    <row r="266" spans="1:8" ht="30" x14ac:dyDescent="0.25">
      <c r="A266" s="115">
        <v>7584</v>
      </c>
      <c r="B266" s="115" t="s">
        <v>128</v>
      </c>
      <c r="C266" s="115" t="s">
        <v>643</v>
      </c>
      <c r="D266" s="115">
        <v>1</v>
      </c>
      <c r="E266" s="115" t="s">
        <v>644</v>
      </c>
      <c r="F266" s="115" t="s">
        <v>645</v>
      </c>
      <c r="G266" s="115" t="s">
        <v>644</v>
      </c>
      <c r="H266" s="115" t="s">
        <v>646</v>
      </c>
    </row>
    <row r="267" spans="1:8" ht="30" x14ac:dyDescent="0.25">
      <c r="A267" s="115">
        <v>7583</v>
      </c>
      <c r="B267" s="115" t="s">
        <v>128</v>
      </c>
      <c r="C267" s="115" t="s">
        <v>647</v>
      </c>
      <c r="D267" s="115">
        <v>1</v>
      </c>
      <c r="E267" s="115" t="s">
        <v>548</v>
      </c>
      <c r="F267" s="115" t="s">
        <v>549</v>
      </c>
      <c r="G267" s="115" t="s">
        <v>548</v>
      </c>
      <c r="H267" s="115" t="s">
        <v>550</v>
      </c>
    </row>
    <row r="268" spans="1:8" ht="30" x14ac:dyDescent="0.25">
      <c r="A268" s="115">
        <v>7582</v>
      </c>
      <c r="B268" s="115" t="s">
        <v>128</v>
      </c>
      <c r="C268" s="115" t="s">
        <v>648</v>
      </c>
      <c r="D268" s="115">
        <v>1</v>
      </c>
      <c r="E268" s="115" t="s">
        <v>552</v>
      </c>
      <c r="F268" s="115" t="s">
        <v>553</v>
      </c>
      <c r="G268" s="115" t="s">
        <v>649</v>
      </c>
      <c r="H268" s="115" t="s">
        <v>555</v>
      </c>
    </row>
    <row r="269" spans="1:8" ht="30" x14ac:dyDescent="0.25">
      <c r="A269" s="115">
        <v>7581</v>
      </c>
      <c r="B269" s="115" t="s">
        <v>128</v>
      </c>
      <c r="C269" s="115" t="s">
        <v>650</v>
      </c>
      <c r="D269" s="115">
        <v>1</v>
      </c>
      <c r="E269" s="115">
        <v>2</v>
      </c>
      <c r="F269" s="115">
        <v>2</v>
      </c>
      <c r="G269" s="115">
        <v>2</v>
      </c>
      <c r="H269" s="115">
        <v>2</v>
      </c>
    </row>
    <row r="270" spans="1:8" ht="30" x14ac:dyDescent="0.25">
      <c r="A270" s="115">
        <v>7580</v>
      </c>
      <c r="B270" s="115" t="s">
        <v>128</v>
      </c>
      <c r="C270" s="115" t="s">
        <v>651</v>
      </c>
      <c r="D270" s="115">
        <v>1</v>
      </c>
      <c r="E270" s="115">
        <v>65212</v>
      </c>
      <c r="F270" s="115">
        <v>65212</v>
      </c>
      <c r="G270" s="115">
        <v>65212</v>
      </c>
      <c r="H270" s="115">
        <v>65212</v>
      </c>
    </row>
    <row r="271" spans="1:8" ht="30" x14ac:dyDescent="0.25">
      <c r="A271" s="115">
        <v>7579</v>
      </c>
      <c r="B271" s="115" t="s">
        <v>128</v>
      </c>
      <c r="C271" s="115" t="s">
        <v>652</v>
      </c>
      <c r="D271" s="115">
        <v>1</v>
      </c>
      <c r="E271" s="115">
        <v>18025</v>
      </c>
      <c r="F271" s="115">
        <v>18025</v>
      </c>
      <c r="G271" s="115">
        <v>18025</v>
      </c>
      <c r="H271" s="115">
        <v>18025</v>
      </c>
    </row>
    <row r="272" spans="1:8" ht="30" x14ac:dyDescent="0.25">
      <c r="A272" s="115">
        <v>7578</v>
      </c>
      <c r="B272" s="115" t="s">
        <v>128</v>
      </c>
      <c r="C272" s="115" t="s">
        <v>653</v>
      </c>
      <c r="D272" s="115">
        <v>1</v>
      </c>
      <c r="E272" s="115">
        <v>53725</v>
      </c>
      <c r="F272" s="115">
        <v>53725</v>
      </c>
      <c r="G272" s="115">
        <v>53725</v>
      </c>
      <c r="H272" s="115">
        <v>53725</v>
      </c>
    </row>
    <row r="273" spans="1:8" ht="30" x14ac:dyDescent="0.25">
      <c r="A273" s="115">
        <v>7577</v>
      </c>
      <c r="B273" s="115" t="s">
        <v>128</v>
      </c>
      <c r="C273" s="115" t="s">
        <v>654</v>
      </c>
      <c r="D273" s="115">
        <v>1</v>
      </c>
      <c r="E273" s="115" t="s">
        <v>528</v>
      </c>
      <c r="F273" s="115" t="s">
        <v>529</v>
      </c>
      <c r="G273" s="115" t="s">
        <v>528</v>
      </c>
      <c r="H273" s="115" t="s">
        <v>530</v>
      </c>
    </row>
    <row r="274" spans="1:8" ht="30" x14ac:dyDescent="0.25">
      <c r="A274" s="115">
        <v>7576</v>
      </c>
      <c r="B274" s="115" t="s">
        <v>128</v>
      </c>
      <c r="C274" s="115" t="s">
        <v>655</v>
      </c>
      <c r="D274" s="115">
        <v>1</v>
      </c>
      <c r="E274" s="115" t="s">
        <v>532</v>
      </c>
      <c r="F274" s="115" t="s">
        <v>533</v>
      </c>
      <c r="G274" s="115" t="s">
        <v>532</v>
      </c>
      <c r="H274" s="115" t="s">
        <v>534</v>
      </c>
    </row>
    <row r="275" spans="1:8" ht="30" x14ac:dyDescent="0.25">
      <c r="A275" s="115">
        <v>7575</v>
      </c>
      <c r="B275" s="115" t="s">
        <v>128</v>
      </c>
      <c r="C275" s="115" t="s">
        <v>656</v>
      </c>
      <c r="D275" s="115">
        <v>1</v>
      </c>
      <c r="E275" s="115" t="s">
        <v>536</v>
      </c>
      <c r="F275" s="115" t="s">
        <v>536</v>
      </c>
      <c r="G275" s="115" t="s">
        <v>537</v>
      </c>
      <c r="H275" s="115" t="s">
        <v>538</v>
      </c>
    </row>
    <row r="276" spans="1:8" ht="30" x14ac:dyDescent="0.25">
      <c r="A276" s="115">
        <v>7574</v>
      </c>
      <c r="B276" s="115" t="s">
        <v>128</v>
      </c>
      <c r="C276" s="115" t="s">
        <v>657</v>
      </c>
      <c r="D276" s="115">
        <v>1</v>
      </c>
      <c r="E276" s="115">
        <v>1</v>
      </c>
      <c r="F276" s="115">
        <v>1</v>
      </c>
      <c r="G276" s="115">
        <v>1</v>
      </c>
      <c r="H276" s="115">
        <v>1</v>
      </c>
    </row>
    <row r="277" spans="1:8" ht="30" x14ac:dyDescent="0.25">
      <c r="A277" s="115">
        <v>7573</v>
      </c>
      <c r="B277" s="115" t="s">
        <v>128</v>
      </c>
      <c r="C277" s="115" t="s">
        <v>658</v>
      </c>
      <c r="D277" s="115">
        <v>1</v>
      </c>
      <c r="E277" s="115">
        <v>149869</v>
      </c>
      <c r="F277" s="115">
        <v>149869</v>
      </c>
      <c r="G277" s="115">
        <v>149869</v>
      </c>
      <c r="H277" s="115">
        <v>149869</v>
      </c>
    </row>
    <row r="278" spans="1:8" ht="45" x14ac:dyDescent="0.25">
      <c r="A278" s="115">
        <v>7572</v>
      </c>
      <c r="B278" s="115" t="s">
        <v>128</v>
      </c>
      <c r="C278" s="115" t="s">
        <v>659</v>
      </c>
      <c r="D278" s="115">
        <v>1</v>
      </c>
      <c r="E278" s="115" t="s">
        <v>559</v>
      </c>
      <c r="F278" s="115" t="s">
        <v>559</v>
      </c>
      <c r="G278" s="115" t="s">
        <v>560</v>
      </c>
      <c r="H278" s="115" t="s">
        <v>561</v>
      </c>
    </row>
    <row r="279" spans="1:8" ht="30" x14ac:dyDescent="0.25">
      <c r="A279" s="115">
        <v>7571</v>
      </c>
      <c r="B279" s="115" t="s">
        <v>128</v>
      </c>
      <c r="C279" s="115" t="s">
        <v>660</v>
      </c>
      <c r="D279" s="115">
        <v>1</v>
      </c>
      <c r="E279" s="115" t="s">
        <v>661</v>
      </c>
      <c r="F279" s="115" t="s">
        <v>662</v>
      </c>
      <c r="G279" s="115" t="s">
        <v>663</v>
      </c>
      <c r="H279" s="115" t="s">
        <v>664</v>
      </c>
    </row>
    <row r="280" spans="1:8" ht="30" x14ac:dyDescent="0.25">
      <c r="A280" s="115">
        <v>7570</v>
      </c>
      <c r="B280" s="115" t="s">
        <v>128</v>
      </c>
      <c r="C280" s="115" t="s">
        <v>665</v>
      </c>
      <c r="D280" s="115">
        <v>1</v>
      </c>
      <c r="E280" s="115">
        <v>47843</v>
      </c>
      <c r="F280" s="115">
        <v>47843</v>
      </c>
      <c r="G280" s="115">
        <v>47843</v>
      </c>
      <c r="H280" s="115">
        <v>47843</v>
      </c>
    </row>
    <row r="281" spans="1:8" ht="30" x14ac:dyDescent="0.25">
      <c r="A281" s="115">
        <v>7569</v>
      </c>
      <c r="B281" s="115" t="s">
        <v>128</v>
      </c>
      <c r="C281" s="115" t="s">
        <v>666</v>
      </c>
      <c r="D281" s="115">
        <v>1</v>
      </c>
      <c r="E281" s="115">
        <v>164392</v>
      </c>
      <c r="F281" s="115">
        <v>164392</v>
      </c>
      <c r="G281" s="115">
        <v>164392</v>
      </c>
      <c r="H281" s="115">
        <v>164392</v>
      </c>
    </row>
    <row r="282" spans="1:8" ht="30" x14ac:dyDescent="0.25">
      <c r="A282" s="115">
        <v>7568</v>
      </c>
      <c r="B282" s="115" t="s">
        <v>128</v>
      </c>
      <c r="C282" s="115" t="s">
        <v>667</v>
      </c>
      <c r="D282" s="115">
        <v>1</v>
      </c>
      <c r="E282" s="115" t="s">
        <v>491</v>
      </c>
      <c r="F282" s="115" t="s">
        <v>491</v>
      </c>
      <c r="G282" s="115" t="s">
        <v>491</v>
      </c>
      <c r="H282" s="115" t="s">
        <v>74</v>
      </c>
    </row>
    <row r="283" spans="1:8" ht="30" x14ac:dyDescent="0.25">
      <c r="A283" s="115">
        <v>7567</v>
      </c>
      <c r="B283" s="115" t="s">
        <v>128</v>
      </c>
      <c r="C283" s="115" t="s">
        <v>668</v>
      </c>
      <c r="D283" s="115">
        <v>1</v>
      </c>
      <c r="E283" s="115" t="s">
        <v>515</v>
      </c>
      <c r="F283" s="115" t="s">
        <v>516</v>
      </c>
      <c r="G283" s="115" t="s">
        <v>515</v>
      </c>
      <c r="H283" s="115" t="s">
        <v>517</v>
      </c>
    </row>
    <row r="284" spans="1:8" ht="30" x14ac:dyDescent="0.25">
      <c r="A284" s="115">
        <v>7566</v>
      </c>
      <c r="B284" s="115" t="s">
        <v>128</v>
      </c>
      <c r="C284" s="115" t="s">
        <v>669</v>
      </c>
      <c r="D284" s="115">
        <v>1</v>
      </c>
      <c r="E284" s="115" t="s">
        <v>494</v>
      </c>
      <c r="F284" s="115" t="s">
        <v>495</v>
      </c>
      <c r="G284" s="115" t="s">
        <v>638</v>
      </c>
      <c r="H284" s="115" t="s">
        <v>497</v>
      </c>
    </row>
    <row r="285" spans="1:8" ht="30" x14ac:dyDescent="0.25">
      <c r="A285" s="115">
        <v>7565</v>
      </c>
      <c r="B285" s="115" t="s">
        <v>128</v>
      </c>
      <c r="C285" s="115" t="s">
        <v>670</v>
      </c>
      <c r="D285" s="115">
        <v>1</v>
      </c>
      <c r="E285" s="115">
        <v>5</v>
      </c>
      <c r="F285" s="115">
        <v>5</v>
      </c>
      <c r="G285" s="115">
        <v>5</v>
      </c>
      <c r="H285" s="115">
        <v>5</v>
      </c>
    </row>
    <row r="286" spans="1:8" ht="30" x14ac:dyDescent="0.25">
      <c r="A286" s="115">
        <v>7564</v>
      </c>
      <c r="B286" s="115" t="s">
        <v>128</v>
      </c>
      <c r="C286" s="115" t="s">
        <v>671</v>
      </c>
      <c r="D286" s="115">
        <v>1</v>
      </c>
      <c r="E286" s="115">
        <v>392735</v>
      </c>
      <c r="F286" s="115">
        <v>392735</v>
      </c>
      <c r="G286" s="115">
        <v>392735</v>
      </c>
      <c r="H286" s="115">
        <v>392735</v>
      </c>
    </row>
    <row r="287" spans="1:8" ht="30" x14ac:dyDescent="0.25">
      <c r="A287" s="115">
        <v>7563</v>
      </c>
      <c r="B287" s="115" t="s">
        <v>128</v>
      </c>
      <c r="C287" s="115" t="s">
        <v>672</v>
      </c>
      <c r="D287" s="115">
        <v>1</v>
      </c>
      <c r="E287" s="115">
        <v>209075</v>
      </c>
      <c r="F287" s="115">
        <v>209075</v>
      </c>
      <c r="G287" s="115">
        <v>209075</v>
      </c>
      <c r="H287" s="115">
        <v>209075</v>
      </c>
    </row>
    <row r="288" spans="1:8" ht="30" x14ac:dyDescent="0.25">
      <c r="A288" s="115">
        <v>7562</v>
      </c>
      <c r="B288" s="115" t="s">
        <v>128</v>
      </c>
      <c r="C288" s="115" t="s">
        <v>673</v>
      </c>
      <c r="D288" s="115">
        <v>1</v>
      </c>
      <c r="E288" s="115">
        <v>1160043</v>
      </c>
      <c r="F288" s="115">
        <v>1160043</v>
      </c>
      <c r="G288" s="115">
        <v>1160043</v>
      </c>
      <c r="H288" s="115">
        <v>1160043</v>
      </c>
    </row>
    <row r="289" spans="1:8" ht="30" x14ac:dyDescent="0.25">
      <c r="A289" s="115">
        <v>7561</v>
      </c>
      <c r="B289" s="115" t="s">
        <v>128</v>
      </c>
      <c r="C289" s="115" t="s">
        <v>674</v>
      </c>
      <c r="D289" s="115">
        <v>1</v>
      </c>
      <c r="E289" s="115" t="s">
        <v>491</v>
      </c>
      <c r="F289" s="115" t="s">
        <v>491</v>
      </c>
      <c r="G289" s="115" t="s">
        <v>491</v>
      </c>
      <c r="H289" s="115" t="s">
        <v>74</v>
      </c>
    </row>
    <row r="290" spans="1:8" ht="30" x14ac:dyDescent="0.25">
      <c r="A290" s="115">
        <v>7560</v>
      </c>
      <c r="B290" s="115" t="s">
        <v>128</v>
      </c>
      <c r="C290" s="115" t="s">
        <v>675</v>
      </c>
      <c r="D290" s="115">
        <v>1</v>
      </c>
      <c r="E290" s="115" t="s">
        <v>532</v>
      </c>
      <c r="F290" s="115" t="s">
        <v>533</v>
      </c>
      <c r="G290" s="115" t="s">
        <v>532</v>
      </c>
      <c r="H290" s="115" t="s">
        <v>534</v>
      </c>
    </row>
    <row r="291" spans="1:8" ht="30" x14ac:dyDescent="0.25">
      <c r="A291" s="115">
        <v>7559</v>
      </c>
      <c r="B291" s="115" t="s">
        <v>128</v>
      </c>
      <c r="C291" s="115" t="s">
        <v>676</v>
      </c>
      <c r="D291" s="115">
        <v>1</v>
      </c>
      <c r="E291" s="115" t="s">
        <v>536</v>
      </c>
      <c r="F291" s="115" t="s">
        <v>536</v>
      </c>
      <c r="G291" s="115" t="s">
        <v>537</v>
      </c>
      <c r="H291" s="115" t="s">
        <v>538</v>
      </c>
    </row>
    <row r="292" spans="1:8" ht="30" x14ac:dyDescent="0.25">
      <c r="A292" s="115">
        <v>7558</v>
      </c>
      <c r="B292" s="115" t="s">
        <v>128</v>
      </c>
      <c r="C292" s="115" t="s">
        <v>677</v>
      </c>
      <c r="D292" s="115">
        <v>1</v>
      </c>
      <c r="E292" s="115">
        <v>4</v>
      </c>
      <c r="F292" s="115">
        <v>4</v>
      </c>
      <c r="G292" s="115">
        <v>4</v>
      </c>
      <c r="H292" s="115">
        <v>4</v>
      </c>
    </row>
    <row r="293" spans="1:8" ht="30" x14ac:dyDescent="0.25">
      <c r="A293" s="115">
        <v>7557</v>
      </c>
      <c r="B293" s="115" t="s">
        <v>128</v>
      </c>
      <c r="C293" s="115" t="s">
        <v>678</v>
      </c>
      <c r="D293" s="115">
        <v>1</v>
      </c>
      <c r="E293" s="115">
        <v>398000</v>
      </c>
      <c r="F293" s="115">
        <v>398000</v>
      </c>
      <c r="G293" s="115">
        <v>398000</v>
      </c>
      <c r="H293" s="115">
        <v>398000</v>
      </c>
    </row>
    <row r="294" spans="1:8" ht="30" x14ac:dyDescent="0.25">
      <c r="A294" s="115">
        <v>7556</v>
      </c>
      <c r="B294" s="115" t="s">
        <v>128</v>
      </c>
      <c r="C294" s="115" t="s">
        <v>679</v>
      </c>
      <c r="D294" s="115">
        <v>1</v>
      </c>
      <c r="E294" s="115">
        <v>450000</v>
      </c>
      <c r="F294" s="115">
        <v>450000</v>
      </c>
      <c r="G294" s="115">
        <v>450000</v>
      </c>
      <c r="H294" s="115">
        <v>450000</v>
      </c>
    </row>
    <row r="295" spans="1:8" ht="30" x14ac:dyDescent="0.25">
      <c r="A295" s="115">
        <v>7555</v>
      </c>
      <c r="B295" s="115" t="s">
        <v>128</v>
      </c>
      <c r="C295" s="115" t="s">
        <v>680</v>
      </c>
      <c r="D295" s="115">
        <v>1</v>
      </c>
      <c r="E295" s="115">
        <v>931235</v>
      </c>
      <c r="F295" s="115">
        <v>931235</v>
      </c>
      <c r="G295" s="115">
        <v>931235</v>
      </c>
      <c r="H295" s="115">
        <v>931235</v>
      </c>
    </row>
    <row r="296" spans="1:8" ht="30" x14ac:dyDescent="0.25">
      <c r="A296" s="115">
        <v>7554</v>
      </c>
      <c r="B296" s="115" t="s">
        <v>128</v>
      </c>
      <c r="C296" s="115" t="s">
        <v>681</v>
      </c>
      <c r="D296" s="115">
        <v>1</v>
      </c>
      <c r="E296" s="115" t="s">
        <v>491</v>
      </c>
      <c r="F296" s="115" t="s">
        <v>491</v>
      </c>
      <c r="G296" s="115" t="s">
        <v>491</v>
      </c>
      <c r="H296" s="115" t="s">
        <v>74</v>
      </c>
    </row>
    <row r="297" spans="1:8" ht="30" x14ac:dyDescent="0.25">
      <c r="A297" s="115">
        <v>7553</v>
      </c>
      <c r="B297" s="115" t="s">
        <v>128</v>
      </c>
      <c r="C297" s="115" t="s">
        <v>682</v>
      </c>
      <c r="D297" s="115">
        <v>1</v>
      </c>
      <c r="E297" s="115" t="s">
        <v>683</v>
      </c>
      <c r="F297" s="115" t="s">
        <v>684</v>
      </c>
      <c r="G297" s="115" t="s">
        <v>683</v>
      </c>
      <c r="H297" s="115" t="s">
        <v>685</v>
      </c>
    </row>
    <row r="298" spans="1:8" ht="30" x14ac:dyDescent="0.25">
      <c r="A298" s="115">
        <v>7552</v>
      </c>
      <c r="B298" s="115" t="s">
        <v>128</v>
      </c>
      <c r="C298" s="115" t="s">
        <v>686</v>
      </c>
      <c r="D298" s="115">
        <v>1</v>
      </c>
      <c r="E298" s="115" t="s">
        <v>519</v>
      </c>
      <c r="F298" s="115" t="s">
        <v>520</v>
      </c>
      <c r="G298" s="115" t="s">
        <v>521</v>
      </c>
      <c r="H298" s="115" t="s">
        <v>522</v>
      </c>
    </row>
    <row r="299" spans="1:8" ht="30" x14ac:dyDescent="0.25">
      <c r="A299" s="115">
        <v>7551</v>
      </c>
      <c r="B299" s="115" t="s">
        <v>128</v>
      </c>
      <c r="C299" s="115" t="s">
        <v>687</v>
      </c>
      <c r="D299" s="115">
        <v>1</v>
      </c>
      <c r="E299" s="115">
        <v>3</v>
      </c>
      <c r="F299" s="115">
        <v>3</v>
      </c>
      <c r="G299" s="115">
        <v>3</v>
      </c>
      <c r="H299" s="115">
        <v>3</v>
      </c>
    </row>
    <row r="300" spans="1:8" ht="30" x14ac:dyDescent="0.25">
      <c r="A300" s="115">
        <v>7550</v>
      </c>
      <c r="B300" s="115" t="s">
        <v>128</v>
      </c>
      <c r="C300" s="115" t="s">
        <v>688</v>
      </c>
      <c r="D300" s="115">
        <v>1</v>
      </c>
      <c r="E300" s="115">
        <v>578405</v>
      </c>
      <c r="F300" s="115">
        <v>578405</v>
      </c>
      <c r="G300" s="115">
        <v>578405</v>
      </c>
      <c r="H300" s="115">
        <v>578405</v>
      </c>
    </row>
    <row r="301" spans="1:8" ht="30" x14ac:dyDescent="0.25">
      <c r="A301" s="115">
        <v>7549</v>
      </c>
      <c r="B301" s="115" t="s">
        <v>128</v>
      </c>
      <c r="C301" s="115" t="s">
        <v>689</v>
      </c>
      <c r="D301" s="115">
        <v>1</v>
      </c>
      <c r="E301" s="115">
        <v>40000</v>
      </c>
      <c r="F301" s="115">
        <v>40000</v>
      </c>
      <c r="G301" s="115">
        <v>40000</v>
      </c>
      <c r="H301" s="115">
        <v>40000</v>
      </c>
    </row>
    <row r="302" spans="1:8" ht="30" x14ac:dyDescent="0.25">
      <c r="A302" s="115">
        <v>7548</v>
      </c>
      <c r="B302" s="115" t="s">
        <v>128</v>
      </c>
      <c r="C302" s="115" t="s">
        <v>690</v>
      </c>
      <c r="D302" s="115">
        <v>1</v>
      </c>
      <c r="E302" s="115">
        <v>92980</v>
      </c>
      <c r="F302" s="115">
        <v>92980</v>
      </c>
      <c r="G302" s="115">
        <v>92980</v>
      </c>
      <c r="H302" s="115">
        <v>92980</v>
      </c>
    </row>
    <row r="303" spans="1:8" ht="30" x14ac:dyDescent="0.25">
      <c r="A303" s="115">
        <v>7547</v>
      </c>
      <c r="B303" s="115" t="s">
        <v>128</v>
      </c>
      <c r="C303" s="115" t="s">
        <v>691</v>
      </c>
      <c r="D303" s="115">
        <v>1</v>
      </c>
      <c r="E303" s="115" t="s">
        <v>491</v>
      </c>
      <c r="F303" s="115" t="s">
        <v>491</v>
      </c>
      <c r="G303" s="115" t="s">
        <v>491</v>
      </c>
      <c r="H303" s="115" t="s">
        <v>74</v>
      </c>
    </row>
    <row r="304" spans="1:8" ht="30" x14ac:dyDescent="0.25">
      <c r="A304" s="115">
        <v>7546</v>
      </c>
      <c r="B304" s="115" t="s">
        <v>128</v>
      </c>
      <c r="C304" s="115" t="s">
        <v>692</v>
      </c>
      <c r="D304" s="115">
        <v>1</v>
      </c>
      <c r="E304" s="115" t="s">
        <v>693</v>
      </c>
      <c r="F304" s="115" t="s">
        <v>694</v>
      </c>
      <c r="G304" s="115" t="s">
        <v>693</v>
      </c>
      <c r="H304" s="115" t="s">
        <v>695</v>
      </c>
    </row>
    <row r="305" spans="1:8" ht="30" x14ac:dyDescent="0.25">
      <c r="A305" s="115">
        <v>7545</v>
      </c>
      <c r="B305" s="115" t="s">
        <v>128</v>
      </c>
      <c r="C305" s="115" t="s">
        <v>696</v>
      </c>
      <c r="D305" s="115">
        <v>1</v>
      </c>
      <c r="E305" s="115" t="s">
        <v>505</v>
      </c>
      <c r="F305" s="115" t="s">
        <v>506</v>
      </c>
      <c r="G305" s="115" t="s">
        <v>507</v>
      </c>
      <c r="H305" s="115" t="s">
        <v>508</v>
      </c>
    </row>
    <row r="306" spans="1:8" ht="30" x14ac:dyDescent="0.25">
      <c r="A306" s="115">
        <v>7544</v>
      </c>
      <c r="B306" s="115" t="s">
        <v>128</v>
      </c>
      <c r="C306" s="115" t="s">
        <v>697</v>
      </c>
      <c r="D306" s="115">
        <v>1</v>
      </c>
      <c r="E306" s="115">
        <v>2</v>
      </c>
      <c r="F306" s="115">
        <v>2</v>
      </c>
      <c r="G306" s="115">
        <v>2</v>
      </c>
      <c r="H306" s="115">
        <v>2</v>
      </c>
    </row>
    <row r="307" spans="1:8" ht="30" x14ac:dyDescent="0.25">
      <c r="A307" s="115">
        <v>7543</v>
      </c>
      <c r="B307" s="115" t="s">
        <v>128</v>
      </c>
      <c r="C307" s="115" t="s">
        <v>698</v>
      </c>
      <c r="D307" s="115">
        <v>1</v>
      </c>
      <c r="E307" s="115">
        <v>2353668</v>
      </c>
      <c r="F307" s="115">
        <v>2353668</v>
      </c>
      <c r="G307" s="115">
        <v>2353668</v>
      </c>
      <c r="H307" s="115">
        <v>2353668</v>
      </c>
    </row>
    <row r="308" spans="1:8" ht="30" x14ac:dyDescent="0.25">
      <c r="A308" s="115">
        <v>7542</v>
      </c>
      <c r="B308" s="115" t="s">
        <v>128</v>
      </c>
      <c r="C308" s="115" t="s">
        <v>699</v>
      </c>
      <c r="D308" s="115">
        <v>1</v>
      </c>
      <c r="E308" s="115">
        <v>2179837</v>
      </c>
      <c r="F308" s="115">
        <v>2179837</v>
      </c>
      <c r="G308" s="115">
        <v>2179837</v>
      </c>
      <c r="H308" s="115">
        <v>2179837</v>
      </c>
    </row>
    <row r="309" spans="1:8" ht="30" x14ac:dyDescent="0.25">
      <c r="A309" s="115">
        <v>7541</v>
      </c>
      <c r="B309" s="115" t="s">
        <v>128</v>
      </c>
      <c r="C309" s="115" t="s">
        <v>700</v>
      </c>
      <c r="D309" s="115">
        <v>1</v>
      </c>
      <c r="E309" s="115">
        <v>4333656</v>
      </c>
      <c r="F309" s="115">
        <v>4333656</v>
      </c>
      <c r="G309" s="115">
        <v>4333656</v>
      </c>
      <c r="H309" s="115">
        <v>4333656</v>
      </c>
    </row>
    <row r="310" spans="1:8" ht="30" x14ac:dyDescent="0.25">
      <c r="A310" s="115">
        <v>7540</v>
      </c>
      <c r="B310" s="115" t="s">
        <v>128</v>
      </c>
      <c r="C310" s="115" t="s">
        <v>701</v>
      </c>
      <c r="D310" s="115">
        <v>1</v>
      </c>
      <c r="E310" s="115" t="s">
        <v>548</v>
      </c>
      <c r="F310" s="115" t="s">
        <v>549</v>
      </c>
      <c r="G310" s="115" t="s">
        <v>548</v>
      </c>
      <c r="H310" s="115" t="s">
        <v>550</v>
      </c>
    </row>
    <row r="311" spans="1:8" ht="30" x14ac:dyDescent="0.25">
      <c r="A311" s="115">
        <v>7539</v>
      </c>
      <c r="B311" s="115" t="s">
        <v>128</v>
      </c>
      <c r="C311" s="115" t="s">
        <v>702</v>
      </c>
      <c r="D311" s="115">
        <v>1</v>
      </c>
      <c r="E311" s="115" t="s">
        <v>703</v>
      </c>
      <c r="F311" s="115" t="s">
        <v>704</v>
      </c>
      <c r="G311" s="115" t="s">
        <v>703</v>
      </c>
      <c r="H311" s="115" t="s">
        <v>705</v>
      </c>
    </row>
    <row r="312" spans="1:8" ht="30" x14ac:dyDescent="0.25">
      <c r="A312" s="115">
        <v>7538</v>
      </c>
      <c r="B312" s="115" t="s">
        <v>128</v>
      </c>
      <c r="C312" s="115" t="s">
        <v>706</v>
      </c>
      <c r="D312" s="115">
        <v>1</v>
      </c>
      <c r="E312" s="115" t="s">
        <v>552</v>
      </c>
      <c r="F312" s="115" t="s">
        <v>553</v>
      </c>
      <c r="G312" s="115" t="s">
        <v>649</v>
      </c>
      <c r="H312" s="115" t="s">
        <v>555</v>
      </c>
    </row>
    <row r="313" spans="1:8" ht="30" x14ac:dyDescent="0.25">
      <c r="A313" s="115">
        <v>7537</v>
      </c>
      <c r="B313" s="115" t="s">
        <v>128</v>
      </c>
      <c r="C313" s="115" t="s">
        <v>707</v>
      </c>
      <c r="D313" s="115">
        <v>1</v>
      </c>
      <c r="E313" s="115">
        <v>1</v>
      </c>
      <c r="F313" s="115">
        <v>1</v>
      </c>
      <c r="G313" s="115">
        <v>1</v>
      </c>
      <c r="H313" s="115">
        <v>1</v>
      </c>
    </row>
    <row r="314" spans="1:8" ht="30" x14ac:dyDescent="0.25">
      <c r="A314" s="115">
        <v>7536</v>
      </c>
      <c r="B314" s="115" t="s">
        <v>128</v>
      </c>
      <c r="C314" s="115" t="s">
        <v>708</v>
      </c>
      <c r="D314" s="115">
        <v>1</v>
      </c>
      <c r="E314" s="115">
        <v>2700000</v>
      </c>
      <c r="F314" s="115">
        <v>2700000</v>
      </c>
      <c r="G314" s="115">
        <v>2700000</v>
      </c>
      <c r="H314" s="115">
        <v>2700000</v>
      </c>
    </row>
    <row r="315" spans="1:8" ht="45" x14ac:dyDescent="0.25">
      <c r="A315" s="115">
        <v>7535</v>
      </c>
      <c r="B315" s="115" t="s">
        <v>128</v>
      </c>
      <c r="C315" s="115" t="s">
        <v>709</v>
      </c>
      <c r="D315" s="115">
        <v>1</v>
      </c>
      <c r="E315" s="115" t="s">
        <v>559</v>
      </c>
      <c r="F315" s="115" t="s">
        <v>559</v>
      </c>
      <c r="G315" s="115" t="s">
        <v>560</v>
      </c>
      <c r="H315" s="115" t="s">
        <v>561</v>
      </c>
    </row>
    <row r="316" spans="1:8" ht="30" x14ac:dyDescent="0.25">
      <c r="A316" s="115">
        <v>7534</v>
      </c>
      <c r="B316" s="115" t="s">
        <v>128</v>
      </c>
      <c r="C316" s="115" t="s">
        <v>710</v>
      </c>
      <c r="D316" s="115">
        <v>1</v>
      </c>
      <c r="E316" s="115" t="s">
        <v>711</v>
      </c>
      <c r="F316" s="115" t="s">
        <v>712</v>
      </c>
      <c r="G316" s="115" t="s">
        <v>713</v>
      </c>
      <c r="H316" s="115" t="s">
        <v>714</v>
      </c>
    </row>
    <row r="317" spans="1:8" ht="30" x14ac:dyDescent="0.25">
      <c r="A317" s="115">
        <v>7533</v>
      </c>
      <c r="B317" s="115" t="s">
        <v>128</v>
      </c>
      <c r="C317" s="115" t="s">
        <v>715</v>
      </c>
      <c r="D317" s="115">
        <v>1</v>
      </c>
      <c r="E317" s="115">
        <v>508</v>
      </c>
      <c r="F317" s="115">
        <v>508</v>
      </c>
      <c r="G317" s="115">
        <v>508</v>
      </c>
      <c r="H317" s="115">
        <v>508</v>
      </c>
    </row>
    <row r="318" spans="1:8" ht="30" x14ac:dyDescent="0.25">
      <c r="A318" s="115">
        <v>7532</v>
      </c>
      <c r="B318" s="115" t="s">
        <v>128</v>
      </c>
      <c r="C318" s="115" t="s">
        <v>716</v>
      </c>
      <c r="D318" s="115">
        <v>1</v>
      </c>
      <c r="E318" s="115">
        <v>2100</v>
      </c>
      <c r="F318" s="115">
        <v>2100</v>
      </c>
      <c r="G318" s="115">
        <v>2100</v>
      </c>
      <c r="H318" s="115">
        <v>2100</v>
      </c>
    </row>
    <row r="319" spans="1:8" ht="30" x14ac:dyDescent="0.25">
      <c r="A319" s="115">
        <v>7531</v>
      </c>
      <c r="B319" s="115" t="s">
        <v>128</v>
      </c>
      <c r="C319" s="115" t="s">
        <v>717</v>
      </c>
      <c r="D319" s="115">
        <v>1</v>
      </c>
      <c r="E319" s="115" t="s">
        <v>491</v>
      </c>
      <c r="F319" s="115" t="s">
        <v>491</v>
      </c>
      <c r="G319" s="115" t="s">
        <v>491</v>
      </c>
      <c r="H319" s="115" t="s">
        <v>74</v>
      </c>
    </row>
    <row r="320" spans="1:8" ht="30" x14ac:dyDescent="0.25">
      <c r="A320" s="115">
        <v>7530</v>
      </c>
      <c r="B320" s="115" t="s">
        <v>128</v>
      </c>
      <c r="C320" s="115" t="s">
        <v>718</v>
      </c>
      <c r="D320" s="115">
        <v>1</v>
      </c>
      <c r="E320" s="115" t="s">
        <v>491</v>
      </c>
      <c r="F320" s="115" t="s">
        <v>491</v>
      </c>
      <c r="G320" s="115" t="s">
        <v>491</v>
      </c>
      <c r="H320" s="115" t="s">
        <v>74</v>
      </c>
    </row>
    <row r="321" spans="1:8" ht="30" x14ac:dyDescent="0.25">
      <c r="A321" s="115">
        <v>7529</v>
      </c>
      <c r="B321" s="115" t="s">
        <v>128</v>
      </c>
      <c r="C321" s="115" t="s">
        <v>719</v>
      </c>
      <c r="D321" s="115">
        <v>1</v>
      </c>
      <c r="E321" s="115" t="s">
        <v>494</v>
      </c>
      <c r="F321" s="115" t="s">
        <v>495</v>
      </c>
      <c r="G321" s="115" t="s">
        <v>638</v>
      </c>
      <c r="H321" s="115" t="s">
        <v>497</v>
      </c>
    </row>
    <row r="322" spans="1:8" ht="30" x14ac:dyDescent="0.25">
      <c r="A322" s="115">
        <v>7528</v>
      </c>
      <c r="B322" s="115" t="s">
        <v>128</v>
      </c>
      <c r="C322" s="115" t="s">
        <v>720</v>
      </c>
      <c r="D322" s="115">
        <v>1</v>
      </c>
      <c r="E322" s="115">
        <v>5</v>
      </c>
      <c r="F322" s="115">
        <v>5</v>
      </c>
      <c r="G322" s="115">
        <v>5</v>
      </c>
      <c r="H322" s="115">
        <v>5</v>
      </c>
    </row>
    <row r="323" spans="1:8" ht="30" x14ac:dyDescent="0.25">
      <c r="A323" s="115">
        <v>7527</v>
      </c>
      <c r="B323" s="115" t="s">
        <v>128</v>
      </c>
      <c r="C323" s="115" t="s">
        <v>721</v>
      </c>
      <c r="D323" s="115">
        <v>1</v>
      </c>
      <c r="E323" s="115">
        <v>532</v>
      </c>
      <c r="F323" s="115">
        <v>532</v>
      </c>
      <c r="G323" s="115">
        <v>532</v>
      </c>
      <c r="H323" s="115">
        <v>532</v>
      </c>
    </row>
    <row r="324" spans="1:8" ht="30" x14ac:dyDescent="0.25">
      <c r="A324" s="115">
        <v>7526</v>
      </c>
      <c r="B324" s="115" t="s">
        <v>128</v>
      </c>
      <c r="C324" s="115" t="s">
        <v>722</v>
      </c>
      <c r="D324" s="115">
        <v>1</v>
      </c>
      <c r="E324" s="115">
        <v>264</v>
      </c>
      <c r="F324" s="115">
        <v>264</v>
      </c>
      <c r="G324" s="115">
        <v>264</v>
      </c>
      <c r="H324" s="115">
        <v>264</v>
      </c>
    </row>
    <row r="325" spans="1:8" ht="30" x14ac:dyDescent="0.25">
      <c r="A325" s="115">
        <v>7525</v>
      </c>
      <c r="B325" s="115" t="s">
        <v>128</v>
      </c>
      <c r="C325" s="115" t="s">
        <v>723</v>
      </c>
      <c r="D325" s="115">
        <v>1</v>
      </c>
      <c r="E325" s="115">
        <v>561</v>
      </c>
      <c r="F325" s="115">
        <v>561</v>
      </c>
      <c r="G325" s="115">
        <v>561</v>
      </c>
      <c r="H325" s="115">
        <v>561</v>
      </c>
    </row>
    <row r="326" spans="1:8" ht="30" x14ac:dyDescent="0.25">
      <c r="A326" s="115">
        <v>7524</v>
      </c>
      <c r="B326" s="115" t="s">
        <v>128</v>
      </c>
      <c r="C326" s="115" t="s">
        <v>724</v>
      </c>
      <c r="D326" s="115">
        <v>1</v>
      </c>
      <c r="E326" s="115" t="s">
        <v>491</v>
      </c>
      <c r="F326" s="115" t="s">
        <v>491</v>
      </c>
      <c r="G326" s="115" t="s">
        <v>491</v>
      </c>
      <c r="H326" s="115" t="s">
        <v>74</v>
      </c>
    </row>
    <row r="327" spans="1:8" ht="30" x14ac:dyDescent="0.25">
      <c r="A327" s="115">
        <v>7523</v>
      </c>
      <c r="B327" s="115" t="s">
        <v>128</v>
      </c>
      <c r="C327" s="115" t="s">
        <v>725</v>
      </c>
      <c r="D327" s="115">
        <v>1</v>
      </c>
      <c r="E327" s="115" t="s">
        <v>491</v>
      </c>
      <c r="F327" s="115" t="s">
        <v>491</v>
      </c>
      <c r="G327" s="115" t="s">
        <v>491</v>
      </c>
      <c r="H327" s="115" t="s">
        <v>74</v>
      </c>
    </row>
    <row r="328" spans="1:8" ht="30" x14ac:dyDescent="0.25">
      <c r="A328" s="115">
        <v>7522</v>
      </c>
      <c r="B328" s="115" t="s">
        <v>128</v>
      </c>
      <c r="C328" s="115" t="s">
        <v>726</v>
      </c>
      <c r="D328" s="115">
        <v>1</v>
      </c>
      <c r="E328" s="115" t="s">
        <v>505</v>
      </c>
      <c r="F328" s="115" t="s">
        <v>506</v>
      </c>
      <c r="G328" s="115" t="s">
        <v>507</v>
      </c>
      <c r="H328" s="115" t="s">
        <v>508</v>
      </c>
    </row>
    <row r="329" spans="1:8" ht="30" x14ac:dyDescent="0.25">
      <c r="A329" s="115">
        <v>7521</v>
      </c>
      <c r="B329" s="115" t="s">
        <v>128</v>
      </c>
      <c r="C329" s="115" t="s">
        <v>727</v>
      </c>
      <c r="D329" s="115">
        <v>1</v>
      </c>
      <c r="E329" s="115">
        <v>4</v>
      </c>
      <c r="F329" s="115">
        <v>4</v>
      </c>
      <c r="G329" s="115">
        <v>4</v>
      </c>
      <c r="H329" s="115">
        <v>4</v>
      </c>
    </row>
    <row r="330" spans="1:8" ht="30" x14ac:dyDescent="0.25">
      <c r="A330" s="115">
        <v>7520</v>
      </c>
      <c r="B330" s="115" t="s">
        <v>128</v>
      </c>
      <c r="C330" s="115" t="s">
        <v>728</v>
      </c>
      <c r="D330" s="115">
        <v>1</v>
      </c>
      <c r="E330" s="115">
        <v>3800</v>
      </c>
      <c r="F330" s="115">
        <v>3800</v>
      </c>
      <c r="G330" s="115">
        <v>3800</v>
      </c>
      <c r="H330" s="115">
        <v>3800</v>
      </c>
    </row>
    <row r="331" spans="1:8" ht="30" x14ac:dyDescent="0.25">
      <c r="A331" s="115">
        <v>7519</v>
      </c>
      <c r="B331" s="115" t="s">
        <v>128</v>
      </c>
      <c r="C331" s="115" t="s">
        <v>729</v>
      </c>
      <c r="D331" s="115">
        <v>1</v>
      </c>
      <c r="E331" s="115">
        <v>2853</v>
      </c>
      <c r="F331" s="115">
        <v>2853</v>
      </c>
      <c r="G331" s="115">
        <v>2853</v>
      </c>
      <c r="H331" s="115">
        <v>2853</v>
      </c>
    </row>
    <row r="332" spans="1:8" ht="30" x14ac:dyDescent="0.25">
      <c r="A332" s="115">
        <v>7518</v>
      </c>
      <c r="B332" s="115" t="s">
        <v>128</v>
      </c>
      <c r="C332" s="115" t="s">
        <v>730</v>
      </c>
      <c r="D332" s="115">
        <v>1</v>
      </c>
      <c r="E332" s="115">
        <v>3491</v>
      </c>
      <c r="F332" s="115">
        <v>3491</v>
      </c>
      <c r="G332" s="115">
        <v>3491</v>
      </c>
      <c r="H332" s="115">
        <v>3491</v>
      </c>
    </row>
    <row r="333" spans="1:8" ht="30" x14ac:dyDescent="0.25">
      <c r="A333" s="115">
        <v>7517</v>
      </c>
      <c r="B333" s="115" t="s">
        <v>128</v>
      </c>
      <c r="C333" s="115" t="s">
        <v>731</v>
      </c>
      <c r="D333" s="115">
        <v>1</v>
      </c>
      <c r="E333" s="115" t="s">
        <v>491</v>
      </c>
      <c r="F333" s="115" t="s">
        <v>491</v>
      </c>
      <c r="G333" s="115" t="s">
        <v>491</v>
      </c>
      <c r="H333" s="115" t="s">
        <v>74</v>
      </c>
    </row>
    <row r="334" spans="1:8" ht="30" x14ac:dyDescent="0.25">
      <c r="A334" s="115">
        <v>7516</v>
      </c>
      <c r="B334" s="115" t="s">
        <v>128</v>
      </c>
      <c r="C334" s="115" t="s">
        <v>732</v>
      </c>
      <c r="D334" s="115">
        <v>1</v>
      </c>
      <c r="E334" s="115" t="s">
        <v>733</v>
      </c>
      <c r="F334" s="115" t="s">
        <v>734</v>
      </c>
      <c r="G334" s="115" t="s">
        <v>733</v>
      </c>
      <c r="H334" s="115" t="s">
        <v>735</v>
      </c>
    </row>
    <row r="335" spans="1:8" ht="30" x14ac:dyDescent="0.25">
      <c r="A335" s="115">
        <v>7515</v>
      </c>
      <c r="B335" s="115" t="s">
        <v>128</v>
      </c>
      <c r="C335" s="115" t="s">
        <v>736</v>
      </c>
      <c r="D335" s="115">
        <v>1</v>
      </c>
      <c r="E335" s="115" t="s">
        <v>519</v>
      </c>
      <c r="F335" s="115" t="s">
        <v>520</v>
      </c>
      <c r="G335" s="115" t="s">
        <v>521</v>
      </c>
      <c r="H335" s="115" t="s">
        <v>522</v>
      </c>
    </row>
    <row r="336" spans="1:8" ht="30" x14ac:dyDescent="0.25">
      <c r="A336" s="115">
        <v>7514</v>
      </c>
      <c r="B336" s="115" t="s">
        <v>128</v>
      </c>
      <c r="C336" s="115" t="s">
        <v>737</v>
      </c>
      <c r="D336" s="115">
        <v>1</v>
      </c>
      <c r="E336" s="115">
        <v>3</v>
      </c>
      <c r="F336" s="115">
        <v>3</v>
      </c>
      <c r="G336" s="115">
        <v>3</v>
      </c>
      <c r="H336" s="115">
        <v>3</v>
      </c>
    </row>
    <row r="337" spans="1:8" ht="30" x14ac:dyDescent="0.25">
      <c r="A337" s="115">
        <v>7513</v>
      </c>
      <c r="B337" s="115" t="s">
        <v>128</v>
      </c>
      <c r="C337" s="115" t="s">
        <v>738</v>
      </c>
      <c r="D337" s="115">
        <v>1</v>
      </c>
      <c r="E337" s="115">
        <v>5013</v>
      </c>
      <c r="F337" s="115">
        <v>5013</v>
      </c>
      <c r="G337" s="115">
        <v>5013</v>
      </c>
      <c r="H337" s="115">
        <v>5013</v>
      </c>
    </row>
    <row r="338" spans="1:8" ht="30" x14ac:dyDescent="0.25">
      <c r="A338" s="115">
        <v>7512</v>
      </c>
      <c r="B338" s="115" t="s">
        <v>128</v>
      </c>
      <c r="C338" s="115" t="s">
        <v>739</v>
      </c>
      <c r="D338" s="115">
        <v>1</v>
      </c>
      <c r="E338" s="115">
        <v>2669</v>
      </c>
      <c r="F338" s="115">
        <v>2669</v>
      </c>
      <c r="G338" s="115">
        <v>2669</v>
      </c>
      <c r="H338" s="115">
        <v>2669</v>
      </c>
    </row>
    <row r="339" spans="1:8" ht="30" x14ac:dyDescent="0.25">
      <c r="A339" s="115">
        <v>7511</v>
      </c>
      <c r="B339" s="115" t="s">
        <v>128</v>
      </c>
      <c r="C339" s="115" t="s">
        <v>740</v>
      </c>
      <c r="D339" s="115">
        <v>1</v>
      </c>
      <c r="E339" s="115">
        <v>11543</v>
      </c>
      <c r="F339" s="115">
        <v>11543</v>
      </c>
      <c r="G339" s="115">
        <v>11543</v>
      </c>
      <c r="H339" s="115">
        <v>11543</v>
      </c>
    </row>
    <row r="340" spans="1:8" ht="30" x14ac:dyDescent="0.25">
      <c r="A340" s="115">
        <v>7510</v>
      </c>
      <c r="B340" s="115" t="s">
        <v>128</v>
      </c>
      <c r="C340" s="115" t="s">
        <v>741</v>
      </c>
      <c r="D340" s="115">
        <v>1</v>
      </c>
      <c r="E340" s="115" t="s">
        <v>491</v>
      </c>
      <c r="F340" s="115" t="s">
        <v>491</v>
      </c>
      <c r="G340" s="115" t="s">
        <v>491</v>
      </c>
      <c r="H340" s="115" t="s">
        <v>74</v>
      </c>
    </row>
    <row r="341" spans="1:8" ht="30" x14ac:dyDescent="0.25">
      <c r="A341" s="115">
        <v>7509</v>
      </c>
      <c r="B341" s="115" t="s">
        <v>128</v>
      </c>
      <c r="C341" s="115" t="s">
        <v>742</v>
      </c>
      <c r="D341" s="115">
        <v>1</v>
      </c>
      <c r="E341" s="115" t="s">
        <v>532</v>
      </c>
      <c r="F341" s="115" t="s">
        <v>533</v>
      </c>
      <c r="G341" s="115" t="s">
        <v>532</v>
      </c>
      <c r="H341" s="115" t="s">
        <v>534</v>
      </c>
    </row>
    <row r="342" spans="1:8" ht="30" x14ac:dyDescent="0.25">
      <c r="A342" s="115">
        <v>7508</v>
      </c>
      <c r="B342" s="115" t="s">
        <v>128</v>
      </c>
      <c r="C342" s="115" t="s">
        <v>743</v>
      </c>
      <c r="D342" s="115">
        <v>1</v>
      </c>
      <c r="E342" s="115" t="s">
        <v>536</v>
      </c>
      <c r="F342" s="115" t="s">
        <v>536</v>
      </c>
      <c r="G342" s="115" t="s">
        <v>537</v>
      </c>
      <c r="H342" s="115" t="s">
        <v>538</v>
      </c>
    </row>
    <row r="343" spans="1:8" ht="30" x14ac:dyDescent="0.25">
      <c r="A343" s="115">
        <v>7507</v>
      </c>
      <c r="B343" s="115" t="s">
        <v>128</v>
      </c>
      <c r="C343" s="115" t="s">
        <v>744</v>
      </c>
      <c r="D343" s="115">
        <v>1</v>
      </c>
      <c r="E343" s="115">
        <v>2</v>
      </c>
      <c r="F343" s="115">
        <v>2</v>
      </c>
      <c r="G343" s="115">
        <v>2</v>
      </c>
      <c r="H343" s="115">
        <v>2</v>
      </c>
    </row>
    <row r="344" spans="1:8" ht="30" x14ac:dyDescent="0.25">
      <c r="A344" s="115">
        <v>7506</v>
      </c>
      <c r="B344" s="115" t="s">
        <v>128</v>
      </c>
      <c r="C344" s="115" t="s">
        <v>745</v>
      </c>
      <c r="D344" s="115">
        <v>1</v>
      </c>
      <c r="E344" s="115">
        <v>5065</v>
      </c>
      <c r="F344" s="115">
        <v>5065</v>
      </c>
      <c r="G344" s="115">
        <v>5065</v>
      </c>
      <c r="H344" s="115">
        <v>5065</v>
      </c>
    </row>
    <row r="345" spans="1:8" ht="30" x14ac:dyDescent="0.25">
      <c r="A345" s="115">
        <v>7505</v>
      </c>
      <c r="B345" s="115" t="s">
        <v>128</v>
      </c>
      <c r="C345" s="115" t="s">
        <v>746</v>
      </c>
      <c r="D345" s="115">
        <v>1</v>
      </c>
      <c r="E345" s="115">
        <v>16945</v>
      </c>
      <c r="F345" s="115">
        <v>16945</v>
      </c>
      <c r="G345" s="115">
        <v>16945</v>
      </c>
      <c r="H345" s="115">
        <v>16945</v>
      </c>
    </row>
    <row r="346" spans="1:8" ht="30" x14ac:dyDescent="0.25">
      <c r="A346" s="115">
        <v>7504</v>
      </c>
      <c r="B346" s="115" t="s">
        <v>128</v>
      </c>
      <c r="C346" s="115" t="s">
        <v>747</v>
      </c>
      <c r="D346" s="115">
        <v>1</v>
      </c>
      <c r="E346" s="115">
        <v>12467</v>
      </c>
      <c r="F346" s="115">
        <v>12467</v>
      </c>
      <c r="G346" s="115">
        <v>12467</v>
      </c>
      <c r="H346" s="115">
        <v>12467</v>
      </c>
    </row>
    <row r="347" spans="1:8" ht="30" x14ac:dyDescent="0.25">
      <c r="A347" s="115">
        <v>7503</v>
      </c>
      <c r="B347" s="115" t="s">
        <v>128</v>
      </c>
      <c r="C347" s="115" t="s">
        <v>748</v>
      </c>
      <c r="D347" s="115">
        <v>1</v>
      </c>
      <c r="E347" s="115" t="s">
        <v>749</v>
      </c>
      <c r="F347" s="115" t="s">
        <v>750</v>
      </c>
      <c r="G347" s="115" t="s">
        <v>749</v>
      </c>
      <c r="H347" s="115" t="s">
        <v>751</v>
      </c>
    </row>
    <row r="348" spans="1:8" ht="30" x14ac:dyDescent="0.25">
      <c r="A348" s="115">
        <v>7502</v>
      </c>
      <c r="B348" s="115" t="s">
        <v>128</v>
      </c>
      <c r="C348" s="115" t="s">
        <v>752</v>
      </c>
      <c r="D348" s="115">
        <v>1</v>
      </c>
      <c r="E348" s="115" t="s">
        <v>753</v>
      </c>
      <c r="F348" s="115" t="s">
        <v>645</v>
      </c>
      <c r="G348" s="115" t="s">
        <v>753</v>
      </c>
      <c r="H348" s="115" t="s">
        <v>646</v>
      </c>
    </row>
    <row r="349" spans="1:8" ht="30" x14ac:dyDescent="0.25">
      <c r="A349" s="115">
        <v>7501</v>
      </c>
      <c r="B349" s="115" t="s">
        <v>128</v>
      </c>
      <c r="C349" s="115" t="s">
        <v>754</v>
      </c>
      <c r="D349" s="115">
        <v>1</v>
      </c>
      <c r="E349" s="115" t="s">
        <v>552</v>
      </c>
      <c r="F349" s="115" t="s">
        <v>553</v>
      </c>
      <c r="G349" s="115" t="s">
        <v>649</v>
      </c>
      <c r="H349" s="115" t="s">
        <v>555</v>
      </c>
    </row>
    <row r="350" spans="1:8" ht="30" x14ac:dyDescent="0.25">
      <c r="A350" s="115">
        <v>7500</v>
      </c>
      <c r="B350" s="115" t="s">
        <v>128</v>
      </c>
      <c r="C350" s="115" t="s">
        <v>755</v>
      </c>
      <c r="D350" s="115">
        <v>1</v>
      </c>
      <c r="E350" s="115">
        <v>1</v>
      </c>
      <c r="F350" s="115">
        <v>1</v>
      </c>
      <c r="G350" s="115">
        <v>1</v>
      </c>
      <c r="H350" s="115">
        <v>1</v>
      </c>
    </row>
    <row r="351" spans="1:8" ht="30" x14ac:dyDescent="0.25">
      <c r="A351" s="115">
        <v>7499</v>
      </c>
      <c r="B351" s="115" t="s">
        <v>128</v>
      </c>
      <c r="C351" s="115" t="s">
        <v>756</v>
      </c>
      <c r="D351" s="115">
        <v>1</v>
      </c>
      <c r="E351" s="115">
        <v>92345</v>
      </c>
      <c r="F351" s="115">
        <v>92345</v>
      </c>
      <c r="G351" s="115">
        <v>92345</v>
      </c>
      <c r="H351" s="115">
        <v>92345</v>
      </c>
    </row>
    <row r="352" spans="1:8" ht="45" x14ac:dyDescent="0.25">
      <c r="A352" s="115">
        <v>7498</v>
      </c>
      <c r="B352" s="115" t="s">
        <v>128</v>
      </c>
      <c r="C352" s="115" t="s">
        <v>757</v>
      </c>
      <c r="D352" s="115">
        <v>1</v>
      </c>
      <c r="E352" s="115" t="s">
        <v>559</v>
      </c>
      <c r="F352" s="115" t="s">
        <v>559</v>
      </c>
      <c r="G352" s="115" t="s">
        <v>560</v>
      </c>
      <c r="H352" s="115" t="s">
        <v>561</v>
      </c>
    </row>
    <row r="353" spans="1:8" ht="165" x14ac:dyDescent="0.25">
      <c r="A353" s="115">
        <v>7497</v>
      </c>
      <c r="B353" s="115" t="s">
        <v>128</v>
      </c>
      <c r="C353" s="115" t="s">
        <v>758</v>
      </c>
      <c r="D353" s="115">
        <v>1</v>
      </c>
      <c r="E353" s="115" t="s">
        <v>759</v>
      </c>
      <c r="F353" s="115" t="s">
        <v>760</v>
      </c>
      <c r="G353" s="115" t="s">
        <v>761</v>
      </c>
      <c r="H353" s="115" t="s">
        <v>762</v>
      </c>
    </row>
    <row r="354" spans="1:8" ht="30" x14ac:dyDescent="0.25">
      <c r="A354" s="115">
        <v>7496</v>
      </c>
      <c r="B354" s="115" t="s">
        <v>128</v>
      </c>
      <c r="C354" s="115" t="s">
        <v>763</v>
      </c>
      <c r="D354" s="115">
        <v>1</v>
      </c>
      <c r="E354" s="115" t="s">
        <v>764</v>
      </c>
      <c r="F354" s="115" t="s">
        <v>765</v>
      </c>
      <c r="G354" s="115" t="s">
        <v>766</v>
      </c>
      <c r="H354" s="115" t="s">
        <v>764</v>
      </c>
    </row>
    <row r="355" spans="1:8" ht="45" x14ac:dyDescent="0.25">
      <c r="A355" s="115">
        <v>7495</v>
      </c>
      <c r="B355" s="115" t="s">
        <v>128</v>
      </c>
      <c r="C355" s="115" t="s">
        <v>767</v>
      </c>
      <c r="D355" s="115">
        <v>1</v>
      </c>
      <c r="E355" s="115" t="s">
        <v>768</v>
      </c>
      <c r="F355" s="115" t="s">
        <v>769</v>
      </c>
      <c r="G355" s="115" t="s">
        <v>770</v>
      </c>
      <c r="H355" s="115" t="s">
        <v>771</v>
      </c>
    </row>
    <row r="356" spans="1:8" ht="30" x14ac:dyDescent="0.25">
      <c r="A356" s="115">
        <v>7494</v>
      </c>
      <c r="B356" s="115" t="s">
        <v>128</v>
      </c>
      <c r="C356" s="115" t="s">
        <v>772</v>
      </c>
      <c r="D356" s="115">
        <v>1</v>
      </c>
      <c r="E356" s="115" t="s">
        <v>563</v>
      </c>
      <c r="F356" s="115" t="s">
        <v>564</v>
      </c>
      <c r="G356" s="115" t="s">
        <v>565</v>
      </c>
      <c r="H356" s="115" t="s">
        <v>566</v>
      </c>
    </row>
    <row r="357" spans="1:8" ht="30" x14ac:dyDescent="0.25">
      <c r="A357" s="115">
        <v>7493</v>
      </c>
      <c r="B357" s="115" t="s">
        <v>128</v>
      </c>
      <c r="C357" s="115" t="s">
        <v>773</v>
      </c>
      <c r="D357" s="115">
        <v>1</v>
      </c>
      <c r="E357" s="115" t="s">
        <v>774</v>
      </c>
      <c r="F357" s="115" t="s">
        <v>775</v>
      </c>
      <c r="G357" s="115" t="s">
        <v>776</v>
      </c>
      <c r="H357" s="115" t="s">
        <v>774</v>
      </c>
    </row>
    <row r="358" spans="1:8" ht="30" x14ac:dyDescent="0.25">
      <c r="A358" s="115">
        <v>7492</v>
      </c>
      <c r="B358" s="115" t="s">
        <v>128</v>
      </c>
      <c r="C358" s="115" t="s">
        <v>777</v>
      </c>
      <c r="D358" s="115">
        <v>1</v>
      </c>
      <c r="E358" s="115" t="s">
        <v>484</v>
      </c>
      <c r="F358" s="115" t="s">
        <v>778</v>
      </c>
      <c r="G358" s="115" t="s">
        <v>486</v>
      </c>
      <c r="H358" s="115" t="s">
        <v>487</v>
      </c>
    </row>
    <row r="359" spans="1:8" ht="30" x14ac:dyDescent="0.25">
      <c r="A359" s="115">
        <v>7491</v>
      </c>
      <c r="B359" s="115" t="s">
        <v>128</v>
      </c>
      <c r="C359" s="115" t="s">
        <v>779</v>
      </c>
      <c r="D359" s="115">
        <v>1</v>
      </c>
      <c r="E359" s="115" t="s">
        <v>780</v>
      </c>
      <c r="F359" s="115" t="s">
        <v>781</v>
      </c>
      <c r="G359" s="115" t="s">
        <v>481</v>
      </c>
      <c r="H359" s="115" t="s">
        <v>782</v>
      </c>
    </row>
    <row r="360" spans="1:8" ht="30" x14ac:dyDescent="0.25">
      <c r="A360" s="115">
        <v>7490</v>
      </c>
      <c r="B360" s="115" t="s">
        <v>128</v>
      </c>
      <c r="C360" s="115" t="s">
        <v>783</v>
      </c>
      <c r="D360" s="115">
        <v>1</v>
      </c>
    </row>
    <row r="361" spans="1:8" ht="270" x14ac:dyDescent="0.25">
      <c r="A361" s="115">
        <v>7489</v>
      </c>
      <c r="B361" s="115" t="s">
        <v>128</v>
      </c>
      <c r="C361" s="115" t="s">
        <v>784</v>
      </c>
      <c r="D361" s="115">
        <v>1</v>
      </c>
      <c r="E361" s="115" t="s">
        <v>785</v>
      </c>
      <c r="F361" s="115" t="s">
        <v>786</v>
      </c>
      <c r="G361" s="115" t="s">
        <v>787</v>
      </c>
      <c r="H361" s="115" t="s">
        <v>788</v>
      </c>
    </row>
    <row r="362" spans="1:8" ht="270" x14ac:dyDescent="0.25">
      <c r="A362" s="115">
        <v>7488</v>
      </c>
      <c r="B362" s="115" t="s">
        <v>128</v>
      </c>
      <c r="C362" s="115" t="s">
        <v>789</v>
      </c>
      <c r="D362" s="115">
        <v>1</v>
      </c>
      <c r="E362" s="115" t="s">
        <v>790</v>
      </c>
      <c r="F362" s="115" t="s">
        <v>791</v>
      </c>
      <c r="G362" s="115" t="s">
        <v>792</v>
      </c>
      <c r="H362" s="115" t="s">
        <v>793</v>
      </c>
    </row>
    <row r="363" spans="1:8" ht="210" x14ac:dyDescent="0.25">
      <c r="A363" s="115">
        <v>7487</v>
      </c>
      <c r="B363" s="115" t="s">
        <v>128</v>
      </c>
      <c r="C363" s="115" t="s">
        <v>794</v>
      </c>
      <c r="D363" s="115">
        <v>1</v>
      </c>
      <c r="E363" s="115" t="s">
        <v>795</v>
      </c>
      <c r="F363" s="115" t="s">
        <v>796</v>
      </c>
      <c r="G363" s="115" t="s">
        <v>797</v>
      </c>
      <c r="H363" s="115" t="s">
        <v>798</v>
      </c>
    </row>
    <row r="364" spans="1:8" ht="30" x14ac:dyDescent="0.25">
      <c r="A364" s="115">
        <v>7486</v>
      </c>
      <c r="B364" s="115" t="s">
        <v>128</v>
      </c>
      <c r="C364" s="115" t="s">
        <v>799</v>
      </c>
      <c r="D364" s="115">
        <v>1</v>
      </c>
      <c r="E364" s="115" t="s">
        <v>477</v>
      </c>
      <c r="F364" s="115" t="s">
        <v>477</v>
      </c>
      <c r="G364" s="115" t="s">
        <v>477</v>
      </c>
      <c r="H364" s="115" t="s">
        <v>477</v>
      </c>
    </row>
    <row r="365" spans="1:8" ht="60" x14ac:dyDescent="0.25">
      <c r="A365" s="115">
        <v>7485</v>
      </c>
      <c r="B365" s="115" t="s">
        <v>128</v>
      </c>
      <c r="C365" s="115" t="s">
        <v>800</v>
      </c>
      <c r="D365" s="115">
        <v>1</v>
      </c>
      <c r="E365" s="115" t="s">
        <v>801</v>
      </c>
      <c r="F365" s="115" t="s">
        <v>802</v>
      </c>
      <c r="G365" s="115" t="s">
        <v>803</v>
      </c>
      <c r="H365" s="115" t="s">
        <v>804</v>
      </c>
    </row>
    <row r="366" spans="1:8" ht="30" x14ac:dyDescent="0.25">
      <c r="A366" s="115">
        <v>7484</v>
      </c>
      <c r="B366" s="115" t="s">
        <v>128</v>
      </c>
      <c r="C366" s="115" t="s">
        <v>805</v>
      </c>
      <c r="D366" s="115">
        <v>1</v>
      </c>
      <c r="E366" s="115" t="s">
        <v>806</v>
      </c>
      <c r="F366" s="115" t="s">
        <v>807</v>
      </c>
      <c r="G366" s="115" t="s">
        <v>808</v>
      </c>
      <c r="H366" s="115" t="s">
        <v>809</v>
      </c>
    </row>
    <row r="367" spans="1:8" ht="30" x14ac:dyDescent="0.25">
      <c r="A367" s="115">
        <v>7483</v>
      </c>
      <c r="B367" s="115" t="s">
        <v>128</v>
      </c>
      <c r="C367" s="115" t="s">
        <v>810</v>
      </c>
      <c r="D367" s="115">
        <v>1</v>
      </c>
      <c r="E367" s="115" t="s">
        <v>811</v>
      </c>
      <c r="F367" s="115" t="s">
        <v>811</v>
      </c>
      <c r="G367" s="115" t="s">
        <v>812</v>
      </c>
      <c r="H367" s="115" t="s">
        <v>811</v>
      </c>
    </row>
    <row r="368" spans="1:8" ht="30" x14ac:dyDescent="0.25">
      <c r="A368" s="115">
        <v>7482</v>
      </c>
      <c r="B368" s="115" t="s">
        <v>128</v>
      </c>
      <c r="C368" s="115" t="s">
        <v>813</v>
      </c>
      <c r="D368" s="115">
        <v>1</v>
      </c>
      <c r="E368" s="115" t="s">
        <v>814</v>
      </c>
      <c r="F368" s="115" t="s">
        <v>815</v>
      </c>
      <c r="G368" s="115" t="s">
        <v>816</v>
      </c>
      <c r="H368" s="115" t="s">
        <v>817</v>
      </c>
    </row>
    <row r="369" spans="1:8" ht="30" x14ac:dyDescent="0.25">
      <c r="A369" s="115">
        <v>7481</v>
      </c>
      <c r="B369" s="115" t="s">
        <v>128</v>
      </c>
      <c r="C369" s="115" t="s">
        <v>818</v>
      </c>
      <c r="D369" s="115">
        <v>1</v>
      </c>
      <c r="E369" s="115" t="s">
        <v>416</v>
      </c>
      <c r="F369" s="115" t="s">
        <v>807</v>
      </c>
      <c r="G369" s="115" t="s">
        <v>819</v>
      </c>
      <c r="H369" s="115" t="s">
        <v>419</v>
      </c>
    </row>
    <row r="370" spans="1:8" ht="30" x14ac:dyDescent="0.25">
      <c r="A370" s="115">
        <v>7480</v>
      </c>
      <c r="B370" s="115" t="s">
        <v>128</v>
      </c>
      <c r="C370" s="115" t="s">
        <v>820</v>
      </c>
      <c r="D370" s="115">
        <v>1</v>
      </c>
      <c r="E370" s="115" t="s">
        <v>821</v>
      </c>
      <c r="F370" s="115" t="s">
        <v>822</v>
      </c>
      <c r="G370" s="115" t="s">
        <v>823</v>
      </c>
      <c r="H370" s="115" t="s">
        <v>824</v>
      </c>
    </row>
    <row r="371" spans="1:8" ht="30" x14ac:dyDescent="0.25">
      <c r="A371" s="115">
        <v>7479</v>
      </c>
      <c r="B371" s="115" t="s">
        <v>128</v>
      </c>
      <c r="C371" s="115" t="s">
        <v>825</v>
      </c>
      <c r="D371" s="115">
        <v>1</v>
      </c>
      <c r="E371" s="115">
        <v>28.8</v>
      </c>
      <c r="F371" s="115">
        <v>28.8</v>
      </c>
      <c r="G371" s="115">
        <v>28.8</v>
      </c>
      <c r="H371" s="115">
        <v>28.8</v>
      </c>
    </row>
    <row r="372" spans="1:8" ht="30" x14ac:dyDescent="0.25">
      <c r="A372" s="115">
        <v>7478</v>
      </c>
      <c r="B372" s="115" t="s">
        <v>128</v>
      </c>
      <c r="C372" s="115" t="s">
        <v>826</v>
      </c>
      <c r="D372" s="115">
        <v>1</v>
      </c>
      <c r="E372" s="115">
        <v>10</v>
      </c>
      <c r="F372" s="115">
        <v>10</v>
      </c>
      <c r="G372" s="115">
        <v>10</v>
      </c>
      <c r="H372" s="115">
        <v>10</v>
      </c>
    </row>
    <row r="373" spans="1:8" ht="30" x14ac:dyDescent="0.25">
      <c r="A373" s="115">
        <v>7477</v>
      </c>
      <c r="B373" s="115" t="s">
        <v>128</v>
      </c>
      <c r="C373" s="115" t="s">
        <v>827</v>
      </c>
      <c r="D373" s="115">
        <v>1</v>
      </c>
      <c r="E373" s="115">
        <v>2</v>
      </c>
      <c r="F373" s="115">
        <v>2</v>
      </c>
      <c r="G373" s="115">
        <v>2</v>
      </c>
      <c r="H373" s="115">
        <v>2</v>
      </c>
    </row>
    <row r="374" spans="1:8" ht="45" x14ac:dyDescent="0.25">
      <c r="A374" s="115">
        <v>7476</v>
      </c>
      <c r="B374" s="115" t="s">
        <v>128</v>
      </c>
      <c r="C374" s="115" t="s">
        <v>828</v>
      </c>
      <c r="D374" s="115">
        <v>1</v>
      </c>
      <c r="E374" s="115" t="s">
        <v>829</v>
      </c>
      <c r="F374" s="115" t="s">
        <v>829</v>
      </c>
      <c r="G374" s="115" t="s">
        <v>829</v>
      </c>
      <c r="H374" s="115" t="s">
        <v>830</v>
      </c>
    </row>
    <row r="375" spans="1:8" ht="30" x14ac:dyDescent="0.25">
      <c r="A375" s="115">
        <v>7475</v>
      </c>
      <c r="B375" s="115" t="s">
        <v>128</v>
      </c>
      <c r="C375" s="115" t="s">
        <v>831</v>
      </c>
      <c r="D375" s="115">
        <v>1</v>
      </c>
      <c r="E375" s="115">
        <v>29.6</v>
      </c>
      <c r="F375" s="115">
        <v>29.6</v>
      </c>
      <c r="G375" s="115">
        <v>29.6</v>
      </c>
      <c r="H375" s="115">
        <v>29.6</v>
      </c>
    </row>
    <row r="376" spans="1:8" ht="30" x14ac:dyDescent="0.25">
      <c r="A376" s="115">
        <v>7474</v>
      </c>
      <c r="B376" s="115" t="s">
        <v>128</v>
      </c>
      <c r="C376" s="115" t="s">
        <v>832</v>
      </c>
      <c r="D376" s="115">
        <v>1</v>
      </c>
      <c r="E376" s="115">
        <v>9</v>
      </c>
      <c r="F376" s="115">
        <v>9</v>
      </c>
      <c r="G376" s="115">
        <v>9</v>
      </c>
      <c r="H376" s="115">
        <v>9</v>
      </c>
    </row>
    <row r="377" spans="1:8" ht="30" x14ac:dyDescent="0.25">
      <c r="A377" s="115">
        <v>7473</v>
      </c>
      <c r="B377" s="115" t="s">
        <v>128</v>
      </c>
      <c r="C377" s="115" t="s">
        <v>833</v>
      </c>
      <c r="D377" s="115">
        <v>1</v>
      </c>
      <c r="E377" s="115">
        <v>2</v>
      </c>
      <c r="F377" s="115">
        <v>2</v>
      </c>
      <c r="G377" s="115">
        <v>2</v>
      </c>
      <c r="H377" s="115">
        <v>2</v>
      </c>
    </row>
    <row r="378" spans="1:8" ht="45" x14ac:dyDescent="0.25">
      <c r="A378" s="115">
        <v>7472</v>
      </c>
      <c r="B378" s="115" t="s">
        <v>128</v>
      </c>
      <c r="C378" s="115" t="s">
        <v>834</v>
      </c>
      <c r="D378" s="115">
        <v>1</v>
      </c>
      <c r="E378" s="115" t="s">
        <v>835</v>
      </c>
      <c r="F378" s="115" t="s">
        <v>836</v>
      </c>
      <c r="G378" s="115" t="s">
        <v>835</v>
      </c>
      <c r="H378" s="115" t="s">
        <v>837</v>
      </c>
    </row>
    <row r="379" spans="1:8" ht="30" x14ac:dyDescent="0.25">
      <c r="A379" s="115">
        <v>7471</v>
      </c>
      <c r="B379" s="115" t="s">
        <v>128</v>
      </c>
      <c r="C379" s="115" t="s">
        <v>838</v>
      </c>
      <c r="D379" s="115">
        <v>1</v>
      </c>
      <c r="E379" s="115">
        <v>31.6</v>
      </c>
      <c r="F379" s="115">
        <v>31.6</v>
      </c>
      <c r="G379" s="115">
        <v>31.6</v>
      </c>
      <c r="H379" s="115">
        <v>31.6</v>
      </c>
    </row>
    <row r="380" spans="1:8" ht="30" x14ac:dyDescent="0.25">
      <c r="A380" s="115">
        <v>7470</v>
      </c>
      <c r="B380" s="115" t="s">
        <v>128</v>
      </c>
      <c r="C380" s="115" t="s">
        <v>839</v>
      </c>
      <c r="D380" s="115">
        <v>1</v>
      </c>
      <c r="E380" s="115">
        <v>8</v>
      </c>
      <c r="F380" s="115">
        <v>8</v>
      </c>
      <c r="G380" s="115">
        <v>8</v>
      </c>
      <c r="H380" s="115">
        <v>8</v>
      </c>
    </row>
    <row r="381" spans="1:8" ht="30" x14ac:dyDescent="0.25">
      <c r="A381" s="115">
        <v>7469</v>
      </c>
      <c r="B381" s="115" t="s">
        <v>128</v>
      </c>
      <c r="C381" s="115" t="s">
        <v>840</v>
      </c>
      <c r="D381" s="115">
        <v>1</v>
      </c>
      <c r="E381" s="115">
        <v>3</v>
      </c>
      <c r="F381" s="115">
        <v>3</v>
      </c>
      <c r="G381" s="115">
        <v>3</v>
      </c>
      <c r="H381" s="115">
        <v>3</v>
      </c>
    </row>
    <row r="382" spans="1:8" ht="45" x14ac:dyDescent="0.25">
      <c r="A382" s="115">
        <v>7468</v>
      </c>
      <c r="B382" s="115" t="s">
        <v>128</v>
      </c>
      <c r="C382" s="115" t="s">
        <v>841</v>
      </c>
      <c r="D382" s="115">
        <v>1</v>
      </c>
      <c r="E382" s="115" t="s">
        <v>842</v>
      </c>
      <c r="F382" s="115" t="s">
        <v>843</v>
      </c>
      <c r="G382" s="115" t="s">
        <v>842</v>
      </c>
      <c r="H382" s="115" t="s">
        <v>844</v>
      </c>
    </row>
    <row r="383" spans="1:8" ht="30" x14ac:dyDescent="0.25">
      <c r="A383" s="115">
        <v>7467</v>
      </c>
      <c r="B383" s="115" t="s">
        <v>128</v>
      </c>
      <c r="C383" s="115" t="s">
        <v>845</v>
      </c>
      <c r="D383" s="115">
        <v>1</v>
      </c>
      <c r="E383" s="115">
        <v>36.9</v>
      </c>
      <c r="F383" s="115">
        <v>36.9</v>
      </c>
      <c r="G383" s="115">
        <v>36.9</v>
      </c>
      <c r="H383" s="115">
        <v>36.9</v>
      </c>
    </row>
    <row r="384" spans="1:8" ht="30" x14ac:dyDescent="0.25">
      <c r="A384" s="115">
        <v>7466</v>
      </c>
      <c r="B384" s="115" t="s">
        <v>128</v>
      </c>
      <c r="C384" s="115" t="s">
        <v>846</v>
      </c>
      <c r="D384" s="115">
        <v>1</v>
      </c>
      <c r="E384" s="115">
        <v>7</v>
      </c>
      <c r="F384" s="115">
        <v>7</v>
      </c>
      <c r="G384" s="115">
        <v>7</v>
      </c>
      <c r="H384" s="115">
        <v>7</v>
      </c>
    </row>
    <row r="385" spans="1:8" ht="30" x14ac:dyDescent="0.25">
      <c r="A385" s="115">
        <v>7465</v>
      </c>
      <c r="B385" s="115" t="s">
        <v>128</v>
      </c>
      <c r="C385" s="115" t="s">
        <v>847</v>
      </c>
      <c r="D385" s="115">
        <v>1</v>
      </c>
      <c r="E385" s="115">
        <v>3</v>
      </c>
      <c r="F385" s="115">
        <v>3</v>
      </c>
      <c r="G385" s="115">
        <v>3</v>
      </c>
      <c r="H385" s="115">
        <v>3</v>
      </c>
    </row>
    <row r="386" spans="1:8" ht="45" x14ac:dyDescent="0.25">
      <c r="A386" s="115">
        <v>7464</v>
      </c>
      <c r="B386" s="115" t="s">
        <v>128</v>
      </c>
      <c r="C386" s="115" t="s">
        <v>848</v>
      </c>
      <c r="D386" s="115">
        <v>1</v>
      </c>
      <c r="E386" s="115" t="s">
        <v>849</v>
      </c>
      <c r="F386" s="115" t="s">
        <v>849</v>
      </c>
      <c r="G386" s="115" t="s">
        <v>849</v>
      </c>
      <c r="H386" s="115" t="s">
        <v>850</v>
      </c>
    </row>
    <row r="387" spans="1:8" ht="30" x14ac:dyDescent="0.25">
      <c r="A387" s="115">
        <v>7463</v>
      </c>
      <c r="B387" s="115" t="s">
        <v>128</v>
      </c>
      <c r="C387" s="115" t="s">
        <v>851</v>
      </c>
      <c r="D387" s="115">
        <v>1</v>
      </c>
      <c r="E387" s="115">
        <v>40.9</v>
      </c>
      <c r="F387" s="115">
        <v>40.9</v>
      </c>
      <c r="G387" s="115">
        <v>40.9</v>
      </c>
      <c r="H387" s="115">
        <v>40.9</v>
      </c>
    </row>
    <row r="388" spans="1:8" ht="30" x14ac:dyDescent="0.25">
      <c r="A388" s="115">
        <v>7462</v>
      </c>
      <c r="B388" s="115" t="s">
        <v>128</v>
      </c>
      <c r="C388" s="115" t="s">
        <v>852</v>
      </c>
      <c r="D388" s="115">
        <v>1</v>
      </c>
      <c r="E388" s="115">
        <v>6</v>
      </c>
      <c r="F388" s="115">
        <v>6</v>
      </c>
      <c r="G388" s="115">
        <v>6</v>
      </c>
      <c r="H388" s="115">
        <v>6</v>
      </c>
    </row>
    <row r="389" spans="1:8" ht="30" x14ac:dyDescent="0.25">
      <c r="A389" s="115">
        <v>7461</v>
      </c>
      <c r="B389" s="115" t="s">
        <v>128</v>
      </c>
      <c r="C389" s="115" t="s">
        <v>853</v>
      </c>
      <c r="D389" s="115">
        <v>1</v>
      </c>
      <c r="E389" s="115">
        <v>3</v>
      </c>
      <c r="F389" s="115">
        <v>3</v>
      </c>
      <c r="G389" s="115">
        <v>3</v>
      </c>
      <c r="H389" s="115">
        <v>3</v>
      </c>
    </row>
    <row r="390" spans="1:8" ht="45" x14ac:dyDescent="0.25">
      <c r="A390" s="115">
        <v>7460</v>
      </c>
      <c r="B390" s="115" t="s">
        <v>128</v>
      </c>
      <c r="C390" s="115" t="s">
        <v>854</v>
      </c>
      <c r="D390" s="115">
        <v>1</v>
      </c>
      <c r="E390" s="115" t="s">
        <v>855</v>
      </c>
      <c r="F390" s="115" t="s">
        <v>855</v>
      </c>
      <c r="G390" s="115" t="s">
        <v>855</v>
      </c>
      <c r="H390" s="115" t="s">
        <v>856</v>
      </c>
    </row>
    <row r="391" spans="1:8" ht="30" x14ac:dyDescent="0.25">
      <c r="A391" s="115">
        <v>7459</v>
      </c>
      <c r="B391" s="115" t="s">
        <v>128</v>
      </c>
      <c r="C391" s="115" t="s">
        <v>857</v>
      </c>
      <c r="D391" s="115">
        <v>1</v>
      </c>
      <c r="E391" s="115">
        <v>44.4</v>
      </c>
      <c r="F391" s="115">
        <v>44.4</v>
      </c>
      <c r="G391" s="115">
        <v>44.4</v>
      </c>
      <c r="H391" s="115">
        <v>44.4</v>
      </c>
    </row>
    <row r="392" spans="1:8" ht="30" x14ac:dyDescent="0.25">
      <c r="A392" s="115">
        <v>7458</v>
      </c>
      <c r="B392" s="115" t="s">
        <v>128</v>
      </c>
      <c r="C392" s="115" t="s">
        <v>858</v>
      </c>
      <c r="D392" s="115">
        <v>1</v>
      </c>
      <c r="E392" s="115">
        <v>5</v>
      </c>
      <c r="F392" s="115">
        <v>5</v>
      </c>
      <c r="G392" s="115">
        <v>5</v>
      </c>
      <c r="H392" s="115">
        <v>5</v>
      </c>
    </row>
    <row r="393" spans="1:8" ht="30" x14ac:dyDescent="0.25">
      <c r="A393" s="115">
        <v>7457</v>
      </c>
      <c r="B393" s="115" t="s">
        <v>128</v>
      </c>
      <c r="C393" s="115" t="s">
        <v>859</v>
      </c>
      <c r="D393" s="115">
        <v>1</v>
      </c>
      <c r="E393" s="115">
        <v>4</v>
      </c>
      <c r="F393" s="115">
        <v>4</v>
      </c>
      <c r="G393" s="115">
        <v>4</v>
      </c>
      <c r="H393" s="115">
        <v>4</v>
      </c>
    </row>
    <row r="394" spans="1:8" ht="45" x14ac:dyDescent="0.25">
      <c r="A394" s="115">
        <v>7456</v>
      </c>
      <c r="B394" s="115" t="s">
        <v>128</v>
      </c>
      <c r="C394" s="115" t="s">
        <v>860</v>
      </c>
      <c r="D394" s="115">
        <v>1</v>
      </c>
      <c r="E394" s="115" t="s">
        <v>861</v>
      </c>
      <c r="F394" s="115" t="s">
        <v>861</v>
      </c>
      <c r="G394" s="115" t="s">
        <v>861</v>
      </c>
      <c r="H394" s="115" t="s">
        <v>862</v>
      </c>
    </row>
    <row r="395" spans="1:8" ht="30" x14ac:dyDescent="0.25">
      <c r="A395" s="115">
        <v>7455</v>
      </c>
      <c r="B395" s="115" t="s">
        <v>128</v>
      </c>
      <c r="C395" s="115" t="s">
        <v>863</v>
      </c>
      <c r="D395" s="115">
        <v>1</v>
      </c>
      <c r="E395" s="115">
        <v>83.1</v>
      </c>
      <c r="F395" s="115">
        <v>83.1</v>
      </c>
      <c r="G395" s="115">
        <v>83.1</v>
      </c>
      <c r="H395" s="115">
        <v>83.1</v>
      </c>
    </row>
    <row r="396" spans="1:8" ht="30" x14ac:dyDescent="0.25">
      <c r="A396" s="115">
        <v>7454</v>
      </c>
      <c r="B396" s="115" t="s">
        <v>128</v>
      </c>
      <c r="C396" s="115" t="s">
        <v>864</v>
      </c>
      <c r="D396" s="115">
        <v>1</v>
      </c>
      <c r="E396" s="115">
        <v>4</v>
      </c>
      <c r="F396" s="115">
        <v>4</v>
      </c>
      <c r="G396" s="115">
        <v>4</v>
      </c>
      <c r="H396" s="115">
        <v>4</v>
      </c>
    </row>
    <row r="397" spans="1:8" ht="30" x14ac:dyDescent="0.25">
      <c r="A397" s="115">
        <v>7453</v>
      </c>
      <c r="B397" s="115" t="s">
        <v>128</v>
      </c>
      <c r="C397" s="115" t="s">
        <v>865</v>
      </c>
      <c r="D397" s="115">
        <v>1</v>
      </c>
      <c r="E397" s="115">
        <v>7</v>
      </c>
      <c r="F397" s="115">
        <v>7</v>
      </c>
      <c r="G397" s="115">
        <v>7</v>
      </c>
      <c r="H397" s="115">
        <v>7</v>
      </c>
    </row>
    <row r="398" spans="1:8" ht="45" x14ac:dyDescent="0.25">
      <c r="A398" s="115">
        <v>7452</v>
      </c>
      <c r="B398" s="115" t="s">
        <v>128</v>
      </c>
      <c r="C398" s="115" t="s">
        <v>866</v>
      </c>
      <c r="D398" s="115">
        <v>1</v>
      </c>
      <c r="E398" s="115" t="s">
        <v>867</v>
      </c>
      <c r="F398" s="115" t="s">
        <v>868</v>
      </c>
      <c r="G398" s="115" t="s">
        <v>867</v>
      </c>
      <c r="H398" s="115" t="s">
        <v>869</v>
      </c>
    </row>
    <row r="399" spans="1:8" ht="30" x14ac:dyDescent="0.25">
      <c r="A399" s="115">
        <v>7451</v>
      </c>
      <c r="B399" s="115" t="s">
        <v>128</v>
      </c>
      <c r="C399" s="115" t="s">
        <v>870</v>
      </c>
      <c r="D399" s="115">
        <v>1</v>
      </c>
      <c r="E399" s="115">
        <v>103.5</v>
      </c>
      <c r="F399" s="115">
        <v>103.5</v>
      </c>
      <c r="G399" s="115">
        <v>103.5</v>
      </c>
      <c r="H399" s="115">
        <v>103.5</v>
      </c>
    </row>
    <row r="400" spans="1:8" ht="30" x14ac:dyDescent="0.25">
      <c r="A400" s="115">
        <v>7450</v>
      </c>
      <c r="B400" s="115" t="s">
        <v>128</v>
      </c>
      <c r="C400" s="115" t="s">
        <v>871</v>
      </c>
      <c r="D400" s="115">
        <v>1</v>
      </c>
      <c r="E400" s="115">
        <v>3</v>
      </c>
      <c r="F400" s="115">
        <v>3</v>
      </c>
      <c r="G400" s="115">
        <v>3</v>
      </c>
      <c r="H400" s="115">
        <v>3</v>
      </c>
    </row>
    <row r="401" spans="1:8" ht="30" x14ac:dyDescent="0.25">
      <c r="A401" s="115">
        <v>7449</v>
      </c>
      <c r="B401" s="115" t="s">
        <v>128</v>
      </c>
      <c r="C401" s="115" t="s">
        <v>872</v>
      </c>
      <c r="D401" s="115">
        <v>1</v>
      </c>
      <c r="E401" s="115">
        <v>8</v>
      </c>
      <c r="F401" s="115">
        <v>8</v>
      </c>
      <c r="G401" s="115">
        <v>8</v>
      </c>
      <c r="H401" s="115">
        <v>8</v>
      </c>
    </row>
    <row r="402" spans="1:8" ht="45" x14ac:dyDescent="0.25">
      <c r="A402" s="115">
        <v>7448</v>
      </c>
      <c r="B402" s="115" t="s">
        <v>128</v>
      </c>
      <c r="C402" s="115" t="s">
        <v>873</v>
      </c>
      <c r="D402" s="115">
        <v>1</v>
      </c>
      <c r="E402" s="115" t="s">
        <v>874</v>
      </c>
      <c r="F402" s="115" t="s">
        <v>874</v>
      </c>
      <c r="G402" s="115" t="s">
        <v>874</v>
      </c>
      <c r="H402" s="115" t="s">
        <v>875</v>
      </c>
    </row>
    <row r="403" spans="1:8" ht="30" x14ac:dyDescent="0.25">
      <c r="A403" s="115">
        <v>7447</v>
      </c>
      <c r="B403" s="115" t="s">
        <v>128</v>
      </c>
      <c r="C403" s="115" t="s">
        <v>876</v>
      </c>
      <c r="D403" s="115">
        <v>1</v>
      </c>
      <c r="E403" s="115">
        <v>212.9</v>
      </c>
      <c r="F403" s="115">
        <v>212.9</v>
      </c>
      <c r="G403" s="115">
        <v>212.9</v>
      </c>
      <c r="H403" s="115">
        <v>212.9</v>
      </c>
    </row>
    <row r="404" spans="1:8" ht="30" x14ac:dyDescent="0.25">
      <c r="A404" s="115">
        <v>7446</v>
      </c>
      <c r="B404" s="115" t="s">
        <v>128</v>
      </c>
      <c r="C404" s="115" t="s">
        <v>877</v>
      </c>
      <c r="D404" s="115">
        <v>1</v>
      </c>
      <c r="E404" s="115" t="s">
        <v>878</v>
      </c>
      <c r="F404" s="115" t="s">
        <v>878</v>
      </c>
      <c r="G404" s="115" t="s">
        <v>878</v>
      </c>
      <c r="H404" s="115" t="s">
        <v>878</v>
      </c>
    </row>
    <row r="405" spans="1:8" ht="30" x14ac:dyDescent="0.25">
      <c r="A405" s="115">
        <v>7445</v>
      </c>
      <c r="B405" s="115" t="s">
        <v>128</v>
      </c>
      <c r="C405" s="115" t="s">
        <v>879</v>
      </c>
      <c r="D405" s="115">
        <v>1</v>
      </c>
      <c r="E405" s="115">
        <v>17</v>
      </c>
      <c r="F405" s="115">
        <v>17</v>
      </c>
      <c r="G405" s="115">
        <v>17</v>
      </c>
      <c r="H405" s="115">
        <v>17</v>
      </c>
    </row>
    <row r="406" spans="1:8" ht="45" x14ac:dyDescent="0.25">
      <c r="A406" s="115">
        <v>7444</v>
      </c>
      <c r="B406" s="115" t="s">
        <v>128</v>
      </c>
      <c r="C406" s="115" t="s">
        <v>880</v>
      </c>
      <c r="D406" s="115">
        <v>1</v>
      </c>
      <c r="E406" s="115" t="s">
        <v>881</v>
      </c>
      <c r="F406" s="115" t="s">
        <v>882</v>
      </c>
      <c r="G406" s="115" t="s">
        <v>883</v>
      </c>
      <c r="H406" s="115" t="s">
        <v>884</v>
      </c>
    </row>
    <row r="407" spans="1:8" ht="30" x14ac:dyDescent="0.25">
      <c r="A407" s="115">
        <v>7443</v>
      </c>
      <c r="B407" s="115" t="s">
        <v>128</v>
      </c>
      <c r="C407" s="115" t="s">
        <v>885</v>
      </c>
      <c r="D407" s="115">
        <v>1</v>
      </c>
      <c r="E407" s="115">
        <v>172.4</v>
      </c>
      <c r="F407" s="115">
        <v>172.4</v>
      </c>
      <c r="G407" s="115">
        <v>172.4</v>
      </c>
      <c r="H407" s="115">
        <v>172.4</v>
      </c>
    </row>
    <row r="408" spans="1:8" ht="30" x14ac:dyDescent="0.25">
      <c r="A408" s="115">
        <v>7442</v>
      </c>
      <c r="B408" s="115" t="s">
        <v>128</v>
      </c>
      <c r="C408" s="115" t="s">
        <v>886</v>
      </c>
      <c r="D408" s="115">
        <v>1</v>
      </c>
      <c r="E408" s="115" t="s">
        <v>878</v>
      </c>
      <c r="F408" s="115" t="s">
        <v>878</v>
      </c>
      <c r="G408" s="115" t="s">
        <v>878</v>
      </c>
      <c r="H408" s="115" t="s">
        <v>878</v>
      </c>
    </row>
    <row r="409" spans="1:8" ht="30" x14ac:dyDescent="0.25">
      <c r="A409" s="115">
        <v>7441</v>
      </c>
      <c r="B409" s="115" t="s">
        <v>128</v>
      </c>
      <c r="C409" s="115" t="s">
        <v>887</v>
      </c>
      <c r="D409" s="115">
        <v>1</v>
      </c>
      <c r="E409" s="115">
        <v>14</v>
      </c>
      <c r="F409" s="115">
        <v>14</v>
      </c>
      <c r="G409" s="115">
        <v>14</v>
      </c>
      <c r="H409" s="115">
        <v>14</v>
      </c>
    </row>
    <row r="410" spans="1:8" ht="45" x14ac:dyDescent="0.25">
      <c r="A410" s="115">
        <v>7440</v>
      </c>
      <c r="B410" s="115" t="s">
        <v>128</v>
      </c>
      <c r="C410" s="115" t="s">
        <v>888</v>
      </c>
      <c r="D410" s="115">
        <v>1</v>
      </c>
      <c r="E410" s="115" t="s">
        <v>889</v>
      </c>
      <c r="F410" s="115" t="s">
        <v>890</v>
      </c>
      <c r="G410" s="115" t="s">
        <v>891</v>
      </c>
      <c r="H410" s="115" t="s">
        <v>892</v>
      </c>
    </row>
    <row r="411" spans="1:8" ht="30" x14ac:dyDescent="0.25">
      <c r="A411" s="115">
        <v>7439</v>
      </c>
      <c r="B411" s="115" t="s">
        <v>128</v>
      </c>
      <c r="C411" s="115" t="s">
        <v>893</v>
      </c>
      <c r="D411" s="115">
        <v>1</v>
      </c>
      <c r="E411" s="115">
        <v>17.3</v>
      </c>
      <c r="F411" s="115">
        <v>17.3</v>
      </c>
      <c r="G411" s="115">
        <v>17.3</v>
      </c>
      <c r="H411" s="115">
        <v>17.3</v>
      </c>
    </row>
    <row r="412" spans="1:8" ht="30" x14ac:dyDescent="0.25">
      <c r="A412" s="115">
        <v>7438</v>
      </c>
      <c r="B412" s="115" t="s">
        <v>128</v>
      </c>
      <c r="C412" s="115" t="s">
        <v>894</v>
      </c>
      <c r="D412" s="115">
        <v>1</v>
      </c>
      <c r="E412" s="115">
        <v>15</v>
      </c>
      <c r="F412" s="115">
        <v>15</v>
      </c>
      <c r="G412" s="115">
        <v>15</v>
      </c>
      <c r="H412" s="115">
        <v>15</v>
      </c>
    </row>
    <row r="413" spans="1:8" ht="30" x14ac:dyDescent="0.25">
      <c r="A413" s="115">
        <v>7437</v>
      </c>
      <c r="B413" s="115" t="s">
        <v>128</v>
      </c>
      <c r="C413" s="115" t="s">
        <v>895</v>
      </c>
      <c r="D413" s="115">
        <v>1</v>
      </c>
      <c r="E413" s="115">
        <v>1</v>
      </c>
      <c r="F413" s="115">
        <v>1</v>
      </c>
      <c r="G413" s="115">
        <v>1</v>
      </c>
      <c r="H413" s="115">
        <v>1</v>
      </c>
    </row>
    <row r="414" spans="1:8" ht="45" x14ac:dyDescent="0.25">
      <c r="A414" s="115">
        <v>7436</v>
      </c>
      <c r="B414" s="115" t="s">
        <v>128</v>
      </c>
      <c r="C414" s="115" t="s">
        <v>896</v>
      </c>
      <c r="D414" s="115">
        <v>1</v>
      </c>
      <c r="E414" s="115" t="s">
        <v>897</v>
      </c>
      <c r="F414" s="115" t="s">
        <v>897</v>
      </c>
      <c r="G414" s="115" t="s">
        <v>897</v>
      </c>
      <c r="H414" s="115" t="s">
        <v>898</v>
      </c>
    </row>
    <row r="415" spans="1:8" ht="30" x14ac:dyDescent="0.25">
      <c r="A415" s="115">
        <v>7435</v>
      </c>
      <c r="B415" s="115" t="s">
        <v>128</v>
      </c>
      <c r="C415" s="115" t="s">
        <v>899</v>
      </c>
      <c r="D415" s="115">
        <v>1</v>
      </c>
      <c r="E415" s="115">
        <v>17.899999999999999</v>
      </c>
      <c r="F415" s="115">
        <v>17.899999999999999</v>
      </c>
      <c r="G415" s="115">
        <v>17.899999999999999</v>
      </c>
      <c r="H415" s="115">
        <v>17.899999999999999</v>
      </c>
    </row>
    <row r="416" spans="1:8" ht="30" x14ac:dyDescent="0.25">
      <c r="A416" s="115">
        <v>7434</v>
      </c>
      <c r="B416" s="115" t="s">
        <v>128</v>
      </c>
      <c r="C416" s="115" t="s">
        <v>900</v>
      </c>
      <c r="D416" s="115">
        <v>1</v>
      </c>
      <c r="E416" s="115">
        <v>14</v>
      </c>
      <c r="F416" s="115">
        <v>14</v>
      </c>
      <c r="G416" s="115">
        <v>14</v>
      </c>
      <c r="H416" s="115">
        <v>14</v>
      </c>
    </row>
    <row r="417" spans="1:8" ht="30" x14ac:dyDescent="0.25">
      <c r="A417" s="115">
        <v>7433</v>
      </c>
      <c r="B417" s="115" t="s">
        <v>128</v>
      </c>
      <c r="C417" s="115" t="s">
        <v>901</v>
      </c>
      <c r="D417" s="115">
        <v>1</v>
      </c>
      <c r="E417" s="115">
        <v>1</v>
      </c>
      <c r="F417" s="115">
        <v>1</v>
      </c>
      <c r="G417" s="115">
        <v>1</v>
      </c>
      <c r="H417" s="115">
        <v>1</v>
      </c>
    </row>
    <row r="418" spans="1:8" ht="45" x14ac:dyDescent="0.25">
      <c r="A418" s="115">
        <v>7432</v>
      </c>
      <c r="B418" s="115" t="s">
        <v>128</v>
      </c>
      <c r="C418" s="115" t="s">
        <v>902</v>
      </c>
      <c r="D418" s="115">
        <v>1</v>
      </c>
      <c r="E418" s="115" t="s">
        <v>903</v>
      </c>
      <c r="F418" s="115" t="s">
        <v>904</v>
      </c>
      <c r="G418" s="115" t="s">
        <v>903</v>
      </c>
      <c r="H418" s="115" t="s">
        <v>905</v>
      </c>
    </row>
    <row r="419" spans="1:8" ht="30" x14ac:dyDescent="0.25">
      <c r="A419" s="115">
        <v>7431</v>
      </c>
      <c r="B419" s="115" t="s">
        <v>128</v>
      </c>
      <c r="C419" s="115" t="s">
        <v>906</v>
      </c>
      <c r="D419" s="115">
        <v>1</v>
      </c>
      <c r="E419" s="115">
        <v>18</v>
      </c>
      <c r="F419" s="115">
        <v>18</v>
      </c>
      <c r="G419" s="115">
        <v>18</v>
      </c>
      <c r="H419" s="115">
        <v>18</v>
      </c>
    </row>
    <row r="420" spans="1:8" ht="30" x14ac:dyDescent="0.25">
      <c r="A420" s="115">
        <v>7430</v>
      </c>
      <c r="B420" s="115" t="s">
        <v>128</v>
      </c>
      <c r="C420" s="115" t="s">
        <v>907</v>
      </c>
      <c r="D420" s="115">
        <v>1</v>
      </c>
      <c r="E420" s="115">
        <v>13</v>
      </c>
      <c r="F420" s="115">
        <v>13</v>
      </c>
      <c r="G420" s="115">
        <v>13</v>
      </c>
      <c r="H420" s="115">
        <v>13</v>
      </c>
    </row>
    <row r="421" spans="1:8" ht="30" x14ac:dyDescent="0.25">
      <c r="A421" s="115">
        <v>7429</v>
      </c>
      <c r="B421" s="115" t="s">
        <v>128</v>
      </c>
      <c r="C421" s="115" t="s">
        <v>908</v>
      </c>
      <c r="D421" s="115">
        <v>1</v>
      </c>
      <c r="E421" s="115">
        <v>1</v>
      </c>
      <c r="F421" s="115">
        <v>1</v>
      </c>
      <c r="G421" s="115">
        <v>1</v>
      </c>
      <c r="H421" s="115">
        <v>1</v>
      </c>
    </row>
    <row r="422" spans="1:8" ht="45" x14ac:dyDescent="0.25">
      <c r="A422" s="115">
        <v>7428</v>
      </c>
      <c r="B422" s="115" t="s">
        <v>128</v>
      </c>
      <c r="C422" s="115" t="s">
        <v>909</v>
      </c>
      <c r="D422" s="115">
        <v>1</v>
      </c>
      <c r="E422" s="115" t="s">
        <v>910</v>
      </c>
      <c r="F422" s="115" t="s">
        <v>911</v>
      </c>
      <c r="G422" s="115" t="s">
        <v>910</v>
      </c>
      <c r="H422" s="115" t="s">
        <v>912</v>
      </c>
    </row>
    <row r="423" spans="1:8" ht="30" x14ac:dyDescent="0.25">
      <c r="A423" s="115">
        <v>7427</v>
      </c>
      <c r="B423" s="115" t="s">
        <v>128</v>
      </c>
      <c r="C423" s="115" t="s">
        <v>913</v>
      </c>
      <c r="D423" s="115">
        <v>1</v>
      </c>
      <c r="E423" s="115">
        <v>21</v>
      </c>
      <c r="F423" s="115">
        <v>21</v>
      </c>
      <c r="G423" s="115">
        <v>21</v>
      </c>
      <c r="H423" s="115">
        <v>21</v>
      </c>
    </row>
    <row r="424" spans="1:8" ht="30" x14ac:dyDescent="0.25">
      <c r="A424" s="115">
        <v>7426</v>
      </c>
      <c r="B424" s="115" t="s">
        <v>128</v>
      </c>
      <c r="C424" s="115" t="s">
        <v>914</v>
      </c>
      <c r="D424" s="115">
        <v>1</v>
      </c>
      <c r="E424" s="115">
        <v>12</v>
      </c>
      <c r="F424" s="115">
        <v>12</v>
      </c>
      <c r="G424" s="115">
        <v>12</v>
      </c>
      <c r="H424" s="115">
        <v>12</v>
      </c>
    </row>
    <row r="425" spans="1:8" ht="30" x14ac:dyDescent="0.25">
      <c r="A425" s="115">
        <v>7425</v>
      </c>
      <c r="B425" s="115" t="s">
        <v>128</v>
      </c>
      <c r="C425" s="115" t="s">
        <v>915</v>
      </c>
      <c r="D425" s="115">
        <v>1</v>
      </c>
      <c r="E425" s="115">
        <v>2</v>
      </c>
      <c r="F425" s="115">
        <v>2</v>
      </c>
      <c r="G425" s="115">
        <v>2</v>
      </c>
      <c r="H425" s="115">
        <v>2</v>
      </c>
    </row>
    <row r="426" spans="1:8" ht="45" x14ac:dyDescent="0.25">
      <c r="A426" s="115">
        <v>7424</v>
      </c>
      <c r="B426" s="115" t="s">
        <v>128</v>
      </c>
      <c r="C426" s="115" t="s">
        <v>916</v>
      </c>
      <c r="D426" s="115">
        <v>1</v>
      </c>
      <c r="E426" s="115" t="s">
        <v>917</v>
      </c>
      <c r="F426" s="115" t="s">
        <v>918</v>
      </c>
      <c r="G426" s="115" t="s">
        <v>917</v>
      </c>
      <c r="H426" s="115" t="s">
        <v>919</v>
      </c>
    </row>
    <row r="427" spans="1:8" ht="30" x14ac:dyDescent="0.25">
      <c r="A427" s="115">
        <v>7423</v>
      </c>
      <c r="B427" s="115" t="s">
        <v>128</v>
      </c>
      <c r="C427" s="115" t="s">
        <v>920</v>
      </c>
      <c r="D427" s="115">
        <v>1</v>
      </c>
      <c r="E427" s="115">
        <v>25.5</v>
      </c>
      <c r="F427" s="115">
        <v>25.5</v>
      </c>
      <c r="G427" s="115">
        <v>25.5</v>
      </c>
      <c r="H427" s="115">
        <v>25.5</v>
      </c>
    </row>
    <row r="428" spans="1:8" ht="30" x14ac:dyDescent="0.25">
      <c r="A428" s="115">
        <v>7422</v>
      </c>
      <c r="B428" s="115" t="s">
        <v>128</v>
      </c>
      <c r="C428" s="115" t="s">
        <v>921</v>
      </c>
      <c r="D428" s="115">
        <v>1</v>
      </c>
      <c r="E428" s="115">
        <v>11</v>
      </c>
      <c r="F428" s="115">
        <v>11</v>
      </c>
      <c r="G428" s="115">
        <v>11</v>
      </c>
      <c r="H428" s="115">
        <v>11</v>
      </c>
    </row>
    <row r="429" spans="1:8" ht="30" x14ac:dyDescent="0.25">
      <c r="A429" s="115">
        <v>7421</v>
      </c>
      <c r="B429" s="115" t="s">
        <v>128</v>
      </c>
      <c r="C429" s="115" t="s">
        <v>922</v>
      </c>
      <c r="D429" s="115">
        <v>1</v>
      </c>
      <c r="E429" s="115">
        <v>2</v>
      </c>
      <c r="F429" s="115">
        <v>2</v>
      </c>
      <c r="G429" s="115">
        <v>2</v>
      </c>
      <c r="H429" s="115">
        <v>2</v>
      </c>
    </row>
    <row r="430" spans="1:8" ht="45" x14ac:dyDescent="0.25">
      <c r="A430" s="115">
        <v>7420</v>
      </c>
      <c r="B430" s="115" t="s">
        <v>128</v>
      </c>
      <c r="C430" s="115" t="s">
        <v>923</v>
      </c>
      <c r="D430" s="115">
        <v>1</v>
      </c>
      <c r="E430" s="115" t="s">
        <v>924</v>
      </c>
      <c r="F430" s="115" t="s">
        <v>925</v>
      </c>
      <c r="G430" s="115" t="s">
        <v>924</v>
      </c>
      <c r="H430" s="115" t="s">
        <v>926</v>
      </c>
    </row>
    <row r="431" spans="1:8" ht="30" x14ac:dyDescent="0.25">
      <c r="A431" s="115">
        <v>7419</v>
      </c>
      <c r="B431" s="115" t="s">
        <v>128</v>
      </c>
      <c r="C431" s="115" t="s">
        <v>927</v>
      </c>
      <c r="D431" s="115">
        <v>1</v>
      </c>
      <c r="E431" s="115">
        <v>111.1</v>
      </c>
      <c r="F431" s="115">
        <v>111.1</v>
      </c>
      <c r="G431" s="115">
        <v>111.1</v>
      </c>
      <c r="H431" s="115">
        <v>111.1</v>
      </c>
    </row>
    <row r="432" spans="1:8" ht="30" x14ac:dyDescent="0.25">
      <c r="A432" s="115">
        <v>7418</v>
      </c>
      <c r="B432" s="115" t="s">
        <v>128</v>
      </c>
      <c r="C432" s="115" t="s">
        <v>928</v>
      </c>
      <c r="D432" s="115">
        <v>1</v>
      </c>
      <c r="E432" s="115">
        <v>2</v>
      </c>
      <c r="F432" s="115">
        <v>2</v>
      </c>
      <c r="G432" s="115">
        <v>2</v>
      </c>
      <c r="H432" s="115">
        <v>2</v>
      </c>
    </row>
    <row r="433" spans="1:8" ht="30" x14ac:dyDescent="0.25">
      <c r="A433" s="115">
        <v>7417</v>
      </c>
      <c r="B433" s="115" t="s">
        <v>128</v>
      </c>
      <c r="C433" s="115" t="s">
        <v>929</v>
      </c>
      <c r="D433" s="115">
        <v>1</v>
      </c>
      <c r="E433" s="115">
        <v>9</v>
      </c>
      <c r="F433" s="115">
        <v>9</v>
      </c>
      <c r="G433" s="115">
        <v>9</v>
      </c>
      <c r="H433" s="115">
        <v>9</v>
      </c>
    </row>
    <row r="434" spans="1:8" ht="45" x14ac:dyDescent="0.25">
      <c r="A434" s="115">
        <v>7416</v>
      </c>
      <c r="B434" s="115" t="s">
        <v>128</v>
      </c>
      <c r="C434" s="115" t="s">
        <v>930</v>
      </c>
      <c r="D434" s="115">
        <v>1</v>
      </c>
      <c r="E434" s="115" t="s">
        <v>931</v>
      </c>
      <c r="F434" s="115" t="s">
        <v>931</v>
      </c>
      <c r="G434" s="115" t="s">
        <v>931</v>
      </c>
      <c r="H434" s="115" t="s">
        <v>932</v>
      </c>
    </row>
    <row r="435" spans="1:8" ht="30" x14ac:dyDescent="0.25">
      <c r="A435" s="115">
        <v>7415</v>
      </c>
      <c r="B435" s="115" t="s">
        <v>128</v>
      </c>
      <c r="C435" s="115" t="s">
        <v>933</v>
      </c>
      <c r="D435" s="115">
        <v>1</v>
      </c>
      <c r="E435" s="115">
        <v>256.10000000000002</v>
      </c>
      <c r="F435" s="115">
        <v>256.10000000000002</v>
      </c>
      <c r="G435" s="115">
        <v>256.10000000000002</v>
      </c>
      <c r="H435" s="115">
        <v>256.10000000000002</v>
      </c>
    </row>
    <row r="436" spans="1:8" ht="30" x14ac:dyDescent="0.25">
      <c r="A436" s="115">
        <v>7414</v>
      </c>
      <c r="B436" s="115" t="s">
        <v>128</v>
      </c>
      <c r="C436" s="115" t="s">
        <v>934</v>
      </c>
      <c r="D436" s="115">
        <v>1</v>
      </c>
      <c r="E436" s="115">
        <v>1</v>
      </c>
      <c r="F436" s="115">
        <v>1</v>
      </c>
      <c r="G436" s="115">
        <v>1</v>
      </c>
      <c r="H436" s="115">
        <v>1</v>
      </c>
    </row>
    <row r="437" spans="1:8" ht="30" x14ac:dyDescent="0.25">
      <c r="A437" s="115">
        <v>7413</v>
      </c>
      <c r="B437" s="115" t="s">
        <v>128</v>
      </c>
      <c r="C437" s="115" t="s">
        <v>935</v>
      </c>
      <c r="D437" s="115">
        <v>1</v>
      </c>
      <c r="E437" s="115">
        <v>20</v>
      </c>
      <c r="F437" s="115">
        <v>20</v>
      </c>
      <c r="G437" s="115">
        <v>20</v>
      </c>
      <c r="H437" s="115">
        <v>20</v>
      </c>
    </row>
    <row r="438" spans="1:8" ht="45" x14ac:dyDescent="0.25">
      <c r="A438" s="115">
        <v>7412</v>
      </c>
      <c r="B438" s="115" t="s">
        <v>128</v>
      </c>
      <c r="C438" s="115" t="s">
        <v>936</v>
      </c>
      <c r="D438" s="115">
        <v>1</v>
      </c>
      <c r="E438" s="115" t="s">
        <v>937</v>
      </c>
      <c r="F438" s="115" t="s">
        <v>938</v>
      </c>
      <c r="G438" s="115" t="s">
        <v>937</v>
      </c>
      <c r="H438" s="115" t="s">
        <v>939</v>
      </c>
    </row>
    <row r="439" spans="1:8" ht="60" x14ac:dyDescent="0.25">
      <c r="A439" s="115">
        <v>7411</v>
      </c>
      <c r="B439" s="115" t="s">
        <v>128</v>
      </c>
      <c r="C439" s="115" t="s">
        <v>940</v>
      </c>
      <c r="D439" s="115">
        <v>1</v>
      </c>
      <c r="E439" s="115" t="s">
        <v>941</v>
      </c>
      <c r="F439" s="115" t="s">
        <v>942</v>
      </c>
      <c r="G439" s="115" t="s">
        <v>943</v>
      </c>
      <c r="H439" s="115" t="s">
        <v>944</v>
      </c>
    </row>
    <row r="440" spans="1:8" ht="30" x14ac:dyDescent="0.25">
      <c r="A440" s="115">
        <v>7410</v>
      </c>
      <c r="B440" s="115" t="s">
        <v>128</v>
      </c>
      <c r="C440" s="115" t="s">
        <v>945</v>
      </c>
      <c r="D440" s="115">
        <v>1</v>
      </c>
      <c r="E440" s="115" t="s">
        <v>946</v>
      </c>
      <c r="F440" s="115" t="s">
        <v>947</v>
      </c>
      <c r="G440" s="115" t="s">
        <v>948</v>
      </c>
      <c r="H440" s="115" t="s">
        <v>949</v>
      </c>
    </row>
    <row r="441" spans="1:8" ht="30" x14ac:dyDescent="0.25">
      <c r="A441" s="115">
        <v>7409</v>
      </c>
      <c r="B441" s="115" t="s">
        <v>128</v>
      </c>
      <c r="C441" s="115" t="s">
        <v>950</v>
      </c>
      <c r="D441" s="115">
        <v>1</v>
      </c>
      <c r="E441" s="115" t="s">
        <v>811</v>
      </c>
      <c r="F441" s="115" t="s">
        <v>811</v>
      </c>
      <c r="G441" s="115" t="s">
        <v>812</v>
      </c>
      <c r="H441" s="115" t="s">
        <v>811</v>
      </c>
    </row>
    <row r="442" spans="1:8" ht="30" x14ac:dyDescent="0.25">
      <c r="A442" s="115">
        <v>7408</v>
      </c>
      <c r="B442" s="115" t="s">
        <v>128</v>
      </c>
      <c r="C442" s="115" t="s">
        <v>951</v>
      </c>
      <c r="D442" s="115">
        <v>1</v>
      </c>
      <c r="E442" s="115" t="s">
        <v>814</v>
      </c>
      <c r="F442" s="115" t="s">
        <v>815</v>
      </c>
      <c r="G442" s="115" t="s">
        <v>816</v>
      </c>
      <c r="H442" s="115" t="s">
        <v>817</v>
      </c>
    </row>
    <row r="443" spans="1:8" ht="30" x14ac:dyDescent="0.25">
      <c r="A443" s="115">
        <v>7407</v>
      </c>
      <c r="B443" s="115" t="s">
        <v>128</v>
      </c>
      <c r="C443" s="115" t="s">
        <v>952</v>
      </c>
      <c r="D443" s="115">
        <v>1</v>
      </c>
      <c r="E443" s="115" t="s">
        <v>953</v>
      </c>
      <c r="F443" s="115" t="s">
        <v>947</v>
      </c>
      <c r="G443" s="115" t="s">
        <v>948</v>
      </c>
      <c r="H443" s="115" t="s">
        <v>949</v>
      </c>
    </row>
    <row r="444" spans="1:8" ht="30" x14ac:dyDescent="0.25">
      <c r="A444" s="115">
        <v>7406</v>
      </c>
      <c r="B444" s="115" t="s">
        <v>128</v>
      </c>
      <c r="C444" s="115" t="s">
        <v>954</v>
      </c>
      <c r="D444" s="115">
        <v>1</v>
      </c>
      <c r="E444" s="115" t="s">
        <v>821</v>
      </c>
      <c r="F444" s="115" t="s">
        <v>822</v>
      </c>
      <c r="G444" s="115" t="s">
        <v>823</v>
      </c>
      <c r="H444" s="115" t="s">
        <v>824</v>
      </c>
    </row>
    <row r="445" spans="1:8" ht="30" x14ac:dyDescent="0.25">
      <c r="A445" s="115">
        <v>7405</v>
      </c>
      <c r="B445" s="115" t="s">
        <v>128</v>
      </c>
      <c r="C445" s="115" t="s">
        <v>955</v>
      </c>
      <c r="D445" s="115">
        <v>1</v>
      </c>
      <c r="E445" s="115">
        <v>55</v>
      </c>
      <c r="F445" s="115">
        <v>55</v>
      </c>
      <c r="G445" s="115">
        <v>55</v>
      </c>
      <c r="H445" s="115">
        <v>55</v>
      </c>
    </row>
    <row r="446" spans="1:8" ht="30" x14ac:dyDescent="0.25">
      <c r="A446" s="115">
        <v>7404</v>
      </c>
      <c r="B446" s="115" t="s">
        <v>128</v>
      </c>
      <c r="C446" s="115" t="s">
        <v>956</v>
      </c>
      <c r="D446" s="115">
        <v>1</v>
      </c>
      <c r="E446" s="115">
        <v>10</v>
      </c>
      <c r="F446" s="115">
        <v>10</v>
      </c>
      <c r="G446" s="115">
        <v>10</v>
      </c>
      <c r="H446" s="115">
        <v>10</v>
      </c>
    </row>
    <row r="447" spans="1:8" ht="30" x14ac:dyDescent="0.25">
      <c r="A447" s="115">
        <v>7403</v>
      </c>
      <c r="B447" s="115" t="s">
        <v>128</v>
      </c>
      <c r="C447" s="115" t="s">
        <v>957</v>
      </c>
      <c r="D447" s="115">
        <v>1</v>
      </c>
      <c r="E447" s="115">
        <v>4</v>
      </c>
      <c r="F447" s="115">
        <v>4</v>
      </c>
      <c r="G447" s="115">
        <v>4</v>
      </c>
      <c r="H447" s="115">
        <v>4</v>
      </c>
    </row>
    <row r="448" spans="1:8" ht="30" x14ac:dyDescent="0.25">
      <c r="A448" s="115">
        <v>7402</v>
      </c>
      <c r="B448" s="115" t="s">
        <v>128</v>
      </c>
      <c r="C448" s="115" t="s">
        <v>958</v>
      </c>
      <c r="D448" s="115">
        <v>1</v>
      </c>
      <c r="E448" s="115" t="s">
        <v>959</v>
      </c>
      <c r="F448" s="115" t="s">
        <v>960</v>
      </c>
      <c r="G448" s="115" t="s">
        <v>959</v>
      </c>
      <c r="H448" s="115" t="s">
        <v>961</v>
      </c>
    </row>
    <row r="449" spans="1:8" ht="30" x14ac:dyDescent="0.25">
      <c r="A449" s="115">
        <v>7401</v>
      </c>
      <c r="B449" s="115" t="s">
        <v>128</v>
      </c>
      <c r="C449" s="115" t="s">
        <v>962</v>
      </c>
      <c r="D449" s="115">
        <v>1</v>
      </c>
      <c r="E449" s="115">
        <v>61.5</v>
      </c>
      <c r="F449" s="115">
        <v>61.5</v>
      </c>
      <c r="G449" s="115">
        <v>61.5</v>
      </c>
      <c r="H449" s="115">
        <v>61.5</v>
      </c>
    </row>
    <row r="450" spans="1:8" ht="30" x14ac:dyDescent="0.25">
      <c r="A450" s="115">
        <v>7400</v>
      </c>
      <c r="B450" s="115" t="s">
        <v>128</v>
      </c>
      <c r="C450" s="115" t="s">
        <v>963</v>
      </c>
      <c r="D450" s="115">
        <v>1</v>
      </c>
      <c r="E450" s="115">
        <v>9</v>
      </c>
      <c r="F450" s="115">
        <v>9</v>
      </c>
      <c r="G450" s="115">
        <v>9</v>
      </c>
      <c r="H450" s="115">
        <v>9</v>
      </c>
    </row>
    <row r="451" spans="1:8" ht="30" x14ac:dyDescent="0.25">
      <c r="A451" s="115">
        <v>7399</v>
      </c>
      <c r="B451" s="115" t="s">
        <v>128</v>
      </c>
      <c r="C451" s="115" t="s">
        <v>964</v>
      </c>
      <c r="D451" s="115">
        <v>1</v>
      </c>
      <c r="E451" s="115">
        <v>4</v>
      </c>
      <c r="F451" s="115">
        <v>4</v>
      </c>
      <c r="G451" s="115">
        <v>4</v>
      </c>
      <c r="H451" s="115">
        <v>4</v>
      </c>
    </row>
    <row r="452" spans="1:8" ht="30" x14ac:dyDescent="0.25">
      <c r="A452" s="115">
        <v>7398</v>
      </c>
      <c r="B452" s="115" t="s">
        <v>128</v>
      </c>
      <c r="C452" s="115" t="s">
        <v>965</v>
      </c>
      <c r="D452" s="115">
        <v>1</v>
      </c>
      <c r="E452" s="115" t="s">
        <v>966</v>
      </c>
      <c r="F452" s="115" t="s">
        <v>967</v>
      </c>
      <c r="G452" s="115" t="s">
        <v>966</v>
      </c>
      <c r="H452" s="115" t="s">
        <v>968</v>
      </c>
    </row>
    <row r="453" spans="1:8" ht="30" x14ac:dyDescent="0.25">
      <c r="A453" s="115">
        <v>7397</v>
      </c>
      <c r="B453" s="115" t="s">
        <v>128</v>
      </c>
      <c r="C453" s="115" t="s">
        <v>969</v>
      </c>
      <c r="D453" s="115">
        <v>1</v>
      </c>
      <c r="E453" s="115">
        <v>64.5</v>
      </c>
      <c r="F453" s="115">
        <v>64.5</v>
      </c>
      <c r="G453" s="115">
        <v>64.5</v>
      </c>
      <c r="H453" s="115">
        <v>64.5</v>
      </c>
    </row>
    <row r="454" spans="1:8" ht="30" x14ac:dyDescent="0.25">
      <c r="A454" s="115">
        <v>7396</v>
      </c>
      <c r="B454" s="115" t="s">
        <v>128</v>
      </c>
      <c r="C454" s="115" t="s">
        <v>970</v>
      </c>
      <c r="D454" s="115">
        <v>1</v>
      </c>
      <c r="E454" s="115">
        <v>8</v>
      </c>
      <c r="F454" s="115">
        <v>8</v>
      </c>
      <c r="G454" s="115">
        <v>8</v>
      </c>
      <c r="H454" s="115">
        <v>8</v>
      </c>
    </row>
    <row r="455" spans="1:8" ht="30" x14ac:dyDescent="0.25">
      <c r="A455" s="115">
        <v>7395</v>
      </c>
      <c r="B455" s="115" t="s">
        <v>128</v>
      </c>
      <c r="C455" s="115" t="s">
        <v>971</v>
      </c>
      <c r="D455" s="115">
        <v>1</v>
      </c>
      <c r="E455" s="115">
        <v>4</v>
      </c>
      <c r="F455" s="115">
        <v>4</v>
      </c>
      <c r="G455" s="115">
        <v>4</v>
      </c>
      <c r="H455" s="115">
        <v>4</v>
      </c>
    </row>
    <row r="456" spans="1:8" ht="30" x14ac:dyDescent="0.25">
      <c r="A456" s="115">
        <v>7394</v>
      </c>
      <c r="B456" s="115" t="s">
        <v>128</v>
      </c>
      <c r="C456" s="115" t="s">
        <v>972</v>
      </c>
      <c r="D456" s="115">
        <v>1</v>
      </c>
      <c r="E456" s="115" t="s">
        <v>548</v>
      </c>
      <c r="F456" s="115" t="s">
        <v>973</v>
      </c>
      <c r="G456" s="115" t="s">
        <v>548</v>
      </c>
      <c r="H456" s="115" t="s">
        <v>550</v>
      </c>
    </row>
    <row r="457" spans="1:8" ht="30" x14ac:dyDescent="0.25">
      <c r="A457" s="115">
        <v>7393</v>
      </c>
      <c r="B457" s="115" t="s">
        <v>128</v>
      </c>
      <c r="C457" s="115" t="s">
        <v>974</v>
      </c>
      <c r="D457" s="115">
        <v>1</v>
      </c>
      <c r="E457" s="115">
        <v>88.1</v>
      </c>
      <c r="F457" s="115">
        <v>88.1</v>
      </c>
      <c r="G457" s="115">
        <v>88.1</v>
      </c>
      <c r="H457" s="115">
        <v>88.1</v>
      </c>
    </row>
    <row r="458" spans="1:8" ht="30" x14ac:dyDescent="0.25">
      <c r="A458" s="115">
        <v>7392</v>
      </c>
      <c r="B458" s="115" t="s">
        <v>128</v>
      </c>
      <c r="C458" s="115" t="s">
        <v>975</v>
      </c>
      <c r="D458" s="115">
        <v>1</v>
      </c>
      <c r="E458" s="115">
        <v>7</v>
      </c>
      <c r="F458" s="115">
        <v>7</v>
      </c>
      <c r="G458" s="115">
        <v>7</v>
      </c>
      <c r="H458" s="115">
        <v>7</v>
      </c>
    </row>
    <row r="459" spans="1:8" ht="30" x14ac:dyDescent="0.25">
      <c r="A459" s="115">
        <v>7391</v>
      </c>
      <c r="B459" s="115" t="s">
        <v>128</v>
      </c>
      <c r="C459" s="115" t="s">
        <v>976</v>
      </c>
      <c r="D459" s="115">
        <v>1</v>
      </c>
      <c r="E459" s="115">
        <v>6</v>
      </c>
      <c r="F459" s="115">
        <v>6</v>
      </c>
      <c r="G459" s="115">
        <v>6</v>
      </c>
      <c r="H459" s="115">
        <v>6</v>
      </c>
    </row>
    <row r="460" spans="1:8" ht="30" x14ac:dyDescent="0.25">
      <c r="A460" s="115">
        <v>7390</v>
      </c>
      <c r="B460" s="115" t="s">
        <v>128</v>
      </c>
      <c r="C460" s="115" t="s">
        <v>977</v>
      </c>
      <c r="D460" s="115">
        <v>1</v>
      </c>
      <c r="E460" s="115" t="s">
        <v>978</v>
      </c>
      <c r="F460" s="115" t="s">
        <v>979</v>
      </c>
      <c r="G460" s="115" t="s">
        <v>978</v>
      </c>
      <c r="H460" s="115" t="s">
        <v>980</v>
      </c>
    </row>
    <row r="461" spans="1:8" ht="30" x14ac:dyDescent="0.25">
      <c r="A461" s="115">
        <v>7389</v>
      </c>
      <c r="B461" s="115" t="s">
        <v>128</v>
      </c>
      <c r="C461" s="115" t="s">
        <v>981</v>
      </c>
      <c r="D461" s="115">
        <v>1</v>
      </c>
      <c r="E461" s="115">
        <v>102</v>
      </c>
      <c r="F461" s="115">
        <v>102</v>
      </c>
      <c r="G461" s="115">
        <v>102</v>
      </c>
      <c r="H461" s="115">
        <v>102</v>
      </c>
    </row>
    <row r="462" spans="1:8" ht="30" x14ac:dyDescent="0.25">
      <c r="A462" s="115">
        <v>7388</v>
      </c>
      <c r="B462" s="115" t="s">
        <v>128</v>
      </c>
      <c r="C462" s="115" t="s">
        <v>982</v>
      </c>
      <c r="D462" s="115">
        <v>1</v>
      </c>
      <c r="E462" s="115">
        <v>6</v>
      </c>
      <c r="F462" s="115">
        <v>6</v>
      </c>
      <c r="G462" s="115">
        <v>6</v>
      </c>
      <c r="H462" s="115">
        <v>6</v>
      </c>
    </row>
    <row r="463" spans="1:8" ht="30" x14ac:dyDescent="0.25">
      <c r="A463" s="115">
        <v>7387</v>
      </c>
      <c r="B463" s="115" t="s">
        <v>128</v>
      </c>
      <c r="C463" s="115" t="s">
        <v>983</v>
      </c>
      <c r="D463" s="115">
        <v>1</v>
      </c>
      <c r="E463" s="115">
        <v>7</v>
      </c>
      <c r="F463" s="115">
        <v>7</v>
      </c>
      <c r="G463" s="115">
        <v>7</v>
      </c>
      <c r="H463" s="115">
        <v>7</v>
      </c>
    </row>
    <row r="464" spans="1:8" ht="30" x14ac:dyDescent="0.25">
      <c r="A464" s="115">
        <v>7386</v>
      </c>
      <c r="B464" s="115" t="s">
        <v>128</v>
      </c>
      <c r="C464" s="115" t="s">
        <v>984</v>
      </c>
      <c r="D464" s="115">
        <v>1</v>
      </c>
      <c r="E464" s="115" t="s">
        <v>985</v>
      </c>
      <c r="F464" s="115" t="s">
        <v>986</v>
      </c>
      <c r="G464" s="115" t="s">
        <v>985</v>
      </c>
      <c r="H464" s="115" t="s">
        <v>517</v>
      </c>
    </row>
    <row r="465" spans="1:8" ht="30" x14ac:dyDescent="0.25">
      <c r="A465" s="115">
        <v>7385</v>
      </c>
      <c r="B465" s="115" t="s">
        <v>128</v>
      </c>
      <c r="C465" s="115" t="s">
        <v>987</v>
      </c>
      <c r="D465" s="115">
        <v>1</v>
      </c>
      <c r="E465" s="115">
        <v>112.2</v>
      </c>
      <c r="F465" s="115">
        <v>112.2</v>
      </c>
      <c r="G465" s="115">
        <v>112.2</v>
      </c>
      <c r="H465" s="115">
        <v>112.2</v>
      </c>
    </row>
    <row r="466" spans="1:8" ht="30" x14ac:dyDescent="0.25">
      <c r="A466" s="115">
        <v>7384</v>
      </c>
      <c r="B466" s="115" t="s">
        <v>128</v>
      </c>
      <c r="C466" s="115" t="s">
        <v>988</v>
      </c>
      <c r="D466" s="115">
        <v>1</v>
      </c>
      <c r="E466" s="115">
        <v>5</v>
      </c>
      <c r="F466" s="115">
        <v>5</v>
      </c>
      <c r="G466" s="115">
        <v>5</v>
      </c>
      <c r="H466" s="115">
        <v>5</v>
      </c>
    </row>
    <row r="467" spans="1:8" ht="30" x14ac:dyDescent="0.25">
      <c r="A467" s="115">
        <v>7383</v>
      </c>
      <c r="B467" s="115" t="s">
        <v>128</v>
      </c>
      <c r="C467" s="115" t="s">
        <v>989</v>
      </c>
      <c r="D467" s="115">
        <v>1</v>
      </c>
      <c r="E467" s="115">
        <v>7</v>
      </c>
      <c r="F467" s="115">
        <v>7</v>
      </c>
      <c r="G467" s="115">
        <v>7</v>
      </c>
      <c r="H467" s="115">
        <v>7</v>
      </c>
    </row>
    <row r="468" spans="1:8" ht="30" x14ac:dyDescent="0.25">
      <c r="A468" s="115">
        <v>7382</v>
      </c>
      <c r="B468" s="115" t="s">
        <v>128</v>
      </c>
      <c r="C468" s="115" t="s">
        <v>990</v>
      </c>
      <c r="D468" s="115">
        <v>1</v>
      </c>
      <c r="E468" s="115" t="s">
        <v>991</v>
      </c>
      <c r="F468" s="115" t="s">
        <v>992</v>
      </c>
      <c r="G468" s="115" t="s">
        <v>991</v>
      </c>
      <c r="H468" s="115" t="s">
        <v>993</v>
      </c>
    </row>
    <row r="469" spans="1:8" ht="30" x14ac:dyDescent="0.25">
      <c r="A469" s="115">
        <v>7381</v>
      </c>
      <c r="B469" s="115" t="s">
        <v>128</v>
      </c>
      <c r="C469" s="115" t="s">
        <v>994</v>
      </c>
      <c r="D469" s="115">
        <v>1</v>
      </c>
      <c r="E469" s="115">
        <v>116.1</v>
      </c>
      <c r="F469" s="115">
        <v>116.1</v>
      </c>
      <c r="G469" s="115">
        <v>116.1</v>
      </c>
      <c r="H469" s="115">
        <v>116.1</v>
      </c>
    </row>
    <row r="470" spans="1:8" ht="30" x14ac:dyDescent="0.25">
      <c r="A470" s="115">
        <v>7380</v>
      </c>
      <c r="B470" s="115" t="s">
        <v>128</v>
      </c>
      <c r="C470" s="115" t="s">
        <v>995</v>
      </c>
      <c r="D470" s="115">
        <v>1</v>
      </c>
      <c r="E470" s="115">
        <v>4</v>
      </c>
      <c r="F470" s="115">
        <v>4</v>
      </c>
      <c r="G470" s="115">
        <v>4</v>
      </c>
      <c r="H470" s="115">
        <v>4</v>
      </c>
    </row>
    <row r="471" spans="1:8" ht="30" x14ac:dyDescent="0.25">
      <c r="A471" s="115">
        <v>7379</v>
      </c>
      <c r="B471" s="115" t="s">
        <v>128</v>
      </c>
      <c r="C471" s="115" t="s">
        <v>996</v>
      </c>
      <c r="D471" s="115">
        <v>1</v>
      </c>
      <c r="E471" s="115">
        <v>7</v>
      </c>
      <c r="F471" s="115">
        <v>7</v>
      </c>
      <c r="G471" s="115">
        <v>7</v>
      </c>
      <c r="H471" s="115">
        <v>7</v>
      </c>
    </row>
    <row r="472" spans="1:8" ht="30" x14ac:dyDescent="0.25">
      <c r="A472" s="115">
        <v>7378</v>
      </c>
      <c r="B472" s="115" t="s">
        <v>128</v>
      </c>
      <c r="C472" s="115" t="s">
        <v>997</v>
      </c>
      <c r="D472" s="115">
        <v>1</v>
      </c>
      <c r="E472" s="115" t="s">
        <v>998</v>
      </c>
      <c r="F472" s="115" t="s">
        <v>999</v>
      </c>
      <c r="G472" s="115" t="s">
        <v>998</v>
      </c>
      <c r="H472" s="115" t="s">
        <v>1000</v>
      </c>
    </row>
    <row r="473" spans="1:8" ht="30" x14ac:dyDescent="0.25">
      <c r="A473" s="115">
        <v>7377</v>
      </c>
      <c r="B473" s="115" t="s">
        <v>128</v>
      </c>
      <c r="C473" s="115" t="s">
        <v>1001</v>
      </c>
      <c r="D473" s="115">
        <v>1</v>
      </c>
      <c r="E473" s="115">
        <v>139.30000000000001</v>
      </c>
      <c r="F473" s="115">
        <v>139.30000000000001</v>
      </c>
      <c r="G473" s="115">
        <v>139.30000000000001</v>
      </c>
      <c r="H473" s="115">
        <v>139.30000000000001</v>
      </c>
    </row>
    <row r="474" spans="1:8" ht="30" x14ac:dyDescent="0.25">
      <c r="A474" s="115">
        <v>7376</v>
      </c>
      <c r="B474" s="115" t="s">
        <v>128</v>
      </c>
      <c r="C474" s="115" t="s">
        <v>1002</v>
      </c>
      <c r="D474" s="115">
        <v>1</v>
      </c>
      <c r="E474" s="115">
        <v>3</v>
      </c>
      <c r="F474" s="115">
        <v>3</v>
      </c>
      <c r="G474" s="115">
        <v>3</v>
      </c>
      <c r="H474" s="115">
        <v>3</v>
      </c>
    </row>
    <row r="475" spans="1:8" ht="30" x14ac:dyDescent="0.25">
      <c r="A475" s="115">
        <v>7375</v>
      </c>
      <c r="B475" s="115" t="s">
        <v>128</v>
      </c>
      <c r="C475" s="115" t="s">
        <v>1003</v>
      </c>
      <c r="D475" s="115">
        <v>1</v>
      </c>
      <c r="E475" s="115">
        <v>9</v>
      </c>
      <c r="F475" s="115">
        <v>9</v>
      </c>
      <c r="G475" s="115">
        <v>9</v>
      </c>
      <c r="H475" s="115">
        <v>9</v>
      </c>
    </row>
    <row r="476" spans="1:8" ht="30" x14ac:dyDescent="0.25">
      <c r="A476" s="115">
        <v>7374</v>
      </c>
      <c r="B476" s="115" t="s">
        <v>128</v>
      </c>
      <c r="C476" s="115" t="s">
        <v>1004</v>
      </c>
      <c r="D476" s="115">
        <v>1</v>
      </c>
      <c r="E476" s="115" t="s">
        <v>1005</v>
      </c>
      <c r="F476" s="115" t="s">
        <v>1006</v>
      </c>
      <c r="G476" s="115" t="s">
        <v>1005</v>
      </c>
      <c r="H476" s="115" t="s">
        <v>1007</v>
      </c>
    </row>
    <row r="477" spans="1:8" ht="30" x14ac:dyDescent="0.25">
      <c r="A477" s="115">
        <v>7373</v>
      </c>
      <c r="B477" s="115" t="s">
        <v>128</v>
      </c>
      <c r="C477" s="115" t="s">
        <v>1008</v>
      </c>
      <c r="D477" s="115">
        <v>1</v>
      </c>
      <c r="E477" s="115">
        <v>109.2</v>
      </c>
      <c r="F477" s="115">
        <v>109.2</v>
      </c>
      <c r="G477" s="115">
        <v>109.2</v>
      </c>
      <c r="H477" s="115">
        <v>109.2</v>
      </c>
    </row>
    <row r="478" spans="1:8" ht="30" x14ac:dyDescent="0.25">
      <c r="A478" s="115">
        <v>7372</v>
      </c>
      <c r="B478" s="115" t="s">
        <v>128</v>
      </c>
      <c r="C478" s="115" t="s">
        <v>1009</v>
      </c>
      <c r="D478" s="115">
        <v>1</v>
      </c>
      <c r="E478" s="115" t="s">
        <v>878</v>
      </c>
      <c r="F478" s="115" t="s">
        <v>878</v>
      </c>
      <c r="G478" s="115" t="s">
        <v>878</v>
      </c>
      <c r="H478" s="115" t="s">
        <v>878</v>
      </c>
    </row>
    <row r="479" spans="1:8" ht="30" x14ac:dyDescent="0.25">
      <c r="A479" s="115">
        <v>7371</v>
      </c>
      <c r="B479" s="115" t="s">
        <v>128</v>
      </c>
      <c r="C479" s="115" t="s">
        <v>1010</v>
      </c>
      <c r="D479" s="115">
        <v>1</v>
      </c>
      <c r="E479" s="115">
        <v>7</v>
      </c>
      <c r="F479" s="115">
        <v>7</v>
      </c>
      <c r="G479" s="115">
        <v>7</v>
      </c>
      <c r="H479" s="115">
        <v>7</v>
      </c>
    </row>
    <row r="480" spans="1:8" ht="30" x14ac:dyDescent="0.25">
      <c r="A480" s="115">
        <v>7370</v>
      </c>
      <c r="B480" s="115" t="s">
        <v>128</v>
      </c>
      <c r="C480" s="115" t="s">
        <v>1011</v>
      </c>
      <c r="D480" s="115">
        <v>1</v>
      </c>
      <c r="E480" s="115" t="s">
        <v>1012</v>
      </c>
      <c r="F480" s="115" t="s">
        <v>1013</v>
      </c>
      <c r="G480" s="115" t="s">
        <v>1012</v>
      </c>
      <c r="H480" s="115" t="s">
        <v>1014</v>
      </c>
    </row>
    <row r="481" spans="1:8" ht="30" x14ac:dyDescent="0.25">
      <c r="A481" s="115">
        <v>7369</v>
      </c>
      <c r="B481" s="115" t="s">
        <v>128</v>
      </c>
      <c r="C481" s="115" t="s">
        <v>1015</v>
      </c>
      <c r="D481" s="115">
        <v>1</v>
      </c>
      <c r="E481" s="115">
        <v>223.2</v>
      </c>
      <c r="F481" s="115">
        <v>223.2</v>
      </c>
      <c r="G481" s="115">
        <v>223.2</v>
      </c>
      <c r="H481" s="115">
        <v>223.2</v>
      </c>
    </row>
    <row r="482" spans="1:8" ht="30" x14ac:dyDescent="0.25">
      <c r="A482" s="115">
        <v>7368</v>
      </c>
      <c r="B482" s="115" t="s">
        <v>128</v>
      </c>
      <c r="C482" s="115" t="s">
        <v>1016</v>
      </c>
      <c r="D482" s="115">
        <v>1</v>
      </c>
      <c r="E482" s="115" t="s">
        <v>878</v>
      </c>
      <c r="F482" s="115" t="s">
        <v>878</v>
      </c>
      <c r="G482" s="115" t="s">
        <v>878</v>
      </c>
      <c r="H482" s="115" t="s">
        <v>878</v>
      </c>
    </row>
    <row r="483" spans="1:8" ht="30" x14ac:dyDescent="0.25">
      <c r="A483" s="115">
        <v>7367</v>
      </c>
      <c r="B483" s="115" t="s">
        <v>128</v>
      </c>
      <c r="C483" s="115" t="s">
        <v>1017</v>
      </c>
      <c r="D483" s="115">
        <v>1</v>
      </c>
      <c r="E483" s="115">
        <v>14</v>
      </c>
      <c r="F483" s="115">
        <v>14</v>
      </c>
      <c r="G483" s="115">
        <v>14</v>
      </c>
      <c r="H483" s="115">
        <v>14</v>
      </c>
    </row>
    <row r="484" spans="1:8" ht="30" x14ac:dyDescent="0.25">
      <c r="A484" s="115">
        <v>7366</v>
      </c>
      <c r="B484" s="115" t="s">
        <v>128</v>
      </c>
      <c r="C484" s="115" t="s">
        <v>1018</v>
      </c>
      <c r="D484" s="115">
        <v>1</v>
      </c>
      <c r="E484" s="115" t="s">
        <v>1019</v>
      </c>
      <c r="F484" s="115" t="s">
        <v>1020</v>
      </c>
      <c r="G484" s="115" t="s">
        <v>1019</v>
      </c>
      <c r="H484" s="115" t="s">
        <v>1021</v>
      </c>
    </row>
    <row r="485" spans="1:8" ht="30" x14ac:dyDescent="0.25">
      <c r="A485" s="115">
        <v>7365</v>
      </c>
      <c r="B485" s="115" t="s">
        <v>128</v>
      </c>
      <c r="C485" s="115" t="s">
        <v>1022</v>
      </c>
      <c r="D485" s="115">
        <v>1</v>
      </c>
      <c r="E485" s="115">
        <v>21.7</v>
      </c>
      <c r="F485" s="115">
        <v>21.7</v>
      </c>
      <c r="G485" s="115">
        <v>21.7</v>
      </c>
      <c r="H485" s="115">
        <v>21.7</v>
      </c>
    </row>
    <row r="486" spans="1:8" ht="30" x14ac:dyDescent="0.25">
      <c r="A486" s="115">
        <v>7364</v>
      </c>
      <c r="B486" s="115" t="s">
        <v>128</v>
      </c>
      <c r="C486" s="115" t="s">
        <v>1023</v>
      </c>
      <c r="D486" s="115">
        <v>1</v>
      </c>
      <c r="E486" s="115">
        <v>15</v>
      </c>
      <c r="F486" s="115">
        <v>15</v>
      </c>
      <c r="G486" s="115">
        <v>15</v>
      </c>
      <c r="H486" s="115">
        <v>15</v>
      </c>
    </row>
    <row r="487" spans="1:8" ht="30" x14ac:dyDescent="0.25">
      <c r="A487" s="115">
        <v>7363</v>
      </c>
      <c r="B487" s="115" t="s">
        <v>128</v>
      </c>
      <c r="C487" s="115" t="s">
        <v>1024</v>
      </c>
      <c r="D487" s="115">
        <v>1</v>
      </c>
      <c r="E487" s="115">
        <v>1</v>
      </c>
      <c r="F487" s="115">
        <v>1</v>
      </c>
      <c r="G487" s="115">
        <v>1</v>
      </c>
      <c r="H487" s="115">
        <v>1</v>
      </c>
    </row>
    <row r="488" spans="1:8" ht="30" x14ac:dyDescent="0.25">
      <c r="A488" s="115">
        <v>7362</v>
      </c>
      <c r="B488" s="115" t="s">
        <v>128</v>
      </c>
      <c r="C488" s="115" t="s">
        <v>1025</v>
      </c>
      <c r="D488" s="115">
        <v>1</v>
      </c>
      <c r="E488" s="115" t="s">
        <v>1026</v>
      </c>
      <c r="F488" s="115" t="s">
        <v>1027</v>
      </c>
      <c r="G488" s="115" t="s">
        <v>1026</v>
      </c>
      <c r="H488" s="115" t="s">
        <v>1028</v>
      </c>
    </row>
    <row r="489" spans="1:8" ht="30" x14ac:dyDescent="0.25">
      <c r="A489" s="115">
        <v>7361</v>
      </c>
      <c r="B489" s="115" t="s">
        <v>128</v>
      </c>
      <c r="C489" s="115" t="s">
        <v>1029</v>
      </c>
      <c r="D489" s="115">
        <v>1</v>
      </c>
      <c r="E489" s="115">
        <v>30.6</v>
      </c>
      <c r="F489" s="115">
        <v>30.6</v>
      </c>
      <c r="G489" s="115">
        <v>30.6</v>
      </c>
      <c r="H489" s="115">
        <v>30.6</v>
      </c>
    </row>
    <row r="490" spans="1:8" ht="30" x14ac:dyDescent="0.25">
      <c r="A490" s="115">
        <v>7360</v>
      </c>
      <c r="B490" s="115" t="s">
        <v>128</v>
      </c>
      <c r="C490" s="115" t="s">
        <v>1030</v>
      </c>
      <c r="D490" s="115">
        <v>1</v>
      </c>
      <c r="E490" s="115">
        <v>14</v>
      </c>
      <c r="F490" s="115">
        <v>14</v>
      </c>
      <c r="G490" s="115">
        <v>14</v>
      </c>
      <c r="H490" s="115">
        <v>14</v>
      </c>
    </row>
    <row r="491" spans="1:8" ht="30" x14ac:dyDescent="0.25">
      <c r="A491" s="115">
        <v>7359</v>
      </c>
      <c r="B491" s="115" t="s">
        <v>128</v>
      </c>
      <c r="C491" s="115" t="s">
        <v>1031</v>
      </c>
      <c r="D491" s="115">
        <v>1</v>
      </c>
      <c r="E491" s="115">
        <v>2</v>
      </c>
      <c r="F491" s="115">
        <v>2</v>
      </c>
      <c r="G491" s="115">
        <v>2</v>
      </c>
      <c r="H491" s="115">
        <v>2</v>
      </c>
    </row>
    <row r="492" spans="1:8" ht="30" x14ac:dyDescent="0.25">
      <c r="A492" s="115">
        <v>7358</v>
      </c>
      <c r="B492" s="115" t="s">
        <v>128</v>
      </c>
      <c r="C492" s="115" t="s">
        <v>1032</v>
      </c>
      <c r="D492" s="115">
        <v>1</v>
      </c>
      <c r="E492" s="115" t="s">
        <v>1033</v>
      </c>
      <c r="F492" s="115" t="s">
        <v>1034</v>
      </c>
      <c r="G492" s="115" t="s">
        <v>1033</v>
      </c>
      <c r="H492" s="115" t="s">
        <v>1035</v>
      </c>
    </row>
    <row r="493" spans="1:8" ht="30" x14ac:dyDescent="0.25">
      <c r="A493" s="115">
        <v>7357</v>
      </c>
      <c r="B493" s="115" t="s">
        <v>128</v>
      </c>
      <c r="C493" s="115" t="s">
        <v>1036</v>
      </c>
      <c r="D493" s="115">
        <v>1</v>
      </c>
      <c r="E493" s="115">
        <v>46.6</v>
      </c>
      <c r="F493" s="115">
        <v>46.6</v>
      </c>
      <c r="G493" s="115">
        <v>46.6</v>
      </c>
      <c r="H493" s="115">
        <v>46.6</v>
      </c>
    </row>
    <row r="494" spans="1:8" ht="30" x14ac:dyDescent="0.25">
      <c r="A494" s="115">
        <v>7356</v>
      </c>
      <c r="B494" s="115" t="s">
        <v>128</v>
      </c>
      <c r="C494" s="115" t="s">
        <v>1037</v>
      </c>
      <c r="D494" s="115">
        <v>1</v>
      </c>
      <c r="E494" s="115">
        <v>13</v>
      </c>
      <c r="F494" s="115">
        <v>13</v>
      </c>
      <c r="G494" s="115">
        <v>13</v>
      </c>
      <c r="H494" s="115">
        <v>13</v>
      </c>
    </row>
    <row r="495" spans="1:8" ht="30" x14ac:dyDescent="0.25">
      <c r="A495" s="115">
        <v>7355</v>
      </c>
      <c r="B495" s="115" t="s">
        <v>128</v>
      </c>
      <c r="C495" s="115" t="s">
        <v>1038</v>
      </c>
      <c r="D495" s="115">
        <v>1</v>
      </c>
      <c r="E495" s="115">
        <v>3</v>
      </c>
      <c r="F495" s="115">
        <v>3</v>
      </c>
      <c r="G495" s="115">
        <v>3</v>
      </c>
      <c r="H495" s="115">
        <v>3</v>
      </c>
    </row>
    <row r="496" spans="1:8" ht="30" x14ac:dyDescent="0.25">
      <c r="A496" s="115">
        <v>7354</v>
      </c>
      <c r="B496" s="115" t="s">
        <v>128</v>
      </c>
      <c r="C496" s="115" t="s">
        <v>1039</v>
      </c>
      <c r="D496" s="115">
        <v>1</v>
      </c>
      <c r="E496" s="115" t="s">
        <v>544</v>
      </c>
      <c r="F496" s="115" t="s">
        <v>545</v>
      </c>
      <c r="G496" s="115" t="s">
        <v>544</v>
      </c>
      <c r="H496" s="115" t="s">
        <v>546</v>
      </c>
    </row>
    <row r="497" spans="1:8" ht="30" x14ac:dyDescent="0.25">
      <c r="A497" s="115">
        <v>7353</v>
      </c>
      <c r="B497" s="115" t="s">
        <v>128</v>
      </c>
      <c r="C497" s="115" t="s">
        <v>1040</v>
      </c>
      <c r="D497" s="115">
        <v>1</v>
      </c>
      <c r="E497" s="115">
        <v>47.1</v>
      </c>
      <c r="F497" s="115">
        <v>47.1</v>
      </c>
      <c r="G497" s="115">
        <v>47.1</v>
      </c>
      <c r="H497" s="115">
        <v>47.1</v>
      </c>
    </row>
    <row r="498" spans="1:8" ht="30" x14ac:dyDescent="0.25">
      <c r="A498" s="115">
        <v>7352</v>
      </c>
      <c r="B498" s="115" t="s">
        <v>128</v>
      </c>
      <c r="C498" s="115" t="s">
        <v>1041</v>
      </c>
      <c r="D498" s="115">
        <v>1</v>
      </c>
      <c r="E498" s="115">
        <v>12</v>
      </c>
      <c r="F498" s="115">
        <v>12</v>
      </c>
      <c r="G498" s="115">
        <v>12</v>
      </c>
      <c r="H498" s="115">
        <v>12</v>
      </c>
    </row>
    <row r="499" spans="1:8" ht="30" x14ac:dyDescent="0.25">
      <c r="A499" s="115">
        <v>7351</v>
      </c>
      <c r="B499" s="115" t="s">
        <v>128</v>
      </c>
      <c r="C499" s="115" t="s">
        <v>1042</v>
      </c>
      <c r="D499" s="115">
        <v>1</v>
      </c>
      <c r="E499" s="115">
        <v>3</v>
      </c>
      <c r="F499" s="115">
        <v>3</v>
      </c>
      <c r="G499" s="115">
        <v>3</v>
      </c>
      <c r="H499" s="115">
        <v>3</v>
      </c>
    </row>
    <row r="500" spans="1:8" ht="30" x14ac:dyDescent="0.25">
      <c r="A500" s="115">
        <v>7350</v>
      </c>
      <c r="B500" s="115" t="s">
        <v>128</v>
      </c>
      <c r="C500" s="115" t="s">
        <v>1043</v>
      </c>
      <c r="D500" s="115">
        <v>1</v>
      </c>
      <c r="E500" s="115" t="s">
        <v>1044</v>
      </c>
      <c r="F500" s="115" t="s">
        <v>1045</v>
      </c>
      <c r="G500" s="115" t="s">
        <v>1044</v>
      </c>
      <c r="H500" s="115" t="s">
        <v>1046</v>
      </c>
    </row>
    <row r="501" spans="1:8" ht="30" x14ac:dyDescent="0.25">
      <c r="A501" s="115">
        <v>7349</v>
      </c>
      <c r="B501" s="115" t="s">
        <v>128</v>
      </c>
      <c r="C501" s="115" t="s">
        <v>1047</v>
      </c>
      <c r="D501" s="115">
        <v>1</v>
      </c>
      <c r="E501" s="115">
        <v>51.6</v>
      </c>
      <c r="F501" s="115">
        <v>51.6</v>
      </c>
      <c r="G501" s="115">
        <v>51.6</v>
      </c>
      <c r="H501" s="115">
        <v>51.6</v>
      </c>
    </row>
    <row r="502" spans="1:8" ht="30" x14ac:dyDescent="0.25">
      <c r="A502" s="115">
        <v>7348</v>
      </c>
      <c r="B502" s="115" t="s">
        <v>128</v>
      </c>
      <c r="C502" s="115" t="s">
        <v>1048</v>
      </c>
      <c r="D502" s="115">
        <v>1</v>
      </c>
      <c r="E502" s="115">
        <v>11</v>
      </c>
      <c r="F502" s="115">
        <v>11</v>
      </c>
      <c r="G502" s="115">
        <v>11</v>
      </c>
      <c r="H502" s="115">
        <v>11</v>
      </c>
    </row>
    <row r="503" spans="1:8" ht="30" x14ac:dyDescent="0.25">
      <c r="A503" s="115">
        <v>7347</v>
      </c>
      <c r="B503" s="115" t="s">
        <v>128</v>
      </c>
      <c r="C503" s="115" t="s">
        <v>1049</v>
      </c>
      <c r="D503" s="115">
        <v>1</v>
      </c>
      <c r="E503" s="115">
        <v>3</v>
      </c>
      <c r="F503" s="115">
        <v>3</v>
      </c>
      <c r="G503" s="115">
        <v>3</v>
      </c>
      <c r="H503" s="115">
        <v>3</v>
      </c>
    </row>
    <row r="504" spans="1:8" ht="30" x14ac:dyDescent="0.25">
      <c r="A504" s="115">
        <v>7346</v>
      </c>
      <c r="B504" s="115" t="s">
        <v>128</v>
      </c>
      <c r="C504" s="115" t="s">
        <v>1050</v>
      </c>
      <c r="D504" s="115">
        <v>1</v>
      </c>
      <c r="E504" s="115" t="s">
        <v>1051</v>
      </c>
      <c r="F504" s="115" t="s">
        <v>1052</v>
      </c>
      <c r="G504" s="115" t="s">
        <v>1051</v>
      </c>
      <c r="H504" s="115" t="s">
        <v>1053</v>
      </c>
    </row>
    <row r="505" spans="1:8" ht="30" x14ac:dyDescent="0.25">
      <c r="A505" s="115">
        <v>7345</v>
      </c>
      <c r="B505" s="115" t="s">
        <v>128</v>
      </c>
      <c r="C505" s="115" t="s">
        <v>1054</v>
      </c>
      <c r="D505" s="115">
        <v>1</v>
      </c>
      <c r="E505" s="115">
        <v>144.19999999999999</v>
      </c>
      <c r="F505" s="115">
        <v>144.19999999999999</v>
      </c>
      <c r="G505" s="115">
        <v>144.19999999999999</v>
      </c>
      <c r="H505" s="115">
        <v>144.19999999999999</v>
      </c>
    </row>
    <row r="506" spans="1:8" ht="30" x14ac:dyDescent="0.25">
      <c r="A506" s="115">
        <v>7344</v>
      </c>
      <c r="B506" s="115" t="s">
        <v>128</v>
      </c>
      <c r="C506" s="115" t="s">
        <v>1055</v>
      </c>
      <c r="D506" s="115">
        <v>1</v>
      </c>
      <c r="E506" s="115">
        <v>2</v>
      </c>
      <c r="F506" s="115">
        <v>2</v>
      </c>
      <c r="G506" s="115">
        <v>2</v>
      </c>
      <c r="H506" s="115">
        <v>2</v>
      </c>
    </row>
    <row r="507" spans="1:8" ht="30" x14ac:dyDescent="0.25">
      <c r="A507" s="115">
        <v>7343</v>
      </c>
      <c r="B507" s="115" t="s">
        <v>128</v>
      </c>
      <c r="C507" s="115" t="s">
        <v>1056</v>
      </c>
      <c r="D507" s="115">
        <v>1</v>
      </c>
      <c r="E507" s="115">
        <v>9</v>
      </c>
      <c r="F507" s="115">
        <v>9</v>
      </c>
      <c r="G507" s="115">
        <v>9</v>
      </c>
      <c r="H507" s="115">
        <v>9</v>
      </c>
    </row>
    <row r="508" spans="1:8" ht="30" x14ac:dyDescent="0.25">
      <c r="A508" s="115">
        <v>7342</v>
      </c>
      <c r="B508" s="115" t="s">
        <v>128</v>
      </c>
      <c r="C508" s="115" t="s">
        <v>1057</v>
      </c>
      <c r="D508" s="115">
        <v>1</v>
      </c>
      <c r="E508" s="115" t="s">
        <v>1058</v>
      </c>
      <c r="F508" s="115" t="s">
        <v>1059</v>
      </c>
      <c r="G508" s="115" t="s">
        <v>1058</v>
      </c>
      <c r="H508" s="115" t="s">
        <v>1060</v>
      </c>
    </row>
    <row r="509" spans="1:8" ht="30" x14ac:dyDescent="0.25">
      <c r="A509" s="115">
        <v>7341</v>
      </c>
      <c r="B509" s="115" t="s">
        <v>128</v>
      </c>
      <c r="C509" s="115" t="s">
        <v>1061</v>
      </c>
      <c r="D509" s="115">
        <v>1</v>
      </c>
      <c r="E509" s="115">
        <v>153.30000000000001</v>
      </c>
      <c r="F509" s="115">
        <v>153.30000000000001</v>
      </c>
      <c r="G509" s="115">
        <v>153.30000000000001</v>
      </c>
      <c r="H509" s="115">
        <v>153.30000000000001</v>
      </c>
    </row>
    <row r="510" spans="1:8" ht="30" x14ac:dyDescent="0.25">
      <c r="A510" s="115">
        <v>7340</v>
      </c>
      <c r="B510" s="115" t="s">
        <v>128</v>
      </c>
      <c r="C510" s="115" t="s">
        <v>1062</v>
      </c>
      <c r="D510" s="115">
        <v>1</v>
      </c>
      <c r="E510" s="115">
        <v>1</v>
      </c>
      <c r="F510" s="115">
        <v>1</v>
      </c>
      <c r="G510" s="115">
        <v>1</v>
      </c>
      <c r="H510" s="115">
        <v>1</v>
      </c>
    </row>
    <row r="511" spans="1:8" ht="30" x14ac:dyDescent="0.25">
      <c r="A511" s="115">
        <v>7339</v>
      </c>
      <c r="B511" s="115" t="s">
        <v>128</v>
      </c>
      <c r="C511" s="115" t="s">
        <v>1063</v>
      </c>
      <c r="D511" s="115">
        <v>1</v>
      </c>
      <c r="E511" s="115">
        <v>10</v>
      </c>
      <c r="F511" s="115">
        <v>10</v>
      </c>
      <c r="G511" s="115">
        <v>10</v>
      </c>
      <c r="H511" s="115">
        <v>10</v>
      </c>
    </row>
    <row r="512" spans="1:8" ht="30" x14ac:dyDescent="0.25">
      <c r="A512" s="115">
        <v>7338</v>
      </c>
      <c r="B512" s="115" t="s">
        <v>128</v>
      </c>
      <c r="C512" s="115" t="s">
        <v>1064</v>
      </c>
      <c r="D512" s="115">
        <v>1</v>
      </c>
      <c r="E512" s="115" t="s">
        <v>1065</v>
      </c>
      <c r="F512" s="115" t="s">
        <v>1066</v>
      </c>
      <c r="G512" s="115" t="s">
        <v>1065</v>
      </c>
      <c r="H512" s="115" t="s">
        <v>1067</v>
      </c>
    </row>
    <row r="513" spans="1:8" ht="75" x14ac:dyDescent="0.25">
      <c r="A513" s="115">
        <v>7337</v>
      </c>
      <c r="B513" s="115" t="s">
        <v>128</v>
      </c>
      <c r="C513" s="115" t="s">
        <v>1068</v>
      </c>
      <c r="D513" s="115">
        <v>1</v>
      </c>
      <c r="E513" s="115" t="s">
        <v>941</v>
      </c>
      <c r="F513" s="115" t="s">
        <v>1069</v>
      </c>
      <c r="G513" s="115" t="s">
        <v>943</v>
      </c>
      <c r="H513" s="115" t="s">
        <v>944</v>
      </c>
    </row>
    <row r="514" spans="1:8" ht="45" x14ac:dyDescent="0.25">
      <c r="A514" s="115">
        <v>7336</v>
      </c>
      <c r="B514" s="115" t="s">
        <v>128</v>
      </c>
      <c r="C514" s="115" t="s">
        <v>1070</v>
      </c>
      <c r="D514" s="115">
        <v>1</v>
      </c>
      <c r="E514" s="115" t="s">
        <v>1071</v>
      </c>
      <c r="F514" s="115" t="s">
        <v>1072</v>
      </c>
      <c r="G514" s="115" t="s">
        <v>1073</v>
      </c>
      <c r="H514" s="115" t="s">
        <v>1074</v>
      </c>
    </row>
    <row r="515" spans="1:8" ht="345" x14ac:dyDescent="0.25">
      <c r="A515" s="115">
        <v>7335</v>
      </c>
      <c r="B515" s="115" t="s">
        <v>128</v>
      </c>
      <c r="C515" s="115" t="s">
        <v>1075</v>
      </c>
      <c r="D515" s="115">
        <v>1</v>
      </c>
      <c r="E515" s="115" t="s">
        <v>1076</v>
      </c>
      <c r="F515" s="115" t="s">
        <v>1077</v>
      </c>
      <c r="G515" s="115" t="s">
        <v>1078</v>
      </c>
      <c r="H515" s="115" t="s">
        <v>1079</v>
      </c>
    </row>
    <row r="516" spans="1:8" ht="30" x14ac:dyDescent="0.25">
      <c r="A516" s="115">
        <v>7334</v>
      </c>
      <c r="B516" s="115" t="s">
        <v>128</v>
      </c>
      <c r="C516" s="115" t="s">
        <v>1080</v>
      </c>
      <c r="D516" s="115">
        <v>1</v>
      </c>
      <c r="E516" s="115" t="s">
        <v>764</v>
      </c>
      <c r="F516" s="115" t="s">
        <v>765</v>
      </c>
      <c r="G516" s="115" t="s">
        <v>764</v>
      </c>
      <c r="H516" s="115" t="s">
        <v>764</v>
      </c>
    </row>
    <row r="517" spans="1:8" ht="30" x14ac:dyDescent="0.25">
      <c r="A517" s="115">
        <v>7333</v>
      </c>
      <c r="B517" s="115" t="s">
        <v>128</v>
      </c>
      <c r="C517" s="115" t="s">
        <v>1081</v>
      </c>
      <c r="D517" s="115">
        <v>1</v>
      </c>
      <c r="E517" s="115" t="s">
        <v>661</v>
      </c>
      <c r="F517" s="115" t="s">
        <v>1082</v>
      </c>
      <c r="G517" s="115" t="s">
        <v>663</v>
      </c>
      <c r="H517" s="115" t="s">
        <v>664</v>
      </c>
    </row>
    <row r="518" spans="1:8" ht="45" x14ac:dyDescent="0.25">
      <c r="A518" s="115">
        <v>7332</v>
      </c>
      <c r="B518" s="115" t="s">
        <v>128</v>
      </c>
      <c r="C518" s="115" t="s">
        <v>1083</v>
      </c>
      <c r="D518" s="115">
        <v>1</v>
      </c>
      <c r="E518" s="115" t="s">
        <v>1084</v>
      </c>
      <c r="F518" s="115" t="s">
        <v>1085</v>
      </c>
      <c r="G518" s="115" t="s">
        <v>1086</v>
      </c>
      <c r="H518" s="115" t="s">
        <v>1087</v>
      </c>
    </row>
    <row r="519" spans="1:8" ht="30" x14ac:dyDescent="0.25">
      <c r="A519" s="115">
        <v>7331</v>
      </c>
      <c r="B519" s="115" t="s">
        <v>128</v>
      </c>
      <c r="C519" s="115" t="s">
        <v>1088</v>
      </c>
      <c r="D519" s="115">
        <v>1</v>
      </c>
      <c r="E519" s="115" t="s">
        <v>615</v>
      </c>
      <c r="F519" s="115" t="s">
        <v>1089</v>
      </c>
      <c r="G519" s="115" t="s">
        <v>1090</v>
      </c>
      <c r="H519" s="115" t="s">
        <v>618</v>
      </c>
    </row>
    <row r="520" spans="1:8" ht="45" x14ac:dyDescent="0.25">
      <c r="A520" s="115">
        <v>7330</v>
      </c>
      <c r="B520" s="115" t="s">
        <v>128</v>
      </c>
      <c r="C520" s="115" t="s">
        <v>1091</v>
      </c>
      <c r="D520" s="115">
        <v>1</v>
      </c>
      <c r="E520" s="115" t="s">
        <v>1092</v>
      </c>
      <c r="F520" s="115" t="s">
        <v>1093</v>
      </c>
      <c r="G520" s="115" t="s">
        <v>1094</v>
      </c>
      <c r="H520" s="115" t="s">
        <v>1095</v>
      </c>
    </row>
    <row r="521" spans="1:8" ht="45" x14ac:dyDescent="0.25">
      <c r="A521" s="115">
        <v>7329</v>
      </c>
      <c r="B521" s="115" t="s">
        <v>128</v>
      </c>
      <c r="C521" s="115" t="s">
        <v>1096</v>
      </c>
      <c r="D521" s="115">
        <v>1</v>
      </c>
      <c r="E521" s="115" t="s">
        <v>1097</v>
      </c>
      <c r="F521" s="115" t="s">
        <v>1098</v>
      </c>
      <c r="G521" s="115" t="s">
        <v>1099</v>
      </c>
      <c r="H521" s="115" t="s">
        <v>1100</v>
      </c>
    </row>
    <row r="522" spans="1:8" ht="30" x14ac:dyDescent="0.25">
      <c r="A522" s="115">
        <v>7328</v>
      </c>
      <c r="B522" s="115" t="s">
        <v>128</v>
      </c>
      <c r="C522" s="115" t="s">
        <v>1101</v>
      </c>
      <c r="D522" s="115">
        <v>1</v>
      </c>
      <c r="E522" s="115" t="s">
        <v>1102</v>
      </c>
      <c r="F522" s="115" t="s">
        <v>1103</v>
      </c>
      <c r="G522" s="115" t="s">
        <v>1104</v>
      </c>
      <c r="H522" s="115" t="s">
        <v>1105</v>
      </c>
    </row>
    <row r="523" spans="1:8" ht="45" x14ac:dyDescent="0.25">
      <c r="A523" s="115">
        <v>7327</v>
      </c>
      <c r="B523" s="115" t="s">
        <v>128</v>
      </c>
      <c r="C523" s="115" t="s">
        <v>1106</v>
      </c>
      <c r="D523" s="115">
        <v>1</v>
      </c>
      <c r="E523" s="115" t="s">
        <v>1107</v>
      </c>
      <c r="F523" s="115" t="s">
        <v>1108</v>
      </c>
      <c r="G523" s="115" t="s">
        <v>1109</v>
      </c>
      <c r="H523" s="115" t="s">
        <v>1087</v>
      </c>
    </row>
    <row r="524" spans="1:8" ht="30" x14ac:dyDescent="0.25">
      <c r="A524" s="115">
        <v>7326</v>
      </c>
      <c r="B524" s="115" t="s">
        <v>128</v>
      </c>
      <c r="C524" s="115" t="s">
        <v>1110</v>
      </c>
      <c r="D524" s="115">
        <v>1</v>
      </c>
      <c r="E524" s="115" t="s">
        <v>1111</v>
      </c>
      <c r="F524" s="115" t="s">
        <v>1112</v>
      </c>
      <c r="G524" s="115" t="s">
        <v>1113</v>
      </c>
      <c r="H524" s="115" t="s">
        <v>1114</v>
      </c>
    </row>
    <row r="525" spans="1:8" ht="30" x14ac:dyDescent="0.25">
      <c r="A525" s="115">
        <v>7325</v>
      </c>
      <c r="B525" s="115" t="s">
        <v>128</v>
      </c>
      <c r="C525" s="115" t="s">
        <v>1115</v>
      </c>
      <c r="D525" s="115">
        <v>1</v>
      </c>
      <c r="E525" s="115" t="s">
        <v>1116</v>
      </c>
      <c r="F525" s="115" t="s">
        <v>1117</v>
      </c>
      <c r="G525" s="115" t="s">
        <v>1118</v>
      </c>
      <c r="H525" s="115" t="s">
        <v>1119</v>
      </c>
    </row>
    <row r="526" spans="1:8" ht="45" x14ac:dyDescent="0.25">
      <c r="A526" s="115">
        <v>7324</v>
      </c>
      <c r="B526" s="115" t="s">
        <v>128</v>
      </c>
      <c r="C526" s="115" t="s">
        <v>1120</v>
      </c>
      <c r="D526" s="115">
        <v>1</v>
      </c>
      <c r="E526" s="115" t="s">
        <v>1121</v>
      </c>
      <c r="F526" s="115" t="s">
        <v>1122</v>
      </c>
      <c r="G526" s="115" t="s">
        <v>1123</v>
      </c>
      <c r="H526" s="115" t="s">
        <v>1124</v>
      </c>
    </row>
    <row r="527" spans="1:8" ht="165" x14ac:dyDescent="0.25">
      <c r="A527" s="115">
        <v>7323</v>
      </c>
      <c r="B527" s="115" t="s">
        <v>128</v>
      </c>
      <c r="C527" s="115" t="s">
        <v>1125</v>
      </c>
      <c r="D527" s="115">
        <v>1</v>
      </c>
      <c r="E527" s="115" t="s">
        <v>1126</v>
      </c>
      <c r="F527" s="115" t="s">
        <v>1127</v>
      </c>
      <c r="G527" s="115" t="s">
        <v>1128</v>
      </c>
      <c r="H527" s="115" t="s">
        <v>1129</v>
      </c>
    </row>
    <row r="528" spans="1:8" x14ac:dyDescent="0.25">
      <c r="A528" s="115">
        <v>7322</v>
      </c>
      <c r="B528" s="115" t="s">
        <v>128</v>
      </c>
      <c r="C528" s="115" t="s">
        <v>1130</v>
      </c>
      <c r="D528" s="115">
        <v>1</v>
      </c>
      <c r="E528" s="115" t="s">
        <v>1131</v>
      </c>
      <c r="F528" s="115" t="s">
        <v>1132</v>
      </c>
      <c r="G528" s="115" t="s">
        <v>1133</v>
      </c>
      <c r="H528" s="115" t="s">
        <v>1134</v>
      </c>
    </row>
    <row r="529" spans="1:8" ht="30" x14ac:dyDescent="0.25">
      <c r="A529" s="115">
        <v>7321</v>
      </c>
      <c r="B529" s="115" t="s">
        <v>128</v>
      </c>
      <c r="C529" s="115" t="s">
        <v>1135</v>
      </c>
      <c r="D529" s="115">
        <v>1</v>
      </c>
      <c r="E529" s="115" t="s">
        <v>764</v>
      </c>
      <c r="F529" s="115" t="s">
        <v>764</v>
      </c>
      <c r="G529" s="115" t="s">
        <v>766</v>
      </c>
      <c r="H529" s="115" t="s">
        <v>764</v>
      </c>
    </row>
    <row r="530" spans="1:8" ht="45" x14ac:dyDescent="0.25">
      <c r="A530" s="115">
        <v>7320</v>
      </c>
      <c r="B530" s="115" t="s">
        <v>128</v>
      </c>
      <c r="C530" s="115" t="s">
        <v>1136</v>
      </c>
      <c r="D530" s="115">
        <v>1</v>
      </c>
      <c r="E530" s="115" t="s">
        <v>1137</v>
      </c>
      <c r="F530" s="115" t="s">
        <v>1138</v>
      </c>
      <c r="G530" s="115" t="s">
        <v>1139</v>
      </c>
      <c r="H530" s="115" t="s">
        <v>1140</v>
      </c>
    </row>
    <row r="531" spans="1:8" ht="30" x14ac:dyDescent="0.25">
      <c r="A531" s="115">
        <v>7319</v>
      </c>
      <c r="B531" s="115" t="s">
        <v>128</v>
      </c>
      <c r="C531" s="115" t="s">
        <v>1141</v>
      </c>
      <c r="D531" s="115">
        <v>1</v>
      </c>
      <c r="E531" s="115" t="s">
        <v>1142</v>
      </c>
      <c r="F531" s="115" t="s">
        <v>1143</v>
      </c>
      <c r="G531" s="115" t="s">
        <v>1142</v>
      </c>
      <c r="H531" s="115" t="s">
        <v>1142</v>
      </c>
    </row>
    <row r="532" spans="1:8" ht="90" x14ac:dyDescent="0.25">
      <c r="A532" s="115">
        <v>7318</v>
      </c>
      <c r="B532" s="115" t="s">
        <v>128</v>
      </c>
      <c r="C532" s="115" t="s">
        <v>1144</v>
      </c>
      <c r="D532" s="115">
        <v>1</v>
      </c>
      <c r="E532" s="115" t="s">
        <v>1145</v>
      </c>
      <c r="F532" s="115" t="s">
        <v>1146</v>
      </c>
      <c r="G532" s="115" t="s">
        <v>1147</v>
      </c>
      <c r="H532" s="115" t="s">
        <v>1148</v>
      </c>
    </row>
    <row r="533" spans="1:8" ht="300" x14ac:dyDescent="0.25">
      <c r="A533" s="115">
        <v>7317</v>
      </c>
      <c r="B533" s="115" t="s">
        <v>128</v>
      </c>
      <c r="C533" s="115" t="s">
        <v>1149</v>
      </c>
      <c r="D533" s="115">
        <v>1</v>
      </c>
      <c r="E533" s="115" t="s">
        <v>1150</v>
      </c>
      <c r="F533" s="115" t="s">
        <v>1151</v>
      </c>
      <c r="G533" s="115" t="s">
        <v>1152</v>
      </c>
      <c r="H533" s="115" t="s">
        <v>1153</v>
      </c>
    </row>
    <row r="534" spans="1:8" ht="105" x14ac:dyDescent="0.25">
      <c r="A534" s="115">
        <v>7316</v>
      </c>
      <c r="B534" s="115" t="s">
        <v>128</v>
      </c>
      <c r="C534" s="115" t="s">
        <v>1154</v>
      </c>
      <c r="D534" s="115">
        <v>1</v>
      </c>
      <c r="E534" s="115" t="s">
        <v>1155</v>
      </c>
      <c r="F534" s="115" t="s">
        <v>1156</v>
      </c>
      <c r="G534" s="115" t="s">
        <v>1157</v>
      </c>
      <c r="H534" s="115" t="s">
        <v>1158</v>
      </c>
    </row>
    <row r="535" spans="1:8" ht="120" x14ac:dyDescent="0.25">
      <c r="A535" s="115">
        <v>7315</v>
      </c>
      <c r="B535" s="115" t="s">
        <v>128</v>
      </c>
      <c r="C535" s="115" t="s">
        <v>1159</v>
      </c>
      <c r="D535" s="115">
        <v>1</v>
      </c>
      <c r="E535" s="115" t="s">
        <v>1160</v>
      </c>
      <c r="F535" s="115" t="s">
        <v>1161</v>
      </c>
      <c r="G535" s="115" t="s">
        <v>1162</v>
      </c>
      <c r="H535" s="115" t="s">
        <v>1163</v>
      </c>
    </row>
    <row r="536" spans="1:8" ht="30" x14ac:dyDescent="0.25">
      <c r="A536" s="115">
        <v>7314</v>
      </c>
      <c r="B536" s="115" t="s">
        <v>128</v>
      </c>
      <c r="C536" s="115" t="s">
        <v>1164</v>
      </c>
      <c r="D536" s="115">
        <v>1</v>
      </c>
      <c r="E536" s="115" t="s">
        <v>764</v>
      </c>
      <c r="F536" s="115" t="s">
        <v>765</v>
      </c>
      <c r="G536" s="115" t="s">
        <v>766</v>
      </c>
      <c r="H536" s="115" t="s">
        <v>764</v>
      </c>
    </row>
    <row r="537" spans="1:8" ht="30" x14ac:dyDescent="0.25">
      <c r="A537" s="115">
        <v>7313</v>
      </c>
      <c r="B537" s="115" t="s">
        <v>128</v>
      </c>
      <c r="C537" s="115" t="s">
        <v>1165</v>
      </c>
      <c r="D537" s="115">
        <v>1</v>
      </c>
      <c r="E537" s="115" t="s">
        <v>1166</v>
      </c>
      <c r="F537" s="115" t="s">
        <v>1167</v>
      </c>
      <c r="G537" s="115" t="s">
        <v>1168</v>
      </c>
      <c r="H537" s="115" t="s">
        <v>1169</v>
      </c>
    </row>
    <row r="538" spans="1:8" ht="30" x14ac:dyDescent="0.25">
      <c r="A538" s="115">
        <v>7312</v>
      </c>
      <c r="B538" s="115" t="s">
        <v>128</v>
      </c>
      <c r="C538" s="115" t="s">
        <v>1170</v>
      </c>
      <c r="D538" s="115">
        <v>1</v>
      </c>
      <c r="E538" s="115" t="s">
        <v>768</v>
      </c>
      <c r="F538" s="115" t="s">
        <v>1171</v>
      </c>
      <c r="G538" s="115" t="s">
        <v>770</v>
      </c>
      <c r="H538" s="115" t="s">
        <v>771</v>
      </c>
    </row>
    <row r="539" spans="1:8" ht="30" x14ac:dyDescent="0.25">
      <c r="A539" s="115">
        <v>7311</v>
      </c>
      <c r="B539" s="115" t="s">
        <v>128</v>
      </c>
      <c r="C539" s="115" t="s">
        <v>1172</v>
      </c>
      <c r="D539" s="115">
        <v>1</v>
      </c>
      <c r="E539" s="115">
        <v>1912</v>
      </c>
      <c r="F539" s="115">
        <v>1912</v>
      </c>
      <c r="G539" s="115">
        <v>1912</v>
      </c>
      <c r="H539" s="115">
        <v>1912</v>
      </c>
    </row>
    <row r="540" spans="1:8" ht="30" x14ac:dyDescent="0.25">
      <c r="A540" s="115">
        <v>7310</v>
      </c>
      <c r="B540" s="115" t="s">
        <v>128</v>
      </c>
      <c r="C540" s="115" t="s">
        <v>1173</v>
      </c>
      <c r="D540" s="115">
        <v>1</v>
      </c>
      <c r="E540" s="115">
        <v>19</v>
      </c>
      <c r="F540" s="115">
        <v>19</v>
      </c>
      <c r="G540" s="115">
        <v>19</v>
      </c>
      <c r="H540" s="115">
        <v>19</v>
      </c>
    </row>
    <row r="541" spans="1:8" ht="30" x14ac:dyDescent="0.25">
      <c r="A541" s="115">
        <v>7309</v>
      </c>
      <c r="B541" s="115" t="s">
        <v>128</v>
      </c>
      <c r="C541" s="115" t="s">
        <v>1174</v>
      </c>
      <c r="D541" s="115">
        <v>1</v>
      </c>
      <c r="E541" s="115">
        <v>1909</v>
      </c>
      <c r="F541" s="115">
        <v>1909</v>
      </c>
      <c r="G541" s="115">
        <v>1909</v>
      </c>
      <c r="H541" s="115">
        <v>1909</v>
      </c>
    </row>
    <row r="542" spans="1:8" ht="30" x14ac:dyDescent="0.25">
      <c r="A542" s="115">
        <v>7308</v>
      </c>
      <c r="B542" s="115" t="s">
        <v>128</v>
      </c>
      <c r="C542" s="115" t="s">
        <v>1175</v>
      </c>
      <c r="D542" s="115">
        <v>1</v>
      </c>
      <c r="E542" s="115">
        <v>16</v>
      </c>
      <c r="F542" s="115">
        <v>16</v>
      </c>
      <c r="G542" s="115">
        <v>16</v>
      </c>
      <c r="H542" s="115">
        <v>16</v>
      </c>
    </row>
    <row r="543" spans="1:8" ht="30" x14ac:dyDescent="0.25">
      <c r="A543" s="115">
        <v>7307</v>
      </c>
      <c r="B543" s="115" t="s">
        <v>128</v>
      </c>
      <c r="C543" s="115" t="s">
        <v>1176</v>
      </c>
      <c r="D543" s="115">
        <v>1</v>
      </c>
      <c r="E543" s="115">
        <v>1907</v>
      </c>
      <c r="F543" s="115">
        <v>1907</v>
      </c>
      <c r="G543" s="115">
        <v>1907</v>
      </c>
      <c r="H543" s="115">
        <v>1907</v>
      </c>
    </row>
    <row r="544" spans="1:8" ht="30" x14ac:dyDescent="0.25">
      <c r="A544" s="115">
        <v>7306</v>
      </c>
      <c r="B544" s="115" t="s">
        <v>128</v>
      </c>
      <c r="C544" s="115" t="s">
        <v>1177</v>
      </c>
      <c r="D544" s="115">
        <v>1</v>
      </c>
      <c r="E544" s="115">
        <v>14</v>
      </c>
      <c r="F544" s="115">
        <v>14</v>
      </c>
      <c r="G544" s="115">
        <v>14</v>
      </c>
      <c r="H544" s="115">
        <v>14</v>
      </c>
    </row>
    <row r="545" spans="1:8" ht="30" x14ac:dyDescent="0.25">
      <c r="A545" s="115">
        <v>7305</v>
      </c>
      <c r="B545" s="115" t="s">
        <v>128</v>
      </c>
      <c r="C545" s="115" t="s">
        <v>1178</v>
      </c>
      <c r="D545" s="115">
        <v>1</v>
      </c>
      <c r="E545" s="115">
        <v>1896</v>
      </c>
      <c r="F545" s="115">
        <v>1896</v>
      </c>
      <c r="G545" s="115">
        <v>1896</v>
      </c>
      <c r="H545" s="115">
        <v>1896</v>
      </c>
    </row>
    <row r="546" spans="1:8" ht="30" x14ac:dyDescent="0.25">
      <c r="A546" s="115">
        <v>7304</v>
      </c>
      <c r="B546" s="115" t="s">
        <v>128</v>
      </c>
      <c r="C546" s="115" t="s">
        <v>1179</v>
      </c>
      <c r="D546" s="115">
        <v>1</v>
      </c>
      <c r="E546" s="115">
        <v>13</v>
      </c>
      <c r="F546" s="115">
        <v>13</v>
      </c>
      <c r="G546" s="115">
        <v>13</v>
      </c>
      <c r="H546" s="115">
        <v>13</v>
      </c>
    </row>
    <row r="547" spans="1:8" ht="30" x14ac:dyDescent="0.25">
      <c r="A547" s="115">
        <v>7303</v>
      </c>
      <c r="B547" s="115" t="s">
        <v>128</v>
      </c>
      <c r="C547" s="115" t="s">
        <v>1180</v>
      </c>
      <c r="D547" s="115">
        <v>1</v>
      </c>
      <c r="E547" s="115">
        <v>2014</v>
      </c>
      <c r="F547" s="115">
        <v>2014</v>
      </c>
      <c r="G547" s="115">
        <v>2014</v>
      </c>
      <c r="H547" s="115">
        <v>2014</v>
      </c>
    </row>
    <row r="548" spans="1:8" ht="30" x14ac:dyDescent="0.25">
      <c r="A548" s="115">
        <v>7302</v>
      </c>
      <c r="B548" s="115" t="s">
        <v>128</v>
      </c>
      <c r="C548" s="115" t="s">
        <v>1181</v>
      </c>
      <c r="D548" s="115">
        <v>1</v>
      </c>
      <c r="E548" s="115">
        <v>189</v>
      </c>
      <c r="F548" s="115">
        <v>189</v>
      </c>
      <c r="G548" s="115">
        <v>189</v>
      </c>
      <c r="H548" s="115">
        <v>189</v>
      </c>
    </row>
    <row r="549" spans="1:8" ht="30" x14ac:dyDescent="0.25">
      <c r="A549" s="115">
        <v>7301</v>
      </c>
      <c r="B549" s="115" t="s">
        <v>128</v>
      </c>
      <c r="C549" s="115" t="s">
        <v>1182</v>
      </c>
      <c r="D549" s="115">
        <v>1</v>
      </c>
      <c r="E549" s="115">
        <v>2013</v>
      </c>
      <c r="F549" s="115">
        <v>2013</v>
      </c>
      <c r="G549" s="115">
        <v>2013</v>
      </c>
      <c r="H549" s="115">
        <v>2013</v>
      </c>
    </row>
    <row r="550" spans="1:8" ht="30" x14ac:dyDescent="0.25">
      <c r="A550" s="115">
        <v>7300</v>
      </c>
      <c r="B550" s="115" t="s">
        <v>128</v>
      </c>
      <c r="C550" s="115" t="s">
        <v>1183</v>
      </c>
      <c r="D550" s="115">
        <v>1</v>
      </c>
      <c r="E550" s="115">
        <v>189</v>
      </c>
      <c r="F550" s="115">
        <v>189</v>
      </c>
      <c r="G550" s="115">
        <v>189</v>
      </c>
      <c r="H550" s="115">
        <v>189</v>
      </c>
    </row>
    <row r="551" spans="1:8" ht="30" x14ac:dyDescent="0.25">
      <c r="A551" s="115">
        <v>7299</v>
      </c>
      <c r="B551" s="115" t="s">
        <v>128</v>
      </c>
      <c r="C551" s="115" t="s">
        <v>1184</v>
      </c>
      <c r="D551" s="115">
        <v>1</v>
      </c>
      <c r="E551" s="115">
        <v>2011</v>
      </c>
      <c r="F551" s="115">
        <v>2011</v>
      </c>
      <c r="G551" s="115">
        <v>2011</v>
      </c>
      <c r="H551" s="115">
        <v>2011</v>
      </c>
    </row>
    <row r="552" spans="1:8" ht="30" x14ac:dyDescent="0.25">
      <c r="A552" s="115">
        <v>7298</v>
      </c>
      <c r="B552" s="115" t="s">
        <v>128</v>
      </c>
      <c r="C552" s="115" t="s">
        <v>1185</v>
      </c>
      <c r="D552" s="115">
        <v>1</v>
      </c>
      <c r="E552" s="115">
        <v>187</v>
      </c>
      <c r="F552" s="115">
        <v>187</v>
      </c>
      <c r="G552" s="115">
        <v>187</v>
      </c>
      <c r="H552" s="115">
        <v>187</v>
      </c>
    </row>
    <row r="553" spans="1:8" ht="30" x14ac:dyDescent="0.25">
      <c r="A553" s="115">
        <v>7297</v>
      </c>
      <c r="B553" s="115" t="s">
        <v>128</v>
      </c>
      <c r="C553" s="115" t="s">
        <v>1186</v>
      </c>
      <c r="D553" s="115">
        <v>1</v>
      </c>
      <c r="E553" s="115">
        <v>2007</v>
      </c>
      <c r="F553" s="115">
        <v>2007</v>
      </c>
      <c r="G553" s="115">
        <v>2007</v>
      </c>
      <c r="H553" s="115">
        <v>2007</v>
      </c>
    </row>
    <row r="554" spans="1:8" ht="30" x14ac:dyDescent="0.25">
      <c r="A554" s="115">
        <v>7296</v>
      </c>
      <c r="B554" s="115" t="s">
        <v>128</v>
      </c>
      <c r="C554" s="115" t="s">
        <v>1187</v>
      </c>
      <c r="D554" s="115">
        <v>1</v>
      </c>
      <c r="E554" s="115">
        <v>186</v>
      </c>
      <c r="F554" s="115">
        <v>186</v>
      </c>
      <c r="G554" s="115">
        <v>186</v>
      </c>
      <c r="H554" s="115">
        <v>186</v>
      </c>
    </row>
    <row r="555" spans="1:8" ht="30" x14ac:dyDescent="0.25">
      <c r="A555" s="115">
        <v>7295</v>
      </c>
      <c r="B555" s="115" t="s">
        <v>128</v>
      </c>
      <c r="C555" s="115" t="s">
        <v>1188</v>
      </c>
      <c r="D555" s="115">
        <v>1</v>
      </c>
      <c r="E555" s="115">
        <v>2006</v>
      </c>
      <c r="F555" s="115">
        <v>2006</v>
      </c>
      <c r="G555" s="115">
        <v>2006</v>
      </c>
      <c r="H555" s="115">
        <v>2006</v>
      </c>
    </row>
    <row r="556" spans="1:8" ht="30" x14ac:dyDescent="0.25">
      <c r="A556" s="115">
        <v>7294</v>
      </c>
      <c r="B556" s="115" t="s">
        <v>128</v>
      </c>
      <c r="C556" s="115" t="s">
        <v>1189</v>
      </c>
      <c r="D556" s="115">
        <v>1</v>
      </c>
      <c r="E556" s="115">
        <v>185</v>
      </c>
      <c r="F556" s="115">
        <v>185</v>
      </c>
      <c r="G556" s="115">
        <v>185</v>
      </c>
      <c r="H556" s="115">
        <v>185</v>
      </c>
    </row>
    <row r="557" spans="1:8" ht="30" x14ac:dyDescent="0.25">
      <c r="A557" s="115">
        <v>7293</v>
      </c>
      <c r="B557" s="115" t="s">
        <v>128</v>
      </c>
      <c r="C557" s="115" t="s">
        <v>1190</v>
      </c>
      <c r="D557" s="115">
        <v>1</v>
      </c>
      <c r="E557" s="115">
        <v>2005</v>
      </c>
      <c r="F557" s="115">
        <v>2005</v>
      </c>
      <c r="G557" s="115">
        <v>2005</v>
      </c>
      <c r="H557" s="115">
        <v>2005</v>
      </c>
    </row>
    <row r="558" spans="1:8" ht="30" x14ac:dyDescent="0.25">
      <c r="A558" s="115">
        <v>7292</v>
      </c>
      <c r="B558" s="115" t="s">
        <v>128</v>
      </c>
      <c r="C558" s="115" t="s">
        <v>1191</v>
      </c>
      <c r="D558" s="115">
        <v>1</v>
      </c>
      <c r="E558" s="115">
        <v>183</v>
      </c>
      <c r="F558" s="115">
        <v>183</v>
      </c>
      <c r="G558" s="115">
        <v>183</v>
      </c>
      <c r="H558" s="115">
        <v>183</v>
      </c>
    </row>
    <row r="559" spans="1:8" ht="30" x14ac:dyDescent="0.25">
      <c r="A559" s="115">
        <v>7291</v>
      </c>
      <c r="B559" s="115" t="s">
        <v>128</v>
      </c>
      <c r="C559" s="115" t="s">
        <v>1192</v>
      </c>
      <c r="D559" s="115">
        <v>1</v>
      </c>
      <c r="E559" s="115">
        <v>2003</v>
      </c>
      <c r="F559" s="115">
        <v>2003</v>
      </c>
      <c r="G559" s="115">
        <v>2003</v>
      </c>
      <c r="H559" s="115">
        <v>2003</v>
      </c>
    </row>
    <row r="560" spans="1:8" ht="30" x14ac:dyDescent="0.25">
      <c r="A560" s="115">
        <v>7290</v>
      </c>
      <c r="B560" s="115" t="s">
        <v>128</v>
      </c>
      <c r="C560" s="115" t="s">
        <v>1193</v>
      </c>
      <c r="D560" s="115">
        <v>1</v>
      </c>
      <c r="E560" s="115">
        <v>181</v>
      </c>
      <c r="F560" s="115">
        <v>181</v>
      </c>
      <c r="G560" s="115">
        <v>181</v>
      </c>
      <c r="H560" s="115">
        <v>181</v>
      </c>
    </row>
    <row r="561" spans="1:8" ht="30" x14ac:dyDescent="0.25">
      <c r="A561" s="115">
        <v>7289</v>
      </c>
      <c r="B561" s="115" t="s">
        <v>128</v>
      </c>
      <c r="C561" s="115" t="s">
        <v>1194</v>
      </c>
      <c r="D561" s="115">
        <v>1</v>
      </c>
      <c r="E561" s="115">
        <v>2001</v>
      </c>
      <c r="F561" s="115">
        <v>2001</v>
      </c>
      <c r="G561" s="115">
        <v>2001</v>
      </c>
      <c r="H561" s="115">
        <v>2001</v>
      </c>
    </row>
    <row r="562" spans="1:8" ht="30" x14ac:dyDescent="0.25">
      <c r="A562" s="115">
        <v>7288</v>
      </c>
      <c r="B562" s="115" t="s">
        <v>128</v>
      </c>
      <c r="C562" s="115" t="s">
        <v>1195</v>
      </c>
      <c r="D562" s="115">
        <v>1</v>
      </c>
      <c r="E562" s="115">
        <v>178</v>
      </c>
      <c r="F562" s="115">
        <v>178</v>
      </c>
      <c r="G562" s="115">
        <v>178</v>
      </c>
      <c r="H562" s="115">
        <v>178</v>
      </c>
    </row>
    <row r="563" spans="1:8" ht="30" x14ac:dyDescent="0.25">
      <c r="A563" s="115">
        <v>7287</v>
      </c>
      <c r="B563" s="115" t="s">
        <v>128</v>
      </c>
      <c r="C563" s="115" t="s">
        <v>1196</v>
      </c>
      <c r="D563" s="115">
        <v>1</v>
      </c>
      <c r="E563" s="115">
        <v>1999</v>
      </c>
      <c r="F563" s="115">
        <v>1999</v>
      </c>
      <c r="G563" s="115">
        <v>1999</v>
      </c>
      <c r="H563" s="115">
        <v>1999</v>
      </c>
    </row>
    <row r="564" spans="1:8" ht="30" x14ac:dyDescent="0.25">
      <c r="A564" s="115">
        <v>7286</v>
      </c>
      <c r="B564" s="115" t="s">
        <v>128</v>
      </c>
      <c r="C564" s="115" t="s">
        <v>1197</v>
      </c>
      <c r="D564" s="115">
        <v>1</v>
      </c>
      <c r="E564" s="115">
        <v>176</v>
      </c>
      <c r="F564" s="115">
        <v>176</v>
      </c>
      <c r="G564" s="115">
        <v>176</v>
      </c>
      <c r="H564" s="115">
        <v>176</v>
      </c>
    </row>
    <row r="565" spans="1:8" ht="30" x14ac:dyDescent="0.25">
      <c r="A565" s="115">
        <v>7285</v>
      </c>
      <c r="B565" s="115" t="s">
        <v>128</v>
      </c>
      <c r="C565" s="115" t="s">
        <v>1198</v>
      </c>
      <c r="D565" s="115">
        <v>1</v>
      </c>
      <c r="E565" s="115">
        <v>1887</v>
      </c>
      <c r="F565" s="115">
        <v>1887</v>
      </c>
      <c r="G565" s="115">
        <v>1887</v>
      </c>
      <c r="H565" s="115">
        <v>1887</v>
      </c>
    </row>
    <row r="566" spans="1:8" ht="30" x14ac:dyDescent="0.25">
      <c r="A566" s="115">
        <v>7284</v>
      </c>
      <c r="B566" s="115" t="s">
        <v>128</v>
      </c>
      <c r="C566" s="115" t="s">
        <v>1199</v>
      </c>
      <c r="D566" s="115">
        <v>1</v>
      </c>
      <c r="E566" s="115">
        <v>12</v>
      </c>
      <c r="F566" s="115">
        <v>12</v>
      </c>
      <c r="G566" s="115">
        <v>12</v>
      </c>
      <c r="H566" s="115">
        <v>12</v>
      </c>
    </row>
    <row r="567" spans="1:8" ht="30" x14ac:dyDescent="0.25">
      <c r="A567" s="115">
        <v>7283</v>
      </c>
      <c r="B567" s="115" t="s">
        <v>128</v>
      </c>
      <c r="C567" s="115" t="s">
        <v>1200</v>
      </c>
      <c r="D567" s="115">
        <v>1</v>
      </c>
      <c r="E567" s="115">
        <v>1997</v>
      </c>
      <c r="F567" s="115">
        <v>1997</v>
      </c>
      <c r="G567" s="115">
        <v>1997</v>
      </c>
      <c r="H567" s="115">
        <v>1997</v>
      </c>
    </row>
    <row r="568" spans="1:8" ht="30" x14ac:dyDescent="0.25">
      <c r="A568" s="115">
        <v>7282</v>
      </c>
      <c r="B568" s="115" t="s">
        <v>128</v>
      </c>
      <c r="C568" s="115" t="s">
        <v>1201</v>
      </c>
      <c r="D568" s="115">
        <v>1</v>
      </c>
      <c r="E568" s="115">
        <v>175</v>
      </c>
      <c r="F568" s="115">
        <v>175</v>
      </c>
      <c r="G568" s="115">
        <v>175</v>
      </c>
      <c r="H568" s="115">
        <v>175</v>
      </c>
    </row>
    <row r="569" spans="1:8" ht="30" x14ac:dyDescent="0.25">
      <c r="A569" s="115">
        <v>7281</v>
      </c>
      <c r="B569" s="115" t="s">
        <v>128</v>
      </c>
      <c r="C569" s="115" t="s">
        <v>1202</v>
      </c>
      <c r="D569" s="115">
        <v>1</v>
      </c>
      <c r="E569" s="115">
        <v>1995</v>
      </c>
      <c r="F569" s="115">
        <v>1995</v>
      </c>
      <c r="G569" s="115">
        <v>1995</v>
      </c>
      <c r="H569" s="115">
        <v>1995</v>
      </c>
    </row>
    <row r="570" spans="1:8" ht="30" x14ac:dyDescent="0.25">
      <c r="A570" s="115">
        <v>7280</v>
      </c>
      <c r="B570" s="115" t="s">
        <v>128</v>
      </c>
      <c r="C570" s="115" t="s">
        <v>1203</v>
      </c>
      <c r="D570" s="115">
        <v>1</v>
      </c>
      <c r="E570" s="115">
        <v>169</v>
      </c>
      <c r="F570" s="115">
        <v>169</v>
      </c>
      <c r="G570" s="115">
        <v>169</v>
      </c>
      <c r="H570" s="115">
        <v>169</v>
      </c>
    </row>
    <row r="571" spans="1:8" ht="30" x14ac:dyDescent="0.25">
      <c r="A571" s="115">
        <v>7279</v>
      </c>
      <c r="B571" s="115" t="s">
        <v>128</v>
      </c>
      <c r="C571" s="115" t="s">
        <v>1204</v>
      </c>
      <c r="D571" s="115">
        <v>1</v>
      </c>
      <c r="E571" s="115">
        <v>1993</v>
      </c>
      <c r="F571" s="115">
        <v>1993</v>
      </c>
      <c r="G571" s="115">
        <v>1993</v>
      </c>
      <c r="H571" s="115">
        <v>1993</v>
      </c>
    </row>
    <row r="572" spans="1:8" ht="30" x14ac:dyDescent="0.25">
      <c r="A572" s="115">
        <v>7278</v>
      </c>
      <c r="B572" s="115" t="s">
        <v>128</v>
      </c>
      <c r="C572" s="115" t="s">
        <v>1205</v>
      </c>
      <c r="D572" s="115">
        <v>1</v>
      </c>
      <c r="E572" s="115">
        <v>161</v>
      </c>
      <c r="F572" s="115">
        <v>161</v>
      </c>
      <c r="G572" s="115">
        <v>161</v>
      </c>
      <c r="H572" s="115">
        <v>161</v>
      </c>
    </row>
    <row r="573" spans="1:8" ht="30" x14ac:dyDescent="0.25">
      <c r="A573" s="115">
        <v>7277</v>
      </c>
      <c r="B573" s="115" t="s">
        <v>128</v>
      </c>
      <c r="C573" s="115" t="s">
        <v>1206</v>
      </c>
      <c r="D573" s="115">
        <v>1</v>
      </c>
      <c r="E573" s="115">
        <v>1991</v>
      </c>
      <c r="F573" s="115">
        <v>1991</v>
      </c>
      <c r="G573" s="115">
        <v>1991</v>
      </c>
      <c r="H573" s="115">
        <v>1991</v>
      </c>
    </row>
    <row r="574" spans="1:8" ht="30" x14ac:dyDescent="0.25">
      <c r="A574" s="115">
        <v>7276</v>
      </c>
      <c r="B574" s="115" t="s">
        <v>128</v>
      </c>
      <c r="C574" s="115" t="s">
        <v>1207</v>
      </c>
      <c r="D574" s="115">
        <v>1</v>
      </c>
      <c r="E574" s="115">
        <v>150</v>
      </c>
      <c r="F574" s="115">
        <v>150</v>
      </c>
      <c r="G574" s="115">
        <v>150</v>
      </c>
      <c r="H574" s="115">
        <v>150</v>
      </c>
    </row>
    <row r="575" spans="1:8" ht="30" x14ac:dyDescent="0.25">
      <c r="A575" s="115">
        <v>7275</v>
      </c>
      <c r="B575" s="115" t="s">
        <v>128</v>
      </c>
      <c r="C575" s="115" t="s">
        <v>1208</v>
      </c>
      <c r="D575" s="115">
        <v>1</v>
      </c>
      <c r="E575" s="115">
        <v>1989</v>
      </c>
      <c r="F575" s="115">
        <v>1989</v>
      </c>
      <c r="G575" s="115">
        <v>1989</v>
      </c>
      <c r="H575" s="115">
        <v>1989</v>
      </c>
    </row>
    <row r="576" spans="1:8" ht="30" x14ac:dyDescent="0.25">
      <c r="A576" s="115">
        <v>7274</v>
      </c>
      <c r="B576" s="115" t="s">
        <v>128</v>
      </c>
      <c r="C576" s="115" t="s">
        <v>1209</v>
      </c>
      <c r="D576" s="115">
        <v>1</v>
      </c>
      <c r="E576" s="115">
        <v>149</v>
      </c>
      <c r="F576" s="115">
        <v>149</v>
      </c>
      <c r="G576" s="115">
        <v>149</v>
      </c>
      <c r="H576" s="115">
        <v>149</v>
      </c>
    </row>
    <row r="577" spans="1:8" ht="30" x14ac:dyDescent="0.25">
      <c r="A577" s="115">
        <v>7273</v>
      </c>
      <c r="B577" s="115" t="s">
        <v>128</v>
      </c>
      <c r="C577" s="115" t="s">
        <v>1210</v>
      </c>
      <c r="D577" s="115">
        <v>1</v>
      </c>
      <c r="E577" s="115">
        <v>1987</v>
      </c>
      <c r="F577" s="115">
        <v>1987</v>
      </c>
      <c r="G577" s="115">
        <v>1987</v>
      </c>
      <c r="H577" s="115">
        <v>1987</v>
      </c>
    </row>
    <row r="578" spans="1:8" ht="30" x14ac:dyDescent="0.25">
      <c r="A578" s="115">
        <v>7272</v>
      </c>
      <c r="B578" s="115" t="s">
        <v>128</v>
      </c>
      <c r="C578" s="115" t="s">
        <v>1211</v>
      </c>
      <c r="D578" s="115">
        <v>1</v>
      </c>
      <c r="E578" s="115">
        <v>145</v>
      </c>
      <c r="F578" s="115">
        <v>145</v>
      </c>
      <c r="G578" s="115">
        <v>145</v>
      </c>
      <c r="H578" s="115">
        <v>145</v>
      </c>
    </row>
    <row r="579" spans="1:8" ht="30" x14ac:dyDescent="0.25">
      <c r="A579" s="115">
        <v>7271</v>
      </c>
      <c r="B579" s="115" t="s">
        <v>128</v>
      </c>
      <c r="C579" s="115" t="s">
        <v>1212</v>
      </c>
      <c r="D579" s="115">
        <v>1</v>
      </c>
      <c r="E579" s="115">
        <v>1986</v>
      </c>
      <c r="F579" s="115">
        <v>1986</v>
      </c>
      <c r="G579" s="115">
        <v>1986</v>
      </c>
      <c r="H579" s="115">
        <v>1986</v>
      </c>
    </row>
    <row r="580" spans="1:8" ht="30" x14ac:dyDescent="0.25">
      <c r="A580" s="115">
        <v>7270</v>
      </c>
      <c r="B580" s="115" t="s">
        <v>128</v>
      </c>
      <c r="C580" s="115" t="s">
        <v>1213</v>
      </c>
      <c r="D580" s="115">
        <v>1</v>
      </c>
      <c r="E580" s="115">
        <v>144</v>
      </c>
      <c r="F580" s="115">
        <v>144</v>
      </c>
      <c r="G580" s="115">
        <v>144</v>
      </c>
      <c r="H580" s="115">
        <v>144</v>
      </c>
    </row>
    <row r="581" spans="1:8" ht="30" x14ac:dyDescent="0.25">
      <c r="A581" s="115">
        <v>7269</v>
      </c>
      <c r="B581" s="115" t="s">
        <v>128</v>
      </c>
      <c r="C581" s="115" t="s">
        <v>1214</v>
      </c>
      <c r="D581" s="115">
        <v>1</v>
      </c>
      <c r="E581" s="115">
        <v>1985</v>
      </c>
      <c r="F581" s="115">
        <v>1985</v>
      </c>
      <c r="G581" s="115">
        <v>1985</v>
      </c>
      <c r="H581" s="115">
        <v>1985</v>
      </c>
    </row>
    <row r="582" spans="1:8" ht="30" x14ac:dyDescent="0.25">
      <c r="A582" s="115">
        <v>7268</v>
      </c>
      <c r="B582" s="115" t="s">
        <v>128</v>
      </c>
      <c r="C582" s="115" t="s">
        <v>1215</v>
      </c>
      <c r="D582" s="115">
        <v>1</v>
      </c>
      <c r="E582" s="115">
        <v>137</v>
      </c>
      <c r="F582" s="115">
        <v>137</v>
      </c>
      <c r="G582" s="115">
        <v>137</v>
      </c>
      <c r="H582" s="115">
        <v>137</v>
      </c>
    </row>
    <row r="583" spans="1:8" ht="30" x14ac:dyDescent="0.25">
      <c r="A583" s="115">
        <v>7267</v>
      </c>
      <c r="B583" s="115" t="s">
        <v>128</v>
      </c>
      <c r="C583" s="115" t="s">
        <v>1216</v>
      </c>
      <c r="D583" s="115">
        <v>1</v>
      </c>
      <c r="E583" s="115">
        <v>1983</v>
      </c>
      <c r="F583" s="115">
        <v>1983</v>
      </c>
      <c r="G583" s="115">
        <v>1983</v>
      </c>
      <c r="H583" s="115">
        <v>1983</v>
      </c>
    </row>
    <row r="584" spans="1:8" ht="30" x14ac:dyDescent="0.25">
      <c r="A584" s="115">
        <v>7266</v>
      </c>
      <c r="B584" s="115" t="s">
        <v>128</v>
      </c>
      <c r="C584" s="115" t="s">
        <v>1217</v>
      </c>
      <c r="D584" s="115">
        <v>1</v>
      </c>
      <c r="E584" s="115">
        <v>132</v>
      </c>
      <c r="F584" s="115">
        <v>132</v>
      </c>
      <c r="G584" s="115">
        <v>132</v>
      </c>
      <c r="H584" s="115">
        <v>132</v>
      </c>
    </row>
    <row r="585" spans="1:8" ht="30" x14ac:dyDescent="0.25">
      <c r="A585" s="115">
        <v>7265</v>
      </c>
      <c r="B585" s="115" t="s">
        <v>128</v>
      </c>
      <c r="C585" s="115" t="s">
        <v>1218</v>
      </c>
      <c r="D585" s="115">
        <v>1</v>
      </c>
      <c r="E585" s="115">
        <v>1981</v>
      </c>
      <c r="F585" s="115">
        <v>1981</v>
      </c>
      <c r="G585" s="115">
        <v>1981</v>
      </c>
      <c r="H585" s="115">
        <v>1981</v>
      </c>
    </row>
    <row r="586" spans="1:8" ht="30" x14ac:dyDescent="0.25">
      <c r="A586" s="115">
        <v>7264</v>
      </c>
      <c r="B586" s="115" t="s">
        <v>128</v>
      </c>
      <c r="C586" s="115" t="s">
        <v>1219</v>
      </c>
      <c r="D586" s="115">
        <v>1</v>
      </c>
      <c r="E586" s="115">
        <v>129</v>
      </c>
      <c r="F586" s="115">
        <v>129</v>
      </c>
      <c r="G586" s="115">
        <v>129</v>
      </c>
      <c r="H586" s="115">
        <v>129</v>
      </c>
    </row>
    <row r="587" spans="1:8" ht="30" x14ac:dyDescent="0.25">
      <c r="A587" s="115">
        <v>7263</v>
      </c>
      <c r="B587" s="115" t="s">
        <v>128</v>
      </c>
      <c r="C587" s="115" t="s">
        <v>1220</v>
      </c>
      <c r="D587" s="115">
        <v>1</v>
      </c>
      <c r="E587" s="115">
        <v>1885</v>
      </c>
      <c r="F587" s="115">
        <v>1885</v>
      </c>
      <c r="G587" s="115">
        <v>1885</v>
      </c>
      <c r="H587" s="115">
        <v>1885</v>
      </c>
    </row>
    <row r="588" spans="1:8" ht="30" x14ac:dyDescent="0.25">
      <c r="A588" s="115">
        <v>7262</v>
      </c>
      <c r="B588" s="115" t="s">
        <v>128</v>
      </c>
      <c r="C588" s="115" t="s">
        <v>1221</v>
      </c>
      <c r="D588" s="115">
        <v>1</v>
      </c>
      <c r="E588" s="115">
        <v>8</v>
      </c>
      <c r="F588" s="115">
        <v>8</v>
      </c>
      <c r="G588" s="115">
        <v>8</v>
      </c>
      <c r="H588" s="115">
        <v>8</v>
      </c>
    </row>
    <row r="589" spans="1:8" ht="30" x14ac:dyDescent="0.25">
      <c r="A589" s="115">
        <v>7261</v>
      </c>
      <c r="B589" s="115" t="s">
        <v>128</v>
      </c>
      <c r="C589" s="115" t="s">
        <v>1222</v>
      </c>
      <c r="D589" s="115">
        <v>1</v>
      </c>
      <c r="E589" s="115">
        <v>1979</v>
      </c>
      <c r="F589" s="115">
        <v>1979</v>
      </c>
      <c r="G589" s="115">
        <v>1979</v>
      </c>
      <c r="H589" s="115">
        <v>1979</v>
      </c>
    </row>
    <row r="590" spans="1:8" ht="30" x14ac:dyDescent="0.25">
      <c r="A590" s="115">
        <v>7260</v>
      </c>
      <c r="B590" s="115" t="s">
        <v>128</v>
      </c>
      <c r="C590" s="115" t="s">
        <v>1223</v>
      </c>
      <c r="D590" s="115">
        <v>1</v>
      </c>
      <c r="E590" s="115">
        <v>127</v>
      </c>
      <c r="F590" s="115">
        <v>127</v>
      </c>
      <c r="G590" s="115">
        <v>127</v>
      </c>
      <c r="H590" s="115">
        <v>127</v>
      </c>
    </row>
    <row r="591" spans="1:8" ht="30" x14ac:dyDescent="0.25">
      <c r="A591" s="115">
        <v>7259</v>
      </c>
      <c r="B591" s="115" t="s">
        <v>128</v>
      </c>
      <c r="C591" s="115" t="s">
        <v>1224</v>
      </c>
      <c r="D591" s="115">
        <v>1</v>
      </c>
      <c r="E591" s="115">
        <v>1977</v>
      </c>
      <c r="F591" s="115">
        <v>1977</v>
      </c>
      <c r="G591" s="115">
        <v>1977</v>
      </c>
      <c r="H591" s="115">
        <v>1977</v>
      </c>
    </row>
    <row r="592" spans="1:8" ht="30" x14ac:dyDescent="0.25">
      <c r="A592" s="115">
        <v>7258</v>
      </c>
      <c r="B592" s="115" t="s">
        <v>128</v>
      </c>
      <c r="C592" s="115" t="s">
        <v>1225</v>
      </c>
      <c r="D592" s="115">
        <v>1</v>
      </c>
      <c r="E592" s="115">
        <v>126</v>
      </c>
      <c r="F592" s="115">
        <v>126</v>
      </c>
      <c r="G592" s="115">
        <v>126</v>
      </c>
      <c r="H592" s="115">
        <v>126</v>
      </c>
    </row>
    <row r="593" spans="1:8" ht="30" x14ac:dyDescent="0.25">
      <c r="A593" s="115">
        <v>7257</v>
      </c>
      <c r="B593" s="115" t="s">
        <v>128</v>
      </c>
      <c r="C593" s="115" t="s">
        <v>1226</v>
      </c>
      <c r="D593" s="115">
        <v>1</v>
      </c>
      <c r="E593" s="115">
        <v>1975</v>
      </c>
      <c r="F593" s="115">
        <v>1975</v>
      </c>
      <c r="G593" s="115">
        <v>1975</v>
      </c>
      <c r="H593" s="115">
        <v>1975</v>
      </c>
    </row>
    <row r="594" spans="1:8" ht="30" x14ac:dyDescent="0.25">
      <c r="A594" s="115">
        <v>7256</v>
      </c>
      <c r="B594" s="115" t="s">
        <v>128</v>
      </c>
      <c r="C594" s="115" t="s">
        <v>1227</v>
      </c>
      <c r="D594" s="115">
        <v>1</v>
      </c>
      <c r="E594" s="115">
        <v>122</v>
      </c>
      <c r="F594" s="115">
        <v>122</v>
      </c>
      <c r="G594" s="115">
        <v>122</v>
      </c>
      <c r="H594" s="115">
        <v>122</v>
      </c>
    </row>
    <row r="595" spans="1:8" ht="30" x14ac:dyDescent="0.25">
      <c r="A595" s="115">
        <v>7255</v>
      </c>
      <c r="B595" s="115" t="s">
        <v>128</v>
      </c>
      <c r="C595" s="115" t="s">
        <v>1228</v>
      </c>
      <c r="D595" s="115">
        <v>1</v>
      </c>
      <c r="E595" s="115">
        <v>1973</v>
      </c>
      <c r="F595" s="115">
        <v>1973</v>
      </c>
      <c r="G595" s="115">
        <v>1973</v>
      </c>
      <c r="H595" s="115">
        <v>1973</v>
      </c>
    </row>
    <row r="596" spans="1:8" ht="30" x14ac:dyDescent="0.25">
      <c r="A596" s="115">
        <v>7254</v>
      </c>
      <c r="B596" s="115" t="s">
        <v>128</v>
      </c>
      <c r="C596" s="115" t="s">
        <v>1229</v>
      </c>
      <c r="D596" s="115">
        <v>1</v>
      </c>
      <c r="E596" s="115">
        <v>120</v>
      </c>
      <c r="F596" s="115">
        <v>120</v>
      </c>
      <c r="G596" s="115">
        <v>120</v>
      </c>
      <c r="H596" s="115">
        <v>120</v>
      </c>
    </row>
    <row r="597" spans="1:8" ht="30" x14ac:dyDescent="0.25">
      <c r="A597" s="115">
        <v>7253</v>
      </c>
      <c r="B597" s="115" t="s">
        <v>128</v>
      </c>
      <c r="C597" s="115" t="s">
        <v>1230</v>
      </c>
      <c r="D597" s="115">
        <v>1</v>
      </c>
      <c r="E597" s="115">
        <v>1971</v>
      </c>
      <c r="F597" s="115">
        <v>1971</v>
      </c>
      <c r="G597" s="115">
        <v>1971</v>
      </c>
      <c r="H597" s="115">
        <v>1971</v>
      </c>
    </row>
    <row r="598" spans="1:8" ht="30" x14ac:dyDescent="0.25">
      <c r="A598" s="115">
        <v>7252</v>
      </c>
      <c r="B598" s="115" t="s">
        <v>128</v>
      </c>
      <c r="C598" s="115" t="s">
        <v>1231</v>
      </c>
      <c r="D598" s="115">
        <v>1</v>
      </c>
      <c r="E598" s="115">
        <v>115</v>
      </c>
      <c r="F598" s="115">
        <v>115</v>
      </c>
      <c r="G598" s="115">
        <v>115</v>
      </c>
      <c r="H598" s="115">
        <v>115</v>
      </c>
    </row>
    <row r="599" spans="1:8" ht="30" x14ac:dyDescent="0.25">
      <c r="A599" s="115">
        <v>7251</v>
      </c>
      <c r="B599" s="115" t="s">
        <v>128</v>
      </c>
      <c r="C599" s="115" t="s">
        <v>1232</v>
      </c>
      <c r="D599" s="115">
        <v>1</v>
      </c>
      <c r="E599" s="115">
        <v>1969</v>
      </c>
      <c r="F599" s="115">
        <v>1969</v>
      </c>
      <c r="G599" s="115">
        <v>1969</v>
      </c>
      <c r="H599" s="115">
        <v>1969</v>
      </c>
    </row>
    <row r="600" spans="1:8" ht="30" x14ac:dyDescent="0.25">
      <c r="A600" s="115">
        <v>7250</v>
      </c>
      <c r="B600" s="115" t="s">
        <v>128</v>
      </c>
      <c r="C600" s="115" t="s">
        <v>1233</v>
      </c>
      <c r="D600" s="115">
        <v>1</v>
      </c>
      <c r="E600" s="115">
        <v>112</v>
      </c>
      <c r="F600" s="115">
        <v>112</v>
      </c>
      <c r="G600" s="115">
        <v>112</v>
      </c>
      <c r="H600" s="115">
        <v>112</v>
      </c>
    </row>
    <row r="601" spans="1:8" ht="30" x14ac:dyDescent="0.25">
      <c r="A601" s="115">
        <v>7249</v>
      </c>
      <c r="B601" s="115" t="s">
        <v>128</v>
      </c>
      <c r="C601" s="115" t="s">
        <v>1234</v>
      </c>
      <c r="D601" s="115">
        <v>1</v>
      </c>
      <c r="E601" s="115">
        <v>1967</v>
      </c>
      <c r="F601" s="115">
        <v>1967</v>
      </c>
      <c r="G601" s="115">
        <v>1967</v>
      </c>
      <c r="H601" s="115">
        <v>1967</v>
      </c>
    </row>
    <row r="602" spans="1:8" ht="30" x14ac:dyDescent="0.25">
      <c r="A602" s="115">
        <v>7248</v>
      </c>
      <c r="B602" s="115" t="s">
        <v>128</v>
      </c>
      <c r="C602" s="115" t="s">
        <v>1235</v>
      </c>
      <c r="D602" s="115">
        <v>1</v>
      </c>
      <c r="E602" s="115">
        <v>108</v>
      </c>
      <c r="F602" s="115">
        <v>108</v>
      </c>
      <c r="G602" s="115">
        <v>108</v>
      </c>
      <c r="H602" s="115">
        <v>108</v>
      </c>
    </row>
    <row r="603" spans="1:8" ht="30" x14ac:dyDescent="0.25">
      <c r="A603" s="115">
        <v>7247</v>
      </c>
      <c r="B603" s="115" t="s">
        <v>128</v>
      </c>
      <c r="C603" s="115" t="s">
        <v>1236</v>
      </c>
      <c r="D603" s="115">
        <v>1</v>
      </c>
      <c r="E603" s="115">
        <v>1965</v>
      </c>
      <c r="F603" s="115">
        <v>1965</v>
      </c>
      <c r="G603" s="115">
        <v>1965</v>
      </c>
      <c r="H603" s="115">
        <v>1965</v>
      </c>
    </row>
    <row r="604" spans="1:8" ht="30" x14ac:dyDescent="0.25">
      <c r="A604" s="115">
        <v>7246</v>
      </c>
      <c r="B604" s="115" t="s">
        <v>128</v>
      </c>
      <c r="C604" s="115" t="s">
        <v>1237</v>
      </c>
      <c r="D604" s="115">
        <v>1</v>
      </c>
      <c r="E604" s="115">
        <v>106</v>
      </c>
      <c r="F604" s="115">
        <v>106</v>
      </c>
      <c r="G604" s="115">
        <v>106</v>
      </c>
      <c r="H604" s="115">
        <v>106</v>
      </c>
    </row>
    <row r="605" spans="1:8" ht="30" x14ac:dyDescent="0.25">
      <c r="A605" s="115">
        <v>7245</v>
      </c>
      <c r="B605" s="115" t="s">
        <v>128</v>
      </c>
      <c r="C605" s="115" t="s">
        <v>1238</v>
      </c>
      <c r="D605" s="115">
        <v>1</v>
      </c>
      <c r="E605" s="115">
        <v>1963</v>
      </c>
      <c r="F605" s="115">
        <v>1963</v>
      </c>
      <c r="G605" s="115">
        <v>1963</v>
      </c>
      <c r="H605" s="115">
        <v>1963</v>
      </c>
    </row>
    <row r="606" spans="1:8" ht="30" x14ac:dyDescent="0.25">
      <c r="A606" s="115">
        <v>7244</v>
      </c>
      <c r="B606" s="115" t="s">
        <v>128</v>
      </c>
      <c r="C606" s="115" t="s">
        <v>1239</v>
      </c>
      <c r="D606" s="115">
        <v>1</v>
      </c>
      <c r="E606" s="115">
        <v>102</v>
      </c>
      <c r="F606" s="115">
        <v>102</v>
      </c>
      <c r="G606" s="115">
        <v>102</v>
      </c>
      <c r="H606" s="115">
        <v>102</v>
      </c>
    </row>
    <row r="607" spans="1:8" ht="30" x14ac:dyDescent="0.25">
      <c r="A607" s="115">
        <v>7243</v>
      </c>
      <c r="B607" s="115" t="s">
        <v>128</v>
      </c>
      <c r="C607" s="115" t="s">
        <v>1240</v>
      </c>
      <c r="D607" s="115">
        <v>1</v>
      </c>
      <c r="E607" s="115">
        <v>1961</v>
      </c>
      <c r="F607" s="115">
        <v>1961</v>
      </c>
      <c r="G607" s="115">
        <v>1961</v>
      </c>
      <c r="H607" s="115">
        <v>1961</v>
      </c>
    </row>
    <row r="608" spans="1:8" ht="30" x14ac:dyDescent="0.25">
      <c r="A608" s="115">
        <v>7242</v>
      </c>
      <c r="B608" s="115" t="s">
        <v>128</v>
      </c>
      <c r="C608" s="115" t="s">
        <v>1241</v>
      </c>
      <c r="D608" s="115">
        <v>1</v>
      </c>
      <c r="E608" s="115">
        <v>88</v>
      </c>
      <c r="F608" s="115">
        <v>88</v>
      </c>
      <c r="G608" s="115">
        <v>88</v>
      </c>
      <c r="H608" s="115">
        <v>88</v>
      </c>
    </row>
    <row r="609" spans="1:8" ht="30" x14ac:dyDescent="0.25">
      <c r="A609" s="115">
        <v>7241</v>
      </c>
      <c r="B609" s="115" t="s">
        <v>128</v>
      </c>
      <c r="C609" s="115" t="s">
        <v>1242</v>
      </c>
      <c r="D609" s="115">
        <v>1</v>
      </c>
      <c r="E609" s="115">
        <v>1882</v>
      </c>
      <c r="F609" s="115">
        <v>1882</v>
      </c>
      <c r="G609" s="115">
        <v>1882</v>
      </c>
      <c r="H609" s="115">
        <v>1882</v>
      </c>
    </row>
    <row r="610" spans="1:8" ht="30" x14ac:dyDescent="0.25">
      <c r="A610" s="115">
        <v>7240</v>
      </c>
      <c r="B610" s="115" t="s">
        <v>128</v>
      </c>
      <c r="C610" s="115" t="s">
        <v>1243</v>
      </c>
      <c r="D610" s="115">
        <v>1</v>
      </c>
      <c r="E610" s="115">
        <v>7</v>
      </c>
      <c r="F610" s="115">
        <v>7</v>
      </c>
      <c r="G610" s="115">
        <v>7</v>
      </c>
      <c r="H610" s="115">
        <v>7</v>
      </c>
    </row>
    <row r="611" spans="1:8" ht="30" x14ac:dyDescent="0.25">
      <c r="A611" s="115">
        <v>7239</v>
      </c>
      <c r="B611" s="115" t="s">
        <v>128</v>
      </c>
      <c r="C611" s="115" t="s">
        <v>1244</v>
      </c>
      <c r="D611" s="115">
        <v>1</v>
      </c>
      <c r="E611" s="115">
        <v>1959</v>
      </c>
      <c r="F611" s="115">
        <v>1959</v>
      </c>
      <c r="G611" s="115">
        <v>1959</v>
      </c>
      <c r="H611" s="115">
        <v>1959</v>
      </c>
    </row>
    <row r="612" spans="1:8" ht="30" x14ac:dyDescent="0.25">
      <c r="A612" s="115">
        <v>7238</v>
      </c>
      <c r="B612" s="115" t="s">
        <v>128</v>
      </c>
      <c r="C612" s="115" t="s">
        <v>1245</v>
      </c>
      <c r="D612" s="115">
        <v>1</v>
      </c>
      <c r="E612" s="115">
        <v>85</v>
      </c>
      <c r="F612" s="115">
        <v>85</v>
      </c>
      <c r="G612" s="115">
        <v>85</v>
      </c>
      <c r="H612" s="115">
        <v>85</v>
      </c>
    </row>
    <row r="613" spans="1:8" ht="30" x14ac:dyDescent="0.25">
      <c r="A613" s="115">
        <v>7237</v>
      </c>
      <c r="B613" s="115" t="s">
        <v>128</v>
      </c>
      <c r="C613" s="115" t="s">
        <v>1246</v>
      </c>
      <c r="D613" s="115">
        <v>1</v>
      </c>
      <c r="E613" s="115">
        <v>1957</v>
      </c>
      <c r="F613" s="115">
        <v>1957</v>
      </c>
      <c r="G613" s="115">
        <v>1957</v>
      </c>
      <c r="H613" s="115">
        <v>1957</v>
      </c>
    </row>
    <row r="614" spans="1:8" ht="30" x14ac:dyDescent="0.25">
      <c r="A614" s="115">
        <v>7236</v>
      </c>
      <c r="B614" s="115" t="s">
        <v>128</v>
      </c>
      <c r="C614" s="115" t="s">
        <v>1247</v>
      </c>
      <c r="D614" s="115">
        <v>1</v>
      </c>
      <c r="E614" s="115">
        <v>80</v>
      </c>
      <c r="F614" s="115">
        <v>80</v>
      </c>
      <c r="G614" s="115">
        <v>80</v>
      </c>
      <c r="H614" s="115">
        <v>80</v>
      </c>
    </row>
    <row r="615" spans="1:8" ht="30" x14ac:dyDescent="0.25">
      <c r="A615" s="115">
        <v>7235</v>
      </c>
      <c r="B615" s="115" t="s">
        <v>128</v>
      </c>
      <c r="C615" s="115" t="s">
        <v>1248</v>
      </c>
      <c r="D615" s="115">
        <v>1</v>
      </c>
      <c r="E615" s="115">
        <v>1952</v>
      </c>
      <c r="F615" s="115">
        <v>1952</v>
      </c>
      <c r="G615" s="115">
        <v>1952</v>
      </c>
      <c r="H615" s="115">
        <v>1952</v>
      </c>
    </row>
    <row r="616" spans="1:8" ht="30" x14ac:dyDescent="0.25">
      <c r="A616" s="115">
        <v>7234</v>
      </c>
      <c r="B616" s="115" t="s">
        <v>128</v>
      </c>
      <c r="C616" s="115" t="s">
        <v>1249</v>
      </c>
      <c r="D616" s="115">
        <v>1</v>
      </c>
      <c r="E616" s="115">
        <v>73</v>
      </c>
      <c r="F616" s="115">
        <v>73</v>
      </c>
      <c r="G616" s="115">
        <v>73</v>
      </c>
      <c r="H616" s="115">
        <v>73</v>
      </c>
    </row>
    <row r="617" spans="1:8" ht="30" x14ac:dyDescent="0.25">
      <c r="A617" s="115">
        <v>7233</v>
      </c>
      <c r="B617" s="115" t="s">
        <v>128</v>
      </c>
      <c r="C617" s="115" t="s">
        <v>1250</v>
      </c>
      <c r="D617" s="115">
        <v>1</v>
      </c>
      <c r="E617" s="115">
        <v>1950</v>
      </c>
      <c r="F617" s="115">
        <v>1950</v>
      </c>
      <c r="G617" s="115">
        <v>1950</v>
      </c>
      <c r="H617" s="115">
        <v>1950</v>
      </c>
    </row>
    <row r="618" spans="1:8" ht="30" x14ac:dyDescent="0.25">
      <c r="A618" s="115">
        <v>7232</v>
      </c>
      <c r="B618" s="115" t="s">
        <v>128</v>
      </c>
      <c r="C618" s="115" t="s">
        <v>1251</v>
      </c>
      <c r="D618" s="115">
        <v>1</v>
      </c>
      <c r="E618" s="115">
        <v>71</v>
      </c>
      <c r="F618" s="115">
        <v>71</v>
      </c>
      <c r="G618" s="115">
        <v>71</v>
      </c>
      <c r="H618" s="115">
        <v>71</v>
      </c>
    </row>
    <row r="619" spans="1:8" ht="30" x14ac:dyDescent="0.25">
      <c r="A619" s="115">
        <v>7231</v>
      </c>
      <c r="B619" s="115" t="s">
        <v>128</v>
      </c>
      <c r="C619" s="115" t="s">
        <v>1252</v>
      </c>
      <c r="D619" s="115">
        <v>1</v>
      </c>
      <c r="E619" s="115">
        <v>1948</v>
      </c>
      <c r="F619" s="115">
        <v>1948</v>
      </c>
      <c r="G619" s="115">
        <v>1948</v>
      </c>
      <c r="H619" s="115">
        <v>1948</v>
      </c>
    </row>
    <row r="620" spans="1:8" ht="30" x14ac:dyDescent="0.25">
      <c r="A620" s="115">
        <v>7230</v>
      </c>
      <c r="B620" s="115" t="s">
        <v>128</v>
      </c>
      <c r="C620" s="115" t="s">
        <v>1253</v>
      </c>
      <c r="D620" s="115">
        <v>1</v>
      </c>
      <c r="E620" s="115">
        <v>69</v>
      </c>
      <c r="F620" s="115">
        <v>69</v>
      </c>
      <c r="G620" s="115">
        <v>69</v>
      </c>
      <c r="H620" s="115">
        <v>69</v>
      </c>
    </row>
    <row r="621" spans="1:8" ht="30" x14ac:dyDescent="0.25">
      <c r="A621" s="115">
        <v>7229</v>
      </c>
      <c r="B621" s="115" t="s">
        <v>128</v>
      </c>
      <c r="C621" s="115" t="s">
        <v>1254</v>
      </c>
      <c r="D621" s="115">
        <v>1</v>
      </c>
      <c r="E621" s="115">
        <v>1946</v>
      </c>
      <c r="F621" s="115">
        <v>1946</v>
      </c>
      <c r="G621" s="115">
        <v>1946</v>
      </c>
      <c r="H621" s="115">
        <v>1946</v>
      </c>
    </row>
    <row r="622" spans="1:8" ht="30" x14ac:dyDescent="0.25">
      <c r="A622" s="115">
        <v>7228</v>
      </c>
      <c r="B622" s="115" t="s">
        <v>128</v>
      </c>
      <c r="C622" s="115" t="s">
        <v>1255</v>
      </c>
      <c r="D622" s="115">
        <v>1</v>
      </c>
      <c r="E622" s="115">
        <v>64</v>
      </c>
      <c r="F622" s="115">
        <v>64</v>
      </c>
      <c r="G622" s="115">
        <v>64</v>
      </c>
      <c r="H622" s="115">
        <v>64</v>
      </c>
    </row>
    <row r="623" spans="1:8" ht="30" x14ac:dyDescent="0.25">
      <c r="A623" s="115">
        <v>7227</v>
      </c>
      <c r="B623" s="115" t="s">
        <v>128</v>
      </c>
      <c r="C623" s="115" t="s">
        <v>1256</v>
      </c>
      <c r="D623" s="115">
        <v>1</v>
      </c>
      <c r="E623" s="115">
        <v>1945</v>
      </c>
      <c r="F623" s="115">
        <v>1945</v>
      </c>
      <c r="G623" s="115">
        <v>1945</v>
      </c>
      <c r="H623" s="115">
        <v>1945</v>
      </c>
    </row>
    <row r="624" spans="1:8" ht="30" x14ac:dyDescent="0.25">
      <c r="A624" s="115">
        <v>7226</v>
      </c>
      <c r="B624" s="115" t="s">
        <v>128</v>
      </c>
      <c r="C624" s="115" t="s">
        <v>1257</v>
      </c>
      <c r="D624" s="115">
        <v>1</v>
      </c>
      <c r="E624" s="115">
        <v>63</v>
      </c>
      <c r="F624" s="115">
        <v>63</v>
      </c>
      <c r="G624" s="115">
        <v>63</v>
      </c>
      <c r="H624" s="115">
        <v>63</v>
      </c>
    </row>
    <row r="625" spans="1:8" ht="30" x14ac:dyDescent="0.25">
      <c r="A625" s="115">
        <v>7225</v>
      </c>
      <c r="B625" s="115" t="s">
        <v>128</v>
      </c>
      <c r="C625" s="115" t="s">
        <v>1258</v>
      </c>
      <c r="D625" s="115">
        <v>1</v>
      </c>
      <c r="E625" s="115">
        <v>1937</v>
      </c>
      <c r="F625" s="115">
        <v>1937</v>
      </c>
      <c r="G625" s="115">
        <v>1937</v>
      </c>
      <c r="H625" s="115">
        <v>1937</v>
      </c>
    </row>
    <row r="626" spans="1:8" ht="30" x14ac:dyDescent="0.25">
      <c r="A626" s="115">
        <v>7224</v>
      </c>
      <c r="B626" s="115" t="s">
        <v>128</v>
      </c>
      <c r="C626" s="115" t="s">
        <v>1259</v>
      </c>
      <c r="D626" s="115">
        <v>1</v>
      </c>
      <c r="E626" s="115">
        <v>60</v>
      </c>
      <c r="F626" s="115">
        <v>60</v>
      </c>
      <c r="G626" s="115">
        <v>60</v>
      </c>
      <c r="H626" s="115">
        <v>60</v>
      </c>
    </row>
    <row r="627" spans="1:8" ht="30" x14ac:dyDescent="0.25">
      <c r="A627" s="115">
        <v>7223</v>
      </c>
      <c r="B627" s="115" t="s">
        <v>128</v>
      </c>
      <c r="C627" s="115" t="s">
        <v>1260</v>
      </c>
      <c r="D627" s="115">
        <v>1</v>
      </c>
      <c r="E627" s="115">
        <v>1934</v>
      </c>
      <c r="F627" s="115">
        <v>1934</v>
      </c>
      <c r="G627" s="115">
        <v>1934</v>
      </c>
      <c r="H627" s="115">
        <v>1934</v>
      </c>
    </row>
    <row r="628" spans="1:8" ht="30" x14ac:dyDescent="0.25">
      <c r="A628" s="115">
        <v>7222</v>
      </c>
      <c r="B628" s="115" t="s">
        <v>128</v>
      </c>
      <c r="C628" s="115" t="s">
        <v>1261</v>
      </c>
      <c r="D628" s="115">
        <v>1</v>
      </c>
      <c r="E628" s="115">
        <v>59</v>
      </c>
      <c r="F628" s="115">
        <v>59</v>
      </c>
      <c r="G628" s="115">
        <v>59</v>
      </c>
      <c r="H628" s="115">
        <v>59</v>
      </c>
    </row>
    <row r="629" spans="1:8" ht="30" x14ac:dyDescent="0.25">
      <c r="A629" s="115">
        <v>7221</v>
      </c>
      <c r="B629" s="115" t="s">
        <v>128</v>
      </c>
      <c r="C629" s="115" t="s">
        <v>1262</v>
      </c>
      <c r="D629" s="115">
        <v>1</v>
      </c>
      <c r="E629" s="115">
        <v>1931</v>
      </c>
      <c r="F629" s="115">
        <v>1931</v>
      </c>
      <c r="G629" s="115">
        <v>1931</v>
      </c>
      <c r="H629" s="115">
        <v>1931</v>
      </c>
    </row>
    <row r="630" spans="1:8" ht="30" x14ac:dyDescent="0.25">
      <c r="A630" s="115">
        <v>7220</v>
      </c>
      <c r="B630" s="115" t="s">
        <v>128</v>
      </c>
      <c r="C630" s="115" t="s">
        <v>1263</v>
      </c>
      <c r="D630" s="115">
        <v>1</v>
      </c>
      <c r="E630" s="115">
        <v>56</v>
      </c>
      <c r="F630" s="115">
        <v>56</v>
      </c>
      <c r="G630" s="115">
        <v>56</v>
      </c>
      <c r="H630" s="115">
        <v>56</v>
      </c>
    </row>
    <row r="631" spans="1:8" ht="30" x14ac:dyDescent="0.25">
      <c r="A631" s="115">
        <v>7219</v>
      </c>
      <c r="B631" s="115" t="s">
        <v>128</v>
      </c>
      <c r="C631" s="115" t="s">
        <v>1264</v>
      </c>
      <c r="D631" s="115">
        <v>1</v>
      </c>
      <c r="E631" s="115">
        <v>1880</v>
      </c>
      <c r="F631" s="115">
        <v>1880</v>
      </c>
      <c r="G631" s="115">
        <v>1880</v>
      </c>
      <c r="H631" s="115">
        <v>1880</v>
      </c>
    </row>
    <row r="632" spans="1:8" ht="30" x14ac:dyDescent="0.25">
      <c r="A632" s="115">
        <v>7218</v>
      </c>
      <c r="B632" s="115" t="s">
        <v>128</v>
      </c>
      <c r="C632" s="115" t="s">
        <v>1265</v>
      </c>
      <c r="D632" s="115">
        <v>1</v>
      </c>
      <c r="E632" s="115">
        <v>5</v>
      </c>
      <c r="F632" s="115">
        <v>5</v>
      </c>
      <c r="G632" s="115">
        <v>5</v>
      </c>
      <c r="H632" s="115">
        <v>5</v>
      </c>
    </row>
    <row r="633" spans="1:8" ht="30" x14ac:dyDescent="0.25">
      <c r="A633" s="115">
        <v>7217</v>
      </c>
      <c r="B633" s="115" t="s">
        <v>128</v>
      </c>
      <c r="C633" s="115" t="s">
        <v>1266</v>
      </c>
      <c r="D633" s="115">
        <v>1</v>
      </c>
      <c r="E633" s="115">
        <v>1930</v>
      </c>
      <c r="F633" s="115">
        <v>1930</v>
      </c>
      <c r="G633" s="115">
        <v>1930</v>
      </c>
      <c r="H633" s="115">
        <v>1930</v>
      </c>
    </row>
    <row r="634" spans="1:8" ht="30" x14ac:dyDescent="0.25">
      <c r="A634" s="115">
        <v>7216</v>
      </c>
      <c r="B634" s="115" t="s">
        <v>128</v>
      </c>
      <c r="C634" s="115" t="s">
        <v>1267</v>
      </c>
      <c r="D634" s="115">
        <v>1</v>
      </c>
      <c r="E634" s="115">
        <v>55</v>
      </c>
      <c r="F634" s="115">
        <v>55</v>
      </c>
      <c r="G634" s="115">
        <v>55</v>
      </c>
      <c r="H634" s="115">
        <v>55</v>
      </c>
    </row>
    <row r="635" spans="1:8" ht="30" x14ac:dyDescent="0.25">
      <c r="A635" s="115">
        <v>7215</v>
      </c>
      <c r="B635" s="115" t="s">
        <v>128</v>
      </c>
      <c r="C635" s="115" t="s">
        <v>1268</v>
      </c>
      <c r="D635" s="115">
        <v>1</v>
      </c>
      <c r="E635" s="115">
        <v>1929</v>
      </c>
      <c r="F635" s="115">
        <v>1929</v>
      </c>
      <c r="G635" s="115">
        <v>1929</v>
      </c>
      <c r="H635" s="115">
        <v>1929</v>
      </c>
    </row>
    <row r="636" spans="1:8" ht="30" x14ac:dyDescent="0.25">
      <c r="A636" s="115">
        <v>7214</v>
      </c>
      <c r="B636" s="115" t="s">
        <v>128</v>
      </c>
      <c r="C636" s="115" t="s">
        <v>1269</v>
      </c>
      <c r="D636" s="115">
        <v>1</v>
      </c>
      <c r="E636" s="115">
        <v>54</v>
      </c>
      <c r="F636" s="115">
        <v>54</v>
      </c>
      <c r="G636" s="115">
        <v>54</v>
      </c>
      <c r="H636" s="115">
        <v>54</v>
      </c>
    </row>
    <row r="637" spans="1:8" ht="30" x14ac:dyDescent="0.25">
      <c r="A637" s="115">
        <v>7213</v>
      </c>
      <c r="B637" s="115" t="s">
        <v>128</v>
      </c>
      <c r="C637" s="115" t="s">
        <v>1270</v>
      </c>
      <c r="D637" s="115">
        <v>1</v>
      </c>
      <c r="E637" s="115">
        <v>1925</v>
      </c>
      <c r="F637" s="115">
        <v>1925</v>
      </c>
      <c r="G637" s="115">
        <v>1925</v>
      </c>
      <c r="H637" s="115">
        <v>1925</v>
      </c>
    </row>
    <row r="638" spans="1:8" ht="30" x14ac:dyDescent="0.25">
      <c r="A638" s="115">
        <v>7212</v>
      </c>
      <c r="B638" s="115" t="s">
        <v>128</v>
      </c>
      <c r="C638" s="115" t="s">
        <v>1271</v>
      </c>
      <c r="D638" s="115">
        <v>1</v>
      </c>
      <c r="E638" s="115">
        <v>52</v>
      </c>
      <c r="F638" s="115">
        <v>52</v>
      </c>
      <c r="G638" s="115">
        <v>52</v>
      </c>
      <c r="H638" s="115">
        <v>52</v>
      </c>
    </row>
    <row r="639" spans="1:8" ht="30" x14ac:dyDescent="0.25">
      <c r="A639" s="115">
        <v>7211</v>
      </c>
      <c r="B639" s="115" t="s">
        <v>128</v>
      </c>
      <c r="C639" s="115" t="s">
        <v>1272</v>
      </c>
      <c r="D639" s="115">
        <v>1</v>
      </c>
      <c r="E639" s="115">
        <v>1924</v>
      </c>
      <c r="F639" s="115">
        <v>1924</v>
      </c>
      <c r="G639" s="115">
        <v>1924</v>
      </c>
      <c r="H639" s="115">
        <v>1924</v>
      </c>
    </row>
    <row r="640" spans="1:8" ht="30" x14ac:dyDescent="0.25">
      <c r="A640" s="115">
        <v>7210</v>
      </c>
      <c r="B640" s="115" t="s">
        <v>128</v>
      </c>
      <c r="C640" s="115" t="s">
        <v>1273</v>
      </c>
      <c r="D640" s="115">
        <v>1</v>
      </c>
      <c r="E640" s="115">
        <v>49</v>
      </c>
      <c r="F640" s="115">
        <v>49</v>
      </c>
      <c r="G640" s="115">
        <v>49</v>
      </c>
      <c r="H640" s="115">
        <v>49</v>
      </c>
    </row>
    <row r="641" spans="1:8" ht="30" x14ac:dyDescent="0.25">
      <c r="A641" s="115">
        <v>7209</v>
      </c>
      <c r="B641" s="115" t="s">
        <v>128</v>
      </c>
      <c r="C641" s="115" t="s">
        <v>1274</v>
      </c>
      <c r="D641" s="115">
        <v>1</v>
      </c>
      <c r="E641" s="115">
        <v>1923</v>
      </c>
      <c r="F641" s="115">
        <v>1923</v>
      </c>
      <c r="G641" s="115">
        <v>1923</v>
      </c>
      <c r="H641" s="115">
        <v>1923</v>
      </c>
    </row>
    <row r="642" spans="1:8" ht="30" x14ac:dyDescent="0.25">
      <c r="A642" s="115">
        <v>7208</v>
      </c>
      <c r="B642" s="115" t="s">
        <v>128</v>
      </c>
      <c r="C642" s="115" t="s">
        <v>1275</v>
      </c>
      <c r="D642" s="115">
        <v>1</v>
      </c>
      <c r="E642" s="115">
        <v>47</v>
      </c>
      <c r="F642" s="115">
        <v>47</v>
      </c>
      <c r="G642" s="115">
        <v>47</v>
      </c>
      <c r="H642" s="115">
        <v>47</v>
      </c>
    </row>
    <row r="643" spans="1:8" ht="30" x14ac:dyDescent="0.25">
      <c r="A643" s="115">
        <v>7207</v>
      </c>
      <c r="B643" s="115" t="s">
        <v>128</v>
      </c>
      <c r="C643" s="115" t="s">
        <v>1276</v>
      </c>
      <c r="D643" s="115">
        <v>1</v>
      </c>
      <c r="E643" s="115">
        <v>1922</v>
      </c>
      <c r="F643" s="115">
        <v>1922</v>
      </c>
      <c r="G643" s="115">
        <v>1922</v>
      </c>
      <c r="H643" s="115">
        <v>1922</v>
      </c>
    </row>
    <row r="644" spans="1:8" ht="30" x14ac:dyDescent="0.25">
      <c r="A644" s="115">
        <v>7206</v>
      </c>
      <c r="B644" s="115" t="s">
        <v>128</v>
      </c>
      <c r="C644" s="115" t="s">
        <v>1277</v>
      </c>
      <c r="D644" s="115">
        <v>1</v>
      </c>
      <c r="E644" s="115">
        <v>41</v>
      </c>
      <c r="F644" s="115">
        <v>41</v>
      </c>
      <c r="G644" s="115">
        <v>41</v>
      </c>
      <c r="H644" s="115">
        <v>41</v>
      </c>
    </row>
    <row r="645" spans="1:8" ht="30" x14ac:dyDescent="0.25">
      <c r="A645" s="115">
        <v>7205</v>
      </c>
      <c r="B645" s="115" t="s">
        <v>128</v>
      </c>
      <c r="C645" s="115" t="s">
        <v>1278</v>
      </c>
      <c r="D645" s="115">
        <v>1</v>
      </c>
      <c r="E645" s="115">
        <v>1921</v>
      </c>
      <c r="F645" s="115">
        <v>1921</v>
      </c>
      <c r="G645" s="115">
        <v>1921</v>
      </c>
      <c r="H645" s="115">
        <v>1921</v>
      </c>
    </row>
    <row r="646" spans="1:8" ht="30" x14ac:dyDescent="0.25">
      <c r="A646" s="115">
        <v>7204</v>
      </c>
      <c r="B646" s="115" t="s">
        <v>128</v>
      </c>
      <c r="C646" s="115" t="s">
        <v>1279</v>
      </c>
      <c r="D646" s="115">
        <v>1</v>
      </c>
      <c r="E646" s="115">
        <v>36</v>
      </c>
      <c r="F646" s="115">
        <v>36</v>
      </c>
      <c r="G646" s="115">
        <v>36</v>
      </c>
      <c r="H646" s="115">
        <v>36</v>
      </c>
    </row>
    <row r="647" spans="1:8" ht="30" x14ac:dyDescent="0.25">
      <c r="A647" s="115">
        <v>7203</v>
      </c>
      <c r="B647" s="115" t="s">
        <v>128</v>
      </c>
      <c r="C647" s="115" t="s">
        <v>1280</v>
      </c>
      <c r="D647" s="115">
        <v>1</v>
      </c>
      <c r="E647" s="115">
        <v>1920</v>
      </c>
      <c r="F647" s="115">
        <v>1920</v>
      </c>
      <c r="G647" s="115">
        <v>1920</v>
      </c>
      <c r="H647" s="115">
        <v>1920</v>
      </c>
    </row>
    <row r="648" spans="1:8" ht="30" x14ac:dyDescent="0.25">
      <c r="A648" s="115">
        <v>7202</v>
      </c>
      <c r="B648" s="115" t="s">
        <v>128</v>
      </c>
      <c r="C648" s="115" t="s">
        <v>1281</v>
      </c>
      <c r="D648" s="115">
        <v>1</v>
      </c>
      <c r="E648" s="115">
        <v>30</v>
      </c>
      <c r="F648" s="115">
        <v>30</v>
      </c>
      <c r="G648" s="115">
        <v>30</v>
      </c>
      <c r="H648" s="115">
        <v>30</v>
      </c>
    </row>
    <row r="649" spans="1:8" ht="30" x14ac:dyDescent="0.25">
      <c r="A649" s="115">
        <v>7201</v>
      </c>
      <c r="B649" s="115" t="s">
        <v>128</v>
      </c>
      <c r="C649" s="115" t="s">
        <v>1282</v>
      </c>
      <c r="D649" s="115">
        <v>1</v>
      </c>
      <c r="E649" s="115">
        <v>1919</v>
      </c>
      <c r="F649" s="115">
        <v>1919</v>
      </c>
      <c r="G649" s="115">
        <v>1919</v>
      </c>
      <c r="H649" s="115">
        <v>1919</v>
      </c>
    </row>
    <row r="650" spans="1:8" ht="30" x14ac:dyDescent="0.25">
      <c r="A650" s="115">
        <v>7200</v>
      </c>
      <c r="B650" s="115" t="s">
        <v>128</v>
      </c>
      <c r="C650" s="115" t="s">
        <v>1283</v>
      </c>
      <c r="D650" s="115">
        <v>1</v>
      </c>
      <c r="E650" s="115">
        <v>28</v>
      </c>
      <c r="F650" s="115">
        <v>28</v>
      </c>
      <c r="G650" s="115">
        <v>28</v>
      </c>
      <c r="H650" s="115">
        <v>28</v>
      </c>
    </row>
    <row r="651" spans="1:8" ht="30" x14ac:dyDescent="0.25">
      <c r="A651" s="115">
        <v>7199</v>
      </c>
      <c r="B651" s="115" t="s">
        <v>128</v>
      </c>
      <c r="C651" s="115" t="s">
        <v>1284</v>
      </c>
      <c r="D651" s="115">
        <v>1</v>
      </c>
      <c r="E651" s="115">
        <v>1914</v>
      </c>
      <c r="F651" s="115">
        <v>1914</v>
      </c>
      <c r="G651" s="115">
        <v>1914</v>
      </c>
      <c r="H651" s="115">
        <v>1914</v>
      </c>
    </row>
    <row r="652" spans="1:8" ht="30" x14ac:dyDescent="0.25">
      <c r="A652" s="115">
        <v>7198</v>
      </c>
      <c r="B652" s="115" t="s">
        <v>128</v>
      </c>
      <c r="C652" s="115" t="s">
        <v>1285</v>
      </c>
      <c r="D652" s="115">
        <v>1</v>
      </c>
      <c r="E652" s="115">
        <v>20</v>
      </c>
      <c r="F652" s="115">
        <v>20</v>
      </c>
      <c r="G652" s="115">
        <v>20</v>
      </c>
      <c r="H652" s="115">
        <v>20</v>
      </c>
    </row>
    <row r="653" spans="1:8" ht="30" x14ac:dyDescent="0.25">
      <c r="A653" s="115">
        <v>7197</v>
      </c>
      <c r="B653" s="115" t="s">
        <v>128</v>
      </c>
      <c r="C653" s="115" t="s">
        <v>1286</v>
      </c>
      <c r="D653" s="115">
        <v>1</v>
      </c>
      <c r="E653" s="115">
        <v>1876</v>
      </c>
      <c r="F653" s="115">
        <v>1876</v>
      </c>
      <c r="G653" s="115">
        <v>1876</v>
      </c>
      <c r="H653" s="115">
        <v>1876</v>
      </c>
    </row>
    <row r="654" spans="1:8" ht="30" x14ac:dyDescent="0.25">
      <c r="A654" s="115">
        <v>7196</v>
      </c>
      <c r="B654" s="115" t="s">
        <v>128</v>
      </c>
      <c r="C654" s="115" t="s">
        <v>1287</v>
      </c>
      <c r="D654" s="115">
        <v>1</v>
      </c>
      <c r="E654" s="115">
        <v>4</v>
      </c>
      <c r="F654" s="115">
        <v>4</v>
      </c>
      <c r="G654" s="115">
        <v>4</v>
      </c>
      <c r="H654" s="115">
        <v>4</v>
      </c>
    </row>
    <row r="655" spans="1:8" ht="30" x14ac:dyDescent="0.25">
      <c r="A655" s="115">
        <v>7195</v>
      </c>
      <c r="B655" s="115" t="s">
        <v>128</v>
      </c>
      <c r="C655" s="115" t="s">
        <v>1288</v>
      </c>
      <c r="D655" s="115">
        <v>1</v>
      </c>
      <c r="E655" s="115">
        <v>1868</v>
      </c>
      <c r="F655" s="115">
        <v>1868</v>
      </c>
      <c r="G655" s="115">
        <v>1868</v>
      </c>
      <c r="H655" s="115">
        <v>1868</v>
      </c>
    </row>
    <row r="656" spans="1:8" ht="30" x14ac:dyDescent="0.25">
      <c r="A656" s="115">
        <v>7194</v>
      </c>
      <c r="B656" s="115" t="s">
        <v>128</v>
      </c>
      <c r="C656" s="115" t="s">
        <v>1289</v>
      </c>
      <c r="D656" s="115">
        <v>1</v>
      </c>
      <c r="E656" s="115">
        <v>1</v>
      </c>
      <c r="F656" s="115">
        <v>1</v>
      </c>
      <c r="G656" s="115">
        <v>1</v>
      </c>
      <c r="H656" s="115">
        <v>1</v>
      </c>
    </row>
    <row r="657" spans="1:8" ht="30" x14ac:dyDescent="0.25">
      <c r="A657" s="115">
        <v>7193</v>
      </c>
      <c r="B657" s="115" t="s">
        <v>128</v>
      </c>
      <c r="C657" s="115" t="s">
        <v>1290</v>
      </c>
      <c r="D657" s="115">
        <v>1</v>
      </c>
      <c r="E657" s="115" t="s">
        <v>1291</v>
      </c>
      <c r="F657" s="115" t="s">
        <v>1291</v>
      </c>
      <c r="G657" s="115" t="s">
        <v>1292</v>
      </c>
      <c r="H657" s="115" t="s">
        <v>1293</v>
      </c>
    </row>
    <row r="658" spans="1:8" ht="30" x14ac:dyDescent="0.25">
      <c r="A658" s="115">
        <v>7192</v>
      </c>
      <c r="B658" s="115" t="s">
        <v>128</v>
      </c>
      <c r="C658" s="115" t="s">
        <v>1294</v>
      </c>
      <c r="D658" s="115">
        <v>1</v>
      </c>
      <c r="E658" s="115" t="s">
        <v>768</v>
      </c>
      <c r="F658" s="115" t="s">
        <v>1171</v>
      </c>
      <c r="G658" s="115" t="s">
        <v>770</v>
      </c>
      <c r="H658" s="115" t="s">
        <v>771</v>
      </c>
    </row>
    <row r="659" spans="1:8" ht="30" x14ac:dyDescent="0.25">
      <c r="A659" s="115">
        <v>7191</v>
      </c>
      <c r="B659" s="115" t="s">
        <v>128</v>
      </c>
      <c r="C659" s="115" t="s">
        <v>1295</v>
      </c>
      <c r="D659" s="115">
        <v>1</v>
      </c>
      <c r="E659" s="115" t="s">
        <v>1296</v>
      </c>
      <c r="F659" s="115" t="s">
        <v>1297</v>
      </c>
      <c r="G659" s="115" t="s">
        <v>1298</v>
      </c>
      <c r="H659" s="115" t="s">
        <v>1299</v>
      </c>
    </row>
    <row r="660" spans="1:8" ht="45" x14ac:dyDescent="0.25">
      <c r="A660" s="115">
        <v>7190</v>
      </c>
      <c r="B660" s="115" t="s">
        <v>128</v>
      </c>
      <c r="C660" s="115" t="s">
        <v>1300</v>
      </c>
      <c r="D660" s="115">
        <v>1</v>
      </c>
      <c r="E660" s="115" t="s">
        <v>1301</v>
      </c>
      <c r="F660" s="115" t="s">
        <v>1302</v>
      </c>
      <c r="G660" s="115" t="s">
        <v>1303</v>
      </c>
      <c r="H660" s="115" t="s">
        <v>1304</v>
      </c>
    </row>
    <row r="661" spans="1:8" ht="75" x14ac:dyDescent="0.25">
      <c r="A661" s="115">
        <v>7189</v>
      </c>
      <c r="B661" s="115" t="s">
        <v>128</v>
      </c>
      <c r="C661" s="115" t="s">
        <v>1305</v>
      </c>
      <c r="D661" s="115">
        <v>1</v>
      </c>
      <c r="E661" s="115" t="s">
        <v>1306</v>
      </c>
      <c r="F661" s="115" t="s">
        <v>1307</v>
      </c>
      <c r="G661" s="115" t="s">
        <v>1308</v>
      </c>
      <c r="H661" s="115" t="s">
        <v>1309</v>
      </c>
    </row>
    <row r="662" spans="1:8" ht="75" x14ac:dyDescent="0.25">
      <c r="A662" s="115">
        <v>7188</v>
      </c>
      <c r="B662" s="115" t="s">
        <v>128</v>
      </c>
      <c r="C662" s="115" t="s">
        <v>1310</v>
      </c>
      <c r="D662" s="115">
        <v>1</v>
      </c>
      <c r="E662" s="115" t="s">
        <v>1311</v>
      </c>
      <c r="F662" s="115" t="s">
        <v>1312</v>
      </c>
      <c r="G662" s="115" t="s">
        <v>1313</v>
      </c>
      <c r="H662" s="115" t="s">
        <v>1314</v>
      </c>
    </row>
    <row r="663" spans="1:8" ht="45" x14ac:dyDescent="0.25">
      <c r="A663" s="115">
        <v>7187</v>
      </c>
      <c r="B663" s="115" t="s">
        <v>128</v>
      </c>
      <c r="C663" s="115" t="s">
        <v>1315</v>
      </c>
      <c r="D663" s="115">
        <v>1</v>
      </c>
      <c r="E663" s="115" t="s">
        <v>1316</v>
      </c>
      <c r="F663" s="115" t="s">
        <v>1317</v>
      </c>
      <c r="G663" s="115" t="s">
        <v>1318</v>
      </c>
      <c r="H663" s="115" t="s">
        <v>1319</v>
      </c>
    </row>
    <row r="664" spans="1:8" ht="195" x14ac:dyDescent="0.25">
      <c r="A664" s="115">
        <v>7186</v>
      </c>
      <c r="B664" s="115" t="s">
        <v>128</v>
      </c>
      <c r="C664" s="115" t="s">
        <v>1320</v>
      </c>
      <c r="D664" s="115">
        <v>1</v>
      </c>
      <c r="E664" s="115" t="s">
        <v>1321</v>
      </c>
      <c r="F664" s="115" t="s">
        <v>1322</v>
      </c>
      <c r="G664" s="115" t="s">
        <v>1323</v>
      </c>
      <c r="H664" s="115" t="s">
        <v>1324</v>
      </c>
    </row>
    <row r="665" spans="1:8" x14ac:dyDescent="0.25">
      <c r="A665" s="115">
        <v>7185</v>
      </c>
      <c r="B665" s="115" t="s">
        <v>128</v>
      </c>
      <c r="C665" s="115" t="s">
        <v>1325</v>
      </c>
      <c r="D665" s="115">
        <v>1</v>
      </c>
      <c r="E665" s="115" t="s">
        <v>1326</v>
      </c>
      <c r="F665" s="115" t="s">
        <v>1327</v>
      </c>
      <c r="G665" s="115" t="s">
        <v>1328</v>
      </c>
      <c r="H665" s="115" t="s">
        <v>1329</v>
      </c>
    </row>
    <row r="666" spans="1:8" ht="30" x14ac:dyDescent="0.25">
      <c r="A666" s="115">
        <v>7184</v>
      </c>
      <c r="B666" s="115" t="s">
        <v>128</v>
      </c>
      <c r="C666" s="115" t="s">
        <v>1330</v>
      </c>
      <c r="D666" s="115">
        <v>1</v>
      </c>
      <c r="E666" s="115" t="s">
        <v>1331</v>
      </c>
      <c r="F666" s="115" t="s">
        <v>1332</v>
      </c>
      <c r="G666" s="115" t="s">
        <v>1333</v>
      </c>
      <c r="H666" s="115" t="s">
        <v>1334</v>
      </c>
    </row>
    <row r="667" spans="1:8" x14ac:dyDescent="0.25">
      <c r="A667" s="115">
        <v>7183</v>
      </c>
      <c r="B667" s="115" t="s">
        <v>128</v>
      </c>
      <c r="C667" s="115" t="s">
        <v>1335</v>
      </c>
      <c r="D667" s="115">
        <v>1</v>
      </c>
      <c r="E667" s="115" t="s">
        <v>1336</v>
      </c>
      <c r="F667" s="115" t="s">
        <v>1336</v>
      </c>
      <c r="G667" s="115" t="s">
        <v>1336</v>
      </c>
      <c r="H667" s="115" t="s">
        <v>1336</v>
      </c>
    </row>
    <row r="668" spans="1:8" ht="30" x14ac:dyDescent="0.25">
      <c r="A668" s="115">
        <v>7182</v>
      </c>
      <c r="B668" s="115" t="s">
        <v>128</v>
      </c>
      <c r="C668" s="115" t="s">
        <v>1337</v>
      </c>
      <c r="D668" s="115">
        <v>1</v>
      </c>
      <c r="E668" s="115" t="s">
        <v>1338</v>
      </c>
      <c r="F668" s="115" t="s">
        <v>1339</v>
      </c>
      <c r="G668" s="115" t="s">
        <v>1340</v>
      </c>
      <c r="H668" s="115" t="s">
        <v>1341</v>
      </c>
    </row>
    <row r="669" spans="1:8" ht="30" x14ac:dyDescent="0.25">
      <c r="A669" s="115">
        <v>7181</v>
      </c>
      <c r="B669" s="115" t="s">
        <v>128</v>
      </c>
      <c r="C669" s="115" t="s">
        <v>1342</v>
      </c>
      <c r="D669" s="115">
        <v>1</v>
      </c>
      <c r="E669" s="115">
        <v>2</v>
      </c>
      <c r="F669" s="115">
        <v>2</v>
      </c>
      <c r="G669" s="115">
        <v>2</v>
      </c>
      <c r="H669" s="115">
        <v>2</v>
      </c>
    </row>
    <row r="670" spans="1:8" ht="90" x14ac:dyDescent="0.25">
      <c r="A670" s="115">
        <v>7180</v>
      </c>
      <c r="B670" s="115" t="s">
        <v>128</v>
      </c>
      <c r="C670" s="115" t="s">
        <v>1343</v>
      </c>
      <c r="D670" s="115">
        <v>1</v>
      </c>
      <c r="E670" s="115" t="s">
        <v>1344</v>
      </c>
      <c r="F670" s="115" t="s">
        <v>1345</v>
      </c>
      <c r="G670" s="115" t="s">
        <v>1346</v>
      </c>
      <c r="H670" s="115" t="s">
        <v>1347</v>
      </c>
    </row>
    <row r="671" spans="1:8" x14ac:dyDescent="0.25">
      <c r="A671" s="115">
        <v>7179</v>
      </c>
      <c r="B671" s="115" t="s">
        <v>128</v>
      </c>
      <c r="C671" s="115" t="s">
        <v>1348</v>
      </c>
      <c r="D671" s="115">
        <v>1</v>
      </c>
      <c r="E671" s="115">
        <v>1</v>
      </c>
      <c r="F671" s="115">
        <v>1</v>
      </c>
      <c r="G671" s="115">
        <v>1</v>
      </c>
      <c r="H671" s="115">
        <v>1</v>
      </c>
    </row>
    <row r="672" spans="1:8" x14ac:dyDescent="0.25">
      <c r="A672" s="115">
        <v>7178</v>
      </c>
      <c r="B672" s="115" t="s">
        <v>128</v>
      </c>
      <c r="C672" s="115" t="s">
        <v>1349</v>
      </c>
      <c r="D672" s="115">
        <v>1</v>
      </c>
      <c r="E672" s="115" t="s">
        <v>1326</v>
      </c>
      <c r="F672" s="115" t="s">
        <v>1327</v>
      </c>
      <c r="G672" s="115" t="s">
        <v>1328</v>
      </c>
      <c r="H672" s="115" t="s">
        <v>1329</v>
      </c>
    </row>
    <row r="673" spans="1:8" x14ac:dyDescent="0.25">
      <c r="A673" s="115">
        <v>7177</v>
      </c>
      <c r="B673" s="115" t="s">
        <v>128</v>
      </c>
      <c r="C673" s="115" t="s">
        <v>1350</v>
      </c>
      <c r="D673" s="115">
        <v>1</v>
      </c>
      <c r="E673" s="115" t="s">
        <v>1336</v>
      </c>
      <c r="F673" s="115" t="s">
        <v>1336</v>
      </c>
      <c r="G673" s="115" t="s">
        <v>1336</v>
      </c>
      <c r="H673" s="115" t="s">
        <v>1336</v>
      </c>
    </row>
    <row r="674" spans="1:8" x14ac:dyDescent="0.25">
      <c r="A674" s="115">
        <v>7176</v>
      </c>
      <c r="B674" s="115" t="s">
        <v>128</v>
      </c>
      <c r="C674" s="115" t="s">
        <v>1351</v>
      </c>
      <c r="D674" s="115">
        <v>1</v>
      </c>
      <c r="E674" s="115" t="s">
        <v>1352</v>
      </c>
      <c r="F674" s="115" t="s">
        <v>1353</v>
      </c>
      <c r="G674" s="115" t="s">
        <v>1354</v>
      </c>
      <c r="H674" s="115" t="s">
        <v>1355</v>
      </c>
    </row>
    <row r="675" spans="1:8" ht="30" x14ac:dyDescent="0.25">
      <c r="A675" s="115">
        <v>7175</v>
      </c>
      <c r="B675" s="115" t="s">
        <v>128</v>
      </c>
      <c r="C675" s="115" t="s">
        <v>1356</v>
      </c>
      <c r="D675" s="115">
        <v>1</v>
      </c>
      <c r="E675" s="115" t="s">
        <v>1357</v>
      </c>
      <c r="F675" s="115" t="s">
        <v>1358</v>
      </c>
      <c r="G675" s="115" t="s">
        <v>1359</v>
      </c>
      <c r="H675" s="115" t="s">
        <v>1360</v>
      </c>
    </row>
    <row r="676" spans="1:8" ht="30" x14ac:dyDescent="0.25">
      <c r="A676" s="115">
        <v>7174</v>
      </c>
      <c r="B676" s="115" t="s">
        <v>128</v>
      </c>
      <c r="C676" s="115" t="s">
        <v>1361</v>
      </c>
      <c r="D676" s="115">
        <v>1</v>
      </c>
      <c r="E676" s="115" t="s">
        <v>1362</v>
      </c>
      <c r="F676" s="115" t="s">
        <v>1363</v>
      </c>
      <c r="G676" s="115" t="s">
        <v>1364</v>
      </c>
      <c r="H676" s="115" t="s">
        <v>1365</v>
      </c>
    </row>
    <row r="677" spans="1:8" x14ac:dyDescent="0.25">
      <c r="A677" s="115">
        <v>7173</v>
      </c>
      <c r="B677" s="115" t="s">
        <v>128</v>
      </c>
      <c r="C677" s="115" t="s">
        <v>1366</v>
      </c>
      <c r="D677" s="115">
        <v>1</v>
      </c>
      <c r="E677" s="115" t="s">
        <v>1367</v>
      </c>
      <c r="F677" s="115" t="s">
        <v>1368</v>
      </c>
      <c r="G677" s="115" t="s">
        <v>1369</v>
      </c>
      <c r="H677" s="115" t="s">
        <v>1370</v>
      </c>
    </row>
    <row r="678" spans="1:8" ht="30" x14ac:dyDescent="0.25">
      <c r="A678" s="115">
        <v>7172</v>
      </c>
      <c r="B678" s="115" t="s">
        <v>128</v>
      </c>
      <c r="C678" s="115" t="s">
        <v>1371</v>
      </c>
      <c r="D678" s="115">
        <v>1</v>
      </c>
      <c r="E678" s="115" t="s">
        <v>1372</v>
      </c>
      <c r="F678" s="115" t="s">
        <v>1373</v>
      </c>
      <c r="G678" s="115" t="s">
        <v>1374</v>
      </c>
      <c r="H678" s="115" t="s">
        <v>1375</v>
      </c>
    </row>
    <row r="679" spans="1:8" ht="45" x14ac:dyDescent="0.25">
      <c r="A679" s="115">
        <v>7171</v>
      </c>
      <c r="B679" s="115" t="s">
        <v>128</v>
      </c>
      <c r="C679" s="115" t="s">
        <v>1376</v>
      </c>
      <c r="D679" s="115">
        <v>1</v>
      </c>
      <c r="E679" s="115" t="s">
        <v>1374</v>
      </c>
      <c r="F679" s="115" t="s">
        <v>1374</v>
      </c>
      <c r="G679" s="115" t="s">
        <v>1374</v>
      </c>
      <c r="H679" s="115" t="s">
        <v>1374</v>
      </c>
    </row>
    <row r="680" spans="1:8" ht="225" x14ac:dyDescent="0.25">
      <c r="A680" s="115">
        <v>7170</v>
      </c>
      <c r="B680" s="115" t="s">
        <v>128</v>
      </c>
      <c r="C680" s="115" t="s">
        <v>1377</v>
      </c>
      <c r="D680" s="115">
        <v>1</v>
      </c>
      <c r="E680" s="115" t="s">
        <v>1378</v>
      </c>
      <c r="F680" s="115" t="s">
        <v>1379</v>
      </c>
      <c r="G680" s="115" t="s">
        <v>1380</v>
      </c>
      <c r="H680" s="115" t="s">
        <v>1381</v>
      </c>
    </row>
    <row r="681" spans="1:8" ht="30" x14ac:dyDescent="0.25">
      <c r="A681" s="115">
        <v>7169</v>
      </c>
      <c r="B681" s="115" t="s">
        <v>128</v>
      </c>
      <c r="C681" s="115" t="s">
        <v>1382</v>
      </c>
      <c r="D681" s="115">
        <v>1</v>
      </c>
      <c r="E681" s="115" t="s">
        <v>1383</v>
      </c>
      <c r="F681" s="115" t="s">
        <v>1384</v>
      </c>
      <c r="G681" s="115" t="s">
        <v>1385</v>
      </c>
      <c r="H681" s="115" t="s">
        <v>1386</v>
      </c>
    </row>
    <row r="682" spans="1:8" ht="60" x14ac:dyDescent="0.25">
      <c r="A682" s="115">
        <v>7168</v>
      </c>
      <c r="B682" s="115" t="s">
        <v>128</v>
      </c>
      <c r="C682" s="115" t="s">
        <v>1387</v>
      </c>
      <c r="D682" s="115">
        <v>1</v>
      </c>
      <c r="E682" s="115" t="s">
        <v>1388</v>
      </c>
      <c r="F682" s="115" t="s">
        <v>1389</v>
      </c>
      <c r="G682" s="115" t="s">
        <v>1390</v>
      </c>
      <c r="H682" s="115" t="s">
        <v>1391</v>
      </c>
    </row>
    <row r="683" spans="1:8" ht="45" x14ac:dyDescent="0.25">
      <c r="A683" s="115">
        <v>7167</v>
      </c>
      <c r="B683" s="115" t="s">
        <v>128</v>
      </c>
      <c r="C683" s="115" t="s">
        <v>1392</v>
      </c>
      <c r="D683" s="115">
        <v>1</v>
      </c>
      <c r="E683" s="115" t="s">
        <v>1393</v>
      </c>
      <c r="F683" s="115" t="s">
        <v>1394</v>
      </c>
      <c r="G683" s="115" t="s">
        <v>1395</v>
      </c>
      <c r="H683" s="115" t="s">
        <v>1396</v>
      </c>
    </row>
    <row r="684" spans="1:8" ht="45" x14ac:dyDescent="0.25">
      <c r="A684" s="115">
        <v>7166</v>
      </c>
      <c r="B684" s="115" t="s">
        <v>128</v>
      </c>
      <c r="C684" s="115" t="s">
        <v>1397</v>
      </c>
      <c r="D684" s="115">
        <v>1</v>
      </c>
      <c r="E684" s="115" t="s">
        <v>1398</v>
      </c>
      <c r="F684" s="115" t="s">
        <v>1399</v>
      </c>
      <c r="G684" s="115" t="s">
        <v>1400</v>
      </c>
      <c r="H684" s="115" t="s">
        <v>1401</v>
      </c>
    </row>
    <row r="685" spans="1:8" ht="45" x14ac:dyDescent="0.25">
      <c r="A685" s="115">
        <v>7165</v>
      </c>
      <c r="B685" s="115" t="s">
        <v>128</v>
      </c>
      <c r="C685" s="115" t="s">
        <v>1402</v>
      </c>
      <c r="D685" s="115">
        <v>1</v>
      </c>
      <c r="E685" s="115" t="s">
        <v>1403</v>
      </c>
      <c r="F685" s="115" t="s">
        <v>1404</v>
      </c>
      <c r="G685" s="115" t="s">
        <v>1405</v>
      </c>
      <c r="H685" s="115" t="s">
        <v>1406</v>
      </c>
    </row>
    <row r="686" spans="1:8" ht="30" x14ac:dyDescent="0.25">
      <c r="A686" s="115">
        <v>7164</v>
      </c>
      <c r="B686" s="115" t="s">
        <v>128</v>
      </c>
      <c r="C686" s="115" t="s">
        <v>1407</v>
      </c>
      <c r="D686" s="115">
        <v>1</v>
      </c>
      <c r="E686" s="115" t="s">
        <v>1408</v>
      </c>
      <c r="F686" s="115" t="s">
        <v>1409</v>
      </c>
      <c r="G686" s="115" t="s">
        <v>1410</v>
      </c>
      <c r="H686" s="115" t="s">
        <v>1411</v>
      </c>
    </row>
    <row r="687" spans="1:8" ht="60" x14ac:dyDescent="0.25">
      <c r="A687" s="115">
        <v>7163</v>
      </c>
      <c r="B687" s="115" t="s">
        <v>128</v>
      </c>
      <c r="C687" s="115" t="s">
        <v>1412</v>
      </c>
      <c r="D687" s="115">
        <v>1</v>
      </c>
      <c r="E687" s="115" t="s">
        <v>1413</v>
      </c>
      <c r="F687" s="115" t="s">
        <v>1414</v>
      </c>
      <c r="G687" s="115" t="s">
        <v>1415</v>
      </c>
      <c r="H687" s="115" t="s">
        <v>1416</v>
      </c>
    </row>
    <row r="688" spans="1:8" ht="30" x14ac:dyDescent="0.25">
      <c r="A688" s="115">
        <v>7162</v>
      </c>
      <c r="B688" s="115" t="s">
        <v>128</v>
      </c>
      <c r="C688" s="115" t="s">
        <v>1417</v>
      </c>
      <c r="D688" s="115">
        <v>1</v>
      </c>
      <c r="E688" s="115" t="s">
        <v>1418</v>
      </c>
      <c r="F688" s="115" t="s">
        <v>1419</v>
      </c>
      <c r="G688" s="115" t="s">
        <v>1420</v>
      </c>
      <c r="H688" s="115" t="s">
        <v>1421</v>
      </c>
    </row>
    <row r="689" spans="1:8" ht="30" x14ac:dyDescent="0.25">
      <c r="A689" s="115">
        <v>7161</v>
      </c>
      <c r="B689" s="115" t="s">
        <v>128</v>
      </c>
      <c r="C689" s="115" t="s">
        <v>1422</v>
      </c>
      <c r="D689" s="115">
        <v>1</v>
      </c>
      <c r="E689" s="115" t="s">
        <v>1423</v>
      </c>
      <c r="F689" s="115" t="s">
        <v>1424</v>
      </c>
      <c r="G689" s="115" t="s">
        <v>1425</v>
      </c>
      <c r="H689" s="115" t="s">
        <v>1426</v>
      </c>
    </row>
    <row r="690" spans="1:8" ht="30" x14ac:dyDescent="0.25">
      <c r="A690" s="115">
        <v>7160</v>
      </c>
      <c r="B690" s="115" t="s">
        <v>128</v>
      </c>
      <c r="C690" s="115" t="s">
        <v>1427</v>
      </c>
      <c r="D690" s="115">
        <v>1</v>
      </c>
      <c r="E690" s="115" t="s">
        <v>1331</v>
      </c>
      <c r="F690" s="115" t="s">
        <v>1332</v>
      </c>
      <c r="G690" s="115" t="s">
        <v>1333</v>
      </c>
      <c r="H690" s="115" t="s">
        <v>1334</v>
      </c>
    </row>
    <row r="691" spans="1:8" ht="30" x14ac:dyDescent="0.25">
      <c r="A691" s="115">
        <v>7159</v>
      </c>
      <c r="B691" s="115" t="s">
        <v>128</v>
      </c>
      <c r="C691" s="115" t="s">
        <v>1428</v>
      </c>
      <c r="D691" s="115">
        <v>1</v>
      </c>
      <c r="E691" s="115" t="s">
        <v>1429</v>
      </c>
      <c r="F691" s="115" t="s">
        <v>1429</v>
      </c>
      <c r="G691" s="115" t="s">
        <v>1429</v>
      </c>
      <c r="H691" s="115" t="s">
        <v>1429</v>
      </c>
    </row>
    <row r="692" spans="1:8" ht="30" x14ac:dyDescent="0.25">
      <c r="A692" s="115">
        <v>7158</v>
      </c>
      <c r="B692" s="115" t="s">
        <v>128</v>
      </c>
      <c r="C692" s="115" t="s">
        <v>1430</v>
      </c>
      <c r="D692" s="115">
        <v>1</v>
      </c>
      <c r="E692" s="115" t="s">
        <v>1338</v>
      </c>
      <c r="F692" s="115" t="s">
        <v>1339</v>
      </c>
      <c r="G692" s="115" t="s">
        <v>1340</v>
      </c>
      <c r="H692" s="115" t="s">
        <v>1341</v>
      </c>
    </row>
    <row r="693" spans="1:8" ht="30" x14ac:dyDescent="0.25">
      <c r="A693" s="115">
        <v>7157</v>
      </c>
      <c r="B693" s="115" t="s">
        <v>128</v>
      </c>
      <c r="C693" s="115" t="s">
        <v>1431</v>
      </c>
      <c r="D693" s="115">
        <v>1</v>
      </c>
      <c r="E693" s="115">
        <v>3</v>
      </c>
      <c r="F693" s="115">
        <v>3</v>
      </c>
      <c r="G693" s="115">
        <v>3</v>
      </c>
      <c r="H693" s="115">
        <v>3</v>
      </c>
    </row>
    <row r="694" spans="1:8" ht="165" x14ac:dyDescent="0.25">
      <c r="A694" s="115">
        <v>7156</v>
      </c>
      <c r="B694" s="115" t="s">
        <v>128</v>
      </c>
      <c r="C694" s="115" t="s">
        <v>1432</v>
      </c>
      <c r="D694" s="115">
        <v>1</v>
      </c>
      <c r="E694" s="115" t="s">
        <v>1433</v>
      </c>
      <c r="F694" s="115" t="s">
        <v>1434</v>
      </c>
      <c r="G694" s="115" t="s">
        <v>1435</v>
      </c>
      <c r="H694" s="115" t="s">
        <v>1436</v>
      </c>
    </row>
    <row r="695" spans="1:8" ht="135" x14ac:dyDescent="0.25">
      <c r="A695" s="115">
        <v>7155</v>
      </c>
      <c r="B695" s="115" t="s">
        <v>128</v>
      </c>
      <c r="C695" s="115" t="s">
        <v>1437</v>
      </c>
      <c r="D695" s="115">
        <v>1</v>
      </c>
      <c r="E695" s="115" t="s">
        <v>1438</v>
      </c>
      <c r="F695" s="115" t="s">
        <v>1439</v>
      </c>
      <c r="G695" s="115" t="s">
        <v>1440</v>
      </c>
      <c r="H695" s="115" t="s">
        <v>1441</v>
      </c>
    </row>
    <row r="696" spans="1:8" x14ac:dyDescent="0.25">
      <c r="A696" s="115">
        <v>7154</v>
      </c>
      <c r="B696" s="115" t="s">
        <v>128</v>
      </c>
      <c r="C696" s="115" t="s">
        <v>1442</v>
      </c>
      <c r="D696" s="115">
        <v>1</v>
      </c>
      <c r="E696" s="115">
        <v>2</v>
      </c>
      <c r="F696" s="115">
        <v>2</v>
      </c>
      <c r="G696" s="115">
        <v>2</v>
      </c>
      <c r="H696" s="115">
        <v>2</v>
      </c>
    </row>
    <row r="697" spans="1:8" ht="30" x14ac:dyDescent="0.25">
      <c r="A697" s="115">
        <v>7153</v>
      </c>
      <c r="B697" s="115" t="s">
        <v>128</v>
      </c>
      <c r="C697" s="115" t="s">
        <v>1443</v>
      </c>
      <c r="D697" s="115">
        <v>1</v>
      </c>
      <c r="E697" s="115" t="s">
        <v>1444</v>
      </c>
      <c r="F697" s="115" t="s">
        <v>1445</v>
      </c>
      <c r="G697" s="115" t="s">
        <v>1446</v>
      </c>
      <c r="H697" s="115" t="s">
        <v>1447</v>
      </c>
    </row>
    <row r="698" spans="1:8" ht="30" x14ac:dyDescent="0.25">
      <c r="A698" s="115">
        <v>7152</v>
      </c>
      <c r="B698" s="115" t="s">
        <v>128</v>
      </c>
      <c r="C698" s="115" t="s">
        <v>1448</v>
      </c>
      <c r="D698" s="115">
        <v>1</v>
      </c>
      <c r="E698" s="115" t="s">
        <v>1444</v>
      </c>
      <c r="F698" s="115" t="s">
        <v>1445</v>
      </c>
      <c r="G698" s="115" t="s">
        <v>1446</v>
      </c>
      <c r="H698" s="115" t="s">
        <v>1447</v>
      </c>
    </row>
    <row r="699" spans="1:8" x14ac:dyDescent="0.25">
      <c r="A699" s="115">
        <v>7151</v>
      </c>
      <c r="B699" s="115" t="s">
        <v>128</v>
      </c>
      <c r="C699" s="115" t="s">
        <v>1449</v>
      </c>
      <c r="D699" s="115">
        <v>1</v>
      </c>
      <c r="E699" s="115" t="s">
        <v>1450</v>
      </c>
      <c r="F699" s="115" t="s">
        <v>1451</v>
      </c>
      <c r="G699" s="115" t="s">
        <v>1452</v>
      </c>
      <c r="H699" s="115" t="s">
        <v>1450</v>
      </c>
    </row>
    <row r="700" spans="1:8" x14ac:dyDescent="0.25">
      <c r="A700" s="115">
        <v>7150</v>
      </c>
      <c r="B700" s="115" t="s">
        <v>128</v>
      </c>
      <c r="C700" s="115" t="s">
        <v>1453</v>
      </c>
      <c r="D700" s="115">
        <v>1</v>
      </c>
      <c r="E700" s="115" t="s">
        <v>1454</v>
      </c>
      <c r="F700" s="115" t="s">
        <v>1455</v>
      </c>
      <c r="G700" s="115" t="s">
        <v>1456</v>
      </c>
      <c r="H700" s="115" t="s">
        <v>1454</v>
      </c>
    </row>
    <row r="701" spans="1:8" x14ac:dyDescent="0.25">
      <c r="A701" s="115">
        <v>7149</v>
      </c>
      <c r="B701" s="115" t="s">
        <v>128</v>
      </c>
      <c r="C701" s="115" t="s">
        <v>1457</v>
      </c>
      <c r="D701" s="115">
        <v>1</v>
      </c>
      <c r="E701" s="115" t="s">
        <v>1458</v>
      </c>
      <c r="F701" s="115" t="s">
        <v>1459</v>
      </c>
      <c r="G701" s="115" t="s">
        <v>1460</v>
      </c>
      <c r="H701" s="115" t="s">
        <v>1458</v>
      </c>
    </row>
    <row r="702" spans="1:8" x14ac:dyDescent="0.25">
      <c r="A702" s="115">
        <v>7148</v>
      </c>
      <c r="B702" s="115" t="s">
        <v>128</v>
      </c>
      <c r="C702" s="115" t="s">
        <v>399</v>
      </c>
      <c r="D702" s="115">
        <v>1</v>
      </c>
    </row>
    <row r="703" spans="1:8" ht="30" x14ac:dyDescent="0.25">
      <c r="A703" s="115">
        <v>7147</v>
      </c>
      <c r="B703" s="115" t="s">
        <v>128</v>
      </c>
      <c r="C703" s="115" t="s">
        <v>1461</v>
      </c>
      <c r="D703" s="115">
        <v>1</v>
      </c>
      <c r="E703" s="115" t="s">
        <v>1462</v>
      </c>
      <c r="F703" s="115" t="s">
        <v>1463</v>
      </c>
      <c r="G703" s="115" t="s">
        <v>1462</v>
      </c>
      <c r="H703" s="115" t="s">
        <v>1464</v>
      </c>
    </row>
    <row r="704" spans="1:8" x14ac:dyDescent="0.25">
      <c r="A704" s="115">
        <v>7146</v>
      </c>
      <c r="B704" s="115" t="s">
        <v>128</v>
      </c>
      <c r="C704" s="115" t="s">
        <v>1465</v>
      </c>
      <c r="D704" s="115">
        <v>1</v>
      </c>
      <c r="E704" s="115" t="s">
        <v>1466</v>
      </c>
      <c r="F704" s="115" t="s">
        <v>1467</v>
      </c>
      <c r="G704" s="115" t="s">
        <v>1468</v>
      </c>
      <c r="H704" s="115" t="s">
        <v>1469</v>
      </c>
    </row>
    <row r="705" spans="1:8" x14ac:dyDescent="0.25">
      <c r="A705" s="115">
        <v>7145</v>
      </c>
      <c r="B705" s="115" t="s">
        <v>128</v>
      </c>
      <c r="C705" s="115" t="s">
        <v>1470</v>
      </c>
      <c r="D705" s="115">
        <v>1</v>
      </c>
      <c r="E705" s="115" t="s">
        <v>1471</v>
      </c>
      <c r="F705" s="115" t="s">
        <v>1472</v>
      </c>
      <c r="G705" s="115" t="s">
        <v>1473</v>
      </c>
      <c r="H705" s="115" t="s">
        <v>1471</v>
      </c>
    </row>
    <row r="706" spans="1:8" x14ac:dyDescent="0.25">
      <c r="A706" s="115">
        <v>7144</v>
      </c>
      <c r="B706" s="115" t="s">
        <v>128</v>
      </c>
      <c r="C706" s="115" t="s">
        <v>1474</v>
      </c>
      <c r="D706" s="115">
        <v>1</v>
      </c>
      <c r="E706" s="115" t="s">
        <v>1475</v>
      </c>
      <c r="F706" s="115" t="s">
        <v>1475</v>
      </c>
      <c r="G706" s="115" t="s">
        <v>1475</v>
      </c>
      <c r="H706" s="115" t="s">
        <v>1475</v>
      </c>
    </row>
    <row r="707" spans="1:8" x14ac:dyDescent="0.25">
      <c r="A707" s="115">
        <v>7143</v>
      </c>
      <c r="B707" s="115" t="s">
        <v>128</v>
      </c>
      <c r="C707" s="115" t="s">
        <v>1476</v>
      </c>
      <c r="D707" s="115">
        <v>1</v>
      </c>
      <c r="E707" s="115" t="s">
        <v>1477</v>
      </c>
      <c r="F707" s="115" t="s">
        <v>1477</v>
      </c>
      <c r="G707" s="115" t="s">
        <v>1477</v>
      </c>
      <c r="H707" s="115" t="s">
        <v>1477</v>
      </c>
    </row>
    <row r="708" spans="1:8" ht="30" x14ac:dyDescent="0.25">
      <c r="A708" s="115">
        <v>7142</v>
      </c>
      <c r="B708" s="115" t="s">
        <v>128</v>
      </c>
      <c r="C708" s="115" t="s">
        <v>1478</v>
      </c>
      <c r="D708" s="115">
        <v>1</v>
      </c>
      <c r="E708" s="115" t="s">
        <v>1479</v>
      </c>
      <c r="F708" s="115" t="s">
        <v>1479</v>
      </c>
      <c r="G708" s="115" t="s">
        <v>1479</v>
      </c>
      <c r="H708" s="115" t="s">
        <v>1479</v>
      </c>
    </row>
    <row r="709" spans="1:8" x14ac:dyDescent="0.25">
      <c r="A709" s="115">
        <v>7141</v>
      </c>
      <c r="B709" s="115" t="s">
        <v>128</v>
      </c>
      <c r="C709" s="115" t="s">
        <v>1480</v>
      </c>
      <c r="D709" s="115">
        <v>1</v>
      </c>
      <c r="E709" s="115" t="s">
        <v>1481</v>
      </c>
      <c r="F709" s="115" t="s">
        <v>1481</v>
      </c>
      <c r="G709" s="115" t="s">
        <v>1481</v>
      </c>
      <c r="H709" s="115" t="s">
        <v>1481</v>
      </c>
    </row>
    <row r="710" spans="1:8" x14ac:dyDescent="0.25">
      <c r="A710" s="115">
        <v>7140</v>
      </c>
      <c r="B710" s="115" t="s">
        <v>128</v>
      </c>
      <c r="C710" s="115" t="s">
        <v>1482</v>
      </c>
      <c r="D710" s="115">
        <v>1</v>
      </c>
      <c r="E710" s="115" t="s">
        <v>1483</v>
      </c>
      <c r="F710" s="115" t="s">
        <v>1483</v>
      </c>
      <c r="G710" s="115" t="s">
        <v>1483</v>
      </c>
      <c r="H710" s="115" t="s">
        <v>1483</v>
      </c>
    </row>
    <row r="711" spans="1:8" x14ac:dyDescent="0.25">
      <c r="A711" s="115">
        <v>7139</v>
      </c>
      <c r="B711" s="115" t="s">
        <v>128</v>
      </c>
      <c r="C711" s="115" t="s">
        <v>1484</v>
      </c>
      <c r="D711" s="115">
        <v>1</v>
      </c>
      <c r="E711" s="115" t="s">
        <v>1485</v>
      </c>
      <c r="F711" s="115" t="s">
        <v>1485</v>
      </c>
      <c r="G711" s="115" t="s">
        <v>1485</v>
      </c>
      <c r="H711" s="115" t="s">
        <v>1485</v>
      </c>
    </row>
    <row r="712" spans="1:8" x14ac:dyDescent="0.25">
      <c r="A712" s="115">
        <v>7138</v>
      </c>
      <c r="B712" s="115" t="s">
        <v>128</v>
      </c>
      <c r="C712" s="115" t="s">
        <v>1486</v>
      </c>
      <c r="D712" s="115">
        <v>1</v>
      </c>
      <c r="E712" s="115" t="s">
        <v>1487</v>
      </c>
      <c r="F712" s="115" t="s">
        <v>1487</v>
      </c>
      <c r="G712" s="115" t="s">
        <v>1487</v>
      </c>
      <c r="H712" s="115" t="s">
        <v>1487</v>
      </c>
    </row>
    <row r="713" spans="1:8" x14ac:dyDescent="0.25">
      <c r="A713" s="115">
        <v>7137</v>
      </c>
      <c r="B713" s="115" t="s">
        <v>128</v>
      </c>
      <c r="C713" s="115" t="s">
        <v>1488</v>
      </c>
      <c r="D713" s="115">
        <v>1</v>
      </c>
      <c r="E713" s="115" t="s">
        <v>1084</v>
      </c>
      <c r="F713" s="115" t="s">
        <v>1489</v>
      </c>
      <c r="G713" s="115" t="s">
        <v>1490</v>
      </c>
      <c r="H713" s="115" t="s">
        <v>1084</v>
      </c>
    </row>
    <row r="714" spans="1:8" ht="30" x14ac:dyDescent="0.25">
      <c r="A714" s="115">
        <v>7136</v>
      </c>
      <c r="B714" s="115" t="s">
        <v>128</v>
      </c>
      <c r="C714" s="115" t="s">
        <v>1491</v>
      </c>
      <c r="D714" s="115">
        <v>1</v>
      </c>
      <c r="E714" s="115" t="s">
        <v>1492</v>
      </c>
      <c r="F714" s="115" t="s">
        <v>1493</v>
      </c>
      <c r="G714" s="115" t="s">
        <v>1494</v>
      </c>
      <c r="H714" s="115" t="s">
        <v>1492</v>
      </c>
    </row>
    <row r="715" spans="1:8" x14ac:dyDescent="0.25">
      <c r="A715" s="115">
        <v>7135</v>
      </c>
      <c r="B715" s="115" t="s">
        <v>128</v>
      </c>
      <c r="C715" s="115" t="s">
        <v>1495</v>
      </c>
      <c r="D715" s="115">
        <v>1</v>
      </c>
      <c r="E715" s="115" t="s">
        <v>1496</v>
      </c>
      <c r="F715" s="115" t="s">
        <v>1497</v>
      </c>
      <c r="G715" s="115" t="s">
        <v>1498</v>
      </c>
      <c r="H715" s="115" t="s">
        <v>1496</v>
      </c>
    </row>
    <row r="716" spans="1:8" x14ac:dyDescent="0.25">
      <c r="A716" s="115">
        <v>7134</v>
      </c>
      <c r="B716" s="115" t="s">
        <v>128</v>
      </c>
      <c r="C716" s="115" t="s">
        <v>1499</v>
      </c>
      <c r="D716" s="115">
        <v>1</v>
      </c>
      <c r="E716" s="115" t="s">
        <v>1500</v>
      </c>
      <c r="F716" s="115" t="s">
        <v>1501</v>
      </c>
      <c r="G716" s="115" t="s">
        <v>1502</v>
      </c>
      <c r="H716" s="115" t="s">
        <v>1500</v>
      </c>
    </row>
    <row r="717" spans="1:8" x14ac:dyDescent="0.25">
      <c r="A717" s="115">
        <v>7133</v>
      </c>
      <c r="B717" s="115" t="s">
        <v>128</v>
      </c>
      <c r="C717" s="115" t="s">
        <v>1503</v>
      </c>
      <c r="D717" s="115">
        <v>1</v>
      </c>
      <c r="E717" s="115" t="s">
        <v>1504</v>
      </c>
      <c r="F717" s="115" t="s">
        <v>1505</v>
      </c>
      <c r="G717" s="115" t="s">
        <v>1506</v>
      </c>
      <c r="H717" s="115" t="s">
        <v>1504</v>
      </c>
    </row>
    <row r="718" spans="1:8" ht="30" x14ac:dyDescent="0.25">
      <c r="A718" s="115">
        <v>7132</v>
      </c>
      <c r="B718" s="115" t="s">
        <v>128</v>
      </c>
      <c r="C718" s="115" t="s">
        <v>1507</v>
      </c>
      <c r="D718" s="115">
        <v>1</v>
      </c>
      <c r="E718" s="115" t="s">
        <v>1508</v>
      </c>
      <c r="F718" s="115" t="s">
        <v>1509</v>
      </c>
      <c r="G718" s="115" t="s">
        <v>1510</v>
      </c>
      <c r="H718" s="115" t="s">
        <v>1508</v>
      </c>
    </row>
    <row r="719" spans="1:8" ht="30" x14ac:dyDescent="0.25">
      <c r="A719" s="115">
        <v>7131</v>
      </c>
      <c r="B719" s="115" t="s">
        <v>128</v>
      </c>
      <c r="C719" s="115" t="s">
        <v>1511</v>
      </c>
      <c r="D719" s="115">
        <v>1</v>
      </c>
      <c r="E719" s="115" t="s">
        <v>1512</v>
      </c>
      <c r="F719" s="115" t="s">
        <v>1513</v>
      </c>
      <c r="G719" s="115" t="s">
        <v>1514</v>
      </c>
      <c r="H719" s="115" t="s">
        <v>1512</v>
      </c>
    </row>
    <row r="720" spans="1:8" ht="30" x14ac:dyDescent="0.25">
      <c r="A720" s="115">
        <v>7130</v>
      </c>
      <c r="B720" s="115" t="s">
        <v>128</v>
      </c>
      <c r="C720" s="115" t="s">
        <v>1515</v>
      </c>
      <c r="D720" s="115">
        <v>1</v>
      </c>
      <c r="E720" s="115" t="s">
        <v>1516</v>
      </c>
      <c r="F720" s="115" t="s">
        <v>1517</v>
      </c>
      <c r="G720" s="115" t="s">
        <v>1518</v>
      </c>
      <c r="H720" s="115" t="s">
        <v>1516</v>
      </c>
    </row>
    <row r="721" spans="1:8" x14ac:dyDescent="0.25">
      <c r="A721" s="115">
        <v>7129</v>
      </c>
      <c r="B721" s="115" t="s">
        <v>128</v>
      </c>
      <c r="C721" s="115" t="s">
        <v>1519</v>
      </c>
      <c r="D721" s="115">
        <v>1</v>
      </c>
      <c r="E721" s="115" t="s">
        <v>774</v>
      </c>
      <c r="F721" s="115" t="s">
        <v>1520</v>
      </c>
      <c r="G721" s="115" t="s">
        <v>776</v>
      </c>
      <c r="H721" s="115" t="s">
        <v>774</v>
      </c>
    </row>
    <row r="722" spans="1:8" x14ac:dyDescent="0.25">
      <c r="A722" s="115">
        <v>7128</v>
      </c>
      <c r="B722" s="115" t="s">
        <v>128</v>
      </c>
      <c r="C722" s="115" t="s">
        <v>1521</v>
      </c>
      <c r="D722" s="115">
        <v>1</v>
      </c>
      <c r="E722" s="115" t="s">
        <v>1522</v>
      </c>
      <c r="F722" s="115" t="s">
        <v>1523</v>
      </c>
      <c r="G722" s="115" t="s">
        <v>1524</v>
      </c>
      <c r="H722" s="115" t="s">
        <v>1522</v>
      </c>
    </row>
    <row r="723" spans="1:8" x14ac:dyDescent="0.25">
      <c r="A723" s="115">
        <v>7127</v>
      </c>
      <c r="B723" s="115" t="s">
        <v>128</v>
      </c>
      <c r="C723" s="115" t="s">
        <v>1525</v>
      </c>
      <c r="D723" s="115">
        <v>1</v>
      </c>
      <c r="E723" s="115" t="s">
        <v>1526</v>
      </c>
      <c r="F723" s="115" t="s">
        <v>1527</v>
      </c>
      <c r="G723" s="115" t="s">
        <v>1528</v>
      </c>
      <c r="H723" s="115" t="s">
        <v>1526</v>
      </c>
    </row>
    <row r="724" spans="1:8" x14ac:dyDescent="0.25">
      <c r="A724" s="115">
        <v>7126</v>
      </c>
      <c r="B724" s="115" t="s">
        <v>128</v>
      </c>
      <c r="C724" s="115" t="s">
        <v>1529</v>
      </c>
      <c r="D724" s="115">
        <v>1</v>
      </c>
      <c r="E724" s="115" t="s">
        <v>1530</v>
      </c>
      <c r="F724" s="115" t="s">
        <v>1531</v>
      </c>
      <c r="G724" s="115" t="s">
        <v>1532</v>
      </c>
      <c r="H724" s="115" t="s">
        <v>1530</v>
      </c>
    </row>
    <row r="725" spans="1:8" ht="30" x14ac:dyDescent="0.25">
      <c r="A725" s="115">
        <v>7125</v>
      </c>
      <c r="B725" s="115" t="s">
        <v>128</v>
      </c>
      <c r="C725" s="115" t="s">
        <v>1533</v>
      </c>
      <c r="D725" s="115">
        <v>1</v>
      </c>
      <c r="E725" s="115" t="s">
        <v>1534</v>
      </c>
      <c r="F725" s="115" t="s">
        <v>1535</v>
      </c>
      <c r="G725" s="115" t="s">
        <v>1536</v>
      </c>
      <c r="H725" s="115" t="s">
        <v>1534</v>
      </c>
    </row>
    <row r="726" spans="1:8" ht="30" x14ac:dyDescent="0.25">
      <c r="A726" s="115">
        <v>7124</v>
      </c>
      <c r="B726" s="115" t="s">
        <v>128</v>
      </c>
      <c r="C726" s="115" t="s">
        <v>1537</v>
      </c>
      <c r="D726" s="115">
        <v>1</v>
      </c>
      <c r="E726" s="115" t="s">
        <v>1538</v>
      </c>
      <c r="F726" s="115" t="s">
        <v>1538</v>
      </c>
      <c r="G726" s="115" t="s">
        <v>1538</v>
      </c>
      <c r="H726" s="115" t="s">
        <v>1538</v>
      </c>
    </row>
    <row r="727" spans="1:8" ht="30" x14ac:dyDescent="0.25">
      <c r="A727" s="115">
        <v>7123</v>
      </c>
      <c r="B727" s="115" t="s">
        <v>128</v>
      </c>
      <c r="C727" s="115" t="s">
        <v>1539</v>
      </c>
      <c r="D727" s="115">
        <v>1</v>
      </c>
      <c r="E727" s="115" t="s">
        <v>1540</v>
      </c>
      <c r="F727" s="115" t="s">
        <v>1541</v>
      </c>
      <c r="G727" s="115" t="s">
        <v>1542</v>
      </c>
      <c r="H727" s="115" t="s">
        <v>1540</v>
      </c>
    </row>
    <row r="728" spans="1:8" x14ac:dyDescent="0.25">
      <c r="A728" s="115">
        <v>7122</v>
      </c>
      <c r="B728" s="115" t="s">
        <v>128</v>
      </c>
      <c r="C728" s="115" t="s">
        <v>1543</v>
      </c>
      <c r="D728" s="115">
        <v>1</v>
      </c>
      <c r="E728" s="115" t="s">
        <v>1544</v>
      </c>
      <c r="F728" s="115" t="s">
        <v>1544</v>
      </c>
      <c r="G728" s="115" t="s">
        <v>1544</v>
      </c>
      <c r="H728" s="115" t="s">
        <v>1544</v>
      </c>
    </row>
    <row r="729" spans="1:8" x14ac:dyDescent="0.25">
      <c r="A729" s="115">
        <v>7121</v>
      </c>
      <c r="B729" s="115" t="s">
        <v>128</v>
      </c>
      <c r="C729" s="115" t="s">
        <v>1545</v>
      </c>
      <c r="D729" s="115">
        <v>1</v>
      </c>
      <c r="E729" s="115" t="s">
        <v>1546</v>
      </c>
      <c r="F729" s="115" t="s">
        <v>1547</v>
      </c>
      <c r="G729" s="115" t="s">
        <v>1548</v>
      </c>
      <c r="H729" s="115" t="s">
        <v>1546</v>
      </c>
    </row>
    <row r="730" spans="1:8" x14ac:dyDescent="0.25">
      <c r="A730" s="115">
        <v>7120</v>
      </c>
      <c r="B730" s="115" t="s">
        <v>128</v>
      </c>
      <c r="C730" s="115" t="s">
        <v>1549</v>
      </c>
      <c r="D730" s="115">
        <v>1</v>
      </c>
      <c r="E730" s="115" t="s">
        <v>1550</v>
      </c>
      <c r="F730" s="115" t="s">
        <v>1551</v>
      </c>
      <c r="G730" s="115" t="s">
        <v>1552</v>
      </c>
      <c r="H730" s="115" t="s">
        <v>1550</v>
      </c>
    </row>
    <row r="731" spans="1:8" x14ac:dyDescent="0.25">
      <c r="A731" s="115">
        <v>7119</v>
      </c>
      <c r="B731" s="115" t="s">
        <v>128</v>
      </c>
      <c r="C731" s="115" t="s">
        <v>1553</v>
      </c>
      <c r="D731" s="115">
        <v>1</v>
      </c>
      <c r="E731" s="115" t="s">
        <v>1554</v>
      </c>
      <c r="F731" s="115" t="s">
        <v>1555</v>
      </c>
      <c r="G731" s="115" t="s">
        <v>1556</v>
      </c>
      <c r="H731" s="115" t="s">
        <v>1554</v>
      </c>
    </row>
    <row r="732" spans="1:8" x14ac:dyDescent="0.25">
      <c r="A732" s="115">
        <v>7118</v>
      </c>
      <c r="B732" s="115" t="s">
        <v>128</v>
      </c>
      <c r="C732" s="115" t="s">
        <v>1557</v>
      </c>
      <c r="D732" s="115">
        <v>1</v>
      </c>
      <c r="E732" s="115" t="s">
        <v>1558</v>
      </c>
      <c r="F732" s="115" t="s">
        <v>1559</v>
      </c>
      <c r="G732" s="115" t="s">
        <v>1560</v>
      </c>
      <c r="H732" s="115" t="s">
        <v>771</v>
      </c>
    </row>
    <row r="733" spans="1:8" x14ac:dyDescent="0.25">
      <c r="A733" s="115">
        <v>7117</v>
      </c>
      <c r="B733" s="115" t="s">
        <v>128</v>
      </c>
      <c r="C733" s="115" t="s">
        <v>1561</v>
      </c>
      <c r="D733" s="115">
        <v>1</v>
      </c>
      <c r="E733" s="115" t="s">
        <v>416</v>
      </c>
      <c r="F733" s="115" t="s">
        <v>1562</v>
      </c>
      <c r="G733" s="115" t="s">
        <v>418</v>
      </c>
      <c r="H733" s="115" t="s">
        <v>1563</v>
      </c>
    </row>
    <row r="734" spans="1:8" x14ac:dyDescent="0.25">
      <c r="A734" s="115">
        <v>7116</v>
      </c>
      <c r="B734" s="115" t="s">
        <v>128</v>
      </c>
      <c r="C734" s="115" t="s">
        <v>1564</v>
      </c>
      <c r="D734" s="115">
        <v>1</v>
      </c>
      <c r="E734" s="115" t="s">
        <v>1565</v>
      </c>
      <c r="F734" s="115" t="s">
        <v>1566</v>
      </c>
      <c r="G734" s="115" t="s">
        <v>1567</v>
      </c>
      <c r="H734" s="115" t="s">
        <v>1568</v>
      </c>
    </row>
    <row r="735" spans="1:8" x14ac:dyDescent="0.25">
      <c r="A735" s="115">
        <v>7115</v>
      </c>
      <c r="B735" s="115" t="s">
        <v>128</v>
      </c>
      <c r="C735" s="115" t="s">
        <v>1569</v>
      </c>
      <c r="D735" s="115">
        <v>1</v>
      </c>
      <c r="E735" s="115" t="s">
        <v>1560</v>
      </c>
      <c r="F735" s="115" t="s">
        <v>1570</v>
      </c>
      <c r="G735" s="115" t="s">
        <v>1560</v>
      </c>
      <c r="H735" s="115" t="s">
        <v>771</v>
      </c>
    </row>
    <row r="736" spans="1:8" x14ac:dyDescent="0.25">
      <c r="A736" s="115">
        <v>7114</v>
      </c>
      <c r="B736" s="115" t="s">
        <v>128</v>
      </c>
      <c r="C736" s="115" t="s">
        <v>1571</v>
      </c>
      <c r="D736" s="115">
        <v>1</v>
      </c>
      <c r="E736" s="115" t="s">
        <v>418</v>
      </c>
      <c r="F736" s="115" t="s">
        <v>417</v>
      </c>
      <c r="G736" s="115" t="s">
        <v>418</v>
      </c>
      <c r="H736" s="115" t="s">
        <v>1563</v>
      </c>
    </row>
    <row r="737" spans="1:8" x14ac:dyDescent="0.25">
      <c r="A737" s="115">
        <v>7113</v>
      </c>
      <c r="B737" s="115" t="s">
        <v>128</v>
      </c>
      <c r="C737" s="115" t="s">
        <v>1572</v>
      </c>
      <c r="D737" s="115">
        <v>1</v>
      </c>
      <c r="E737" s="115" t="s">
        <v>1573</v>
      </c>
      <c r="F737" s="115" t="s">
        <v>1332</v>
      </c>
      <c r="G737" s="115" t="s">
        <v>1573</v>
      </c>
      <c r="H737" s="115" t="s">
        <v>1334</v>
      </c>
    </row>
    <row r="738" spans="1:8" x14ac:dyDescent="0.25">
      <c r="A738" s="115">
        <v>7112</v>
      </c>
      <c r="B738" s="115" t="s">
        <v>128</v>
      </c>
      <c r="C738" s="115" t="s">
        <v>1574</v>
      </c>
      <c r="D738" s="115">
        <v>1</v>
      </c>
      <c r="E738" s="115" t="s">
        <v>1575</v>
      </c>
      <c r="F738" s="115" t="s">
        <v>1576</v>
      </c>
      <c r="G738" s="115" t="s">
        <v>1575</v>
      </c>
      <c r="H738" s="115" t="s">
        <v>1577</v>
      </c>
    </row>
    <row r="739" spans="1:8" x14ac:dyDescent="0.25">
      <c r="A739" s="115">
        <v>7111</v>
      </c>
      <c r="B739" s="115" t="s">
        <v>128</v>
      </c>
      <c r="C739" s="115" t="s">
        <v>1578</v>
      </c>
      <c r="D739" s="115">
        <v>1</v>
      </c>
      <c r="E739" s="115" t="s">
        <v>1579</v>
      </c>
      <c r="F739" s="115" t="s">
        <v>1579</v>
      </c>
      <c r="G739" s="115" t="s">
        <v>1580</v>
      </c>
      <c r="H739" s="115" t="s">
        <v>1581</v>
      </c>
    </row>
    <row r="740" spans="1:8" x14ac:dyDescent="0.25">
      <c r="A740" s="115">
        <v>7110</v>
      </c>
      <c r="B740" s="115" t="s">
        <v>128</v>
      </c>
      <c r="C740" s="115" t="s">
        <v>1582</v>
      </c>
      <c r="D740" s="115">
        <v>1</v>
      </c>
      <c r="E740" s="115" t="s">
        <v>1583</v>
      </c>
      <c r="F740" s="115" t="s">
        <v>1584</v>
      </c>
      <c r="G740" s="115" t="s">
        <v>1585</v>
      </c>
      <c r="H740" s="115" t="s">
        <v>1586</v>
      </c>
    </row>
    <row r="741" spans="1:8" x14ac:dyDescent="0.25">
      <c r="A741" s="115">
        <v>7109</v>
      </c>
      <c r="B741" s="115" t="s">
        <v>128</v>
      </c>
      <c r="C741" s="115" t="s">
        <v>1587</v>
      </c>
      <c r="D741" s="115">
        <v>1</v>
      </c>
      <c r="E741" s="115" t="s">
        <v>1588</v>
      </c>
      <c r="F741" s="115" t="s">
        <v>1589</v>
      </c>
      <c r="G741" s="115" t="s">
        <v>1590</v>
      </c>
      <c r="H741" s="115" t="s">
        <v>1591</v>
      </c>
    </row>
    <row r="742" spans="1:8" x14ac:dyDescent="0.25">
      <c r="A742" s="115">
        <v>7108</v>
      </c>
      <c r="B742" s="115" t="s">
        <v>128</v>
      </c>
      <c r="C742" s="115" t="s">
        <v>1592</v>
      </c>
      <c r="D742" s="115">
        <v>1</v>
      </c>
      <c r="E742" s="115" t="s">
        <v>1593</v>
      </c>
      <c r="F742" s="115" t="s">
        <v>1594</v>
      </c>
      <c r="G742" s="115" t="s">
        <v>1595</v>
      </c>
      <c r="H742" s="115" t="s">
        <v>1596</v>
      </c>
    </row>
    <row r="743" spans="1:8" x14ac:dyDescent="0.25">
      <c r="A743" s="115">
        <v>7107</v>
      </c>
      <c r="B743" s="115" t="s">
        <v>128</v>
      </c>
      <c r="C743" s="115" t="s">
        <v>1597</v>
      </c>
      <c r="D743" s="115">
        <v>1</v>
      </c>
      <c r="E743" s="115" t="s">
        <v>1598</v>
      </c>
      <c r="F743" s="115" t="s">
        <v>1599</v>
      </c>
      <c r="G743" s="115" t="s">
        <v>1600</v>
      </c>
      <c r="H743" s="115" t="s">
        <v>1601</v>
      </c>
    </row>
    <row r="744" spans="1:8" x14ac:dyDescent="0.25">
      <c r="A744" s="115">
        <v>7106</v>
      </c>
      <c r="B744" s="115" t="s">
        <v>128</v>
      </c>
      <c r="C744" s="115" t="s">
        <v>1602</v>
      </c>
      <c r="D744" s="115">
        <v>1</v>
      </c>
      <c r="E744" s="115" t="s">
        <v>768</v>
      </c>
      <c r="F744" s="115" t="s">
        <v>1603</v>
      </c>
      <c r="G744" s="115" t="s">
        <v>770</v>
      </c>
      <c r="H744" s="115" t="s">
        <v>771</v>
      </c>
    </row>
    <row r="745" spans="1:8" x14ac:dyDescent="0.25">
      <c r="A745" s="115">
        <v>7105</v>
      </c>
      <c r="B745" s="115" t="s">
        <v>128</v>
      </c>
      <c r="C745" s="115" t="s">
        <v>1604</v>
      </c>
      <c r="D745" s="115">
        <v>1</v>
      </c>
      <c r="E745" s="115" t="s">
        <v>1605</v>
      </c>
      <c r="F745" s="115" t="s">
        <v>1606</v>
      </c>
      <c r="G745" s="115" t="s">
        <v>1607</v>
      </c>
      <c r="H745" s="115" t="s">
        <v>1608</v>
      </c>
    </row>
    <row r="746" spans="1:8" x14ac:dyDescent="0.25">
      <c r="A746" s="115">
        <v>7104</v>
      </c>
      <c r="B746" s="115" t="s">
        <v>128</v>
      </c>
      <c r="C746" s="115" t="s">
        <v>1609</v>
      </c>
      <c r="D746" s="115">
        <v>1</v>
      </c>
      <c r="E746" s="115" t="s">
        <v>1610</v>
      </c>
      <c r="F746" s="115" t="s">
        <v>1610</v>
      </c>
      <c r="G746" s="115" t="s">
        <v>1610</v>
      </c>
      <c r="H746" s="115" t="s">
        <v>1611</v>
      </c>
    </row>
    <row r="747" spans="1:8" x14ac:dyDescent="0.25">
      <c r="A747" s="115">
        <v>7103</v>
      </c>
      <c r="B747" s="115" t="s">
        <v>128</v>
      </c>
      <c r="C747" s="115" t="s">
        <v>1612</v>
      </c>
      <c r="D747" s="115">
        <v>1</v>
      </c>
      <c r="E747" s="115" t="s">
        <v>1613</v>
      </c>
      <c r="F747" s="115" t="s">
        <v>1614</v>
      </c>
      <c r="G747" s="115" t="s">
        <v>1615</v>
      </c>
      <c r="H747" s="115" t="s">
        <v>1616</v>
      </c>
    </row>
    <row r="748" spans="1:8" x14ac:dyDescent="0.25">
      <c r="A748" s="115">
        <v>7102</v>
      </c>
      <c r="B748" s="115" t="s">
        <v>128</v>
      </c>
      <c r="C748" s="115" t="s">
        <v>1617</v>
      </c>
      <c r="D748" s="115">
        <v>1</v>
      </c>
      <c r="E748" s="115" t="s">
        <v>1618</v>
      </c>
      <c r="F748" s="115" t="s">
        <v>1619</v>
      </c>
      <c r="G748" s="115" t="s">
        <v>24</v>
      </c>
      <c r="H748" s="115" t="s">
        <v>1620</v>
      </c>
    </row>
    <row r="749" spans="1:8" x14ac:dyDescent="0.25">
      <c r="A749" s="115">
        <v>7101</v>
      </c>
      <c r="B749" s="115" t="s">
        <v>128</v>
      </c>
      <c r="C749" s="115" t="s">
        <v>1621</v>
      </c>
      <c r="D749" s="115">
        <v>1</v>
      </c>
      <c r="E749" s="115" t="s">
        <v>1622</v>
      </c>
      <c r="F749" s="115" t="s">
        <v>1623</v>
      </c>
      <c r="G749" s="115" t="s">
        <v>1624</v>
      </c>
      <c r="H749" s="115" t="s">
        <v>1625</v>
      </c>
    </row>
    <row r="750" spans="1:8" x14ac:dyDescent="0.25">
      <c r="A750" s="115">
        <v>7100</v>
      </c>
      <c r="B750" s="115" t="s">
        <v>128</v>
      </c>
      <c r="C750" s="115" t="s">
        <v>1626</v>
      </c>
      <c r="D750" s="115">
        <v>1</v>
      </c>
      <c r="E750" s="115" t="s">
        <v>1627</v>
      </c>
      <c r="F750" s="115" t="s">
        <v>1628</v>
      </c>
      <c r="G750" s="115" t="s">
        <v>1629</v>
      </c>
      <c r="H750" s="115" t="s">
        <v>1630</v>
      </c>
    </row>
    <row r="751" spans="1:8" x14ac:dyDescent="0.25">
      <c r="A751" s="115">
        <v>7099</v>
      </c>
      <c r="B751" s="115" t="s">
        <v>128</v>
      </c>
      <c r="C751" s="115" t="s">
        <v>1631</v>
      </c>
      <c r="D751" s="115">
        <v>1</v>
      </c>
      <c r="E751" s="115" t="s">
        <v>1632</v>
      </c>
      <c r="F751" s="115" t="s">
        <v>1633</v>
      </c>
      <c r="G751" s="115" t="s">
        <v>1634</v>
      </c>
      <c r="H751" s="115" t="s">
        <v>1635</v>
      </c>
    </row>
    <row r="752" spans="1:8" x14ac:dyDescent="0.25">
      <c r="A752" s="115">
        <v>7098</v>
      </c>
      <c r="B752" s="115" t="s">
        <v>128</v>
      </c>
      <c r="C752" s="115" t="s">
        <v>1636</v>
      </c>
      <c r="D752" s="115">
        <v>1</v>
      </c>
      <c r="E752" s="115" t="s">
        <v>1637</v>
      </c>
      <c r="F752" s="115" t="s">
        <v>1638</v>
      </c>
      <c r="G752" s="115" t="s">
        <v>1639</v>
      </c>
      <c r="H752" s="115" t="s">
        <v>1620</v>
      </c>
    </row>
    <row r="753" spans="1:8" x14ac:dyDescent="0.25">
      <c r="A753" s="115">
        <v>7097</v>
      </c>
      <c r="B753" s="115" t="s">
        <v>128</v>
      </c>
      <c r="C753" s="115" t="s">
        <v>1640</v>
      </c>
      <c r="D753" s="115">
        <v>1</v>
      </c>
      <c r="E753" s="115" t="s">
        <v>1641</v>
      </c>
      <c r="F753" s="115" t="s">
        <v>1642</v>
      </c>
      <c r="G753" s="115" t="s">
        <v>1643</v>
      </c>
      <c r="H753" s="115" t="s">
        <v>1644</v>
      </c>
    </row>
    <row r="754" spans="1:8" ht="45" x14ac:dyDescent="0.25">
      <c r="A754" s="115">
        <v>7096</v>
      </c>
      <c r="B754" s="115" t="s">
        <v>128</v>
      </c>
      <c r="C754" s="115" t="s">
        <v>1645</v>
      </c>
      <c r="D754" s="115">
        <v>1</v>
      </c>
      <c r="E754" s="115" t="s">
        <v>1646</v>
      </c>
      <c r="F754" s="115" t="s">
        <v>1647</v>
      </c>
      <c r="G754" s="115" t="s">
        <v>1648</v>
      </c>
      <c r="H754" s="115" t="s">
        <v>1649</v>
      </c>
    </row>
    <row r="755" spans="1:8" ht="30" x14ac:dyDescent="0.25">
      <c r="A755" s="115">
        <v>7095</v>
      </c>
      <c r="B755" s="115" t="s">
        <v>128</v>
      </c>
      <c r="C755" s="115" t="s">
        <v>1650</v>
      </c>
      <c r="D755" s="115">
        <v>1</v>
      </c>
      <c r="E755" s="115" t="s">
        <v>1651</v>
      </c>
      <c r="F755" s="115" t="s">
        <v>1652</v>
      </c>
      <c r="G755" s="115" t="s">
        <v>1653</v>
      </c>
      <c r="H755" s="115" t="s">
        <v>1654</v>
      </c>
    </row>
    <row r="756" spans="1:8" x14ac:dyDescent="0.25">
      <c r="A756" s="115">
        <v>7094</v>
      </c>
      <c r="B756" s="115" t="s">
        <v>128</v>
      </c>
      <c r="C756" s="115" t="s">
        <v>1655</v>
      </c>
      <c r="D756" s="115">
        <v>1</v>
      </c>
      <c r="E756" s="115" t="s">
        <v>1656</v>
      </c>
      <c r="F756" s="115" t="s">
        <v>1657</v>
      </c>
      <c r="G756" s="115" t="s">
        <v>1658</v>
      </c>
      <c r="H756" s="115" t="s">
        <v>1659</v>
      </c>
    </row>
    <row r="757" spans="1:8" x14ac:dyDescent="0.25">
      <c r="A757" s="115">
        <v>7093</v>
      </c>
      <c r="B757" s="115" t="s">
        <v>128</v>
      </c>
      <c r="C757" s="115" t="s">
        <v>1660</v>
      </c>
      <c r="D757" s="115">
        <v>1</v>
      </c>
      <c r="E757" s="115" t="s">
        <v>1661</v>
      </c>
      <c r="F757" s="115" t="s">
        <v>1662</v>
      </c>
      <c r="G757" s="115" t="s">
        <v>1663</v>
      </c>
      <c r="H757" s="115" t="s">
        <v>1664</v>
      </c>
    </row>
    <row r="758" spans="1:8" x14ac:dyDescent="0.25">
      <c r="A758" s="115">
        <v>7092</v>
      </c>
      <c r="B758" s="115" t="s">
        <v>128</v>
      </c>
      <c r="C758" s="115" t="s">
        <v>1665</v>
      </c>
      <c r="D758" s="115">
        <v>1</v>
      </c>
      <c r="E758" s="115" t="s">
        <v>1666</v>
      </c>
      <c r="F758" s="115" t="s">
        <v>1667</v>
      </c>
      <c r="G758" s="115" t="s">
        <v>1668</v>
      </c>
      <c r="H758" s="115" t="s">
        <v>1669</v>
      </c>
    </row>
    <row r="759" spans="1:8" x14ac:dyDescent="0.25">
      <c r="A759" s="115">
        <v>7091</v>
      </c>
      <c r="B759" s="115" t="s">
        <v>128</v>
      </c>
      <c r="C759" s="115" t="s">
        <v>1670</v>
      </c>
      <c r="D759" s="115">
        <v>1</v>
      </c>
      <c r="E759" s="115" t="s">
        <v>1671</v>
      </c>
      <c r="F759" s="115" t="s">
        <v>1672</v>
      </c>
      <c r="G759" s="115" t="s">
        <v>1673</v>
      </c>
      <c r="H759" s="115" t="s">
        <v>1674</v>
      </c>
    </row>
    <row r="760" spans="1:8" ht="30" x14ac:dyDescent="0.25">
      <c r="A760" s="115">
        <v>7090</v>
      </c>
      <c r="B760" s="115" t="s">
        <v>128</v>
      </c>
      <c r="C760" s="115" t="s">
        <v>1675</v>
      </c>
      <c r="D760" s="115">
        <v>1</v>
      </c>
      <c r="E760" s="115" t="s">
        <v>1676</v>
      </c>
      <c r="F760" s="115" t="s">
        <v>1677</v>
      </c>
      <c r="G760" s="115" t="s">
        <v>1678</v>
      </c>
      <c r="H760" s="115" t="s">
        <v>1679</v>
      </c>
    </row>
    <row r="761" spans="1:8" ht="30" x14ac:dyDescent="0.25">
      <c r="A761" s="115">
        <v>7089</v>
      </c>
      <c r="B761" s="115" t="s">
        <v>128</v>
      </c>
      <c r="C761" s="115" t="s">
        <v>1680</v>
      </c>
      <c r="D761" s="115">
        <v>1</v>
      </c>
      <c r="E761" s="115" t="s">
        <v>1676</v>
      </c>
      <c r="F761" s="115" t="s">
        <v>1677</v>
      </c>
      <c r="G761" s="115" t="s">
        <v>1678</v>
      </c>
      <c r="H761" s="115" t="s">
        <v>1679</v>
      </c>
    </row>
    <row r="762" spans="1:8" x14ac:dyDescent="0.25">
      <c r="A762" s="115">
        <v>7088</v>
      </c>
      <c r="B762" s="115" t="s">
        <v>128</v>
      </c>
      <c r="C762" s="115" t="s">
        <v>1681</v>
      </c>
      <c r="D762" s="115">
        <v>1</v>
      </c>
      <c r="E762" s="115" t="s">
        <v>1682</v>
      </c>
      <c r="F762" s="115" t="s">
        <v>1682</v>
      </c>
      <c r="G762" s="115" t="s">
        <v>1682</v>
      </c>
      <c r="H762" s="115" t="s">
        <v>1683</v>
      </c>
    </row>
    <row r="763" spans="1:8" ht="135" x14ac:dyDescent="0.25">
      <c r="A763" s="115">
        <v>7087</v>
      </c>
      <c r="B763" s="115" t="s">
        <v>128</v>
      </c>
      <c r="C763" s="115" t="s">
        <v>1684</v>
      </c>
      <c r="D763" s="115">
        <v>1</v>
      </c>
      <c r="E763" s="115" t="s">
        <v>1685</v>
      </c>
      <c r="F763" s="115" t="s">
        <v>1686</v>
      </c>
      <c r="G763" s="115" t="s">
        <v>1687</v>
      </c>
      <c r="H763" s="115" t="s">
        <v>1688</v>
      </c>
    </row>
    <row r="764" spans="1:8" ht="150" x14ac:dyDescent="0.25">
      <c r="A764" s="115">
        <v>7086</v>
      </c>
      <c r="B764" s="115" t="s">
        <v>128</v>
      </c>
      <c r="C764" s="115" t="s">
        <v>1689</v>
      </c>
      <c r="D764" s="115">
        <v>1</v>
      </c>
      <c r="E764" s="115" t="s">
        <v>1690</v>
      </c>
      <c r="F764" s="115" t="s">
        <v>1691</v>
      </c>
      <c r="G764" s="115" t="s">
        <v>1692</v>
      </c>
      <c r="H764" s="115" t="s">
        <v>1693</v>
      </c>
    </row>
    <row r="765" spans="1:8" ht="285" x14ac:dyDescent="0.25">
      <c r="A765" s="115">
        <v>7085</v>
      </c>
      <c r="B765" s="115" t="s">
        <v>128</v>
      </c>
      <c r="C765" s="115" t="s">
        <v>1694</v>
      </c>
      <c r="D765" s="115">
        <v>1</v>
      </c>
      <c r="E765" s="115" t="s">
        <v>1695</v>
      </c>
      <c r="F765" s="115" t="s">
        <v>1696</v>
      </c>
      <c r="G765" s="115" t="s">
        <v>1697</v>
      </c>
      <c r="H765" s="115" t="s">
        <v>1698</v>
      </c>
    </row>
    <row r="766" spans="1:8" ht="30" x14ac:dyDescent="0.25">
      <c r="A766" s="115">
        <v>7084</v>
      </c>
      <c r="B766" s="115" t="s">
        <v>128</v>
      </c>
      <c r="C766" s="115" t="s">
        <v>1699</v>
      </c>
      <c r="D766" s="115">
        <v>1</v>
      </c>
      <c r="E766" s="115" t="s">
        <v>1700</v>
      </c>
      <c r="F766" s="115" t="s">
        <v>1701</v>
      </c>
      <c r="G766" s="115" t="s">
        <v>1702</v>
      </c>
      <c r="H766" s="115" t="s">
        <v>1703</v>
      </c>
    </row>
    <row r="767" spans="1:8" ht="30" x14ac:dyDescent="0.25">
      <c r="A767" s="115">
        <v>7083</v>
      </c>
      <c r="B767" s="115" t="s">
        <v>128</v>
      </c>
      <c r="C767" s="115" t="s">
        <v>1704</v>
      </c>
      <c r="D767" s="115">
        <v>1</v>
      </c>
      <c r="E767" s="115" t="s">
        <v>1705</v>
      </c>
      <c r="F767" s="115" t="s">
        <v>1705</v>
      </c>
      <c r="G767" s="115" t="s">
        <v>1705</v>
      </c>
      <c r="H767" s="115" t="s">
        <v>1706</v>
      </c>
    </row>
    <row r="768" spans="1:8" ht="30" x14ac:dyDescent="0.25">
      <c r="A768" s="115">
        <v>7082</v>
      </c>
      <c r="B768" s="115" t="s">
        <v>128</v>
      </c>
      <c r="C768" s="115" t="s">
        <v>1707</v>
      </c>
      <c r="D768" s="115">
        <v>1</v>
      </c>
      <c r="E768" s="115" t="s">
        <v>1708</v>
      </c>
      <c r="F768" s="115" t="s">
        <v>1708</v>
      </c>
      <c r="G768" s="115" t="s">
        <v>1708</v>
      </c>
      <c r="H768" s="115" t="s">
        <v>1709</v>
      </c>
    </row>
    <row r="769" spans="1:8" ht="30" x14ac:dyDescent="0.25">
      <c r="A769" s="115">
        <v>7081</v>
      </c>
      <c r="B769" s="115" t="s">
        <v>128</v>
      </c>
      <c r="C769" s="115" t="s">
        <v>1710</v>
      </c>
      <c r="D769" s="115">
        <v>1</v>
      </c>
      <c r="E769" s="115" t="s">
        <v>1711</v>
      </c>
      <c r="F769" s="115" t="s">
        <v>1711</v>
      </c>
      <c r="G769" s="115" t="s">
        <v>1711</v>
      </c>
      <c r="H769" s="115" t="s">
        <v>1712</v>
      </c>
    </row>
    <row r="770" spans="1:8" ht="30" x14ac:dyDescent="0.25">
      <c r="A770" s="115">
        <v>7080</v>
      </c>
      <c r="B770" s="115" t="s">
        <v>128</v>
      </c>
      <c r="C770" s="115" t="s">
        <v>1713</v>
      </c>
      <c r="D770" s="115">
        <v>1</v>
      </c>
      <c r="E770" s="115" t="s">
        <v>1714</v>
      </c>
      <c r="F770" s="115" t="s">
        <v>1714</v>
      </c>
      <c r="G770" s="115" t="s">
        <v>1714</v>
      </c>
      <c r="H770" s="115" t="s">
        <v>1715</v>
      </c>
    </row>
    <row r="771" spans="1:8" ht="30" x14ac:dyDescent="0.25">
      <c r="A771" s="115">
        <v>7079</v>
      </c>
      <c r="B771" s="115" t="s">
        <v>128</v>
      </c>
      <c r="C771" s="115" t="s">
        <v>1716</v>
      </c>
      <c r="D771" s="115">
        <v>1</v>
      </c>
      <c r="E771" s="115" t="s">
        <v>1717</v>
      </c>
      <c r="F771" s="115" t="s">
        <v>1718</v>
      </c>
      <c r="G771" s="115" t="s">
        <v>1719</v>
      </c>
      <c r="H771" s="115" t="s">
        <v>1720</v>
      </c>
    </row>
    <row r="772" spans="1:8" x14ac:dyDescent="0.25">
      <c r="A772" s="115">
        <v>7078</v>
      </c>
      <c r="B772" s="115" t="s">
        <v>128</v>
      </c>
      <c r="C772" s="115" t="s">
        <v>1721</v>
      </c>
      <c r="D772" s="115">
        <v>1</v>
      </c>
      <c r="E772" s="115" t="s">
        <v>268</v>
      </c>
      <c r="F772" s="115" t="s">
        <v>1722</v>
      </c>
      <c r="G772" s="115" t="s">
        <v>1723</v>
      </c>
      <c r="H772" s="115" t="s">
        <v>1724</v>
      </c>
    </row>
    <row r="773" spans="1:8" x14ac:dyDescent="0.25">
      <c r="A773" s="115">
        <v>7077</v>
      </c>
      <c r="B773" s="115" t="s">
        <v>128</v>
      </c>
      <c r="C773" s="115" t="s">
        <v>1725</v>
      </c>
      <c r="D773" s="115">
        <v>1</v>
      </c>
      <c r="E773" s="115" t="s">
        <v>1726</v>
      </c>
      <c r="F773" s="115" t="s">
        <v>1726</v>
      </c>
      <c r="G773" s="115" t="s">
        <v>1726</v>
      </c>
      <c r="H773" s="115" t="s">
        <v>1727</v>
      </c>
    </row>
    <row r="774" spans="1:8" x14ac:dyDescent="0.25">
      <c r="A774" s="115">
        <v>7076</v>
      </c>
      <c r="B774" s="115" t="s">
        <v>128</v>
      </c>
      <c r="C774" s="115" t="s">
        <v>1728</v>
      </c>
      <c r="D774" s="115">
        <v>1</v>
      </c>
      <c r="E774" s="115" t="s">
        <v>1729</v>
      </c>
      <c r="F774" s="115" t="s">
        <v>1729</v>
      </c>
      <c r="G774" s="115" t="s">
        <v>1729</v>
      </c>
      <c r="H774" s="115" t="s">
        <v>40</v>
      </c>
    </row>
    <row r="775" spans="1:8" x14ac:dyDescent="0.25">
      <c r="A775" s="115">
        <v>7075</v>
      </c>
      <c r="B775" s="115" t="s">
        <v>128</v>
      </c>
      <c r="C775" s="115" t="s">
        <v>1730</v>
      </c>
      <c r="D775" s="115">
        <v>1</v>
      </c>
      <c r="E775" s="115" t="s">
        <v>1731</v>
      </c>
      <c r="F775" s="115" t="s">
        <v>1731</v>
      </c>
      <c r="G775" s="115" t="s">
        <v>1731</v>
      </c>
      <c r="H775" s="115" t="s">
        <v>1732</v>
      </c>
    </row>
    <row r="776" spans="1:8" x14ac:dyDescent="0.25">
      <c r="A776" s="115">
        <v>7074</v>
      </c>
      <c r="B776" s="115" t="s">
        <v>128</v>
      </c>
      <c r="C776" s="115" t="s">
        <v>1733</v>
      </c>
      <c r="D776" s="115">
        <v>1</v>
      </c>
      <c r="E776" s="115" t="s">
        <v>1734</v>
      </c>
      <c r="F776" s="115" t="s">
        <v>1734</v>
      </c>
      <c r="G776" s="115" t="s">
        <v>1734</v>
      </c>
      <c r="H776" s="115" t="s">
        <v>1735</v>
      </c>
    </row>
    <row r="777" spans="1:8" x14ac:dyDescent="0.25">
      <c r="A777" s="115">
        <v>7073</v>
      </c>
      <c r="B777" s="115" t="s">
        <v>128</v>
      </c>
      <c r="C777" s="115" t="s">
        <v>1736</v>
      </c>
      <c r="D777" s="115">
        <v>1</v>
      </c>
      <c r="E777" s="115" t="s">
        <v>1737</v>
      </c>
      <c r="F777" s="115" t="s">
        <v>1738</v>
      </c>
      <c r="G777" s="115" t="s">
        <v>469</v>
      </c>
      <c r="H777" s="115" t="s">
        <v>1739</v>
      </c>
    </row>
    <row r="778" spans="1:8" x14ac:dyDescent="0.25">
      <c r="A778" s="115">
        <v>7072</v>
      </c>
      <c r="B778" s="115" t="s">
        <v>128</v>
      </c>
      <c r="C778" s="115" t="s">
        <v>1740</v>
      </c>
      <c r="D778" s="115">
        <v>1</v>
      </c>
      <c r="E778" s="115" t="s">
        <v>1741</v>
      </c>
      <c r="F778" s="115" t="s">
        <v>1497</v>
      </c>
      <c r="G778" s="115" t="s">
        <v>1498</v>
      </c>
      <c r="H778" s="115" t="s">
        <v>1742</v>
      </c>
    </row>
    <row r="779" spans="1:8" x14ac:dyDescent="0.25">
      <c r="A779" s="115">
        <v>7071</v>
      </c>
      <c r="B779" s="115" t="s">
        <v>128</v>
      </c>
      <c r="C779" s="115" t="s">
        <v>1743</v>
      </c>
      <c r="D779" s="115">
        <v>1</v>
      </c>
      <c r="E779" s="115" t="s">
        <v>1744</v>
      </c>
      <c r="F779" s="115" t="s">
        <v>1745</v>
      </c>
      <c r="G779" s="115" t="s">
        <v>1502</v>
      </c>
      <c r="H779" s="115" t="s">
        <v>1744</v>
      </c>
    </row>
    <row r="780" spans="1:8" ht="30" x14ac:dyDescent="0.25">
      <c r="A780" s="115">
        <v>7070</v>
      </c>
      <c r="B780" s="115" t="s">
        <v>128</v>
      </c>
      <c r="C780" s="115" t="s">
        <v>1746</v>
      </c>
      <c r="D780" s="115">
        <v>1</v>
      </c>
    </row>
    <row r="781" spans="1:8" x14ac:dyDescent="0.25">
      <c r="A781" s="115">
        <v>7069</v>
      </c>
      <c r="B781" s="115" t="s">
        <v>128</v>
      </c>
      <c r="C781" s="115" t="s">
        <v>1747</v>
      </c>
      <c r="D781" s="115">
        <v>1</v>
      </c>
      <c r="E781" s="115" t="s">
        <v>1522</v>
      </c>
      <c r="F781" s="115" t="s">
        <v>1748</v>
      </c>
      <c r="G781" s="115" t="s">
        <v>1524</v>
      </c>
      <c r="H781" s="115" t="s">
        <v>1522</v>
      </c>
    </row>
    <row r="782" spans="1:8" ht="30" x14ac:dyDescent="0.25">
      <c r="A782" s="115">
        <v>7068</v>
      </c>
      <c r="B782" s="115" t="s">
        <v>128</v>
      </c>
      <c r="C782" s="115" t="s">
        <v>1749</v>
      </c>
      <c r="D782" s="115">
        <v>1</v>
      </c>
      <c r="E782" s="115" t="s">
        <v>1750</v>
      </c>
      <c r="F782" s="115" t="s">
        <v>1751</v>
      </c>
      <c r="G782" s="115" t="s">
        <v>1752</v>
      </c>
      <c r="H782" s="115" t="s">
        <v>1750</v>
      </c>
    </row>
    <row r="783" spans="1:8" ht="30" x14ac:dyDescent="0.25">
      <c r="A783" s="115">
        <v>7067</v>
      </c>
      <c r="B783" s="115" t="s">
        <v>128</v>
      </c>
      <c r="C783" s="115" t="s">
        <v>1753</v>
      </c>
      <c r="D783" s="115">
        <v>1</v>
      </c>
      <c r="E783" s="115" t="s">
        <v>1754</v>
      </c>
      <c r="F783" s="115" t="s">
        <v>1527</v>
      </c>
      <c r="G783" s="115" t="s">
        <v>1528</v>
      </c>
      <c r="H783" s="115" t="s">
        <v>1526</v>
      </c>
    </row>
    <row r="784" spans="1:8" ht="45" x14ac:dyDescent="0.25">
      <c r="A784" s="115">
        <v>7066</v>
      </c>
      <c r="B784" s="115" t="s">
        <v>128</v>
      </c>
      <c r="C784" s="115" t="s">
        <v>1755</v>
      </c>
      <c r="D784" s="115">
        <v>1</v>
      </c>
      <c r="E784" s="115" t="s">
        <v>1756</v>
      </c>
      <c r="F784" s="115" t="s">
        <v>1757</v>
      </c>
      <c r="G784" s="115" t="s">
        <v>1758</v>
      </c>
      <c r="H784" s="115" t="s">
        <v>1759</v>
      </c>
    </row>
    <row r="785" spans="1:8" ht="75" x14ac:dyDescent="0.25">
      <c r="A785" s="115">
        <v>7065</v>
      </c>
      <c r="B785" s="115" t="s">
        <v>128</v>
      </c>
      <c r="C785" s="115" t="s">
        <v>1760</v>
      </c>
      <c r="D785" s="115">
        <v>1</v>
      </c>
      <c r="E785" s="115" t="s">
        <v>1761</v>
      </c>
      <c r="F785" s="115" t="s">
        <v>1762</v>
      </c>
      <c r="G785" s="115" t="s">
        <v>1763</v>
      </c>
      <c r="H785" s="115" t="s">
        <v>1764</v>
      </c>
    </row>
    <row r="786" spans="1:8" x14ac:dyDescent="0.25">
      <c r="A786" s="115">
        <v>7064</v>
      </c>
      <c r="B786" s="115" t="s">
        <v>128</v>
      </c>
      <c r="C786" s="115" t="s">
        <v>1765</v>
      </c>
      <c r="D786" s="115">
        <v>1</v>
      </c>
      <c r="E786" s="115" t="s">
        <v>1766</v>
      </c>
      <c r="F786" s="115" t="s">
        <v>1766</v>
      </c>
      <c r="G786" s="115" t="s">
        <v>1766</v>
      </c>
      <c r="H786" s="115" t="s">
        <v>1766</v>
      </c>
    </row>
    <row r="787" spans="1:8" ht="210" x14ac:dyDescent="0.25">
      <c r="A787" s="115">
        <v>7063</v>
      </c>
      <c r="B787" s="115" t="s">
        <v>128</v>
      </c>
      <c r="C787" s="115" t="s">
        <v>1767</v>
      </c>
      <c r="D787" s="115">
        <v>1</v>
      </c>
      <c r="E787" s="115" t="s">
        <v>1768</v>
      </c>
      <c r="F787" s="115" t="s">
        <v>1769</v>
      </c>
      <c r="G787" s="115" t="s">
        <v>1770</v>
      </c>
      <c r="H787" s="115" t="s">
        <v>1771</v>
      </c>
    </row>
    <row r="788" spans="1:8" ht="30" x14ac:dyDescent="0.25">
      <c r="A788" s="115">
        <v>7062</v>
      </c>
      <c r="B788" s="115" t="s">
        <v>128</v>
      </c>
      <c r="C788" s="115" t="s">
        <v>1772</v>
      </c>
      <c r="D788" s="115">
        <v>1</v>
      </c>
      <c r="E788" s="115" t="s">
        <v>1773</v>
      </c>
      <c r="F788" s="115" t="s">
        <v>1774</v>
      </c>
      <c r="G788" s="115" t="s">
        <v>1775</v>
      </c>
      <c r="H788" s="115" t="s">
        <v>1776</v>
      </c>
    </row>
    <row r="789" spans="1:8" ht="30" x14ac:dyDescent="0.25">
      <c r="A789" s="115">
        <v>7061</v>
      </c>
      <c r="B789" s="115" t="s">
        <v>128</v>
      </c>
      <c r="C789" s="115" t="s">
        <v>1777</v>
      </c>
      <c r="D789" s="115">
        <v>1</v>
      </c>
      <c r="E789" s="115" t="s">
        <v>1778</v>
      </c>
      <c r="F789" s="115" t="s">
        <v>1779</v>
      </c>
      <c r="G789" s="115" t="s">
        <v>1780</v>
      </c>
      <c r="H789" s="115" t="s">
        <v>1781</v>
      </c>
    </row>
    <row r="790" spans="1:8" ht="90" x14ac:dyDescent="0.25">
      <c r="A790" s="115">
        <v>7060</v>
      </c>
      <c r="B790" s="115" t="s">
        <v>128</v>
      </c>
      <c r="C790" s="115" t="s">
        <v>1782</v>
      </c>
      <c r="D790" s="115">
        <v>1</v>
      </c>
      <c r="E790" s="115" t="s">
        <v>1783</v>
      </c>
      <c r="F790" s="115" t="s">
        <v>1784</v>
      </c>
      <c r="G790" s="115" t="s">
        <v>1785</v>
      </c>
      <c r="H790" s="115" t="s">
        <v>1783</v>
      </c>
    </row>
    <row r="791" spans="1:8" ht="30" x14ac:dyDescent="0.25">
      <c r="A791" s="115">
        <v>7059</v>
      </c>
      <c r="B791" s="115" t="s">
        <v>128</v>
      </c>
      <c r="C791" s="115" t="s">
        <v>1786</v>
      </c>
      <c r="D791" s="115">
        <v>1</v>
      </c>
      <c r="E791" s="115" t="s">
        <v>1787</v>
      </c>
      <c r="F791" s="115" t="s">
        <v>1788</v>
      </c>
      <c r="G791" s="115" t="s">
        <v>1789</v>
      </c>
      <c r="H791" s="115" t="s">
        <v>1787</v>
      </c>
    </row>
    <row r="792" spans="1:8" ht="30" x14ac:dyDescent="0.25">
      <c r="A792" s="115">
        <v>7058</v>
      </c>
      <c r="B792" s="115" t="s">
        <v>128</v>
      </c>
      <c r="C792" s="115" t="s">
        <v>1790</v>
      </c>
      <c r="D792" s="115">
        <v>1</v>
      </c>
      <c r="E792" s="115" t="s">
        <v>1791</v>
      </c>
      <c r="F792" s="115" t="s">
        <v>1792</v>
      </c>
      <c r="G792" s="115" t="s">
        <v>1793</v>
      </c>
      <c r="H792" s="115" t="s">
        <v>1791</v>
      </c>
    </row>
    <row r="793" spans="1:8" ht="30" x14ac:dyDescent="0.25">
      <c r="A793" s="115">
        <v>7057</v>
      </c>
      <c r="B793" s="115" t="s">
        <v>128</v>
      </c>
      <c r="C793" s="115" t="s">
        <v>1794</v>
      </c>
      <c r="D793" s="115">
        <v>1</v>
      </c>
      <c r="E793" s="115" t="s">
        <v>1795</v>
      </c>
      <c r="F793" s="115" t="s">
        <v>1796</v>
      </c>
      <c r="G793" s="115" t="s">
        <v>1797</v>
      </c>
      <c r="H793" s="115" t="s">
        <v>1795</v>
      </c>
    </row>
    <row r="794" spans="1:8" x14ac:dyDescent="0.25">
      <c r="A794" s="115">
        <v>7056</v>
      </c>
      <c r="B794" s="115" t="s">
        <v>128</v>
      </c>
      <c r="C794" s="115" t="s">
        <v>1798</v>
      </c>
      <c r="D794" s="115">
        <v>1</v>
      </c>
      <c r="E794" s="115" t="s">
        <v>1799</v>
      </c>
      <c r="F794" s="115" t="s">
        <v>1800</v>
      </c>
      <c r="G794" s="115" t="s">
        <v>1801</v>
      </c>
      <c r="H794" s="115" t="s">
        <v>1802</v>
      </c>
    </row>
    <row r="795" spans="1:8" ht="45" x14ac:dyDescent="0.25">
      <c r="A795" s="115">
        <v>7055</v>
      </c>
      <c r="B795" s="115" t="s">
        <v>128</v>
      </c>
      <c r="C795" s="115" t="s">
        <v>1803</v>
      </c>
      <c r="D795" s="115">
        <v>1</v>
      </c>
      <c r="E795" s="115" t="s">
        <v>1804</v>
      </c>
      <c r="F795" s="115" t="s">
        <v>1805</v>
      </c>
      <c r="G795" s="115" t="s">
        <v>1806</v>
      </c>
      <c r="H795" s="115" t="s">
        <v>1807</v>
      </c>
    </row>
    <row r="796" spans="1:8" x14ac:dyDescent="0.25">
      <c r="A796" s="115">
        <v>7054</v>
      </c>
      <c r="B796" s="115" t="s">
        <v>128</v>
      </c>
      <c r="C796" s="115" t="s">
        <v>1808</v>
      </c>
      <c r="D796" s="115">
        <v>1</v>
      </c>
      <c r="E796" s="115" t="s">
        <v>1809</v>
      </c>
      <c r="F796" s="115" t="s">
        <v>1809</v>
      </c>
      <c r="G796" s="115" t="s">
        <v>1809</v>
      </c>
      <c r="H796" s="115" t="s">
        <v>1809</v>
      </c>
    </row>
    <row r="797" spans="1:8" ht="30" x14ac:dyDescent="0.25">
      <c r="A797" s="115">
        <v>7053</v>
      </c>
      <c r="B797" s="115" t="s">
        <v>128</v>
      </c>
      <c r="C797" s="115" t="s">
        <v>1810</v>
      </c>
      <c r="D797" s="115">
        <v>1</v>
      </c>
      <c r="E797" s="115" t="s">
        <v>1811</v>
      </c>
      <c r="F797" s="115" t="s">
        <v>1812</v>
      </c>
      <c r="G797" s="115" t="s">
        <v>1813</v>
      </c>
      <c r="H797" s="115" t="s">
        <v>1814</v>
      </c>
    </row>
    <row r="798" spans="1:8" ht="150" x14ac:dyDescent="0.25">
      <c r="A798" s="115">
        <v>7052</v>
      </c>
      <c r="B798" s="115" t="s">
        <v>128</v>
      </c>
      <c r="C798" s="115" t="s">
        <v>1815</v>
      </c>
      <c r="D798" s="115">
        <v>1</v>
      </c>
      <c r="E798" s="115" t="s">
        <v>1816</v>
      </c>
      <c r="F798" s="115" t="s">
        <v>1817</v>
      </c>
      <c r="G798" s="115" t="s">
        <v>1818</v>
      </c>
      <c r="H798" s="115" t="s">
        <v>1819</v>
      </c>
    </row>
    <row r="799" spans="1:8" ht="30" x14ac:dyDescent="0.25">
      <c r="A799" s="115">
        <v>7051</v>
      </c>
      <c r="B799" s="115" t="s">
        <v>128</v>
      </c>
      <c r="C799" s="115" t="s">
        <v>1820</v>
      </c>
      <c r="D799" s="115">
        <v>1</v>
      </c>
      <c r="E799" s="115" t="s">
        <v>764</v>
      </c>
      <c r="F799" s="115" t="s">
        <v>765</v>
      </c>
      <c r="G799" s="115" t="s">
        <v>766</v>
      </c>
      <c r="H799" s="115" t="s">
        <v>764</v>
      </c>
    </row>
    <row r="800" spans="1:8" ht="30" x14ac:dyDescent="0.25">
      <c r="A800" s="115">
        <v>7050</v>
      </c>
      <c r="B800" s="115" t="s">
        <v>128</v>
      </c>
      <c r="C800" s="115" t="s">
        <v>1821</v>
      </c>
      <c r="D800" s="115">
        <v>1</v>
      </c>
      <c r="E800" s="115" t="s">
        <v>1822</v>
      </c>
      <c r="F800" s="115" t="s">
        <v>1823</v>
      </c>
      <c r="G800" s="115" t="s">
        <v>1824</v>
      </c>
      <c r="H800" s="115" t="s">
        <v>1825</v>
      </c>
    </row>
    <row r="801" spans="1:8" ht="30" x14ac:dyDescent="0.25">
      <c r="A801" s="115">
        <v>7049</v>
      </c>
      <c r="B801" s="115" t="s">
        <v>128</v>
      </c>
      <c r="C801" s="115" t="s">
        <v>1826</v>
      </c>
      <c r="D801" s="115">
        <v>1</v>
      </c>
      <c r="E801" s="115" t="s">
        <v>1827</v>
      </c>
      <c r="F801" s="115" t="s">
        <v>1828</v>
      </c>
      <c r="G801" s="115" t="s">
        <v>1829</v>
      </c>
      <c r="H801" s="115" t="s">
        <v>1830</v>
      </c>
    </row>
    <row r="802" spans="1:8" ht="30" x14ac:dyDescent="0.25">
      <c r="A802" s="115">
        <v>7048</v>
      </c>
      <c r="B802" s="115" t="s">
        <v>128</v>
      </c>
      <c r="C802" s="115" t="s">
        <v>1831</v>
      </c>
      <c r="D802" s="115">
        <v>1</v>
      </c>
      <c r="E802" s="115" t="s">
        <v>1832</v>
      </c>
      <c r="F802" s="115" t="s">
        <v>1833</v>
      </c>
      <c r="G802" s="115" t="s">
        <v>1834</v>
      </c>
      <c r="H802" s="115" t="s">
        <v>1835</v>
      </c>
    </row>
    <row r="803" spans="1:8" ht="30" x14ac:dyDescent="0.25">
      <c r="A803" s="115">
        <v>7047</v>
      </c>
      <c r="B803" s="115" t="s">
        <v>128</v>
      </c>
      <c r="C803" s="115" t="s">
        <v>1836</v>
      </c>
      <c r="D803" s="115">
        <v>1</v>
      </c>
      <c r="E803" s="115" t="s">
        <v>1837</v>
      </c>
      <c r="F803" s="115" t="s">
        <v>1838</v>
      </c>
      <c r="G803" s="115" t="s">
        <v>1839</v>
      </c>
      <c r="H803" s="115" t="s">
        <v>1840</v>
      </c>
    </row>
    <row r="804" spans="1:8" ht="30" x14ac:dyDescent="0.25">
      <c r="A804" s="115">
        <v>7046</v>
      </c>
      <c r="B804" s="115" t="s">
        <v>128</v>
      </c>
      <c r="C804" s="115" t="s">
        <v>1841</v>
      </c>
      <c r="D804" s="115">
        <v>1</v>
      </c>
      <c r="E804" s="115" t="s">
        <v>1842</v>
      </c>
      <c r="F804" s="115" t="s">
        <v>1843</v>
      </c>
      <c r="G804" s="115" t="s">
        <v>1844</v>
      </c>
      <c r="H804" s="115" t="s">
        <v>1845</v>
      </c>
    </row>
    <row r="805" spans="1:8" ht="30" x14ac:dyDescent="0.25">
      <c r="A805" s="115">
        <v>7045</v>
      </c>
      <c r="B805" s="115" t="s">
        <v>128</v>
      </c>
      <c r="C805" s="115" t="s">
        <v>1846</v>
      </c>
      <c r="D805" s="115">
        <v>1</v>
      </c>
      <c r="E805" s="115" t="s">
        <v>1847</v>
      </c>
      <c r="F805" s="115" t="s">
        <v>1848</v>
      </c>
      <c r="G805" s="115" t="s">
        <v>1849</v>
      </c>
      <c r="H805" s="115" t="s">
        <v>1850</v>
      </c>
    </row>
    <row r="806" spans="1:8" ht="45" x14ac:dyDescent="0.25">
      <c r="A806" s="115">
        <v>7044</v>
      </c>
      <c r="B806" s="115" t="s">
        <v>128</v>
      </c>
      <c r="C806" s="115" t="s">
        <v>1851</v>
      </c>
      <c r="D806" s="115">
        <v>1</v>
      </c>
      <c r="E806" s="115" t="s">
        <v>1852</v>
      </c>
      <c r="F806" s="115" t="s">
        <v>1853</v>
      </c>
      <c r="G806" s="115" t="s">
        <v>1854</v>
      </c>
      <c r="H806" s="115" t="s">
        <v>1855</v>
      </c>
    </row>
    <row r="807" spans="1:8" ht="30" x14ac:dyDescent="0.25">
      <c r="A807" s="115">
        <v>7043</v>
      </c>
      <c r="B807" s="115" t="s">
        <v>128</v>
      </c>
      <c r="C807" s="115" t="s">
        <v>1856</v>
      </c>
      <c r="D807" s="115">
        <v>1</v>
      </c>
      <c r="E807" s="115" t="s">
        <v>1857</v>
      </c>
      <c r="F807" s="115" t="s">
        <v>1858</v>
      </c>
      <c r="G807" s="115" t="s">
        <v>1859</v>
      </c>
      <c r="H807" s="115" t="s">
        <v>1860</v>
      </c>
    </row>
    <row r="808" spans="1:8" ht="30" x14ac:dyDescent="0.25">
      <c r="A808" s="115">
        <v>7042</v>
      </c>
      <c r="B808" s="115" t="s">
        <v>128</v>
      </c>
      <c r="C808" s="115" t="s">
        <v>1861</v>
      </c>
      <c r="D808" s="115">
        <v>1</v>
      </c>
      <c r="E808" s="115" t="s">
        <v>1862</v>
      </c>
      <c r="F808" s="115" t="s">
        <v>1863</v>
      </c>
      <c r="G808" s="115" t="s">
        <v>1864</v>
      </c>
      <c r="H808" s="115" t="s">
        <v>1865</v>
      </c>
    </row>
    <row r="809" spans="1:8" ht="45" x14ac:dyDescent="0.25">
      <c r="A809" s="115">
        <v>7041</v>
      </c>
      <c r="B809" s="115" t="s">
        <v>128</v>
      </c>
      <c r="C809" s="115" t="s">
        <v>1866</v>
      </c>
      <c r="D809" s="115">
        <v>1</v>
      </c>
      <c r="E809" s="115" t="s">
        <v>1867</v>
      </c>
      <c r="F809" s="115" t="s">
        <v>1868</v>
      </c>
      <c r="G809" s="115" t="s">
        <v>1869</v>
      </c>
      <c r="H809" s="115" t="s">
        <v>1870</v>
      </c>
    </row>
    <row r="810" spans="1:8" ht="30" x14ac:dyDescent="0.25">
      <c r="A810" s="115">
        <v>7040</v>
      </c>
      <c r="B810" s="115" t="s">
        <v>128</v>
      </c>
      <c r="C810" s="115" t="s">
        <v>1871</v>
      </c>
      <c r="D810" s="115">
        <v>1</v>
      </c>
      <c r="E810" s="115" t="s">
        <v>1872</v>
      </c>
      <c r="F810" s="115" t="s">
        <v>1873</v>
      </c>
      <c r="G810" s="115" t="s">
        <v>1874</v>
      </c>
      <c r="H810" s="115" t="s">
        <v>1875</v>
      </c>
    </row>
    <row r="811" spans="1:8" ht="45" x14ac:dyDescent="0.25">
      <c r="A811" s="115">
        <v>7039</v>
      </c>
      <c r="B811" s="115" t="s">
        <v>128</v>
      </c>
      <c r="C811" s="115" t="s">
        <v>1876</v>
      </c>
      <c r="D811" s="115">
        <v>1</v>
      </c>
      <c r="E811" s="115" t="s">
        <v>1877</v>
      </c>
      <c r="F811" s="115" t="s">
        <v>1878</v>
      </c>
      <c r="G811" s="115" t="s">
        <v>1879</v>
      </c>
      <c r="H811" s="115" t="s">
        <v>1880</v>
      </c>
    </row>
    <row r="812" spans="1:8" ht="150" x14ac:dyDescent="0.25">
      <c r="A812" s="115">
        <v>7038</v>
      </c>
      <c r="B812" s="115" t="s">
        <v>128</v>
      </c>
      <c r="C812" s="115" t="s">
        <v>1881</v>
      </c>
      <c r="D812" s="115">
        <v>1</v>
      </c>
      <c r="E812" s="115" t="s">
        <v>1882</v>
      </c>
      <c r="F812" s="115" t="s">
        <v>1883</v>
      </c>
      <c r="G812" s="115" t="s">
        <v>1884</v>
      </c>
      <c r="H812" s="115" t="s">
        <v>1885</v>
      </c>
    </row>
    <row r="813" spans="1:8" ht="195" x14ac:dyDescent="0.25">
      <c r="A813" s="115">
        <v>7037</v>
      </c>
      <c r="B813" s="115" t="s">
        <v>128</v>
      </c>
      <c r="C813" s="115" t="s">
        <v>1886</v>
      </c>
      <c r="D813" s="115">
        <v>1</v>
      </c>
      <c r="E813" s="115" t="s">
        <v>1887</v>
      </c>
      <c r="F813" s="115" t="s">
        <v>1888</v>
      </c>
      <c r="G813" s="115" t="s">
        <v>1889</v>
      </c>
      <c r="H813" s="115" t="s">
        <v>1890</v>
      </c>
    </row>
    <row r="814" spans="1:8" ht="390" x14ac:dyDescent="0.25">
      <c r="A814" s="115">
        <v>7036</v>
      </c>
      <c r="B814" s="115" t="s">
        <v>128</v>
      </c>
      <c r="C814" s="115" t="s">
        <v>1891</v>
      </c>
      <c r="D814" s="115">
        <v>1</v>
      </c>
      <c r="E814" s="115" t="s">
        <v>1892</v>
      </c>
      <c r="F814" s="115" t="s">
        <v>1893</v>
      </c>
      <c r="G814" s="115" t="s">
        <v>1894</v>
      </c>
      <c r="H814" s="115" t="s">
        <v>1895</v>
      </c>
    </row>
    <row r="815" spans="1:8" ht="165" x14ac:dyDescent="0.25">
      <c r="A815" s="115">
        <v>7035</v>
      </c>
      <c r="B815" s="115" t="s">
        <v>128</v>
      </c>
      <c r="C815" s="115" t="s">
        <v>1896</v>
      </c>
      <c r="D815" s="115">
        <v>1</v>
      </c>
      <c r="E815" s="115" t="s">
        <v>1897</v>
      </c>
      <c r="F815" s="115" t="s">
        <v>1898</v>
      </c>
      <c r="G815" s="115" t="s">
        <v>1899</v>
      </c>
      <c r="H815" s="115" t="s">
        <v>1900</v>
      </c>
    </row>
    <row r="816" spans="1:8" ht="225" x14ac:dyDescent="0.25">
      <c r="A816" s="115">
        <v>7034</v>
      </c>
      <c r="B816" s="115" t="s">
        <v>128</v>
      </c>
      <c r="C816" s="115" t="s">
        <v>1901</v>
      </c>
      <c r="D816" s="115">
        <v>1</v>
      </c>
      <c r="E816" s="115" t="s">
        <v>1902</v>
      </c>
      <c r="F816" s="115" t="s">
        <v>1903</v>
      </c>
      <c r="G816" s="115" t="s">
        <v>1904</v>
      </c>
      <c r="H816" s="115" t="s">
        <v>1905</v>
      </c>
    </row>
    <row r="817" spans="1:8" ht="240" x14ac:dyDescent="0.25">
      <c r="A817" s="115">
        <v>7033</v>
      </c>
      <c r="B817" s="115" t="s">
        <v>128</v>
      </c>
      <c r="C817" s="115" t="s">
        <v>1906</v>
      </c>
      <c r="D817" s="115">
        <v>1</v>
      </c>
      <c r="E817" s="115" t="s">
        <v>1907</v>
      </c>
      <c r="F817" s="115" t="s">
        <v>1908</v>
      </c>
      <c r="G817" s="115" t="s">
        <v>1909</v>
      </c>
      <c r="H817" s="115" t="s">
        <v>1910</v>
      </c>
    </row>
    <row r="818" spans="1:8" ht="30" x14ac:dyDescent="0.25">
      <c r="A818" s="115">
        <v>7032</v>
      </c>
      <c r="B818" s="115" t="s">
        <v>128</v>
      </c>
      <c r="C818" s="115" t="s">
        <v>1911</v>
      </c>
      <c r="D818" s="115">
        <v>1</v>
      </c>
      <c r="E818" s="115" t="s">
        <v>1912</v>
      </c>
      <c r="F818" s="115" t="s">
        <v>1913</v>
      </c>
      <c r="G818" s="115" t="s">
        <v>1914</v>
      </c>
      <c r="H818" s="115" t="s">
        <v>1915</v>
      </c>
    </row>
    <row r="819" spans="1:8" ht="195" x14ac:dyDescent="0.25">
      <c r="A819" s="115">
        <v>7031</v>
      </c>
      <c r="B819" s="115" t="s">
        <v>128</v>
      </c>
      <c r="C819" s="115" t="s">
        <v>1916</v>
      </c>
      <c r="D819" s="115">
        <v>1</v>
      </c>
      <c r="E819" s="115" t="s">
        <v>1917</v>
      </c>
      <c r="F819" s="115" t="s">
        <v>1918</v>
      </c>
      <c r="G819" s="115" t="s">
        <v>1919</v>
      </c>
      <c r="H819" s="115" t="s">
        <v>1920</v>
      </c>
    </row>
    <row r="820" spans="1:8" ht="285" x14ac:dyDescent="0.25">
      <c r="A820" s="115">
        <v>7030</v>
      </c>
      <c r="B820" s="115" t="s">
        <v>128</v>
      </c>
      <c r="C820" s="115" t="s">
        <v>1921</v>
      </c>
      <c r="D820" s="115">
        <v>1</v>
      </c>
      <c r="E820" s="115" t="s">
        <v>1922</v>
      </c>
      <c r="F820" s="115" t="s">
        <v>1923</v>
      </c>
      <c r="G820" s="115" t="s">
        <v>1924</v>
      </c>
      <c r="H820" s="115" t="s">
        <v>1925</v>
      </c>
    </row>
    <row r="821" spans="1:8" ht="240" x14ac:dyDescent="0.25">
      <c r="A821" s="115">
        <v>7029</v>
      </c>
      <c r="B821" s="115" t="s">
        <v>128</v>
      </c>
      <c r="C821" s="115" t="s">
        <v>1926</v>
      </c>
      <c r="D821" s="115">
        <v>1</v>
      </c>
      <c r="E821" s="115" t="s">
        <v>1927</v>
      </c>
      <c r="F821" s="115" t="s">
        <v>1928</v>
      </c>
      <c r="G821" s="115" t="s">
        <v>1929</v>
      </c>
      <c r="H821" s="115" t="s">
        <v>1930</v>
      </c>
    </row>
    <row r="822" spans="1:8" ht="165" x14ac:dyDescent="0.25">
      <c r="A822" s="115">
        <v>7028</v>
      </c>
      <c r="B822" s="115" t="s">
        <v>128</v>
      </c>
      <c r="C822" s="115" t="s">
        <v>1931</v>
      </c>
      <c r="D822" s="115">
        <v>1</v>
      </c>
      <c r="E822" s="115" t="s">
        <v>1932</v>
      </c>
      <c r="F822" s="115" t="s">
        <v>1933</v>
      </c>
      <c r="G822" s="115" t="s">
        <v>1934</v>
      </c>
      <c r="H822" s="115" t="s">
        <v>1935</v>
      </c>
    </row>
    <row r="823" spans="1:8" ht="30" x14ac:dyDescent="0.25">
      <c r="A823" s="115">
        <v>7027</v>
      </c>
      <c r="B823" s="115" t="s">
        <v>128</v>
      </c>
      <c r="C823" s="115" t="s">
        <v>1936</v>
      </c>
      <c r="D823" s="115">
        <v>1</v>
      </c>
      <c r="E823" s="115" t="s">
        <v>1937</v>
      </c>
      <c r="F823" s="115" t="s">
        <v>1938</v>
      </c>
      <c r="G823" s="115" t="s">
        <v>1939</v>
      </c>
      <c r="H823" s="115" t="s">
        <v>1940</v>
      </c>
    </row>
    <row r="824" spans="1:8" ht="30" x14ac:dyDescent="0.25">
      <c r="A824" s="115">
        <v>7026</v>
      </c>
      <c r="B824" s="115" t="s">
        <v>128</v>
      </c>
      <c r="C824" s="115" t="s">
        <v>1941</v>
      </c>
      <c r="D824" s="115">
        <v>1</v>
      </c>
      <c r="E824" s="115" t="s">
        <v>1942</v>
      </c>
      <c r="F824" s="115" t="s">
        <v>1942</v>
      </c>
      <c r="G824" s="115" t="s">
        <v>1942</v>
      </c>
      <c r="H824" s="115" t="s">
        <v>1942</v>
      </c>
    </row>
    <row r="825" spans="1:8" ht="30" x14ac:dyDescent="0.25">
      <c r="A825" s="115">
        <v>7025</v>
      </c>
      <c r="B825" s="115" t="s">
        <v>128</v>
      </c>
      <c r="C825" s="115" t="s">
        <v>1943</v>
      </c>
      <c r="D825" s="115">
        <v>1</v>
      </c>
      <c r="E825" s="115" t="s">
        <v>1944</v>
      </c>
      <c r="F825" s="115" t="s">
        <v>1945</v>
      </c>
      <c r="G825" s="115" t="s">
        <v>1946</v>
      </c>
      <c r="H825" s="115" t="s">
        <v>1947</v>
      </c>
    </row>
    <row r="826" spans="1:8" ht="315" x14ac:dyDescent="0.25">
      <c r="A826" s="115">
        <v>7024</v>
      </c>
      <c r="B826" s="115" t="s">
        <v>128</v>
      </c>
      <c r="C826" s="115" t="s">
        <v>1948</v>
      </c>
      <c r="D826" s="115">
        <v>1</v>
      </c>
      <c r="E826" s="115" t="s">
        <v>1949</v>
      </c>
      <c r="F826" s="115" t="s">
        <v>1950</v>
      </c>
      <c r="G826" s="115" t="s">
        <v>1951</v>
      </c>
      <c r="H826" s="115" t="s">
        <v>1952</v>
      </c>
    </row>
    <row r="827" spans="1:8" ht="165" x14ac:dyDescent="0.25">
      <c r="A827" s="115">
        <v>7023</v>
      </c>
      <c r="B827" s="115" t="s">
        <v>128</v>
      </c>
      <c r="C827" s="115" t="s">
        <v>1953</v>
      </c>
      <c r="D827" s="115">
        <v>1</v>
      </c>
      <c r="E827" s="115" t="s">
        <v>1954</v>
      </c>
      <c r="F827" s="115" t="s">
        <v>1955</v>
      </c>
      <c r="G827" s="115" t="s">
        <v>1956</v>
      </c>
      <c r="H827" s="115" t="s">
        <v>1957</v>
      </c>
    </row>
    <row r="828" spans="1:8" ht="135" x14ac:dyDescent="0.25">
      <c r="A828" s="115">
        <v>7022</v>
      </c>
      <c r="B828" s="115" t="s">
        <v>128</v>
      </c>
      <c r="C828" s="115" t="s">
        <v>1958</v>
      </c>
      <c r="D828" s="115">
        <v>1</v>
      </c>
      <c r="E828" s="115" t="s">
        <v>1959</v>
      </c>
      <c r="F828" s="115" t="s">
        <v>1960</v>
      </c>
      <c r="G828" s="115" t="s">
        <v>1961</v>
      </c>
      <c r="H828" s="115" t="s">
        <v>1962</v>
      </c>
    </row>
    <row r="829" spans="1:8" ht="195" x14ac:dyDescent="0.25">
      <c r="A829" s="115">
        <v>7021</v>
      </c>
      <c r="B829" s="115" t="s">
        <v>128</v>
      </c>
      <c r="C829" s="115" t="s">
        <v>1963</v>
      </c>
      <c r="D829" s="115">
        <v>1</v>
      </c>
      <c r="E829" s="115" t="s">
        <v>1964</v>
      </c>
      <c r="F829" s="115" t="s">
        <v>1965</v>
      </c>
      <c r="G829" s="115" t="s">
        <v>1966</v>
      </c>
      <c r="H829" s="115" t="s">
        <v>1967</v>
      </c>
    </row>
    <row r="830" spans="1:8" ht="255" x14ac:dyDescent="0.25">
      <c r="A830" s="115">
        <v>7020</v>
      </c>
      <c r="B830" s="115" t="s">
        <v>128</v>
      </c>
      <c r="C830" s="115" t="s">
        <v>1968</v>
      </c>
      <c r="D830" s="115">
        <v>1</v>
      </c>
      <c r="E830" s="115" t="s">
        <v>1969</v>
      </c>
      <c r="F830" s="115" t="s">
        <v>1970</v>
      </c>
      <c r="G830" s="115" t="s">
        <v>1971</v>
      </c>
      <c r="H830" s="115" t="s">
        <v>1972</v>
      </c>
    </row>
    <row r="831" spans="1:8" ht="225" x14ac:dyDescent="0.25">
      <c r="A831" s="115">
        <v>7019</v>
      </c>
      <c r="B831" s="115" t="s">
        <v>128</v>
      </c>
      <c r="C831" s="115" t="s">
        <v>1973</v>
      </c>
      <c r="D831" s="115">
        <v>1</v>
      </c>
      <c r="E831" s="115" t="s">
        <v>1974</v>
      </c>
      <c r="F831" s="115" t="s">
        <v>1975</v>
      </c>
      <c r="G831" s="115" t="s">
        <v>1976</v>
      </c>
      <c r="H831" s="115" t="s">
        <v>1977</v>
      </c>
    </row>
    <row r="832" spans="1:8" ht="270" x14ac:dyDescent="0.25">
      <c r="A832" s="115">
        <v>7018</v>
      </c>
      <c r="B832" s="115" t="s">
        <v>128</v>
      </c>
      <c r="C832" s="115" t="s">
        <v>1978</v>
      </c>
      <c r="D832" s="115">
        <v>1</v>
      </c>
      <c r="E832" s="115" t="s">
        <v>1979</v>
      </c>
      <c r="F832" s="115" t="s">
        <v>1980</v>
      </c>
      <c r="G832" s="115" t="s">
        <v>1981</v>
      </c>
      <c r="H832" s="115" t="s">
        <v>1982</v>
      </c>
    </row>
    <row r="833" spans="1:8" ht="30" x14ac:dyDescent="0.25">
      <c r="A833" s="115">
        <v>7017</v>
      </c>
      <c r="B833" s="115" t="s">
        <v>128</v>
      </c>
      <c r="C833" s="115" t="s">
        <v>1983</v>
      </c>
      <c r="D833" s="115">
        <v>1</v>
      </c>
      <c r="E833" s="115" t="s">
        <v>1984</v>
      </c>
      <c r="F833" s="115" t="s">
        <v>1985</v>
      </c>
      <c r="G833" s="115" t="s">
        <v>1986</v>
      </c>
      <c r="H833" s="115" t="s">
        <v>1987</v>
      </c>
    </row>
    <row r="834" spans="1:8" ht="30" x14ac:dyDescent="0.25">
      <c r="A834" s="115">
        <v>7016</v>
      </c>
      <c r="B834" s="115" t="s">
        <v>128</v>
      </c>
      <c r="C834" s="115" t="s">
        <v>1988</v>
      </c>
      <c r="D834" s="115">
        <v>1</v>
      </c>
      <c r="E834" s="115" t="s">
        <v>1942</v>
      </c>
      <c r="F834" s="115" t="s">
        <v>1942</v>
      </c>
      <c r="G834" s="115" t="s">
        <v>1942</v>
      </c>
      <c r="H834" s="115" t="s">
        <v>1942</v>
      </c>
    </row>
    <row r="835" spans="1:8" ht="30" x14ac:dyDescent="0.25">
      <c r="A835" s="115">
        <v>7015</v>
      </c>
      <c r="B835" s="115" t="s">
        <v>128</v>
      </c>
      <c r="C835" s="115" t="s">
        <v>1989</v>
      </c>
      <c r="D835" s="115">
        <v>1</v>
      </c>
      <c r="E835" s="115" t="s">
        <v>1990</v>
      </c>
      <c r="F835" s="115" t="s">
        <v>1991</v>
      </c>
      <c r="G835" s="115" t="s">
        <v>1992</v>
      </c>
      <c r="H835" s="115" t="s">
        <v>1993</v>
      </c>
    </row>
    <row r="836" spans="1:8" ht="195" x14ac:dyDescent="0.25">
      <c r="A836" s="115">
        <v>7014</v>
      </c>
      <c r="B836" s="115" t="s">
        <v>128</v>
      </c>
      <c r="C836" s="115" t="s">
        <v>1994</v>
      </c>
      <c r="D836" s="115">
        <v>1</v>
      </c>
      <c r="E836" s="115" t="s">
        <v>1995</v>
      </c>
      <c r="F836" s="115" t="s">
        <v>1996</v>
      </c>
      <c r="G836" s="115" t="s">
        <v>1997</v>
      </c>
      <c r="H836" s="115" t="s">
        <v>1998</v>
      </c>
    </row>
    <row r="837" spans="1:8" ht="270" x14ac:dyDescent="0.25">
      <c r="A837" s="115">
        <v>7013</v>
      </c>
      <c r="B837" s="115" t="s">
        <v>128</v>
      </c>
      <c r="C837" s="115" t="s">
        <v>1999</v>
      </c>
      <c r="D837" s="115">
        <v>1</v>
      </c>
      <c r="E837" s="115" t="s">
        <v>2000</v>
      </c>
      <c r="F837" s="115" t="s">
        <v>2001</v>
      </c>
      <c r="G837" s="115" t="s">
        <v>2002</v>
      </c>
      <c r="H837" s="115" t="s">
        <v>2003</v>
      </c>
    </row>
    <row r="838" spans="1:8" ht="270" x14ac:dyDescent="0.25">
      <c r="A838" s="115">
        <v>7012</v>
      </c>
      <c r="B838" s="115" t="s">
        <v>128</v>
      </c>
      <c r="C838" s="115" t="s">
        <v>2004</v>
      </c>
      <c r="D838" s="115">
        <v>1</v>
      </c>
      <c r="E838" s="115" t="s">
        <v>2005</v>
      </c>
      <c r="F838" s="115" t="s">
        <v>2006</v>
      </c>
      <c r="G838" s="115" t="s">
        <v>2007</v>
      </c>
      <c r="H838" s="115" t="s">
        <v>2008</v>
      </c>
    </row>
    <row r="839" spans="1:8" ht="315" x14ac:dyDescent="0.25">
      <c r="A839" s="115">
        <v>7011</v>
      </c>
      <c r="B839" s="115" t="s">
        <v>128</v>
      </c>
      <c r="C839" s="115" t="s">
        <v>2009</v>
      </c>
      <c r="D839" s="115">
        <v>1</v>
      </c>
      <c r="E839" s="115" t="s">
        <v>2010</v>
      </c>
      <c r="F839" s="115" t="s">
        <v>2011</v>
      </c>
      <c r="G839" s="115" t="s">
        <v>2012</v>
      </c>
      <c r="H839" s="115" t="s">
        <v>2013</v>
      </c>
    </row>
    <row r="840" spans="1:8" ht="195" x14ac:dyDescent="0.25">
      <c r="A840" s="115">
        <v>7010</v>
      </c>
      <c r="B840" s="115" t="s">
        <v>128</v>
      </c>
      <c r="C840" s="115" t="s">
        <v>2014</v>
      </c>
      <c r="D840" s="115">
        <v>1</v>
      </c>
      <c r="E840" s="115" t="s">
        <v>2015</v>
      </c>
      <c r="F840" s="115" t="s">
        <v>2016</v>
      </c>
      <c r="G840" s="115" t="s">
        <v>2017</v>
      </c>
      <c r="H840" s="115" t="s">
        <v>2018</v>
      </c>
    </row>
    <row r="841" spans="1:8" ht="180" x14ac:dyDescent="0.25">
      <c r="A841" s="115">
        <v>7009</v>
      </c>
      <c r="B841" s="115" t="s">
        <v>128</v>
      </c>
      <c r="C841" s="115" t="s">
        <v>2019</v>
      </c>
      <c r="D841" s="115">
        <v>1</v>
      </c>
      <c r="E841" s="115" t="s">
        <v>2020</v>
      </c>
      <c r="F841" s="115" t="s">
        <v>2021</v>
      </c>
      <c r="G841" s="115" t="s">
        <v>2022</v>
      </c>
      <c r="H841" s="115" t="s">
        <v>2023</v>
      </c>
    </row>
    <row r="842" spans="1:8" ht="150" x14ac:dyDescent="0.25">
      <c r="A842" s="115">
        <v>7008</v>
      </c>
      <c r="B842" s="115" t="s">
        <v>128</v>
      </c>
      <c r="C842" s="115" t="s">
        <v>2024</v>
      </c>
      <c r="D842" s="115">
        <v>1</v>
      </c>
      <c r="E842" s="115" t="s">
        <v>2025</v>
      </c>
      <c r="F842" s="115" t="s">
        <v>2026</v>
      </c>
      <c r="G842" s="115" t="s">
        <v>2027</v>
      </c>
      <c r="H842" s="115" t="s">
        <v>2028</v>
      </c>
    </row>
    <row r="843" spans="1:8" ht="30" x14ac:dyDescent="0.25">
      <c r="A843" s="115">
        <v>7007</v>
      </c>
      <c r="B843" s="115" t="s">
        <v>128</v>
      </c>
      <c r="C843" s="115" t="s">
        <v>2029</v>
      </c>
      <c r="D843" s="115">
        <v>1</v>
      </c>
      <c r="E843" s="115" t="s">
        <v>764</v>
      </c>
      <c r="F843" s="115" t="s">
        <v>765</v>
      </c>
      <c r="G843" s="115" t="s">
        <v>766</v>
      </c>
      <c r="H843" s="115" t="s">
        <v>764</v>
      </c>
    </row>
    <row r="844" spans="1:8" ht="30" x14ac:dyDescent="0.25">
      <c r="A844" s="115">
        <v>7006</v>
      </c>
      <c r="B844" s="115" t="s">
        <v>128</v>
      </c>
      <c r="C844" s="115" t="s">
        <v>2030</v>
      </c>
      <c r="D844" s="115">
        <v>1</v>
      </c>
      <c r="E844" s="115" t="s">
        <v>1984</v>
      </c>
      <c r="F844" s="115" t="s">
        <v>1985</v>
      </c>
      <c r="G844" s="115" t="s">
        <v>1986</v>
      </c>
      <c r="H844" s="115" t="s">
        <v>1987</v>
      </c>
    </row>
    <row r="845" spans="1:8" ht="30" x14ac:dyDescent="0.25">
      <c r="A845" s="115">
        <v>7005</v>
      </c>
      <c r="B845" s="115" t="s">
        <v>128</v>
      </c>
      <c r="C845" s="115" t="s">
        <v>2031</v>
      </c>
      <c r="D845" s="115">
        <v>1</v>
      </c>
      <c r="E845" s="115" t="s">
        <v>2032</v>
      </c>
      <c r="F845" s="115" t="s">
        <v>2033</v>
      </c>
      <c r="G845" s="115" t="s">
        <v>2034</v>
      </c>
      <c r="H845" s="115" t="s">
        <v>2035</v>
      </c>
    </row>
    <row r="846" spans="1:8" ht="30" x14ac:dyDescent="0.25">
      <c r="A846" s="115">
        <v>7004</v>
      </c>
      <c r="B846" s="115" t="s">
        <v>128</v>
      </c>
      <c r="C846" s="115" t="s">
        <v>2036</v>
      </c>
      <c r="D846" s="115">
        <v>1</v>
      </c>
      <c r="E846" s="115" t="s">
        <v>768</v>
      </c>
      <c r="F846" s="115" t="s">
        <v>1603</v>
      </c>
      <c r="G846" s="115" t="s">
        <v>770</v>
      </c>
      <c r="H846" s="115" t="s">
        <v>2037</v>
      </c>
    </row>
    <row r="847" spans="1:8" ht="30" x14ac:dyDescent="0.25">
      <c r="A847" s="115">
        <v>7003</v>
      </c>
      <c r="B847" s="115" t="s">
        <v>128</v>
      </c>
      <c r="C847" s="115" t="s">
        <v>2038</v>
      </c>
      <c r="D847" s="115">
        <v>1</v>
      </c>
      <c r="E847" s="115">
        <v>21</v>
      </c>
      <c r="F847" s="115">
        <v>21</v>
      </c>
      <c r="G847" s="115">
        <v>21</v>
      </c>
      <c r="H847" s="115">
        <v>21</v>
      </c>
    </row>
    <row r="848" spans="1:8" ht="30" x14ac:dyDescent="0.25">
      <c r="A848" s="115">
        <v>7002</v>
      </c>
      <c r="B848" s="115" t="s">
        <v>128</v>
      </c>
      <c r="C848" s="115" t="s">
        <v>2039</v>
      </c>
      <c r="D848" s="115">
        <v>1</v>
      </c>
      <c r="E848" s="115" t="s">
        <v>2040</v>
      </c>
      <c r="F848" s="115" t="s">
        <v>2040</v>
      </c>
      <c r="G848" s="115" t="s">
        <v>2040</v>
      </c>
      <c r="H848" s="115" t="s">
        <v>2040</v>
      </c>
    </row>
    <row r="849" spans="1:8" ht="30" x14ac:dyDescent="0.25">
      <c r="A849" s="115">
        <v>7001</v>
      </c>
      <c r="B849" s="115" t="s">
        <v>128</v>
      </c>
      <c r="C849" s="115" t="s">
        <v>2041</v>
      </c>
      <c r="D849" s="115">
        <v>1</v>
      </c>
      <c r="E849" s="115" t="s">
        <v>2042</v>
      </c>
      <c r="F849" s="115" t="s">
        <v>2043</v>
      </c>
      <c r="G849" s="115" t="s">
        <v>2044</v>
      </c>
      <c r="H849" s="115" t="s">
        <v>2045</v>
      </c>
    </row>
    <row r="850" spans="1:8" ht="30" x14ac:dyDescent="0.25">
      <c r="A850" s="115">
        <v>7000</v>
      </c>
      <c r="B850" s="115" t="s">
        <v>128</v>
      </c>
      <c r="C850" s="115" t="s">
        <v>2046</v>
      </c>
      <c r="D850" s="115">
        <v>1</v>
      </c>
      <c r="E850" s="115" t="s">
        <v>768</v>
      </c>
      <c r="F850" s="115" t="s">
        <v>1603</v>
      </c>
      <c r="G850" s="115" t="s">
        <v>770</v>
      </c>
      <c r="H850" s="115" t="s">
        <v>768</v>
      </c>
    </row>
    <row r="851" spans="1:8" ht="30" x14ac:dyDescent="0.25">
      <c r="A851" s="115">
        <v>6999</v>
      </c>
      <c r="B851" s="115" t="s">
        <v>128</v>
      </c>
      <c r="C851" s="115" t="s">
        <v>2047</v>
      </c>
      <c r="D851" s="115">
        <v>1</v>
      </c>
      <c r="E851" s="115">
        <v>28</v>
      </c>
      <c r="F851" s="115">
        <v>28</v>
      </c>
      <c r="G851" s="115">
        <v>28</v>
      </c>
      <c r="H851" s="115">
        <v>28</v>
      </c>
    </row>
    <row r="852" spans="1:8" ht="30" x14ac:dyDescent="0.25">
      <c r="A852" s="115">
        <v>6998</v>
      </c>
      <c r="B852" s="115" t="s">
        <v>128</v>
      </c>
      <c r="C852" s="115" t="s">
        <v>2048</v>
      </c>
      <c r="D852" s="115">
        <v>1</v>
      </c>
      <c r="E852" s="115" t="s">
        <v>2049</v>
      </c>
      <c r="F852" s="115" t="s">
        <v>2049</v>
      </c>
      <c r="G852" s="115" t="s">
        <v>2049</v>
      </c>
      <c r="H852" s="115" t="s">
        <v>2049</v>
      </c>
    </row>
    <row r="853" spans="1:8" ht="30" x14ac:dyDescent="0.25">
      <c r="A853" s="115">
        <v>6997</v>
      </c>
      <c r="B853" s="115" t="s">
        <v>128</v>
      </c>
      <c r="C853" s="115" t="s">
        <v>2050</v>
      </c>
      <c r="D853" s="115">
        <v>1</v>
      </c>
      <c r="E853" s="115" t="s">
        <v>2051</v>
      </c>
      <c r="F853" s="115" t="s">
        <v>2052</v>
      </c>
      <c r="G853" s="115" t="s">
        <v>2053</v>
      </c>
      <c r="H853" s="115" t="s">
        <v>2054</v>
      </c>
    </row>
    <row r="854" spans="1:8" ht="30" x14ac:dyDescent="0.25">
      <c r="A854" s="115">
        <v>6996</v>
      </c>
      <c r="B854" s="115" t="s">
        <v>128</v>
      </c>
      <c r="C854" s="115" t="s">
        <v>2055</v>
      </c>
      <c r="D854" s="115">
        <v>1</v>
      </c>
      <c r="E854" s="115" t="s">
        <v>768</v>
      </c>
      <c r="F854" s="115" t="s">
        <v>1603</v>
      </c>
      <c r="G854" s="115" t="s">
        <v>770</v>
      </c>
      <c r="H854" s="115" t="s">
        <v>2037</v>
      </c>
    </row>
    <row r="855" spans="1:8" ht="30" x14ac:dyDescent="0.25">
      <c r="A855" s="115">
        <v>6995</v>
      </c>
      <c r="B855" s="115" t="s">
        <v>128</v>
      </c>
      <c r="C855" s="115" t="s">
        <v>2056</v>
      </c>
      <c r="D855" s="115">
        <v>1</v>
      </c>
      <c r="E855" s="115">
        <v>52</v>
      </c>
      <c r="F855" s="115">
        <v>52</v>
      </c>
      <c r="G855" s="115">
        <v>52</v>
      </c>
      <c r="H855" s="115">
        <v>52</v>
      </c>
    </row>
    <row r="856" spans="1:8" ht="30" x14ac:dyDescent="0.25">
      <c r="A856" s="115">
        <v>6994</v>
      </c>
      <c r="B856" s="115" t="s">
        <v>128</v>
      </c>
      <c r="C856" s="115" t="s">
        <v>2057</v>
      </c>
      <c r="D856" s="115">
        <v>1</v>
      </c>
      <c r="E856" s="115" t="s">
        <v>2058</v>
      </c>
      <c r="F856" s="115" t="s">
        <v>2058</v>
      </c>
      <c r="G856" s="115" t="s">
        <v>2058</v>
      </c>
      <c r="H856" s="115" t="s">
        <v>2058</v>
      </c>
    </row>
    <row r="857" spans="1:8" ht="30" x14ac:dyDescent="0.25">
      <c r="A857" s="115">
        <v>6993</v>
      </c>
      <c r="B857" s="115" t="s">
        <v>128</v>
      </c>
      <c r="C857" s="115" t="s">
        <v>2059</v>
      </c>
      <c r="D857" s="115">
        <v>1</v>
      </c>
      <c r="E857" s="115" t="s">
        <v>2060</v>
      </c>
      <c r="F857" s="115" t="s">
        <v>2061</v>
      </c>
      <c r="G857" s="115" t="s">
        <v>2062</v>
      </c>
      <c r="H857" s="115" t="s">
        <v>2063</v>
      </c>
    </row>
    <row r="858" spans="1:8" ht="30" x14ac:dyDescent="0.25">
      <c r="A858" s="115">
        <v>6992</v>
      </c>
      <c r="B858" s="115" t="s">
        <v>128</v>
      </c>
      <c r="C858" s="115" t="s">
        <v>2064</v>
      </c>
      <c r="D858" s="115">
        <v>1</v>
      </c>
      <c r="E858" s="115" t="s">
        <v>768</v>
      </c>
      <c r="F858" s="115" t="s">
        <v>1603</v>
      </c>
      <c r="G858" s="115" t="s">
        <v>770</v>
      </c>
      <c r="H858" s="115" t="s">
        <v>2065</v>
      </c>
    </row>
    <row r="859" spans="1:8" ht="30" x14ac:dyDescent="0.25">
      <c r="A859" s="115">
        <v>6991</v>
      </c>
      <c r="B859" s="115" t="s">
        <v>128</v>
      </c>
      <c r="C859" s="115" t="s">
        <v>2066</v>
      </c>
      <c r="D859" s="115">
        <v>1</v>
      </c>
      <c r="E859" s="115">
        <v>78</v>
      </c>
      <c r="F859" s="115">
        <v>78</v>
      </c>
      <c r="G859" s="115">
        <v>78</v>
      </c>
      <c r="H859" s="115">
        <v>78</v>
      </c>
    </row>
    <row r="860" spans="1:8" ht="30" x14ac:dyDescent="0.25">
      <c r="A860" s="115">
        <v>6990</v>
      </c>
      <c r="B860" s="115" t="s">
        <v>128</v>
      </c>
      <c r="C860" s="115" t="s">
        <v>2067</v>
      </c>
      <c r="D860" s="115">
        <v>1</v>
      </c>
      <c r="E860" s="115" t="s">
        <v>2068</v>
      </c>
      <c r="F860" s="115" t="s">
        <v>2068</v>
      </c>
      <c r="G860" s="115" t="s">
        <v>2068</v>
      </c>
      <c r="H860" s="115" t="s">
        <v>2068</v>
      </c>
    </row>
    <row r="861" spans="1:8" ht="30" x14ac:dyDescent="0.25">
      <c r="A861" s="115">
        <v>6989</v>
      </c>
      <c r="B861" s="115" t="s">
        <v>128</v>
      </c>
      <c r="C861" s="115" t="s">
        <v>2069</v>
      </c>
      <c r="D861" s="115">
        <v>1</v>
      </c>
      <c r="E861" s="115" t="s">
        <v>2070</v>
      </c>
      <c r="F861" s="115" t="s">
        <v>2071</v>
      </c>
      <c r="G861" s="115" t="s">
        <v>2072</v>
      </c>
      <c r="H861" s="115" t="s">
        <v>2073</v>
      </c>
    </row>
    <row r="862" spans="1:8" ht="60" x14ac:dyDescent="0.25">
      <c r="A862" s="115">
        <v>6988</v>
      </c>
      <c r="B862" s="115" t="s">
        <v>128</v>
      </c>
      <c r="C862" s="115" t="s">
        <v>2074</v>
      </c>
      <c r="D862" s="115">
        <v>1</v>
      </c>
      <c r="E862" s="115" t="s">
        <v>2075</v>
      </c>
      <c r="F862" s="115" t="s">
        <v>2076</v>
      </c>
      <c r="G862" s="115" t="s">
        <v>2077</v>
      </c>
      <c r="H862" s="115" t="s">
        <v>2078</v>
      </c>
    </row>
    <row r="863" spans="1:8" ht="30" x14ac:dyDescent="0.25">
      <c r="A863" s="115">
        <v>6987</v>
      </c>
      <c r="B863" s="115" t="s">
        <v>128</v>
      </c>
      <c r="C863" s="115" t="s">
        <v>2079</v>
      </c>
      <c r="D863" s="115">
        <v>1</v>
      </c>
      <c r="E863" s="115" t="s">
        <v>2080</v>
      </c>
      <c r="F863" s="115" t="s">
        <v>2081</v>
      </c>
      <c r="G863" s="115" t="s">
        <v>2082</v>
      </c>
      <c r="H863" s="115" t="s">
        <v>2083</v>
      </c>
    </row>
    <row r="864" spans="1:8" ht="30" x14ac:dyDescent="0.25">
      <c r="A864" s="115">
        <v>6986</v>
      </c>
      <c r="B864" s="115" t="s">
        <v>128</v>
      </c>
      <c r="C864" s="115" t="s">
        <v>2084</v>
      </c>
      <c r="D864" s="115">
        <v>1</v>
      </c>
      <c r="E864" s="115" t="s">
        <v>764</v>
      </c>
      <c r="F864" s="115" t="s">
        <v>765</v>
      </c>
      <c r="G864" s="115" t="s">
        <v>766</v>
      </c>
      <c r="H864" s="115" t="s">
        <v>764</v>
      </c>
    </row>
    <row r="865" spans="1:8" ht="30" x14ac:dyDescent="0.25">
      <c r="A865" s="115">
        <v>6985</v>
      </c>
      <c r="B865" s="115" t="s">
        <v>128</v>
      </c>
      <c r="C865" s="115" t="s">
        <v>2085</v>
      </c>
      <c r="D865" s="115">
        <v>1</v>
      </c>
      <c r="E865" s="115" t="s">
        <v>2086</v>
      </c>
      <c r="F865" s="115" t="s">
        <v>2087</v>
      </c>
      <c r="G865" s="115" t="s">
        <v>2088</v>
      </c>
      <c r="H865" s="115" t="s">
        <v>2089</v>
      </c>
    </row>
    <row r="866" spans="1:8" ht="30" x14ac:dyDescent="0.25">
      <c r="A866" s="115">
        <v>6984</v>
      </c>
      <c r="B866" s="115" t="s">
        <v>128</v>
      </c>
      <c r="C866" s="115" t="s">
        <v>2090</v>
      </c>
      <c r="D866" s="115">
        <v>1</v>
      </c>
      <c r="E866" s="115">
        <v>36</v>
      </c>
      <c r="F866" s="115">
        <v>36</v>
      </c>
      <c r="G866" s="115">
        <v>36</v>
      </c>
      <c r="H866" s="115">
        <v>36</v>
      </c>
    </row>
    <row r="867" spans="1:8" ht="30" x14ac:dyDescent="0.25">
      <c r="A867" s="115">
        <v>6983</v>
      </c>
      <c r="B867" s="115" t="s">
        <v>128</v>
      </c>
      <c r="C867" s="115" t="s">
        <v>2091</v>
      </c>
      <c r="D867" s="115">
        <v>1</v>
      </c>
      <c r="E867" s="115" t="s">
        <v>2092</v>
      </c>
      <c r="F867" s="115" t="s">
        <v>2092</v>
      </c>
      <c r="G867" s="115" t="s">
        <v>2093</v>
      </c>
      <c r="H867" s="115" t="s">
        <v>2094</v>
      </c>
    </row>
    <row r="868" spans="1:8" ht="30" x14ac:dyDescent="0.25">
      <c r="A868" s="115">
        <v>6982</v>
      </c>
      <c r="B868" s="115" t="s">
        <v>128</v>
      </c>
      <c r="C868" s="115" t="s">
        <v>2095</v>
      </c>
      <c r="D868" s="115">
        <v>1</v>
      </c>
      <c r="E868" s="115" t="s">
        <v>2096</v>
      </c>
      <c r="F868" s="115" t="s">
        <v>2096</v>
      </c>
      <c r="G868" s="115" t="s">
        <v>2096</v>
      </c>
      <c r="H868" s="115" t="s">
        <v>2096</v>
      </c>
    </row>
    <row r="869" spans="1:8" ht="30" x14ac:dyDescent="0.25">
      <c r="A869" s="115">
        <v>6981</v>
      </c>
      <c r="B869" s="115" t="s">
        <v>128</v>
      </c>
      <c r="C869" s="115" t="s">
        <v>2097</v>
      </c>
      <c r="D869" s="115">
        <v>1</v>
      </c>
      <c r="E869" s="115">
        <v>58</v>
      </c>
      <c r="F869" s="115">
        <v>58</v>
      </c>
      <c r="G869" s="115">
        <v>58</v>
      </c>
      <c r="H869" s="115">
        <v>58</v>
      </c>
    </row>
    <row r="870" spans="1:8" ht="30" x14ac:dyDescent="0.25">
      <c r="A870" s="115">
        <v>6980</v>
      </c>
      <c r="B870" s="115" t="s">
        <v>128</v>
      </c>
      <c r="C870" s="115" t="s">
        <v>2098</v>
      </c>
      <c r="D870" s="115">
        <v>1</v>
      </c>
      <c r="E870" s="115" t="s">
        <v>2099</v>
      </c>
      <c r="F870" s="115" t="s">
        <v>2099</v>
      </c>
      <c r="G870" s="115" t="s">
        <v>2100</v>
      </c>
      <c r="H870" s="115" t="s">
        <v>2101</v>
      </c>
    </row>
    <row r="871" spans="1:8" ht="30" x14ac:dyDescent="0.25">
      <c r="A871" s="115">
        <v>6979</v>
      </c>
      <c r="B871" s="115" t="s">
        <v>128</v>
      </c>
      <c r="C871" s="115" t="s">
        <v>2102</v>
      </c>
      <c r="D871" s="115">
        <v>1</v>
      </c>
      <c r="E871" s="115" t="s">
        <v>2103</v>
      </c>
      <c r="F871" s="115" t="s">
        <v>2103</v>
      </c>
      <c r="G871" s="115" t="s">
        <v>2103</v>
      </c>
      <c r="H871" s="115" t="s">
        <v>2103</v>
      </c>
    </row>
    <row r="872" spans="1:8" ht="30" x14ac:dyDescent="0.25">
      <c r="A872" s="115">
        <v>6978</v>
      </c>
      <c r="B872" s="115" t="s">
        <v>128</v>
      </c>
      <c r="C872" s="115" t="s">
        <v>2104</v>
      </c>
      <c r="D872" s="115">
        <v>1</v>
      </c>
      <c r="E872" s="115">
        <v>6</v>
      </c>
      <c r="F872" s="115">
        <v>6</v>
      </c>
      <c r="G872" s="115">
        <v>6</v>
      </c>
      <c r="H872" s="115">
        <v>6</v>
      </c>
    </row>
    <row r="873" spans="1:8" ht="30" x14ac:dyDescent="0.25">
      <c r="A873" s="115">
        <v>6977</v>
      </c>
      <c r="B873" s="115" t="s">
        <v>128</v>
      </c>
      <c r="C873" s="115" t="s">
        <v>2105</v>
      </c>
      <c r="D873" s="115">
        <v>1</v>
      </c>
      <c r="E873" s="115" t="s">
        <v>2106</v>
      </c>
      <c r="F873" s="115" t="s">
        <v>2106</v>
      </c>
      <c r="G873" s="115" t="s">
        <v>2107</v>
      </c>
      <c r="H873" s="115" t="s">
        <v>2108</v>
      </c>
    </row>
    <row r="874" spans="1:8" ht="30" x14ac:dyDescent="0.25">
      <c r="A874" s="115">
        <v>6976</v>
      </c>
      <c r="B874" s="115" t="s">
        <v>128</v>
      </c>
      <c r="C874" s="115" t="s">
        <v>2109</v>
      </c>
      <c r="D874" s="115">
        <v>1</v>
      </c>
      <c r="E874" s="115" t="s">
        <v>2110</v>
      </c>
      <c r="F874" s="115" t="s">
        <v>2110</v>
      </c>
      <c r="G874" s="115" t="s">
        <v>2110</v>
      </c>
      <c r="H874" s="115" t="s">
        <v>2110</v>
      </c>
    </row>
    <row r="875" spans="1:8" ht="120" x14ac:dyDescent="0.25">
      <c r="A875" s="115">
        <v>6975</v>
      </c>
      <c r="B875" s="115" t="s">
        <v>128</v>
      </c>
      <c r="C875" s="115" t="s">
        <v>2111</v>
      </c>
      <c r="D875" s="115">
        <v>1</v>
      </c>
      <c r="E875" s="115" t="s">
        <v>2112</v>
      </c>
      <c r="F875" s="115" t="s">
        <v>2113</v>
      </c>
      <c r="G875" s="115" t="s">
        <v>2114</v>
      </c>
      <c r="H875" s="115" t="s">
        <v>2115</v>
      </c>
    </row>
    <row r="876" spans="1:8" ht="30" x14ac:dyDescent="0.25">
      <c r="A876" s="115">
        <v>6974</v>
      </c>
      <c r="B876" s="115" t="s">
        <v>128</v>
      </c>
      <c r="C876" s="115" t="s">
        <v>2116</v>
      </c>
      <c r="D876" s="115">
        <v>1</v>
      </c>
      <c r="E876" s="115" t="s">
        <v>764</v>
      </c>
      <c r="F876" s="115" t="s">
        <v>765</v>
      </c>
      <c r="G876" s="115" t="s">
        <v>766</v>
      </c>
      <c r="H876" s="115" t="s">
        <v>764</v>
      </c>
    </row>
    <row r="877" spans="1:8" ht="30" x14ac:dyDescent="0.25">
      <c r="A877" s="115">
        <v>6973</v>
      </c>
      <c r="B877" s="115" t="s">
        <v>128</v>
      </c>
      <c r="C877" s="115" t="s">
        <v>2117</v>
      </c>
      <c r="D877" s="115">
        <v>1</v>
      </c>
      <c r="E877" s="115" t="s">
        <v>2118</v>
      </c>
      <c r="F877" s="115" t="s">
        <v>2119</v>
      </c>
      <c r="G877" s="115" t="s">
        <v>2120</v>
      </c>
      <c r="H877" s="115" t="s">
        <v>2121</v>
      </c>
    </row>
    <row r="878" spans="1:8" ht="45" x14ac:dyDescent="0.25">
      <c r="A878" s="115">
        <v>6972</v>
      </c>
      <c r="B878" s="115" t="s">
        <v>128</v>
      </c>
      <c r="C878" s="115" t="s">
        <v>2122</v>
      </c>
      <c r="D878" s="115">
        <v>1</v>
      </c>
      <c r="E878" s="115" t="s">
        <v>2123</v>
      </c>
      <c r="F878" s="115" t="s">
        <v>2124</v>
      </c>
      <c r="G878" s="115" t="s">
        <v>2125</v>
      </c>
      <c r="H878" s="115" t="s">
        <v>2126</v>
      </c>
    </row>
    <row r="879" spans="1:8" ht="45" x14ac:dyDescent="0.25">
      <c r="A879" s="115">
        <v>6971</v>
      </c>
      <c r="B879" s="115" t="s">
        <v>128</v>
      </c>
      <c r="C879" s="115" t="s">
        <v>2127</v>
      </c>
      <c r="D879" s="115">
        <v>1</v>
      </c>
      <c r="E879" s="115" t="s">
        <v>2128</v>
      </c>
      <c r="F879" s="115" t="s">
        <v>2129</v>
      </c>
      <c r="G879" s="115" t="s">
        <v>2130</v>
      </c>
      <c r="H879" s="115" t="s">
        <v>2131</v>
      </c>
    </row>
    <row r="880" spans="1:8" ht="45" x14ac:dyDescent="0.25">
      <c r="A880" s="115">
        <v>6970</v>
      </c>
      <c r="B880" s="115" t="s">
        <v>128</v>
      </c>
      <c r="C880" s="115" t="s">
        <v>2132</v>
      </c>
      <c r="D880" s="115">
        <v>1</v>
      </c>
      <c r="E880" s="115" t="s">
        <v>2133</v>
      </c>
      <c r="F880" s="115" t="s">
        <v>2134</v>
      </c>
      <c r="G880" s="115" t="s">
        <v>2135</v>
      </c>
      <c r="H880" s="115" t="s">
        <v>2136</v>
      </c>
    </row>
    <row r="881" spans="1:8" ht="45" x14ac:dyDescent="0.25">
      <c r="A881" s="115">
        <v>6969</v>
      </c>
      <c r="B881" s="115" t="s">
        <v>128</v>
      </c>
      <c r="C881" s="115" t="s">
        <v>2137</v>
      </c>
      <c r="D881" s="115">
        <v>1</v>
      </c>
      <c r="E881" s="115" t="s">
        <v>2138</v>
      </c>
      <c r="F881" s="115" t="s">
        <v>2138</v>
      </c>
      <c r="G881" s="115" t="s">
        <v>2138</v>
      </c>
      <c r="H881" s="115" t="s">
        <v>2139</v>
      </c>
    </row>
    <row r="882" spans="1:8" ht="45" x14ac:dyDescent="0.25">
      <c r="A882" s="115">
        <v>6968</v>
      </c>
      <c r="B882" s="115" t="s">
        <v>128</v>
      </c>
      <c r="C882" s="115" t="s">
        <v>2140</v>
      </c>
      <c r="D882" s="115">
        <v>1</v>
      </c>
      <c r="E882" s="115" t="s">
        <v>2141</v>
      </c>
      <c r="F882" s="115" t="s">
        <v>2142</v>
      </c>
      <c r="G882" s="115" t="s">
        <v>2143</v>
      </c>
      <c r="H882" s="115" t="s">
        <v>2144</v>
      </c>
    </row>
    <row r="883" spans="1:8" ht="45" x14ac:dyDescent="0.25">
      <c r="A883" s="115">
        <v>6967</v>
      </c>
      <c r="B883" s="115" t="s">
        <v>128</v>
      </c>
      <c r="C883" s="115" t="s">
        <v>2145</v>
      </c>
      <c r="D883" s="115">
        <v>1</v>
      </c>
      <c r="E883" s="115" t="s">
        <v>2146</v>
      </c>
      <c r="F883" s="115" t="s">
        <v>2146</v>
      </c>
      <c r="G883" s="115" t="s">
        <v>2146</v>
      </c>
      <c r="H883" s="115" t="s">
        <v>2146</v>
      </c>
    </row>
    <row r="884" spans="1:8" ht="45" x14ac:dyDescent="0.25">
      <c r="A884" s="115">
        <v>6966</v>
      </c>
      <c r="B884" s="115" t="s">
        <v>128</v>
      </c>
      <c r="C884" s="115" t="s">
        <v>2147</v>
      </c>
      <c r="D884" s="115">
        <v>1</v>
      </c>
      <c r="E884" s="115" t="s">
        <v>2148</v>
      </c>
      <c r="F884" s="115" t="s">
        <v>2148</v>
      </c>
      <c r="G884" s="115" t="s">
        <v>2149</v>
      </c>
      <c r="H884" s="115" t="s">
        <v>2148</v>
      </c>
    </row>
    <row r="885" spans="1:8" ht="45" x14ac:dyDescent="0.25">
      <c r="A885" s="115">
        <v>6965</v>
      </c>
      <c r="B885" s="115" t="s">
        <v>128</v>
      </c>
      <c r="C885" s="115" t="s">
        <v>2150</v>
      </c>
      <c r="D885" s="115">
        <v>1</v>
      </c>
      <c r="E885" s="115" t="s">
        <v>2151</v>
      </c>
      <c r="F885" s="115" t="s">
        <v>2152</v>
      </c>
      <c r="G885" s="115" t="s">
        <v>2153</v>
      </c>
      <c r="H885" s="115" t="s">
        <v>2151</v>
      </c>
    </row>
    <row r="886" spans="1:8" ht="45" x14ac:dyDescent="0.25">
      <c r="A886" s="115">
        <v>6964</v>
      </c>
      <c r="B886" s="115" t="s">
        <v>128</v>
      </c>
      <c r="C886" s="115" t="s">
        <v>2154</v>
      </c>
      <c r="D886" s="115">
        <v>1</v>
      </c>
      <c r="E886" s="115" t="s">
        <v>2155</v>
      </c>
      <c r="F886" s="115" t="s">
        <v>2156</v>
      </c>
      <c r="G886" s="115" t="s">
        <v>2157</v>
      </c>
      <c r="H886" s="115" t="s">
        <v>2158</v>
      </c>
    </row>
    <row r="887" spans="1:8" ht="45" x14ac:dyDescent="0.25">
      <c r="A887" s="115">
        <v>6963</v>
      </c>
      <c r="B887" s="115" t="s">
        <v>128</v>
      </c>
      <c r="C887" s="115" t="s">
        <v>2159</v>
      </c>
      <c r="D887" s="115">
        <v>1</v>
      </c>
      <c r="E887" s="115" t="s">
        <v>2160</v>
      </c>
      <c r="F887" s="115" t="s">
        <v>2161</v>
      </c>
      <c r="G887" s="115" t="s">
        <v>2162</v>
      </c>
      <c r="H887" s="115" t="s">
        <v>2163</v>
      </c>
    </row>
    <row r="888" spans="1:8" ht="45" x14ac:dyDescent="0.25">
      <c r="A888" s="115">
        <v>6962</v>
      </c>
      <c r="B888" s="115" t="s">
        <v>128</v>
      </c>
      <c r="C888" s="115" t="s">
        <v>2164</v>
      </c>
      <c r="D888" s="115">
        <v>1</v>
      </c>
      <c r="E888" s="115" t="s">
        <v>2165</v>
      </c>
      <c r="F888" s="115" t="s">
        <v>2166</v>
      </c>
      <c r="G888" s="115" t="s">
        <v>2167</v>
      </c>
      <c r="H888" s="115" t="s">
        <v>2168</v>
      </c>
    </row>
    <row r="889" spans="1:8" ht="45" x14ac:dyDescent="0.25">
      <c r="A889" s="115">
        <v>6961</v>
      </c>
      <c r="B889" s="115" t="s">
        <v>128</v>
      </c>
      <c r="C889" s="115" t="s">
        <v>2169</v>
      </c>
      <c r="D889" s="115">
        <v>1</v>
      </c>
      <c r="E889" s="115" t="s">
        <v>2170</v>
      </c>
      <c r="F889" s="115" t="s">
        <v>2171</v>
      </c>
      <c r="G889" s="115" t="s">
        <v>2172</v>
      </c>
      <c r="H889" s="115" t="s">
        <v>2173</v>
      </c>
    </row>
    <row r="890" spans="1:8" ht="45" x14ac:dyDescent="0.25">
      <c r="A890" s="115">
        <v>6960</v>
      </c>
      <c r="B890" s="115" t="s">
        <v>128</v>
      </c>
      <c r="C890" s="115" t="s">
        <v>2174</v>
      </c>
      <c r="D890" s="115">
        <v>1</v>
      </c>
      <c r="E890" s="115" t="s">
        <v>2175</v>
      </c>
      <c r="F890" s="115" t="s">
        <v>2176</v>
      </c>
      <c r="G890" s="115" t="s">
        <v>2177</v>
      </c>
      <c r="H890" s="115" t="s">
        <v>2178</v>
      </c>
    </row>
    <row r="891" spans="1:8" ht="45" x14ac:dyDescent="0.25">
      <c r="A891" s="115">
        <v>6959</v>
      </c>
      <c r="B891" s="115" t="s">
        <v>128</v>
      </c>
      <c r="C891" s="115" t="s">
        <v>2179</v>
      </c>
      <c r="D891" s="115">
        <v>1</v>
      </c>
      <c r="E891" s="115" t="s">
        <v>2180</v>
      </c>
      <c r="F891" s="115" t="s">
        <v>2181</v>
      </c>
      <c r="G891" s="115" t="s">
        <v>2182</v>
      </c>
      <c r="H891" s="115" t="s">
        <v>2180</v>
      </c>
    </row>
    <row r="892" spans="1:8" ht="45" x14ac:dyDescent="0.25">
      <c r="A892" s="115">
        <v>6958</v>
      </c>
      <c r="B892" s="115" t="s">
        <v>128</v>
      </c>
      <c r="C892" s="115" t="s">
        <v>2183</v>
      </c>
      <c r="D892" s="115">
        <v>1</v>
      </c>
      <c r="E892" s="115" t="s">
        <v>2184</v>
      </c>
      <c r="F892" s="115" t="s">
        <v>2185</v>
      </c>
      <c r="G892" s="115" t="s">
        <v>2186</v>
      </c>
      <c r="H892" s="115" t="s">
        <v>2187</v>
      </c>
    </row>
    <row r="893" spans="1:8" ht="45" x14ac:dyDescent="0.25">
      <c r="A893" s="115">
        <v>6957</v>
      </c>
      <c r="B893" s="115" t="s">
        <v>128</v>
      </c>
      <c r="C893" s="115" t="s">
        <v>2188</v>
      </c>
      <c r="D893" s="115">
        <v>1</v>
      </c>
      <c r="E893" s="115" t="s">
        <v>2189</v>
      </c>
      <c r="F893" s="115" t="s">
        <v>2190</v>
      </c>
      <c r="G893" s="115" t="s">
        <v>2191</v>
      </c>
      <c r="H893" s="115" t="s">
        <v>2192</v>
      </c>
    </row>
    <row r="894" spans="1:8" ht="45" x14ac:dyDescent="0.25">
      <c r="A894" s="115">
        <v>6956</v>
      </c>
      <c r="B894" s="115" t="s">
        <v>128</v>
      </c>
      <c r="C894" s="115" t="s">
        <v>2193</v>
      </c>
      <c r="D894" s="115">
        <v>1</v>
      </c>
      <c r="E894" s="115" t="s">
        <v>2194</v>
      </c>
      <c r="F894" s="115" t="s">
        <v>2195</v>
      </c>
      <c r="G894" s="115" t="s">
        <v>2196</v>
      </c>
      <c r="H894" s="115" t="s">
        <v>2197</v>
      </c>
    </row>
    <row r="895" spans="1:8" ht="45" x14ac:dyDescent="0.25">
      <c r="A895" s="115">
        <v>6955</v>
      </c>
      <c r="B895" s="115" t="s">
        <v>128</v>
      </c>
      <c r="C895" s="115" t="s">
        <v>2198</v>
      </c>
      <c r="D895" s="115">
        <v>1</v>
      </c>
      <c r="E895" s="115" t="s">
        <v>2199</v>
      </c>
      <c r="F895" s="115" t="s">
        <v>2200</v>
      </c>
      <c r="G895" s="115" t="s">
        <v>2201</v>
      </c>
      <c r="H895" s="115" t="s">
        <v>2202</v>
      </c>
    </row>
    <row r="896" spans="1:8" ht="45" x14ac:dyDescent="0.25">
      <c r="A896" s="115">
        <v>6954</v>
      </c>
      <c r="B896" s="115" t="s">
        <v>128</v>
      </c>
      <c r="C896" s="115" t="s">
        <v>2203</v>
      </c>
      <c r="D896" s="115">
        <v>1</v>
      </c>
      <c r="E896" s="115" t="s">
        <v>2204</v>
      </c>
      <c r="F896" s="115" t="s">
        <v>2205</v>
      </c>
      <c r="G896" s="115" t="s">
        <v>2206</v>
      </c>
      <c r="H896" s="115" t="s">
        <v>2207</v>
      </c>
    </row>
    <row r="897" spans="1:8" ht="45" x14ac:dyDescent="0.25">
      <c r="A897" s="115">
        <v>6953</v>
      </c>
      <c r="B897" s="115" t="s">
        <v>128</v>
      </c>
      <c r="C897" s="115" t="s">
        <v>2208</v>
      </c>
      <c r="D897" s="115">
        <v>1</v>
      </c>
      <c r="E897" s="115" t="s">
        <v>2209</v>
      </c>
      <c r="F897" s="115" t="s">
        <v>2210</v>
      </c>
      <c r="G897" s="115" t="s">
        <v>2211</v>
      </c>
      <c r="H897" s="115" t="s">
        <v>2212</v>
      </c>
    </row>
    <row r="898" spans="1:8" ht="45" x14ac:dyDescent="0.25">
      <c r="A898" s="115">
        <v>6952</v>
      </c>
      <c r="B898" s="115" t="s">
        <v>128</v>
      </c>
      <c r="C898" s="115" t="s">
        <v>2213</v>
      </c>
      <c r="D898" s="115">
        <v>1</v>
      </c>
      <c r="E898" s="115" t="s">
        <v>2214</v>
      </c>
      <c r="F898" s="115" t="s">
        <v>2215</v>
      </c>
      <c r="G898" s="115" t="s">
        <v>2216</v>
      </c>
      <c r="H898" s="115" t="s">
        <v>2217</v>
      </c>
    </row>
    <row r="899" spans="1:8" ht="30" x14ac:dyDescent="0.25">
      <c r="A899" s="115">
        <v>6951</v>
      </c>
      <c r="B899" s="115" t="s">
        <v>128</v>
      </c>
      <c r="C899" s="115" t="s">
        <v>2218</v>
      </c>
      <c r="D899" s="115">
        <v>1</v>
      </c>
      <c r="E899" s="115" t="s">
        <v>2070</v>
      </c>
      <c r="F899" s="115" t="s">
        <v>2071</v>
      </c>
      <c r="G899" s="115" t="s">
        <v>2070</v>
      </c>
      <c r="H899" s="115" t="s">
        <v>2070</v>
      </c>
    </row>
    <row r="900" spans="1:8" ht="90" x14ac:dyDescent="0.25">
      <c r="A900" s="115">
        <v>6950</v>
      </c>
      <c r="B900" s="115" t="s">
        <v>128</v>
      </c>
      <c r="C900" s="115" t="s">
        <v>2219</v>
      </c>
      <c r="D900" s="115">
        <v>1</v>
      </c>
      <c r="E900" s="115" t="s">
        <v>2220</v>
      </c>
      <c r="F900" s="115" t="s">
        <v>2221</v>
      </c>
      <c r="G900" s="115" t="s">
        <v>2222</v>
      </c>
      <c r="H900" s="115" t="s">
        <v>2223</v>
      </c>
    </row>
    <row r="901" spans="1:8" ht="60" x14ac:dyDescent="0.25">
      <c r="A901" s="115">
        <v>6949</v>
      </c>
      <c r="B901" s="115" t="s">
        <v>128</v>
      </c>
      <c r="C901" s="115" t="s">
        <v>2224</v>
      </c>
      <c r="D901" s="115">
        <v>1</v>
      </c>
      <c r="E901" s="115" t="s">
        <v>2225</v>
      </c>
      <c r="F901" s="115" t="s">
        <v>2226</v>
      </c>
      <c r="G901" s="115" t="s">
        <v>2227</v>
      </c>
      <c r="H901" s="115" t="s">
        <v>2228</v>
      </c>
    </row>
    <row r="902" spans="1:8" ht="60" x14ac:dyDescent="0.25">
      <c r="A902" s="115">
        <v>6948</v>
      </c>
      <c r="B902" s="115" t="s">
        <v>128</v>
      </c>
      <c r="C902" s="115" t="s">
        <v>2229</v>
      </c>
      <c r="D902" s="115">
        <v>1</v>
      </c>
      <c r="E902" s="115" t="s">
        <v>2230</v>
      </c>
      <c r="F902" s="115" t="s">
        <v>2231</v>
      </c>
      <c r="G902" s="115" t="s">
        <v>2232</v>
      </c>
      <c r="H902" s="115" t="s">
        <v>2233</v>
      </c>
    </row>
    <row r="903" spans="1:8" ht="75" x14ac:dyDescent="0.25">
      <c r="A903" s="115">
        <v>6947</v>
      </c>
      <c r="B903" s="115" t="s">
        <v>128</v>
      </c>
      <c r="C903" s="115" t="s">
        <v>2234</v>
      </c>
      <c r="D903" s="115">
        <v>1</v>
      </c>
      <c r="E903" s="115" t="s">
        <v>2235</v>
      </c>
      <c r="F903" s="115" t="s">
        <v>2236</v>
      </c>
      <c r="G903" s="115" t="s">
        <v>2237</v>
      </c>
      <c r="H903" s="115" t="s">
        <v>2238</v>
      </c>
    </row>
    <row r="904" spans="1:8" ht="165" x14ac:dyDescent="0.25">
      <c r="A904" s="115">
        <v>6946</v>
      </c>
      <c r="B904" s="115" t="s">
        <v>128</v>
      </c>
      <c r="C904" s="115" t="s">
        <v>2239</v>
      </c>
      <c r="D904" s="115">
        <v>1</v>
      </c>
      <c r="E904" s="115" t="s">
        <v>2240</v>
      </c>
      <c r="F904" s="115" t="s">
        <v>2241</v>
      </c>
      <c r="G904" s="115" t="s">
        <v>2242</v>
      </c>
      <c r="H904" s="115" t="s">
        <v>2243</v>
      </c>
    </row>
    <row r="905" spans="1:8" ht="45" x14ac:dyDescent="0.25">
      <c r="A905" s="115">
        <v>6945</v>
      </c>
      <c r="B905" s="115" t="s">
        <v>128</v>
      </c>
      <c r="C905" s="115" t="s">
        <v>2244</v>
      </c>
      <c r="D905" s="115">
        <v>1</v>
      </c>
      <c r="E905" s="115" t="s">
        <v>2245</v>
      </c>
      <c r="F905" s="115" t="s">
        <v>2246</v>
      </c>
      <c r="G905" s="115" t="s">
        <v>2247</v>
      </c>
      <c r="H905" s="115" t="s">
        <v>2248</v>
      </c>
    </row>
    <row r="906" spans="1:8" ht="30" x14ac:dyDescent="0.25">
      <c r="A906" s="115">
        <v>6944</v>
      </c>
      <c r="B906" s="115" t="s">
        <v>128</v>
      </c>
      <c r="C906" s="115" t="s">
        <v>2249</v>
      </c>
      <c r="D906" s="115">
        <v>1</v>
      </c>
      <c r="E906" s="115" t="s">
        <v>2250</v>
      </c>
      <c r="F906" s="115" t="s">
        <v>2251</v>
      </c>
      <c r="G906" s="115" t="s">
        <v>2252</v>
      </c>
      <c r="H906" s="115" t="s">
        <v>2253</v>
      </c>
    </row>
    <row r="907" spans="1:8" ht="30" x14ac:dyDescent="0.25">
      <c r="A907" s="115">
        <v>6943</v>
      </c>
      <c r="B907" s="115" t="s">
        <v>128</v>
      </c>
      <c r="C907" s="115" t="s">
        <v>2254</v>
      </c>
      <c r="D907" s="115">
        <v>1</v>
      </c>
      <c r="E907" s="115" t="s">
        <v>2255</v>
      </c>
      <c r="F907" s="115" t="s">
        <v>2255</v>
      </c>
      <c r="G907" s="115" t="s">
        <v>2255</v>
      </c>
      <c r="H907" s="115" t="s">
        <v>2255</v>
      </c>
    </row>
    <row r="908" spans="1:8" ht="30" x14ac:dyDescent="0.25">
      <c r="A908" s="115">
        <v>6942</v>
      </c>
      <c r="B908" s="115" t="s">
        <v>128</v>
      </c>
      <c r="C908" s="115" t="s">
        <v>2256</v>
      </c>
      <c r="D908" s="115">
        <v>1</v>
      </c>
      <c r="E908" s="115" t="s">
        <v>1338</v>
      </c>
      <c r="F908" s="115" t="s">
        <v>1339</v>
      </c>
      <c r="G908" s="115" t="s">
        <v>1340</v>
      </c>
      <c r="H908" s="115" t="s">
        <v>1341</v>
      </c>
    </row>
    <row r="909" spans="1:8" ht="30" x14ac:dyDescent="0.25">
      <c r="A909" s="115">
        <v>6941</v>
      </c>
      <c r="B909" s="115" t="s">
        <v>128</v>
      </c>
      <c r="C909" s="115" t="s">
        <v>2257</v>
      </c>
      <c r="D909" s="115">
        <v>1</v>
      </c>
      <c r="E909" s="115">
        <v>7</v>
      </c>
      <c r="F909" s="115">
        <v>7</v>
      </c>
      <c r="G909" s="115">
        <v>7</v>
      </c>
      <c r="H909" s="115">
        <v>7</v>
      </c>
    </row>
    <row r="910" spans="1:8" ht="135" x14ac:dyDescent="0.25">
      <c r="A910" s="115">
        <v>6940</v>
      </c>
      <c r="B910" s="115" t="s">
        <v>128</v>
      </c>
      <c r="C910" s="115" t="s">
        <v>2258</v>
      </c>
      <c r="D910" s="115">
        <v>1</v>
      </c>
      <c r="E910" s="115" t="s">
        <v>2259</v>
      </c>
      <c r="F910" s="115" t="s">
        <v>2260</v>
      </c>
      <c r="G910" s="115" t="s">
        <v>2261</v>
      </c>
      <c r="H910" s="115" t="s">
        <v>2262</v>
      </c>
    </row>
    <row r="911" spans="1:8" x14ac:dyDescent="0.25">
      <c r="A911" s="115">
        <v>6939</v>
      </c>
      <c r="B911" s="115" t="s">
        <v>128</v>
      </c>
      <c r="C911" s="115" t="s">
        <v>2263</v>
      </c>
      <c r="D911" s="115">
        <v>1</v>
      </c>
      <c r="E911" s="115">
        <v>6</v>
      </c>
      <c r="F911" s="115">
        <v>6</v>
      </c>
      <c r="G911" s="115">
        <v>6</v>
      </c>
      <c r="H911" s="115">
        <v>6</v>
      </c>
    </row>
    <row r="912" spans="1:8" x14ac:dyDescent="0.25">
      <c r="A912" s="115">
        <v>6938</v>
      </c>
      <c r="B912" s="115" t="s">
        <v>128</v>
      </c>
      <c r="C912" s="115" t="s">
        <v>2264</v>
      </c>
      <c r="D912" s="115">
        <v>1</v>
      </c>
      <c r="E912" s="115" t="s">
        <v>2265</v>
      </c>
      <c r="F912" s="115" t="s">
        <v>2266</v>
      </c>
      <c r="G912" s="115" t="s">
        <v>2267</v>
      </c>
      <c r="H912" s="115" t="s">
        <v>2268</v>
      </c>
    </row>
    <row r="913" spans="1:8" ht="30" x14ac:dyDescent="0.25">
      <c r="A913" s="115">
        <v>6937</v>
      </c>
      <c r="B913" s="115" t="s">
        <v>128</v>
      </c>
      <c r="C913" s="115" t="s">
        <v>2269</v>
      </c>
      <c r="D913" s="115">
        <v>1</v>
      </c>
      <c r="E913" s="115" t="s">
        <v>2270</v>
      </c>
      <c r="F913" s="115" t="s">
        <v>1409</v>
      </c>
      <c r="G913" s="115" t="s">
        <v>2271</v>
      </c>
      <c r="H913" s="115" t="s">
        <v>2272</v>
      </c>
    </row>
    <row r="914" spans="1:8" x14ac:dyDescent="0.25">
      <c r="A914" s="115">
        <v>6936</v>
      </c>
      <c r="B914" s="115" t="s">
        <v>128</v>
      </c>
      <c r="C914" s="115" t="s">
        <v>2273</v>
      </c>
      <c r="D914" s="115">
        <v>1</v>
      </c>
      <c r="E914" s="115" t="s">
        <v>2274</v>
      </c>
      <c r="F914" s="115" t="s">
        <v>2274</v>
      </c>
      <c r="G914" s="115" t="s">
        <v>2274</v>
      </c>
      <c r="H914" s="115" t="s">
        <v>2274</v>
      </c>
    </row>
    <row r="915" spans="1:8" ht="30" x14ac:dyDescent="0.25">
      <c r="A915" s="115">
        <v>6935</v>
      </c>
      <c r="B915" s="115" t="s">
        <v>128</v>
      </c>
      <c r="C915" s="115" t="s">
        <v>2275</v>
      </c>
      <c r="D915" s="115">
        <v>1</v>
      </c>
      <c r="E915" s="115" t="s">
        <v>2276</v>
      </c>
      <c r="F915" s="115" t="s">
        <v>2277</v>
      </c>
      <c r="G915" s="115" t="s">
        <v>2278</v>
      </c>
      <c r="H915" s="115" t="s">
        <v>2279</v>
      </c>
    </row>
    <row r="916" spans="1:8" ht="240" x14ac:dyDescent="0.25">
      <c r="A916" s="115">
        <v>6934</v>
      </c>
      <c r="B916" s="115" t="s">
        <v>128</v>
      </c>
      <c r="C916" s="115" t="s">
        <v>2280</v>
      </c>
      <c r="D916" s="115">
        <v>1</v>
      </c>
      <c r="E916" s="115" t="s">
        <v>2281</v>
      </c>
      <c r="F916" s="115" t="s">
        <v>2282</v>
      </c>
      <c r="G916" s="115" t="s">
        <v>2283</v>
      </c>
      <c r="H916" s="115" t="s">
        <v>2284</v>
      </c>
    </row>
    <row r="917" spans="1:8" ht="30" x14ac:dyDescent="0.25">
      <c r="A917" s="115">
        <v>6933</v>
      </c>
      <c r="B917" s="115" t="s">
        <v>128</v>
      </c>
      <c r="C917" s="115" t="s">
        <v>2285</v>
      </c>
      <c r="D917" s="115">
        <v>1</v>
      </c>
      <c r="E917" s="115" t="s">
        <v>764</v>
      </c>
      <c r="F917" s="115" t="s">
        <v>765</v>
      </c>
      <c r="G917" s="115" t="s">
        <v>766</v>
      </c>
      <c r="H917" s="115" t="s">
        <v>764</v>
      </c>
    </row>
    <row r="918" spans="1:8" ht="30" x14ac:dyDescent="0.25">
      <c r="A918" s="115">
        <v>6932</v>
      </c>
      <c r="B918" s="115" t="s">
        <v>128</v>
      </c>
      <c r="C918" s="115" t="s">
        <v>2286</v>
      </c>
      <c r="D918" s="115">
        <v>1</v>
      </c>
      <c r="E918" s="115" t="s">
        <v>2287</v>
      </c>
      <c r="F918" s="115" t="s">
        <v>2288</v>
      </c>
      <c r="G918" s="115" t="s">
        <v>2289</v>
      </c>
      <c r="H918" s="115" t="s">
        <v>2290</v>
      </c>
    </row>
    <row r="919" spans="1:8" ht="45" x14ac:dyDescent="0.25">
      <c r="A919" s="115">
        <v>6931</v>
      </c>
      <c r="B919" s="115" t="s">
        <v>128</v>
      </c>
      <c r="C919" s="115" t="s">
        <v>2291</v>
      </c>
      <c r="D919" s="115">
        <v>1</v>
      </c>
      <c r="E919" s="115" t="s">
        <v>2292</v>
      </c>
      <c r="F919" s="115" t="s">
        <v>2293</v>
      </c>
      <c r="G919" s="115" t="s">
        <v>2294</v>
      </c>
      <c r="H919" s="115" t="s">
        <v>2295</v>
      </c>
    </row>
    <row r="920" spans="1:8" ht="30" x14ac:dyDescent="0.25">
      <c r="A920" s="115">
        <v>6930</v>
      </c>
      <c r="B920" s="115" t="s">
        <v>128</v>
      </c>
      <c r="C920" s="115" t="s">
        <v>2296</v>
      </c>
      <c r="D920" s="115">
        <v>1</v>
      </c>
      <c r="E920" s="115" t="s">
        <v>2297</v>
      </c>
      <c r="F920" s="115" t="s">
        <v>2298</v>
      </c>
      <c r="G920" s="115" t="s">
        <v>2299</v>
      </c>
      <c r="H920" s="115" t="s">
        <v>2300</v>
      </c>
    </row>
    <row r="921" spans="1:8" ht="30" x14ac:dyDescent="0.25">
      <c r="A921" s="115">
        <v>6929</v>
      </c>
      <c r="B921" s="115" t="s">
        <v>128</v>
      </c>
      <c r="C921" s="115" t="s">
        <v>2301</v>
      </c>
      <c r="D921" s="115">
        <v>1</v>
      </c>
      <c r="E921" s="115" t="s">
        <v>2302</v>
      </c>
      <c r="F921" s="115" t="s">
        <v>2277</v>
      </c>
      <c r="G921" s="115" t="s">
        <v>2303</v>
      </c>
      <c r="H921" s="115" t="s">
        <v>2304</v>
      </c>
    </row>
    <row r="922" spans="1:8" ht="30" x14ac:dyDescent="0.25">
      <c r="A922" s="115">
        <v>6928</v>
      </c>
      <c r="B922" s="115" t="s">
        <v>128</v>
      </c>
      <c r="C922" s="115" t="s">
        <v>2305</v>
      </c>
      <c r="D922" s="115">
        <v>1</v>
      </c>
      <c r="E922" s="115" t="s">
        <v>2306</v>
      </c>
      <c r="F922" s="115" t="s">
        <v>2307</v>
      </c>
      <c r="G922" s="115" t="s">
        <v>2308</v>
      </c>
      <c r="H922" s="115" t="s">
        <v>2309</v>
      </c>
    </row>
    <row r="923" spans="1:8" ht="210" x14ac:dyDescent="0.25">
      <c r="A923" s="115">
        <v>6927</v>
      </c>
      <c r="B923" s="115" t="s">
        <v>128</v>
      </c>
      <c r="C923" s="115" t="s">
        <v>2310</v>
      </c>
      <c r="D923" s="115">
        <v>1</v>
      </c>
      <c r="E923" s="115" t="s">
        <v>2311</v>
      </c>
      <c r="F923" s="115" t="s">
        <v>2312</v>
      </c>
      <c r="G923" s="115" t="s">
        <v>2313</v>
      </c>
      <c r="H923" s="115" t="s">
        <v>2314</v>
      </c>
    </row>
    <row r="924" spans="1:8" ht="30" x14ac:dyDescent="0.25">
      <c r="A924" s="115">
        <v>6926</v>
      </c>
      <c r="B924" s="115" t="s">
        <v>128</v>
      </c>
      <c r="C924" s="115" t="s">
        <v>2315</v>
      </c>
      <c r="D924" s="115">
        <v>1</v>
      </c>
      <c r="E924" s="115" t="s">
        <v>2316</v>
      </c>
      <c r="F924" s="115" t="s">
        <v>2317</v>
      </c>
      <c r="G924" s="115" t="s">
        <v>2318</v>
      </c>
      <c r="H924" s="115" t="s">
        <v>2319</v>
      </c>
    </row>
    <row r="925" spans="1:8" ht="345" x14ac:dyDescent="0.25">
      <c r="A925" s="115">
        <v>6925</v>
      </c>
      <c r="B925" s="115" t="s">
        <v>128</v>
      </c>
      <c r="C925" s="115" t="s">
        <v>2320</v>
      </c>
      <c r="D925" s="115">
        <v>1</v>
      </c>
      <c r="E925" s="115" t="s">
        <v>2321</v>
      </c>
      <c r="F925" s="115" t="s">
        <v>2322</v>
      </c>
      <c r="G925" s="115" t="s">
        <v>2323</v>
      </c>
      <c r="H925" s="115" t="s">
        <v>2324</v>
      </c>
    </row>
    <row r="926" spans="1:8" ht="30" x14ac:dyDescent="0.25">
      <c r="A926" s="115">
        <v>6924</v>
      </c>
      <c r="B926" s="115" t="s">
        <v>128</v>
      </c>
      <c r="C926" s="115" t="s">
        <v>2325</v>
      </c>
      <c r="D926" s="115">
        <v>1</v>
      </c>
      <c r="E926" s="115" t="s">
        <v>764</v>
      </c>
      <c r="F926" s="115" t="s">
        <v>765</v>
      </c>
      <c r="G926" s="115" t="s">
        <v>766</v>
      </c>
      <c r="H926" s="115" t="s">
        <v>764</v>
      </c>
    </row>
    <row r="927" spans="1:8" ht="30" x14ac:dyDescent="0.25">
      <c r="A927" s="115">
        <v>6923</v>
      </c>
      <c r="B927" s="115" t="s">
        <v>128</v>
      </c>
      <c r="C927" s="115" t="s">
        <v>2326</v>
      </c>
      <c r="D927" s="115">
        <v>1</v>
      </c>
      <c r="E927" s="115" t="s">
        <v>2327</v>
      </c>
      <c r="F927" s="115" t="s">
        <v>2328</v>
      </c>
      <c r="G927" s="115" t="s">
        <v>2329</v>
      </c>
      <c r="H927" s="115" t="s">
        <v>2330</v>
      </c>
    </row>
    <row r="928" spans="1:8" ht="30" x14ac:dyDescent="0.25">
      <c r="A928" s="115">
        <v>6922</v>
      </c>
      <c r="B928" s="115" t="s">
        <v>128</v>
      </c>
      <c r="C928" s="115" t="s">
        <v>2331</v>
      </c>
      <c r="D928" s="115">
        <v>1</v>
      </c>
      <c r="E928" s="115">
        <v>27017</v>
      </c>
      <c r="F928" s="115">
        <v>27017</v>
      </c>
      <c r="G928" s="115">
        <v>27017</v>
      </c>
      <c r="H928" s="115">
        <v>27017</v>
      </c>
    </row>
    <row r="929" spans="1:8" ht="30" x14ac:dyDescent="0.25">
      <c r="A929" s="115">
        <v>6921</v>
      </c>
      <c r="B929" s="115" t="s">
        <v>128</v>
      </c>
      <c r="C929" s="115" t="s">
        <v>2332</v>
      </c>
      <c r="D929" s="115">
        <v>1</v>
      </c>
      <c r="E929" s="115">
        <v>46593</v>
      </c>
      <c r="F929" s="115">
        <v>46593</v>
      </c>
      <c r="G929" s="115">
        <v>46593</v>
      </c>
      <c r="H929" s="115">
        <v>46593</v>
      </c>
    </row>
    <row r="930" spans="1:8" ht="30" x14ac:dyDescent="0.25">
      <c r="A930" s="115">
        <v>6920</v>
      </c>
      <c r="B930" s="115" t="s">
        <v>128</v>
      </c>
      <c r="C930" s="115" t="s">
        <v>2333</v>
      </c>
      <c r="D930" s="115">
        <v>1</v>
      </c>
      <c r="E930" s="115" t="s">
        <v>491</v>
      </c>
      <c r="F930" s="115" t="s">
        <v>491</v>
      </c>
      <c r="G930" s="115" t="s">
        <v>491</v>
      </c>
      <c r="H930" s="115" t="s">
        <v>74</v>
      </c>
    </row>
    <row r="931" spans="1:8" ht="30" x14ac:dyDescent="0.25">
      <c r="A931" s="115">
        <v>6919</v>
      </c>
      <c r="B931" s="115" t="s">
        <v>128</v>
      </c>
      <c r="C931" s="115" t="s">
        <v>2334</v>
      </c>
      <c r="D931" s="115">
        <v>1</v>
      </c>
      <c r="E931" s="115" t="s">
        <v>491</v>
      </c>
      <c r="F931" s="115" t="s">
        <v>491</v>
      </c>
      <c r="G931" s="115" t="s">
        <v>491</v>
      </c>
      <c r="H931" s="115" t="s">
        <v>74</v>
      </c>
    </row>
    <row r="932" spans="1:8" ht="30" x14ac:dyDescent="0.25">
      <c r="A932" s="115">
        <v>6918</v>
      </c>
      <c r="B932" s="115" t="s">
        <v>128</v>
      </c>
      <c r="C932" s="115" t="s">
        <v>2335</v>
      </c>
      <c r="D932" s="115">
        <v>1</v>
      </c>
      <c r="E932" s="115" t="s">
        <v>519</v>
      </c>
      <c r="F932" s="115" t="s">
        <v>520</v>
      </c>
      <c r="G932" s="115" t="s">
        <v>521</v>
      </c>
      <c r="H932" s="115" t="s">
        <v>522</v>
      </c>
    </row>
    <row r="933" spans="1:8" ht="30" x14ac:dyDescent="0.25">
      <c r="A933" s="115">
        <v>6917</v>
      </c>
      <c r="B933" s="115" t="s">
        <v>128</v>
      </c>
      <c r="C933" s="115" t="s">
        <v>2336</v>
      </c>
      <c r="D933" s="115">
        <v>1</v>
      </c>
      <c r="E933" s="115">
        <v>5</v>
      </c>
      <c r="F933" s="115">
        <v>5</v>
      </c>
      <c r="G933" s="115">
        <v>5</v>
      </c>
      <c r="H933" s="115">
        <v>5</v>
      </c>
    </row>
    <row r="934" spans="1:8" ht="30" x14ac:dyDescent="0.25">
      <c r="A934" s="115">
        <v>6916</v>
      </c>
      <c r="B934" s="115" t="s">
        <v>128</v>
      </c>
      <c r="C934" s="115" t="s">
        <v>2337</v>
      </c>
      <c r="D934" s="115">
        <v>1</v>
      </c>
      <c r="E934" s="115">
        <v>65880</v>
      </c>
      <c r="F934" s="115">
        <v>65880</v>
      </c>
      <c r="G934" s="115">
        <v>65880</v>
      </c>
      <c r="H934" s="115">
        <v>65880</v>
      </c>
    </row>
    <row r="935" spans="1:8" ht="30" x14ac:dyDescent="0.25">
      <c r="A935" s="115">
        <v>6915</v>
      </c>
      <c r="B935" s="115" t="s">
        <v>128</v>
      </c>
      <c r="C935" s="115" t="s">
        <v>2338</v>
      </c>
      <c r="D935" s="115">
        <v>1</v>
      </c>
      <c r="E935" s="115">
        <v>121204</v>
      </c>
      <c r="F935" s="115">
        <v>121204</v>
      </c>
      <c r="G935" s="115">
        <v>121204</v>
      </c>
      <c r="H935" s="115">
        <v>121204</v>
      </c>
    </row>
    <row r="936" spans="1:8" ht="30" x14ac:dyDescent="0.25">
      <c r="A936" s="115">
        <v>6914</v>
      </c>
      <c r="B936" s="115" t="s">
        <v>128</v>
      </c>
      <c r="C936" s="115" t="s">
        <v>2339</v>
      </c>
      <c r="D936" s="115">
        <v>1</v>
      </c>
      <c r="E936" s="115">
        <v>132964</v>
      </c>
      <c r="F936" s="115">
        <v>132964</v>
      </c>
      <c r="G936" s="115">
        <v>132964</v>
      </c>
      <c r="H936" s="115">
        <v>132964</v>
      </c>
    </row>
    <row r="937" spans="1:8" ht="30" x14ac:dyDescent="0.25">
      <c r="A937" s="115">
        <v>6913</v>
      </c>
      <c r="B937" s="115" t="s">
        <v>128</v>
      </c>
      <c r="C937" s="115" t="s">
        <v>2340</v>
      </c>
      <c r="D937" s="115">
        <v>1</v>
      </c>
      <c r="E937" s="115" t="s">
        <v>491</v>
      </c>
      <c r="F937" s="115" t="s">
        <v>491</v>
      </c>
      <c r="G937" s="115" t="s">
        <v>491</v>
      </c>
      <c r="H937" s="115" t="s">
        <v>74</v>
      </c>
    </row>
    <row r="938" spans="1:8" ht="30" x14ac:dyDescent="0.25">
      <c r="A938" s="115">
        <v>6912</v>
      </c>
      <c r="B938" s="115" t="s">
        <v>128</v>
      </c>
      <c r="C938" s="115" t="s">
        <v>2341</v>
      </c>
      <c r="D938" s="115">
        <v>1</v>
      </c>
      <c r="E938" s="115" t="s">
        <v>491</v>
      </c>
      <c r="F938" s="115" t="s">
        <v>491</v>
      </c>
      <c r="G938" s="115" t="s">
        <v>491</v>
      </c>
      <c r="H938" s="115" t="s">
        <v>74</v>
      </c>
    </row>
    <row r="939" spans="1:8" ht="30" x14ac:dyDescent="0.25">
      <c r="A939" s="115">
        <v>6911</v>
      </c>
      <c r="B939" s="115" t="s">
        <v>128</v>
      </c>
      <c r="C939" s="115" t="s">
        <v>2342</v>
      </c>
      <c r="D939" s="115">
        <v>1</v>
      </c>
      <c r="E939" s="115" t="s">
        <v>505</v>
      </c>
      <c r="F939" s="115" t="s">
        <v>506</v>
      </c>
      <c r="G939" s="115" t="s">
        <v>507</v>
      </c>
      <c r="H939" s="115" t="s">
        <v>508</v>
      </c>
    </row>
    <row r="940" spans="1:8" ht="30" x14ac:dyDescent="0.25">
      <c r="A940" s="115">
        <v>6910</v>
      </c>
      <c r="B940" s="115" t="s">
        <v>128</v>
      </c>
      <c r="C940" s="115" t="s">
        <v>2343</v>
      </c>
      <c r="D940" s="115">
        <v>1</v>
      </c>
      <c r="E940" s="115">
        <v>4</v>
      </c>
      <c r="F940" s="115">
        <v>4</v>
      </c>
      <c r="G940" s="115">
        <v>4</v>
      </c>
      <c r="H940" s="115">
        <v>4</v>
      </c>
    </row>
    <row r="941" spans="1:8" ht="30" x14ac:dyDescent="0.25">
      <c r="A941" s="115">
        <v>6909</v>
      </c>
      <c r="B941" s="115" t="s">
        <v>128</v>
      </c>
      <c r="C941" s="115" t="s">
        <v>2344</v>
      </c>
      <c r="D941" s="115">
        <v>1</v>
      </c>
      <c r="E941" s="115">
        <v>223212</v>
      </c>
      <c r="F941" s="115">
        <v>223212</v>
      </c>
      <c r="G941" s="115">
        <v>223212</v>
      </c>
      <c r="H941" s="115">
        <v>223212</v>
      </c>
    </row>
    <row r="942" spans="1:8" ht="30" x14ac:dyDescent="0.25">
      <c r="A942" s="115">
        <v>6908</v>
      </c>
      <c r="B942" s="115" t="s">
        <v>128</v>
      </c>
      <c r="C942" s="115" t="s">
        <v>2345</v>
      </c>
      <c r="D942" s="115">
        <v>1</v>
      </c>
      <c r="E942" s="115">
        <v>145701</v>
      </c>
      <c r="F942" s="115">
        <v>145701</v>
      </c>
      <c r="G942" s="115">
        <v>145701</v>
      </c>
      <c r="H942" s="115">
        <v>145701</v>
      </c>
    </row>
    <row r="943" spans="1:8" ht="30" x14ac:dyDescent="0.25">
      <c r="A943" s="115">
        <v>6907</v>
      </c>
      <c r="B943" s="115" t="s">
        <v>128</v>
      </c>
      <c r="C943" s="115" t="s">
        <v>2346</v>
      </c>
      <c r="D943" s="115">
        <v>1</v>
      </c>
      <c r="E943" s="115">
        <v>258180</v>
      </c>
      <c r="F943" s="115">
        <v>258180</v>
      </c>
      <c r="G943" s="115">
        <v>258180</v>
      </c>
      <c r="H943" s="115">
        <v>258180</v>
      </c>
    </row>
    <row r="944" spans="1:8" ht="30" x14ac:dyDescent="0.25">
      <c r="A944" s="115">
        <v>6906</v>
      </c>
      <c r="B944" s="115" t="s">
        <v>128</v>
      </c>
      <c r="C944" s="115" t="s">
        <v>2347</v>
      </c>
      <c r="D944" s="115">
        <v>1</v>
      </c>
      <c r="E944" s="115" t="s">
        <v>491</v>
      </c>
      <c r="F944" s="115" t="s">
        <v>491</v>
      </c>
      <c r="G944" s="115" t="s">
        <v>491</v>
      </c>
      <c r="H944" s="115" t="s">
        <v>74</v>
      </c>
    </row>
    <row r="945" spans="1:8" ht="30" x14ac:dyDescent="0.25">
      <c r="A945" s="115">
        <v>6905</v>
      </c>
      <c r="B945" s="115" t="s">
        <v>128</v>
      </c>
      <c r="C945" s="115" t="s">
        <v>2348</v>
      </c>
      <c r="D945" s="115">
        <v>1</v>
      </c>
      <c r="E945" s="115" t="s">
        <v>985</v>
      </c>
      <c r="F945" s="115" t="s">
        <v>516</v>
      </c>
      <c r="G945" s="115" t="s">
        <v>985</v>
      </c>
      <c r="H945" s="115" t="s">
        <v>517</v>
      </c>
    </row>
    <row r="946" spans="1:8" ht="30" x14ac:dyDescent="0.25">
      <c r="A946" s="115">
        <v>6904</v>
      </c>
      <c r="B946" s="115" t="s">
        <v>128</v>
      </c>
      <c r="C946" s="115" t="s">
        <v>2349</v>
      </c>
      <c r="D946" s="115">
        <v>1</v>
      </c>
      <c r="E946" s="115" t="s">
        <v>494</v>
      </c>
      <c r="F946" s="115" t="s">
        <v>495</v>
      </c>
      <c r="G946" s="115" t="s">
        <v>638</v>
      </c>
      <c r="H946" s="115" t="s">
        <v>497</v>
      </c>
    </row>
    <row r="947" spans="1:8" ht="30" x14ac:dyDescent="0.25">
      <c r="A947" s="115">
        <v>6903</v>
      </c>
      <c r="B947" s="115" t="s">
        <v>128</v>
      </c>
      <c r="C947" s="115" t="s">
        <v>2350</v>
      </c>
      <c r="D947" s="115">
        <v>1</v>
      </c>
      <c r="E947" s="115">
        <v>3</v>
      </c>
      <c r="F947" s="115">
        <v>3</v>
      </c>
      <c r="G947" s="115">
        <v>3</v>
      </c>
      <c r="H947" s="115">
        <v>3</v>
      </c>
    </row>
    <row r="948" spans="1:8" ht="30" x14ac:dyDescent="0.25">
      <c r="A948" s="115">
        <v>6902</v>
      </c>
      <c r="B948" s="115" t="s">
        <v>128</v>
      </c>
      <c r="C948" s="115" t="s">
        <v>2351</v>
      </c>
      <c r="D948" s="115">
        <v>1</v>
      </c>
      <c r="E948" s="115">
        <v>3349561</v>
      </c>
      <c r="F948" s="115">
        <v>3349561</v>
      </c>
      <c r="G948" s="115">
        <v>3349561</v>
      </c>
      <c r="H948" s="115">
        <v>3349561</v>
      </c>
    </row>
    <row r="949" spans="1:8" ht="30" x14ac:dyDescent="0.25">
      <c r="A949" s="115">
        <v>6901</v>
      </c>
      <c r="B949" s="115" t="s">
        <v>128</v>
      </c>
      <c r="C949" s="115" t="s">
        <v>2352</v>
      </c>
      <c r="D949" s="115">
        <v>1</v>
      </c>
      <c r="E949" s="115">
        <v>1640882</v>
      </c>
      <c r="F949" s="115">
        <v>1640882</v>
      </c>
      <c r="G949" s="115">
        <v>1640882</v>
      </c>
      <c r="H949" s="115">
        <v>1640882</v>
      </c>
    </row>
    <row r="950" spans="1:8" ht="30" x14ac:dyDescent="0.25">
      <c r="A950" s="115">
        <v>6900</v>
      </c>
      <c r="B950" s="115" t="s">
        <v>128</v>
      </c>
      <c r="C950" s="115" t="s">
        <v>2353</v>
      </c>
      <c r="D950" s="115">
        <v>1</v>
      </c>
      <c r="E950" s="115">
        <v>2979272</v>
      </c>
      <c r="F950" s="115">
        <v>2979272</v>
      </c>
      <c r="G950" s="115">
        <v>2979272</v>
      </c>
      <c r="H950" s="115">
        <v>2979272</v>
      </c>
    </row>
    <row r="951" spans="1:8" ht="30" x14ac:dyDescent="0.25">
      <c r="A951" s="115">
        <v>6899</v>
      </c>
      <c r="B951" s="115" t="s">
        <v>128</v>
      </c>
      <c r="C951" s="115" t="s">
        <v>2354</v>
      </c>
      <c r="D951" s="115">
        <v>1</v>
      </c>
      <c r="E951" s="115" t="s">
        <v>2355</v>
      </c>
      <c r="F951" s="115" t="s">
        <v>2356</v>
      </c>
      <c r="G951" s="115" t="s">
        <v>2355</v>
      </c>
      <c r="H951" s="115" t="s">
        <v>2357</v>
      </c>
    </row>
    <row r="952" spans="1:8" ht="30" x14ac:dyDescent="0.25">
      <c r="A952" s="115">
        <v>6898</v>
      </c>
      <c r="B952" s="115" t="s">
        <v>128</v>
      </c>
      <c r="C952" s="115" t="s">
        <v>2358</v>
      </c>
      <c r="D952" s="115">
        <v>1</v>
      </c>
      <c r="E952" s="115" t="s">
        <v>532</v>
      </c>
      <c r="F952" s="115" t="s">
        <v>533</v>
      </c>
      <c r="G952" s="115" t="s">
        <v>532</v>
      </c>
      <c r="H952" s="115" t="s">
        <v>534</v>
      </c>
    </row>
    <row r="953" spans="1:8" ht="30" x14ac:dyDescent="0.25">
      <c r="A953" s="115">
        <v>6897</v>
      </c>
      <c r="B953" s="115" t="s">
        <v>128</v>
      </c>
      <c r="C953" s="115" t="s">
        <v>2359</v>
      </c>
      <c r="D953" s="115">
        <v>1</v>
      </c>
      <c r="E953" s="115" t="s">
        <v>536</v>
      </c>
      <c r="F953" s="115" t="s">
        <v>536</v>
      </c>
      <c r="G953" s="115" t="s">
        <v>537</v>
      </c>
      <c r="H953" s="115" t="s">
        <v>538</v>
      </c>
    </row>
    <row r="954" spans="1:8" ht="30" x14ac:dyDescent="0.25">
      <c r="A954" s="115">
        <v>6896</v>
      </c>
      <c r="B954" s="115" t="s">
        <v>128</v>
      </c>
      <c r="C954" s="115" t="s">
        <v>2360</v>
      </c>
      <c r="D954" s="115">
        <v>1</v>
      </c>
      <c r="E954" s="115">
        <v>2</v>
      </c>
      <c r="F954" s="115">
        <v>2</v>
      </c>
      <c r="G954" s="115">
        <v>2</v>
      </c>
      <c r="H954" s="115">
        <v>2</v>
      </c>
    </row>
    <row r="955" spans="1:8" ht="30" x14ac:dyDescent="0.25">
      <c r="A955" s="115">
        <v>6895</v>
      </c>
      <c r="B955" s="115" t="s">
        <v>128</v>
      </c>
      <c r="C955" s="115" t="s">
        <v>2361</v>
      </c>
      <c r="D955" s="115">
        <v>1</v>
      </c>
      <c r="E955" s="115">
        <v>1723440</v>
      </c>
      <c r="F955" s="115">
        <v>1723440</v>
      </c>
      <c r="G955" s="115">
        <v>1723440</v>
      </c>
      <c r="H955" s="115">
        <v>1723440</v>
      </c>
    </row>
    <row r="956" spans="1:8" ht="30" x14ac:dyDescent="0.25">
      <c r="A956" s="115">
        <v>6894</v>
      </c>
      <c r="B956" s="115" t="s">
        <v>128</v>
      </c>
      <c r="C956" s="115" t="s">
        <v>2362</v>
      </c>
      <c r="D956" s="115">
        <v>1</v>
      </c>
      <c r="E956" s="115">
        <v>2708173</v>
      </c>
      <c r="F956" s="115">
        <v>2708173</v>
      </c>
      <c r="G956" s="115">
        <v>2708173</v>
      </c>
      <c r="H956" s="115">
        <v>2708173</v>
      </c>
    </row>
    <row r="957" spans="1:8" ht="30" x14ac:dyDescent="0.25">
      <c r="A957" s="115">
        <v>6893</v>
      </c>
      <c r="B957" s="115" t="s">
        <v>128</v>
      </c>
      <c r="C957" s="115" t="s">
        <v>2363</v>
      </c>
      <c r="D957" s="115">
        <v>1</v>
      </c>
      <c r="E957" s="115">
        <v>2168070</v>
      </c>
      <c r="F957" s="115">
        <v>2168070</v>
      </c>
      <c r="G957" s="115">
        <v>2168070</v>
      </c>
      <c r="H957" s="115">
        <v>2168070</v>
      </c>
    </row>
    <row r="958" spans="1:8" ht="30" x14ac:dyDescent="0.25">
      <c r="A958" s="115">
        <v>6892</v>
      </c>
      <c r="B958" s="115" t="s">
        <v>128</v>
      </c>
      <c r="C958" s="115" t="s">
        <v>2364</v>
      </c>
      <c r="D958" s="115">
        <v>1</v>
      </c>
      <c r="E958" s="115" t="s">
        <v>2365</v>
      </c>
      <c r="F958" s="115" t="s">
        <v>2366</v>
      </c>
      <c r="G958" s="115" t="s">
        <v>2365</v>
      </c>
      <c r="H958" s="115" t="s">
        <v>2367</v>
      </c>
    </row>
    <row r="959" spans="1:8" ht="30" x14ac:dyDescent="0.25">
      <c r="A959" s="115">
        <v>6891</v>
      </c>
      <c r="B959" s="115" t="s">
        <v>128</v>
      </c>
      <c r="C959" s="115" t="s">
        <v>2368</v>
      </c>
      <c r="D959" s="115">
        <v>1</v>
      </c>
      <c r="E959" s="115" t="s">
        <v>548</v>
      </c>
      <c r="F959" s="115" t="s">
        <v>549</v>
      </c>
      <c r="G959" s="115" t="s">
        <v>548</v>
      </c>
      <c r="H959" s="115" t="s">
        <v>550</v>
      </c>
    </row>
    <row r="960" spans="1:8" ht="30" x14ac:dyDescent="0.25">
      <c r="A960" s="115">
        <v>6890</v>
      </c>
      <c r="B960" s="115" t="s">
        <v>128</v>
      </c>
      <c r="C960" s="115" t="s">
        <v>2369</v>
      </c>
      <c r="D960" s="115">
        <v>1</v>
      </c>
      <c r="E960" s="115" t="s">
        <v>552</v>
      </c>
      <c r="F960" s="115" t="s">
        <v>553</v>
      </c>
      <c r="G960" s="115" t="s">
        <v>649</v>
      </c>
      <c r="H960" s="115" t="s">
        <v>555</v>
      </c>
    </row>
    <row r="961" spans="1:8" ht="30" x14ac:dyDescent="0.25">
      <c r="A961" s="115">
        <v>6889</v>
      </c>
      <c r="B961" s="115" t="s">
        <v>128</v>
      </c>
      <c r="C961" s="115" t="s">
        <v>2370</v>
      </c>
      <c r="D961" s="115">
        <v>1</v>
      </c>
      <c r="E961" s="115">
        <v>1</v>
      </c>
      <c r="F961" s="115">
        <v>1</v>
      </c>
      <c r="G961" s="115">
        <v>1</v>
      </c>
      <c r="H961" s="115">
        <v>1</v>
      </c>
    </row>
    <row r="962" spans="1:8" ht="30" x14ac:dyDescent="0.25">
      <c r="A962" s="115">
        <v>6888</v>
      </c>
      <c r="B962" s="115" t="s">
        <v>128</v>
      </c>
      <c r="C962" s="115" t="s">
        <v>2371</v>
      </c>
      <c r="D962" s="115">
        <v>1</v>
      </c>
      <c r="E962" s="115">
        <v>5160000</v>
      </c>
      <c r="F962" s="115">
        <v>5160000</v>
      </c>
      <c r="G962" s="115">
        <v>5160000</v>
      </c>
      <c r="H962" s="115">
        <v>5160000</v>
      </c>
    </row>
    <row r="963" spans="1:8" ht="45" x14ac:dyDescent="0.25">
      <c r="A963" s="115">
        <v>6887</v>
      </c>
      <c r="B963" s="115" t="s">
        <v>128</v>
      </c>
      <c r="C963" s="115" t="s">
        <v>2372</v>
      </c>
      <c r="D963" s="115">
        <v>1</v>
      </c>
      <c r="E963" s="115" t="s">
        <v>559</v>
      </c>
      <c r="F963" s="115" t="s">
        <v>559</v>
      </c>
      <c r="G963" s="115" t="s">
        <v>560</v>
      </c>
      <c r="H963" s="115" t="s">
        <v>561</v>
      </c>
    </row>
    <row r="964" spans="1:8" ht="255" x14ac:dyDescent="0.25">
      <c r="A964" s="115">
        <v>6886</v>
      </c>
      <c r="B964" s="115" t="s">
        <v>128</v>
      </c>
      <c r="C964" s="115" t="s">
        <v>2373</v>
      </c>
      <c r="D964" s="115">
        <v>1</v>
      </c>
      <c r="E964" s="115" t="s">
        <v>2374</v>
      </c>
      <c r="F964" s="115" t="s">
        <v>2375</v>
      </c>
      <c r="G964" s="115" t="s">
        <v>2376</v>
      </c>
      <c r="H964" s="115" t="s">
        <v>2377</v>
      </c>
    </row>
    <row r="965" spans="1:8" ht="30" x14ac:dyDescent="0.25">
      <c r="A965" s="115">
        <v>6885</v>
      </c>
      <c r="B965" s="115" t="s">
        <v>128</v>
      </c>
      <c r="C965" s="115" t="s">
        <v>2378</v>
      </c>
      <c r="D965" s="115">
        <v>1</v>
      </c>
      <c r="E965" s="115" t="s">
        <v>2379</v>
      </c>
      <c r="F965" s="115" t="s">
        <v>2380</v>
      </c>
      <c r="G965" s="115" t="s">
        <v>2381</v>
      </c>
      <c r="H965" s="115" t="s">
        <v>2382</v>
      </c>
    </row>
    <row r="966" spans="1:8" ht="30" x14ac:dyDescent="0.25">
      <c r="A966" s="115">
        <v>6884</v>
      </c>
      <c r="B966" s="115" t="s">
        <v>128</v>
      </c>
      <c r="C966" s="115" t="s">
        <v>2383</v>
      </c>
      <c r="D966" s="115">
        <v>1</v>
      </c>
      <c r="E966" s="115" t="s">
        <v>764</v>
      </c>
      <c r="F966" s="115" t="s">
        <v>765</v>
      </c>
      <c r="G966" s="115" t="s">
        <v>766</v>
      </c>
      <c r="H966" s="115" t="s">
        <v>764</v>
      </c>
    </row>
    <row r="967" spans="1:8" ht="45" x14ac:dyDescent="0.25">
      <c r="A967" s="115">
        <v>6883</v>
      </c>
      <c r="B967" s="115" t="s">
        <v>128</v>
      </c>
      <c r="C967" s="115" t="s">
        <v>2384</v>
      </c>
      <c r="D967" s="115">
        <v>1</v>
      </c>
      <c r="E967" s="115" t="s">
        <v>2385</v>
      </c>
      <c r="F967" s="115" t="s">
        <v>2386</v>
      </c>
      <c r="G967" s="115" t="s">
        <v>2387</v>
      </c>
      <c r="H967" s="115" t="s">
        <v>2388</v>
      </c>
    </row>
    <row r="968" spans="1:8" ht="30" x14ac:dyDescent="0.25">
      <c r="A968" s="115">
        <v>6882</v>
      </c>
      <c r="B968" s="115" t="s">
        <v>128</v>
      </c>
      <c r="C968" s="115" t="s">
        <v>2389</v>
      </c>
      <c r="D968" s="115">
        <v>1</v>
      </c>
      <c r="E968" s="115">
        <v>74</v>
      </c>
      <c r="F968" s="115">
        <v>74</v>
      </c>
      <c r="G968" s="115">
        <v>74</v>
      </c>
      <c r="H968" s="115">
        <v>74</v>
      </c>
    </row>
    <row r="969" spans="1:8" ht="30" x14ac:dyDescent="0.25">
      <c r="A969" s="115">
        <v>6881</v>
      </c>
      <c r="B969" s="115" t="s">
        <v>128</v>
      </c>
      <c r="C969" s="115" t="s">
        <v>2390</v>
      </c>
      <c r="D969" s="115">
        <v>1</v>
      </c>
      <c r="E969" s="115" t="s">
        <v>2391</v>
      </c>
      <c r="F969" s="115" t="s">
        <v>2392</v>
      </c>
      <c r="G969" s="115" t="s">
        <v>2393</v>
      </c>
      <c r="H969" s="115" t="s">
        <v>2394</v>
      </c>
    </row>
    <row r="970" spans="1:8" ht="30" x14ac:dyDescent="0.25">
      <c r="A970" s="115">
        <v>6880</v>
      </c>
      <c r="B970" s="115" t="s">
        <v>128</v>
      </c>
      <c r="C970" s="115" t="s">
        <v>2395</v>
      </c>
      <c r="D970" s="115">
        <v>1</v>
      </c>
      <c r="E970" s="115" t="s">
        <v>2110</v>
      </c>
      <c r="F970" s="115" t="s">
        <v>2110</v>
      </c>
      <c r="G970" s="115" t="s">
        <v>2110</v>
      </c>
      <c r="H970" s="115" t="s">
        <v>2110</v>
      </c>
    </row>
    <row r="971" spans="1:8" ht="30" x14ac:dyDescent="0.25">
      <c r="A971" s="115">
        <v>6879</v>
      </c>
      <c r="B971" s="115" t="s">
        <v>128</v>
      </c>
      <c r="C971" s="115" t="s">
        <v>2396</v>
      </c>
      <c r="D971" s="115">
        <v>1</v>
      </c>
      <c r="E971" s="115">
        <v>67</v>
      </c>
      <c r="F971" s="115">
        <v>67</v>
      </c>
      <c r="G971" s="115">
        <v>67</v>
      </c>
      <c r="H971" s="115">
        <v>67</v>
      </c>
    </row>
    <row r="972" spans="1:8" ht="30" x14ac:dyDescent="0.25">
      <c r="A972" s="115">
        <v>6878</v>
      </c>
      <c r="B972" s="115" t="s">
        <v>128</v>
      </c>
      <c r="C972" s="115" t="s">
        <v>2397</v>
      </c>
      <c r="D972" s="115">
        <v>1</v>
      </c>
      <c r="E972" s="115" t="s">
        <v>2398</v>
      </c>
      <c r="F972" s="115" t="s">
        <v>2399</v>
      </c>
      <c r="G972" s="115" t="s">
        <v>2400</v>
      </c>
      <c r="H972" s="115" t="s">
        <v>2401</v>
      </c>
    </row>
    <row r="973" spans="1:8" ht="30" x14ac:dyDescent="0.25">
      <c r="A973" s="115">
        <v>6877</v>
      </c>
      <c r="B973" s="115" t="s">
        <v>128</v>
      </c>
      <c r="C973" s="115" t="s">
        <v>2402</v>
      </c>
      <c r="D973" s="115">
        <v>1</v>
      </c>
      <c r="E973" s="115" t="s">
        <v>2403</v>
      </c>
      <c r="F973" s="115" t="s">
        <v>2403</v>
      </c>
      <c r="G973" s="115" t="s">
        <v>2403</v>
      </c>
      <c r="H973" s="115" t="s">
        <v>2403</v>
      </c>
    </row>
    <row r="974" spans="1:8" ht="30" x14ac:dyDescent="0.25">
      <c r="A974" s="115">
        <v>6876</v>
      </c>
      <c r="B974" s="115" t="s">
        <v>128</v>
      </c>
      <c r="C974" s="115" t="s">
        <v>2404</v>
      </c>
      <c r="D974" s="115">
        <v>1</v>
      </c>
      <c r="E974" s="115">
        <v>60</v>
      </c>
      <c r="F974" s="115">
        <v>60</v>
      </c>
      <c r="G974" s="115">
        <v>60</v>
      </c>
      <c r="H974" s="115">
        <v>60</v>
      </c>
    </row>
    <row r="975" spans="1:8" ht="30" x14ac:dyDescent="0.25">
      <c r="A975" s="115">
        <v>6875</v>
      </c>
      <c r="B975" s="115" t="s">
        <v>128</v>
      </c>
      <c r="C975" s="115" t="s">
        <v>2405</v>
      </c>
      <c r="D975" s="115">
        <v>1</v>
      </c>
      <c r="E975" s="115" t="s">
        <v>2406</v>
      </c>
      <c r="F975" s="115" t="s">
        <v>2407</v>
      </c>
      <c r="G975" s="115" t="s">
        <v>2408</v>
      </c>
      <c r="H975" s="115" t="s">
        <v>2409</v>
      </c>
    </row>
    <row r="976" spans="1:8" ht="30" x14ac:dyDescent="0.25">
      <c r="A976" s="115">
        <v>6874</v>
      </c>
      <c r="B976" s="115" t="s">
        <v>128</v>
      </c>
      <c r="C976" s="115" t="s">
        <v>2410</v>
      </c>
      <c r="D976" s="115">
        <v>1</v>
      </c>
      <c r="E976" s="115" t="s">
        <v>2411</v>
      </c>
      <c r="F976" s="115" t="s">
        <v>2411</v>
      </c>
      <c r="G976" s="115" t="s">
        <v>2411</v>
      </c>
      <c r="H976" s="115" t="s">
        <v>2411</v>
      </c>
    </row>
    <row r="977" spans="1:8" ht="30" x14ac:dyDescent="0.25">
      <c r="A977" s="115">
        <v>6873</v>
      </c>
      <c r="B977" s="115" t="s">
        <v>128</v>
      </c>
      <c r="C977" s="115" t="s">
        <v>2412</v>
      </c>
      <c r="D977" s="115">
        <v>1</v>
      </c>
      <c r="E977" s="115">
        <v>56</v>
      </c>
      <c r="F977" s="115">
        <v>56</v>
      </c>
      <c r="G977" s="115">
        <v>56</v>
      </c>
      <c r="H977" s="115">
        <v>56</v>
      </c>
    </row>
    <row r="978" spans="1:8" ht="30" x14ac:dyDescent="0.25">
      <c r="A978" s="115">
        <v>6872</v>
      </c>
      <c r="B978" s="115" t="s">
        <v>128</v>
      </c>
      <c r="C978" s="115" t="s">
        <v>2413</v>
      </c>
      <c r="D978" s="115">
        <v>1</v>
      </c>
      <c r="E978" s="115" t="s">
        <v>2414</v>
      </c>
      <c r="F978" s="115" t="s">
        <v>2415</v>
      </c>
      <c r="G978" s="115" t="s">
        <v>2416</v>
      </c>
      <c r="H978" s="115" t="s">
        <v>2417</v>
      </c>
    </row>
    <row r="979" spans="1:8" ht="30" x14ac:dyDescent="0.25">
      <c r="A979" s="115">
        <v>6871</v>
      </c>
      <c r="B979" s="115" t="s">
        <v>128</v>
      </c>
      <c r="C979" s="115" t="s">
        <v>2418</v>
      </c>
      <c r="D979" s="115">
        <v>1</v>
      </c>
      <c r="E979" s="115" t="s">
        <v>2419</v>
      </c>
      <c r="F979" s="115" t="s">
        <v>2419</v>
      </c>
      <c r="G979" s="115" t="s">
        <v>2419</v>
      </c>
      <c r="H979" s="115" t="s">
        <v>2419</v>
      </c>
    </row>
    <row r="980" spans="1:8" ht="30" x14ac:dyDescent="0.25">
      <c r="A980" s="115">
        <v>6870</v>
      </c>
      <c r="B980" s="115" t="s">
        <v>128</v>
      </c>
      <c r="C980" s="115" t="s">
        <v>2420</v>
      </c>
      <c r="D980" s="115">
        <v>1</v>
      </c>
      <c r="E980" s="115">
        <v>56</v>
      </c>
      <c r="F980" s="115">
        <v>56</v>
      </c>
      <c r="G980" s="115">
        <v>56</v>
      </c>
      <c r="H980" s="115">
        <v>56</v>
      </c>
    </row>
    <row r="981" spans="1:8" ht="30" x14ac:dyDescent="0.25">
      <c r="A981" s="115">
        <v>6869</v>
      </c>
      <c r="B981" s="115" t="s">
        <v>128</v>
      </c>
      <c r="C981" s="115" t="s">
        <v>2421</v>
      </c>
      <c r="D981" s="115">
        <v>1</v>
      </c>
      <c r="E981" s="115" t="s">
        <v>2422</v>
      </c>
      <c r="F981" s="115" t="s">
        <v>2422</v>
      </c>
      <c r="G981" s="115" t="s">
        <v>2423</v>
      </c>
      <c r="H981" s="115" t="s">
        <v>2424</v>
      </c>
    </row>
    <row r="982" spans="1:8" ht="30" x14ac:dyDescent="0.25">
      <c r="A982" s="115">
        <v>6868</v>
      </c>
      <c r="B982" s="115" t="s">
        <v>128</v>
      </c>
      <c r="C982" s="115" t="s">
        <v>2425</v>
      </c>
      <c r="D982" s="115">
        <v>1</v>
      </c>
      <c r="E982" s="115" t="s">
        <v>2426</v>
      </c>
      <c r="F982" s="115" t="s">
        <v>2426</v>
      </c>
      <c r="G982" s="115" t="s">
        <v>2426</v>
      </c>
      <c r="H982" s="115" t="s">
        <v>2426</v>
      </c>
    </row>
    <row r="983" spans="1:8" ht="30" x14ac:dyDescent="0.25">
      <c r="A983" s="115">
        <v>6867</v>
      </c>
      <c r="B983" s="115" t="s">
        <v>128</v>
      </c>
      <c r="C983" s="115" t="s">
        <v>2427</v>
      </c>
      <c r="D983" s="115">
        <v>1</v>
      </c>
      <c r="E983" s="115">
        <v>35</v>
      </c>
      <c r="F983" s="115">
        <v>35</v>
      </c>
      <c r="G983" s="115">
        <v>35</v>
      </c>
      <c r="H983" s="115">
        <v>35</v>
      </c>
    </row>
    <row r="984" spans="1:8" ht="30" x14ac:dyDescent="0.25">
      <c r="A984" s="115">
        <v>6866</v>
      </c>
      <c r="B984" s="115" t="s">
        <v>128</v>
      </c>
      <c r="C984" s="115" t="s">
        <v>2428</v>
      </c>
      <c r="D984" s="115">
        <v>1</v>
      </c>
      <c r="E984" s="115" t="s">
        <v>2429</v>
      </c>
      <c r="F984" s="115" t="s">
        <v>2430</v>
      </c>
      <c r="G984" s="115" t="s">
        <v>2431</v>
      </c>
      <c r="H984" s="115" t="s">
        <v>2432</v>
      </c>
    </row>
    <row r="985" spans="1:8" ht="30" x14ac:dyDescent="0.25">
      <c r="A985" s="115">
        <v>6865</v>
      </c>
      <c r="B985" s="115" t="s">
        <v>128</v>
      </c>
      <c r="C985" s="115" t="s">
        <v>2433</v>
      </c>
      <c r="D985" s="115">
        <v>1</v>
      </c>
      <c r="E985" s="115" t="s">
        <v>2434</v>
      </c>
      <c r="F985" s="115" t="s">
        <v>2434</v>
      </c>
      <c r="G985" s="115" t="s">
        <v>2434</v>
      </c>
      <c r="H985" s="115" t="s">
        <v>2434</v>
      </c>
    </row>
    <row r="986" spans="1:8" ht="30" x14ac:dyDescent="0.25">
      <c r="A986" s="115">
        <v>6864</v>
      </c>
      <c r="B986" s="115" t="s">
        <v>128</v>
      </c>
      <c r="C986" s="115" t="s">
        <v>2435</v>
      </c>
      <c r="D986" s="115">
        <v>1</v>
      </c>
      <c r="E986" s="115">
        <v>32</v>
      </c>
      <c r="F986" s="115">
        <v>32</v>
      </c>
      <c r="G986" s="115">
        <v>32</v>
      </c>
      <c r="H986" s="115">
        <v>32</v>
      </c>
    </row>
    <row r="987" spans="1:8" ht="30" x14ac:dyDescent="0.25">
      <c r="A987" s="115">
        <v>6863</v>
      </c>
      <c r="B987" s="115" t="s">
        <v>128</v>
      </c>
      <c r="C987" s="115" t="s">
        <v>2436</v>
      </c>
      <c r="D987" s="115">
        <v>1</v>
      </c>
      <c r="E987" s="115" t="s">
        <v>2437</v>
      </c>
      <c r="F987" s="115" t="s">
        <v>2438</v>
      </c>
      <c r="G987" s="115" t="s">
        <v>2439</v>
      </c>
      <c r="H987" s="115" t="s">
        <v>2440</v>
      </c>
    </row>
    <row r="988" spans="1:8" ht="30" x14ac:dyDescent="0.25">
      <c r="A988" s="115">
        <v>6862</v>
      </c>
      <c r="B988" s="115" t="s">
        <v>128</v>
      </c>
      <c r="C988" s="115" t="s">
        <v>2441</v>
      </c>
      <c r="D988" s="115">
        <v>1</v>
      </c>
      <c r="E988" s="115" t="s">
        <v>2442</v>
      </c>
      <c r="F988" s="115" t="s">
        <v>2442</v>
      </c>
      <c r="G988" s="115" t="s">
        <v>2442</v>
      </c>
      <c r="H988" s="115" t="s">
        <v>2442</v>
      </c>
    </row>
    <row r="989" spans="1:8" ht="30" x14ac:dyDescent="0.25">
      <c r="A989" s="115">
        <v>6861</v>
      </c>
      <c r="B989" s="115" t="s">
        <v>128</v>
      </c>
      <c r="C989" s="115" t="s">
        <v>2443</v>
      </c>
      <c r="D989" s="115">
        <v>1</v>
      </c>
      <c r="E989" s="115">
        <v>20</v>
      </c>
      <c r="F989" s="115">
        <v>20</v>
      </c>
      <c r="G989" s="115">
        <v>20</v>
      </c>
      <c r="H989" s="115">
        <v>20</v>
      </c>
    </row>
    <row r="990" spans="1:8" ht="30" x14ac:dyDescent="0.25">
      <c r="A990" s="115">
        <v>6860</v>
      </c>
      <c r="B990" s="115" t="s">
        <v>128</v>
      </c>
      <c r="C990" s="115" t="s">
        <v>2444</v>
      </c>
      <c r="D990" s="115">
        <v>1</v>
      </c>
      <c r="E990" s="115" t="s">
        <v>2445</v>
      </c>
      <c r="F990" s="115" t="s">
        <v>2446</v>
      </c>
      <c r="G990" s="115" t="s">
        <v>2447</v>
      </c>
      <c r="H990" s="115" t="s">
        <v>2448</v>
      </c>
    </row>
    <row r="991" spans="1:8" ht="30" x14ac:dyDescent="0.25">
      <c r="A991" s="115">
        <v>6859</v>
      </c>
      <c r="B991" s="115" t="s">
        <v>128</v>
      </c>
      <c r="C991" s="115" t="s">
        <v>2449</v>
      </c>
      <c r="D991" s="115">
        <v>1</v>
      </c>
      <c r="E991" s="115" t="s">
        <v>2096</v>
      </c>
      <c r="F991" s="115" t="s">
        <v>2096</v>
      </c>
      <c r="G991" s="115" t="s">
        <v>2096</v>
      </c>
      <c r="H991" s="115" t="s">
        <v>2096</v>
      </c>
    </row>
    <row r="992" spans="1:8" ht="30" x14ac:dyDescent="0.25">
      <c r="A992" s="115">
        <v>6858</v>
      </c>
      <c r="B992" s="115" t="s">
        <v>128</v>
      </c>
      <c r="C992" s="115" t="s">
        <v>2450</v>
      </c>
      <c r="D992" s="115">
        <v>1</v>
      </c>
      <c r="E992" s="115">
        <v>83</v>
      </c>
      <c r="F992" s="115">
        <v>83</v>
      </c>
      <c r="G992" s="115">
        <v>83</v>
      </c>
      <c r="H992" s="115">
        <v>83</v>
      </c>
    </row>
    <row r="993" spans="1:8" ht="30" x14ac:dyDescent="0.25">
      <c r="A993" s="115">
        <v>6857</v>
      </c>
      <c r="B993" s="115" t="s">
        <v>128</v>
      </c>
      <c r="C993" s="115" t="s">
        <v>2451</v>
      </c>
      <c r="D993" s="115">
        <v>1</v>
      </c>
      <c r="E993" s="115" t="s">
        <v>2452</v>
      </c>
      <c r="F993" s="115" t="s">
        <v>2453</v>
      </c>
      <c r="G993" s="115" t="s">
        <v>2454</v>
      </c>
      <c r="H993" s="115" t="s">
        <v>2455</v>
      </c>
    </row>
    <row r="994" spans="1:8" ht="30" x14ac:dyDescent="0.25">
      <c r="A994" s="115">
        <v>6856</v>
      </c>
      <c r="B994" s="115" t="s">
        <v>128</v>
      </c>
      <c r="C994" s="115" t="s">
        <v>2456</v>
      </c>
      <c r="D994" s="115">
        <v>1</v>
      </c>
      <c r="E994" s="115" t="s">
        <v>2457</v>
      </c>
      <c r="F994" s="115" t="s">
        <v>2457</v>
      </c>
      <c r="G994" s="115" t="s">
        <v>2457</v>
      </c>
      <c r="H994" s="115" t="s">
        <v>2457</v>
      </c>
    </row>
    <row r="995" spans="1:8" ht="30" x14ac:dyDescent="0.25">
      <c r="A995" s="115">
        <v>6855</v>
      </c>
      <c r="B995" s="115" t="s">
        <v>128</v>
      </c>
      <c r="C995" s="115" t="s">
        <v>2458</v>
      </c>
      <c r="D995" s="115">
        <v>1</v>
      </c>
      <c r="E995" s="115">
        <v>13</v>
      </c>
      <c r="F995" s="115">
        <v>13</v>
      </c>
      <c r="G995" s="115">
        <v>13</v>
      </c>
      <c r="H995" s="115">
        <v>13</v>
      </c>
    </row>
    <row r="996" spans="1:8" ht="30" x14ac:dyDescent="0.25">
      <c r="A996" s="115">
        <v>6854</v>
      </c>
      <c r="B996" s="115" t="s">
        <v>128</v>
      </c>
      <c r="C996" s="115" t="s">
        <v>2459</v>
      </c>
      <c r="D996" s="115">
        <v>1</v>
      </c>
      <c r="E996" s="115" t="s">
        <v>2460</v>
      </c>
      <c r="F996" s="115" t="s">
        <v>2461</v>
      </c>
      <c r="G996" s="115" t="s">
        <v>2462</v>
      </c>
      <c r="H996" s="115" t="s">
        <v>2463</v>
      </c>
    </row>
    <row r="997" spans="1:8" ht="30" x14ac:dyDescent="0.25">
      <c r="A997" s="115">
        <v>6853</v>
      </c>
      <c r="B997" s="115" t="s">
        <v>128</v>
      </c>
      <c r="C997" s="115" t="s">
        <v>2464</v>
      </c>
      <c r="D997" s="115">
        <v>1</v>
      </c>
      <c r="E997" s="115" t="s">
        <v>2465</v>
      </c>
      <c r="F997" s="115" t="s">
        <v>2465</v>
      </c>
      <c r="G997" s="115" t="s">
        <v>2465</v>
      </c>
      <c r="H997" s="115" t="s">
        <v>2465</v>
      </c>
    </row>
    <row r="998" spans="1:8" ht="30" x14ac:dyDescent="0.25">
      <c r="A998" s="115">
        <v>6852</v>
      </c>
      <c r="B998" s="115" t="s">
        <v>128</v>
      </c>
      <c r="C998" s="115" t="s">
        <v>2466</v>
      </c>
      <c r="D998" s="115">
        <v>1</v>
      </c>
      <c r="E998" s="115">
        <v>11</v>
      </c>
      <c r="F998" s="115">
        <v>11</v>
      </c>
      <c r="G998" s="115">
        <v>11</v>
      </c>
      <c r="H998" s="115">
        <v>11</v>
      </c>
    </row>
    <row r="999" spans="1:8" ht="30" x14ac:dyDescent="0.25">
      <c r="A999" s="115">
        <v>6851</v>
      </c>
      <c r="B999" s="115" t="s">
        <v>128</v>
      </c>
      <c r="C999" s="115" t="s">
        <v>2467</v>
      </c>
      <c r="D999" s="115">
        <v>1</v>
      </c>
      <c r="E999" s="115" t="s">
        <v>2468</v>
      </c>
      <c r="F999" s="115" t="s">
        <v>2469</v>
      </c>
      <c r="G999" s="115" t="s">
        <v>2470</v>
      </c>
      <c r="H999" s="115" t="s">
        <v>2471</v>
      </c>
    </row>
    <row r="1000" spans="1:8" ht="30" x14ac:dyDescent="0.25">
      <c r="A1000" s="115">
        <v>6850</v>
      </c>
      <c r="B1000" s="115" t="s">
        <v>128</v>
      </c>
      <c r="C1000" s="115" t="s">
        <v>2472</v>
      </c>
      <c r="D1000" s="115">
        <v>1</v>
      </c>
      <c r="E1000" s="115" t="s">
        <v>2473</v>
      </c>
      <c r="F1000" s="115" t="s">
        <v>2473</v>
      </c>
      <c r="G1000" s="115" t="s">
        <v>2473</v>
      </c>
      <c r="H1000" s="115" t="s">
        <v>2473</v>
      </c>
    </row>
    <row r="1001" spans="1:8" ht="30" x14ac:dyDescent="0.25">
      <c r="A1001" s="115">
        <v>6849</v>
      </c>
      <c r="B1001" s="115" t="s">
        <v>128</v>
      </c>
      <c r="C1001" s="115" t="s">
        <v>2474</v>
      </c>
      <c r="D1001" s="115">
        <v>1</v>
      </c>
      <c r="E1001" s="115" t="s">
        <v>2306</v>
      </c>
      <c r="F1001" s="115" t="s">
        <v>2307</v>
      </c>
      <c r="G1001" s="115" t="s">
        <v>2308</v>
      </c>
      <c r="H1001" s="115" t="s">
        <v>2309</v>
      </c>
    </row>
    <row r="1002" spans="1:8" ht="105" x14ac:dyDescent="0.25">
      <c r="A1002" s="115">
        <v>6848</v>
      </c>
      <c r="B1002" s="115" t="s">
        <v>128</v>
      </c>
      <c r="C1002" s="115" t="s">
        <v>2475</v>
      </c>
      <c r="D1002" s="115">
        <v>1</v>
      </c>
      <c r="E1002" s="115" t="s">
        <v>2476</v>
      </c>
      <c r="F1002" s="115" t="s">
        <v>2477</v>
      </c>
      <c r="G1002" s="115" t="s">
        <v>2478</v>
      </c>
      <c r="H1002" s="115" t="s">
        <v>2479</v>
      </c>
    </row>
    <row r="1003" spans="1:8" ht="30" x14ac:dyDescent="0.25">
      <c r="A1003" s="115">
        <v>6847</v>
      </c>
      <c r="B1003" s="115" t="s">
        <v>128</v>
      </c>
      <c r="C1003" s="115" t="s">
        <v>2480</v>
      </c>
      <c r="D1003" s="115">
        <v>1</v>
      </c>
      <c r="E1003" s="115" t="s">
        <v>764</v>
      </c>
      <c r="F1003" s="115" t="s">
        <v>765</v>
      </c>
      <c r="G1003" s="115" t="s">
        <v>766</v>
      </c>
      <c r="H1003" s="115" t="s">
        <v>764</v>
      </c>
    </row>
    <row r="1004" spans="1:8" ht="45" x14ac:dyDescent="0.25">
      <c r="A1004" s="115">
        <v>6846</v>
      </c>
      <c r="B1004" s="115" t="s">
        <v>128</v>
      </c>
      <c r="C1004" s="115" t="s">
        <v>2481</v>
      </c>
      <c r="D1004" s="115">
        <v>1</v>
      </c>
      <c r="E1004" s="115" t="s">
        <v>2482</v>
      </c>
      <c r="F1004" s="115" t="s">
        <v>2483</v>
      </c>
      <c r="G1004" s="115" t="s">
        <v>2484</v>
      </c>
      <c r="H1004" s="115" t="s">
        <v>2485</v>
      </c>
    </row>
    <row r="1005" spans="1:8" ht="30" x14ac:dyDescent="0.25">
      <c r="A1005" s="115">
        <v>6845</v>
      </c>
      <c r="B1005" s="115" t="s">
        <v>128</v>
      </c>
      <c r="C1005" s="115" t="s">
        <v>2486</v>
      </c>
      <c r="D1005" s="115">
        <v>1</v>
      </c>
      <c r="E1005" s="115">
        <v>66</v>
      </c>
      <c r="F1005" s="115">
        <v>66</v>
      </c>
      <c r="G1005" s="115">
        <v>66</v>
      </c>
      <c r="H1005" s="115">
        <v>66</v>
      </c>
    </row>
    <row r="1006" spans="1:8" ht="30" x14ac:dyDescent="0.25">
      <c r="A1006" s="115">
        <v>6844</v>
      </c>
      <c r="B1006" s="115" t="s">
        <v>128</v>
      </c>
      <c r="C1006" s="115" t="s">
        <v>2487</v>
      </c>
      <c r="D1006" s="115">
        <v>1</v>
      </c>
      <c r="E1006" s="115" t="s">
        <v>2488</v>
      </c>
      <c r="F1006" s="115" t="s">
        <v>2489</v>
      </c>
      <c r="G1006" s="115" t="s">
        <v>2490</v>
      </c>
      <c r="H1006" s="115" t="s">
        <v>2491</v>
      </c>
    </row>
    <row r="1007" spans="1:8" ht="30" x14ac:dyDescent="0.25">
      <c r="A1007" s="115">
        <v>6843</v>
      </c>
      <c r="B1007" s="115" t="s">
        <v>128</v>
      </c>
      <c r="C1007" s="115" t="s">
        <v>2492</v>
      </c>
      <c r="D1007" s="115">
        <v>1</v>
      </c>
      <c r="E1007" s="115">
        <v>67</v>
      </c>
      <c r="F1007" s="115">
        <v>67</v>
      </c>
      <c r="G1007" s="115">
        <v>67</v>
      </c>
      <c r="H1007" s="115">
        <v>67</v>
      </c>
    </row>
    <row r="1008" spans="1:8" ht="30" x14ac:dyDescent="0.25">
      <c r="A1008" s="115">
        <v>6842</v>
      </c>
      <c r="B1008" s="115" t="s">
        <v>128</v>
      </c>
      <c r="C1008" s="115" t="s">
        <v>2493</v>
      </c>
      <c r="D1008" s="115">
        <v>1</v>
      </c>
      <c r="E1008" s="115" t="s">
        <v>2494</v>
      </c>
      <c r="F1008" s="115" t="s">
        <v>2495</v>
      </c>
      <c r="G1008" s="115" t="s">
        <v>2496</v>
      </c>
      <c r="H1008" s="115" t="s">
        <v>2497</v>
      </c>
    </row>
    <row r="1009" spans="1:8" ht="30" x14ac:dyDescent="0.25">
      <c r="A1009" s="115">
        <v>6841</v>
      </c>
      <c r="B1009" s="115" t="s">
        <v>128</v>
      </c>
      <c r="C1009" s="115" t="s">
        <v>2498</v>
      </c>
      <c r="D1009" s="115">
        <v>1</v>
      </c>
      <c r="E1009" s="115">
        <v>68</v>
      </c>
      <c r="F1009" s="115">
        <v>68</v>
      </c>
      <c r="G1009" s="115">
        <v>68</v>
      </c>
      <c r="H1009" s="115">
        <v>68</v>
      </c>
    </row>
    <row r="1010" spans="1:8" ht="30" x14ac:dyDescent="0.25">
      <c r="A1010" s="115">
        <v>6840</v>
      </c>
      <c r="B1010" s="115" t="s">
        <v>128</v>
      </c>
      <c r="C1010" s="115" t="s">
        <v>2499</v>
      </c>
      <c r="D1010" s="115">
        <v>1</v>
      </c>
      <c r="E1010" s="115" t="s">
        <v>2500</v>
      </c>
      <c r="F1010" s="115" t="s">
        <v>2501</v>
      </c>
      <c r="G1010" s="115" t="s">
        <v>2502</v>
      </c>
      <c r="H1010" s="115" t="s">
        <v>2503</v>
      </c>
    </row>
    <row r="1011" spans="1:8" ht="30" x14ac:dyDescent="0.25">
      <c r="A1011" s="115">
        <v>6839</v>
      </c>
      <c r="B1011" s="115" t="s">
        <v>128</v>
      </c>
      <c r="C1011" s="115" t="s">
        <v>2504</v>
      </c>
      <c r="D1011" s="115">
        <v>1</v>
      </c>
      <c r="E1011" s="115">
        <v>69</v>
      </c>
      <c r="F1011" s="115">
        <v>69</v>
      </c>
      <c r="G1011" s="115">
        <v>69</v>
      </c>
      <c r="H1011" s="115">
        <v>69</v>
      </c>
    </row>
    <row r="1012" spans="1:8" ht="30" x14ac:dyDescent="0.25">
      <c r="A1012" s="115">
        <v>6838</v>
      </c>
      <c r="B1012" s="115" t="s">
        <v>128</v>
      </c>
      <c r="C1012" s="115" t="s">
        <v>2505</v>
      </c>
      <c r="D1012" s="115">
        <v>1</v>
      </c>
      <c r="E1012" s="115" t="s">
        <v>2506</v>
      </c>
      <c r="F1012" s="115" t="s">
        <v>2506</v>
      </c>
      <c r="G1012" s="115" t="s">
        <v>2507</v>
      </c>
      <c r="H1012" s="115" t="s">
        <v>2508</v>
      </c>
    </row>
    <row r="1013" spans="1:8" ht="30" x14ac:dyDescent="0.25">
      <c r="A1013" s="115">
        <v>6837</v>
      </c>
      <c r="B1013" s="115" t="s">
        <v>128</v>
      </c>
      <c r="C1013" s="115" t="s">
        <v>2509</v>
      </c>
      <c r="D1013" s="115">
        <v>1</v>
      </c>
      <c r="E1013" s="115">
        <v>0</v>
      </c>
      <c r="F1013" s="115">
        <v>0</v>
      </c>
      <c r="G1013" s="115">
        <v>0</v>
      </c>
      <c r="H1013" s="115">
        <v>0</v>
      </c>
    </row>
    <row r="1014" spans="1:8" ht="30" x14ac:dyDescent="0.25">
      <c r="A1014" s="115">
        <v>6836</v>
      </c>
      <c r="B1014" s="115" t="s">
        <v>128</v>
      </c>
      <c r="C1014" s="115" t="s">
        <v>2510</v>
      </c>
      <c r="D1014" s="115">
        <v>1</v>
      </c>
      <c r="E1014" s="119">
        <v>0.75</v>
      </c>
      <c r="F1014" s="119">
        <v>0.75</v>
      </c>
      <c r="G1014" s="119">
        <v>0.75</v>
      </c>
      <c r="H1014" s="119">
        <v>0.75</v>
      </c>
    </row>
    <row r="1015" spans="1:8" ht="30" x14ac:dyDescent="0.25">
      <c r="A1015" s="115">
        <v>6835</v>
      </c>
      <c r="B1015" s="115" t="s">
        <v>128</v>
      </c>
      <c r="C1015" s="115" t="s">
        <v>2511</v>
      </c>
      <c r="D1015" s="115">
        <v>1</v>
      </c>
      <c r="E1015" s="115">
        <v>82</v>
      </c>
      <c r="F1015" s="115">
        <v>82</v>
      </c>
      <c r="G1015" s="115">
        <v>82</v>
      </c>
      <c r="H1015" s="115">
        <v>82</v>
      </c>
    </row>
    <row r="1016" spans="1:8" ht="30" x14ac:dyDescent="0.25">
      <c r="A1016" s="115">
        <v>6834</v>
      </c>
      <c r="B1016" s="115" t="s">
        <v>128</v>
      </c>
      <c r="C1016" s="115" t="s">
        <v>2512</v>
      </c>
      <c r="D1016" s="115">
        <v>1</v>
      </c>
      <c r="E1016" s="115" t="s">
        <v>2513</v>
      </c>
      <c r="F1016" s="115" t="s">
        <v>2514</v>
      </c>
      <c r="G1016" s="115" t="s">
        <v>2515</v>
      </c>
      <c r="H1016" s="115" t="s">
        <v>2516</v>
      </c>
    </row>
    <row r="1017" spans="1:8" ht="30" x14ac:dyDescent="0.25">
      <c r="A1017" s="115">
        <v>6833</v>
      </c>
      <c r="B1017" s="115" t="s">
        <v>128</v>
      </c>
      <c r="C1017" s="115" t="s">
        <v>2517</v>
      </c>
      <c r="D1017" s="115">
        <v>1</v>
      </c>
      <c r="E1017" s="115">
        <v>8</v>
      </c>
      <c r="F1017" s="115">
        <v>8</v>
      </c>
      <c r="G1017" s="115">
        <v>8</v>
      </c>
      <c r="H1017" s="115">
        <v>8</v>
      </c>
    </row>
    <row r="1018" spans="1:8" ht="30" x14ac:dyDescent="0.25">
      <c r="A1018" s="115">
        <v>6832</v>
      </c>
      <c r="B1018" s="115" t="s">
        <v>128</v>
      </c>
      <c r="C1018" s="115" t="s">
        <v>2518</v>
      </c>
      <c r="D1018" s="115">
        <v>1</v>
      </c>
      <c r="E1018" s="115" t="s">
        <v>2519</v>
      </c>
      <c r="F1018" s="115" t="s">
        <v>2520</v>
      </c>
      <c r="G1018" s="115" t="s">
        <v>2521</v>
      </c>
      <c r="H1018" s="115" t="s">
        <v>2522</v>
      </c>
    </row>
    <row r="1019" spans="1:8" ht="30" x14ac:dyDescent="0.25">
      <c r="A1019" s="115">
        <v>6831</v>
      </c>
      <c r="B1019" s="115" t="s">
        <v>128</v>
      </c>
      <c r="C1019" s="115" t="s">
        <v>2523</v>
      </c>
      <c r="D1019" s="115">
        <v>1</v>
      </c>
      <c r="E1019" s="115">
        <v>14</v>
      </c>
      <c r="F1019" s="115">
        <v>14</v>
      </c>
      <c r="G1019" s="115">
        <v>14</v>
      </c>
      <c r="H1019" s="115">
        <v>14</v>
      </c>
    </row>
    <row r="1020" spans="1:8" ht="30" x14ac:dyDescent="0.25">
      <c r="A1020" s="115">
        <v>6830</v>
      </c>
      <c r="B1020" s="115" t="s">
        <v>128</v>
      </c>
      <c r="C1020" s="115" t="s">
        <v>2524</v>
      </c>
      <c r="D1020" s="115">
        <v>1</v>
      </c>
      <c r="E1020" s="115" t="s">
        <v>2525</v>
      </c>
      <c r="F1020" s="115" t="s">
        <v>2526</v>
      </c>
      <c r="G1020" s="115" t="s">
        <v>2527</v>
      </c>
      <c r="H1020" s="115" t="s">
        <v>2528</v>
      </c>
    </row>
    <row r="1021" spans="1:8" ht="30" x14ac:dyDescent="0.25">
      <c r="A1021" s="115">
        <v>6829</v>
      </c>
      <c r="B1021" s="115" t="s">
        <v>128</v>
      </c>
      <c r="C1021" s="115" t="s">
        <v>2529</v>
      </c>
      <c r="D1021" s="115">
        <v>1</v>
      </c>
      <c r="E1021" s="115">
        <v>23</v>
      </c>
      <c r="F1021" s="115">
        <v>23</v>
      </c>
      <c r="G1021" s="115">
        <v>23</v>
      </c>
      <c r="H1021" s="115">
        <v>23</v>
      </c>
    </row>
    <row r="1022" spans="1:8" ht="30" x14ac:dyDescent="0.25">
      <c r="A1022" s="115">
        <v>6828</v>
      </c>
      <c r="B1022" s="115" t="s">
        <v>128</v>
      </c>
      <c r="C1022" s="115" t="s">
        <v>2530</v>
      </c>
      <c r="D1022" s="115">
        <v>1</v>
      </c>
      <c r="E1022" s="115" t="s">
        <v>2531</v>
      </c>
      <c r="F1022" s="115" t="s">
        <v>2532</v>
      </c>
      <c r="G1022" s="115" t="s">
        <v>2533</v>
      </c>
      <c r="H1022" s="115" t="s">
        <v>2534</v>
      </c>
    </row>
    <row r="1023" spans="1:8" ht="30" x14ac:dyDescent="0.25">
      <c r="A1023" s="115">
        <v>6827</v>
      </c>
      <c r="B1023" s="115" t="s">
        <v>128</v>
      </c>
      <c r="C1023" s="115" t="s">
        <v>2535</v>
      </c>
      <c r="D1023" s="115">
        <v>1</v>
      </c>
      <c r="E1023" s="115">
        <v>86</v>
      </c>
      <c r="F1023" s="115">
        <v>86</v>
      </c>
      <c r="G1023" s="115">
        <v>86</v>
      </c>
      <c r="H1023" s="115">
        <v>86</v>
      </c>
    </row>
    <row r="1024" spans="1:8" ht="30" x14ac:dyDescent="0.25">
      <c r="A1024" s="115">
        <v>6826</v>
      </c>
      <c r="B1024" s="115" t="s">
        <v>128</v>
      </c>
      <c r="C1024" s="115" t="s">
        <v>2536</v>
      </c>
      <c r="D1024" s="115">
        <v>1</v>
      </c>
      <c r="E1024" s="115" t="s">
        <v>2537</v>
      </c>
      <c r="F1024" s="115" t="s">
        <v>2538</v>
      </c>
      <c r="G1024" s="115" t="s">
        <v>2539</v>
      </c>
      <c r="H1024" s="115" t="s">
        <v>2540</v>
      </c>
    </row>
    <row r="1025" spans="1:8" ht="30" x14ac:dyDescent="0.25">
      <c r="A1025" s="115">
        <v>6825</v>
      </c>
      <c r="B1025" s="115" t="s">
        <v>128</v>
      </c>
      <c r="C1025" s="115" t="s">
        <v>2541</v>
      </c>
      <c r="D1025" s="115">
        <v>1</v>
      </c>
      <c r="E1025" s="115">
        <v>25</v>
      </c>
      <c r="F1025" s="115">
        <v>25</v>
      </c>
      <c r="G1025" s="115">
        <v>25</v>
      </c>
      <c r="H1025" s="115">
        <v>25</v>
      </c>
    </row>
    <row r="1026" spans="1:8" ht="30" x14ac:dyDescent="0.25">
      <c r="A1026" s="115">
        <v>6824</v>
      </c>
      <c r="B1026" s="115" t="s">
        <v>128</v>
      </c>
      <c r="C1026" s="115" t="s">
        <v>2542</v>
      </c>
      <c r="D1026" s="115">
        <v>1</v>
      </c>
      <c r="E1026" s="115" t="s">
        <v>2543</v>
      </c>
      <c r="F1026" s="115" t="s">
        <v>2544</v>
      </c>
      <c r="G1026" s="115" t="s">
        <v>2545</v>
      </c>
      <c r="H1026" s="115" t="s">
        <v>2546</v>
      </c>
    </row>
    <row r="1027" spans="1:8" ht="30" x14ac:dyDescent="0.25">
      <c r="A1027" s="115">
        <v>6823</v>
      </c>
      <c r="B1027" s="115" t="s">
        <v>128</v>
      </c>
      <c r="C1027" s="115" t="s">
        <v>2547</v>
      </c>
      <c r="D1027" s="115">
        <v>1</v>
      </c>
      <c r="E1027" s="115">
        <v>32</v>
      </c>
      <c r="F1027" s="115">
        <v>32</v>
      </c>
      <c r="G1027" s="115">
        <v>32</v>
      </c>
      <c r="H1027" s="115">
        <v>32</v>
      </c>
    </row>
    <row r="1028" spans="1:8" ht="30" x14ac:dyDescent="0.25">
      <c r="A1028" s="115">
        <v>6822</v>
      </c>
      <c r="B1028" s="115" t="s">
        <v>128</v>
      </c>
      <c r="C1028" s="115" t="s">
        <v>2548</v>
      </c>
      <c r="D1028" s="115">
        <v>1</v>
      </c>
      <c r="E1028" s="115" t="s">
        <v>2549</v>
      </c>
      <c r="F1028" s="115" t="s">
        <v>2550</v>
      </c>
      <c r="G1028" s="115" t="s">
        <v>2551</v>
      </c>
      <c r="H1028" s="115" t="s">
        <v>2552</v>
      </c>
    </row>
    <row r="1029" spans="1:8" ht="30" x14ac:dyDescent="0.25">
      <c r="A1029" s="115">
        <v>6821</v>
      </c>
      <c r="B1029" s="115" t="s">
        <v>128</v>
      </c>
      <c r="C1029" s="115" t="s">
        <v>2553</v>
      </c>
      <c r="D1029" s="115">
        <v>1</v>
      </c>
      <c r="E1029" s="115">
        <v>34</v>
      </c>
      <c r="F1029" s="115">
        <v>34</v>
      </c>
      <c r="G1029" s="115">
        <v>34</v>
      </c>
      <c r="H1029" s="115">
        <v>34</v>
      </c>
    </row>
    <row r="1030" spans="1:8" ht="30" x14ac:dyDescent="0.25">
      <c r="A1030" s="115">
        <v>6820</v>
      </c>
      <c r="B1030" s="115" t="s">
        <v>128</v>
      </c>
      <c r="C1030" s="115" t="s">
        <v>2554</v>
      </c>
      <c r="D1030" s="115">
        <v>1</v>
      </c>
      <c r="E1030" s="115" t="s">
        <v>2555</v>
      </c>
      <c r="F1030" s="115" t="s">
        <v>2556</v>
      </c>
      <c r="G1030" s="115" t="s">
        <v>2557</v>
      </c>
      <c r="H1030" s="115" t="s">
        <v>2558</v>
      </c>
    </row>
    <row r="1031" spans="1:8" ht="30" x14ac:dyDescent="0.25">
      <c r="A1031" s="115">
        <v>6819</v>
      </c>
      <c r="B1031" s="115" t="s">
        <v>128</v>
      </c>
      <c r="C1031" s="115" t="s">
        <v>2559</v>
      </c>
      <c r="D1031" s="115">
        <v>1</v>
      </c>
      <c r="E1031" s="115">
        <v>39</v>
      </c>
      <c r="F1031" s="115">
        <v>39</v>
      </c>
      <c r="G1031" s="115">
        <v>39</v>
      </c>
      <c r="H1031" s="115">
        <v>39</v>
      </c>
    </row>
    <row r="1032" spans="1:8" ht="30" x14ac:dyDescent="0.25">
      <c r="A1032" s="115">
        <v>6818</v>
      </c>
      <c r="B1032" s="115" t="s">
        <v>128</v>
      </c>
      <c r="C1032" s="115" t="s">
        <v>2560</v>
      </c>
      <c r="D1032" s="115">
        <v>1</v>
      </c>
      <c r="E1032" s="115" t="s">
        <v>2561</v>
      </c>
      <c r="F1032" s="115" t="s">
        <v>2562</v>
      </c>
      <c r="G1032" s="115" t="s">
        <v>2563</v>
      </c>
      <c r="H1032" s="115" t="s">
        <v>2564</v>
      </c>
    </row>
    <row r="1033" spans="1:8" ht="30" x14ac:dyDescent="0.25">
      <c r="A1033" s="115">
        <v>6817</v>
      </c>
      <c r="B1033" s="115" t="s">
        <v>128</v>
      </c>
      <c r="C1033" s="115" t="s">
        <v>2565</v>
      </c>
      <c r="D1033" s="115">
        <v>1</v>
      </c>
      <c r="E1033" s="115">
        <v>41</v>
      </c>
      <c r="F1033" s="115">
        <v>41</v>
      </c>
      <c r="G1033" s="115">
        <v>41</v>
      </c>
      <c r="H1033" s="115">
        <v>41</v>
      </c>
    </row>
    <row r="1034" spans="1:8" ht="30" x14ac:dyDescent="0.25">
      <c r="A1034" s="115">
        <v>6816</v>
      </c>
      <c r="B1034" s="115" t="s">
        <v>128</v>
      </c>
      <c r="C1034" s="115" t="s">
        <v>2566</v>
      </c>
      <c r="D1034" s="115">
        <v>1</v>
      </c>
      <c r="E1034" s="115" t="s">
        <v>2567</v>
      </c>
      <c r="F1034" s="115" t="s">
        <v>2568</v>
      </c>
      <c r="G1034" s="115" t="s">
        <v>2569</v>
      </c>
      <c r="H1034" s="115" t="s">
        <v>2570</v>
      </c>
    </row>
    <row r="1035" spans="1:8" ht="30" x14ac:dyDescent="0.25">
      <c r="A1035" s="115">
        <v>6815</v>
      </c>
      <c r="B1035" s="115" t="s">
        <v>128</v>
      </c>
      <c r="C1035" s="115" t="s">
        <v>2571</v>
      </c>
      <c r="D1035" s="115">
        <v>1</v>
      </c>
      <c r="E1035" s="115">
        <v>43</v>
      </c>
      <c r="F1035" s="115">
        <v>43</v>
      </c>
      <c r="G1035" s="115">
        <v>43</v>
      </c>
      <c r="H1035" s="115">
        <v>43</v>
      </c>
    </row>
    <row r="1036" spans="1:8" ht="30" x14ac:dyDescent="0.25">
      <c r="A1036" s="115">
        <v>6814</v>
      </c>
      <c r="B1036" s="115" t="s">
        <v>128</v>
      </c>
      <c r="C1036" s="115" t="s">
        <v>2572</v>
      </c>
      <c r="D1036" s="115">
        <v>1</v>
      </c>
      <c r="E1036" s="115" t="s">
        <v>2573</v>
      </c>
      <c r="F1036" s="115" t="s">
        <v>2574</v>
      </c>
      <c r="G1036" s="115" t="s">
        <v>2575</v>
      </c>
      <c r="H1036" s="115" t="s">
        <v>2576</v>
      </c>
    </row>
    <row r="1037" spans="1:8" ht="30" x14ac:dyDescent="0.25">
      <c r="A1037" s="115">
        <v>6813</v>
      </c>
      <c r="B1037" s="115" t="s">
        <v>128</v>
      </c>
      <c r="C1037" s="115" t="s">
        <v>2577</v>
      </c>
      <c r="D1037" s="115">
        <v>1</v>
      </c>
      <c r="E1037" s="115">
        <v>44</v>
      </c>
      <c r="F1037" s="115">
        <v>44</v>
      </c>
      <c r="G1037" s="115">
        <v>44</v>
      </c>
      <c r="H1037" s="115">
        <v>44</v>
      </c>
    </row>
    <row r="1038" spans="1:8" ht="30" x14ac:dyDescent="0.25">
      <c r="A1038" s="115">
        <v>6812</v>
      </c>
      <c r="B1038" s="115" t="s">
        <v>128</v>
      </c>
      <c r="C1038" s="115" t="s">
        <v>2578</v>
      </c>
      <c r="D1038" s="115">
        <v>1</v>
      </c>
      <c r="E1038" s="115" t="s">
        <v>2579</v>
      </c>
      <c r="F1038" s="115" t="s">
        <v>2580</v>
      </c>
      <c r="G1038" s="115" t="s">
        <v>2581</v>
      </c>
      <c r="H1038" s="115" t="s">
        <v>2582</v>
      </c>
    </row>
    <row r="1039" spans="1:8" ht="30" x14ac:dyDescent="0.25">
      <c r="A1039" s="115">
        <v>6811</v>
      </c>
      <c r="B1039" s="115" t="s">
        <v>128</v>
      </c>
      <c r="C1039" s="115" t="s">
        <v>2583</v>
      </c>
      <c r="D1039" s="115">
        <v>1</v>
      </c>
      <c r="E1039" s="115">
        <v>44</v>
      </c>
      <c r="F1039" s="115">
        <v>44</v>
      </c>
      <c r="G1039" s="115">
        <v>44</v>
      </c>
      <c r="H1039" s="115">
        <v>44</v>
      </c>
    </row>
    <row r="1040" spans="1:8" ht="30" x14ac:dyDescent="0.25">
      <c r="A1040" s="115">
        <v>6810</v>
      </c>
      <c r="B1040" s="115" t="s">
        <v>128</v>
      </c>
      <c r="C1040" s="115" t="s">
        <v>2584</v>
      </c>
      <c r="D1040" s="115">
        <v>1</v>
      </c>
      <c r="E1040" s="115" t="s">
        <v>2585</v>
      </c>
      <c r="F1040" s="115" t="s">
        <v>2586</v>
      </c>
      <c r="G1040" s="115" t="s">
        <v>2587</v>
      </c>
      <c r="H1040" s="115" t="s">
        <v>2588</v>
      </c>
    </row>
    <row r="1041" spans="1:8" ht="30" x14ac:dyDescent="0.25">
      <c r="A1041" s="115">
        <v>6809</v>
      </c>
      <c r="B1041" s="115" t="s">
        <v>128</v>
      </c>
      <c r="C1041" s="115" t="s">
        <v>2589</v>
      </c>
      <c r="D1041" s="115">
        <v>1</v>
      </c>
      <c r="E1041" s="115">
        <v>44</v>
      </c>
      <c r="F1041" s="115">
        <v>44</v>
      </c>
      <c r="G1041" s="115">
        <v>44</v>
      </c>
      <c r="H1041" s="115">
        <v>44</v>
      </c>
    </row>
    <row r="1042" spans="1:8" ht="30" x14ac:dyDescent="0.25">
      <c r="A1042" s="115">
        <v>6808</v>
      </c>
      <c r="B1042" s="115" t="s">
        <v>128</v>
      </c>
      <c r="C1042" s="115" t="s">
        <v>2590</v>
      </c>
      <c r="D1042" s="115">
        <v>1</v>
      </c>
      <c r="E1042" s="115" t="s">
        <v>2591</v>
      </c>
      <c r="F1042" s="115" t="s">
        <v>2592</v>
      </c>
      <c r="G1042" s="115" t="s">
        <v>2593</v>
      </c>
      <c r="H1042" s="115" t="s">
        <v>2594</v>
      </c>
    </row>
    <row r="1043" spans="1:8" ht="30" x14ac:dyDescent="0.25">
      <c r="A1043" s="115">
        <v>6807</v>
      </c>
      <c r="B1043" s="115" t="s">
        <v>128</v>
      </c>
      <c r="C1043" s="115" t="s">
        <v>2595</v>
      </c>
      <c r="D1043" s="115">
        <v>1</v>
      </c>
      <c r="E1043" s="115">
        <v>44</v>
      </c>
      <c r="F1043" s="115">
        <v>44</v>
      </c>
      <c r="G1043" s="115">
        <v>44</v>
      </c>
      <c r="H1043" s="115">
        <v>44</v>
      </c>
    </row>
    <row r="1044" spans="1:8" ht="30" x14ac:dyDescent="0.25">
      <c r="A1044" s="115">
        <v>6806</v>
      </c>
      <c r="B1044" s="115" t="s">
        <v>128</v>
      </c>
      <c r="C1044" s="115" t="s">
        <v>2596</v>
      </c>
      <c r="D1044" s="115">
        <v>1</v>
      </c>
      <c r="E1044" s="115" t="s">
        <v>2597</v>
      </c>
      <c r="F1044" s="115" t="s">
        <v>2598</v>
      </c>
      <c r="G1044" s="115" t="s">
        <v>2599</v>
      </c>
      <c r="H1044" s="115" t="s">
        <v>2600</v>
      </c>
    </row>
    <row r="1045" spans="1:8" ht="30" x14ac:dyDescent="0.25">
      <c r="A1045" s="115">
        <v>6805</v>
      </c>
      <c r="B1045" s="115" t="s">
        <v>128</v>
      </c>
      <c r="C1045" s="115" t="s">
        <v>2601</v>
      </c>
      <c r="D1045" s="115">
        <v>1</v>
      </c>
      <c r="E1045" s="115">
        <v>89</v>
      </c>
      <c r="F1045" s="115">
        <v>89</v>
      </c>
      <c r="G1045" s="115">
        <v>89</v>
      </c>
      <c r="H1045" s="115">
        <v>89</v>
      </c>
    </row>
    <row r="1046" spans="1:8" ht="30" x14ac:dyDescent="0.25">
      <c r="A1046" s="115">
        <v>6804</v>
      </c>
      <c r="B1046" s="115" t="s">
        <v>128</v>
      </c>
      <c r="C1046" s="115" t="s">
        <v>2602</v>
      </c>
      <c r="D1046" s="115">
        <v>1</v>
      </c>
      <c r="E1046" s="115" t="s">
        <v>2603</v>
      </c>
      <c r="F1046" s="115" t="s">
        <v>2604</v>
      </c>
      <c r="G1046" s="115" t="s">
        <v>2605</v>
      </c>
      <c r="H1046" s="115" t="s">
        <v>2606</v>
      </c>
    </row>
    <row r="1047" spans="1:8" ht="30" x14ac:dyDescent="0.25">
      <c r="A1047" s="115">
        <v>6803</v>
      </c>
      <c r="B1047" s="115" t="s">
        <v>128</v>
      </c>
      <c r="C1047" s="115" t="s">
        <v>2607</v>
      </c>
      <c r="D1047" s="115">
        <v>1</v>
      </c>
      <c r="E1047" s="115">
        <v>46</v>
      </c>
      <c r="F1047" s="115">
        <v>46</v>
      </c>
      <c r="G1047" s="115">
        <v>46</v>
      </c>
      <c r="H1047" s="115">
        <v>46</v>
      </c>
    </row>
    <row r="1048" spans="1:8" ht="30" x14ac:dyDescent="0.25">
      <c r="A1048" s="115">
        <v>6802</v>
      </c>
      <c r="B1048" s="115" t="s">
        <v>128</v>
      </c>
      <c r="C1048" s="115" t="s">
        <v>2608</v>
      </c>
      <c r="D1048" s="115">
        <v>1</v>
      </c>
      <c r="E1048" s="115" t="s">
        <v>2609</v>
      </c>
      <c r="F1048" s="115" t="s">
        <v>2610</v>
      </c>
      <c r="G1048" s="115" t="s">
        <v>2611</v>
      </c>
      <c r="H1048" s="115" t="s">
        <v>2612</v>
      </c>
    </row>
    <row r="1049" spans="1:8" ht="30" x14ac:dyDescent="0.25">
      <c r="A1049" s="115">
        <v>6801</v>
      </c>
      <c r="B1049" s="115" t="s">
        <v>128</v>
      </c>
      <c r="C1049" s="115" t="s">
        <v>2613</v>
      </c>
      <c r="D1049" s="115">
        <v>1</v>
      </c>
      <c r="E1049" s="115">
        <v>47</v>
      </c>
      <c r="F1049" s="115">
        <v>47</v>
      </c>
      <c r="G1049" s="115">
        <v>47</v>
      </c>
      <c r="H1049" s="115">
        <v>47</v>
      </c>
    </row>
    <row r="1050" spans="1:8" ht="30" x14ac:dyDescent="0.25">
      <c r="A1050" s="115">
        <v>6800</v>
      </c>
      <c r="B1050" s="115" t="s">
        <v>128</v>
      </c>
      <c r="C1050" s="115" t="s">
        <v>2614</v>
      </c>
      <c r="D1050" s="115">
        <v>1</v>
      </c>
      <c r="E1050" s="115" t="s">
        <v>2615</v>
      </c>
      <c r="F1050" s="115" t="s">
        <v>2616</v>
      </c>
      <c r="G1050" s="115" t="s">
        <v>2617</v>
      </c>
      <c r="H1050" s="115" t="s">
        <v>2618</v>
      </c>
    </row>
    <row r="1051" spans="1:8" ht="30" x14ac:dyDescent="0.25">
      <c r="A1051" s="115">
        <v>6799</v>
      </c>
      <c r="B1051" s="115" t="s">
        <v>128</v>
      </c>
      <c r="C1051" s="115" t="s">
        <v>2619</v>
      </c>
      <c r="D1051" s="115">
        <v>1</v>
      </c>
      <c r="E1051" s="115">
        <v>47</v>
      </c>
      <c r="F1051" s="115">
        <v>47</v>
      </c>
      <c r="G1051" s="115">
        <v>47</v>
      </c>
      <c r="H1051" s="115">
        <v>47</v>
      </c>
    </row>
    <row r="1052" spans="1:8" ht="30" x14ac:dyDescent="0.25">
      <c r="A1052" s="115">
        <v>6798</v>
      </c>
      <c r="B1052" s="115" t="s">
        <v>128</v>
      </c>
      <c r="C1052" s="115" t="s">
        <v>2620</v>
      </c>
      <c r="D1052" s="115">
        <v>1</v>
      </c>
      <c r="E1052" s="115" t="s">
        <v>2621</v>
      </c>
      <c r="F1052" s="115" t="s">
        <v>2622</v>
      </c>
      <c r="G1052" s="115" t="s">
        <v>2623</v>
      </c>
      <c r="H1052" s="115" t="s">
        <v>2624</v>
      </c>
    </row>
    <row r="1053" spans="1:8" ht="30" x14ac:dyDescent="0.25">
      <c r="A1053" s="115">
        <v>6797</v>
      </c>
      <c r="B1053" s="115" t="s">
        <v>128</v>
      </c>
      <c r="C1053" s="115" t="s">
        <v>2625</v>
      </c>
      <c r="D1053" s="115">
        <v>1</v>
      </c>
      <c r="E1053" s="115">
        <v>48</v>
      </c>
      <c r="F1053" s="115">
        <v>48</v>
      </c>
      <c r="G1053" s="115">
        <v>48</v>
      </c>
      <c r="H1053" s="115">
        <v>48</v>
      </c>
    </row>
    <row r="1054" spans="1:8" ht="30" x14ac:dyDescent="0.25">
      <c r="A1054" s="115">
        <v>6796</v>
      </c>
      <c r="B1054" s="115" t="s">
        <v>128</v>
      </c>
      <c r="C1054" s="115" t="s">
        <v>2626</v>
      </c>
      <c r="D1054" s="115">
        <v>1</v>
      </c>
      <c r="E1054" s="115" t="s">
        <v>2627</v>
      </c>
      <c r="F1054" s="115" t="s">
        <v>2628</v>
      </c>
      <c r="G1054" s="115" t="s">
        <v>2629</v>
      </c>
      <c r="H1054" s="115" t="s">
        <v>2630</v>
      </c>
    </row>
    <row r="1055" spans="1:8" ht="30" x14ac:dyDescent="0.25">
      <c r="A1055" s="115">
        <v>6795</v>
      </c>
      <c r="B1055" s="115" t="s">
        <v>128</v>
      </c>
      <c r="C1055" s="115" t="s">
        <v>2631</v>
      </c>
      <c r="D1055" s="115">
        <v>1</v>
      </c>
      <c r="E1055" s="115">
        <v>48</v>
      </c>
      <c r="F1055" s="115">
        <v>48</v>
      </c>
      <c r="G1055" s="115">
        <v>48</v>
      </c>
      <c r="H1055" s="115">
        <v>48</v>
      </c>
    </row>
    <row r="1056" spans="1:8" ht="30" x14ac:dyDescent="0.25">
      <c r="A1056" s="115">
        <v>6794</v>
      </c>
      <c r="B1056" s="115" t="s">
        <v>128</v>
      </c>
      <c r="C1056" s="115" t="s">
        <v>2632</v>
      </c>
      <c r="D1056" s="115">
        <v>1</v>
      </c>
      <c r="E1056" s="115" t="s">
        <v>2633</v>
      </c>
      <c r="F1056" s="115" t="s">
        <v>2634</v>
      </c>
      <c r="G1056" s="115" t="s">
        <v>2635</v>
      </c>
      <c r="H1056" s="115" t="s">
        <v>2636</v>
      </c>
    </row>
    <row r="1057" spans="1:8" ht="30" x14ac:dyDescent="0.25">
      <c r="A1057" s="115">
        <v>6793</v>
      </c>
      <c r="B1057" s="115" t="s">
        <v>128</v>
      </c>
      <c r="C1057" s="115" t="s">
        <v>2637</v>
      </c>
      <c r="D1057" s="115">
        <v>1</v>
      </c>
      <c r="E1057" s="115">
        <v>0</v>
      </c>
      <c r="F1057" s="115">
        <v>0</v>
      </c>
      <c r="G1057" s="115">
        <v>0</v>
      </c>
      <c r="H1057" s="115">
        <v>0</v>
      </c>
    </row>
    <row r="1058" spans="1:8" ht="30" x14ac:dyDescent="0.25">
      <c r="A1058" s="115">
        <v>6792</v>
      </c>
      <c r="B1058" s="115" t="s">
        <v>128</v>
      </c>
      <c r="C1058" s="115" t="s">
        <v>2638</v>
      </c>
      <c r="D1058" s="115">
        <v>1</v>
      </c>
      <c r="E1058" s="119">
        <v>0.5</v>
      </c>
      <c r="F1058" s="119">
        <v>0.5</v>
      </c>
      <c r="G1058" s="119">
        <v>0.5</v>
      </c>
      <c r="H1058" s="119">
        <v>0.5</v>
      </c>
    </row>
    <row r="1059" spans="1:8" ht="30" x14ac:dyDescent="0.25">
      <c r="A1059" s="115">
        <v>6791</v>
      </c>
      <c r="B1059" s="115" t="s">
        <v>128</v>
      </c>
      <c r="C1059" s="115" t="s">
        <v>2639</v>
      </c>
      <c r="D1059" s="115">
        <v>1</v>
      </c>
      <c r="E1059" s="115">
        <v>50</v>
      </c>
      <c r="F1059" s="115">
        <v>50</v>
      </c>
      <c r="G1059" s="115">
        <v>50</v>
      </c>
      <c r="H1059" s="115">
        <v>50</v>
      </c>
    </row>
    <row r="1060" spans="1:8" ht="30" x14ac:dyDescent="0.25">
      <c r="A1060" s="115">
        <v>6790</v>
      </c>
      <c r="B1060" s="115" t="s">
        <v>128</v>
      </c>
      <c r="C1060" s="115" t="s">
        <v>2640</v>
      </c>
      <c r="D1060" s="115">
        <v>1</v>
      </c>
      <c r="E1060" s="115" t="s">
        <v>2641</v>
      </c>
      <c r="F1060" s="115" t="s">
        <v>2642</v>
      </c>
      <c r="G1060" s="115" t="s">
        <v>2643</v>
      </c>
      <c r="H1060" s="115" t="s">
        <v>2644</v>
      </c>
    </row>
    <row r="1061" spans="1:8" ht="30" x14ac:dyDescent="0.25">
      <c r="A1061" s="115">
        <v>6789</v>
      </c>
      <c r="B1061" s="115" t="s">
        <v>128</v>
      </c>
      <c r="C1061" s="115" t="s">
        <v>2645</v>
      </c>
      <c r="D1061" s="115">
        <v>1</v>
      </c>
      <c r="E1061" s="115">
        <v>51</v>
      </c>
      <c r="F1061" s="115">
        <v>51</v>
      </c>
      <c r="G1061" s="115">
        <v>51</v>
      </c>
      <c r="H1061" s="115">
        <v>51</v>
      </c>
    </row>
    <row r="1062" spans="1:8" ht="30" x14ac:dyDescent="0.25">
      <c r="A1062" s="115">
        <v>6788</v>
      </c>
      <c r="B1062" s="115" t="s">
        <v>128</v>
      </c>
      <c r="C1062" s="115" t="s">
        <v>2646</v>
      </c>
      <c r="D1062" s="115">
        <v>1</v>
      </c>
      <c r="E1062" s="115" t="s">
        <v>2647</v>
      </c>
      <c r="F1062" s="115" t="s">
        <v>2648</v>
      </c>
      <c r="G1062" s="115" t="s">
        <v>2649</v>
      </c>
      <c r="H1062" s="115" t="s">
        <v>2650</v>
      </c>
    </row>
    <row r="1063" spans="1:8" ht="30" x14ac:dyDescent="0.25">
      <c r="A1063" s="115">
        <v>6787</v>
      </c>
      <c r="B1063" s="115" t="s">
        <v>128</v>
      </c>
      <c r="C1063" s="115" t="s">
        <v>2651</v>
      </c>
      <c r="D1063" s="115">
        <v>1</v>
      </c>
      <c r="E1063" s="115">
        <v>56</v>
      </c>
      <c r="F1063" s="115">
        <v>56</v>
      </c>
      <c r="G1063" s="115">
        <v>56</v>
      </c>
      <c r="H1063" s="115">
        <v>56</v>
      </c>
    </row>
    <row r="1064" spans="1:8" ht="30" x14ac:dyDescent="0.25">
      <c r="A1064" s="115">
        <v>6786</v>
      </c>
      <c r="B1064" s="115" t="s">
        <v>128</v>
      </c>
      <c r="C1064" s="115" t="s">
        <v>2652</v>
      </c>
      <c r="D1064" s="115">
        <v>1</v>
      </c>
      <c r="E1064" s="115" t="s">
        <v>2653</v>
      </c>
      <c r="F1064" s="115" t="s">
        <v>2654</v>
      </c>
      <c r="G1064" s="115" t="s">
        <v>2655</v>
      </c>
      <c r="H1064" s="115" t="s">
        <v>2656</v>
      </c>
    </row>
    <row r="1065" spans="1:8" ht="30" x14ac:dyDescent="0.25">
      <c r="A1065" s="115">
        <v>6785</v>
      </c>
      <c r="B1065" s="115" t="s">
        <v>128</v>
      </c>
      <c r="C1065" s="115" t="s">
        <v>2657</v>
      </c>
      <c r="D1065" s="115">
        <v>1</v>
      </c>
      <c r="E1065" s="115">
        <v>58</v>
      </c>
      <c r="F1065" s="115">
        <v>58</v>
      </c>
      <c r="G1065" s="115">
        <v>58</v>
      </c>
      <c r="H1065" s="115">
        <v>58</v>
      </c>
    </row>
    <row r="1066" spans="1:8" ht="30" x14ac:dyDescent="0.25">
      <c r="A1066" s="115">
        <v>6784</v>
      </c>
      <c r="B1066" s="115" t="s">
        <v>128</v>
      </c>
      <c r="C1066" s="115" t="s">
        <v>2658</v>
      </c>
      <c r="D1066" s="115">
        <v>1</v>
      </c>
      <c r="E1066" s="115" t="s">
        <v>2659</v>
      </c>
      <c r="F1066" s="115" t="s">
        <v>2660</v>
      </c>
      <c r="G1066" s="115" t="s">
        <v>2661</v>
      </c>
      <c r="H1066" s="115" t="s">
        <v>2662</v>
      </c>
    </row>
    <row r="1067" spans="1:8" ht="30" x14ac:dyDescent="0.25">
      <c r="A1067" s="115">
        <v>6783</v>
      </c>
      <c r="B1067" s="115" t="s">
        <v>128</v>
      </c>
      <c r="C1067" s="115" t="s">
        <v>2663</v>
      </c>
      <c r="D1067" s="115">
        <v>1</v>
      </c>
      <c r="E1067" s="115">
        <v>100</v>
      </c>
      <c r="F1067" s="115">
        <v>100</v>
      </c>
      <c r="G1067" s="115">
        <v>100</v>
      </c>
      <c r="H1067" s="115">
        <v>100</v>
      </c>
    </row>
    <row r="1068" spans="1:8" ht="30" x14ac:dyDescent="0.25">
      <c r="A1068" s="115">
        <v>6782</v>
      </c>
      <c r="B1068" s="115" t="s">
        <v>128</v>
      </c>
      <c r="C1068" s="115" t="s">
        <v>2664</v>
      </c>
      <c r="D1068" s="115">
        <v>1</v>
      </c>
      <c r="E1068" s="115" t="s">
        <v>2665</v>
      </c>
      <c r="F1068" s="115" t="s">
        <v>2666</v>
      </c>
      <c r="G1068" s="115" t="s">
        <v>2667</v>
      </c>
      <c r="H1068" s="115" t="s">
        <v>2668</v>
      </c>
    </row>
    <row r="1069" spans="1:8" ht="30" x14ac:dyDescent="0.25">
      <c r="A1069" s="115">
        <v>6781</v>
      </c>
      <c r="B1069" s="115" t="s">
        <v>128</v>
      </c>
      <c r="C1069" s="115" t="s">
        <v>2669</v>
      </c>
      <c r="D1069" s="115">
        <v>1</v>
      </c>
      <c r="E1069" s="115">
        <v>0</v>
      </c>
      <c r="F1069" s="115">
        <v>0</v>
      </c>
      <c r="G1069" s="115">
        <v>0</v>
      </c>
      <c r="H1069" s="115">
        <v>0</v>
      </c>
    </row>
    <row r="1070" spans="1:8" ht="30" x14ac:dyDescent="0.25">
      <c r="A1070" s="115">
        <v>6780</v>
      </c>
      <c r="B1070" s="115" t="s">
        <v>128</v>
      </c>
      <c r="C1070" s="115" t="s">
        <v>2670</v>
      </c>
      <c r="D1070" s="115">
        <v>1</v>
      </c>
      <c r="E1070" s="119">
        <v>1</v>
      </c>
      <c r="F1070" s="119">
        <v>1</v>
      </c>
      <c r="G1070" s="119">
        <v>1</v>
      </c>
      <c r="H1070" s="119">
        <v>1</v>
      </c>
    </row>
    <row r="1071" spans="1:8" ht="30" x14ac:dyDescent="0.25">
      <c r="A1071" s="115">
        <v>6779</v>
      </c>
      <c r="B1071" s="115" t="s">
        <v>128</v>
      </c>
      <c r="C1071" s="115" t="s">
        <v>2671</v>
      </c>
      <c r="D1071" s="115">
        <v>1</v>
      </c>
      <c r="E1071" s="115" t="s">
        <v>2306</v>
      </c>
      <c r="F1071" s="115" t="s">
        <v>2307</v>
      </c>
      <c r="G1071" s="115" t="s">
        <v>2308</v>
      </c>
      <c r="H1071" s="115" t="s">
        <v>2306</v>
      </c>
    </row>
    <row r="1072" spans="1:8" ht="270" x14ac:dyDescent="0.25">
      <c r="A1072" s="115">
        <v>6778</v>
      </c>
      <c r="B1072" s="115" t="s">
        <v>128</v>
      </c>
      <c r="C1072" s="115" t="s">
        <v>2672</v>
      </c>
      <c r="D1072" s="115">
        <v>1</v>
      </c>
      <c r="E1072" s="115" t="s">
        <v>2673</v>
      </c>
      <c r="F1072" s="115" t="s">
        <v>2674</v>
      </c>
      <c r="G1072" s="115" t="s">
        <v>2675</v>
      </c>
      <c r="H1072" s="115" t="s">
        <v>2676</v>
      </c>
    </row>
    <row r="1073" spans="1:8" ht="240" x14ac:dyDescent="0.25">
      <c r="A1073" s="115">
        <v>6777</v>
      </c>
      <c r="B1073" s="115" t="s">
        <v>128</v>
      </c>
      <c r="C1073" s="115" t="s">
        <v>2677</v>
      </c>
      <c r="D1073" s="115">
        <v>1</v>
      </c>
      <c r="E1073" s="115" t="s">
        <v>2678</v>
      </c>
      <c r="F1073" s="115" t="s">
        <v>2679</v>
      </c>
      <c r="G1073" s="115" t="s">
        <v>2680</v>
      </c>
      <c r="H1073" s="115" t="s">
        <v>2681</v>
      </c>
    </row>
    <row r="1074" spans="1:8" ht="105" x14ac:dyDescent="0.25">
      <c r="A1074" s="115">
        <v>6776</v>
      </c>
      <c r="B1074" s="115" t="s">
        <v>128</v>
      </c>
      <c r="C1074" s="115" t="s">
        <v>2682</v>
      </c>
      <c r="D1074" s="115">
        <v>1</v>
      </c>
      <c r="E1074" s="115" t="s">
        <v>2683</v>
      </c>
      <c r="F1074" s="115" t="s">
        <v>2684</v>
      </c>
      <c r="G1074" s="115" t="s">
        <v>2685</v>
      </c>
      <c r="H1074" s="115" t="s">
        <v>2686</v>
      </c>
    </row>
    <row r="1075" spans="1:8" ht="60" x14ac:dyDescent="0.25">
      <c r="A1075" s="115">
        <v>6775</v>
      </c>
      <c r="B1075" s="115" t="s">
        <v>128</v>
      </c>
      <c r="C1075" s="115" t="s">
        <v>2687</v>
      </c>
      <c r="D1075" s="115">
        <v>1</v>
      </c>
      <c r="E1075" s="115" t="s">
        <v>2688</v>
      </c>
      <c r="F1075" s="115" t="s">
        <v>2689</v>
      </c>
      <c r="G1075" s="115" t="s">
        <v>2690</v>
      </c>
      <c r="H1075" s="115" t="s">
        <v>2691</v>
      </c>
    </row>
    <row r="1076" spans="1:8" ht="90" x14ac:dyDescent="0.25">
      <c r="A1076" s="115">
        <v>6774</v>
      </c>
      <c r="B1076" s="115" t="s">
        <v>128</v>
      </c>
      <c r="C1076" s="115" t="s">
        <v>2692</v>
      </c>
      <c r="D1076" s="115">
        <v>1</v>
      </c>
      <c r="E1076" s="115" t="s">
        <v>2693</v>
      </c>
      <c r="F1076" s="115" t="s">
        <v>2694</v>
      </c>
      <c r="G1076" s="115" t="s">
        <v>2695</v>
      </c>
      <c r="H1076" s="115" t="s">
        <v>2696</v>
      </c>
    </row>
    <row r="1077" spans="1:8" ht="75" x14ac:dyDescent="0.25">
      <c r="A1077" s="115">
        <v>6773</v>
      </c>
      <c r="B1077" s="115" t="s">
        <v>128</v>
      </c>
      <c r="C1077" s="115" t="s">
        <v>2697</v>
      </c>
      <c r="D1077" s="115">
        <v>1</v>
      </c>
      <c r="E1077" s="115" t="s">
        <v>2698</v>
      </c>
      <c r="F1077" s="115" t="s">
        <v>2699</v>
      </c>
      <c r="G1077" s="115" t="s">
        <v>2700</v>
      </c>
      <c r="H1077" s="115" t="s">
        <v>2701</v>
      </c>
    </row>
    <row r="1078" spans="1:8" ht="105" x14ac:dyDescent="0.25">
      <c r="A1078" s="115">
        <v>6772</v>
      </c>
      <c r="B1078" s="115" t="s">
        <v>128</v>
      </c>
      <c r="C1078" s="115" t="s">
        <v>2702</v>
      </c>
      <c r="D1078" s="115">
        <v>1</v>
      </c>
      <c r="E1078" s="115" t="s">
        <v>2703</v>
      </c>
      <c r="F1078" s="115" t="s">
        <v>2704</v>
      </c>
      <c r="G1078" s="115" t="s">
        <v>2705</v>
      </c>
      <c r="H1078" s="115" t="s">
        <v>2706</v>
      </c>
    </row>
    <row r="1079" spans="1:8" ht="30" x14ac:dyDescent="0.25">
      <c r="A1079" s="115">
        <v>6771</v>
      </c>
      <c r="B1079" s="115" t="s">
        <v>128</v>
      </c>
      <c r="C1079" s="115" t="s">
        <v>2707</v>
      </c>
      <c r="D1079" s="115">
        <v>1</v>
      </c>
      <c r="E1079" s="115" t="s">
        <v>2708</v>
      </c>
      <c r="F1079" s="115" t="s">
        <v>2709</v>
      </c>
      <c r="G1079" s="115" t="s">
        <v>2710</v>
      </c>
      <c r="H1079" s="115" t="s">
        <v>2711</v>
      </c>
    </row>
    <row r="1080" spans="1:8" ht="30" x14ac:dyDescent="0.25">
      <c r="A1080" s="115">
        <v>6770</v>
      </c>
      <c r="B1080" s="115" t="s">
        <v>128</v>
      </c>
      <c r="C1080" s="115" t="s">
        <v>2712</v>
      </c>
      <c r="D1080" s="115">
        <v>1</v>
      </c>
      <c r="E1080" s="115" t="s">
        <v>477</v>
      </c>
      <c r="F1080" s="115" t="s">
        <v>477</v>
      </c>
      <c r="G1080" s="115" t="s">
        <v>477</v>
      </c>
      <c r="H1080" s="115" t="s">
        <v>477</v>
      </c>
    </row>
    <row r="1081" spans="1:8" ht="30" x14ac:dyDescent="0.25">
      <c r="A1081" s="115">
        <v>6769</v>
      </c>
      <c r="B1081" s="115" t="s">
        <v>128</v>
      </c>
      <c r="C1081" s="115" t="s">
        <v>2713</v>
      </c>
      <c r="D1081" s="115">
        <v>1</v>
      </c>
      <c r="E1081" s="115" t="s">
        <v>2714</v>
      </c>
      <c r="F1081" s="115" t="s">
        <v>2715</v>
      </c>
      <c r="G1081" s="115" t="s">
        <v>2716</v>
      </c>
      <c r="H1081" s="115" t="s">
        <v>2717</v>
      </c>
    </row>
    <row r="1082" spans="1:8" ht="30" x14ac:dyDescent="0.25">
      <c r="A1082" s="115">
        <v>6768</v>
      </c>
      <c r="B1082" s="115" t="s">
        <v>128</v>
      </c>
      <c r="C1082" s="115" t="s">
        <v>2718</v>
      </c>
      <c r="D1082" s="115">
        <v>1</v>
      </c>
      <c r="E1082" s="115" t="s">
        <v>2719</v>
      </c>
      <c r="F1082" s="115" t="s">
        <v>2720</v>
      </c>
      <c r="G1082" s="115" t="s">
        <v>2721</v>
      </c>
      <c r="H1082" s="115" t="s">
        <v>2722</v>
      </c>
    </row>
    <row r="1083" spans="1:8" ht="30" x14ac:dyDescent="0.25">
      <c r="A1083" s="115">
        <v>6767</v>
      </c>
      <c r="B1083" s="115" t="s">
        <v>128</v>
      </c>
      <c r="C1083" s="115" t="s">
        <v>2723</v>
      </c>
      <c r="D1083" s="115">
        <v>1</v>
      </c>
      <c r="E1083" s="115" t="s">
        <v>2724</v>
      </c>
      <c r="F1083" s="115" t="s">
        <v>2725</v>
      </c>
      <c r="G1083" s="115" t="s">
        <v>2726</v>
      </c>
      <c r="H1083" s="115" t="s">
        <v>2727</v>
      </c>
    </row>
    <row r="1084" spans="1:8" ht="30" x14ac:dyDescent="0.25">
      <c r="A1084" s="115">
        <v>6766</v>
      </c>
      <c r="B1084" s="115" t="s">
        <v>128</v>
      </c>
      <c r="C1084" s="115" t="s">
        <v>2728</v>
      </c>
      <c r="D1084" s="115">
        <v>1</v>
      </c>
      <c r="E1084" s="115" t="s">
        <v>2719</v>
      </c>
      <c r="F1084" s="115" t="s">
        <v>2720</v>
      </c>
      <c r="G1084" s="115" t="s">
        <v>2721</v>
      </c>
      <c r="H1084" s="115" t="s">
        <v>2722</v>
      </c>
    </row>
    <row r="1085" spans="1:8" ht="45" x14ac:dyDescent="0.25">
      <c r="A1085" s="115">
        <v>6765</v>
      </c>
      <c r="B1085" s="115" t="s">
        <v>128</v>
      </c>
      <c r="C1085" s="115" t="s">
        <v>2729</v>
      </c>
      <c r="D1085" s="115">
        <v>1</v>
      </c>
      <c r="E1085" s="115">
        <v>5</v>
      </c>
      <c r="F1085" s="115">
        <v>5</v>
      </c>
      <c r="G1085" s="115">
        <v>5</v>
      </c>
      <c r="H1085" s="115">
        <v>5</v>
      </c>
    </row>
    <row r="1086" spans="1:8" ht="45" x14ac:dyDescent="0.25">
      <c r="A1086" s="115">
        <v>6764</v>
      </c>
      <c r="B1086" s="115" t="s">
        <v>128</v>
      </c>
      <c r="C1086" s="115" t="s">
        <v>2730</v>
      </c>
      <c r="D1086" s="115">
        <v>1</v>
      </c>
      <c r="E1086" s="115" t="s">
        <v>2731</v>
      </c>
      <c r="F1086" s="115" t="s">
        <v>2731</v>
      </c>
      <c r="G1086" s="115" t="s">
        <v>2732</v>
      </c>
      <c r="H1086" s="115" t="s">
        <v>2733</v>
      </c>
    </row>
    <row r="1087" spans="1:8" ht="45" x14ac:dyDescent="0.25">
      <c r="A1087" s="115">
        <v>6763</v>
      </c>
      <c r="B1087" s="115" t="s">
        <v>128</v>
      </c>
      <c r="C1087" s="115" t="s">
        <v>2734</v>
      </c>
      <c r="D1087" s="115">
        <v>1</v>
      </c>
      <c r="E1087" s="115">
        <v>45</v>
      </c>
      <c r="F1087" s="115">
        <v>45</v>
      </c>
      <c r="G1087" s="115">
        <v>45</v>
      </c>
      <c r="H1087" s="115">
        <v>45</v>
      </c>
    </row>
    <row r="1088" spans="1:8" ht="45" x14ac:dyDescent="0.25">
      <c r="A1088" s="115">
        <v>6762</v>
      </c>
      <c r="B1088" s="115" t="s">
        <v>128</v>
      </c>
      <c r="C1088" s="115" t="s">
        <v>2735</v>
      </c>
      <c r="D1088" s="115">
        <v>1</v>
      </c>
      <c r="E1088" s="115" t="s">
        <v>2736</v>
      </c>
      <c r="F1088" s="115" t="s">
        <v>2737</v>
      </c>
      <c r="G1088" s="115" t="s">
        <v>2738</v>
      </c>
      <c r="H1088" s="115" t="s">
        <v>2739</v>
      </c>
    </row>
    <row r="1089" spans="1:8" ht="45" x14ac:dyDescent="0.25">
      <c r="A1089" s="115">
        <v>6761</v>
      </c>
      <c r="B1089" s="115" t="s">
        <v>128</v>
      </c>
      <c r="C1089" s="115" t="s">
        <v>2740</v>
      </c>
      <c r="D1089" s="115">
        <v>1</v>
      </c>
      <c r="E1089" s="115">
        <v>46</v>
      </c>
      <c r="F1089" s="115">
        <v>46</v>
      </c>
      <c r="G1089" s="115">
        <v>46</v>
      </c>
      <c r="H1089" s="115">
        <v>46</v>
      </c>
    </row>
    <row r="1090" spans="1:8" ht="60" x14ac:dyDescent="0.25">
      <c r="A1090" s="115">
        <v>6760</v>
      </c>
      <c r="B1090" s="115" t="s">
        <v>128</v>
      </c>
      <c r="C1090" s="115" t="s">
        <v>2741</v>
      </c>
      <c r="D1090" s="115">
        <v>1</v>
      </c>
      <c r="E1090" s="115" t="s">
        <v>2742</v>
      </c>
      <c r="F1090" s="115" t="s">
        <v>2743</v>
      </c>
      <c r="G1090" s="115" t="s">
        <v>2744</v>
      </c>
      <c r="H1090" s="115" t="s">
        <v>2745</v>
      </c>
    </row>
    <row r="1091" spans="1:8" ht="45" x14ac:dyDescent="0.25">
      <c r="A1091" s="115">
        <v>6759</v>
      </c>
      <c r="B1091" s="115" t="s">
        <v>128</v>
      </c>
      <c r="C1091" s="115" t="s">
        <v>2746</v>
      </c>
      <c r="D1091" s="115">
        <v>1</v>
      </c>
      <c r="E1091" s="115">
        <v>46</v>
      </c>
      <c r="F1091" s="115">
        <v>46</v>
      </c>
      <c r="G1091" s="115">
        <v>46</v>
      </c>
      <c r="H1091" s="115">
        <v>46</v>
      </c>
    </row>
    <row r="1092" spans="1:8" ht="45" x14ac:dyDescent="0.25">
      <c r="A1092" s="115">
        <v>6758</v>
      </c>
      <c r="B1092" s="115" t="s">
        <v>128</v>
      </c>
      <c r="C1092" s="115" t="s">
        <v>2747</v>
      </c>
      <c r="D1092" s="115">
        <v>1</v>
      </c>
      <c r="E1092" s="115" t="s">
        <v>2748</v>
      </c>
      <c r="F1092" s="115" t="s">
        <v>2749</v>
      </c>
      <c r="G1092" s="115" t="s">
        <v>2750</v>
      </c>
      <c r="H1092" s="115" t="s">
        <v>2751</v>
      </c>
    </row>
    <row r="1093" spans="1:8" ht="45" x14ac:dyDescent="0.25">
      <c r="A1093" s="115">
        <v>6757</v>
      </c>
      <c r="B1093" s="115" t="s">
        <v>128</v>
      </c>
      <c r="C1093" s="115" t="s">
        <v>2752</v>
      </c>
      <c r="D1093" s="115">
        <v>1</v>
      </c>
      <c r="E1093" s="115">
        <v>47</v>
      </c>
      <c r="F1093" s="115">
        <v>47</v>
      </c>
      <c r="G1093" s="115">
        <v>47</v>
      </c>
      <c r="H1093" s="115">
        <v>47</v>
      </c>
    </row>
    <row r="1094" spans="1:8" ht="45" x14ac:dyDescent="0.25">
      <c r="A1094" s="115">
        <v>6756</v>
      </c>
      <c r="B1094" s="115" t="s">
        <v>128</v>
      </c>
      <c r="C1094" s="115" t="s">
        <v>2753</v>
      </c>
      <c r="D1094" s="115">
        <v>1</v>
      </c>
      <c r="E1094" s="115" t="s">
        <v>2754</v>
      </c>
      <c r="F1094" s="115" t="s">
        <v>2755</v>
      </c>
      <c r="G1094" s="115" t="s">
        <v>2756</v>
      </c>
      <c r="H1094" s="115" t="s">
        <v>2757</v>
      </c>
    </row>
    <row r="1095" spans="1:8" ht="45" x14ac:dyDescent="0.25">
      <c r="A1095" s="115">
        <v>6755</v>
      </c>
      <c r="B1095" s="115" t="s">
        <v>128</v>
      </c>
      <c r="C1095" s="115" t="s">
        <v>2758</v>
      </c>
      <c r="D1095" s="115">
        <v>1</v>
      </c>
      <c r="E1095" s="115">
        <v>73</v>
      </c>
      <c r="F1095" s="115">
        <v>73</v>
      </c>
      <c r="G1095" s="115">
        <v>73</v>
      </c>
      <c r="H1095" s="115">
        <v>73</v>
      </c>
    </row>
    <row r="1096" spans="1:8" ht="45" x14ac:dyDescent="0.25">
      <c r="A1096" s="115">
        <v>6754</v>
      </c>
      <c r="B1096" s="115" t="s">
        <v>128</v>
      </c>
      <c r="C1096" s="115" t="s">
        <v>2759</v>
      </c>
      <c r="D1096" s="115">
        <v>1</v>
      </c>
      <c r="E1096" s="115" t="s">
        <v>2760</v>
      </c>
      <c r="F1096" s="115" t="s">
        <v>2761</v>
      </c>
      <c r="G1096" s="115" t="s">
        <v>2762</v>
      </c>
      <c r="H1096" s="115" t="s">
        <v>2763</v>
      </c>
    </row>
    <row r="1097" spans="1:8" ht="30" x14ac:dyDescent="0.25">
      <c r="A1097" s="115">
        <v>6753</v>
      </c>
      <c r="B1097" s="115" t="s">
        <v>128</v>
      </c>
      <c r="C1097" s="115" t="s">
        <v>2764</v>
      </c>
      <c r="D1097" s="115">
        <v>1</v>
      </c>
      <c r="E1097" s="115" t="s">
        <v>2765</v>
      </c>
      <c r="F1097" s="115" t="s">
        <v>2766</v>
      </c>
      <c r="G1097" s="115" t="s">
        <v>2767</v>
      </c>
      <c r="H1097" s="115" t="s">
        <v>2768</v>
      </c>
    </row>
    <row r="1098" spans="1:8" ht="60" x14ac:dyDescent="0.25">
      <c r="A1098" s="115">
        <v>6752</v>
      </c>
      <c r="B1098" s="115" t="s">
        <v>128</v>
      </c>
      <c r="C1098" s="115" t="s">
        <v>2769</v>
      </c>
      <c r="D1098" s="115">
        <v>1</v>
      </c>
      <c r="E1098" s="115" t="s">
        <v>2770</v>
      </c>
      <c r="F1098" s="115" t="s">
        <v>2771</v>
      </c>
      <c r="G1098" s="115" t="s">
        <v>2772</v>
      </c>
      <c r="H1098" s="115" t="s">
        <v>2773</v>
      </c>
    </row>
    <row r="1099" spans="1:8" ht="45" x14ac:dyDescent="0.25">
      <c r="A1099" s="115">
        <v>6751</v>
      </c>
      <c r="B1099" s="115" t="s">
        <v>128</v>
      </c>
      <c r="C1099" s="115" t="s">
        <v>2774</v>
      </c>
      <c r="D1099" s="115">
        <v>1</v>
      </c>
      <c r="E1099" s="115" t="s">
        <v>2775</v>
      </c>
      <c r="F1099" s="115" t="s">
        <v>2776</v>
      </c>
      <c r="G1099" s="115" t="s">
        <v>2777</v>
      </c>
      <c r="H1099" s="115" t="s">
        <v>2778</v>
      </c>
    </row>
    <row r="1100" spans="1:8" ht="30" x14ac:dyDescent="0.25">
      <c r="A1100" s="115">
        <v>6750</v>
      </c>
      <c r="B1100" s="115" t="s">
        <v>128</v>
      </c>
      <c r="C1100" s="115" t="s">
        <v>2779</v>
      </c>
      <c r="D1100" s="115">
        <v>1</v>
      </c>
      <c r="E1100" s="115" t="s">
        <v>2780</v>
      </c>
      <c r="F1100" s="115" t="s">
        <v>2781</v>
      </c>
      <c r="G1100" s="115" t="s">
        <v>2782</v>
      </c>
      <c r="H1100" s="115" t="s">
        <v>2783</v>
      </c>
    </row>
    <row r="1101" spans="1:8" ht="45" x14ac:dyDescent="0.25">
      <c r="A1101" s="115">
        <v>6749</v>
      </c>
      <c r="B1101" s="115" t="s">
        <v>128</v>
      </c>
      <c r="C1101" s="115" t="s">
        <v>2784</v>
      </c>
      <c r="D1101" s="115">
        <v>1</v>
      </c>
      <c r="E1101" s="115" t="s">
        <v>2785</v>
      </c>
      <c r="F1101" s="115" t="s">
        <v>2786</v>
      </c>
      <c r="G1101" s="115" t="s">
        <v>2787</v>
      </c>
      <c r="H1101" s="115" t="s">
        <v>2788</v>
      </c>
    </row>
    <row r="1102" spans="1:8" ht="45" x14ac:dyDescent="0.25">
      <c r="A1102" s="115">
        <v>6748</v>
      </c>
      <c r="B1102" s="115" t="s">
        <v>128</v>
      </c>
      <c r="C1102" s="115" t="s">
        <v>2789</v>
      </c>
      <c r="D1102" s="115">
        <v>1</v>
      </c>
      <c r="E1102" s="115">
        <v>62</v>
      </c>
      <c r="F1102" s="115">
        <v>62</v>
      </c>
      <c r="G1102" s="115">
        <v>62</v>
      </c>
      <c r="H1102" s="115">
        <v>62</v>
      </c>
    </row>
    <row r="1103" spans="1:8" ht="45" x14ac:dyDescent="0.25">
      <c r="A1103" s="115">
        <v>6747</v>
      </c>
      <c r="B1103" s="115" t="s">
        <v>128</v>
      </c>
      <c r="C1103" s="115" t="s">
        <v>2790</v>
      </c>
      <c r="D1103" s="115">
        <v>1</v>
      </c>
      <c r="E1103" s="115">
        <v>52</v>
      </c>
      <c r="F1103" s="115">
        <v>52</v>
      </c>
      <c r="G1103" s="115">
        <v>52</v>
      </c>
      <c r="H1103" s="115">
        <v>52</v>
      </c>
    </row>
    <row r="1104" spans="1:8" ht="45" x14ac:dyDescent="0.25">
      <c r="A1104" s="115">
        <v>6746</v>
      </c>
      <c r="B1104" s="115" t="s">
        <v>128</v>
      </c>
      <c r="C1104" s="115" t="s">
        <v>2791</v>
      </c>
      <c r="D1104" s="115">
        <v>1</v>
      </c>
      <c r="E1104" s="115" t="s">
        <v>505</v>
      </c>
      <c r="F1104" s="115" t="s">
        <v>506</v>
      </c>
      <c r="G1104" s="115" t="s">
        <v>507</v>
      </c>
      <c r="H1104" s="115" t="s">
        <v>508</v>
      </c>
    </row>
    <row r="1105" spans="1:8" ht="45" x14ac:dyDescent="0.25">
      <c r="A1105" s="115">
        <v>6745</v>
      </c>
      <c r="B1105" s="115" t="s">
        <v>128</v>
      </c>
      <c r="C1105" s="115" t="s">
        <v>2792</v>
      </c>
      <c r="D1105" s="115">
        <v>1</v>
      </c>
      <c r="E1105" s="115">
        <v>56</v>
      </c>
      <c r="F1105" s="115">
        <v>56</v>
      </c>
      <c r="G1105" s="115">
        <v>56</v>
      </c>
      <c r="H1105" s="115">
        <v>56</v>
      </c>
    </row>
    <row r="1106" spans="1:8" ht="45" x14ac:dyDescent="0.25">
      <c r="A1106" s="115">
        <v>6744</v>
      </c>
      <c r="B1106" s="115" t="s">
        <v>128</v>
      </c>
      <c r="C1106" s="115" t="s">
        <v>2793</v>
      </c>
      <c r="D1106" s="115">
        <v>1</v>
      </c>
      <c r="E1106" s="115">
        <v>44</v>
      </c>
      <c r="F1106" s="115">
        <v>44</v>
      </c>
      <c r="G1106" s="115">
        <v>44</v>
      </c>
      <c r="H1106" s="115">
        <v>44</v>
      </c>
    </row>
    <row r="1107" spans="1:8" ht="45" x14ac:dyDescent="0.25">
      <c r="A1107" s="115">
        <v>6743</v>
      </c>
      <c r="B1107" s="115" t="s">
        <v>128</v>
      </c>
      <c r="C1107" s="115" t="s">
        <v>2794</v>
      </c>
      <c r="D1107" s="115">
        <v>1</v>
      </c>
      <c r="E1107" s="115" t="s">
        <v>2795</v>
      </c>
      <c r="F1107" s="115" t="s">
        <v>553</v>
      </c>
      <c r="G1107" s="115" t="s">
        <v>649</v>
      </c>
      <c r="H1107" s="115" t="s">
        <v>555</v>
      </c>
    </row>
    <row r="1108" spans="1:8" ht="45" x14ac:dyDescent="0.25">
      <c r="A1108" s="115">
        <v>6742</v>
      </c>
      <c r="B1108" s="115" t="s">
        <v>128</v>
      </c>
      <c r="C1108" s="115" t="s">
        <v>2796</v>
      </c>
      <c r="D1108" s="115">
        <v>1</v>
      </c>
      <c r="E1108" s="115">
        <v>66</v>
      </c>
      <c r="F1108" s="115">
        <v>66</v>
      </c>
      <c r="G1108" s="115">
        <v>66</v>
      </c>
      <c r="H1108" s="115">
        <v>66</v>
      </c>
    </row>
    <row r="1109" spans="1:8" ht="45" x14ac:dyDescent="0.25">
      <c r="A1109" s="115">
        <v>6741</v>
      </c>
      <c r="B1109" s="115" t="s">
        <v>128</v>
      </c>
      <c r="C1109" s="115" t="s">
        <v>2797</v>
      </c>
      <c r="D1109" s="115">
        <v>1</v>
      </c>
      <c r="E1109" s="115">
        <v>54</v>
      </c>
      <c r="F1109" s="115">
        <v>54</v>
      </c>
      <c r="G1109" s="115">
        <v>54</v>
      </c>
      <c r="H1109" s="115">
        <v>54</v>
      </c>
    </row>
    <row r="1110" spans="1:8" ht="45" x14ac:dyDescent="0.25">
      <c r="A1110" s="115">
        <v>6740</v>
      </c>
      <c r="B1110" s="115" t="s">
        <v>128</v>
      </c>
      <c r="C1110" s="115" t="s">
        <v>2798</v>
      </c>
      <c r="D1110" s="115">
        <v>1</v>
      </c>
      <c r="E1110" s="115" t="s">
        <v>494</v>
      </c>
      <c r="F1110" s="115" t="s">
        <v>495</v>
      </c>
      <c r="G1110" s="115" t="s">
        <v>638</v>
      </c>
      <c r="H1110" s="115" t="s">
        <v>497</v>
      </c>
    </row>
    <row r="1111" spans="1:8" ht="45" x14ac:dyDescent="0.25">
      <c r="A1111" s="115">
        <v>6739</v>
      </c>
      <c r="B1111" s="115" t="s">
        <v>128</v>
      </c>
      <c r="C1111" s="115" t="s">
        <v>2799</v>
      </c>
      <c r="D1111" s="115">
        <v>1</v>
      </c>
      <c r="E1111" s="115">
        <v>71</v>
      </c>
      <c r="F1111" s="115">
        <v>71</v>
      </c>
      <c r="G1111" s="115">
        <v>71</v>
      </c>
      <c r="H1111" s="115">
        <v>71</v>
      </c>
    </row>
    <row r="1112" spans="1:8" ht="45" x14ac:dyDescent="0.25">
      <c r="A1112" s="115">
        <v>6738</v>
      </c>
      <c r="B1112" s="115" t="s">
        <v>128</v>
      </c>
      <c r="C1112" s="115" t="s">
        <v>2800</v>
      </c>
      <c r="D1112" s="115">
        <v>1</v>
      </c>
      <c r="E1112" s="115">
        <v>57</v>
      </c>
      <c r="F1112" s="115">
        <v>57</v>
      </c>
      <c r="G1112" s="115">
        <v>57</v>
      </c>
      <c r="H1112" s="115">
        <v>57</v>
      </c>
    </row>
    <row r="1113" spans="1:8" ht="45" x14ac:dyDescent="0.25">
      <c r="A1113" s="115">
        <v>6737</v>
      </c>
      <c r="B1113" s="115" t="s">
        <v>128</v>
      </c>
      <c r="C1113" s="115" t="s">
        <v>2801</v>
      </c>
      <c r="D1113" s="115">
        <v>1</v>
      </c>
      <c r="E1113" s="115" t="s">
        <v>536</v>
      </c>
      <c r="F1113" s="115" t="s">
        <v>536</v>
      </c>
      <c r="G1113" s="115" t="s">
        <v>537</v>
      </c>
      <c r="H1113" s="115" t="s">
        <v>538</v>
      </c>
    </row>
    <row r="1114" spans="1:8" ht="45" x14ac:dyDescent="0.25">
      <c r="A1114" s="115">
        <v>6736</v>
      </c>
      <c r="B1114" s="115" t="s">
        <v>128</v>
      </c>
      <c r="C1114" s="115" t="s">
        <v>2802</v>
      </c>
      <c r="D1114" s="115">
        <v>1</v>
      </c>
      <c r="E1114" s="115">
        <v>45</v>
      </c>
      <c r="F1114" s="115">
        <v>45</v>
      </c>
      <c r="G1114" s="115">
        <v>45</v>
      </c>
      <c r="H1114" s="115">
        <v>45</v>
      </c>
    </row>
    <row r="1115" spans="1:8" ht="45" x14ac:dyDescent="0.25">
      <c r="A1115" s="115">
        <v>6735</v>
      </c>
      <c r="B1115" s="115" t="s">
        <v>128</v>
      </c>
      <c r="C1115" s="115" t="s">
        <v>2803</v>
      </c>
      <c r="D1115" s="115">
        <v>1</v>
      </c>
      <c r="E1115" s="115">
        <v>49</v>
      </c>
      <c r="F1115" s="115">
        <v>49</v>
      </c>
      <c r="G1115" s="115">
        <v>49</v>
      </c>
      <c r="H1115" s="115">
        <v>49</v>
      </c>
    </row>
    <row r="1116" spans="1:8" ht="45" x14ac:dyDescent="0.25">
      <c r="A1116" s="115">
        <v>6734</v>
      </c>
      <c r="B1116" s="115" t="s">
        <v>128</v>
      </c>
      <c r="C1116" s="115" t="s">
        <v>2804</v>
      </c>
      <c r="D1116" s="115">
        <v>1</v>
      </c>
      <c r="E1116" s="115" t="s">
        <v>519</v>
      </c>
      <c r="F1116" s="115" t="s">
        <v>520</v>
      </c>
      <c r="G1116" s="115" t="s">
        <v>521</v>
      </c>
      <c r="H1116" s="115" t="s">
        <v>522</v>
      </c>
    </row>
    <row r="1117" spans="1:8" ht="45" x14ac:dyDescent="0.25">
      <c r="A1117" s="115">
        <v>6733</v>
      </c>
      <c r="B1117" s="115" t="s">
        <v>128</v>
      </c>
      <c r="C1117" s="115" t="s">
        <v>2805</v>
      </c>
      <c r="D1117" s="115">
        <v>1</v>
      </c>
      <c r="E1117" s="115">
        <v>73</v>
      </c>
      <c r="F1117" s="115">
        <v>73</v>
      </c>
      <c r="G1117" s="115">
        <v>73</v>
      </c>
      <c r="H1117" s="115">
        <v>73</v>
      </c>
    </row>
    <row r="1118" spans="1:8" ht="45" x14ac:dyDescent="0.25">
      <c r="A1118" s="115">
        <v>6732</v>
      </c>
      <c r="B1118" s="115" t="s">
        <v>128</v>
      </c>
      <c r="C1118" s="115" t="s">
        <v>2806</v>
      </c>
      <c r="D1118" s="115">
        <v>1</v>
      </c>
      <c r="E1118" s="115">
        <v>54</v>
      </c>
      <c r="F1118" s="115">
        <v>54</v>
      </c>
      <c r="G1118" s="115">
        <v>54</v>
      </c>
      <c r="H1118" s="115">
        <v>54</v>
      </c>
    </row>
    <row r="1119" spans="1:8" ht="30" x14ac:dyDescent="0.25">
      <c r="A1119" s="115">
        <v>6731</v>
      </c>
      <c r="B1119" s="115" t="s">
        <v>128</v>
      </c>
      <c r="C1119" s="115" t="s">
        <v>2807</v>
      </c>
      <c r="D1119" s="115">
        <v>1</v>
      </c>
      <c r="E1119" s="115" t="s">
        <v>2808</v>
      </c>
      <c r="F1119" s="115" t="s">
        <v>2809</v>
      </c>
      <c r="G1119" s="115" t="s">
        <v>2810</v>
      </c>
      <c r="H1119" s="115" t="s">
        <v>2811</v>
      </c>
    </row>
    <row r="1120" spans="1:8" ht="285" x14ac:dyDescent="0.25">
      <c r="A1120" s="115">
        <v>6730</v>
      </c>
      <c r="B1120" s="115" t="s">
        <v>128</v>
      </c>
      <c r="C1120" s="115" t="s">
        <v>2812</v>
      </c>
      <c r="D1120" s="115">
        <v>1</v>
      </c>
      <c r="E1120" s="115" t="s">
        <v>2813</v>
      </c>
      <c r="F1120" s="115" t="s">
        <v>2814</v>
      </c>
      <c r="G1120" s="115" t="s">
        <v>2815</v>
      </c>
      <c r="H1120" s="115" t="s">
        <v>2816</v>
      </c>
    </row>
    <row r="1121" spans="1:8" ht="30" x14ac:dyDescent="0.25">
      <c r="A1121" s="115">
        <v>6729</v>
      </c>
      <c r="B1121" s="115" t="s">
        <v>128</v>
      </c>
      <c r="C1121" s="115" t="s">
        <v>2817</v>
      </c>
      <c r="D1121" s="115">
        <v>1</v>
      </c>
      <c r="E1121" s="115" t="s">
        <v>2818</v>
      </c>
      <c r="F1121" s="115" t="s">
        <v>2819</v>
      </c>
      <c r="G1121" s="115" t="s">
        <v>2820</v>
      </c>
      <c r="H1121" s="115" t="s">
        <v>2821</v>
      </c>
    </row>
    <row r="1122" spans="1:8" ht="409.5" x14ac:dyDescent="0.25">
      <c r="A1122" s="115">
        <v>6728</v>
      </c>
      <c r="B1122" s="115" t="s">
        <v>128</v>
      </c>
      <c r="C1122" s="115" t="s">
        <v>2822</v>
      </c>
      <c r="D1122" s="115">
        <v>1</v>
      </c>
      <c r="E1122" s="115" t="s">
        <v>2823</v>
      </c>
      <c r="F1122" s="115" t="s">
        <v>2824</v>
      </c>
      <c r="G1122" s="115" t="s">
        <v>2825</v>
      </c>
      <c r="H1122" s="115" t="s">
        <v>2826</v>
      </c>
    </row>
    <row r="1123" spans="1:8" ht="30" x14ac:dyDescent="0.25">
      <c r="A1123" s="115">
        <v>6727</v>
      </c>
      <c r="B1123" s="115" t="s">
        <v>128</v>
      </c>
      <c r="C1123" s="115" t="s">
        <v>2827</v>
      </c>
      <c r="D1123" s="115">
        <v>1</v>
      </c>
      <c r="E1123" s="115" t="s">
        <v>2828</v>
      </c>
      <c r="F1123" s="115" t="s">
        <v>2828</v>
      </c>
      <c r="G1123" s="115" t="s">
        <v>2828</v>
      </c>
      <c r="H1123" s="115" t="s">
        <v>2828</v>
      </c>
    </row>
    <row r="1124" spans="1:8" ht="30" x14ac:dyDescent="0.25">
      <c r="A1124" s="115">
        <v>6726</v>
      </c>
      <c r="B1124" s="115" t="s">
        <v>128</v>
      </c>
      <c r="C1124" s="115" t="s">
        <v>2829</v>
      </c>
      <c r="D1124" s="115">
        <v>1</v>
      </c>
      <c r="E1124" s="115" t="s">
        <v>2830</v>
      </c>
      <c r="F1124" s="115" t="s">
        <v>2831</v>
      </c>
      <c r="G1124" s="115" t="s">
        <v>2830</v>
      </c>
      <c r="H1124" s="115" t="s">
        <v>2830</v>
      </c>
    </row>
    <row r="1125" spans="1:8" ht="30" x14ac:dyDescent="0.25">
      <c r="A1125" s="115">
        <v>6725</v>
      </c>
      <c r="B1125" s="115" t="s">
        <v>128</v>
      </c>
      <c r="C1125" s="115" t="s">
        <v>2832</v>
      </c>
      <c r="D1125" s="115">
        <v>1</v>
      </c>
    </row>
    <row r="1126" spans="1:8" ht="270" x14ac:dyDescent="0.25">
      <c r="A1126" s="115">
        <v>6724</v>
      </c>
      <c r="B1126" s="115" t="s">
        <v>128</v>
      </c>
      <c r="C1126" s="115" t="s">
        <v>2833</v>
      </c>
      <c r="D1126" s="115">
        <v>1</v>
      </c>
      <c r="E1126" s="115" t="s">
        <v>2834</v>
      </c>
      <c r="F1126" s="115" t="s">
        <v>2835</v>
      </c>
      <c r="G1126" s="115" t="s">
        <v>2836</v>
      </c>
      <c r="H1126" s="115" t="s">
        <v>2837</v>
      </c>
    </row>
    <row r="1127" spans="1:8" ht="30" x14ac:dyDescent="0.25">
      <c r="A1127" s="115">
        <v>6723</v>
      </c>
      <c r="B1127" s="115" t="s">
        <v>128</v>
      </c>
      <c r="C1127" s="115" t="s">
        <v>2838</v>
      </c>
      <c r="D1127" s="115">
        <v>1</v>
      </c>
      <c r="E1127" s="115" t="s">
        <v>2839</v>
      </c>
      <c r="F1127" s="115" t="s">
        <v>2840</v>
      </c>
      <c r="G1127" s="115" t="s">
        <v>2841</v>
      </c>
      <c r="H1127" s="115" t="s">
        <v>2842</v>
      </c>
    </row>
    <row r="1128" spans="1:8" ht="30" x14ac:dyDescent="0.25">
      <c r="A1128" s="115">
        <v>6722</v>
      </c>
      <c r="B1128" s="115" t="s">
        <v>128</v>
      </c>
      <c r="C1128" s="115" t="s">
        <v>2843</v>
      </c>
      <c r="D1128" s="115">
        <v>1</v>
      </c>
      <c r="E1128" s="115" t="s">
        <v>764</v>
      </c>
      <c r="F1128" s="115" t="s">
        <v>765</v>
      </c>
      <c r="G1128" s="115" t="s">
        <v>766</v>
      </c>
      <c r="H1128" s="115" t="s">
        <v>764</v>
      </c>
    </row>
    <row r="1129" spans="1:8" ht="45" x14ac:dyDescent="0.25">
      <c r="A1129" s="115">
        <v>6721</v>
      </c>
      <c r="B1129" s="115" t="s">
        <v>128</v>
      </c>
      <c r="C1129" s="115" t="s">
        <v>2844</v>
      </c>
      <c r="D1129" s="115">
        <v>1</v>
      </c>
      <c r="E1129" s="115" t="s">
        <v>2845</v>
      </c>
      <c r="F1129" s="115" t="s">
        <v>2846</v>
      </c>
      <c r="G1129" s="115" t="s">
        <v>2847</v>
      </c>
      <c r="H1129" s="115" t="s">
        <v>2848</v>
      </c>
    </row>
    <row r="1130" spans="1:8" ht="30" x14ac:dyDescent="0.25">
      <c r="A1130" s="115">
        <v>6720</v>
      </c>
      <c r="B1130" s="115" t="s">
        <v>128</v>
      </c>
      <c r="C1130" s="115" t="s">
        <v>2849</v>
      </c>
      <c r="D1130" s="115">
        <v>1</v>
      </c>
      <c r="E1130" s="115" t="s">
        <v>2850</v>
      </c>
      <c r="F1130" s="115" t="s">
        <v>2851</v>
      </c>
      <c r="G1130" s="115" t="s">
        <v>2852</v>
      </c>
      <c r="H1130" s="115" t="s">
        <v>2853</v>
      </c>
    </row>
    <row r="1131" spans="1:8" ht="30" x14ac:dyDescent="0.25">
      <c r="A1131" s="115">
        <v>6719</v>
      </c>
      <c r="B1131" s="115" t="s">
        <v>128</v>
      </c>
      <c r="C1131" s="115" t="s">
        <v>2854</v>
      </c>
      <c r="D1131" s="115">
        <v>1</v>
      </c>
      <c r="E1131" s="115" t="s">
        <v>2855</v>
      </c>
      <c r="F1131" s="115" t="s">
        <v>2856</v>
      </c>
      <c r="G1131" s="115" t="s">
        <v>2857</v>
      </c>
      <c r="H1131" s="115" t="s">
        <v>2858</v>
      </c>
    </row>
    <row r="1132" spans="1:8" ht="30" x14ac:dyDescent="0.25">
      <c r="A1132" s="115">
        <v>6718</v>
      </c>
      <c r="B1132" s="115" t="s">
        <v>128</v>
      </c>
      <c r="C1132" s="115" t="s">
        <v>2859</v>
      </c>
      <c r="D1132" s="115">
        <v>1</v>
      </c>
      <c r="E1132" s="115">
        <v>2014</v>
      </c>
      <c r="F1132" s="115">
        <v>2014</v>
      </c>
      <c r="G1132" s="115">
        <v>2014</v>
      </c>
      <c r="H1132" s="115">
        <v>2014</v>
      </c>
    </row>
    <row r="1133" spans="1:8" ht="30" x14ac:dyDescent="0.25">
      <c r="A1133" s="115">
        <v>6717</v>
      </c>
      <c r="B1133" s="115" t="s">
        <v>128</v>
      </c>
      <c r="C1133" s="115" t="s">
        <v>2860</v>
      </c>
      <c r="D1133" s="115">
        <v>1</v>
      </c>
      <c r="E1133" s="115">
        <v>151.69999999999999</v>
      </c>
      <c r="F1133" s="115">
        <v>151.69999999999999</v>
      </c>
      <c r="G1133" s="115">
        <v>151.69999999999999</v>
      </c>
      <c r="H1133" s="115">
        <v>151.69999999999999</v>
      </c>
    </row>
    <row r="1134" spans="1:8" ht="30" x14ac:dyDescent="0.25">
      <c r="A1134" s="115">
        <v>6716</v>
      </c>
      <c r="B1134" s="115" t="s">
        <v>128</v>
      </c>
      <c r="C1134" s="115" t="s">
        <v>2861</v>
      </c>
      <c r="D1134" s="115">
        <v>1</v>
      </c>
      <c r="E1134" s="115">
        <v>2013</v>
      </c>
      <c r="F1134" s="115">
        <v>2013</v>
      </c>
      <c r="G1134" s="115">
        <v>2013</v>
      </c>
      <c r="H1134" s="115">
        <v>2013</v>
      </c>
    </row>
    <row r="1135" spans="1:8" ht="30" x14ac:dyDescent="0.25">
      <c r="A1135" s="115">
        <v>6715</v>
      </c>
      <c r="B1135" s="115" t="s">
        <v>128</v>
      </c>
      <c r="C1135" s="115" t="s">
        <v>2862</v>
      </c>
      <c r="D1135" s="115">
        <v>1</v>
      </c>
      <c r="E1135" s="115">
        <v>122.3</v>
      </c>
      <c r="F1135" s="115">
        <v>122.3</v>
      </c>
      <c r="G1135" s="115">
        <v>122.3</v>
      </c>
      <c r="H1135" s="115">
        <v>122.3</v>
      </c>
    </row>
    <row r="1136" spans="1:8" ht="30" x14ac:dyDescent="0.25">
      <c r="A1136" s="115">
        <v>6714</v>
      </c>
      <c r="B1136" s="115" t="s">
        <v>128</v>
      </c>
      <c r="C1136" s="115" t="s">
        <v>2863</v>
      </c>
      <c r="D1136" s="115">
        <v>1</v>
      </c>
      <c r="E1136" s="115">
        <v>2012</v>
      </c>
      <c r="F1136" s="115">
        <v>2012</v>
      </c>
      <c r="G1136" s="115">
        <v>2012</v>
      </c>
      <c r="H1136" s="115">
        <v>2012</v>
      </c>
    </row>
    <row r="1137" spans="1:8" ht="30" x14ac:dyDescent="0.25">
      <c r="A1137" s="115">
        <v>6713</v>
      </c>
      <c r="B1137" s="115" t="s">
        <v>128</v>
      </c>
      <c r="C1137" s="115" t="s">
        <v>2864</v>
      </c>
      <c r="D1137" s="115">
        <v>1</v>
      </c>
      <c r="E1137" s="115">
        <v>109.8</v>
      </c>
      <c r="F1137" s="115">
        <v>109.8</v>
      </c>
      <c r="G1137" s="115">
        <v>109.8</v>
      </c>
      <c r="H1137" s="115">
        <v>109.8</v>
      </c>
    </row>
    <row r="1138" spans="1:8" ht="30" x14ac:dyDescent="0.25">
      <c r="A1138" s="115">
        <v>6712</v>
      </c>
      <c r="B1138" s="115" t="s">
        <v>128</v>
      </c>
      <c r="C1138" s="115" t="s">
        <v>2865</v>
      </c>
      <c r="D1138" s="115">
        <v>1</v>
      </c>
      <c r="E1138" s="115">
        <v>2011</v>
      </c>
      <c r="F1138" s="115">
        <v>2011</v>
      </c>
      <c r="G1138" s="115">
        <v>2011</v>
      </c>
      <c r="H1138" s="115">
        <v>2011</v>
      </c>
    </row>
    <row r="1139" spans="1:8" ht="30" x14ac:dyDescent="0.25">
      <c r="A1139" s="115">
        <v>6711</v>
      </c>
      <c r="B1139" s="115" t="s">
        <v>128</v>
      </c>
      <c r="C1139" s="115" t="s">
        <v>2866</v>
      </c>
      <c r="D1139" s="115">
        <v>1</v>
      </c>
      <c r="E1139" s="115">
        <v>95.3</v>
      </c>
      <c r="F1139" s="115">
        <v>95.3</v>
      </c>
      <c r="G1139" s="115">
        <v>95.3</v>
      </c>
      <c r="H1139" s="115">
        <v>95.3</v>
      </c>
    </row>
    <row r="1140" spans="1:8" ht="30" x14ac:dyDescent="0.25">
      <c r="A1140" s="115">
        <v>6710</v>
      </c>
      <c r="B1140" s="115" t="s">
        <v>128</v>
      </c>
      <c r="C1140" s="115" t="s">
        <v>2867</v>
      </c>
      <c r="D1140" s="115">
        <v>1</v>
      </c>
      <c r="E1140" s="115">
        <v>2010</v>
      </c>
      <c r="F1140" s="115">
        <v>2010</v>
      </c>
      <c r="G1140" s="115">
        <v>2010</v>
      </c>
      <c r="H1140" s="115">
        <v>2010</v>
      </c>
    </row>
    <row r="1141" spans="1:8" ht="30" x14ac:dyDescent="0.25">
      <c r="A1141" s="115">
        <v>6709</v>
      </c>
      <c r="B1141" s="115" t="s">
        <v>128</v>
      </c>
      <c r="C1141" s="115" t="s">
        <v>2868</v>
      </c>
      <c r="D1141" s="115">
        <v>1</v>
      </c>
      <c r="E1141" s="115">
        <v>88.1</v>
      </c>
      <c r="F1141" s="115">
        <v>88.1</v>
      </c>
      <c r="G1141" s="115">
        <v>88.1</v>
      </c>
      <c r="H1141" s="115">
        <v>88.1</v>
      </c>
    </row>
    <row r="1142" spans="1:8" ht="30" x14ac:dyDescent="0.25">
      <c r="A1142" s="115">
        <v>6708</v>
      </c>
      <c r="B1142" s="115" t="s">
        <v>128</v>
      </c>
      <c r="C1142" s="115" t="s">
        <v>2869</v>
      </c>
      <c r="D1142" s="115">
        <v>1</v>
      </c>
      <c r="E1142" s="115">
        <v>2014</v>
      </c>
      <c r="F1142" s="115">
        <v>2014</v>
      </c>
      <c r="G1142" s="115">
        <v>2014</v>
      </c>
      <c r="H1142" s="115">
        <v>2014</v>
      </c>
    </row>
    <row r="1143" spans="1:8" ht="30" x14ac:dyDescent="0.25">
      <c r="A1143" s="115">
        <v>6707</v>
      </c>
      <c r="B1143" s="115" t="s">
        <v>128</v>
      </c>
      <c r="C1143" s="115" t="s">
        <v>2870</v>
      </c>
      <c r="D1143" s="115">
        <v>1</v>
      </c>
      <c r="E1143" s="115">
        <v>31.2</v>
      </c>
      <c r="F1143" s="115">
        <v>31.2</v>
      </c>
      <c r="G1143" s="115">
        <v>31.2</v>
      </c>
      <c r="H1143" s="115">
        <v>31.2</v>
      </c>
    </row>
    <row r="1144" spans="1:8" ht="30" x14ac:dyDescent="0.25">
      <c r="A1144" s="115">
        <v>6706</v>
      </c>
      <c r="B1144" s="115" t="s">
        <v>128</v>
      </c>
      <c r="C1144" s="115" t="s">
        <v>2871</v>
      </c>
      <c r="D1144" s="115">
        <v>1</v>
      </c>
      <c r="E1144" s="115">
        <v>2013</v>
      </c>
      <c r="F1144" s="115">
        <v>2013</v>
      </c>
      <c r="G1144" s="115">
        <v>2013</v>
      </c>
      <c r="H1144" s="115">
        <v>2013</v>
      </c>
    </row>
    <row r="1145" spans="1:8" ht="30" x14ac:dyDescent="0.25">
      <c r="A1145" s="115">
        <v>6705</v>
      </c>
      <c r="B1145" s="115" t="s">
        <v>128</v>
      </c>
      <c r="C1145" s="115" t="s">
        <v>2872</v>
      </c>
      <c r="D1145" s="115">
        <v>1</v>
      </c>
      <c r="E1145" s="115">
        <v>25.6</v>
      </c>
      <c r="F1145" s="115">
        <v>25.6</v>
      </c>
      <c r="G1145" s="115">
        <v>25.6</v>
      </c>
      <c r="H1145" s="115">
        <v>25.6</v>
      </c>
    </row>
    <row r="1146" spans="1:8" ht="30" x14ac:dyDescent="0.25">
      <c r="A1146" s="115">
        <v>6704</v>
      </c>
      <c r="B1146" s="115" t="s">
        <v>128</v>
      </c>
      <c r="C1146" s="115" t="s">
        <v>2873</v>
      </c>
      <c r="D1146" s="115">
        <v>1</v>
      </c>
      <c r="E1146" s="115">
        <v>2012</v>
      </c>
      <c r="F1146" s="115">
        <v>2012</v>
      </c>
      <c r="G1146" s="115">
        <v>2012</v>
      </c>
      <c r="H1146" s="115">
        <v>2012</v>
      </c>
    </row>
    <row r="1147" spans="1:8" ht="30" x14ac:dyDescent="0.25">
      <c r="A1147" s="115">
        <v>6703</v>
      </c>
      <c r="B1147" s="115" t="s">
        <v>128</v>
      </c>
      <c r="C1147" s="115" t="s">
        <v>2874</v>
      </c>
      <c r="D1147" s="115">
        <v>1</v>
      </c>
      <c r="E1147" s="115">
        <v>23.3</v>
      </c>
      <c r="F1147" s="115">
        <v>23.3</v>
      </c>
      <c r="G1147" s="115">
        <v>23.3</v>
      </c>
      <c r="H1147" s="115">
        <v>23.3</v>
      </c>
    </row>
    <row r="1148" spans="1:8" ht="30" x14ac:dyDescent="0.25">
      <c r="A1148" s="115">
        <v>6702</v>
      </c>
      <c r="B1148" s="115" t="s">
        <v>128</v>
      </c>
      <c r="C1148" s="115" t="s">
        <v>2875</v>
      </c>
      <c r="D1148" s="115">
        <v>1</v>
      </c>
      <c r="E1148" s="115">
        <v>2011</v>
      </c>
      <c r="F1148" s="115">
        <v>2011</v>
      </c>
      <c r="G1148" s="115">
        <v>2011</v>
      </c>
      <c r="H1148" s="115">
        <v>2011</v>
      </c>
    </row>
    <row r="1149" spans="1:8" ht="30" x14ac:dyDescent="0.25">
      <c r="A1149" s="115">
        <v>6701</v>
      </c>
      <c r="B1149" s="115" t="s">
        <v>128</v>
      </c>
      <c r="C1149" s="115" t="s">
        <v>2876</v>
      </c>
      <c r="D1149" s="115">
        <v>1</v>
      </c>
      <c r="E1149" s="115">
        <v>20.3</v>
      </c>
      <c r="F1149" s="115">
        <v>20.3</v>
      </c>
      <c r="G1149" s="115">
        <v>20.3</v>
      </c>
      <c r="H1149" s="115">
        <v>20.3</v>
      </c>
    </row>
    <row r="1150" spans="1:8" ht="30" x14ac:dyDescent="0.25">
      <c r="A1150" s="115">
        <v>6700</v>
      </c>
      <c r="B1150" s="115" t="s">
        <v>128</v>
      </c>
      <c r="C1150" s="115" t="s">
        <v>2877</v>
      </c>
      <c r="D1150" s="115">
        <v>1</v>
      </c>
      <c r="E1150" s="115">
        <v>2010</v>
      </c>
      <c r="F1150" s="115">
        <v>2010</v>
      </c>
      <c r="G1150" s="115">
        <v>2010</v>
      </c>
      <c r="H1150" s="115">
        <v>2010</v>
      </c>
    </row>
    <row r="1151" spans="1:8" ht="30" x14ac:dyDescent="0.25">
      <c r="A1151" s="115">
        <v>6699</v>
      </c>
      <c r="B1151" s="115" t="s">
        <v>128</v>
      </c>
      <c r="C1151" s="115" t="s">
        <v>2878</v>
      </c>
      <c r="D1151" s="115">
        <v>1</v>
      </c>
      <c r="E1151" s="115">
        <v>17.600000000000001</v>
      </c>
      <c r="F1151" s="115">
        <v>17.600000000000001</v>
      </c>
      <c r="G1151" s="115">
        <v>17.600000000000001</v>
      </c>
      <c r="H1151" s="115">
        <v>17.600000000000001</v>
      </c>
    </row>
    <row r="1152" spans="1:8" ht="45" x14ac:dyDescent="0.25">
      <c r="A1152" s="115">
        <v>6698</v>
      </c>
      <c r="B1152" s="115" t="s">
        <v>128</v>
      </c>
      <c r="C1152" s="115" t="s">
        <v>2879</v>
      </c>
      <c r="D1152" s="115">
        <v>1</v>
      </c>
      <c r="E1152" s="115" t="s">
        <v>2880</v>
      </c>
      <c r="F1152" s="115" t="s">
        <v>2881</v>
      </c>
      <c r="G1152" s="115" t="s">
        <v>2882</v>
      </c>
      <c r="H1152" s="115" t="s">
        <v>2883</v>
      </c>
    </row>
    <row r="1153" spans="1:8" ht="30" x14ac:dyDescent="0.25">
      <c r="A1153" s="115">
        <v>6697</v>
      </c>
      <c r="B1153" s="115" t="s">
        <v>128</v>
      </c>
      <c r="C1153" s="115" t="s">
        <v>2884</v>
      </c>
      <c r="D1153" s="115">
        <v>1</v>
      </c>
    </row>
    <row r="1154" spans="1:8" ht="30" x14ac:dyDescent="0.25">
      <c r="A1154" s="115">
        <v>6696</v>
      </c>
      <c r="B1154" s="115" t="s">
        <v>128</v>
      </c>
      <c r="C1154" s="115" t="s">
        <v>2885</v>
      </c>
      <c r="D1154" s="115">
        <v>1</v>
      </c>
      <c r="E1154" s="115" t="s">
        <v>1296</v>
      </c>
      <c r="F1154" s="115" t="s">
        <v>1297</v>
      </c>
      <c r="G1154" s="115" t="s">
        <v>1296</v>
      </c>
      <c r="H1154" s="115" t="s">
        <v>1299</v>
      </c>
    </row>
    <row r="1155" spans="1:8" ht="180" x14ac:dyDescent="0.25">
      <c r="A1155" s="115">
        <v>6695</v>
      </c>
      <c r="B1155" s="115" t="s">
        <v>128</v>
      </c>
      <c r="C1155" s="115" t="s">
        <v>2886</v>
      </c>
      <c r="D1155" s="115">
        <v>1</v>
      </c>
      <c r="E1155" s="115" t="s">
        <v>2887</v>
      </c>
      <c r="F1155" s="115" t="s">
        <v>2888</v>
      </c>
      <c r="G1155" s="115" t="s">
        <v>2889</v>
      </c>
      <c r="H1155" s="115" t="s">
        <v>2890</v>
      </c>
    </row>
    <row r="1156" spans="1:8" ht="30" x14ac:dyDescent="0.25">
      <c r="A1156" s="115">
        <v>6694</v>
      </c>
      <c r="B1156" s="115" t="s">
        <v>128</v>
      </c>
      <c r="C1156" s="115" t="s">
        <v>2891</v>
      </c>
      <c r="D1156" s="115">
        <v>1</v>
      </c>
      <c r="E1156" s="115" t="s">
        <v>764</v>
      </c>
      <c r="F1156" s="115" t="s">
        <v>765</v>
      </c>
      <c r="G1156" s="115" t="s">
        <v>766</v>
      </c>
      <c r="H1156" s="115" t="s">
        <v>764</v>
      </c>
    </row>
    <row r="1157" spans="1:8" ht="45" x14ac:dyDescent="0.25">
      <c r="A1157" s="115">
        <v>6693</v>
      </c>
      <c r="B1157" s="115" t="s">
        <v>128</v>
      </c>
      <c r="C1157" s="115" t="s">
        <v>2892</v>
      </c>
      <c r="D1157" s="115">
        <v>1</v>
      </c>
      <c r="E1157" s="115" t="s">
        <v>2893</v>
      </c>
      <c r="F1157" s="115" t="s">
        <v>2894</v>
      </c>
      <c r="G1157" s="115" t="s">
        <v>2895</v>
      </c>
      <c r="H1157" s="115" t="s">
        <v>2896</v>
      </c>
    </row>
    <row r="1158" spans="1:8" ht="30" x14ac:dyDescent="0.25">
      <c r="A1158" s="115">
        <v>6692</v>
      </c>
      <c r="B1158" s="115" t="s">
        <v>128</v>
      </c>
      <c r="C1158" s="115" t="s">
        <v>2897</v>
      </c>
      <c r="D1158" s="115">
        <v>1</v>
      </c>
      <c r="E1158" s="115">
        <v>670000</v>
      </c>
      <c r="F1158" s="115">
        <v>670000</v>
      </c>
      <c r="G1158" s="115">
        <v>670000</v>
      </c>
      <c r="H1158" s="115">
        <v>670000</v>
      </c>
    </row>
    <row r="1159" spans="1:8" ht="30" x14ac:dyDescent="0.25">
      <c r="A1159" s="115">
        <v>6691</v>
      </c>
      <c r="B1159" s="115" t="s">
        <v>128</v>
      </c>
      <c r="C1159" s="115" t="s">
        <v>2898</v>
      </c>
      <c r="D1159" s="115">
        <v>1</v>
      </c>
      <c r="E1159" s="115">
        <v>813308</v>
      </c>
      <c r="F1159" s="115">
        <v>813308</v>
      </c>
      <c r="G1159" s="115">
        <v>813308</v>
      </c>
      <c r="H1159" s="115">
        <v>813308</v>
      </c>
    </row>
    <row r="1160" spans="1:8" ht="30" x14ac:dyDescent="0.25">
      <c r="A1160" s="115">
        <v>6690</v>
      </c>
      <c r="B1160" s="115" t="s">
        <v>128</v>
      </c>
      <c r="C1160" s="115" t="s">
        <v>2899</v>
      </c>
      <c r="D1160" s="115">
        <v>1</v>
      </c>
      <c r="E1160" s="115" t="s">
        <v>491</v>
      </c>
      <c r="F1160" s="115" t="s">
        <v>491</v>
      </c>
      <c r="G1160" s="115" t="s">
        <v>491</v>
      </c>
      <c r="H1160" s="115" t="s">
        <v>74</v>
      </c>
    </row>
    <row r="1161" spans="1:8" ht="30" x14ac:dyDescent="0.25">
      <c r="A1161" s="115">
        <v>6689</v>
      </c>
      <c r="B1161" s="115" t="s">
        <v>128</v>
      </c>
      <c r="C1161" s="115" t="s">
        <v>2900</v>
      </c>
      <c r="D1161" s="115">
        <v>1</v>
      </c>
      <c r="E1161" s="115" t="s">
        <v>693</v>
      </c>
      <c r="F1161" s="115" t="s">
        <v>694</v>
      </c>
      <c r="G1161" s="115" t="s">
        <v>693</v>
      </c>
      <c r="H1161" s="115" t="s">
        <v>695</v>
      </c>
    </row>
    <row r="1162" spans="1:8" ht="30" x14ac:dyDescent="0.25">
      <c r="A1162" s="115">
        <v>6688</v>
      </c>
      <c r="B1162" s="115" t="s">
        <v>128</v>
      </c>
      <c r="C1162" s="115" t="s">
        <v>2901</v>
      </c>
      <c r="D1162" s="115">
        <v>1</v>
      </c>
      <c r="E1162" s="115" t="s">
        <v>505</v>
      </c>
      <c r="F1162" s="115" t="s">
        <v>506</v>
      </c>
      <c r="G1162" s="115" t="s">
        <v>507</v>
      </c>
      <c r="H1162" s="115" t="s">
        <v>508</v>
      </c>
    </row>
    <row r="1163" spans="1:8" ht="30" x14ac:dyDescent="0.25">
      <c r="A1163" s="115">
        <v>6687</v>
      </c>
      <c r="B1163" s="115" t="s">
        <v>128</v>
      </c>
      <c r="C1163" s="115" t="s">
        <v>2902</v>
      </c>
      <c r="D1163" s="115">
        <v>1</v>
      </c>
      <c r="E1163" s="115">
        <v>5</v>
      </c>
      <c r="F1163" s="115">
        <v>5</v>
      </c>
      <c r="G1163" s="115">
        <v>5</v>
      </c>
      <c r="H1163" s="115">
        <v>5</v>
      </c>
    </row>
    <row r="1164" spans="1:8" ht="30" x14ac:dyDescent="0.25">
      <c r="A1164" s="115">
        <v>6686</v>
      </c>
      <c r="B1164" s="115" t="s">
        <v>128</v>
      </c>
      <c r="C1164" s="115" t="s">
        <v>2903</v>
      </c>
      <c r="D1164" s="115">
        <v>1</v>
      </c>
      <c r="E1164" s="115">
        <v>16179974</v>
      </c>
      <c r="F1164" s="115">
        <v>16179974</v>
      </c>
      <c r="G1164" s="115">
        <v>16179974</v>
      </c>
      <c r="H1164" s="115">
        <v>16179974</v>
      </c>
    </row>
    <row r="1165" spans="1:8" ht="30" x14ac:dyDescent="0.25">
      <c r="A1165" s="115">
        <v>6685</v>
      </c>
      <c r="B1165" s="115" t="s">
        <v>128</v>
      </c>
      <c r="C1165" s="115" t="s">
        <v>2904</v>
      </c>
      <c r="D1165" s="115">
        <v>1</v>
      </c>
      <c r="E1165" s="115">
        <v>6264920</v>
      </c>
      <c r="F1165" s="115">
        <v>6264920</v>
      </c>
      <c r="G1165" s="115">
        <v>6264920</v>
      </c>
      <c r="H1165" s="115">
        <v>6264920</v>
      </c>
    </row>
    <row r="1166" spans="1:8" ht="30" x14ac:dyDescent="0.25">
      <c r="A1166" s="115">
        <v>6684</v>
      </c>
      <c r="B1166" s="115" t="s">
        <v>128</v>
      </c>
      <c r="C1166" s="115" t="s">
        <v>2905</v>
      </c>
      <c r="D1166" s="115">
        <v>1</v>
      </c>
      <c r="E1166" s="115">
        <v>12191129</v>
      </c>
      <c r="F1166" s="115">
        <v>12191129</v>
      </c>
      <c r="G1166" s="115">
        <v>12191129</v>
      </c>
      <c r="H1166" s="115">
        <v>12191129</v>
      </c>
    </row>
    <row r="1167" spans="1:8" ht="30" x14ac:dyDescent="0.25">
      <c r="A1167" s="115">
        <v>6683</v>
      </c>
      <c r="B1167" s="115" t="s">
        <v>128</v>
      </c>
      <c r="C1167" s="115" t="s">
        <v>2906</v>
      </c>
      <c r="D1167" s="115">
        <v>1</v>
      </c>
      <c r="E1167" s="115" t="s">
        <v>2907</v>
      </c>
      <c r="F1167" s="115" t="s">
        <v>2908</v>
      </c>
      <c r="G1167" s="115" t="s">
        <v>2907</v>
      </c>
      <c r="H1167" s="115" t="s">
        <v>2909</v>
      </c>
    </row>
    <row r="1168" spans="1:8" ht="30" x14ac:dyDescent="0.25">
      <c r="A1168" s="115">
        <v>6682</v>
      </c>
      <c r="B1168" s="115" t="s">
        <v>128</v>
      </c>
      <c r="C1168" s="115" t="s">
        <v>2910</v>
      </c>
      <c r="D1168" s="115">
        <v>1</v>
      </c>
      <c r="E1168" s="115" t="s">
        <v>532</v>
      </c>
      <c r="F1168" s="115" t="s">
        <v>533</v>
      </c>
      <c r="G1168" s="115" t="s">
        <v>532</v>
      </c>
      <c r="H1168" s="115" t="s">
        <v>534</v>
      </c>
    </row>
    <row r="1169" spans="1:8" ht="30" x14ac:dyDescent="0.25">
      <c r="A1169" s="115">
        <v>6681</v>
      </c>
      <c r="B1169" s="115" t="s">
        <v>128</v>
      </c>
      <c r="C1169" s="115" t="s">
        <v>2911</v>
      </c>
      <c r="D1169" s="115">
        <v>1</v>
      </c>
      <c r="E1169" s="115" t="s">
        <v>536</v>
      </c>
      <c r="F1169" s="115" t="s">
        <v>536</v>
      </c>
      <c r="G1169" s="115" t="s">
        <v>537</v>
      </c>
      <c r="H1169" s="115" t="s">
        <v>538</v>
      </c>
    </row>
    <row r="1170" spans="1:8" ht="30" x14ac:dyDescent="0.25">
      <c r="A1170" s="115">
        <v>6680</v>
      </c>
      <c r="B1170" s="115" t="s">
        <v>128</v>
      </c>
      <c r="C1170" s="115" t="s">
        <v>2912</v>
      </c>
      <c r="D1170" s="115">
        <v>1</v>
      </c>
      <c r="E1170" s="115">
        <v>4</v>
      </c>
      <c r="F1170" s="115">
        <v>4</v>
      </c>
      <c r="G1170" s="115">
        <v>4</v>
      </c>
      <c r="H1170" s="115">
        <v>4</v>
      </c>
    </row>
    <row r="1171" spans="1:8" ht="30" x14ac:dyDescent="0.25">
      <c r="A1171" s="115">
        <v>6679</v>
      </c>
      <c r="B1171" s="115" t="s">
        <v>128</v>
      </c>
      <c r="C1171" s="115" t="s">
        <v>2913</v>
      </c>
      <c r="D1171" s="115">
        <v>1</v>
      </c>
      <c r="E1171" s="115">
        <v>7371570</v>
      </c>
      <c r="F1171" s="115">
        <v>7371570</v>
      </c>
      <c r="G1171" s="115">
        <v>7371570</v>
      </c>
      <c r="H1171" s="115">
        <v>7371570</v>
      </c>
    </row>
    <row r="1172" spans="1:8" ht="30" x14ac:dyDescent="0.25">
      <c r="A1172" s="115">
        <v>6678</v>
      </c>
      <c r="B1172" s="115" t="s">
        <v>128</v>
      </c>
      <c r="C1172" s="115" t="s">
        <v>2914</v>
      </c>
      <c r="D1172" s="115">
        <v>1</v>
      </c>
      <c r="E1172" s="115">
        <v>7148247</v>
      </c>
      <c r="F1172" s="115">
        <v>7148247</v>
      </c>
      <c r="G1172" s="115">
        <v>7148247</v>
      </c>
      <c r="H1172" s="115">
        <v>7148247</v>
      </c>
    </row>
    <row r="1173" spans="1:8" ht="30" x14ac:dyDescent="0.25">
      <c r="A1173" s="115">
        <v>6677</v>
      </c>
      <c r="B1173" s="115" t="s">
        <v>128</v>
      </c>
      <c r="C1173" s="115" t="s">
        <v>2915</v>
      </c>
      <c r="D1173" s="115">
        <v>1</v>
      </c>
      <c r="E1173" s="115">
        <v>11430773</v>
      </c>
      <c r="F1173" s="115">
        <v>11430773</v>
      </c>
      <c r="G1173" s="115">
        <v>11430773</v>
      </c>
      <c r="H1173" s="115">
        <v>11430773</v>
      </c>
    </row>
    <row r="1174" spans="1:8" ht="30" x14ac:dyDescent="0.25">
      <c r="A1174" s="115">
        <v>6676</v>
      </c>
      <c r="B1174" s="115" t="s">
        <v>128</v>
      </c>
      <c r="C1174" s="115" t="s">
        <v>2916</v>
      </c>
      <c r="D1174" s="115">
        <v>1</v>
      </c>
      <c r="E1174" s="115" t="s">
        <v>2917</v>
      </c>
      <c r="F1174" s="115" t="s">
        <v>2917</v>
      </c>
      <c r="G1174" s="115" t="s">
        <v>2917</v>
      </c>
      <c r="H1174" s="115" t="s">
        <v>2918</v>
      </c>
    </row>
    <row r="1175" spans="1:8" ht="30" x14ac:dyDescent="0.25">
      <c r="A1175" s="115">
        <v>6675</v>
      </c>
      <c r="B1175" s="115" t="s">
        <v>128</v>
      </c>
      <c r="C1175" s="115" t="s">
        <v>2919</v>
      </c>
      <c r="D1175" s="115">
        <v>1</v>
      </c>
      <c r="E1175" s="115" t="s">
        <v>2365</v>
      </c>
      <c r="F1175" s="115" t="s">
        <v>2366</v>
      </c>
      <c r="G1175" s="115" t="s">
        <v>2365</v>
      </c>
      <c r="H1175" s="115" t="s">
        <v>2367</v>
      </c>
    </row>
    <row r="1176" spans="1:8" ht="30" x14ac:dyDescent="0.25">
      <c r="A1176" s="115">
        <v>6674</v>
      </c>
      <c r="B1176" s="115" t="s">
        <v>128</v>
      </c>
      <c r="C1176" s="115" t="s">
        <v>2920</v>
      </c>
      <c r="D1176" s="115">
        <v>1</v>
      </c>
      <c r="E1176" s="115" t="s">
        <v>2921</v>
      </c>
      <c r="F1176" s="115" t="s">
        <v>553</v>
      </c>
      <c r="G1176" s="115" t="s">
        <v>554</v>
      </c>
      <c r="H1176" s="115" t="s">
        <v>555</v>
      </c>
    </row>
    <row r="1177" spans="1:8" ht="30" x14ac:dyDescent="0.25">
      <c r="A1177" s="115">
        <v>6673</v>
      </c>
      <c r="B1177" s="115" t="s">
        <v>128</v>
      </c>
      <c r="C1177" s="115" t="s">
        <v>2922</v>
      </c>
      <c r="D1177" s="115">
        <v>1</v>
      </c>
      <c r="E1177" s="115">
        <v>3</v>
      </c>
      <c r="F1177" s="115">
        <v>3</v>
      </c>
      <c r="G1177" s="115">
        <v>3</v>
      </c>
      <c r="H1177" s="115">
        <v>3</v>
      </c>
    </row>
    <row r="1178" spans="1:8" ht="30" x14ac:dyDescent="0.25">
      <c r="A1178" s="115">
        <v>6672</v>
      </c>
      <c r="B1178" s="115" t="s">
        <v>128</v>
      </c>
      <c r="C1178" s="115" t="s">
        <v>2923</v>
      </c>
      <c r="D1178" s="115">
        <v>1</v>
      </c>
      <c r="E1178" s="115">
        <v>7525024</v>
      </c>
      <c r="F1178" s="115">
        <v>7525024</v>
      </c>
      <c r="G1178" s="115">
        <v>7525024</v>
      </c>
      <c r="H1178" s="115">
        <v>7525024</v>
      </c>
    </row>
    <row r="1179" spans="1:8" ht="30" x14ac:dyDescent="0.25">
      <c r="A1179" s="115">
        <v>6671</v>
      </c>
      <c r="B1179" s="115" t="s">
        <v>128</v>
      </c>
      <c r="C1179" s="115" t="s">
        <v>2924</v>
      </c>
      <c r="D1179" s="115">
        <v>1</v>
      </c>
      <c r="E1179" s="115">
        <v>7367549</v>
      </c>
      <c r="F1179" s="115">
        <v>7367549</v>
      </c>
      <c r="G1179" s="115">
        <v>7367549</v>
      </c>
      <c r="H1179" s="115">
        <v>7367549</v>
      </c>
    </row>
    <row r="1180" spans="1:8" ht="30" x14ac:dyDescent="0.25">
      <c r="A1180" s="115">
        <v>6670</v>
      </c>
      <c r="B1180" s="115" t="s">
        <v>128</v>
      </c>
      <c r="C1180" s="115" t="s">
        <v>2925</v>
      </c>
      <c r="D1180" s="115">
        <v>1</v>
      </c>
      <c r="E1180" s="115">
        <v>14225882</v>
      </c>
      <c r="F1180" s="115">
        <v>14225882</v>
      </c>
      <c r="G1180" s="115">
        <v>14225882</v>
      </c>
      <c r="H1180" s="115">
        <v>14225882</v>
      </c>
    </row>
    <row r="1181" spans="1:8" ht="30" x14ac:dyDescent="0.25">
      <c r="A1181" s="115">
        <v>6669</v>
      </c>
      <c r="B1181" s="115" t="s">
        <v>128</v>
      </c>
      <c r="C1181" s="115" t="s">
        <v>2926</v>
      </c>
      <c r="D1181" s="115">
        <v>1</v>
      </c>
      <c r="E1181" s="115" t="s">
        <v>2927</v>
      </c>
      <c r="F1181" s="115" t="s">
        <v>2928</v>
      </c>
      <c r="G1181" s="115" t="s">
        <v>2927</v>
      </c>
      <c r="H1181" s="115" t="s">
        <v>2929</v>
      </c>
    </row>
    <row r="1182" spans="1:8" ht="30" x14ac:dyDescent="0.25">
      <c r="A1182" s="115">
        <v>6668</v>
      </c>
      <c r="B1182" s="115" t="s">
        <v>128</v>
      </c>
      <c r="C1182" s="115" t="s">
        <v>2930</v>
      </c>
      <c r="D1182" s="115">
        <v>1</v>
      </c>
      <c r="E1182" s="115" t="s">
        <v>2931</v>
      </c>
      <c r="F1182" s="115" t="s">
        <v>2932</v>
      </c>
      <c r="G1182" s="115" t="s">
        <v>2931</v>
      </c>
      <c r="H1182" s="115" t="s">
        <v>2933</v>
      </c>
    </row>
    <row r="1183" spans="1:8" ht="30" x14ac:dyDescent="0.25">
      <c r="A1183" s="115">
        <v>6667</v>
      </c>
      <c r="B1183" s="115" t="s">
        <v>128</v>
      </c>
      <c r="C1183" s="115" t="s">
        <v>2934</v>
      </c>
      <c r="D1183" s="115">
        <v>1</v>
      </c>
      <c r="E1183" s="115" t="s">
        <v>519</v>
      </c>
      <c r="F1183" s="115" t="s">
        <v>520</v>
      </c>
      <c r="G1183" s="115" t="s">
        <v>521</v>
      </c>
      <c r="H1183" s="115" t="s">
        <v>522</v>
      </c>
    </row>
    <row r="1184" spans="1:8" ht="30" x14ac:dyDescent="0.25">
      <c r="A1184" s="115">
        <v>6666</v>
      </c>
      <c r="B1184" s="115" t="s">
        <v>128</v>
      </c>
      <c r="C1184" s="115" t="s">
        <v>2935</v>
      </c>
      <c r="D1184" s="115">
        <v>1</v>
      </c>
      <c r="E1184" s="115">
        <v>2</v>
      </c>
      <c r="F1184" s="115">
        <v>2</v>
      </c>
      <c r="G1184" s="115">
        <v>2</v>
      </c>
      <c r="H1184" s="115">
        <v>2</v>
      </c>
    </row>
    <row r="1185" spans="1:8" ht="30" x14ac:dyDescent="0.25">
      <c r="A1185" s="115">
        <v>6665</v>
      </c>
      <c r="B1185" s="115" t="s">
        <v>128</v>
      </c>
      <c r="C1185" s="115" t="s">
        <v>2936</v>
      </c>
      <c r="D1185" s="115">
        <v>1</v>
      </c>
      <c r="E1185" s="115">
        <v>8640267</v>
      </c>
      <c r="F1185" s="115">
        <v>8640267</v>
      </c>
      <c r="G1185" s="115">
        <v>8640267</v>
      </c>
      <c r="H1185" s="115">
        <v>8640267</v>
      </c>
    </row>
    <row r="1186" spans="1:8" ht="30" x14ac:dyDescent="0.25">
      <c r="A1186" s="115">
        <v>6664</v>
      </c>
      <c r="B1186" s="115" t="s">
        <v>128</v>
      </c>
      <c r="C1186" s="115" t="s">
        <v>2937</v>
      </c>
      <c r="D1186" s="115">
        <v>1</v>
      </c>
      <c r="E1186" s="115">
        <v>19398807</v>
      </c>
      <c r="F1186" s="115">
        <v>19398807</v>
      </c>
      <c r="G1186" s="115">
        <v>19398807</v>
      </c>
      <c r="H1186" s="115">
        <v>19398807</v>
      </c>
    </row>
    <row r="1187" spans="1:8" ht="30" x14ac:dyDescent="0.25">
      <c r="A1187" s="115">
        <v>6663</v>
      </c>
      <c r="B1187" s="115" t="s">
        <v>128</v>
      </c>
      <c r="C1187" s="115" t="s">
        <v>2938</v>
      </c>
      <c r="D1187" s="115">
        <v>1</v>
      </c>
      <c r="E1187" s="115">
        <v>17024418</v>
      </c>
      <c r="F1187" s="115">
        <v>17024418</v>
      </c>
      <c r="G1187" s="115">
        <v>17024418</v>
      </c>
      <c r="H1187" s="115">
        <v>17024418</v>
      </c>
    </row>
    <row r="1188" spans="1:8" ht="30" x14ac:dyDescent="0.25">
      <c r="A1188" s="115">
        <v>6662</v>
      </c>
      <c r="B1188" s="115" t="s">
        <v>128</v>
      </c>
      <c r="C1188" s="115" t="s">
        <v>2939</v>
      </c>
      <c r="D1188" s="115">
        <v>1</v>
      </c>
      <c r="E1188" s="115" t="s">
        <v>1058</v>
      </c>
      <c r="F1188" s="115" t="s">
        <v>2940</v>
      </c>
      <c r="G1188" s="115" t="s">
        <v>1058</v>
      </c>
      <c r="H1188" s="115" t="s">
        <v>1060</v>
      </c>
    </row>
    <row r="1189" spans="1:8" ht="30" x14ac:dyDescent="0.25">
      <c r="A1189" s="115">
        <v>6661</v>
      </c>
      <c r="B1189" s="115" t="s">
        <v>128</v>
      </c>
      <c r="C1189" s="115" t="s">
        <v>2941</v>
      </c>
      <c r="D1189" s="115">
        <v>1</v>
      </c>
      <c r="E1189" s="115" t="s">
        <v>2942</v>
      </c>
      <c r="F1189" s="115" t="s">
        <v>2943</v>
      </c>
      <c r="G1189" s="115" t="s">
        <v>2942</v>
      </c>
      <c r="H1189" s="115" t="s">
        <v>2944</v>
      </c>
    </row>
    <row r="1190" spans="1:8" ht="30" x14ac:dyDescent="0.25">
      <c r="A1190" s="115">
        <v>6660</v>
      </c>
      <c r="B1190" s="115" t="s">
        <v>128</v>
      </c>
      <c r="C1190" s="115" t="s">
        <v>2945</v>
      </c>
      <c r="D1190" s="115">
        <v>1</v>
      </c>
      <c r="E1190" s="115" t="s">
        <v>494</v>
      </c>
      <c r="F1190" s="115" t="s">
        <v>495</v>
      </c>
      <c r="G1190" s="115" t="s">
        <v>496</v>
      </c>
      <c r="H1190" s="115" t="s">
        <v>497</v>
      </c>
    </row>
    <row r="1191" spans="1:8" ht="30" x14ac:dyDescent="0.25">
      <c r="A1191" s="115">
        <v>6659</v>
      </c>
      <c r="B1191" s="115" t="s">
        <v>128</v>
      </c>
      <c r="C1191" s="115" t="s">
        <v>2946</v>
      </c>
      <c r="D1191" s="115">
        <v>1</v>
      </c>
      <c r="E1191" s="115">
        <v>1</v>
      </c>
      <c r="F1191" s="115">
        <v>1</v>
      </c>
      <c r="G1191" s="115">
        <v>1</v>
      </c>
      <c r="H1191" s="115">
        <v>1</v>
      </c>
    </row>
    <row r="1192" spans="1:8" ht="30" x14ac:dyDescent="0.25">
      <c r="A1192" s="115">
        <v>6658</v>
      </c>
      <c r="B1192" s="115" t="s">
        <v>128</v>
      </c>
      <c r="C1192" s="115" t="s">
        <v>2947</v>
      </c>
      <c r="D1192" s="115">
        <v>1</v>
      </c>
      <c r="E1192" s="115">
        <v>24431270</v>
      </c>
      <c r="F1192" s="115">
        <v>24431270</v>
      </c>
      <c r="G1192" s="115">
        <v>24431270</v>
      </c>
      <c r="H1192" s="115">
        <v>24431270</v>
      </c>
    </row>
    <row r="1193" spans="1:8" ht="45" x14ac:dyDescent="0.25">
      <c r="A1193" s="115">
        <v>6657</v>
      </c>
      <c r="B1193" s="115" t="s">
        <v>128</v>
      </c>
      <c r="C1193" s="115" t="s">
        <v>2948</v>
      </c>
      <c r="D1193" s="115">
        <v>1</v>
      </c>
      <c r="E1193" s="115" t="s">
        <v>559</v>
      </c>
      <c r="F1193" s="115" t="s">
        <v>559</v>
      </c>
      <c r="G1193" s="115" t="s">
        <v>560</v>
      </c>
      <c r="H1193" s="115" t="s">
        <v>561</v>
      </c>
    </row>
    <row r="1194" spans="1:8" ht="150" x14ac:dyDescent="0.25">
      <c r="A1194" s="115">
        <v>6656</v>
      </c>
      <c r="B1194" s="115" t="s">
        <v>128</v>
      </c>
      <c r="C1194" s="115" t="s">
        <v>2949</v>
      </c>
      <c r="D1194" s="115">
        <v>1</v>
      </c>
      <c r="E1194" s="115" t="s">
        <v>2950</v>
      </c>
      <c r="F1194" s="115" t="s">
        <v>2951</v>
      </c>
      <c r="G1194" s="115" t="s">
        <v>2952</v>
      </c>
      <c r="H1194" s="115" t="s">
        <v>2953</v>
      </c>
    </row>
    <row r="1195" spans="1:8" ht="195" x14ac:dyDescent="0.25">
      <c r="A1195" s="115">
        <v>6655</v>
      </c>
      <c r="B1195" s="115" t="s">
        <v>128</v>
      </c>
      <c r="C1195" s="115" t="s">
        <v>2954</v>
      </c>
      <c r="D1195" s="115">
        <v>1</v>
      </c>
      <c r="E1195" s="115" t="s">
        <v>2955</v>
      </c>
      <c r="F1195" s="115" t="s">
        <v>2956</v>
      </c>
      <c r="G1195" s="115" t="s">
        <v>2957</v>
      </c>
      <c r="H1195" s="115" t="s">
        <v>2958</v>
      </c>
    </row>
    <row r="1196" spans="1:8" ht="30" x14ac:dyDescent="0.25">
      <c r="A1196" s="115">
        <v>6654</v>
      </c>
      <c r="B1196" s="115" t="s">
        <v>128</v>
      </c>
      <c r="C1196" s="115" t="s">
        <v>2959</v>
      </c>
      <c r="D1196" s="115">
        <v>1</v>
      </c>
      <c r="E1196" s="115" t="s">
        <v>764</v>
      </c>
      <c r="F1196" s="115" t="s">
        <v>765</v>
      </c>
      <c r="G1196" s="115" t="s">
        <v>766</v>
      </c>
      <c r="H1196" s="115" t="s">
        <v>764</v>
      </c>
    </row>
    <row r="1197" spans="1:8" ht="30" x14ac:dyDescent="0.25">
      <c r="A1197" s="115">
        <v>6653</v>
      </c>
      <c r="B1197" s="115" t="s">
        <v>128</v>
      </c>
      <c r="C1197" s="115" t="s">
        <v>2960</v>
      </c>
      <c r="D1197" s="115">
        <v>1</v>
      </c>
      <c r="E1197" s="115" t="s">
        <v>2961</v>
      </c>
      <c r="F1197" s="115" t="s">
        <v>2962</v>
      </c>
      <c r="G1197" s="115" t="s">
        <v>2963</v>
      </c>
      <c r="H1197" s="115" t="s">
        <v>2964</v>
      </c>
    </row>
    <row r="1198" spans="1:8" ht="45" x14ac:dyDescent="0.25">
      <c r="A1198" s="115">
        <v>6652</v>
      </c>
      <c r="B1198" s="115" t="s">
        <v>128</v>
      </c>
      <c r="C1198" s="115" t="s">
        <v>2965</v>
      </c>
      <c r="D1198" s="115">
        <v>1</v>
      </c>
      <c r="E1198" s="115" t="s">
        <v>559</v>
      </c>
      <c r="F1198" s="115" t="s">
        <v>559</v>
      </c>
      <c r="G1198" s="115" t="s">
        <v>560</v>
      </c>
      <c r="H1198" s="115" t="s">
        <v>561</v>
      </c>
    </row>
    <row r="1199" spans="1:8" ht="30" x14ac:dyDescent="0.25">
      <c r="A1199" s="115">
        <v>6651</v>
      </c>
      <c r="B1199" s="115" t="s">
        <v>128</v>
      </c>
      <c r="C1199" s="115" t="s">
        <v>2966</v>
      </c>
      <c r="D1199" s="115">
        <v>1</v>
      </c>
    </row>
    <row r="1200" spans="1:8" ht="30" x14ac:dyDescent="0.25">
      <c r="A1200" s="115">
        <v>6650</v>
      </c>
      <c r="B1200" s="115" t="s">
        <v>128</v>
      </c>
      <c r="C1200" s="115" t="s">
        <v>2967</v>
      </c>
      <c r="D1200" s="115">
        <v>1</v>
      </c>
      <c r="E1200" s="115" t="s">
        <v>1296</v>
      </c>
      <c r="F1200" s="115" t="s">
        <v>1297</v>
      </c>
      <c r="G1200" s="115" t="s">
        <v>1298</v>
      </c>
      <c r="H1200" s="115" t="s">
        <v>1299</v>
      </c>
    </row>
    <row r="1201" spans="1:8" ht="225" x14ac:dyDescent="0.25">
      <c r="A1201" s="115">
        <v>6649</v>
      </c>
      <c r="B1201" s="115" t="s">
        <v>128</v>
      </c>
      <c r="C1201" s="115" t="s">
        <v>2968</v>
      </c>
      <c r="D1201" s="115">
        <v>1</v>
      </c>
      <c r="E1201" s="115" t="s">
        <v>2969</v>
      </c>
      <c r="F1201" s="115" t="s">
        <v>2970</v>
      </c>
      <c r="G1201" s="115" t="s">
        <v>2971</v>
      </c>
      <c r="H1201" s="115" t="s">
        <v>2972</v>
      </c>
    </row>
    <row r="1202" spans="1:8" ht="45" x14ac:dyDescent="0.25">
      <c r="A1202" s="115">
        <v>6648</v>
      </c>
      <c r="B1202" s="115" t="s">
        <v>128</v>
      </c>
      <c r="C1202" s="115" t="s">
        <v>2973</v>
      </c>
      <c r="D1202" s="115">
        <v>1</v>
      </c>
      <c r="E1202" s="115" t="s">
        <v>1804</v>
      </c>
      <c r="F1202" s="115" t="s">
        <v>1805</v>
      </c>
      <c r="G1202" s="115" t="s">
        <v>1806</v>
      </c>
      <c r="H1202" s="115" t="s">
        <v>1807</v>
      </c>
    </row>
    <row r="1203" spans="1:8" ht="30" x14ac:dyDescent="0.25">
      <c r="A1203" s="115">
        <v>6647</v>
      </c>
      <c r="B1203" s="115" t="s">
        <v>128</v>
      </c>
      <c r="C1203" s="115" t="s">
        <v>2974</v>
      </c>
      <c r="D1203" s="115">
        <v>1</v>
      </c>
      <c r="E1203" s="115" t="s">
        <v>2975</v>
      </c>
      <c r="F1203" s="115" t="s">
        <v>1800</v>
      </c>
      <c r="G1203" s="115" t="s">
        <v>1801</v>
      </c>
      <c r="H1203" s="115" t="s">
        <v>1802</v>
      </c>
    </row>
    <row r="1204" spans="1:8" ht="30" x14ac:dyDescent="0.25">
      <c r="A1204" s="115">
        <v>6646</v>
      </c>
      <c r="B1204" s="115" t="s">
        <v>128</v>
      </c>
      <c r="C1204" s="115" t="s">
        <v>2976</v>
      </c>
      <c r="D1204" s="115">
        <v>1</v>
      </c>
      <c r="E1204" s="115" t="s">
        <v>1809</v>
      </c>
      <c r="F1204" s="115" t="s">
        <v>1809</v>
      </c>
      <c r="G1204" s="115" t="s">
        <v>1809</v>
      </c>
      <c r="H1204" s="115" t="s">
        <v>1809</v>
      </c>
    </row>
    <row r="1205" spans="1:8" ht="30" x14ac:dyDescent="0.25">
      <c r="A1205" s="115">
        <v>6645</v>
      </c>
      <c r="B1205" s="115" t="s">
        <v>128</v>
      </c>
      <c r="C1205" s="115" t="s">
        <v>2977</v>
      </c>
      <c r="D1205" s="115">
        <v>1</v>
      </c>
      <c r="E1205" s="115" t="s">
        <v>1338</v>
      </c>
      <c r="F1205" s="115" t="s">
        <v>1339</v>
      </c>
      <c r="G1205" s="115" t="s">
        <v>1340</v>
      </c>
      <c r="H1205" s="115" t="s">
        <v>1341</v>
      </c>
    </row>
    <row r="1206" spans="1:8" ht="30" x14ac:dyDescent="0.25">
      <c r="A1206" s="115">
        <v>6644</v>
      </c>
      <c r="B1206" s="115" t="s">
        <v>128</v>
      </c>
      <c r="C1206" s="115" t="s">
        <v>2978</v>
      </c>
      <c r="D1206" s="115">
        <v>1</v>
      </c>
      <c r="E1206" s="115">
        <v>6</v>
      </c>
      <c r="F1206" s="115">
        <v>6</v>
      </c>
      <c r="G1206" s="115">
        <v>6</v>
      </c>
      <c r="H1206" s="115">
        <v>6</v>
      </c>
    </row>
    <row r="1207" spans="1:8" ht="105" x14ac:dyDescent="0.25">
      <c r="A1207" s="115">
        <v>6643</v>
      </c>
      <c r="B1207" s="115" t="s">
        <v>128</v>
      </c>
      <c r="C1207" s="115" t="s">
        <v>2979</v>
      </c>
      <c r="D1207" s="115">
        <v>1</v>
      </c>
      <c r="E1207" s="115" t="s">
        <v>2980</v>
      </c>
      <c r="F1207" s="115" t="s">
        <v>2981</v>
      </c>
      <c r="G1207" s="115" t="s">
        <v>2982</v>
      </c>
      <c r="H1207" s="115" t="s">
        <v>2983</v>
      </c>
    </row>
    <row r="1208" spans="1:8" x14ac:dyDescent="0.25">
      <c r="A1208" s="115">
        <v>6642</v>
      </c>
      <c r="B1208" s="115" t="s">
        <v>128</v>
      </c>
      <c r="C1208" s="115" t="s">
        <v>2984</v>
      </c>
      <c r="D1208" s="115">
        <v>1</v>
      </c>
      <c r="E1208" s="115">
        <v>5</v>
      </c>
      <c r="F1208" s="115">
        <v>5</v>
      </c>
      <c r="G1208" s="115">
        <v>5</v>
      </c>
      <c r="H1208" s="115">
        <v>5</v>
      </c>
    </row>
    <row r="1209" spans="1:8" x14ac:dyDescent="0.25">
      <c r="A1209" s="115">
        <v>6641</v>
      </c>
      <c r="B1209" s="115" t="s">
        <v>128</v>
      </c>
      <c r="C1209" s="115" t="s">
        <v>2985</v>
      </c>
      <c r="D1209" s="115">
        <v>1</v>
      </c>
      <c r="E1209" s="115" t="s">
        <v>2986</v>
      </c>
      <c r="F1209" s="115" t="s">
        <v>2987</v>
      </c>
      <c r="G1209" s="115" t="s">
        <v>2988</v>
      </c>
      <c r="H1209" s="115" t="s">
        <v>2989</v>
      </c>
    </row>
    <row r="1210" spans="1:8" ht="60" x14ac:dyDescent="0.25">
      <c r="A1210" s="115">
        <v>6640</v>
      </c>
      <c r="B1210" s="115" t="s">
        <v>128</v>
      </c>
      <c r="C1210" s="115" t="s">
        <v>2990</v>
      </c>
      <c r="D1210" s="115">
        <v>1</v>
      </c>
      <c r="E1210" s="115" t="s">
        <v>2991</v>
      </c>
      <c r="F1210" s="115" t="s">
        <v>2992</v>
      </c>
      <c r="G1210" s="115" t="s">
        <v>2993</v>
      </c>
      <c r="H1210" s="115" t="s">
        <v>2994</v>
      </c>
    </row>
    <row r="1211" spans="1:8" x14ac:dyDescent="0.25">
      <c r="A1211" s="115">
        <v>6639</v>
      </c>
      <c r="B1211" s="115" t="s">
        <v>128</v>
      </c>
      <c r="C1211" s="115" t="s">
        <v>2995</v>
      </c>
      <c r="D1211" s="115">
        <v>1</v>
      </c>
      <c r="E1211" s="115" t="s">
        <v>2996</v>
      </c>
      <c r="F1211" s="115" t="s">
        <v>2996</v>
      </c>
      <c r="G1211" s="115" t="s">
        <v>2996</v>
      </c>
      <c r="H1211" s="115" t="s">
        <v>2996</v>
      </c>
    </row>
    <row r="1212" spans="1:8" ht="30" x14ac:dyDescent="0.25">
      <c r="A1212" s="115">
        <v>6638</v>
      </c>
      <c r="B1212" s="115" t="s">
        <v>128</v>
      </c>
      <c r="C1212" s="115" t="s">
        <v>2997</v>
      </c>
      <c r="D1212" s="115">
        <v>1</v>
      </c>
      <c r="E1212" s="115" t="s">
        <v>2998</v>
      </c>
      <c r="F1212" s="115" t="s">
        <v>2999</v>
      </c>
      <c r="G1212" s="115" t="s">
        <v>3000</v>
      </c>
      <c r="H1212" s="115" t="s">
        <v>3001</v>
      </c>
    </row>
    <row r="1213" spans="1:8" ht="150" x14ac:dyDescent="0.25">
      <c r="A1213" s="115">
        <v>6637</v>
      </c>
      <c r="B1213" s="115" t="s">
        <v>128</v>
      </c>
      <c r="C1213" s="115" t="s">
        <v>3002</v>
      </c>
      <c r="D1213" s="115">
        <v>1</v>
      </c>
      <c r="E1213" s="115" t="s">
        <v>3003</v>
      </c>
      <c r="F1213" s="115" t="s">
        <v>3004</v>
      </c>
      <c r="G1213" s="115" t="s">
        <v>3005</v>
      </c>
      <c r="H1213" s="115" t="s">
        <v>3006</v>
      </c>
    </row>
    <row r="1214" spans="1:8" ht="30" x14ac:dyDescent="0.25">
      <c r="A1214" s="115">
        <v>6636</v>
      </c>
      <c r="B1214" s="115" t="s">
        <v>128</v>
      </c>
      <c r="C1214" s="115" t="s">
        <v>3007</v>
      </c>
      <c r="D1214" s="115">
        <v>1</v>
      </c>
      <c r="E1214" s="115" t="s">
        <v>477</v>
      </c>
      <c r="F1214" s="115" t="s">
        <v>477</v>
      </c>
      <c r="G1214" s="115" t="s">
        <v>477</v>
      </c>
      <c r="H1214" s="115" t="s">
        <v>477</v>
      </c>
    </row>
    <row r="1215" spans="1:8" ht="60" x14ac:dyDescent="0.25">
      <c r="A1215" s="115">
        <v>6635</v>
      </c>
      <c r="B1215" s="115" t="s">
        <v>128</v>
      </c>
      <c r="C1215" s="115" t="s">
        <v>3008</v>
      </c>
      <c r="D1215" s="115">
        <v>1</v>
      </c>
      <c r="E1215" s="115" t="s">
        <v>3009</v>
      </c>
      <c r="F1215" s="115" t="s">
        <v>3010</v>
      </c>
      <c r="G1215" s="115" t="s">
        <v>3011</v>
      </c>
      <c r="H1215" s="115" t="s">
        <v>3012</v>
      </c>
    </row>
    <row r="1216" spans="1:8" ht="30" x14ac:dyDescent="0.25">
      <c r="A1216" s="115">
        <v>6634</v>
      </c>
      <c r="B1216" s="115" t="s">
        <v>128</v>
      </c>
      <c r="C1216" s="115" t="s">
        <v>3013</v>
      </c>
      <c r="D1216" s="115">
        <v>1</v>
      </c>
      <c r="E1216" s="115" t="s">
        <v>3014</v>
      </c>
      <c r="F1216" s="115" t="s">
        <v>3014</v>
      </c>
      <c r="G1216" s="115" t="s">
        <v>3014</v>
      </c>
      <c r="H1216" s="115" t="s">
        <v>3014</v>
      </c>
    </row>
    <row r="1217" spans="1:8" ht="30" x14ac:dyDescent="0.25">
      <c r="A1217" s="115">
        <v>6633</v>
      </c>
      <c r="B1217" s="115" t="s">
        <v>128</v>
      </c>
      <c r="C1217" s="115" t="s">
        <v>3015</v>
      </c>
      <c r="D1217" s="115">
        <v>1</v>
      </c>
      <c r="E1217" s="115">
        <v>4</v>
      </c>
      <c r="F1217" s="115">
        <v>4</v>
      </c>
      <c r="G1217" s="115">
        <v>4</v>
      </c>
      <c r="H1217" s="115">
        <v>4</v>
      </c>
    </row>
    <row r="1218" spans="1:8" ht="30" x14ac:dyDescent="0.25">
      <c r="A1218" s="115">
        <v>6632</v>
      </c>
      <c r="B1218" s="115" t="s">
        <v>128</v>
      </c>
      <c r="C1218" s="115" t="s">
        <v>3016</v>
      </c>
      <c r="D1218" s="115">
        <v>1</v>
      </c>
      <c r="E1218" s="115" t="s">
        <v>3017</v>
      </c>
      <c r="F1218" s="115" t="s">
        <v>3018</v>
      </c>
      <c r="G1218" s="115" t="s">
        <v>3019</v>
      </c>
      <c r="H1218" s="115" t="s">
        <v>3020</v>
      </c>
    </row>
    <row r="1219" spans="1:8" ht="30" x14ac:dyDescent="0.25">
      <c r="A1219" s="115">
        <v>6631</v>
      </c>
      <c r="B1219" s="115" t="s">
        <v>128</v>
      </c>
      <c r="C1219" s="115" t="s">
        <v>3021</v>
      </c>
      <c r="D1219" s="115">
        <v>1</v>
      </c>
      <c r="E1219" s="115" t="s">
        <v>2096</v>
      </c>
      <c r="F1219" s="115" t="s">
        <v>2096</v>
      </c>
      <c r="G1219" s="115" t="s">
        <v>2096</v>
      </c>
      <c r="H1219" s="115" t="s">
        <v>2096</v>
      </c>
    </row>
    <row r="1220" spans="1:8" ht="30" x14ac:dyDescent="0.25">
      <c r="A1220" s="115">
        <v>6630</v>
      </c>
      <c r="B1220" s="115" t="s">
        <v>128</v>
      </c>
      <c r="C1220" s="115" t="s">
        <v>3022</v>
      </c>
      <c r="D1220" s="115">
        <v>1</v>
      </c>
      <c r="E1220" s="115">
        <v>86</v>
      </c>
      <c r="F1220" s="115">
        <v>86</v>
      </c>
      <c r="G1220" s="115">
        <v>86</v>
      </c>
      <c r="H1220" s="115">
        <v>86</v>
      </c>
    </row>
    <row r="1221" spans="1:8" ht="30" x14ac:dyDescent="0.25">
      <c r="A1221" s="115">
        <v>6629</v>
      </c>
      <c r="B1221" s="115" t="s">
        <v>128</v>
      </c>
      <c r="C1221" s="115" t="s">
        <v>3023</v>
      </c>
      <c r="D1221" s="115">
        <v>1</v>
      </c>
      <c r="E1221" s="115" t="s">
        <v>3024</v>
      </c>
      <c r="F1221" s="115" t="s">
        <v>3025</v>
      </c>
      <c r="G1221" s="115" t="s">
        <v>3026</v>
      </c>
      <c r="H1221" s="115" t="s">
        <v>3027</v>
      </c>
    </row>
    <row r="1222" spans="1:8" ht="30" x14ac:dyDescent="0.25">
      <c r="A1222" s="115">
        <v>6628</v>
      </c>
      <c r="B1222" s="115" t="s">
        <v>128</v>
      </c>
      <c r="C1222" s="115" t="s">
        <v>3028</v>
      </c>
      <c r="D1222" s="115">
        <v>1</v>
      </c>
      <c r="E1222" s="115" t="s">
        <v>2103</v>
      </c>
      <c r="F1222" s="115" t="s">
        <v>2103</v>
      </c>
      <c r="G1222" s="115" t="s">
        <v>2103</v>
      </c>
      <c r="H1222" s="115" t="s">
        <v>2103</v>
      </c>
    </row>
    <row r="1223" spans="1:8" ht="30" x14ac:dyDescent="0.25">
      <c r="A1223" s="115">
        <v>6627</v>
      </c>
      <c r="B1223" s="115" t="s">
        <v>128</v>
      </c>
      <c r="C1223" s="115" t="s">
        <v>3029</v>
      </c>
      <c r="D1223" s="115">
        <v>1</v>
      </c>
      <c r="E1223" s="115">
        <v>10</v>
      </c>
      <c r="F1223" s="115">
        <v>10</v>
      </c>
      <c r="G1223" s="115">
        <v>10</v>
      </c>
      <c r="H1223" s="115">
        <v>10</v>
      </c>
    </row>
    <row r="1224" spans="1:8" ht="30" x14ac:dyDescent="0.25">
      <c r="A1224" s="115">
        <v>6626</v>
      </c>
      <c r="B1224" s="115" t="s">
        <v>128</v>
      </c>
      <c r="C1224" s="115" t="s">
        <v>3030</v>
      </c>
      <c r="D1224" s="115">
        <v>1</v>
      </c>
      <c r="E1224" s="115" t="s">
        <v>3031</v>
      </c>
      <c r="F1224" s="115" t="s">
        <v>3032</v>
      </c>
      <c r="G1224" s="115" t="s">
        <v>3033</v>
      </c>
      <c r="H1224" s="115" t="s">
        <v>3034</v>
      </c>
    </row>
    <row r="1225" spans="1:8" ht="30" x14ac:dyDescent="0.25">
      <c r="A1225" s="115">
        <v>6625</v>
      </c>
      <c r="B1225" s="115" t="s">
        <v>128</v>
      </c>
      <c r="C1225" s="115" t="s">
        <v>3035</v>
      </c>
      <c r="D1225" s="115">
        <v>1</v>
      </c>
      <c r="E1225" s="115" t="s">
        <v>2110</v>
      </c>
      <c r="F1225" s="115" t="s">
        <v>2110</v>
      </c>
      <c r="G1225" s="115" t="s">
        <v>2110</v>
      </c>
      <c r="H1225" s="115" t="s">
        <v>2110</v>
      </c>
    </row>
    <row r="1226" spans="1:8" ht="30" x14ac:dyDescent="0.25">
      <c r="A1226" s="115">
        <v>6624</v>
      </c>
      <c r="B1226" s="115" t="s">
        <v>128</v>
      </c>
      <c r="C1226" s="115" t="s">
        <v>3036</v>
      </c>
      <c r="D1226" s="115">
        <v>1</v>
      </c>
      <c r="E1226" s="115" t="s">
        <v>3037</v>
      </c>
      <c r="F1226" s="115" t="s">
        <v>3037</v>
      </c>
      <c r="G1226" s="115" t="s">
        <v>3037</v>
      </c>
      <c r="H1226" s="115" t="s">
        <v>3038</v>
      </c>
    </row>
    <row r="1227" spans="1:8" ht="30" x14ac:dyDescent="0.25">
      <c r="A1227" s="115">
        <v>6623</v>
      </c>
      <c r="B1227" s="115" t="s">
        <v>128</v>
      </c>
      <c r="C1227" s="115" t="s">
        <v>3039</v>
      </c>
      <c r="D1227" s="115">
        <v>1</v>
      </c>
      <c r="E1227" s="115">
        <v>60</v>
      </c>
      <c r="F1227" s="115">
        <v>60</v>
      </c>
      <c r="G1227" s="115">
        <v>60</v>
      </c>
      <c r="H1227" s="115">
        <v>60</v>
      </c>
    </row>
    <row r="1228" spans="1:8" ht="30" x14ac:dyDescent="0.25">
      <c r="A1228" s="115">
        <v>6622</v>
      </c>
      <c r="B1228" s="115" t="s">
        <v>128</v>
      </c>
      <c r="C1228" s="115" t="s">
        <v>3040</v>
      </c>
      <c r="D1228" s="115">
        <v>1</v>
      </c>
      <c r="E1228" s="115" t="s">
        <v>3041</v>
      </c>
      <c r="F1228" s="115" t="s">
        <v>3042</v>
      </c>
      <c r="G1228" s="115" t="s">
        <v>3043</v>
      </c>
      <c r="H1228" s="115" t="s">
        <v>3044</v>
      </c>
    </row>
    <row r="1229" spans="1:8" ht="30" x14ac:dyDescent="0.25">
      <c r="A1229" s="115">
        <v>6621</v>
      </c>
      <c r="B1229" s="115" t="s">
        <v>128</v>
      </c>
      <c r="C1229" s="115" t="s">
        <v>3045</v>
      </c>
      <c r="D1229" s="115">
        <v>1</v>
      </c>
      <c r="E1229" s="115" t="s">
        <v>2096</v>
      </c>
      <c r="F1229" s="115" t="s">
        <v>2096</v>
      </c>
      <c r="G1229" s="115" t="s">
        <v>2096</v>
      </c>
      <c r="H1229" s="115" t="s">
        <v>2096</v>
      </c>
    </row>
    <row r="1230" spans="1:8" ht="30" x14ac:dyDescent="0.25">
      <c r="A1230" s="115">
        <v>6620</v>
      </c>
      <c r="B1230" s="115" t="s">
        <v>128</v>
      </c>
      <c r="C1230" s="115" t="s">
        <v>3046</v>
      </c>
      <c r="D1230" s="115">
        <v>1</v>
      </c>
      <c r="E1230" s="115">
        <v>30</v>
      </c>
      <c r="F1230" s="115">
        <v>30</v>
      </c>
      <c r="G1230" s="115">
        <v>30</v>
      </c>
      <c r="H1230" s="115">
        <v>30</v>
      </c>
    </row>
    <row r="1231" spans="1:8" ht="30" x14ac:dyDescent="0.25">
      <c r="A1231" s="115">
        <v>6619</v>
      </c>
      <c r="B1231" s="115" t="s">
        <v>128</v>
      </c>
      <c r="C1231" s="115" t="s">
        <v>3047</v>
      </c>
      <c r="D1231" s="115">
        <v>1</v>
      </c>
      <c r="E1231" s="115" t="s">
        <v>3048</v>
      </c>
      <c r="F1231" s="115" t="s">
        <v>3049</v>
      </c>
      <c r="G1231" s="115" t="s">
        <v>3050</v>
      </c>
      <c r="H1231" s="115" t="s">
        <v>3051</v>
      </c>
    </row>
    <row r="1232" spans="1:8" ht="30" x14ac:dyDescent="0.25">
      <c r="A1232" s="115">
        <v>6618</v>
      </c>
      <c r="B1232" s="115" t="s">
        <v>128</v>
      </c>
      <c r="C1232" s="115" t="s">
        <v>3052</v>
      </c>
      <c r="D1232" s="115">
        <v>1</v>
      </c>
      <c r="E1232" s="115" t="s">
        <v>2103</v>
      </c>
      <c r="F1232" s="115" t="s">
        <v>2103</v>
      </c>
      <c r="G1232" s="115" t="s">
        <v>2103</v>
      </c>
      <c r="H1232" s="115" t="s">
        <v>2103</v>
      </c>
    </row>
    <row r="1233" spans="1:8" ht="30" x14ac:dyDescent="0.25">
      <c r="A1233" s="115">
        <v>6617</v>
      </c>
      <c r="B1233" s="115" t="s">
        <v>128</v>
      </c>
      <c r="C1233" s="115" t="s">
        <v>3053</v>
      </c>
      <c r="D1233" s="115">
        <v>1</v>
      </c>
      <c r="E1233" s="115">
        <v>10</v>
      </c>
      <c r="F1233" s="115">
        <v>10</v>
      </c>
      <c r="G1233" s="115">
        <v>10</v>
      </c>
      <c r="H1233" s="115">
        <v>10</v>
      </c>
    </row>
    <row r="1234" spans="1:8" ht="30" x14ac:dyDescent="0.25">
      <c r="A1234" s="115">
        <v>6616</v>
      </c>
      <c r="B1234" s="115" t="s">
        <v>128</v>
      </c>
      <c r="C1234" s="115" t="s">
        <v>3054</v>
      </c>
      <c r="D1234" s="115">
        <v>1</v>
      </c>
      <c r="E1234" s="115" t="s">
        <v>3031</v>
      </c>
      <c r="F1234" s="115" t="s">
        <v>3032</v>
      </c>
      <c r="G1234" s="115" t="s">
        <v>3033</v>
      </c>
      <c r="H1234" s="115" t="s">
        <v>3034</v>
      </c>
    </row>
    <row r="1235" spans="1:8" ht="30" x14ac:dyDescent="0.25">
      <c r="A1235" s="115">
        <v>6615</v>
      </c>
      <c r="B1235" s="115" t="s">
        <v>128</v>
      </c>
      <c r="C1235" s="115" t="s">
        <v>3055</v>
      </c>
      <c r="D1235" s="115">
        <v>1</v>
      </c>
      <c r="E1235" s="115" t="s">
        <v>2110</v>
      </c>
      <c r="F1235" s="115" t="s">
        <v>2110</v>
      </c>
      <c r="G1235" s="115" t="s">
        <v>2110</v>
      </c>
      <c r="H1235" s="115" t="s">
        <v>2110</v>
      </c>
    </row>
    <row r="1236" spans="1:8" ht="30" x14ac:dyDescent="0.25">
      <c r="A1236" s="115">
        <v>6614</v>
      </c>
      <c r="B1236" s="115" t="s">
        <v>128</v>
      </c>
      <c r="C1236" s="115" t="s">
        <v>3056</v>
      </c>
      <c r="D1236" s="115">
        <v>1</v>
      </c>
      <c r="E1236" s="115" t="s">
        <v>3057</v>
      </c>
      <c r="F1236" s="115" t="s">
        <v>3058</v>
      </c>
      <c r="G1236" s="115" t="s">
        <v>3059</v>
      </c>
      <c r="H1236" s="115" t="s">
        <v>3060</v>
      </c>
    </row>
    <row r="1237" spans="1:8" ht="165" x14ac:dyDescent="0.25">
      <c r="A1237" s="115">
        <v>6613</v>
      </c>
      <c r="B1237" s="115" t="s">
        <v>128</v>
      </c>
      <c r="C1237" s="115" t="s">
        <v>3061</v>
      </c>
      <c r="D1237" s="115">
        <v>1</v>
      </c>
      <c r="E1237" s="115" t="s">
        <v>3062</v>
      </c>
      <c r="F1237" s="115" t="s">
        <v>3063</v>
      </c>
      <c r="G1237" s="115" t="s">
        <v>3064</v>
      </c>
      <c r="H1237" s="115" t="s">
        <v>3065</v>
      </c>
    </row>
    <row r="1238" spans="1:8" ht="30" x14ac:dyDescent="0.25">
      <c r="A1238" s="115">
        <v>6612</v>
      </c>
      <c r="B1238" s="115" t="s">
        <v>128</v>
      </c>
      <c r="C1238" s="115" t="s">
        <v>3066</v>
      </c>
      <c r="D1238" s="115">
        <v>1</v>
      </c>
      <c r="E1238" s="115" t="s">
        <v>764</v>
      </c>
      <c r="F1238" s="115" t="s">
        <v>765</v>
      </c>
      <c r="G1238" s="115" t="s">
        <v>766</v>
      </c>
      <c r="H1238" s="115" t="s">
        <v>764</v>
      </c>
    </row>
    <row r="1239" spans="1:8" ht="45" x14ac:dyDescent="0.25">
      <c r="A1239" s="115">
        <v>6611</v>
      </c>
      <c r="B1239" s="115" t="s">
        <v>128</v>
      </c>
      <c r="C1239" s="115" t="s">
        <v>3067</v>
      </c>
      <c r="D1239" s="115">
        <v>1</v>
      </c>
      <c r="E1239" s="115" t="s">
        <v>3068</v>
      </c>
      <c r="F1239" s="115" t="s">
        <v>3069</v>
      </c>
      <c r="G1239" s="115" t="s">
        <v>3070</v>
      </c>
      <c r="H1239" s="115" t="s">
        <v>3071</v>
      </c>
    </row>
    <row r="1240" spans="1:8" ht="30" x14ac:dyDescent="0.25">
      <c r="A1240" s="115">
        <v>6610</v>
      </c>
      <c r="B1240" s="115" t="s">
        <v>128</v>
      </c>
      <c r="C1240" s="115" t="s">
        <v>3072</v>
      </c>
      <c r="D1240" s="115">
        <v>1</v>
      </c>
      <c r="E1240" s="115">
        <v>2014</v>
      </c>
      <c r="F1240" s="115">
        <v>2014</v>
      </c>
      <c r="G1240" s="115">
        <v>2014</v>
      </c>
      <c r="H1240" s="115">
        <v>2014</v>
      </c>
    </row>
    <row r="1241" spans="1:8" ht="30" x14ac:dyDescent="0.25">
      <c r="A1241" s="115">
        <v>6609</v>
      </c>
      <c r="B1241" s="115" t="s">
        <v>128</v>
      </c>
      <c r="C1241" s="115" t="s">
        <v>3073</v>
      </c>
      <c r="D1241" s="115">
        <v>1</v>
      </c>
      <c r="E1241" s="115">
        <v>79</v>
      </c>
      <c r="F1241" s="115">
        <v>79</v>
      </c>
      <c r="G1241" s="115">
        <v>79</v>
      </c>
      <c r="H1241" s="115">
        <v>79</v>
      </c>
    </row>
    <row r="1242" spans="1:8" ht="30" x14ac:dyDescent="0.25">
      <c r="A1242" s="115">
        <v>6608</v>
      </c>
      <c r="B1242" s="115" t="s">
        <v>128</v>
      </c>
      <c r="C1242" s="115" t="s">
        <v>3074</v>
      </c>
      <c r="D1242" s="115">
        <v>1</v>
      </c>
      <c r="E1242" s="115">
        <v>2013</v>
      </c>
      <c r="F1242" s="115">
        <v>2013</v>
      </c>
      <c r="G1242" s="115">
        <v>2013</v>
      </c>
      <c r="H1242" s="115">
        <v>2013</v>
      </c>
    </row>
    <row r="1243" spans="1:8" ht="30" x14ac:dyDescent="0.25">
      <c r="A1243" s="115">
        <v>6607</v>
      </c>
      <c r="B1243" s="115" t="s">
        <v>128</v>
      </c>
      <c r="C1243" s="115" t="s">
        <v>3075</v>
      </c>
      <c r="D1243" s="115">
        <v>1</v>
      </c>
      <c r="E1243" s="115">
        <v>103</v>
      </c>
      <c r="F1243" s="115">
        <v>103</v>
      </c>
      <c r="G1243" s="115">
        <v>103</v>
      </c>
      <c r="H1243" s="115">
        <v>103</v>
      </c>
    </row>
    <row r="1244" spans="1:8" ht="30" x14ac:dyDescent="0.25">
      <c r="A1244" s="115">
        <v>6606</v>
      </c>
      <c r="B1244" s="115" t="s">
        <v>128</v>
      </c>
      <c r="C1244" s="115" t="s">
        <v>3076</v>
      </c>
      <c r="D1244" s="115">
        <v>1</v>
      </c>
      <c r="E1244" s="115">
        <v>2012</v>
      </c>
      <c r="F1244" s="115">
        <v>2012</v>
      </c>
      <c r="G1244" s="115">
        <v>2012</v>
      </c>
      <c r="H1244" s="115">
        <v>2012</v>
      </c>
    </row>
    <row r="1245" spans="1:8" ht="30" x14ac:dyDescent="0.25">
      <c r="A1245" s="115">
        <v>6605</v>
      </c>
      <c r="B1245" s="115" t="s">
        <v>128</v>
      </c>
      <c r="C1245" s="115" t="s">
        <v>3077</v>
      </c>
      <c r="D1245" s="115">
        <v>1</v>
      </c>
      <c r="E1245" s="115">
        <v>114</v>
      </c>
      <c r="F1245" s="115">
        <v>114</v>
      </c>
      <c r="G1245" s="115">
        <v>114</v>
      </c>
      <c r="H1245" s="115">
        <v>114</v>
      </c>
    </row>
    <row r="1246" spans="1:8" ht="30" x14ac:dyDescent="0.25">
      <c r="A1246" s="115">
        <v>6604</v>
      </c>
      <c r="B1246" s="115" t="s">
        <v>128</v>
      </c>
      <c r="C1246" s="115" t="s">
        <v>3078</v>
      </c>
      <c r="D1246" s="115">
        <v>1</v>
      </c>
      <c r="E1246" s="115">
        <v>2011</v>
      </c>
      <c r="F1246" s="115">
        <v>2011</v>
      </c>
      <c r="G1246" s="115">
        <v>2011</v>
      </c>
      <c r="H1246" s="115">
        <v>2011</v>
      </c>
    </row>
    <row r="1247" spans="1:8" ht="30" x14ac:dyDescent="0.25">
      <c r="A1247" s="115">
        <v>6603</v>
      </c>
      <c r="B1247" s="115" t="s">
        <v>128</v>
      </c>
      <c r="C1247" s="115" t="s">
        <v>3079</v>
      </c>
      <c r="D1247" s="115">
        <v>1</v>
      </c>
      <c r="E1247" s="115">
        <v>155</v>
      </c>
      <c r="F1247" s="115">
        <v>155</v>
      </c>
      <c r="G1247" s="115">
        <v>155</v>
      </c>
      <c r="H1247" s="115">
        <v>155</v>
      </c>
    </row>
    <row r="1248" spans="1:8" ht="30" x14ac:dyDescent="0.25">
      <c r="A1248" s="115">
        <v>6602</v>
      </c>
      <c r="B1248" s="115" t="s">
        <v>128</v>
      </c>
      <c r="C1248" s="115" t="s">
        <v>3080</v>
      </c>
      <c r="D1248" s="115">
        <v>1</v>
      </c>
      <c r="E1248" s="115">
        <v>2010</v>
      </c>
      <c r="F1248" s="115">
        <v>2010</v>
      </c>
      <c r="G1248" s="115">
        <v>2010</v>
      </c>
      <c r="H1248" s="115">
        <v>2010</v>
      </c>
    </row>
    <row r="1249" spans="1:8" ht="30" x14ac:dyDescent="0.25">
      <c r="A1249" s="115">
        <v>6601</v>
      </c>
      <c r="B1249" s="115" t="s">
        <v>128</v>
      </c>
      <c r="C1249" s="115" t="s">
        <v>3081</v>
      </c>
      <c r="D1249" s="115">
        <v>1</v>
      </c>
      <c r="E1249" s="115">
        <v>281</v>
      </c>
      <c r="F1249" s="115">
        <v>281</v>
      </c>
      <c r="G1249" s="115">
        <v>281</v>
      </c>
      <c r="H1249" s="115">
        <v>281</v>
      </c>
    </row>
    <row r="1250" spans="1:8" ht="30" x14ac:dyDescent="0.25">
      <c r="A1250" s="115">
        <v>6600</v>
      </c>
      <c r="B1250" s="115" t="s">
        <v>128</v>
      </c>
      <c r="C1250" s="115" t="s">
        <v>3082</v>
      </c>
      <c r="D1250" s="115">
        <v>1</v>
      </c>
      <c r="E1250" s="115" t="s">
        <v>3057</v>
      </c>
      <c r="F1250" s="115" t="s">
        <v>3058</v>
      </c>
      <c r="G1250" s="115" t="s">
        <v>3059</v>
      </c>
      <c r="H1250" s="115" t="s">
        <v>3060</v>
      </c>
    </row>
    <row r="1251" spans="1:8" ht="30" x14ac:dyDescent="0.25">
      <c r="A1251" s="115">
        <v>6599</v>
      </c>
      <c r="B1251" s="115" t="s">
        <v>128</v>
      </c>
      <c r="C1251" s="115" t="s">
        <v>3083</v>
      </c>
      <c r="D1251" s="115">
        <v>1</v>
      </c>
      <c r="E1251" s="115">
        <v>79</v>
      </c>
      <c r="F1251" s="115">
        <v>79</v>
      </c>
      <c r="G1251" s="115">
        <v>79</v>
      </c>
      <c r="H1251" s="115">
        <v>79</v>
      </c>
    </row>
    <row r="1252" spans="1:8" ht="30" x14ac:dyDescent="0.25">
      <c r="A1252" s="115">
        <v>6598</v>
      </c>
      <c r="B1252" s="115" t="s">
        <v>128</v>
      </c>
      <c r="C1252" s="115" t="s">
        <v>3084</v>
      </c>
      <c r="D1252" s="115">
        <v>1</v>
      </c>
      <c r="E1252" s="115">
        <v>103</v>
      </c>
      <c r="F1252" s="115">
        <v>103</v>
      </c>
      <c r="G1252" s="115">
        <v>103</v>
      </c>
      <c r="H1252" s="115">
        <v>103</v>
      </c>
    </row>
    <row r="1253" spans="1:8" ht="30" x14ac:dyDescent="0.25">
      <c r="A1253" s="115">
        <v>6597</v>
      </c>
      <c r="B1253" s="115" t="s">
        <v>128</v>
      </c>
      <c r="C1253" s="115" t="s">
        <v>3085</v>
      </c>
      <c r="D1253" s="115">
        <v>1</v>
      </c>
      <c r="E1253" s="115">
        <v>114</v>
      </c>
      <c r="F1253" s="115">
        <v>114</v>
      </c>
      <c r="G1253" s="115">
        <v>114</v>
      </c>
      <c r="H1253" s="115">
        <v>114</v>
      </c>
    </row>
    <row r="1254" spans="1:8" ht="30" x14ac:dyDescent="0.25">
      <c r="A1254" s="115">
        <v>6596</v>
      </c>
      <c r="B1254" s="115" t="s">
        <v>128</v>
      </c>
      <c r="C1254" s="115" t="s">
        <v>3086</v>
      </c>
      <c r="D1254" s="115">
        <v>1</v>
      </c>
      <c r="E1254" s="115">
        <v>155</v>
      </c>
      <c r="F1254" s="115">
        <v>155</v>
      </c>
      <c r="G1254" s="115">
        <v>155</v>
      </c>
      <c r="H1254" s="115">
        <v>155</v>
      </c>
    </row>
    <row r="1255" spans="1:8" ht="30" x14ac:dyDescent="0.25">
      <c r="A1255" s="115">
        <v>6595</v>
      </c>
      <c r="B1255" s="115" t="s">
        <v>128</v>
      </c>
      <c r="C1255" s="115" t="s">
        <v>3087</v>
      </c>
      <c r="D1255" s="115">
        <v>1</v>
      </c>
      <c r="E1255" s="115">
        <v>281</v>
      </c>
      <c r="F1255" s="115">
        <v>281</v>
      </c>
      <c r="G1255" s="115">
        <v>281</v>
      </c>
      <c r="H1255" s="115">
        <v>281</v>
      </c>
    </row>
    <row r="1256" spans="1:8" ht="30" x14ac:dyDescent="0.25">
      <c r="A1256" s="115">
        <v>6594</v>
      </c>
      <c r="B1256" s="115" t="s">
        <v>128</v>
      </c>
      <c r="C1256" s="115" t="s">
        <v>3088</v>
      </c>
      <c r="D1256" s="115">
        <v>1</v>
      </c>
    </row>
    <row r="1257" spans="1:8" ht="30" x14ac:dyDescent="0.25">
      <c r="A1257" s="115">
        <v>6593</v>
      </c>
      <c r="B1257" s="115" t="s">
        <v>128</v>
      </c>
      <c r="C1257" s="115" t="s">
        <v>3089</v>
      </c>
      <c r="D1257" s="115">
        <v>1</v>
      </c>
      <c r="E1257" s="115" t="s">
        <v>1296</v>
      </c>
      <c r="F1257" s="115" t="s">
        <v>1297</v>
      </c>
      <c r="G1257" s="115" t="s">
        <v>1298</v>
      </c>
      <c r="H1257" s="115" t="s">
        <v>1299</v>
      </c>
    </row>
    <row r="1258" spans="1:8" ht="210" x14ac:dyDescent="0.25">
      <c r="A1258" s="115">
        <v>6592</v>
      </c>
      <c r="B1258" s="115" t="s">
        <v>128</v>
      </c>
      <c r="C1258" s="115" t="s">
        <v>3090</v>
      </c>
      <c r="D1258" s="115">
        <v>1</v>
      </c>
      <c r="E1258" s="115" t="s">
        <v>3091</v>
      </c>
      <c r="F1258" s="115" t="s">
        <v>3092</v>
      </c>
      <c r="G1258" s="115" t="s">
        <v>3093</v>
      </c>
      <c r="H1258" s="115" t="s">
        <v>3094</v>
      </c>
    </row>
    <row r="1259" spans="1:8" ht="30" x14ac:dyDescent="0.25">
      <c r="A1259" s="115">
        <v>6591</v>
      </c>
      <c r="B1259" s="115" t="s">
        <v>128</v>
      </c>
      <c r="C1259" s="115" t="s">
        <v>3095</v>
      </c>
      <c r="D1259" s="115">
        <v>1</v>
      </c>
      <c r="E1259" s="115" t="s">
        <v>3096</v>
      </c>
      <c r="F1259" s="115" t="s">
        <v>3097</v>
      </c>
      <c r="G1259" s="115" t="s">
        <v>3098</v>
      </c>
      <c r="H1259" s="115" t="s">
        <v>3099</v>
      </c>
    </row>
    <row r="1260" spans="1:8" ht="30" x14ac:dyDescent="0.25">
      <c r="A1260" s="115">
        <v>6590</v>
      </c>
      <c r="B1260" s="115" t="s">
        <v>128</v>
      </c>
      <c r="C1260" s="115" t="s">
        <v>3100</v>
      </c>
      <c r="D1260" s="115">
        <v>1</v>
      </c>
      <c r="E1260" s="115" t="s">
        <v>3101</v>
      </c>
      <c r="F1260" s="115" t="s">
        <v>3101</v>
      </c>
      <c r="G1260" s="115" t="s">
        <v>3101</v>
      </c>
      <c r="H1260" s="115" t="s">
        <v>3101</v>
      </c>
    </row>
    <row r="1261" spans="1:8" ht="30" x14ac:dyDescent="0.25">
      <c r="A1261" s="115">
        <v>6589</v>
      </c>
      <c r="B1261" s="115" t="s">
        <v>128</v>
      </c>
      <c r="C1261" s="115" t="s">
        <v>3102</v>
      </c>
      <c r="D1261" s="115">
        <v>1</v>
      </c>
      <c r="E1261" s="115" t="s">
        <v>3103</v>
      </c>
      <c r="F1261" s="115" t="s">
        <v>3104</v>
      </c>
      <c r="G1261" s="115" t="s">
        <v>3105</v>
      </c>
      <c r="H1261" s="115" t="s">
        <v>3106</v>
      </c>
    </row>
    <row r="1262" spans="1:8" ht="30" x14ac:dyDescent="0.25">
      <c r="A1262" s="115">
        <v>6588</v>
      </c>
      <c r="B1262" s="115" t="s">
        <v>128</v>
      </c>
      <c r="C1262" s="115" t="s">
        <v>3107</v>
      </c>
      <c r="D1262" s="115">
        <v>1</v>
      </c>
      <c r="E1262" s="115" t="s">
        <v>3101</v>
      </c>
      <c r="F1262" s="115" t="s">
        <v>3101</v>
      </c>
      <c r="G1262" s="115" t="s">
        <v>3101</v>
      </c>
      <c r="H1262" s="115" t="s">
        <v>3101</v>
      </c>
    </row>
    <row r="1263" spans="1:8" ht="30" x14ac:dyDescent="0.25">
      <c r="A1263" s="115">
        <v>6587</v>
      </c>
      <c r="B1263" s="115" t="s">
        <v>128</v>
      </c>
      <c r="C1263" s="115" t="s">
        <v>3108</v>
      </c>
      <c r="D1263" s="115">
        <v>1</v>
      </c>
      <c r="E1263" s="115" t="s">
        <v>3109</v>
      </c>
      <c r="F1263" s="115" t="s">
        <v>3109</v>
      </c>
      <c r="G1263" s="115" t="s">
        <v>3110</v>
      </c>
      <c r="H1263" s="115" t="s">
        <v>3111</v>
      </c>
    </row>
    <row r="1264" spans="1:8" ht="30" x14ac:dyDescent="0.25">
      <c r="A1264" s="115">
        <v>6586</v>
      </c>
      <c r="B1264" s="115" t="s">
        <v>128</v>
      </c>
      <c r="C1264" s="115" t="s">
        <v>3112</v>
      </c>
      <c r="D1264" s="115">
        <v>1</v>
      </c>
      <c r="E1264" s="115" t="s">
        <v>3101</v>
      </c>
      <c r="F1264" s="115" t="s">
        <v>3101</v>
      </c>
      <c r="G1264" s="115" t="s">
        <v>3101</v>
      </c>
      <c r="H1264" s="115" t="s">
        <v>3101</v>
      </c>
    </row>
    <row r="1265" spans="1:8" ht="30" x14ac:dyDescent="0.25">
      <c r="A1265" s="115">
        <v>6585</v>
      </c>
      <c r="B1265" s="115" t="s">
        <v>128</v>
      </c>
      <c r="C1265" s="115" t="s">
        <v>3113</v>
      </c>
      <c r="D1265" s="115">
        <v>1</v>
      </c>
      <c r="E1265" s="115" t="s">
        <v>3114</v>
      </c>
      <c r="F1265" s="115" t="s">
        <v>3115</v>
      </c>
      <c r="G1265" s="115" t="s">
        <v>3116</v>
      </c>
      <c r="H1265" s="115" t="s">
        <v>3117</v>
      </c>
    </row>
    <row r="1266" spans="1:8" ht="255" x14ac:dyDescent="0.25">
      <c r="A1266" s="115">
        <v>6584</v>
      </c>
      <c r="B1266" s="115" t="s">
        <v>128</v>
      </c>
      <c r="C1266" s="115" t="s">
        <v>3118</v>
      </c>
      <c r="D1266" s="115">
        <v>1</v>
      </c>
      <c r="E1266" s="115" t="s">
        <v>3119</v>
      </c>
      <c r="F1266" s="115" t="s">
        <v>3120</v>
      </c>
      <c r="G1266" s="115" t="s">
        <v>3121</v>
      </c>
      <c r="H1266" s="115" t="s">
        <v>3122</v>
      </c>
    </row>
    <row r="1267" spans="1:8" ht="30" x14ac:dyDescent="0.25">
      <c r="A1267" s="115">
        <v>6583</v>
      </c>
      <c r="B1267" s="115" t="s">
        <v>128</v>
      </c>
      <c r="C1267" s="115" t="s">
        <v>3123</v>
      </c>
      <c r="D1267" s="115">
        <v>1</v>
      </c>
      <c r="E1267" s="115" t="s">
        <v>764</v>
      </c>
      <c r="F1267" s="115" t="s">
        <v>765</v>
      </c>
      <c r="G1267" s="115" t="s">
        <v>766</v>
      </c>
      <c r="H1267" s="115" t="s">
        <v>764</v>
      </c>
    </row>
    <row r="1268" spans="1:8" ht="30" x14ac:dyDescent="0.25">
      <c r="A1268" s="115">
        <v>6582</v>
      </c>
      <c r="B1268" s="115" t="s">
        <v>128</v>
      </c>
      <c r="C1268" s="115" t="s">
        <v>3124</v>
      </c>
      <c r="D1268" s="115">
        <v>1</v>
      </c>
      <c r="E1268" s="115" t="s">
        <v>3125</v>
      </c>
      <c r="F1268" s="115" t="s">
        <v>3126</v>
      </c>
      <c r="G1268" s="115" t="s">
        <v>3127</v>
      </c>
      <c r="H1268" s="115" t="s">
        <v>3128</v>
      </c>
    </row>
    <row r="1269" spans="1:8" ht="45" x14ac:dyDescent="0.25">
      <c r="A1269" s="115">
        <v>6581</v>
      </c>
      <c r="B1269" s="115" t="s">
        <v>128</v>
      </c>
      <c r="C1269" s="115" t="s">
        <v>3129</v>
      </c>
      <c r="D1269" s="115">
        <v>1</v>
      </c>
      <c r="E1269" s="115" t="s">
        <v>3130</v>
      </c>
      <c r="F1269" s="115" t="s">
        <v>3130</v>
      </c>
      <c r="G1269" s="115" t="s">
        <v>3131</v>
      </c>
      <c r="H1269" s="115" t="s">
        <v>3132</v>
      </c>
    </row>
    <row r="1270" spans="1:8" ht="90" x14ac:dyDescent="0.25">
      <c r="A1270" s="115">
        <v>6580</v>
      </c>
      <c r="B1270" s="115" t="s">
        <v>128</v>
      </c>
      <c r="C1270" s="115" t="s">
        <v>3133</v>
      </c>
      <c r="D1270" s="115">
        <v>1</v>
      </c>
      <c r="E1270" s="115" t="s">
        <v>3134</v>
      </c>
      <c r="F1270" s="115" t="s">
        <v>3134</v>
      </c>
      <c r="G1270" s="115" t="s">
        <v>3135</v>
      </c>
      <c r="H1270" s="115" t="s">
        <v>3134</v>
      </c>
    </row>
    <row r="1271" spans="1:8" ht="30" x14ac:dyDescent="0.25">
      <c r="A1271" s="115">
        <v>6579</v>
      </c>
      <c r="B1271" s="115" t="s">
        <v>128</v>
      </c>
      <c r="C1271" s="115" t="s">
        <v>3136</v>
      </c>
      <c r="D1271" s="115">
        <v>1</v>
      </c>
      <c r="E1271" s="115">
        <v>48855</v>
      </c>
      <c r="F1271" s="115">
        <v>48855</v>
      </c>
      <c r="G1271" s="115">
        <v>48855</v>
      </c>
      <c r="H1271" s="115">
        <v>48855</v>
      </c>
    </row>
    <row r="1272" spans="1:8" ht="30" x14ac:dyDescent="0.25">
      <c r="A1272" s="115">
        <v>6578</v>
      </c>
      <c r="B1272" s="115" t="s">
        <v>128</v>
      </c>
      <c r="C1272" s="115" t="s">
        <v>3137</v>
      </c>
      <c r="D1272" s="115">
        <v>1</v>
      </c>
      <c r="E1272" s="115" t="s">
        <v>3138</v>
      </c>
      <c r="F1272" s="115" t="s">
        <v>3138</v>
      </c>
      <c r="G1272" s="115" t="s">
        <v>3138</v>
      </c>
      <c r="H1272" s="115" t="s">
        <v>3139</v>
      </c>
    </row>
    <row r="1273" spans="1:8" ht="30" x14ac:dyDescent="0.25">
      <c r="A1273" s="115">
        <v>6577</v>
      </c>
      <c r="B1273" s="115" t="s">
        <v>128</v>
      </c>
      <c r="C1273" s="115" t="s">
        <v>3140</v>
      </c>
      <c r="D1273" s="115">
        <v>1</v>
      </c>
      <c r="E1273" s="115" t="s">
        <v>3141</v>
      </c>
      <c r="F1273" s="115" t="s">
        <v>3141</v>
      </c>
      <c r="G1273" s="115" t="s">
        <v>3141</v>
      </c>
      <c r="H1273" s="115" t="s">
        <v>3141</v>
      </c>
    </row>
    <row r="1274" spans="1:8" ht="90" x14ac:dyDescent="0.25">
      <c r="A1274" s="115">
        <v>6576</v>
      </c>
      <c r="B1274" s="115" t="s">
        <v>128</v>
      </c>
      <c r="C1274" s="115" t="s">
        <v>3142</v>
      </c>
      <c r="D1274" s="115">
        <v>1</v>
      </c>
      <c r="E1274" s="115" t="s">
        <v>3143</v>
      </c>
      <c r="F1274" s="115" t="s">
        <v>3143</v>
      </c>
      <c r="G1274" s="115" t="s">
        <v>3144</v>
      </c>
      <c r="H1274" s="115" t="s">
        <v>3143</v>
      </c>
    </row>
    <row r="1275" spans="1:8" ht="30" x14ac:dyDescent="0.25">
      <c r="A1275" s="115">
        <v>6575</v>
      </c>
      <c r="B1275" s="115" t="s">
        <v>128</v>
      </c>
      <c r="C1275" s="115" t="s">
        <v>3145</v>
      </c>
      <c r="D1275" s="115">
        <v>1</v>
      </c>
      <c r="E1275" s="115">
        <v>13000</v>
      </c>
      <c r="F1275" s="115">
        <v>13000</v>
      </c>
      <c r="G1275" s="115">
        <v>13000</v>
      </c>
      <c r="H1275" s="115">
        <v>13000</v>
      </c>
    </row>
    <row r="1276" spans="1:8" ht="30" x14ac:dyDescent="0.25">
      <c r="A1276" s="115">
        <v>6574</v>
      </c>
      <c r="B1276" s="115" t="s">
        <v>128</v>
      </c>
      <c r="C1276" s="115" t="s">
        <v>3146</v>
      </c>
      <c r="D1276" s="115">
        <v>1</v>
      </c>
      <c r="E1276" s="115" t="s">
        <v>3147</v>
      </c>
      <c r="F1276" s="115" t="s">
        <v>3147</v>
      </c>
      <c r="G1276" s="115" t="s">
        <v>3148</v>
      </c>
      <c r="H1276" s="115" t="s">
        <v>3149</v>
      </c>
    </row>
    <row r="1277" spans="1:8" ht="30" x14ac:dyDescent="0.25">
      <c r="A1277" s="115">
        <v>6573</v>
      </c>
      <c r="B1277" s="115" t="s">
        <v>128</v>
      </c>
      <c r="C1277" s="115" t="s">
        <v>3150</v>
      </c>
      <c r="D1277" s="115">
        <v>1</v>
      </c>
      <c r="E1277" s="115" t="s">
        <v>3141</v>
      </c>
      <c r="F1277" s="115" t="s">
        <v>3141</v>
      </c>
      <c r="G1277" s="115" t="s">
        <v>3141</v>
      </c>
      <c r="H1277" s="115" t="s">
        <v>3141</v>
      </c>
    </row>
    <row r="1278" spans="1:8" ht="90" x14ac:dyDescent="0.25">
      <c r="A1278" s="115">
        <v>6572</v>
      </c>
      <c r="B1278" s="115" t="s">
        <v>128</v>
      </c>
      <c r="C1278" s="115" t="s">
        <v>3151</v>
      </c>
      <c r="D1278" s="115">
        <v>1</v>
      </c>
      <c r="E1278" s="115" t="s">
        <v>3152</v>
      </c>
      <c r="F1278" s="115" t="s">
        <v>3152</v>
      </c>
      <c r="G1278" s="115" t="s">
        <v>3153</v>
      </c>
      <c r="H1278" s="115" t="s">
        <v>3152</v>
      </c>
    </row>
    <row r="1279" spans="1:8" ht="30" x14ac:dyDescent="0.25">
      <c r="A1279" s="115">
        <v>6571</v>
      </c>
      <c r="B1279" s="115" t="s">
        <v>128</v>
      </c>
      <c r="C1279" s="115" t="s">
        <v>3154</v>
      </c>
      <c r="D1279" s="115">
        <v>1</v>
      </c>
      <c r="E1279" s="115">
        <v>31825</v>
      </c>
      <c r="F1279" s="115">
        <v>31825</v>
      </c>
      <c r="G1279" s="115">
        <v>31825</v>
      </c>
      <c r="H1279" s="115">
        <v>31825</v>
      </c>
    </row>
    <row r="1280" spans="1:8" ht="30" x14ac:dyDescent="0.25">
      <c r="A1280" s="115">
        <v>6570</v>
      </c>
      <c r="B1280" s="115" t="s">
        <v>128</v>
      </c>
      <c r="C1280" s="115" t="s">
        <v>3155</v>
      </c>
      <c r="D1280" s="115">
        <v>1</v>
      </c>
      <c r="E1280" s="115" t="s">
        <v>867</v>
      </c>
      <c r="F1280" s="115" t="s">
        <v>868</v>
      </c>
      <c r="G1280" s="115" t="s">
        <v>3156</v>
      </c>
      <c r="H1280" s="115" t="s">
        <v>869</v>
      </c>
    </row>
    <row r="1281" spans="1:8" ht="30" x14ac:dyDescent="0.25">
      <c r="A1281" s="115">
        <v>6569</v>
      </c>
      <c r="B1281" s="115" t="s">
        <v>128</v>
      </c>
      <c r="C1281" s="115" t="s">
        <v>3157</v>
      </c>
      <c r="D1281" s="115">
        <v>1</v>
      </c>
      <c r="E1281" s="115" t="s">
        <v>3141</v>
      </c>
      <c r="F1281" s="115" t="s">
        <v>3141</v>
      </c>
      <c r="G1281" s="115" t="s">
        <v>3141</v>
      </c>
      <c r="H1281" s="115" t="s">
        <v>3141</v>
      </c>
    </row>
    <row r="1282" spans="1:8" ht="90" x14ac:dyDescent="0.25">
      <c r="A1282" s="115">
        <v>6568</v>
      </c>
      <c r="B1282" s="115" t="s">
        <v>128</v>
      </c>
      <c r="C1282" s="115" t="s">
        <v>3158</v>
      </c>
      <c r="D1282" s="115">
        <v>1</v>
      </c>
      <c r="E1282" s="115" t="s">
        <v>3159</v>
      </c>
      <c r="F1282" s="115" t="s">
        <v>3159</v>
      </c>
      <c r="G1282" s="115" t="s">
        <v>3160</v>
      </c>
      <c r="H1282" s="115" t="s">
        <v>3159</v>
      </c>
    </row>
    <row r="1283" spans="1:8" ht="30" x14ac:dyDescent="0.25">
      <c r="A1283" s="115">
        <v>6567</v>
      </c>
      <c r="B1283" s="115" t="s">
        <v>128</v>
      </c>
      <c r="C1283" s="115" t="s">
        <v>3161</v>
      </c>
      <c r="D1283" s="115">
        <v>1</v>
      </c>
      <c r="E1283" s="115">
        <v>202907</v>
      </c>
      <c r="F1283" s="115">
        <v>202907</v>
      </c>
      <c r="G1283" s="115">
        <v>202907</v>
      </c>
      <c r="H1283" s="115">
        <v>202907</v>
      </c>
    </row>
    <row r="1284" spans="1:8" ht="30" x14ac:dyDescent="0.25">
      <c r="A1284" s="115">
        <v>6566</v>
      </c>
      <c r="B1284" s="115" t="s">
        <v>128</v>
      </c>
      <c r="C1284" s="115" t="s">
        <v>3162</v>
      </c>
      <c r="D1284" s="115">
        <v>1</v>
      </c>
      <c r="E1284" s="115" t="s">
        <v>3163</v>
      </c>
      <c r="F1284" s="115" t="s">
        <v>3164</v>
      </c>
      <c r="G1284" s="115" t="s">
        <v>3165</v>
      </c>
      <c r="H1284" s="115" t="s">
        <v>3166</v>
      </c>
    </row>
    <row r="1285" spans="1:8" ht="30" x14ac:dyDescent="0.25">
      <c r="A1285" s="115">
        <v>6565</v>
      </c>
      <c r="B1285" s="115" t="s">
        <v>128</v>
      </c>
      <c r="C1285" s="115" t="s">
        <v>3167</v>
      </c>
      <c r="D1285" s="115">
        <v>1</v>
      </c>
      <c r="E1285" s="115" t="s">
        <v>3141</v>
      </c>
      <c r="F1285" s="115" t="s">
        <v>3141</v>
      </c>
      <c r="G1285" s="115" t="s">
        <v>3141</v>
      </c>
      <c r="H1285" s="115" t="s">
        <v>3141</v>
      </c>
    </row>
    <row r="1286" spans="1:8" ht="90" x14ac:dyDescent="0.25">
      <c r="A1286" s="115">
        <v>6564</v>
      </c>
      <c r="B1286" s="115" t="s">
        <v>128</v>
      </c>
      <c r="C1286" s="115" t="s">
        <v>3168</v>
      </c>
      <c r="D1286" s="115">
        <v>1</v>
      </c>
      <c r="E1286" s="115" t="s">
        <v>3169</v>
      </c>
      <c r="F1286" s="115" t="s">
        <v>3169</v>
      </c>
      <c r="G1286" s="115" t="s">
        <v>3170</v>
      </c>
      <c r="H1286" s="115" t="s">
        <v>3169</v>
      </c>
    </row>
    <row r="1287" spans="1:8" ht="30" x14ac:dyDescent="0.25">
      <c r="A1287" s="115">
        <v>6563</v>
      </c>
      <c r="B1287" s="115" t="s">
        <v>128</v>
      </c>
      <c r="C1287" s="115" t="s">
        <v>3171</v>
      </c>
      <c r="D1287" s="115">
        <v>1</v>
      </c>
      <c r="E1287" s="115">
        <v>55200</v>
      </c>
      <c r="F1287" s="115">
        <v>55200</v>
      </c>
      <c r="G1287" s="115">
        <v>55200</v>
      </c>
      <c r="H1287" s="115">
        <v>55200</v>
      </c>
    </row>
    <row r="1288" spans="1:8" ht="30" x14ac:dyDescent="0.25">
      <c r="A1288" s="115">
        <v>6562</v>
      </c>
      <c r="B1288" s="115" t="s">
        <v>128</v>
      </c>
      <c r="C1288" s="115" t="s">
        <v>3172</v>
      </c>
      <c r="D1288" s="115">
        <v>1</v>
      </c>
      <c r="E1288" s="115" t="s">
        <v>903</v>
      </c>
      <c r="F1288" s="115" t="s">
        <v>904</v>
      </c>
      <c r="G1288" s="115" t="s">
        <v>903</v>
      </c>
      <c r="H1288" s="115" t="s">
        <v>905</v>
      </c>
    </row>
    <row r="1289" spans="1:8" ht="30" x14ac:dyDescent="0.25">
      <c r="A1289" s="115">
        <v>6561</v>
      </c>
      <c r="B1289" s="115" t="s">
        <v>128</v>
      </c>
      <c r="C1289" s="115" t="s">
        <v>3173</v>
      </c>
      <c r="D1289" s="115">
        <v>1</v>
      </c>
      <c r="E1289" s="115" t="s">
        <v>3141</v>
      </c>
      <c r="F1289" s="115" t="s">
        <v>3141</v>
      </c>
      <c r="G1289" s="115" t="s">
        <v>3141</v>
      </c>
      <c r="H1289" s="115" t="s">
        <v>3141</v>
      </c>
    </row>
    <row r="1290" spans="1:8" ht="90" x14ac:dyDescent="0.25">
      <c r="A1290" s="115">
        <v>6560</v>
      </c>
      <c r="B1290" s="115" t="s">
        <v>128</v>
      </c>
      <c r="C1290" s="115" t="s">
        <v>3174</v>
      </c>
      <c r="D1290" s="115">
        <v>1</v>
      </c>
      <c r="E1290" s="115" t="s">
        <v>3175</v>
      </c>
      <c r="F1290" s="115" t="s">
        <v>3175</v>
      </c>
      <c r="G1290" s="115" t="s">
        <v>3176</v>
      </c>
      <c r="H1290" s="115" t="s">
        <v>3175</v>
      </c>
    </row>
    <row r="1291" spans="1:8" ht="30" x14ac:dyDescent="0.25">
      <c r="A1291" s="115">
        <v>6559</v>
      </c>
      <c r="B1291" s="115" t="s">
        <v>128</v>
      </c>
      <c r="C1291" s="115" t="s">
        <v>3177</v>
      </c>
      <c r="D1291" s="115">
        <v>1</v>
      </c>
      <c r="E1291" s="115">
        <v>728000</v>
      </c>
      <c r="F1291" s="115">
        <v>728000</v>
      </c>
      <c r="G1291" s="115">
        <v>728000</v>
      </c>
      <c r="H1291" s="115">
        <v>728000</v>
      </c>
    </row>
    <row r="1292" spans="1:8" ht="30" x14ac:dyDescent="0.25">
      <c r="A1292" s="115">
        <v>6558</v>
      </c>
      <c r="B1292" s="115" t="s">
        <v>128</v>
      </c>
      <c r="C1292" s="115" t="s">
        <v>3178</v>
      </c>
      <c r="D1292" s="115">
        <v>1</v>
      </c>
      <c r="E1292" s="115" t="s">
        <v>3179</v>
      </c>
      <c r="F1292" s="115" t="s">
        <v>3179</v>
      </c>
      <c r="G1292" s="115" t="s">
        <v>3180</v>
      </c>
      <c r="H1292" s="115" t="s">
        <v>3181</v>
      </c>
    </row>
    <row r="1293" spans="1:8" ht="30" x14ac:dyDescent="0.25">
      <c r="A1293" s="115">
        <v>6557</v>
      </c>
      <c r="B1293" s="115" t="s">
        <v>128</v>
      </c>
      <c r="C1293" s="115" t="s">
        <v>3182</v>
      </c>
      <c r="D1293" s="115">
        <v>1</v>
      </c>
      <c r="E1293" s="115" t="s">
        <v>3141</v>
      </c>
      <c r="F1293" s="115" t="s">
        <v>3141</v>
      </c>
      <c r="G1293" s="115" t="s">
        <v>3141</v>
      </c>
      <c r="H1293" s="115" t="s">
        <v>3141</v>
      </c>
    </row>
    <row r="1294" spans="1:8" ht="90" x14ac:dyDescent="0.25">
      <c r="A1294" s="115">
        <v>6556</v>
      </c>
      <c r="B1294" s="115" t="s">
        <v>128</v>
      </c>
      <c r="C1294" s="115" t="s">
        <v>3183</v>
      </c>
      <c r="D1294" s="115">
        <v>1</v>
      </c>
      <c r="E1294" s="115" t="s">
        <v>3184</v>
      </c>
      <c r="F1294" s="115" t="s">
        <v>3184</v>
      </c>
      <c r="G1294" s="115" t="s">
        <v>3185</v>
      </c>
      <c r="H1294" s="115" t="s">
        <v>3184</v>
      </c>
    </row>
    <row r="1295" spans="1:8" ht="30" x14ac:dyDescent="0.25">
      <c r="A1295" s="115">
        <v>6555</v>
      </c>
      <c r="B1295" s="115" t="s">
        <v>128</v>
      </c>
      <c r="C1295" s="115" t="s">
        <v>3186</v>
      </c>
      <c r="D1295" s="115">
        <v>1</v>
      </c>
      <c r="E1295" s="115">
        <v>15360</v>
      </c>
      <c r="F1295" s="115">
        <v>15360</v>
      </c>
      <c r="G1295" s="115">
        <v>15360</v>
      </c>
      <c r="H1295" s="115">
        <v>15360</v>
      </c>
    </row>
    <row r="1296" spans="1:8" ht="30" x14ac:dyDescent="0.25">
      <c r="A1296" s="115">
        <v>6554</v>
      </c>
      <c r="B1296" s="115" t="s">
        <v>128</v>
      </c>
      <c r="C1296" s="115" t="s">
        <v>3187</v>
      </c>
      <c r="D1296" s="115">
        <v>1</v>
      </c>
      <c r="E1296" s="115" t="s">
        <v>874</v>
      </c>
      <c r="F1296" s="115" t="s">
        <v>874</v>
      </c>
      <c r="G1296" s="115" t="s">
        <v>3188</v>
      </c>
      <c r="H1296" s="115" t="s">
        <v>875</v>
      </c>
    </row>
    <row r="1297" spans="1:8" ht="30" x14ac:dyDescent="0.25">
      <c r="A1297" s="115">
        <v>6553</v>
      </c>
      <c r="B1297" s="115" t="s">
        <v>128</v>
      </c>
      <c r="C1297" s="115" t="s">
        <v>3189</v>
      </c>
      <c r="D1297" s="115">
        <v>1</v>
      </c>
      <c r="E1297" s="115" t="s">
        <v>3141</v>
      </c>
      <c r="F1297" s="115" t="s">
        <v>3141</v>
      </c>
      <c r="G1297" s="115" t="s">
        <v>3141</v>
      </c>
      <c r="H1297" s="115" t="s">
        <v>3141</v>
      </c>
    </row>
    <row r="1298" spans="1:8" ht="90" x14ac:dyDescent="0.25">
      <c r="A1298" s="115">
        <v>6552</v>
      </c>
      <c r="B1298" s="115" t="s">
        <v>128</v>
      </c>
      <c r="C1298" s="115" t="s">
        <v>3190</v>
      </c>
      <c r="D1298" s="115">
        <v>1</v>
      </c>
      <c r="E1298" s="115" t="s">
        <v>3191</v>
      </c>
      <c r="F1298" s="115" t="s">
        <v>3191</v>
      </c>
      <c r="G1298" s="115" t="s">
        <v>3192</v>
      </c>
      <c r="H1298" s="115" t="s">
        <v>3191</v>
      </c>
    </row>
    <row r="1299" spans="1:8" ht="30" x14ac:dyDescent="0.25">
      <c r="A1299" s="115">
        <v>6551</v>
      </c>
      <c r="B1299" s="115" t="s">
        <v>128</v>
      </c>
      <c r="C1299" s="115" t="s">
        <v>3193</v>
      </c>
      <c r="D1299" s="115">
        <v>1</v>
      </c>
      <c r="E1299" s="115">
        <v>16898</v>
      </c>
      <c r="F1299" s="115">
        <v>16898</v>
      </c>
      <c r="G1299" s="115">
        <v>16898</v>
      </c>
      <c r="H1299" s="115">
        <v>16898</v>
      </c>
    </row>
    <row r="1300" spans="1:8" ht="30" x14ac:dyDescent="0.25">
      <c r="A1300" s="115">
        <v>6550</v>
      </c>
      <c r="B1300" s="115" t="s">
        <v>128</v>
      </c>
      <c r="C1300" s="115" t="s">
        <v>3194</v>
      </c>
      <c r="D1300" s="115">
        <v>1</v>
      </c>
      <c r="E1300" s="115" t="s">
        <v>3195</v>
      </c>
      <c r="F1300" s="115" t="s">
        <v>3196</v>
      </c>
      <c r="G1300" s="115" t="s">
        <v>3195</v>
      </c>
      <c r="H1300" s="115" t="s">
        <v>3197</v>
      </c>
    </row>
    <row r="1301" spans="1:8" ht="30" x14ac:dyDescent="0.25">
      <c r="A1301" s="115">
        <v>6549</v>
      </c>
      <c r="B1301" s="115" t="s">
        <v>128</v>
      </c>
      <c r="C1301" s="115" t="s">
        <v>3198</v>
      </c>
      <c r="D1301" s="115">
        <v>1</v>
      </c>
      <c r="E1301" s="115" t="s">
        <v>3141</v>
      </c>
      <c r="F1301" s="115" t="s">
        <v>3141</v>
      </c>
      <c r="G1301" s="115" t="s">
        <v>3141</v>
      </c>
      <c r="H1301" s="115" t="s">
        <v>3141</v>
      </c>
    </row>
    <row r="1302" spans="1:8" ht="90" x14ac:dyDescent="0.25">
      <c r="A1302" s="115">
        <v>6548</v>
      </c>
      <c r="B1302" s="115" t="s">
        <v>128</v>
      </c>
      <c r="C1302" s="115" t="s">
        <v>3199</v>
      </c>
      <c r="D1302" s="115">
        <v>1</v>
      </c>
      <c r="E1302" s="115" t="s">
        <v>3200</v>
      </c>
      <c r="F1302" s="115" t="s">
        <v>3200</v>
      </c>
      <c r="G1302" s="115" t="s">
        <v>3201</v>
      </c>
      <c r="H1302" s="115" t="s">
        <v>3200</v>
      </c>
    </row>
    <row r="1303" spans="1:8" ht="30" x14ac:dyDescent="0.25">
      <c r="A1303" s="115">
        <v>6547</v>
      </c>
      <c r="B1303" s="115" t="s">
        <v>128</v>
      </c>
      <c r="C1303" s="115" t="s">
        <v>3202</v>
      </c>
      <c r="D1303" s="115">
        <v>1</v>
      </c>
      <c r="E1303" s="115">
        <v>11370</v>
      </c>
      <c r="F1303" s="115">
        <v>11370</v>
      </c>
      <c r="G1303" s="115">
        <v>11370</v>
      </c>
      <c r="H1303" s="115">
        <v>11370</v>
      </c>
    </row>
    <row r="1304" spans="1:8" ht="30" x14ac:dyDescent="0.25">
      <c r="A1304" s="115">
        <v>6546</v>
      </c>
      <c r="B1304" s="115" t="s">
        <v>128</v>
      </c>
      <c r="C1304" s="115" t="s">
        <v>3203</v>
      </c>
      <c r="D1304" s="115">
        <v>1</v>
      </c>
      <c r="E1304" s="115" t="s">
        <v>3204</v>
      </c>
      <c r="F1304" s="115" t="s">
        <v>3204</v>
      </c>
      <c r="G1304" s="115" t="s">
        <v>3205</v>
      </c>
      <c r="H1304" s="115" t="s">
        <v>3206</v>
      </c>
    </row>
    <row r="1305" spans="1:8" ht="30" x14ac:dyDescent="0.25">
      <c r="A1305" s="115">
        <v>6545</v>
      </c>
      <c r="B1305" s="115" t="s">
        <v>128</v>
      </c>
      <c r="C1305" s="115" t="s">
        <v>3207</v>
      </c>
      <c r="D1305" s="115">
        <v>1</v>
      </c>
      <c r="E1305" s="115" t="s">
        <v>3141</v>
      </c>
      <c r="F1305" s="115" t="s">
        <v>3141</v>
      </c>
      <c r="G1305" s="115" t="s">
        <v>3141</v>
      </c>
      <c r="H1305" s="115" t="s">
        <v>3141</v>
      </c>
    </row>
    <row r="1306" spans="1:8" ht="90" x14ac:dyDescent="0.25">
      <c r="A1306" s="115">
        <v>6544</v>
      </c>
      <c r="B1306" s="115" t="s">
        <v>128</v>
      </c>
      <c r="C1306" s="115" t="s">
        <v>3208</v>
      </c>
      <c r="D1306" s="115">
        <v>1</v>
      </c>
      <c r="E1306" s="115" t="s">
        <v>3209</v>
      </c>
      <c r="F1306" s="115" t="s">
        <v>3209</v>
      </c>
      <c r="G1306" s="115" t="s">
        <v>3210</v>
      </c>
      <c r="H1306" s="115" t="s">
        <v>3209</v>
      </c>
    </row>
    <row r="1307" spans="1:8" ht="30" x14ac:dyDescent="0.25">
      <c r="A1307" s="115">
        <v>6543</v>
      </c>
      <c r="B1307" s="115" t="s">
        <v>128</v>
      </c>
      <c r="C1307" s="115" t="s">
        <v>3211</v>
      </c>
      <c r="D1307" s="115">
        <v>1</v>
      </c>
      <c r="E1307" s="115">
        <v>108873</v>
      </c>
      <c r="F1307" s="115">
        <v>108873</v>
      </c>
      <c r="G1307" s="115">
        <v>108873</v>
      </c>
      <c r="H1307" s="115">
        <v>108873</v>
      </c>
    </row>
    <row r="1308" spans="1:8" ht="30" x14ac:dyDescent="0.25">
      <c r="A1308" s="115">
        <v>6542</v>
      </c>
      <c r="B1308" s="115" t="s">
        <v>128</v>
      </c>
      <c r="C1308" s="115" t="s">
        <v>3212</v>
      </c>
      <c r="D1308" s="115">
        <v>1</v>
      </c>
      <c r="E1308" s="115" t="s">
        <v>3213</v>
      </c>
      <c r="F1308" s="115" t="s">
        <v>3213</v>
      </c>
      <c r="G1308" s="115" t="s">
        <v>3214</v>
      </c>
      <c r="H1308" s="115" t="s">
        <v>3215</v>
      </c>
    </row>
    <row r="1309" spans="1:8" ht="30" x14ac:dyDescent="0.25">
      <c r="A1309" s="115">
        <v>6541</v>
      </c>
      <c r="B1309" s="115" t="s">
        <v>128</v>
      </c>
      <c r="C1309" s="115" t="s">
        <v>3216</v>
      </c>
      <c r="D1309" s="115">
        <v>1</v>
      </c>
      <c r="E1309" s="115" t="s">
        <v>3141</v>
      </c>
      <c r="F1309" s="115" t="s">
        <v>3141</v>
      </c>
      <c r="G1309" s="115" t="s">
        <v>3141</v>
      </c>
      <c r="H1309" s="115" t="s">
        <v>3141</v>
      </c>
    </row>
    <row r="1310" spans="1:8" ht="90" x14ac:dyDescent="0.25">
      <c r="A1310" s="115">
        <v>6540</v>
      </c>
      <c r="B1310" s="115" t="s">
        <v>128</v>
      </c>
      <c r="C1310" s="115" t="s">
        <v>3217</v>
      </c>
      <c r="D1310" s="115">
        <v>1</v>
      </c>
      <c r="E1310" s="115" t="s">
        <v>3218</v>
      </c>
      <c r="F1310" s="115" t="s">
        <v>3218</v>
      </c>
      <c r="G1310" s="115" t="s">
        <v>3219</v>
      </c>
      <c r="H1310" s="115" t="s">
        <v>3218</v>
      </c>
    </row>
    <row r="1311" spans="1:8" ht="30" x14ac:dyDescent="0.25">
      <c r="A1311" s="115">
        <v>6539</v>
      </c>
      <c r="B1311" s="115" t="s">
        <v>128</v>
      </c>
      <c r="C1311" s="115" t="s">
        <v>3220</v>
      </c>
      <c r="D1311" s="115">
        <v>1</v>
      </c>
      <c r="E1311" s="115">
        <v>33918</v>
      </c>
      <c r="F1311" s="115">
        <v>33918</v>
      </c>
      <c r="G1311" s="115">
        <v>33918</v>
      </c>
      <c r="H1311" s="115">
        <v>33918</v>
      </c>
    </row>
    <row r="1312" spans="1:8" ht="30" x14ac:dyDescent="0.25">
      <c r="A1312" s="115">
        <v>6538</v>
      </c>
      <c r="B1312" s="115" t="s">
        <v>128</v>
      </c>
      <c r="C1312" s="115" t="s">
        <v>3221</v>
      </c>
      <c r="D1312" s="115">
        <v>1</v>
      </c>
      <c r="E1312" s="115" t="s">
        <v>917</v>
      </c>
      <c r="F1312" s="115" t="s">
        <v>3222</v>
      </c>
      <c r="G1312" s="115" t="s">
        <v>3223</v>
      </c>
      <c r="H1312" s="115" t="s">
        <v>919</v>
      </c>
    </row>
    <row r="1313" spans="1:8" ht="30" x14ac:dyDescent="0.25">
      <c r="A1313" s="115">
        <v>6537</v>
      </c>
      <c r="B1313" s="115" t="s">
        <v>128</v>
      </c>
      <c r="C1313" s="115" t="s">
        <v>3224</v>
      </c>
      <c r="D1313" s="115">
        <v>1</v>
      </c>
      <c r="E1313" s="115" t="s">
        <v>3141</v>
      </c>
      <c r="F1313" s="115" t="s">
        <v>3141</v>
      </c>
      <c r="G1313" s="115" t="s">
        <v>3141</v>
      </c>
      <c r="H1313" s="115" t="s">
        <v>3141</v>
      </c>
    </row>
    <row r="1314" spans="1:8" ht="90" x14ac:dyDescent="0.25">
      <c r="A1314" s="115">
        <v>6536</v>
      </c>
      <c r="B1314" s="115" t="s">
        <v>128</v>
      </c>
      <c r="C1314" s="115" t="s">
        <v>3225</v>
      </c>
      <c r="D1314" s="115">
        <v>1</v>
      </c>
      <c r="E1314" s="115" t="s">
        <v>3226</v>
      </c>
      <c r="F1314" s="115" t="s">
        <v>3226</v>
      </c>
      <c r="G1314" s="115" t="s">
        <v>3227</v>
      </c>
      <c r="H1314" s="115" t="s">
        <v>3226</v>
      </c>
    </row>
    <row r="1315" spans="1:8" ht="30" x14ac:dyDescent="0.25">
      <c r="A1315" s="115">
        <v>6535</v>
      </c>
      <c r="B1315" s="115" t="s">
        <v>128</v>
      </c>
      <c r="C1315" s="115" t="s">
        <v>3228</v>
      </c>
      <c r="D1315" s="115">
        <v>1</v>
      </c>
      <c r="E1315" s="115">
        <v>166442</v>
      </c>
      <c r="F1315" s="115">
        <v>166442</v>
      </c>
      <c r="G1315" s="115">
        <v>166442</v>
      </c>
      <c r="H1315" s="115">
        <v>166442</v>
      </c>
    </row>
    <row r="1316" spans="1:8" ht="30" x14ac:dyDescent="0.25">
      <c r="A1316" s="115">
        <v>6534</v>
      </c>
      <c r="B1316" s="115" t="s">
        <v>128</v>
      </c>
      <c r="C1316" s="115" t="s">
        <v>3229</v>
      </c>
      <c r="D1316" s="115">
        <v>1</v>
      </c>
      <c r="E1316" s="115" t="s">
        <v>3230</v>
      </c>
      <c r="F1316" s="115" t="s">
        <v>3231</v>
      </c>
      <c r="G1316" s="115" t="s">
        <v>3232</v>
      </c>
      <c r="H1316" s="115" t="s">
        <v>3233</v>
      </c>
    </row>
    <row r="1317" spans="1:8" ht="30" x14ac:dyDescent="0.25">
      <c r="A1317" s="115">
        <v>6533</v>
      </c>
      <c r="B1317" s="115" t="s">
        <v>128</v>
      </c>
      <c r="C1317" s="115" t="s">
        <v>3234</v>
      </c>
      <c r="D1317" s="115">
        <v>1</v>
      </c>
      <c r="E1317" s="115" t="s">
        <v>3141</v>
      </c>
      <c r="F1317" s="115" t="s">
        <v>3141</v>
      </c>
      <c r="G1317" s="115" t="s">
        <v>3141</v>
      </c>
      <c r="H1317" s="115" t="s">
        <v>3141</v>
      </c>
    </row>
    <row r="1318" spans="1:8" ht="90" x14ac:dyDescent="0.25">
      <c r="A1318" s="115">
        <v>6532</v>
      </c>
      <c r="B1318" s="115" t="s">
        <v>128</v>
      </c>
      <c r="C1318" s="115" t="s">
        <v>3235</v>
      </c>
      <c r="D1318" s="115">
        <v>1</v>
      </c>
      <c r="E1318" s="115" t="s">
        <v>3236</v>
      </c>
      <c r="F1318" s="115" t="s">
        <v>3236</v>
      </c>
      <c r="G1318" s="115" t="s">
        <v>3237</v>
      </c>
      <c r="H1318" s="115" t="s">
        <v>3236</v>
      </c>
    </row>
    <row r="1319" spans="1:8" ht="30" x14ac:dyDescent="0.25">
      <c r="A1319" s="115">
        <v>6531</v>
      </c>
      <c r="B1319" s="115" t="s">
        <v>128</v>
      </c>
      <c r="C1319" s="115" t="s">
        <v>3238</v>
      </c>
      <c r="D1319" s="115">
        <v>1</v>
      </c>
      <c r="E1319" s="115">
        <v>103904</v>
      </c>
      <c r="F1319" s="115">
        <v>103904</v>
      </c>
      <c r="G1319" s="115">
        <v>103904</v>
      </c>
      <c r="H1319" s="115">
        <v>103904</v>
      </c>
    </row>
    <row r="1320" spans="1:8" ht="30" x14ac:dyDescent="0.25">
      <c r="A1320" s="115">
        <v>6530</v>
      </c>
      <c r="B1320" s="115" t="s">
        <v>128</v>
      </c>
      <c r="C1320" s="115" t="s">
        <v>3239</v>
      </c>
      <c r="D1320" s="115">
        <v>1</v>
      </c>
      <c r="E1320" s="115" t="s">
        <v>3240</v>
      </c>
      <c r="F1320" s="115" t="s">
        <v>3241</v>
      </c>
      <c r="G1320" s="115" t="s">
        <v>3242</v>
      </c>
      <c r="H1320" s="115" t="s">
        <v>3243</v>
      </c>
    </row>
    <row r="1321" spans="1:8" ht="30" x14ac:dyDescent="0.25">
      <c r="A1321" s="115">
        <v>6529</v>
      </c>
      <c r="B1321" s="115" t="s">
        <v>128</v>
      </c>
      <c r="C1321" s="115" t="s">
        <v>3244</v>
      </c>
      <c r="D1321" s="115">
        <v>1</v>
      </c>
      <c r="E1321" s="115" t="s">
        <v>3141</v>
      </c>
      <c r="F1321" s="115" t="s">
        <v>3141</v>
      </c>
      <c r="G1321" s="115" t="s">
        <v>3141</v>
      </c>
      <c r="H1321" s="115" t="s">
        <v>3141</v>
      </c>
    </row>
    <row r="1322" spans="1:8" ht="90" x14ac:dyDescent="0.25">
      <c r="A1322" s="115">
        <v>6528</v>
      </c>
      <c r="B1322" s="115" t="s">
        <v>128</v>
      </c>
      <c r="C1322" s="115" t="s">
        <v>3245</v>
      </c>
      <c r="D1322" s="115">
        <v>1</v>
      </c>
      <c r="E1322" s="115" t="s">
        <v>3246</v>
      </c>
      <c r="F1322" s="115" t="s">
        <v>3246</v>
      </c>
      <c r="G1322" s="115" t="s">
        <v>3247</v>
      </c>
      <c r="H1322" s="115" t="s">
        <v>3246</v>
      </c>
    </row>
    <row r="1323" spans="1:8" ht="30" x14ac:dyDescent="0.25">
      <c r="A1323" s="115">
        <v>6527</v>
      </c>
      <c r="B1323" s="115" t="s">
        <v>128</v>
      </c>
      <c r="C1323" s="115" t="s">
        <v>3248</v>
      </c>
      <c r="D1323" s="115">
        <v>1</v>
      </c>
      <c r="E1323" s="115">
        <v>43187</v>
      </c>
      <c r="F1323" s="115">
        <v>43187</v>
      </c>
      <c r="G1323" s="115">
        <v>43187</v>
      </c>
      <c r="H1323" s="115">
        <v>43187</v>
      </c>
    </row>
    <row r="1324" spans="1:8" ht="30" x14ac:dyDescent="0.25">
      <c r="A1324" s="115">
        <v>6526</v>
      </c>
      <c r="B1324" s="115" t="s">
        <v>128</v>
      </c>
      <c r="C1324" s="115" t="s">
        <v>3249</v>
      </c>
      <c r="D1324" s="115">
        <v>1</v>
      </c>
      <c r="E1324" s="115" t="s">
        <v>897</v>
      </c>
      <c r="F1324" s="115" t="s">
        <v>897</v>
      </c>
      <c r="G1324" s="115" t="s">
        <v>897</v>
      </c>
      <c r="H1324" s="115" t="s">
        <v>898</v>
      </c>
    </row>
    <row r="1325" spans="1:8" ht="30" x14ac:dyDescent="0.25">
      <c r="A1325" s="115">
        <v>6525</v>
      </c>
      <c r="B1325" s="115" t="s">
        <v>128</v>
      </c>
      <c r="C1325" s="115" t="s">
        <v>3250</v>
      </c>
      <c r="D1325" s="115">
        <v>1</v>
      </c>
      <c r="E1325" s="115" t="s">
        <v>3141</v>
      </c>
      <c r="F1325" s="115" t="s">
        <v>3141</v>
      </c>
      <c r="G1325" s="115" t="s">
        <v>3141</v>
      </c>
      <c r="H1325" s="115" t="s">
        <v>3141</v>
      </c>
    </row>
    <row r="1326" spans="1:8" ht="90" x14ac:dyDescent="0.25">
      <c r="A1326" s="115">
        <v>6524</v>
      </c>
      <c r="B1326" s="115" t="s">
        <v>128</v>
      </c>
      <c r="C1326" s="115" t="s">
        <v>3251</v>
      </c>
      <c r="D1326" s="115">
        <v>1</v>
      </c>
      <c r="E1326" s="115" t="s">
        <v>3252</v>
      </c>
      <c r="F1326" s="115" t="s">
        <v>3252</v>
      </c>
      <c r="G1326" s="115" t="s">
        <v>3253</v>
      </c>
      <c r="H1326" s="115" t="s">
        <v>3252</v>
      </c>
    </row>
    <row r="1327" spans="1:8" ht="30" x14ac:dyDescent="0.25">
      <c r="A1327" s="115">
        <v>6523</v>
      </c>
      <c r="B1327" s="115" t="s">
        <v>128</v>
      </c>
      <c r="C1327" s="115" t="s">
        <v>3254</v>
      </c>
      <c r="D1327" s="115">
        <v>1</v>
      </c>
      <c r="E1327" s="115">
        <v>19364</v>
      </c>
      <c r="F1327" s="115">
        <v>19364</v>
      </c>
      <c r="G1327" s="115">
        <v>19364</v>
      </c>
      <c r="H1327" s="115">
        <v>19364</v>
      </c>
    </row>
    <row r="1328" spans="1:8" ht="30" x14ac:dyDescent="0.25">
      <c r="A1328" s="115">
        <v>6522</v>
      </c>
      <c r="B1328" s="115" t="s">
        <v>128</v>
      </c>
      <c r="C1328" s="115" t="s">
        <v>3255</v>
      </c>
      <c r="D1328" s="115">
        <v>1</v>
      </c>
      <c r="E1328" s="115" t="s">
        <v>849</v>
      </c>
      <c r="F1328" s="115" t="s">
        <v>849</v>
      </c>
      <c r="G1328" s="115" t="s">
        <v>3256</v>
      </c>
      <c r="H1328" s="115" t="s">
        <v>850</v>
      </c>
    </row>
    <row r="1329" spans="1:8" ht="30" x14ac:dyDescent="0.25">
      <c r="A1329" s="115">
        <v>6521</v>
      </c>
      <c r="B1329" s="115" t="s">
        <v>128</v>
      </c>
      <c r="C1329" s="115" t="s">
        <v>3257</v>
      </c>
      <c r="D1329" s="115">
        <v>1</v>
      </c>
      <c r="E1329" s="115" t="s">
        <v>3141</v>
      </c>
      <c r="F1329" s="115" t="s">
        <v>3141</v>
      </c>
      <c r="G1329" s="115" t="s">
        <v>3141</v>
      </c>
      <c r="H1329" s="115" t="s">
        <v>3141</v>
      </c>
    </row>
    <row r="1330" spans="1:8" ht="30" x14ac:dyDescent="0.25">
      <c r="A1330" s="115">
        <v>6520</v>
      </c>
      <c r="B1330" s="115" t="s">
        <v>128</v>
      </c>
      <c r="C1330" s="115" t="s">
        <v>3258</v>
      </c>
      <c r="D1330" s="115">
        <v>1</v>
      </c>
      <c r="E1330" s="115" t="s">
        <v>3259</v>
      </c>
      <c r="F1330" s="115" t="s">
        <v>3260</v>
      </c>
      <c r="G1330" s="115" t="s">
        <v>3261</v>
      </c>
      <c r="H1330" s="115" t="s">
        <v>3262</v>
      </c>
    </row>
    <row r="1331" spans="1:8" ht="240" x14ac:dyDescent="0.25">
      <c r="A1331" s="115">
        <v>6519</v>
      </c>
      <c r="B1331" s="115" t="s">
        <v>128</v>
      </c>
      <c r="C1331" s="115" t="s">
        <v>3263</v>
      </c>
      <c r="D1331" s="115">
        <v>1</v>
      </c>
      <c r="E1331" s="115" t="s">
        <v>3264</v>
      </c>
      <c r="F1331" s="115" t="s">
        <v>3265</v>
      </c>
      <c r="G1331" s="115" t="s">
        <v>3266</v>
      </c>
      <c r="H1331" s="115" t="s">
        <v>3267</v>
      </c>
    </row>
    <row r="1332" spans="1:8" ht="30" x14ac:dyDescent="0.25">
      <c r="A1332" s="115">
        <v>6518</v>
      </c>
      <c r="B1332" s="115" t="s">
        <v>128</v>
      </c>
      <c r="C1332" s="115" t="s">
        <v>3268</v>
      </c>
      <c r="D1332" s="115">
        <v>1</v>
      </c>
      <c r="E1332" s="115" t="s">
        <v>3269</v>
      </c>
      <c r="F1332" s="115" t="s">
        <v>3270</v>
      </c>
      <c r="G1332" s="115" t="s">
        <v>3271</v>
      </c>
      <c r="H1332" s="115" t="s">
        <v>3272</v>
      </c>
    </row>
    <row r="1333" spans="1:8" ht="300" x14ac:dyDescent="0.25">
      <c r="A1333" s="115">
        <v>6517</v>
      </c>
      <c r="B1333" s="115" t="s">
        <v>128</v>
      </c>
      <c r="C1333" s="115" t="s">
        <v>3273</v>
      </c>
      <c r="D1333" s="115">
        <v>1</v>
      </c>
      <c r="E1333" s="115" t="s">
        <v>3274</v>
      </c>
      <c r="F1333" s="115" t="s">
        <v>3275</v>
      </c>
      <c r="G1333" s="115" t="s">
        <v>3276</v>
      </c>
      <c r="H1333" s="115" t="s">
        <v>3277</v>
      </c>
    </row>
    <row r="1334" spans="1:8" ht="90" x14ac:dyDescent="0.25">
      <c r="A1334" s="115">
        <v>6516</v>
      </c>
      <c r="B1334" s="115" t="s">
        <v>128</v>
      </c>
      <c r="C1334" s="115" t="s">
        <v>3278</v>
      </c>
      <c r="D1334" s="115">
        <v>1</v>
      </c>
      <c r="E1334" s="115" t="s">
        <v>3279</v>
      </c>
      <c r="F1334" s="115" t="s">
        <v>3280</v>
      </c>
      <c r="G1334" s="115" t="s">
        <v>3281</v>
      </c>
      <c r="H1334" s="115" t="s">
        <v>3282</v>
      </c>
    </row>
    <row r="1335" spans="1:8" ht="30" x14ac:dyDescent="0.25">
      <c r="A1335" s="115">
        <v>6515</v>
      </c>
      <c r="B1335" s="115" t="s">
        <v>128</v>
      </c>
      <c r="C1335" s="115" t="s">
        <v>3283</v>
      </c>
      <c r="D1335" s="115">
        <v>1</v>
      </c>
      <c r="E1335" s="115" t="s">
        <v>764</v>
      </c>
      <c r="F1335" s="115" t="s">
        <v>765</v>
      </c>
      <c r="G1335" s="115" t="s">
        <v>766</v>
      </c>
      <c r="H1335" s="115" t="s">
        <v>764</v>
      </c>
    </row>
    <row r="1336" spans="1:8" ht="30" x14ac:dyDescent="0.25">
      <c r="A1336" s="115">
        <v>6514</v>
      </c>
      <c r="B1336" s="115" t="s">
        <v>128</v>
      </c>
      <c r="C1336" s="115" t="s">
        <v>3284</v>
      </c>
      <c r="D1336" s="115">
        <v>1</v>
      </c>
      <c r="E1336" s="115" t="s">
        <v>3285</v>
      </c>
      <c r="F1336" s="115" t="s">
        <v>3286</v>
      </c>
      <c r="G1336" s="115" t="s">
        <v>3287</v>
      </c>
      <c r="H1336" s="115" t="s">
        <v>3288</v>
      </c>
    </row>
    <row r="1337" spans="1:8" ht="30" x14ac:dyDescent="0.25">
      <c r="A1337" s="115">
        <v>6513</v>
      </c>
      <c r="B1337" s="115" t="s">
        <v>128</v>
      </c>
      <c r="C1337" s="115" t="s">
        <v>3289</v>
      </c>
      <c r="D1337" s="115">
        <v>1</v>
      </c>
      <c r="E1337" s="115" t="s">
        <v>3290</v>
      </c>
      <c r="F1337" s="115" t="s">
        <v>3290</v>
      </c>
      <c r="G1337" s="115" t="s">
        <v>3291</v>
      </c>
      <c r="H1337" s="115" t="s">
        <v>3292</v>
      </c>
    </row>
    <row r="1338" spans="1:8" ht="30" x14ac:dyDescent="0.25">
      <c r="A1338" s="115">
        <v>6512</v>
      </c>
      <c r="B1338" s="115" t="s">
        <v>128</v>
      </c>
      <c r="C1338" s="115" t="s">
        <v>3293</v>
      </c>
      <c r="D1338" s="115">
        <v>1</v>
      </c>
      <c r="E1338" s="115" t="s">
        <v>3294</v>
      </c>
      <c r="F1338" s="115" t="s">
        <v>3295</v>
      </c>
      <c r="G1338" s="115" t="s">
        <v>3296</v>
      </c>
      <c r="H1338" s="115" t="s">
        <v>3297</v>
      </c>
    </row>
    <row r="1339" spans="1:8" ht="30" x14ac:dyDescent="0.25">
      <c r="A1339" s="115">
        <v>6511</v>
      </c>
      <c r="B1339" s="115" t="s">
        <v>128</v>
      </c>
      <c r="C1339" s="115" t="s">
        <v>3298</v>
      </c>
      <c r="D1339" s="115">
        <v>1</v>
      </c>
      <c r="E1339" s="115">
        <v>2014</v>
      </c>
      <c r="F1339" s="115">
        <v>2014</v>
      </c>
      <c r="G1339" s="115">
        <v>2014</v>
      </c>
      <c r="H1339" s="115">
        <v>2014</v>
      </c>
    </row>
    <row r="1340" spans="1:8" ht="30" x14ac:dyDescent="0.25">
      <c r="A1340" s="115">
        <v>6510</v>
      </c>
      <c r="B1340" s="115" t="s">
        <v>128</v>
      </c>
      <c r="C1340" s="115" t="s">
        <v>3299</v>
      </c>
      <c r="D1340" s="115">
        <v>1</v>
      </c>
      <c r="E1340" s="115">
        <v>95</v>
      </c>
      <c r="F1340" s="115">
        <v>95</v>
      </c>
      <c r="G1340" s="115">
        <v>95</v>
      </c>
      <c r="H1340" s="115">
        <v>95</v>
      </c>
    </row>
    <row r="1341" spans="1:8" ht="30" x14ac:dyDescent="0.25">
      <c r="A1341" s="115">
        <v>6509</v>
      </c>
      <c r="B1341" s="115" t="s">
        <v>128</v>
      </c>
      <c r="C1341" s="115" t="s">
        <v>3300</v>
      </c>
      <c r="D1341" s="115">
        <v>1</v>
      </c>
      <c r="E1341" s="115">
        <v>2013</v>
      </c>
      <c r="F1341" s="115">
        <v>2013</v>
      </c>
      <c r="G1341" s="115">
        <v>2013</v>
      </c>
      <c r="H1341" s="115">
        <v>2013</v>
      </c>
    </row>
    <row r="1342" spans="1:8" ht="30" x14ac:dyDescent="0.25">
      <c r="A1342" s="115">
        <v>6508</v>
      </c>
      <c r="B1342" s="115" t="s">
        <v>128</v>
      </c>
      <c r="C1342" s="115" t="s">
        <v>3301</v>
      </c>
      <c r="D1342" s="115">
        <v>1</v>
      </c>
      <c r="E1342" s="115">
        <v>88</v>
      </c>
      <c r="F1342" s="115">
        <v>88</v>
      </c>
      <c r="G1342" s="115">
        <v>88</v>
      </c>
      <c r="H1342" s="115">
        <v>88</v>
      </c>
    </row>
    <row r="1343" spans="1:8" ht="30" x14ac:dyDescent="0.25">
      <c r="A1343" s="115">
        <v>6507</v>
      </c>
      <c r="B1343" s="115" t="s">
        <v>128</v>
      </c>
      <c r="C1343" s="115" t="s">
        <v>3302</v>
      </c>
      <c r="D1343" s="115">
        <v>1</v>
      </c>
      <c r="E1343" s="115">
        <v>2012</v>
      </c>
      <c r="F1343" s="115">
        <v>2012</v>
      </c>
      <c r="G1343" s="115">
        <v>2012</v>
      </c>
      <c r="H1343" s="115">
        <v>2012</v>
      </c>
    </row>
    <row r="1344" spans="1:8" ht="30" x14ac:dyDescent="0.25">
      <c r="A1344" s="115">
        <v>6506</v>
      </c>
      <c r="B1344" s="115" t="s">
        <v>128</v>
      </c>
      <c r="C1344" s="115" t="s">
        <v>3303</v>
      </c>
      <c r="D1344" s="115">
        <v>1</v>
      </c>
      <c r="E1344" s="115">
        <v>52</v>
      </c>
      <c r="F1344" s="115">
        <v>52</v>
      </c>
      <c r="G1344" s="115">
        <v>52</v>
      </c>
      <c r="H1344" s="115">
        <v>52</v>
      </c>
    </row>
    <row r="1345" spans="1:8" ht="30" x14ac:dyDescent="0.25">
      <c r="A1345" s="115">
        <v>6505</v>
      </c>
      <c r="B1345" s="115" t="s">
        <v>128</v>
      </c>
      <c r="C1345" s="115" t="s">
        <v>3304</v>
      </c>
      <c r="D1345" s="115">
        <v>1</v>
      </c>
      <c r="E1345" s="115">
        <v>2011</v>
      </c>
      <c r="F1345" s="115">
        <v>2011</v>
      </c>
      <c r="G1345" s="115">
        <v>2011</v>
      </c>
      <c r="H1345" s="115">
        <v>2011</v>
      </c>
    </row>
    <row r="1346" spans="1:8" ht="30" x14ac:dyDescent="0.25">
      <c r="A1346" s="115">
        <v>6504</v>
      </c>
      <c r="B1346" s="115" t="s">
        <v>128</v>
      </c>
      <c r="C1346" s="115" t="s">
        <v>3305</v>
      </c>
      <c r="D1346" s="115">
        <v>1</v>
      </c>
      <c r="E1346" s="115">
        <v>45</v>
      </c>
      <c r="F1346" s="115">
        <v>45</v>
      </c>
      <c r="G1346" s="115">
        <v>45</v>
      </c>
      <c r="H1346" s="115">
        <v>45</v>
      </c>
    </row>
    <row r="1347" spans="1:8" ht="30" x14ac:dyDescent="0.25">
      <c r="A1347" s="115">
        <v>6503</v>
      </c>
      <c r="B1347" s="115" t="s">
        <v>128</v>
      </c>
      <c r="C1347" s="115" t="s">
        <v>3306</v>
      </c>
      <c r="D1347" s="115">
        <v>1</v>
      </c>
      <c r="E1347" s="115">
        <v>2014</v>
      </c>
      <c r="F1347" s="115">
        <v>2014</v>
      </c>
      <c r="G1347" s="115">
        <v>2014</v>
      </c>
      <c r="H1347" s="115">
        <v>2014</v>
      </c>
    </row>
    <row r="1348" spans="1:8" ht="30" x14ac:dyDescent="0.25">
      <c r="A1348" s="115">
        <v>6502</v>
      </c>
      <c r="B1348" s="115" t="s">
        <v>128</v>
      </c>
      <c r="C1348" s="115" t="s">
        <v>3307</v>
      </c>
      <c r="D1348" s="115">
        <v>1</v>
      </c>
      <c r="E1348" s="115">
        <v>148</v>
      </c>
      <c r="F1348" s="115">
        <v>148</v>
      </c>
      <c r="G1348" s="115">
        <v>148</v>
      </c>
      <c r="H1348" s="115">
        <v>148</v>
      </c>
    </row>
    <row r="1349" spans="1:8" ht="30" x14ac:dyDescent="0.25">
      <c r="A1349" s="115">
        <v>6501</v>
      </c>
      <c r="B1349" s="115" t="s">
        <v>128</v>
      </c>
      <c r="C1349" s="115" t="s">
        <v>3308</v>
      </c>
      <c r="D1349" s="115">
        <v>1</v>
      </c>
      <c r="E1349" s="115">
        <v>2013</v>
      </c>
      <c r="F1349" s="115">
        <v>2013</v>
      </c>
      <c r="G1349" s="115">
        <v>2013</v>
      </c>
      <c r="H1349" s="115">
        <v>2013</v>
      </c>
    </row>
    <row r="1350" spans="1:8" ht="30" x14ac:dyDescent="0.25">
      <c r="A1350" s="115">
        <v>6500</v>
      </c>
      <c r="B1350" s="115" t="s">
        <v>128</v>
      </c>
      <c r="C1350" s="115" t="s">
        <v>3309</v>
      </c>
      <c r="D1350" s="115">
        <v>1</v>
      </c>
      <c r="E1350" s="115">
        <v>116</v>
      </c>
      <c r="F1350" s="115">
        <v>116</v>
      </c>
      <c r="G1350" s="115">
        <v>116</v>
      </c>
      <c r="H1350" s="115">
        <v>116</v>
      </c>
    </row>
    <row r="1351" spans="1:8" ht="30" x14ac:dyDescent="0.25">
      <c r="A1351" s="115">
        <v>6499</v>
      </c>
      <c r="B1351" s="115" t="s">
        <v>128</v>
      </c>
      <c r="C1351" s="115" t="s">
        <v>3310</v>
      </c>
      <c r="D1351" s="115">
        <v>1</v>
      </c>
      <c r="E1351" s="115">
        <v>2012</v>
      </c>
      <c r="F1351" s="115">
        <v>2012</v>
      </c>
      <c r="G1351" s="115">
        <v>2012</v>
      </c>
      <c r="H1351" s="115">
        <v>2012</v>
      </c>
    </row>
    <row r="1352" spans="1:8" ht="30" x14ac:dyDescent="0.25">
      <c r="A1352" s="115">
        <v>6498</v>
      </c>
      <c r="B1352" s="115" t="s">
        <v>128</v>
      </c>
      <c r="C1352" s="115" t="s">
        <v>3311</v>
      </c>
      <c r="D1352" s="115">
        <v>1</v>
      </c>
      <c r="E1352" s="115">
        <v>78</v>
      </c>
      <c r="F1352" s="115">
        <v>78</v>
      </c>
      <c r="G1352" s="115">
        <v>78</v>
      </c>
      <c r="H1352" s="115">
        <v>78</v>
      </c>
    </row>
    <row r="1353" spans="1:8" ht="30" x14ac:dyDescent="0.25">
      <c r="A1353" s="115">
        <v>6497</v>
      </c>
      <c r="B1353" s="115" t="s">
        <v>128</v>
      </c>
      <c r="C1353" s="115" t="s">
        <v>3312</v>
      </c>
      <c r="D1353" s="115">
        <v>1</v>
      </c>
      <c r="E1353" s="115">
        <v>2011</v>
      </c>
      <c r="F1353" s="115">
        <v>2011</v>
      </c>
      <c r="G1353" s="115">
        <v>2011</v>
      </c>
      <c r="H1353" s="115">
        <v>2011</v>
      </c>
    </row>
    <row r="1354" spans="1:8" ht="30" x14ac:dyDescent="0.25">
      <c r="A1354" s="115">
        <v>6496</v>
      </c>
      <c r="B1354" s="115" t="s">
        <v>128</v>
      </c>
      <c r="C1354" s="115" t="s">
        <v>3313</v>
      </c>
      <c r="D1354" s="115">
        <v>1</v>
      </c>
      <c r="E1354" s="115">
        <v>72</v>
      </c>
      <c r="F1354" s="115">
        <v>72</v>
      </c>
      <c r="G1354" s="115">
        <v>72</v>
      </c>
      <c r="H1354" s="115">
        <v>72</v>
      </c>
    </row>
    <row r="1355" spans="1:8" ht="30" x14ac:dyDescent="0.25">
      <c r="A1355" s="115">
        <v>6495</v>
      </c>
      <c r="B1355" s="115" t="s">
        <v>128</v>
      </c>
      <c r="C1355" s="115" t="s">
        <v>3314</v>
      </c>
      <c r="D1355" s="115">
        <v>1</v>
      </c>
      <c r="E1355" s="115" t="s">
        <v>3315</v>
      </c>
      <c r="F1355" s="115" t="s">
        <v>3316</v>
      </c>
      <c r="G1355" s="115" t="s">
        <v>3317</v>
      </c>
      <c r="H1355" s="115" t="s">
        <v>3318</v>
      </c>
    </row>
    <row r="1356" spans="1:8" ht="30" x14ac:dyDescent="0.25">
      <c r="A1356" s="115">
        <v>6494</v>
      </c>
      <c r="B1356" s="115" t="s">
        <v>128</v>
      </c>
      <c r="C1356" s="115" t="s">
        <v>3319</v>
      </c>
      <c r="D1356" s="115">
        <v>1</v>
      </c>
      <c r="E1356" s="115" t="s">
        <v>3320</v>
      </c>
      <c r="F1356" s="115" t="s">
        <v>3321</v>
      </c>
      <c r="G1356" s="115" t="s">
        <v>3322</v>
      </c>
      <c r="H1356" s="115" t="s">
        <v>3323</v>
      </c>
    </row>
    <row r="1357" spans="1:8" ht="30" x14ac:dyDescent="0.25">
      <c r="A1357" s="115">
        <v>6493</v>
      </c>
      <c r="B1357" s="115" t="s">
        <v>128</v>
      </c>
      <c r="C1357" s="115" t="s">
        <v>3324</v>
      </c>
      <c r="D1357" s="115">
        <v>1</v>
      </c>
      <c r="E1357" s="115" t="s">
        <v>1296</v>
      </c>
      <c r="F1357" s="115" t="s">
        <v>3325</v>
      </c>
      <c r="G1357" s="115" t="s">
        <v>1298</v>
      </c>
      <c r="H1357" s="115" t="s">
        <v>1299</v>
      </c>
    </row>
    <row r="1358" spans="1:8" ht="225" x14ac:dyDescent="0.25">
      <c r="A1358" s="115">
        <v>6492</v>
      </c>
      <c r="B1358" s="115" t="s">
        <v>128</v>
      </c>
      <c r="C1358" s="115" t="s">
        <v>3326</v>
      </c>
      <c r="D1358" s="115">
        <v>1</v>
      </c>
      <c r="E1358" s="115" t="s">
        <v>3327</v>
      </c>
      <c r="F1358" s="115" t="s">
        <v>3328</v>
      </c>
      <c r="G1358" s="115" t="s">
        <v>3329</v>
      </c>
      <c r="H1358" s="115" t="s">
        <v>3330</v>
      </c>
    </row>
    <row r="1359" spans="1:8" ht="30" x14ac:dyDescent="0.25">
      <c r="A1359" s="115">
        <v>6491</v>
      </c>
      <c r="B1359" s="115" t="s">
        <v>128</v>
      </c>
      <c r="C1359" s="115" t="s">
        <v>3331</v>
      </c>
      <c r="D1359" s="115">
        <v>1</v>
      </c>
      <c r="E1359" s="115" t="s">
        <v>3332</v>
      </c>
      <c r="F1359" s="115" t="s">
        <v>3333</v>
      </c>
      <c r="G1359" s="115" t="s">
        <v>3334</v>
      </c>
      <c r="H1359" s="115" t="s">
        <v>3335</v>
      </c>
    </row>
    <row r="1360" spans="1:8" ht="75" x14ac:dyDescent="0.25">
      <c r="A1360" s="115">
        <v>6490</v>
      </c>
      <c r="B1360" s="115" t="s">
        <v>128</v>
      </c>
      <c r="C1360" s="115" t="s">
        <v>3336</v>
      </c>
      <c r="D1360" s="115">
        <v>1</v>
      </c>
      <c r="E1360" s="115" t="s">
        <v>3337</v>
      </c>
      <c r="F1360" s="115" t="s">
        <v>3338</v>
      </c>
      <c r="G1360" s="115" t="s">
        <v>3339</v>
      </c>
      <c r="H1360" s="115" t="s">
        <v>3340</v>
      </c>
    </row>
    <row r="1361" spans="1:8" ht="30" x14ac:dyDescent="0.25">
      <c r="A1361" s="115">
        <v>6489</v>
      </c>
      <c r="B1361" s="115" t="s">
        <v>128</v>
      </c>
      <c r="C1361" s="115" t="s">
        <v>3341</v>
      </c>
      <c r="D1361" s="115">
        <v>1</v>
      </c>
      <c r="E1361" s="115" t="s">
        <v>764</v>
      </c>
      <c r="F1361" s="115" t="s">
        <v>765</v>
      </c>
      <c r="G1361" s="115" t="s">
        <v>766</v>
      </c>
      <c r="H1361" s="115" t="s">
        <v>764</v>
      </c>
    </row>
    <row r="1362" spans="1:8" ht="30" x14ac:dyDescent="0.25">
      <c r="A1362" s="115">
        <v>6488</v>
      </c>
      <c r="B1362" s="115" t="s">
        <v>128</v>
      </c>
      <c r="C1362" s="115" t="s">
        <v>3342</v>
      </c>
      <c r="D1362" s="115">
        <v>1</v>
      </c>
      <c r="E1362" s="115" t="s">
        <v>3343</v>
      </c>
      <c r="F1362" s="115" t="s">
        <v>3344</v>
      </c>
      <c r="G1362" s="115" t="s">
        <v>3345</v>
      </c>
      <c r="H1362" s="115" t="s">
        <v>3346</v>
      </c>
    </row>
    <row r="1363" spans="1:8" ht="30" x14ac:dyDescent="0.25">
      <c r="A1363" s="115">
        <v>6487</v>
      </c>
      <c r="B1363" s="115" t="s">
        <v>128</v>
      </c>
      <c r="C1363" s="115" t="s">
        <v>3347</v>
      </c>
      <c r="D1363" s="115">
        <v>1</v>
      </c>
      <c r="E1363" s="115">
        <v>2</v>
      </c>
      <c r="F1363" s="115">
        <v>2</v>
      </c>
      <c r="G1363" s="115">
        <v>2</v>
      </c>
      <c r="H1363" s="115">
        <v>2</v>
      </c>
    </row>
    <row r="1364" spans="1:8" ht="30" x14ac:dyDescent="0.25">
      <c r="A1364" s="115">
        <v>6486</v>
      </c>
      <c r="B1364" s="115" t="s">
        <v>128</v>
      </c>
      <c r="C1364" s="115" t="s">
        <v>3348</v>
      </c>
      <c r="D1364" s="115">
        <v>1</v>
      </c>
      <c r="E1364" s="115" t="s">
        <v>3349</v>
      </c>
      <c r="F1364" s="115" t="s">
        <v>3350</v>
      </c>
      <c r="G1364" s="115" t="s">
        <v>3351</v>
      </c>
      <c r="H1364" s="115" t="s">
        <v>3352</v>
      </c>
    </row>
    <row r="1365" spans="1:8" ht="30" x14ac:dyDescent="0.25">
      <c r="A1365" s="115">
        <v>6485</v>
      </c>
      <c r="B1365" s="115" t="s">
        <v>128</v>
      </c>
      <c r="C1365" s="115" t="s">
        <v>3353</v>
      </c>
      <c r="D1365" s="115">
        <v>1</v>
      </c>
      <c r="E1365" s="115" t="s">
        <v>2110</v>
      </c>
      <c r="F1365" s="115" t="s">
        <v>2110</v>
      </c>
      <c r="G1365" s="115" t="s">
        <v>2110</v>
      </c>
      <c r="H1365" s="115" t="s">
        <v>2110</v>
      </c>
    </row>
    <row r="1366" spans="1:8" ht="30" x14ac:dyDescent="0.25">
      <c r="A1366" s="115">
        <v>6484</v>
      </c>
      <c r="B1366" s="115" t="s">
        <v>128</v>
      </c>
      <c r="C1366" s="115" t="s">
        <v>3354</v>
      </c>
      <c r="D1366" s="115">
        <v>1</v>
      </c>
      <c r="E1366" s="115">
        <v>11</v>
      </c>
      <c r="F1366" s="115">
        <v>11</v>
      </c>
      <c r="G1366" s="115">
        <v>11</v>
      </c>
      <c r="H1366" s="115">
        <v>11</v>
      </c>
    </row>
    <row r="1367" spans="1:8" ht="30" x14ac:dyDescent="0.25">
      <c r="A1367" s="115">
        <v>6483</v>
      </c>
      <c r="B1367" s="115" t="s">
        <v>128</v>
      </c>
      <c r="C1367" s="115" t="s">
        <v>3355</v>
      </c>
      <c r="D1367" s="115">
        <v>1</v>
      </c>
      <c r="E1367" s="115" t="s">
        <v>3356</v>
      </c>
      <c r="F1367" s="115" t="s">
        <v>3357</v>
      </c>
      <c r="G1367" s="115" t="s">
        <v>3358</v>
      </c>
      <c r="H1367" s="115" t="s">
        <v>3359</v>
      </c>
    </row>
    <row r="1368" spans="1:8" ht="30" x14ac:dyDescent="0.25">
      <c r="A1368" s="115">
        <v>6482</v>
      </c>
      <c r="B1368" s="115" t="s">
        <v>128</v>
      </c>
      <c r="C1368" s="115" t="s">
        <v>3360</v>
      </c>
      <c r="D1368" s="115">
        <v>1</v>
      </c>
      <c r="E1368" s="115" t="s">
        <v>2103</v>
      </c>
      <c r="F1368" s="115" t="s">
        <v>2103</v>
      </c>
      <c r="G1368" s="115" t="s">
        <v>2103</v>
      </c>
      <c r="H1368" s="115" t="s">
        <v>2103</v>
      </c>
    </row>
    <row r="1369" spans="1:8" ht="30" x14ac:dyDescent="0.25">
      <c r="A1369" s="115">
        <v>6481</v>
      </c>
      <c r="B1369" s="115" t="s">
        <v>128</v>
      </c>
      <c r="C1369" s="115" t="s">
        <v>3361</v>
      </c>
      <c r="D1369" s="115">
        <v>1</v>
      </c>
      <c r="E1369" s="115">
        <v>2</v>
      </c>
      <c r="F1369" s="115">
        <v>2</v>
      </c>
      <c r="G1369" s="115">
        <v>2</v>
      </c>
      <c r="H1369" s="115">
        <v>2</v>
      </c>
    </row>
    <row r="1370" spans="1:8" ht="30" x14ac:dyDescent="0.25">
      <c r="A1370" s="115">
        <v>6480</v>
      </c>
      <c r="B1370" s="115" t="s">
        <v>128</v>
      </c>
      <c r="C1370" s="115" t="s">
        <v>3362</v>
      </c>
      <c r="D1370" s="115">
        <v>1</v>
      </c>
      <c r="E1370" s="115" t="s">
        <v>3363</v>
      </c>
      <c r="F1370" s="115" t="s">
        <v>3364</v>
      </c>
      <c r="G1370" s="115" t="s">
        <v>3365</v>
      </c>
      <c r="H1370" s="115" t="s">
        <v>3366</v>
      </c>
    </row>
    <row r="1371" spans="1:8" ht="30" x14ac:dyDescent="0.25">
      <c r="A1371" s="115">
        <v>6479</v>
      </c>
      <c r="B1371" s="115" t="s">
        <v>128</v>
      </c>
      <c r="C1371" s="115" t="s">
        <v>3367</v>
      </c>
      <c r="D1371" s="115">
        <v>1</v>
      </c>
      <c r="E1371" s="115" t="s">
        <v>2110</v>
      </c>
      <c r="F1371" s="115" t="s">
        <v>2110</v>
      </c>
      <c r="G1371" s="115" t="s">
        <v>2110</v>
      </c>
      <c r="H1371" s="115" t="s">
        <v>2110</v>
      </c>
    </row>
    <row r="1372" spans="1:8" ht="30" x14ac:dyDescent="0.25">
      <c r="A1372" s="115">
        <v>6478</v>
      </c>
      <c r="B1372" s="115" t="s">
        <v>128</v>
      </c>
      <c r="C1372" s="115" t="s">
        <v>3368</v>
      </c>
      <c r="D1372" s="115">
        <v>1</v>
      </c>
      <c r="E1372" s="115">
        <v>13</v>
      </c>
      <c r="F1372" s="115">
        <v>13</v>
      </c>
      <c r="G1372" s="115">
        <v>13</v>
      </c>
      <c r="H1372" s="115">
        <v>13</v>
      </c>
    </row>
    <row r="1373" spans="1:8" ht="30" x14ac:dyDescent="0.25">
      <c r="A1373" s="115">
        <v>6477</v>
      </c>
      <c r="B1373" s="115" t="s">
        <v>128</v>
      </c>
      <c r="C1373" s="115" t="s">
        <v>3369</v>
      </c>
      <c r="D1373" s="115">
        <v>1</v>
      </c>
      <c r="E1373" s="115" t="s">
        <v>3370</v>
      </c>
      <c r="F1373" s="115" t="s">
        <v>3371</v>
      </c>
      <c r="G1373" s="115" t="s">
        <v>3372</v>
      </c>
      <c r="H1373" s="115" t="s">
        <v>3373</v>
      </c>
    </row>
    <row r="1374" spans="1:8" ht="30" x14ac:dyDescent="0.25">
      <c r="A1374" s="115">
        <v>6476</v>
      </c>
      <c r="B1374" s="115" t="s">
        <v>128</v>
      </c>
      <c r="C1374" s="115" t="s">
        <v>3374</v>
      </c>
      <c r="D1374" s="115">
        <v>1</v>
      </c>
      <c r="E1374" s="115" t="s">
        <v>2419</v>
      </c>
      <c r="F1374" s="115" t="s">
        <v>2419</v>
      </c>
      <c r="G1374" s="115" t="s">
        <v>2419</v>
      </c>
      <c r="H1374" s="115" t="s">
        <v>2419</v>
      </c>
    </row>
    <row r="1375" spans="1:8" ht="30" x14ac:dyDescent="0.25">
      <c r="A1375" s="115">
        <v>6475</v>
      </c>
      <c r="B1375" s="115" t="s">
        <v>128</v>
      </c>
      <c r="C1375" s="115" t="s">
        <v>3375</v>
      </c>
      <c r="D1375" s="115">
        <v>1</v>
      </c>
      <c r="E1375" s="115">
        <v>4</v>
      </c>
      <c r="F1375" s="115">
        <v>4</v>
      </c>
      <c r="G1375" s="115">
        <v>4</v>
      </c>
      <c r="H1375" s="115">
        <v>4</v>
      </c>
    </row>
    <row r="1376" spans="1:8" ht="30" x14ac:dyDescent="0.25">
      <c r="A1376" s="115">
        <v>6474</v>
      </c>
      <c r="B1376" s="115" t="s">
        <v>128</v>
      </c>
      <c r="C1376" s="115" t="s">
        <v>3376</v>
      </c>
      <c r="D1376" s="115">
        <v>1</v>
      </c>
      <c r="E1376" s="115" t="s">
        <v>3377</v>
      </c>
      <c r="F1376" s="115" t="s">
        <v>3378</v>
      </c>
      <c r="G1376" s="115" t="s">
        <v>3379</v>
      </c>
      <c r="H1376" s="115" t="s">
        <v>3380</v>
      </c>
    </row>
    <row r="1377" spans="1:8" ht="30" x14ac:dyDescent="0.25">
      <c r="A1377" s="115">
        <v>6473</v>
      </c>
      <c r="B1377" s="115" t="s">
        <v>128</v>
      </c>
      <c r="C1377" s="115" t="s">
        <v>3381</v>
      </c>
      <c r="D1377" s="115">
        <v>1</v>
      </c>
      <c r="E1377" s="115" t="s">
        <v>2110</v>
      </c>
      <c r="F1377" s="115" t="s">
        <v>2110</v>
      </c>
      <c r="G1377" s="115" t="s">
        <v>2110</v>
      </c>
      <c r="H1377" s="115" t="s">
        <v>2110</v>
      </c>
    </row>
    <row r="1378" spans="1:8" ht="30" x14ac:dyDescent="0.25">
      <c r="A1378" s="115">
        <v>6472</v>
      </c>
      <c r="B1378" s="115" t="s">
        <v>128</v>
      </c>
      <c r="C1378" s="115" t="s">
        <v>3382</v>
      </c>
      <c r="D1378" s="115">
        <v>1</v>
      </c>
      <c r="E1378" s="115">
        <v>4</v>
      </c>
      <c r="F1378" s="115">
        <v>4</v>
      </c>
      <c r="G1378" s="115">
        <v>4</v>
      </c>
      <c r="H1378" s="115">
        <v>4</v>
      </c>
    </row>
    <row r="1379" spans="1:8" ht="30" x14ac:dyDescent="0.25">
      <c r="A1379" s="115">
        <v>6471</v>
      </c>
      <c r="B1379" s="115" t="s">
        <v>128</v>
      </c>
      <c r="C1379" s="115" t="s">
        <v>3383</v>
      </c>
      <c r="D1379" s="115">
        <v>1</v>
      </c>
      <c r="E1379" s="115" t="s">
        <v>3384</v>
      </c>
      <c r="F1379" s="115" t="s">
        <v>3385</v>
      </c>
      <c r="G1379" s="115" t="s">
        <v>3386</v>
      </c>
      <c r="H1379" s="115" t="s">
        <v>3387</v>
      </c>
    </row>
    <row r="1380" spans="1:8" ht="30" x14ac:dyDescent="0.25">
      <c r="A1380" s="115">
        <v>6470</v>
      </c>
      <c r="B1380" s="115" t="s">
        <v>128</v>
      </c>
      <c r="C1380" s="115" t="s">
        <v>3388</v>
      </c>
      <c r="D1380" s="115">
        <v>1</v>
      </c>
      <c r="E1380" s="115" t="s">
        <v>2419</v>
      </c>
      <c r="F1380" s="115" t="s">
        <v>2419</v>
      </c>
      <c r="G1380" s="115" t="s">
        <v>2419</v>
      </c>
      <c r="H1380" s="115" t="s">
        <v>2419</v>
      </c>
    </row>
    <row r="1381" spans="1:8" ht="30" x14ac:dyDescent="0.25">
      <c r="A1381" s="115">
        <v>6469</v>
      </c>
      <c r="B1381" s="115" t="s">
        <v>128</v>
      </c>
      <c r="C1381" s="115" t="s">
        <v>3389</v>
      </c>
      <c r="D1381" s="115">
        <v>1</v>
      </c>
      <c r="E1381" s="115">
        <v>4</v>
      </c>
      <c r="F1381" s="115">
        <v>4</v>
      </c>
      <c r="G1381" s="115">
        <v>4</v>
      </c>
      <c r="H1381" s="115">
        <v>4</v>
      </c>
    </row>
    <row r="1382" spans="1:8" ht="30" x14ac:dyDescent="0.25">
      <c r="A1382" s="115">
        <v>6468</v>
      </c>
      <c r="B1382" s="115" t="s">
        <v>128</v>
      </c>
      <c r="C1382" s="115" t="s">
        <v>3390</v>
      </c>
      <c r="D1382" s="115">
        <v>1</v>
      </c>
      <c r="E1382" s="115" t="s">
        <v>3391</v>
      </c>
      <c r="F1382" s="115" t="s">
        <v>3392</v>
      </c>
      <c r="G1382" s="115" t="s">
        <v>3393</v>
      </c>
      <c r="H1382" s="115" t="s">
        <v>3394</v>
      </c>
    </row>
    <row r="1383" spans="1:8" ht="30" x14ac:dyDescent="0.25">
      <c r="A1383" s="115">
        <v>6467</v>
      </c>
      <c r="B1383" s="115" t="s">
        <v>128</v>
      </c>
      <c r="C1383" s="115" t="s">
        <v>3395</v>
      </c>
      <c r="D1383" s="115">
        <v>1</v>
      </c>
      <c r="E1383" s="115" t="s">
        <v>3396</v>
      </c>
      <c r="F1383" s="115" t="s">
        <v>3396</v>
      </c>
      <c r="G1383" s="115" t="s">
        <v>3396</v>
      </c>
      <c r="H1383" s="115" t="s">
        <v>3396</v>
      </c>
    </row>
    <row r="1384" spans="1:8" ht="30" x14ac:dyDescent="0.25">
      <c r="A1384" s="115">
        <v>6466</v>
      </c>
      <c r="B1384" s="115" t="s">
        <v>128</v>
      </c>
      <c r="C1384" s="115" t="s">
        <v>3397</v>
      </c>
      <c r="D1384" s="115">
        <v>1</v>
      </c>
      <c r="E1384" s="115">
        <v>3</v>
      </c>
      <c r="F1384" s="115">
        <v>3</v>
      </c>
      <c r="G1384" s="115">
        <v>3</v>
      </c>
      <c r="H1384" s="115">
        <v>3</v>
      </c>
    </row>
    <row r="1385" spans="1:8" ht="30" x14ac:dyDescent="0.25">
      <c r="A1385" s="115">
        <v>6465</v>
      </c>
      <c r="B1385" s="115" t="s">
        <v>128</v>
      </c>
      <c r="C1385" s="115" t="s">
        <v>3398</v>
      </c>
      <c r="D1385" s="115">
        <v>1</v>
      </c>
      <c r="E1385" s="115" t="s">
        <v>3399</v>
      </c>
      <c r="F1385" s="115" t="s">
        <v>3400</v>
      </c>
      <c r="G1385" s="115" t="s">
        <v>3401</v>
      </c>
      <c r="H1385" s="115" t="s">
        <v>3402</v>
      </c>
    </row>
    <row r="1386" spans="1:8" ht="30" x14ac:dyDescent="0.25">
      <c r="A1386" s="115">
        <v>6464</v>
      </c>
      <c r="B1386" s="115" t="s">
        <v>128</v>
      </c>
      <c r="C1386" s="115" t="s">
        <v>3403</v>
      </c>
      <c r="D1386" s="115">
        <v>1</v>
      </c>
      <c r="E1386" s="115" t="s">
        <v>2096</v>
      </c>
      <c r="F1386" s="115" t="s">
        <v>2096</v>
      </c>
      <c r="G1386" s="115" t="s">
        <v>2096</v>
      </c>
      <c r="H1386" s="115" t="s">
        <v>2096</v>
      </c>
    </row>
    <row r="1387" spans="1:8" ht="30" x14ac:dyDescent="0.25">
      <c r="A1387" s="115">
        <v>6463</v>
      </c>
      <c r="B1387" s="115" t="s">
        <v>128</v>
      </c>
      <c r="C1387" s="115" t="s">
        <v>3404</v>
      </c>
      <c r="D1387" s="115">
        <v>1</v>
      </c>
      <c r="E1387" s="115">
        <v>28</v>
      </c>
      <c r="F1387" s="115">
        <v>28</v>
      </c>
      <c r="G1387" s="115">
        <v>28</v>
      </c>
      <c r="H1387" s="115">
        <v>28</v>
      </c>
    </row>
    <row r="1388" spans="1:8" ht="30" x14ac:dyDescent="0.25">
      <c r="A1388" s="115">
        <v>6462</v>
      </c>
      <c r="B1388" s="115" t="s">
        <v>128</v>
      </c>
      <c r="C1388" s="115" t="s">
        <v>3405</v>
      </c>
      <c r="D1388" s="115">
        <v>1</v>
      </c>
      <c r="E1388" s="115" t="s">
        <v>3406</v>
      </c>
      <c r="F1388" s="115" t="s">
        <v>3407</v>
      </c>
      <c r="G1388" s="115" t="s">
        <v>3408</v>
      </c>
      <c r="H1388" s="115" t="s">
        <v>3409</v>
      </c>
    </row>
    <row r="1389" spans="1:8" ht="30" x14ac:dyDescent="0.25">
      <c r="A1389" s="115">
        <v>6461</v>
      </c>
      <c r="B1389" s="115" t="s">
        <v>128</v>
      </c>
      <c r="C1389" s="115" t="s">
        <v>3410</v>
      </c>
      <c r="D1389" s="115">
        <v>1</v>
      </c>
      <c r="E1389" s="115" t="s">
        <v>2096</v>
      </c>
      <c r="F1389" s="115" t="s">
        <v>2096</v>
      </c>
      <c r="G1389" s="115" t="s">
        <v>2096</v>
      </c>
      <c r="H1389" s="115" t="s">
        <v>2096</v>
      </c>
    </row>
    <row r="1390" spans="1:8" ht="30" x14ac:dyDescent="0.25">
      <c r="A1390" s="115">
        <v>6460</v>
      </c>
      <c r="B1390" s="115" t="s">
        <v>128</v>
      </c>
      <c r="C1390" s="115" t="s">
        <v>3411</v>
      </c>
      <c r="D1390" s="115">
        <v>1</v>
      </c>
      <c r="E1390" s="115">
        <v>30</v>
      </c>
      <c r="F1390" s="115">
        <v>30</v>
      </c>
      <c r="G1390" s="115">
        <v>30</v>
      </c>
      <c r="H1390" s="115">
        <v>30</v>
      </c>
    </row>
    <row r="1391" spans="1:8" ht="30" x14ac:dyDescent="0.25">
      <c r="A1391" s="115">
        <v>6459</v>
      </c>
      <c r="B1391" s="115" t="s">
        <v>128</v>
      </c>
      <c r="C1391" s="115" t="s">
        <v>3412</v>
      </c>
      <c r="D1391" s="115">
        <v>1</v>
      </c>
      <c r="E1391" s="115" t="s">
        <v>3413</v>
      </c>
      <c r="F1391" s="115" t="s">
        <v>3414</v>
      </c>
      <c r="G1391" s="115" t="s">
        <v>3415</v>
      </c>
      <c r="H1391" s="115" t="s">
        <v>3416</v>
      </c>
    </row>
    <row r="1392" spans="1:8" ht="30" x14ac:dyDescent="0.25">
      <c r="A1392" s="115">
        <v>6458</v>
      </c>
      <c r="B1392" s="115" t="s">
        <v>128</v>
      </c>
      <c r="C1392" s="115" t="s">
        <v>3417</v>
      </c>
      <c r="D1392" s="115">
        <v>1</v>
      </c>
      <c r="E1392" s="115" t="s">
        <v>3418</v>
      </c>
      <c r="F1392" s="115" t="s">
        <v>3418</v>
      </c>
      <c r="G1392" s="115" t="s">
        <v>3418</v>
      </c>
      <c r="H1392" s="115" t="s">
        <v>3418</v>
      </c>
    </row>
    <row r="1393" spans="1:8" ht="30" x14ac:dyDescent="0.25">
      <c r="A1393" s="115">
        <v>6457</v>
      </c>
      <c r="B1393" s="115" t="s">
        <v>128</v>
      </c>
      <c r="C1393" s="115" t="s">
        <v>3419</v>
      </c>
      <c r="D1393" s="115">
        <v>1</v>
      </c>
      <c r="E1393" s="115">
        <v>1</v>
      </c>
      <c r="F1393" s="115">
        <v>1</v>
      </c>
      <c r="G1393" s="115">
        <v>1</v>
      </c>
      <c r="H1393" s="115">
        <v>1</v>
      </c>
    </row>
    <row r="1394" spans="1:8" ht="30" x14ac:dyDescent="0.25">
      <c r="A1394" s="115">
        <v>6456</v>
      </c>
      <c r="B1394" s="115" t="s">
        <v>128</v>
      </c>
      <c r="C1394" s="115" t="s">
        <v>3420</v>
      </c>
      <c r="D1394" s="115">
        <v>1</v>
      </c>
      <c r="E1394" s="115" t="s">
        <v>3421</v>
      </c>
      <c r="F1394" s="115" t="s">
        <v>3422</v>
      </c>
      <c r="G1394" s="115" t="s">
        <v>3423</v>
      </c>
      <c r="H1394" s="115" t="s">
        <v>3424</v>
      </c>
    </row>
    <row r="1395" spans="1:8" ht="30" x14ac:dyDescent="0.25">
      <c r="A1395" s="115">
        <v>6455</v>
      </c>
      <c r="B1395" s="115" t="s">
        <v>128</v>
      </c>
      <c r="C1395" s="115" t="s">
        <v>3425</v>
      </c>
      <c r="D1395" s="115">
        <v>1</v>
      </c>
      <c r="E1395" s="115" t="s">
        <v>2110</v>
      </c>
      <c r="F1395" s="115" t="s">
        <v>2110</v>
      </c>
      <c r="G1395" s="115" t="s">
        <v>2110</v>
      </c>
      <c r="H1395" s="115" t="s">
        <v>2110</v>
      </c>
    </row>
    <row r="1396" spans="1:8" ht="30" x14ac:dyDescent="0.25">
      <c r="A1396" s="115">
        <v>6454</v>
      </c>
      <c r="B1396" s="115" t="s">
        <v>128</v>
      </c>
      <c r="C1396" s="115" t="s">
        <v>3426</v>
      </c>
      <c r="D1396" s="115">
        <v>1</v>
      </c>
      <c r="E1396" s="115" t="s">
        <v>3427</v>
      </c>
      <c r="F1396" s="115" t="s">
        <v>3428</v>
      </c>
      <c r="G1396" s="115" t="s">
        <v>3429</v>
      </c>
      <c r="H1396" s="115" t="s">
        <v>3430</v>
      </c>
    </row>
    <row r="1397" spans="1:8" ht="240" x14ac:dyDescent="0.25">
      <c r="A1397" s="115">
        <v>6453</v>
      </c>
      <c r="B1397" s="115" t="s">
        <v>128</v>
      </c>
      <c r="C1397" s="115" t="s">
        <v>3431</v>
      </c>
      <c r="D1397" s="115">
        <v>1</v>
      </c>
      <c r="E1397" s="115" t="s">
        <v>3432</v>
      </c>
      <c r="F1397" s="115" t="s">
        <v>3433</v>
      </c>
      <c r="G1397" s="115" t="s">
        <v>3434</v>
      </c>
      <c r="H1397" s="115" t="s">
        <v>3435</v>
      </c>
    </row>
    <row r="1398" spans="1:8" ht="30" x14ac:dyDescent="0.25">
      <c r="A1398" s="115">
        <v>6452</v>
      </c>
      <c r="B1398" s="115" t="s">
        <v>128</v>
      </c>
      <c r="C1398" s="115" t="s">
        <v>3436</v>
      </c>
      <c r="D1398" s="115">
        <v>1</v>
      </c>
      <c r="E1398" s="115" t="s">
        <v>3437</v>
      </c>
      <c r="F1398" s="115" t="s">
        <v>3438</v>
      </c>
      <c r="G1398" s="115" t="s">
        <v>3439</v>
      </c>
      <c r="H1398" s="115" t="s">
        <v>3440</v>
      </c>
    </row>
    <row r="1399" spans="1:8" ht="30" x14ac:dyDescent="0.25">
      <c r="A1399" s="115">
        <v>6451</v>
      </c>
      <c r="B1399" s="115" t="s">
        <v>128</v>
      </c>
      <c r="C1399" s="115" t="s">
        <v>3441</v>
      </c>
      <c r="D1399" s="115">
        <v>1</v>
      </c>
      <c r="E1399" s="115" t="s">
        <v>477</v>
      </c>
      <c r="F1399" s="115" t="s">
        <v>477</v>
      </c>
      <c r="G1399" s="115" t="s">
        <v>477</v>
      </c>
      <c r="H1399" s="115" t="s">
        <v>477</v>
      </c>
    </row>
    <row r="1400" spans="1:8" ht="30" x14ac:dyDescent="0.25">
      <c r="A1400" s="115">
        <v>6450</v>
      </c>
      <c r="B1400" s="115" t="s">
        <v>128</v>
      </c>
      <c r="C1400" s="115" t="s">
        <v>3442</v>
      </c>
      <c r="D1400" s="115">
        <v>1</v>
      </c>
      <c r="E1400" s="115" t="s">
        <v>3443</v>
      </c>
      <c r="F1400" s="115" t="s">
        <v>3444</v>
      </c>
      <c r="G1400" s="115" t="s">
        <v>3445</v>
      </c>
      <c r="H1400" s="115" t="s">
        <v>3446</v>
      </c>
    </row>
    <row r="1401" spans="1:8" ht="30" x14ac:dyDescent="0.25">
      <c r="A1401" s="115">
        <v>6449</v>
      </c>
      <c r="B1401" s="115" t="s">
        <v>128</v>
      </c>
      <c r="C1401" s="115" t="s">
        <v>3447</v>
      </c>
      <c r="D1401" s="115">
        <v>1</v>
      </c>
      <c r="E1401" s="115" t="s">
        <v>3448</v>
      </c>
      <c r="F1401" s="115" t="s">
        <v>3449</v>
      </c>
      <c r="G1401" s="115" t="s">
        <v>3450</v>
      </c>
      <c r="H1401" s="115" t="s">
        <v>3451</v>
      </c>
    </row>
    <row r="1402" spans="1:8" ht="30" x14ac:dyDescent="0.25">
      <c r="A1402" s="115">
        <v>6448</v>
      </c>
      <c r="B1402" s="115" t="s">
        <v>128</v>
      </c>
      <c r="C1402" s="115" t="s">
        <v>3452</v>
      </c>
      <c r="D1402" s="115">
        <v>1</v>
      </c>
      <c r="E1402" s="115" t="s">
        <v>3453</v>
      </c>
      <c r="F1402" s="115" t="s">
        <v>3454</v>
      </c>
      <c r="G1402" s="115" t="s">
        <v>3453</v>
      </c>
      <c r="H1402" s="115" t="s">
        <v>3455</v>
      </c>
    </row>
    <row r="1403" spans="1:8" ht="30" x14ac:dyDescent="0.25">
      <c r="A1403" s="115">
        <v>6447</v>
      </c>
      <c r="B1403" s="115" t="s">
        <v>128</v>
      </c>
      <c r="C1403" s="115" t="s">
        <v>3456</v>
      </c>
      <c r="D1403" s="115">
        <v>1</v>
      </c>
      <c r="E1403" s="115" t="s">
        <v>3457</v>
      </c>
      <c r="F1403" s="115" t="s">
        <v>3458</v>
      </c>
      <c r="G1403" s="115" t="s">
        <v>3459</v>
      </c>
      <c r="H1403" s="115" t="s">
        <v>3460</v>
      </c>
    </row>
    <row r="1404" spans="1:8" ht="45" x14ac:dyDescent="0.25">
      <c r="A1404" s="115">
        <v>6446</v>
      </c>
      <c r="B1404" s="115" t="s">
        <v>128</v>
      </c>
      <c r="C1404" s="115" t="s">
        <v>3461</v>
      </c>
      <c r="D1404" s="115">
        <v>1</v>
      </c>
      <c r="E1404" s="115">
        <v>96.5</v>
      </c>
      <c r="F1404" s="115">
        <v>96.5</v>
      </c>
      <c r="G1404" s="115">
        <v>96.5</v>
      </c>
      <c r="H1404" s="115">
        <v>96.5</v>
      </c>
    </row>
    <row r="1405" spans="1:8" ht="45" x14ac:dyDescent="0.25">
      <c r="A1405" s="115">
        <v>6445</v>
      </c>
      <c r="B1405" s="115" t="s">
        <v>128</v>
      </c>
      <c r="C1405" s="115" t="s">
        <v>3462</v>
      </c>
      <c r="D1405" s="115">
        <v>1</v>
      </c>
      <c r="E1405" s="115" t="s">
        <v>874</v>
      </c>
      <c r="F1405" s="115" t="s">
        <v>874</v>
      </c>
      <c r="G1405" s="115" t="s">
        <v>3188</v>
      </c>
      <c r="H1405" s="115" t="s">
        <v>875</v>
      </c>
    </row>
    <row r="1406" spans="1:8" ht="45" x14ac:dyDescent="0.25">
      <c r="A1406" s="115">
        <v>6444</v>
      </c>
      <c r="B1406" s="115" t="s">
        <v>128</v>
      </c>
      <c r="C1406" s="115" t="s">
        <v>3463</v>
      </c>
      <c r="D1406" s="115">
        <v>1</v>
      </c>
      <c r="E1406" s="115">
        <v>95.2</v>
      </c>
      <c r="F1406" s="115">
        <v>95.2</v>
      </c>
      <c r="G1406" s="115">
        <v>95.2</v>
      </c>
      <c r="H1406" s="115">
        <v>95.2</v>
      </c>
    </row>
    <row r="1407" spans="1:8" ht="45" x14ac:dyDescent="0.25">
      <c r="A1407" s="115">
        <v>6443</v>
      </c>
      <c r="B1407" s="115" t="s">
        <v>128</v>
      </c>
      <c r="C1407" s="115" t="s">
        <v>3464</v>
      </c>
      <c r="D1407" s="115">
        <v>1</v>
      </c>
      <c r="E1407" s="115" t="s">
        <v>842</v>
      </c>
      <c r="F1407" s="115" t="s">
        <v>843</v>
      </c>
      <c r="G1407" s="115" t="s">
        <v>3465</v>
      </c>
      <c r="H1407" s="115" t="s">
        <v>844</v>
      </c>
    </row>
    <row r="1408" spans="1:8" ht="45" x14ac:dyDescent="0.25">
      <c r="A1408" s="115">
        <v>6442</v>
      </c>
      <c r="B1408" s="115" t="s">
        <v>128</v>
      </c>
      <c r="C1408" s="115" t="s">
        <v>3466</v>
      </c>
      <c r="D1408" s="115">
        <v>1</v>
      </c>
      <c r="E1408" s="115">
        <v>90.8</v>
      </c>
      <c r="F1408" s="115">
        <v>90.8</v>
      </c>
      <c r="G1408" s="115">
        <v>90.8</v>
      </c>
      <c r="H1408" s="115">
        <v>90.8</v>
      </c>
    </row>
    <row r="1409" spans="1:8" ht="45" x14ac:dyDescent="0.25">
      <c r="A1409" s="115">
        <v>6441</v>
      </c>
      <c r="B1409" s="115" t="s">
        <v>128</v>
      </c>
      <c r="C1409" s="115" t="s">
        <v>3467</v>
      </c>
      <c r="D1409" s="115">
        <v>1</v>
      </c>
      <c r="E1409" s="115" t="s">
        <v>3468</v>
      </c>
      <c r="F1409" s="115" t="s">
        <v>3468</v>
      </c>
      <c r="G1409" s="115" t="s">
        <v>3468</v>
      </c>
      <c r="H1409" s="115" t="s">
        <v>3469</v>
      </c>
    </row>
    <row r="1410" spans="1:8" ht="45" x14ac:dyDescent="0.25">
      <c r="A1410" s="115">
        <v>6440</v>
      </c>
      <c r="B1410" s="115" t="s">
        <v>128</v>
      </c>
      <c r="C1410" s="115" t="s">
        <v>3470</v>
      </c>
      <c r="D1410" s="115">
        <v>1</v>
      </c>
      <c r="E1410" s="115">
        <v>88.5</v>
      </c>
      <c r="F1410" s="115">
        <v>88.5</v>
      </c>
      <c r="G1410" s="115">
        <v>88.5</v>
      </c>
      <c r="H1410" s="115">
        <v>88.5</v>
      </c>
    </row>
    <row r="1411" spans="1:8" ht="45" x14ac:dyDescent="0.25">
      <c r="A1411" s="115">
        <v>6439</v>
      </c>
      <c r="B1411" s="115" t="s">
        <v>128</v>
      </c>
      <c r="C1411" s="115" t="s">
        <v>3471</v>
      </c>
      <c r="D1411" s="115">
        <v>1</v>
      </c>
      <c r="E1411" s="115" t="s">
        <v>931</v>
      </c>
      <c r="F1411" s="115" t="s">
        <v>931</v>
      </c>
      <c r="G1411" s="115" t="s">
        <v>3180</v>
      </c>
      <c r="H1411" s="115" t="s">
        <v>932</v>
      </c>
    </row>
    <row r="1412" spans="1:8" ht="45" x14ac:dyDescent="0.25">
      <c r="A1412" s="115">
        <v>6438</v>
      </c>
      <c r="B1412" s="115" t="s">
        <v>128</v>
      </c>
      <c r="C1412" s="115" t="s">
        <v>3472</v>
      </c>
      <c r="D1412" s="115">
        <v>1</v>
      </c>
      <c r="E1412" s="115">
        <v>88.4</v>
      </c>
      <c r="F1412" s="115">
        <v>88.4</v>
      </c>
      <c r="G1412" s="115">
        <v>88.4</v>
      </c>
      <c r="H1412" s="115">
        <v>88.4</v>
      </c>
    </row>
    <row r="1413" spans="1:8" ht="45" x14ac:dyDescent="0.25">
      <c r="A1413" s="115">
        <v>6437</v>
      </c>
      <c r="B1413" s="115" t="s">
        <v>128</v>
      </c>
      <c r="C1413" s="115" t="s">
        <v>3473</v>
      </c>
      <c r="D1413" s="115">
        <v>1</v>
      </c>
      <c r="E1413" s="115" t="s">
        <v>3474</v>
      </c>
      <c r="F1413" s="115" t="s">
        <v>3475</v>
      </c>
      <c r="G1413" s="115" t="s">
        <v>3476</v>
      </c>
      <c r="H1413" s="115" t="s">
        <v>3477</v>
      </c>
    </row>
    <row r="1414" spans="1:8" ht="45" x14ac:dyDescent="0.25">
      <c r="A1414" s="115">
        <v>6436</v>
      </c>
      <c r="B1414" s="115" t="s">
        <v>128</v>
      </c>
      <c r="C1414" s="115" t="s">
        <v>3478</v>
      </c>
      <c r="D1414" s="115">
        <v>1</v>
      </c>
      <c r="E1414" s="115">
        <v>88</v>
      </c>
      <c r="F1414" s="115">
        <v>88</v>
      </c>
      <c r="G1414" s="115">
        <v>88</v>
      </c>
      <c r="H1414" s="115">
        <v>88</v>
      </c>
    </row>
    <row r="1415" spans="1:8" ht="45" x14ac:dyDescent="0.25">
      <c r="A1415" s="115">
        <v>6435</v>
      </c>
      <c r="B1415" s="115" t="s">
        <v>128</v>
      </c>
      <c r="C1415" s="115" t="s">
        <v>3479</v>
      </c>
      <c r="D1415" s="115">
        <v>1</v>
      </c>
      <c r="E1415" s="115" t="s">
        <v>855</v>
      </c>
      <c r="F1415" s="115" t="s">
        <v>855</v>
      </c>
      <c r="G1415" s="115" t="s">
        <v>3480</v>
      </c>
      <c r="H1415" s="115" t="s">
        <v>856</v>
      </c>
    </row>
    <row r="1416" spans="1:8" ht="45" x14ac:dyDescent="0.25">
      <c r="A1416" s="115">
        <v>6434</v>
      </c>
      <c r="B1416" s="115" t="s">
        <v>128</v>
      </c>
      <c r="C1416" s="115" t="s">
        <v>3481</v>
      </c>
      <c r="D1416" s="115">
        <v>1</v>
      </c>
      <c r="E1416" s="115">
        <v>87.7</v>
      </c>
      <c r="F1416" s="115">
        <v>87.7</v>
      </c>
      <c r="G1416" s="115">
        <v>87.7</v>
      </c>
      <c r="H1416" s="115">
        <v>87.7</v>
      </c>
    </row>
    <row r="1417" spans="1:8" ht="45" x14ac:dyDescent="0.25">
      <c r="A1417" s="115">
        <v>6433</v>
      </c>
      <c r="B1417" s="115" t="s">
        <v>128</v>
      </c>
      <c r="C1417" s="115" t="s">
        <v>3482</v>
      </c>
      <c r="D1417" s="115">
        <v>1</v>
      </c>
      <c r="E1417" s="115" t="s">
        <v>3483</v>
      </c>
      <c r="F1417" s="115" t="s">
        <v>3484</v>
      </c>
      <c r="G1417" s="115" t="s">
        <v>3483</v>
      </c>
      <c r="H1417" s="115" t="s">
        <v>3485</v>
      </c>
    </row>
    <row r="1418" spans="1:8" ht="45" x14ac:dyDescent="0.25">
      <c r="A1418" s="115">
        <v>6432</v>
      </c>
      <c r="B1418" s="115" t="s">
        <v>128</v>
      </c>
      <c r="C1418" s="115" t="s">
        <v>3486</v>
      </c>
      <c r="D1418" s="115">
        <v>1</v>
      </c>
      <c r="E1418" s="115">
        <v>87.7</v>
      </c>
      <c r="F1418" s="115">
        <v>87.7</v>
      </c>
      <c r="G1418" s="115">
        <v>87.7</v>
      </c>
      <c r="H1418" s="115">
        <v>87.7</v>
      </c>
    </row>
    <row r="1419" spans="1:8" ht="45" x14ac:dyDescent="0.25">
      <c r="A1419" s="115">
        <v>6431</v>
      </c>
      <c r="B1419" s="115" t="s">
        <v>128</v>
      </c>
      <c r="C1419" s="115" t="s">
        <v>3487</v>
      </c>
      <c r="D1419" s="115">
        <v>1</v>
      </c>
      <c r="E1419" s="115" t="s">
        <v>829</v>
      </c>
      <c r="F1419" s="115" t="s">
        <v>829</v>
      </c>
      <c r="G1419" s="115" t="s">
        <v>829</v>
      </c>
      <c r="H1419" s="115" t="s">
        <v>830</v>
      </c>
    </row>
    <row r="1420" spans="1:8" ht="45" x14ac:dyDescent="0.25">
      <c r="A1420" s="115">
        <v>6430</v>
      </c>
      <c r="B1420" s="115" t="s">
        <v>128</v>
      </c>
      <c r="C1420" s="115" t="s">
        <v>3488</v>
      </c>
      <c r="D1420" s="115">
        <v>1</v>
      </c>
      <c r="E1420" s="115">
        <v>100</v>
      </c>
      <c r="F1420" s="115">
        <v>100</v>
      </c>
      <c r="G1420" s="115">
        <v>100</v>
      </c>
      <c r="H1420" s="115">
        <v>100</v>
      </c>
    </row>
    <row r="1421" spans="1:8" ht="45" x14ac:dyDescent="0.25">
      <c r="A1421" s="115">
        <v>6429</v>
      </c>
      <c r="B1421" s="115" t="s">
        <v>128</v>
      </c>
      <c r="C1421" s="115" t="s">
        <v>3489</v>
      </c>
      <c r="D1421" s="115">
        <v>1</v>
      </c>
      <c r="E1421" s="115" t="s">
        <v>903</v>
      </c>
      <c r="F1421" s="115" t="s">
        <v>904</v>
      </c>
      <c r="G1421" s="115" t="s">
        <v>903</v>
      </c>
      <c r="H1421" s="115" t="s">
        <v>905</v>
      </c>
    </row>
    <row r="1422" spans="1:8" ht="45" x14ac:dyDescent="0.25">
      <c r="A1422" s="115">
        <v>6428</v>
      </c>
      <c r="B1422" s="115" t="s">
        <v>128</v>
      </c>
      <c r="C1422" s="115" t="s">
        <v>3490</v>
      </c>
      <c r="D1422" s="115">
        <v>1</v>
      </c>
      <c r="E1422" s="115">
        <v>100</v>
      </c>
      <c r="F1422" s="115">
        <v>100</v>
      </c>
      <c r="G1422" s="115">
        <v>100</v>
      </c>
      <c r="H1422" s="115">
        <v>100</v>
      </c>
    </row>
    <row r="1423" spans="1:8" ht="45" x14ac:dyDescent="0.25">
      <c r="A1423" s="115">
        <v>6427</v>
      </c>
      <c r="B1423" s="115" t="s">
        <v>128</v>
      </c>
      <c r="C1423" s="115" t="s">
        <v>3491</v>
      </c>
      <c r="D1423" s="115">
        <v>1</v>
      </c>
      <c r="E1423" s="115" t="s">
        <v>937</v>
      </c>
      <c r="F1423" s="115" t="s">
        <v>938</v>
      </c>
      <c r="G1423" s="115" t="s">
        <v>3492</v>
      </c>
      <c r="H1423" s="115" t="s">
        <v>939</v>
      </c>
    </row>
    <row r="1424" spans="1:8" ht="45" x14ac:dyDescent="0.25">
      <c r="A1424" s="115">
        <v>6426</v>
      </c>
      <c r="B1424" s="115" t="s">
        <v>128</v>
      </c>
      <c r="C1424" s="115" t="s">
        <v>3493</v>
      </c>
      <c r="D1424" s="115">
        <v>1</v>
      </c>
      <c r="E1424" s="115">
        <v>85</v>
      </c>
      <c r="F1424" s="115">
        <v>85</v>
      </c>
      <c r="G1424" s="115">
        <v>85</v>
      </c>
      <c r="H1424" s="115">
        <v>85</v>
      </c>
    </row>
    <row r="1425" spans="1:8" ht="45" x14ac:dyDescent="0.25">
      <c r="A1425" s="115">
        <v>6425</v>
      </c>
      <c r="B1425" s="115" t="s">
        <v>128</v>
      </c>
      <c r="C1425" s="115" t="s">
        <v>3494</v>
      </c>
      <c r="D1425" s="115">
        <v>1</v>
      </c>
      <c r="E1425" s="115" t="s">
        <v>874</v>
      </c>
      <c r="F1425" s="115" t="s">
        <v>874</v>
      </c>
      <c r="G1425" s="115" t="s">
        <v>3188</v>
      </c>
      <c r="H1425" s="115" t="s">
        <v>875</v>
      </c>
    </row>
    <row r="1426" spans="1:8" ht="45" x14ac:dyDescent="0.25">
      <c r="A1426" s="115">
        <v>6424</v>
      </c>
      <c r="B1426" s="115" t="s">
        <v>128</v>
      </c>
      <c r="C1426" s="115" t="s">
        <v>3495</v>
      </c>
      <c r="D1426" s="115">
        <v>1</v>
      </c>
      <c r="E1426" s="115">
        <v>82.6</v>
      </c>
      <c r="F1426" s="115">
        <v>82.6</v>
      </c>
      <c r="G1426" s="115">
        <v>82.6</v>
      </c>
      <c r="H1426" s="115">
        <v>82.6</v>
      </c>
    </row>
    <row r="1427" spans="1:8" ht="45" x14ac:dyDescent="0.25">
      <c r="A1427" s="115">
        <v>6423</v>
      </c>
      <c r="B1427" s="115" t="s">
        <v>128</v>
      </c>
      <c r="C1427" s="115" t="s">
        <v>3496</v>
      </c>
      <c r="D1427" s="115">
        <v>1</v>
      </c>
      <c r="E1427" s="115" t="s">
        <v>861</v>
      </c>
      <c r="F1427" s="115" t="s">
        <v>861</v>
      </c>
      <c r="G1427" s="115" t="s">
        <v>3497</v>
      </c>
      <c r="H1427" s="115" t="s">
        <v>862</v>
      </c>
    </row>
    <row r="1428" spans="1:8" ht="30" x14ac:dyDescent="0.25">
      <c r="A1428" s="115">
        <v>6422</v>
      </c>
      <c r="B1428" s="115" t="s">
        <v>128</v>
      </c>
      <c r="C1428" s="115" t="s">
        <v>3498</v>
      </c>
      <c r="D1428" s="115">
        <v>1</v>
      </c>
      <c r="E1428" s="115" t="s">
        <v>3499</v>
      </c>
      <c r="F1428" s="115" t="s">
        <v>3500</v>
      </c>
      <c r="G1428" s="115" t="s">
        <v>3501</v>
      </c>
      <c r="H1428" s="115" t="s">
        <v>3502</v>
      </c>
    </row>
    <row r="1429" spans="1:8" ht="30" x14ac:dyDescent="0.25">
      <c r="A1429" s="115">
        <v>6421</v>
      </c>
      <c r="B1429" s="115" t="s">
        <v>128</v>
      </c>
      <c r="C1429" s="115" t="s">
        <v>3503</v>
      </c>
      <c r="D1429" s="115">
        <v>1</v>
      </c>
      <c r="E1429" s="115" t="s">
        <v>3453</v>
      </c>
      <c r="F1429" s="115" t="s">
        <v>3454</v>
      </c>
      <c r="G1429" s="115" t="s">
        <v>3504</v>
      </c>
      <c r="H1429" s="115" t="s">
        <v>3455</v>
      </c>
    </row>
    <row r="1430" spans="1:8" ht="30" x14ac:dyDescent="0.25">
      <c r="A1430" s="115">
        <v>6420</v>
      </c>
      <c r="B1430" s="115" t="s">
        <v>128</v>
      </c>
      <c r="C1430" s="115" t="s">
        <v>3505</v>
      </c>
      <c r="D1430" s="115">
        <v>1</v>
      </c>
      <c r="E1430" s="115" t="s">
        <v>3457</v>
      </c>
      <c r="F1430" s="115" t="s">
        <v>3458</v>
      </c>
      <c r="G1430" s="115" t="s">
        <v>3459</v>
      </c>
      <c r="H1430" s="115" t="s">
        <v>3460</v>
      </c>
    </row>
    <row r="1431" spans="1:8" ht="45" x14ac:dyDescent="0.25">
      <c r="A1431" s="115">
        <v>6419</v>
      </c>
      <c r="B1431" s="115" t="s">
        <v>128</v>
      </c>
      <c r="C1431" s="115" t="s">
        <v>3506</v>
      </c>
      <c r="D1431" s="115">
        <v>1</v>
      </c>
      <c r="E1431" s="115">
        <v>26.7</v>
      </c>
      <c r="F1431" s="115">
        <v>26.7</v>
      </c>
      <c r="G1431" s="115">
        <v>26.7</v>
      </c>
      <c r="H1431" s="115">
        <v>26.7</v>
      </c>
    </row>
    <row r="1432" spans="1:8" ht="45" x14ac:dyDescent="0.25">
      <c r="A1432" s="115">
        <v>6418</v>
      </c>
      <c r="B1432" s="115" t="s">
        <v>128</v>
      </c>
      <c r="C1432" s="115" t="s">
        <v>3507</v>
      </c>
      <c r="D1432" s="115">
        <v>1</v>
      </c>
      <c r="E1432" s="115" t="s">
        <v>3508</v>
      </c>
      <c r="F1432" s="115" t="s">
        <v>3509</v>
      </c>
      <c r="G1432" s="115" t="s">
        <v>3508</v>
      </c>
      <c r="H1432" s="115" t="s">
        <v>3510</v>
      </c>
    </row>
    <row r="1433" spans="1:8" ht="45" x14ac:dyDescent="0.25">
      <c r="A1433" s="115">
        <v>6417</v>
      </c>
      <c r="B1433" s="115" t="s">
        <v>128</v>
      </c>
      <c r="C1433" s="115" t="s">
        <v>3511</v>
      </c>
      <c r="D1433" s="115">
        <v>1</v>
      </c>
      <c r="E1433" s="115">
        <v>25.2</v>
      </c>
      <c r="F1433" s="115">
        <v>25.2</v>
      </c>
      <c r="G1433" s="115">
        <v>25.2</v>
      </c>
      <c r="H1433" s="115">
        <v>25.2</v>
      </c>
    </row>
    <row r="1434" spans="1:8" ht="45" x14ac:dyDescent="0.25">
      <c r="A1434" s="115">
        <v>6416</v>
      </c>
      <c r="B1434" s="115" t="s">
        <v>128</v>
      </c>
      <c r="C1434" s="115" t="s">
        <v>3512</v>
      </c>
      <c r="D1434" s="115">
        <v>1</v>
      </c>
      <c r="E1434" s="115" t="s">
        <v>3513</v>
      </c>
      <c r="F1434" s="115" t="s">
        <v>3513</v>
      </c>
      <c r="G1434" s="115" t="s">
        <v>3514</v>
      </c>
      <c r="H1434" s="115" t="s">
        <v>3515</v>
      </c>
    </row>
    <row r="1435" spans="1:8" ht="45" x14ac:dyDescent="0.25">
      <c r="A1435" s="115">
        <v>6415</v>
      </c>
      <c r="B1435" s="115" t="s">
        <v>128</v>
      </c>
      <c r="C1435" s="115" t="s">
        <v>3516</v>
      </c>
      <c r="D1435" s="115">
        <v>1</v>
      </c>
      <c r="E1435" s="115">
        <v>23.6</v>
      </c>
      <c r="F1435" s="115">
        <v>23.6</v>
      </c>
      <c r="G1435" s="115">
        <v>23.6</v>
      </c>
      <c r="H1435" s="115">
        <v>23.6</v>
      </c>
    </row>
    <row r="1436" spans="1:8" ht="45" x14ac:dyDescent="0.25">
      <c r="A1436" s="115">
        <v>6414</v>
      </c>
      <c r="B1436" s="115" t="s">
        <v>128</v>
      </c>
      <c r="C1436" s="115" t="s">
        <v>3517</v>
      </c>
      <c r="D1436" s="115">
        <v>1</v>
      </c>
      <c r="E1436" s="115" t="s">
        <v>910</v>
      </c>
      <c r="F1436" s="115" t="s">
        <v>911</v>
      </c>
      <c r="G1436" s="115" t="s">
        <v>3518</v>
      </c>
      <c r="H1436" s="115" t="s">
        <v>912</v>
      </c>
    </row>
    <row r="1437" spans="1:8" ht="45" x14ac:dyDescent="0.25">
      <c r="A1437" s="115">
        <v>6413</v>
      </c>
      <c r="B1437" s="115" t="s">
        <v>128</v>
      </c>
      <c r="C1437" s="115" t="s">
        <v>3519</v>
      </c>
      <c r="D1437" s="115">
        <v>1</v>
      </c>
      <c r="E1437" s="115">
        <v>18.899999999999999</v>
      </c>
      <c r="F1437" s="115">
        <v>18.899999999999999</v>
      </c>
      <c r="G1437" s="115">
        <v>18.899999999999999</v>
      </c>
      <c r="H1437" s="115">
        <v>18.899999999999999</v>
      </c>
    </row>
    <row r="1438" spans="1:8" ht="45" x14ac:dyDescent="0.25">
      <c r="A1438" s="115">
        <v>6412</v>
      </c>
      <c r="B1438" s="115" t="s">
        <v>128</v>
      </c>
      <c r="C1438" s="115" t="s">
        <v>3520</v>
      </c>
      <c r="D1438" s="115">
        <v>1</v>
      </c>
      <c r="E1438" s="115" t="s">
        <v>3521</v>
      </c>
      <c r="F1438" s="115" t="s">
        <v>3521</v>
      </c>
      <c r="G1438" s="115" t="s">
        <v>3521</v>
      </c>
      <c r="H1438" s="115" t="s">
        <v>3522</v>
      </c>
    </row>
    <row r="1439" spans="1:8" ht="45" x14ac:dyDescent="0.25">
      <c r="A1439" s="115">
        <v>6411</v>
      </c>
      <c r="B1439" s="115" t="s">
        <v>128</v>
      </c>
      <c r="C1439" s="115" t="s">
        <v>3523</v>
      </c>
      <c r="D1439" s="115">
        <v>1</v>
      </c>
      <c r="E1439" s="115">
        <v>17.8</v>
      </c>
      <c r="F1439" s="115">
        <v>17.8</v>
      </c>
      <c r="G1439" s="115">
        <v>17.8</v>
      </c>
      <c r="H1439" s="115">
        <v>17.8</v>
      </c>
    </row>
    <row r="1440" spans="1:8" ht="45" x14ac:dyDescent="0.25">
      <c r="A1440" s="115">
        <v>6410</v>
      </c>
      <c r="B1440" s="115" t="s">
        <v>128</v>
      </c>
      <c r="C1440" s="115" t="s">
        <v>3524</v>
      </c>
      <c r="D1440" s="115">
        <v>1</v>
      </c>
      <c r="E1440" s="115" t="s">
        <v>910</v>
      </c>
      <c r="F1440" s="115" t="s">
        <v>911</v>
      </c>
      <c r="G1440" s="115" t="s">
        <v>3518</v>
      </c>
      <c r="H1440" s="115" t="s">
        <v>912</v>
      </c>
    </row>
    <row r="1441" spans="1:8" ht="45" x14ac:dyDescent="0.25">
      <c r="A1441" s="115">
        <v>6409</v>
      </c>
      <c r="B1441" s="115" t="s">
        <v>128</v>
      </c>
      <c r="C1441" s="115" t="s">
        <v>3525</v>
      </c>
      <c r="D1441" s="115">
        <v>1</v>
      </c>
      <c r="E1441" s="115">
        <v>11.7</v>
      </c>
      <c r="F1441" s="115">
        <v>11.7</v>
      </c>
      <c r="G1441" s="115">
        <v>11.7</v>
      </c>
      <c r="H1441" s="115">
        <v>11.7</v>
      </c>
    </row>
    <row r="1442" spans="1:8" ht="45" x14ac:dyDescent="0.25">
      <c r="A1442" s="115">
        <v>6408</v>
      </c>
      <c r="B1442" s="115" t="s">
        <v>128</v>
      </c>
      <c r="C1442" s="115" t="s">
        <v>3526</v>
      </c>
      <c r="D1442" s="115">
        <v>1</v>
      </c>
      <c r="E1442" s="115" t="s">
        <v>3527</v>
      </c>
      <c r="F1442" s="115" t="s">
        <v>3527</v>
      </c>
      <c r="G1442" s="115" t="s">
        <v>3528</v>
      </c>
      <c r="H1442" s="115" t="s">
        <v>3529</v>
      </c>
    </row>
    <row r="1443" spans="1:8" ht="45" x14ac:dyDescent="0.25">
      <c r="A1443" s="115">
        <v>6407</v>
      </c>
      <c r="B1443" s="115" t="s">
        <v>128</v>
      </c>
      <c r="C1443" s="115" t="s">
        <v>3530</v>
      </c>
      <c r="D1443" s="115">
        <v>1</v>
      </c>
      <c r="E1443" s="115">
        <v>11.1</v>
      </c>
      <c r="F1443" s="115">
        <v>11.1</v>
      </c>
      <c r="G1443" s="115">
        <v>11.1</v>
      </c>
      <c r="H1443" s="115">
        <v>11.1</v>
      </c>
    </row>
    <row r="1444" spans="1:8" ht="45" x14ac:dyDescent="0.25">
      <c r="A1444" s="115">
        <v>6406</v>
      </c>
      <c r="B1444" s="115" t="s">
        <v>128</v>
      </c>
      <c r="C1444" s="115" t="s">
        <v>3531</v>
      </c>
      <c r="D1444" s="115">
        <v>1</v>
      </c>
      <c r="E1444" s="115" t="s">
        <v>917</v>
      </c>
      <c r="F1444" s="115" t="s">
        <v>3222</v>
      </c>
      <c r="G1444" s="115" t="s">
        <v>3223</v>
      </c>
      <c r="H1444" s="115" t="s">
        <v>3532</v>
      </c>
    </row>
    <row r="1445" spans="1:8" ht="45" x14ac:dyDescent="0.25">
      <c r="A1445" s="115">
        <v>6405</v>
      </c>
      <c r="B1445" s="115" t="s">
        <v>128</v>
      </c>
      <c r="C1445" s="115" t="s">
        <v>3533</v>
      </c>
      <c r="D1445" s="115">
        <v>1</v>
      </c>
      <c r="E1445" s="115">
        <v>8.8000000000000007</v>
      </c>
      <c r="F1445" s="115">
        <v>8.8000000000000007</v>
      </c>
      <c r="G1445" s="115">
        <v>8.8000000000000007</v>
      </c>
      <c r="H1445" s="115">
        <v>8.8000000000000007</v>
      </c>
    </row>
    <row r="1446" spans="1:8" ht="45" x14ac:dyDescent="0.25">
      <c r="A1446" s="115">
        <v>6404</v>
      </c>
      <c r="B1446" s="115" t="s">
        <v>128</v>
      </c>
      <c r="C1446" s="115" t="s">
        <v>3534</v>
      </c>
      <c r="D1446" s="115">
        <v>1</v>
      </c>
      <c r="E1446" s="115" t="s">
        <v>3535</v>
      </c>
      <c r="F1446" s="115" t="s">
        <v>3535</v>
      </c>
      <c r="G1446" s="115" t="s">
        <v>3535</v>
      </c>
      <c r="H1446" s="115" t="s">
        <v>3536</v>
      </c>
    </row>
    <row r="1447" spans="1:8" ht="45" x14ac:dyDescent="0.25">
      <c r="A1447" s="115">
        <v>6403</v>
      </c>
      <c r="B1447" s="115" t="s">
        <v>128</v>
      </c>
      <c r="C1447" s="115" t="s">
        <v>3537</v>
      </c>
      <c r="D1447" s="115">
        <v>1</v>
      </c>
      <c r="E1447" s="115">
        <v>28</v>
      </c>
      <c r="F1447" s="115">
        <v>28</v>
      </c>
      <c r="G1447" s="115">
        <v>28</v>
      </c>
      <c r="H1447" s="115">
        <v>28</v>
      </c>
    </row>
    <row r="1448" spans="1:8" ht="45" x14ac:dyDescent="0.25">
      <c r="A1448" s="115">
        <v>6402</v>
      </c>
      <c r="B1448" s="115" t="s">
        <v>128</v>
      </c>
      <c r="C1448" s="115" t="s">
        <v>3538</v>
      </c>
      <c r="D1448" s="115">
        <v>1</v>
      </c>
      <c r="E1448" s="115" t="s">
        <v>3539</v>
      </c>
      <c r="F1448" s="115" t="s">
        <v>3540</v>
      </c>
      <c r="G1448" s="115" t="s">
        <v>3541</v>
      </c>
      <c r="H1448" s="115" t="s">
        <v>3542</v>
      </c>
    </row>
    <row r="1449" spans="1:8" ht="45" x14ac:dyDescent="0.25">
      <c r="A1449" s="115">
        <v>6401</v>
      </c>
      <c r="B1449" s="115" t="s">
        <v>128</v>
      </c>
      <c r="C1449" s="115" t="s">
        <v>3543</v>
      </c>
      <c r="D1449" s="115">
        <v>1</v>
      </c>
      <c r="E1449" s="115">
        <v>27.1</v>
      </c>
      <c r="F1449" s="115">
        <v>27.1</v>
      </c>
      <c r="G1449" s="115">
        <v>27.1</v>
      </c>
      <c r="H1449" s="115">
        <v>27.1</v>
      </c>
    </row>
    <row r="1450" spans="1:8" ht="45" x14ac:dyDescent="0.25">
      <c r="A1450" s="115">
        <v>6400</v>
      </c>
      <c r="B1450" s="115" t="s">
        <v>128</v>
      </c>
      <c r="C1450" s="115" t="s">
        <v>3544</v>
      </c>
      <c r="D1450" s="115">
        <v>1</v>
      </c>
      <c r="E1450" s="115" t="s">
        <v>855</v>
      </c>
      <c r="F1450" s="115" t="s">
        <v>855</v>
      </c>
      <c r="G1450" s="115" t="s">
        <v>3480</v>
      </c>
      <c r="H1450" s="115" t="s">
        <v>856</v>
      </c>
    </row>
    <row r="1451" spans="1:8" ht="45" x14ac:dyDescent="0.25">
      <c r="A1451" s="115">
        <v>6399</v>
      </c>
      <c r="B1451" s="115" t="s">
        <v>128</v>
      </c>
      <c r="C1451" s="115" t="s">
        <v>3545</v>
      </c>
      <c r="D1451" s="115">
        <v>1</v>
      </c>
      <c r="E1451" s="115">
        <v>7.6</v>
      </c>
      <c r="F1451" s="115">
        <v>7.6</v>
      </c>
      <c r="G1451" s="115">
        <v>7.6</v>
      </c>
      <c r="H1451" s="115">
        <v>7.6</v>
      </c>
    </row>
    <row r="1452" spans="1:8" ht="45" x14ac:dyDescent="0.25">
      <c r="A1452" s="115">
        <v>6398</v>
      </c>
      <c r="B1452" s="115" t="s">
        <v>128</v>
      </c>
      <c r="C1452" s="115" t="s">
        <v>3546</v>
      </c>
      <c r="D1452" s="115">
        <v>1</v>
      </c>
      <c r="E1452" s="115" t="s">
        <v>855</v>
      </c>
      <c r="F1452" s="115" t="s">
        <v>855</v>
      </c>
      <c r="G1452" s="115" t="s">
        <v>3480</v>
      </c>
      <c r="H1452" s="115" t="s">
        <v>856</v>
      </c>
    </row>
    <row r="1453" spans="1:8" ht="45" x14ac:dyDescent="0.25">
      <c r="A1453" s="115">
        <v>6397</v>
      </c>
      <c r="B1453" s="115" t="s">
        <v>128</v>
      </c>
      <c r="C1453" s="115" t="s">
        <v>3547</v>
      </c>
      <c r="D1453" s="115">
        <v>1</v>
      </c>
      <c r="E1453" s="115">
        <v>4.8</v>
      </c>
      <c r="F1453" s="115">
        <v>4.8</v>
      </c>
      <c r="G1453" s="115">
        <v>4.8</v>
      </c>
      <c r="H1453" s="115">
        <v>4.8</v>
      </c>
    </row>
    <row r="1454" spans="1:8" ht="45" x14ac:dyDescent="0.25">
      <c r="A1454" s="115">
        <v>6396</v>
      </c>
      <c r="B1454" s="115" t="s">
        <v>128</v>
      </c>
      <c r="C1454" s="115" t="s">
        <v>3548</v>
      </c>
      <c r="D1454" s="115">
        <v>1</v>
      </c>
      <c r="E1454" s="115" t="s">
        <v>855</v>
      </c>
      <c r="F1454" s="115" t="s">
        <v>855</v>
      </c>
      <c r="G1454" s="115" t="s">
        <v>3480</v>
      </c>
      <c r="H1454" s="115" t="s">
        <v>856</v>
      </c>
    </row>
    <row r="1455" spans="1:8" ht="30" x14ac:dyDescent="0.25">
      <c r="A1455" s="115">
        <v>6395</v>
      </c>
      <c r="B1455" s="115" t="s">
        <v>128</v>
      </c>
      <c r="C1455" s="115" t="s">
        <v>3549</v>
      </c>
      <c r="D1455" s="115">
        <v>1</v>
      </c>
      <c r="E1455" s="115" t="s">
        <v>941</v>
      </c>
      <c r="F1455" s="115" t="s">
        <v>3550</v>
      </c>
      <c r="G1455" s="115" t="s">
        <v>943</v>
      </c>
      <c r="H1455" s="115" t="s">
        <v>944</v>
      </c>
    </row>
    <row r="1456" spans="1:8" ht="195" x14ac:dyDescent="0.25">
      <c r="A1456" s="115">
        <v>6394</v>
      </c>
      <c r="B1456" s="115" t="s">
        <v>128</v>
      </c>
      <c r="C1456" s="115" t="s">
        <v>3551</v>
      </c>
      <c r="D1456" s="115">
        <v>1</v>
      </c>
      <c r="E1456" s="115" t="s">
        <v>3552</v>
      </c>
      <c r="F1456" s="115" t="s">
        <v>3553</v>
      </c>
      <c r="G1456" s="115" t="s">
        <v>3554</v>
      </c>
      <c r="H1456" s="115" t="s">
        <v>3555</v>
      </c>
    </row>
    <row r="1457" spans="1:8" ht="240" x14ac:dyDescent="0.25">
      <c r="A1457" s="115">
        <v>6393</v>
      </c>
      <c r="B1457" s="115" t="s">
        <v>128</v>
      </c>
      <c r="C1457" s="115" t="s">
        <v>3556</v>
      </c>
      <c r="D1457" s="115">
        <v>1</v>
      </c>
      <c r="E1457" s="115" t="s">
        <v>3557</v>
      </c>
      <c r="F1457" s="115" t="s">
        <v>3558</v>
      </c>
      <c r="G1457" s="115" t="s">
        <v>3559</v>
      </c>
      <c r="H1457" s="115" t="s">
        <v>3560</v>
      </c>
    </row>
    <row r="1458" spans="1:8" ht="240" x14ac:dyDescent="0.25">
      <c r="A1458" s="115">
        <v>6392</v>
      </c>
      <c r="B1458" s="115" t="s">
        <v>128</v>
      </c>
      <c r="C1458" s="115" t="s">
        <v>3561</v>
      </c>
      <c r="D1458" s="115">
        <v>1</v>
      </c>
      <c r="E1458" s="115" t="s">
        <v>3562</v>
      </c>
      <c r="F1458" s="115" t="s">
        <v>3563</v>
      </c>
      <c r="G1458" s="115" t="s">
        <v>3564</v>
      </c>
      <c r="H1458" s="115" t="s">
        <v>3565</v>
      </c>
    </row>
    <row r="1459" spans="1:8" ht="45" x14ac:dyDescent="0.25">
      <c r="A1459" s="115">
        <v>6391</v>
      </c>
      <c r="B1459" s="115" t="s">
        <v>128</v>
      </c>
      <c r="C1459" s="115" t="s">
        <v>3566</v>
      </c>
      <c r="D1459" s="115">
        <v>1</v>
      </c>
      <c r="E1459" s="115" t="s">
        <v>3567</v>
      </c>
      <c r="F1459" s="115" t="s">
        <v>3568</v>
      </c>
      <c r="G1459" s="115" t="s">
        <v>3569</v>
      </c>
      <c r="H1459" s="115" t="s">
        <v>3570</v>
      </c>
    </row>
    <row r="1460" spans="1:8" ht="30" x14ac:dyDescent="0.25">
      <c r="A1460" s="115">
        <v>6390</v>
      </c>
      <c r="B1460" s="115" t="s">
        <v>128</v>
      </c>
      <c r="C1460" s="115" t="s">
        <v>3571</v>
      </c>
      <c r="D1460" s="115">
        <v>1</v>
      </c>
      <c r="E1460" s="115" t="s">
        <v>3572</v>
      </c>
      <c r="F1460" s="115" t="s">
        <v>3572</v>
      </c>
      <c r="G1460" s="115" t="s">
        <v>3572</v>
      </c>
      <c r="H1460" s="115" t="s">
        <v>3572</v>
      </c>
    </row>
    <row r="1461" spans="1:8" ht="30" x14ac:dyDescent="0.25">
      <c r="A1461" s="115">
        <v>6389</v>
      </c>
      <c r="B1461" s="115" t="s">
        <v>128</v>
      </c>
      <c r="C1461" s="115" t="s">
        <v>3573</v>
      </c>
      <c r="D1461" s="115">
        <v>1</v>
      </c>
      <c r="E1461" s="115" t="s">
        <v>3574</v>
      </c>
      <c r="F1461" s="115" t="s">
        <v>3575</v>
      </c>
      <c r="G1461" s="115" t="s">
        <v>3576</v>
      </c>
      <c r="H1461" s="115" t="s">
        <v>3577</v>
      </c>
    </row>
    <row r="1462" spans="1:8" ht="30" x14ac:dyDescent="0.25">
      <c r="A1462" s="115">
        <v>6388</v>
      </c>
      <c r="B1462" s="115" t="s">
        <v>128</v>
      </c>
      <c r="C1462" s="115" t="s">
        <v>3578</v>
      </c>
      <c r="D1462" s="115">
        <v>1</v>
      </c>
      <c r="E1462" s="115" t="s">
        <v>3579</v>
      </c>
      <c r="F1462" s="115" t="s">
        <v>3580</v>
      </c>
      <c r="G1462" s="115" t="s">
        <v>3581</v>
      </c>
      <c r="H1462" s="115" t="s">
        <v>3582</v>
      </c>
    </row>
    <row r="1463" spans="1:8" ht="30" x14ac:dyDescent="0.25">
      <c r="A1463" s="115">
        <v>6387</v>
      </c>
      <c r="B1463" s="115" t="s">
        <v>128</v>
      </c>
      <c r="C1463" s="115" t="s">
        <v>3583</v>
      </c>
      <c r="D1463" s="115">
        <v>1</v>
      </c>
      <c r="E1463" s="115" t="s">
        <v>3584</v>
      </c>
      <c r="F1463" s="115" t="s">
        <v>3585</v>
      </c>
      <c r="G1463" s="115" t="s">
        <v>3586</v>
      </c>
      <c r="H1463" s="115" t="s">
        <v>3587</v>
      </c>
    </row>
    <row r="1464" spans="1:8" ht="30" x14ac:dyDescent="0.25">
      <c r="A1464" s="115">
        <v>6386</v>
      </c>
      <c r="B1464" s="115" t="s">
        <v>128</v>
      </c>
      <c r="C1464" s="115" t="s">
        <v>3588</v>
      </c>
      <c r="D1464" s="115">
        <v>1</v>
      </c>
      <c r="E1464" s="115" t="s">
        <v>3589</v>
      </c>
      <c r="F1464" s="115" t="s">
        <v>3590</v>
      </c>
      <c r="G1464" s="115" t="s">
        <v>3591</v>
      </c>
      <c r="H1464" s="115" t="s">
        <v>3592</v>
      </c>
    </row>
    <row r="1465" spans="1:8" ht="30" x14ac:dyDescent="0.25">
      <c r="A1465" s="115">
        <v>6385</v>
      </c>
      <c r="B1465" s="115" t="s">
        <v>128</v>
      </c>
      <c r="C1465" s="115" t="s">
        <v>3593</v>
      </c>
      <c r="D1465" s="115">
        <v>1</v>
      </c>
      <c r="E1465" s="115" t="s">
        <v>3594</v>
      </c>
      <c r="F1465" s="115" t="s">
        <v>3595</v>
      </c>
      <c r="G1465" s="115" t="s">
        <v>3596</v>
      </c>
      <c r="H1465" s="115" t="s">
        <v>3597</v>
      </c>
    </row>
    <row r="1466" spans="1:8" ht="30" x14ac:dyDescent="0.25">
      <c r="A1466" s="115">
        <v>6384</v>
      </c>
      <c r="B1466" s="115" t="s">
        <v>128</v>
      </c>
      <c r="C1466" s="115" t="s">
        <v>3598</v>
      </c>
      <c r="D1466" s="115">
        <v>1</v>
      </c>
      <c r="E1466" s="115" t="s">
        <v>3599</v>
      </c>
      <c r="F1466" s="115" t="s">
        <v>3600</v>
      </c>
      <c r="G1466" s="115" t="s">
        <v>3601</v>
      </c>
      <c r="H1466" s="115" t="s">
        <v>3602</v>
      </c>
    </row>
    <row r="1467" spans="1:8" ht="30" x14ac:dyDescent="0.25">
      <c r="A1467" s="115">
        <v>6383</v>
      </c>
      <c r="B1467" s="115" t="s">
        <v>128</v>
      </c>
      <c r="C1467" s="115" t="s">
        <v>3603</v>
      </c>
      <c r="D1467" s="115">
        <v>1</v>
      </c>
      <c r="E1467" s="115" t="s">
        <v>815</v>
      </c>
      <c r="F1467" s="115" t="s">
        <v>815</v>
      </c>
      <c r="G1467" s="115" t="s">
        <v>815</v>
      </c>
      <c r="H1467" s="115" t="s">
        <v>3604</v>
      </c>
    </row>
    <row r="1468" spans="1:8" ht="30" x14ac:dyDescent="0.25">
      <c r="A1468" s="115">
        <v>6382</v>
      </c>
      <c r="B1468" s="115" t="s">
        <v>128</v>
      </c>
      <c r="C1468" s="115" t="s">
        <v>3605</v>
      </c>
      <c r="D1468" s="115">
        <v>1</v>
      </c>
      <c r="E1468" s="115" t="s">
        <v>878</v>
      </c>
      <c r="F1468" s="115" t="s">
        <v>878</v>
      </c>
      <c r="G1468" s="115" t="s">
        <v>878</v>
      </c>
      <c r="H1468" s="115" t="s">
        <v>878</v>
      </c>
    </row>
    <row r="1469" spans="1:8" ht="45" x14ac:dyDescent="0.25">
      <c r="A1469" s="115">
        <v>6381</v>
      </c>
      <c r="B1469" s="115" t="s">
        <v>128</v>
      </c>
      <c r="C1469" s="115" t="s">
        <v>3606</v>
      </c>
      <c r="D1469" s="115">
        <v>1</v>
      </c>
      <c r="E1469" s="115">
        <v>91.1</v>
      </c>
      <c r="F1469" s="115">
        <v>91.1</v>
      </c>
      <c r="G1469" s="115">
        <v>91.1</v>
      </c>
      <c r="H1469" s="115">
        <v>91.1</v>
      </c>
    </row>
    <row r="1470" spans="1:8" ht="45" x14ac:dyDescent="0.25">
      <c r="A1470" s="115">
        <v>6380</v>
      </c>
      <c r="B1470" s="115" t="s">
        <v>128</v>
      </c>
      <c r="C1470" s="115" t="s">
        <v>3607</v>
      </c>
      <c r="D1470" s="115">
        <v>1</v>
      </c>
      <c r="E1470" s="115">
        <v>137</v>
      </c>
      <c r="F1470" s="115">
        <v>137</v>
      </c>
      <c r="G1470" s="115">
        <v>137</v>
      </c>
      <c r="H1470" s="115">
        <v>137</v>
      </c>
    </row>
    <row r="1471" spans="1:8" ht="30" x14ac:dyDescent="0.25">
      <c r="A1471" s="115">
        <v>6379</v>
      </c>
      <c r="B1471" s="115" t="s">
        <v>128</v>
      </c>
      <c r="C1471" s="115" t="s">
        <v>3608</v>
      </c>
      <c r="D1471" s="115">
        <v>1</v>
      </c>
      <c r="E1471" s="115">
        <v>1250.8</v>
      </c>
      <c r="F1471" s="115">
        <v>1250.8</v>
      </c>
      <c r="G1471" s="115">
        <v>1250.8</v>
      </c>
      <c r="H1471" s="115">
        <v>1250.8</v>
      </c>
    </row>
    <row r="1472" spans="1:8" ht="30" x14ac:dyDescent="0.25">
      <c r="A1472" s="115">
        <v>6378</v>
      </c>
      <c r="B1472" s="115" t="s">
        <v>128</v>
      </c>
      <c r="C1472" s="115" t="s">
        <v>3609</v>
      </c>
      <c r="D1472" s="115">
        <v>1</v>
      </c>
      <c r="E1472" s="115">
        <v>2014</v>
      </c>
      <c r="F1472" s="115">
        <v>2014</v>
      </c>
      <c r="G1472" s="115">
        <v>2014</v>
      </c>
      <c r="H1472" s="115">
        <v>2014</v>
      </c>
    </row>
    <row r="1473" spans="1:8" ht="30" x14ac:dyDescent="0.25">
      <c r="A1473" s="115">
        <v>6377</v>
      </c>
      <c r="B1473" s="115" t="s">
        <v>128</v>
      </c>
      <c r="C1473" s="115" t="s">
        <v>3610</v>
      </c>
      <c r="D1473" s="115">
        <v>1</v>
      </c>
      <c r="E1473" s="115" t="s">
        <v>3611</v>
      </c>
      <c r="F1473" s="115" t="s">
        <v>3612</v>
      </c>
      <c r="G1473" s="115" t="s">
        <v>3613</v>
      </c>
      <c r="H1473" s="115" t="s">
        <v>3614</v>
      </c>
    </row>
    <row r="1474" spans="1:8" ht="45" x14ac:dyDescent="0.25">
      <c r="A1474" s="115">
        <v>6376</v>
      </c>
      <c r="B1474" s="115" t="s">
        <v>128</v>
      </c>
      <c r="C1474" s="115" t="s">
        <v>3615</v>
      </c>
      <c r="D1474" s="115">
        <v>1</v>
      </c>
      <c r="E1474" s="115">
        <v>62.5</v>
      </c>
      <c r="F1474" s="115">
        <v>62.5</v>
      </c>
      <c r="G1474" s="115">
        <v>62.5</v>
      </c>
      <c r="H1474" s="115">
        <v>62.5</v>
      </c>
    </row>
    <row r="1475" spans="1:8" ht="45" x14ac:dyDescent="0.25">
      <c r="A1475" s="115">
        <v>6375</v>
      </c>
      <c r="B1475" s="115" t="s">
        <v>128</v>
      </c>
      <c r="C1475" s="115" t="s">
        <v>3616</v>
      </c>
      <c r="D1475" s="115">
        <v>1</v>
      </c>
      <c r="E1475" s="115">
        <v>27</v>
      </c>
      <c r="F1475" s="115">
        <v>27</v>
      </c>
      <c r="G1475" s="115">
        <v>27</v>
      </c>
      <c r="H1475" s="115">
        <v>27</v>
      </c>
    </row>
    <row r="1476" spans="1:8" ht="30" x14ac:dyDescent="0.25">
      <c r="A1476" s="115">
        <v>6374</v>
      </c>
      <c r="B1476" s="115" t="s">
        <v>128</v>
      </c>
      <c r="C1476" s="115" t="s">
        <v>3617</v>
      </c>
      <c r="D1476" s="115">
        <v>1</v>
      </c>
      <c r="E1476" s="115">
        <v>230.8</v>
      </c>
      <c r="F1476" s="115">
        <v>230.8</v>
      </c>
      <c r="G1476" s="115">
        <v>230.8</v>
      </c>
      <c r="H1476" s="115">
        <v>230.8</v>
      </c>
    </row>
    <row r="1477" spans="1:8" ht="30" x14ac:dyDescent="0.25">
      <c r="A1477" s="115">
        <v>6373</v>
      </c>
      <c r="B1477" s="115" t="s">
        <v>128</v>
      </c>
      <c r="C1477" s="115" t="s">
        <v>3618</v>
      </c>
      <c r="D1477" s="115">
        <v>1</v>
      </c>
      <c r="E1477" s="115">
        <v>2013</v>
      </c>
      <c r="F1477" s="115">
        <v>2013</v>
      </c>
      <c r="G1477" s="115">
        <v>2013</v>
      </c>
      <c r="H1477" s="115">
        <v>2013</v>
      </c>
    </row>
    <row r="1478" spans="1:8" ht="30" x14ac:dyDescent="0.25">
      <c r="A1478" s="115">
        <v>6372</v>
      </c>
      <c r="B1478" s="115" t="s">
        <v>128</v>
      </c>
      <c r="C1478" s="115" t="s">
        <v>3619</v>
      </c>
      <c r="D1478" s="115">
        <v>1</v>
      </c>
      <c r="E1478" s="115" t="s">
        <v>3620</v>
      </c>
      <c r="F1478" s="115" t="s">
        <v>3621</v>
      </c>
      <c r="G1478" s="115" t="s">
        <v>3622</v>
      </c>
      <c r="H1478" s="115" t="s">
        <v>3623</v>
      </c>
    </row>
    <row r="1479" spans="1:8" ht="45" x14ac:dyDescent="0.25">
      <c r="A1479" s="115">
        <v>6371</v>
      </c>
      <c r="B1479" s="115" t="s">
        <v>128</v>
      </c>
      <c r="C1479" s="115" t="s">
        <v>3624</v>
      </c>
      <c r="D1479" s="115">
        <v>1</v>
      </c>
      <c r="E1479" s="115">
        <v>1.9</v>
      </c>
      <c r="F1479" s="115">
        <v>1.9</v>
      </c>
      <c r="G1479" s="115">
        <v>1.9</v>
      </c>
      <c r="H1479" s="115">
        <v>1.9</v>
      </c>
    </row>
    <row r="1480" spans="1:8" ht="45" x14ac:dyDescent="0.25">
      <c r="A1480" s="115">
        <v>6370</v>
      </c>
      <c r="B1480" s="115" t="s">
        <v>128</v>
      </c>
      <c r="C1480" s="115" t="s">
        <v>3625</v>
      </c>
      <c r="D1480" s="115">
        <v>1</v>
      </c>
      <c r="E1480" s="115">
        <v>19</v>
      </c>
      <c r="F1480" s="115">
        <v>19</v>
      </c>
      <c r="G1480" s="115">
        <v>19</v>
      </c>
      <c r="H1480" s="115">
        <v>19</v>
      </c>
    </row>
    <row r="1481" spans="1:8" ht="30" x14ac:dyDescent="0.25">
      <c r="A1481" s="115">
        <v>6369</v>
      </c>
      <c r="B1481" s="115" t="s">
        <v>128</v>
      </c>
      <c r="C1481" s="115" t="s">
        <v>3626</v>
      </c>
      <c r="D1481" s="115">
        <v>1</v>
      </c>
      <c r="E1481" s="115">
        <v>129.80000000000001</v>
      </c>
      <c r="F1481" s="115">
        <v>129.80000000000001</v>
      </c>
      <c r="G1481" s="115">
        <v>129.80000000000001</v>
      </c>
      <c r="H1481" s="115">
        <v>129.80000000000001</v>
      </c>
    </row>
    <row r="1482" spans="1:8" ht="30" x14ac:dyDescent="0.25">
      <c r="A1482" s="115">
        <v>6368</v>
      </c>
      <c r="B1482" s="115" t="s">
        <v>128</v>
      </c>
      <c r="C1482" s="115" t="s">
        <v>3627</v>
      </c>
      <c r="D1482" s="115">
        <v>1</v>
      </c>
      <c r="E1482" s="115">
        <v>2012</v>
      </c>
      <c r="F1482" s="115">
        <v>2012</v>
      </c>
      <c r="G1482" s="115">
        <v>2012</v>
      </c>
      <c r="H1482" s="115">
        <v>2012</v>
      </c>
    </row>
    <row r="1483" spans="1:8" ht="30" x14ac:dyDescent="0.25">
      <c r="A1483" s="115">
        <v>6367</v>
      </c>
      <c r="B1483" s="115" t="s">
        <v>128</v>
      </c>
      <c r="C1483" s="115" t="s">
        <v>3628</v>
      </c>
      <c r="D1483" s="115">
        <v>1</v>
      </c>
      <c r="E1483" s="115" t="s">
        <v>3629</v>
      </c>
      <c r="F1483" s="115" t="s">
        <v>3630</v>
      </c>
      <c r="G1483" s="115" t="s">
        <v>3631</v>
      </c>
      <c r="H1483" s="115" t="s">
        <v>3117</v>
      </c>
    </row>
    <row r="1484" spans="1:8" ht="45" x14ac:dyDescent="0.25">
      <c r="A1484" s="115">
        <v>6366</v>
      </c>
      <c r="B1484" s="115" t="s">
        <v>128</v>
      </c>
      <c r="C1484" s="115" t="s">
        <v>3632</v>
      </c>
      <c r="D1484" s="115">
        <v>1</v>
      </c>
      <c r="E1484" s="115">
        <v>12.4</v>
      </c>
      <c r="F1484" s="115">
        <v>12.4</v>
      </c>
      <c r="G1484" s="115">
        <v>12.4</v>
      </c>
      <c r="H1484" s="115">
        <v>12.4</v>
      </c>
    </row>
    <row r="1485" spans="1:8" ht="45" x14ac:dyDescent="0.25">
      <c r="A1485" s="115">
        <v>6365</v>
      </c>
      <c r="B1485" s="115" t="s">
        <v>128</v>
      </c>
      <c r="C1485" s="115" t="s">
        <v>3633</v>
      </c>
      <c r="D1485" s="115">
        <v>1</v>
      </c>
      <c r="E1485" s="115">
        <v>36</v>
      </c>
      <c r="F1485" s="115">
        <v>36</v>
      </c>
      <c r="G1485" s="115">
        <v>36</v>
      </c>
      <c r="H1485" s="115">
        <v>36</v>
      </c>
    </row>
    <row r="1486" spans="1:8" ht="30" x14ac:dyDescent="0.25">
      <c r="A1486" s="115">
        <v>6364</v>
      </c>
      <c r="B1486" s="115" t="s">
        <v>128</v>
      </c>
      <c r="C1486" s="115" t="s">
        <v>3634</v>
      </c>
      <c r="D1486" s="115">
        <v>1</v>
      </c>
      <c r="E1486" s="115">
        <v>281.7</v>
      </c>
      <c r="F1486" s="115">
        <v>281.7</v>
      </c>
      <c r="G1486" s="115">
        <v>281.7</v>
      </c>
      <c r="H1486" s="115">
        <v>281.7</v>
      </c>
    </row>
    <row r="1487" spans="1:8" ht="30" x14ac:dyDescent="0.25">
      <c r="A1487" s="115">
        <v>6363</v>
      </c>
      <c r="B1487" s="115" t="s">
        <v>128</v>
      </c>
      <c r="C1487" s="115" t="s">
        <v>3635</v>
      </c>
      <c r="D1487" s="115">
        <v>1</v>
      </c>
      <c r="E1487" s="115">
        <v>2011</v>
      </c>
      <c r="F1487" s="115">
        <v>2011</v>
      </c>
      <c r="G1487" s="115">
        <v>2011</v>
      </c>
      <c r="H1487" s="115">
        <v>2011</v>
      </c>
    </row>
    <row r="1488" spans="1:8" ht="45" x14ac:dyDescent="0.25">
      <c r="A1488" s="115">
        <v>6362</v>
      </c>
      <c r="B1488" s="115" t="s">
        <v>128</v>
      </c>
      <c r="C1488" s="115" t="s">
        <v>3636</v>
      </c>
      <c r="D1488" s="115">
        <v>1</v>
      </c>
      <c r="E1488" s="115" t="s">
        <v>3637</v>
      </c>
      <c r="F1488" s="115" t="s">
        <v>3638</v>
      </c>
      <c r="G1488" s="115" t="s">
        <v>3639</v>
      </c>
      <c r="H1488" s="115" t="s">
        <v>3640</v>
      </c>
    </row>
    <row r="1489" spans="1:8" ht="45" x14ac:dyDescent="0.25">
      <c r="A1489" s="115">
        <v>6361</v>
      </c>
      <c r="B1489" s="115" t="s">
        <v>128</v>
      </c>
      <c r="C1489" s="115" t="s">
        <v>3641</v>
      </c>
      <c r="D1489" s="115">
        <v>1</v>
      </c>
      <c r="E1489" s="115">
        <v>3.3</v>
      </c>
      <c r="F1489" s="115">
        <v>3.3</v>
      </c>
      <c r="G1489" s="115">
        <v>3.3</v>
      </c>
      <c r="H1489" s="115">
        <v>3.3</v>
      </c>
    </row>
    <row r="1490" spans="1:8" ht="45" x14ac:dyDescent="0.25">
      <c r="A1490" s="115">
        <v>6360</v>
      </c>
      <c r="B1490" s="115" t="s">
        <v>128</v>
      </c>
      <c r="C1490" s="115" t="s">
        <v>3642</v>
      </c>
      <c r="D1490" s="115">
        <v>1</v>
      </c>
      <c r="E1490" s="115">
        <v>25</v>
      </c>
      <c r="F1490" s="115">
        <v>25</v>
      </c>
      <c r="G1490" s="115">
        <v>25</v>
      </c>
      <c r="H1490" s="115">
        <v>25</v>
      </c>
    </row>
    <row r="1491" spans="1:8" ht="30" x14ac:dyDescent="0.25">
      <c r="A1491" s="115">
        <v>6359</v>
      </c>
      <c r="B1491" s="115" t="s">
        <v>128</v>
      </c>
      <c r="C1491" s="115" t="s">
        <v>3643</v>
      </c>
      <c r="D1491" s="115">
        <v>1</v>
      </c>
      <c r="E1491" s="115">
        <v>149.1</v>
      </c>
      <c r="F1491" s="115">
        <v>149.1</v>
      </c>
      <c r="G1491" s="115">
        <v>149.1</v>
      </c>
      <c r="H1491" s="115">
        <v>149.1</v>
      </c>
    </row>
    <row r="1492" spans="1:8" ht="30" x14ac:dyDescent="0.25">
      <c r="A1492" s="115">
        <v>6358</v>
      </c>
      <c r="B1492" s="115" t="s">
        <v>128</v>
      </c>
      <c r="C1492" s="115" t="s">
        <v>3644</v>
      </c>
      <c r="D1492" s="115">
        <v>1</v>
      </c>
      <c r="E1492" s="115">
        <v>2010</v>
      </c>
      <c r="F1492" s="115">
        <v>2010</v>
      </c>
      <c r="G1492" s="115">
        <v>2010</v>
      </c>
      <c r="H1492" s="115">
        <v>2010</v>
      </c>
    </row>
    <row r="1493" spans="1:8" ht="30" x14ac:dyDescent="0.25">
      <c r="A1493" s="115">
        <v>6357</v>
      </c>
      <c r="B1493" s="115" t="s">
        <v>128</v>
      </c>
      <c r="C1493" s="115" t="s">
        <v>3645</v>
      </c>
      <c r="D1493" s="115">
        <v>1</v>
      </c>
      <c r="E1493" s="115" t="s">
        <v>3646</v>
      </c>
      <c r="F1493" s="115" t="s">
        <v>3647</v>
      </c>
      <c r="G1493" s="115" t="s">
        <v>3648</v>
      </c>
      <c r="H1493" s="115" t="s">
        <v>3649</v>
      </c>
    </row>
    <row r="1494" spans="1:8" ht="45" x14ac:dyDescent="0.25">
      <c r="A1494" s="115">
        <v>6356</v>
      </c>
      <c r="B1494" s="115" t="s">
        <v>128</v>
      </c>
      <c r="C1494" s="115" t="s">
        <v>3650</v>
      </c>
      <c r="D1494" s="115">
        <v>1</v>
      </c>
      <c r="E1494" s="115">
        <v>10.9</v>
      </c>
      <c r="F1494" s="115">
        <v>10.9</v>
      </c>
      <c r="G1494" s="115">
        <v>10.9</v>
      </c>
      <c r="H1494" s="115">
        <v>10.9</v>
      </c>
    </row>
    <row r="1495" spans="1:8" ht="45" x14ac:dyDescent="0.25">
      <c r="A1495" s="115">
        <v>6355</v>
      </c>
      <c r="B1495" s="115" t="s">
        <v>128</v>
      </c>
      <c r="C1495" s="115" t="s">
        <v>3651</v>
      </c>
      <c r="D1495" s="115">
        <v>1</v>
      </c>
      <c r="E1495" s="115">
        <v>30</v>
      </c>
      <c r="F1495" s="115">
        <v>30</v>
      </c>
      <c r="G1495" s="115">
        <v>30</v>
      </c>
      <c r="H1495" s="115">
        <v>30</v>
      </c>
    </row>
    <row r="1496" spans="1:8" ht="30" x14ac:dyDescent="0.25">
      <c r="A1496" s="115">
        <v>6354</v>
      </c>
      <c r="B1496" s="115" t="s">
        <v>128</v>
      </c>
      <c r="C1496" s="115" t="s">
        <v>3652</v>
      </c>
      <c r="D1496" s="115">
        <v>1</v>
      </c>
      <c r="E1496" s="115">
        <v>459.4</v>
      </c>
      <c r="F1496" s="115">
        <v>459.4</v>
      </c>
      <c r="G1496" s="115">
        <v>459.4</v>
      </c>
      <c r="H1496" s="115">
        <v>459.4</v>
      </c>
    </row>
    <row r="1497" spans="1:8" ht="30" x14ac:dyDescent="0.25">
      <c r="A1497" s="115">
        <v>6353</v>
      </c>
      <c r="B1497" s="115" t="s">
        <v>128</v>
      </c>
      <c r="C1497" s="115" t="s">
        <v>3653</v>
      </c>
      <c r="D1497" s="115">
        <v>1</v>
      </c>
      <c r="E1497" s="115" t="s">
        <v>941</v>
      </c>
      <c r="F1497" s="115" t="s">
        <v>3654</v>
      </c>
      <c r="G1497" s="115" t="s">
        <v>943</v>
      </c>
      <c r="H1497" s="115" t="s">
        <v>944</v>
      </c>
    </row>
    <row r="1498" spans="1:8" ht="285" x14ac:dyDescent="0.25">
      <c r="A1498" s="115">
        <v>6352</v>
      </c>
      <c r="B1498" s="115" t="s">
        <v>128</v>
      </c>
      <c r="C1498" s="115" t="s">
        <v>3655</v>
      </c>
      <c r="D1498" s="115">
        <v>1</v>
      </c>
      <c r="E1498" s="115" t="s">
        <v>3656</v>
      </c>
      <c r="F1498" s="115" t="s">
        <v>3657</v>
      </c>
      <c r="G1498" s="115" t="s">
        <v>3658</v>
      </c>
      <c r="H1498" s="115" t="s">
        <v>3659</v>
      </c>
    </row>
    <row r="1499" spans="1:8" ht="45" x14ac:dyDescent="0.25">
      <c r="A1499" s="115">
        <v>6351</v>
      </c>
      <c r="B1499" s="115" t="s">
        <v>128</v>
      </c>
      <c r="C1499" s="115" t="s">
        <v>3660</v>
      </c>
      <c r="D1499" s="115">
        <v>1</v>
      </c>
      <c r="E1499" s="115" t="s">
        <v>3661</v>
      </c>
      <c r="F1499" s="115" t="s">
        <v>3662</v>
      </c>
      <c r="G1499" s="115" t="s">
        <v>3663</v>
      </c>
      <c r="H1499" s="115" t="s">
        <v>3664</v>
      </c>
    </row>
    <row r="1500" spans="1:8" ht="30" x14ac:dyDescent="0.25">
      <c r="A1500" s="115">
        <v>6350</v>
      </c>
      <c r="B1500" s="115" t="s">
        <v>128</v>
      </c>
      <c r="C1500" s="115" t="s">
        <v>3665</v>
      </c>
      <c r="D1500" s="115">
        <v>1</v>
      </c>
      <c r="E1500" s="115" t="s">
        <v>764</v>
      </c>
      <c r="F1500" s="115" t="s">
        <v>765</v>
      </c>
      <c r="G1500" s="115" t="s">
        <v>766</v>
      </c>
      <c r="H1500" s="115" t="s">
        <v>764</v>
      </c>
    </row>
    <row r="1501" spans="1:8" ht="30" x14ac:dyDescent="0.25">
      <c r="A1501" s="115">
        <v>6349</v>
      </c>
      <c r="B1501" s="115" t="s">
        <v>128</v>
      </c>
      <c r="C1501" s="115" t="s">
        <v>3666</v>
      </c>
      <c r="D1501" s="115">
        <v>1</v>
      </c>
      <c r="E1501" s="115" t="s">
        <v>3667</v>
      </c>
      <c r="F1501" s="115" t="s">
        <v>3668</v>
      </c>
      <c r="G1501" s="115" t="s">
        <v>3663</v>
      </c>
      <c r="H1501" s="115" t="s">
        <v>3669</v>
      </c>
    </row>
    <row r="1502" spans="1:8" ht="30" x14ac:dyDescent="0.25">
      <c r="A1502" s="115">
        <v>6348</v>
      </c>
      <c r="B1502" s="115" t="s">
        <v>128</v>
      </c>
      <c r="C1502" s="115" t="s">
        <v>3670</v>
      </c>
      <c r="D1502" s="115">
        <v>1</v>
      </c>
      <c r="E1502" s="115">
        <v>72725</v>
      </c>
      <c r="F1502" s="115">
        <v>72725</v>
      </c>
      <c r="G1502" s="115">
        <v>72725</v>
      </c>
      <c r="H1502" s="115">
        <v>72725</v>
      </c>
    </row>
    <row r="1503" spans="1:8" ht="30" x14ac:dyDescent="0.25">
      <c r="A1503" s="115">
        <v>6347</v>
      </c>
      <c r="B1503" s="115" t="s">
        <v>128</v>
      </c>
      <c r="C1503" s="115" t="s">
        <v>3671</v>
      </c>
      <c r="D1503" s="115">
        <v>1</v>
      </c>
      <c r="E1503" s="115">
        <v>3000</v>
      </c>
      <c r="F1503" s="115">
        <v>3000</v>
      </c>
      <c r="G1503" s="115">
        <v>3000</v>
      </c>
      <c r="H1503" s="115">
        <v>3000</v>
      </c>
    </row>
    <row r="1504" spans="1:8" ht="30" x14ac:dyDescent="0.25">
      <c r="A1504" s="115">
        <v>6346</v>
      </c>
      <c r="B1504" s="115" t="s">
        <v>128</v>
      </c>
      <c r="C1504" s="115" t="s">
        <v>3672</v>
      </c>
      <c r="D1504" s="115">
        <v>1</v>
      </c>
      <c r="E1504" s="115">
        <v>0</v>
      </c>
      <c r="F1504" s="115">
        <v>0</v>
      </c>
      <c r="G1504" s="115">
        <v>0</v>
      </c>
      <c r="H1504" s="115">
        <v>0</v>
      </c>
    </row>
    <row r="1505" spans="1:8" ht="30" x14ac:dyDescent="0.25">
      <c r="A1505" s="115">
        <v>6345</v>
      </c>
      <c r="B1505" s="115" t="s">
        <v>128</v>
      </c>
      <c r="C1505" s="115" t="s">
        <v>3673</v>
      </c>
      <c r="D1505" s="115">
        <v>1</v>
      </c>
      <c r="E1505" s="115">
        <v>69725</v>
      </c>
      <c r="F1505" s="115">
        <v>69725</v>
      </c>
      <c r="G1505" s="115">
        <v>69725</v>
      </c>
      <c r="H1505" s="115">
        <v>69725</v>
      </c>
    </row>
    <row r="1506" spans="1:8" ht="30" x14ac:dyDescent="0.25">
      <c r="A1506" s="115">
        <v>6344</v>
      </c>
      <c r="B1506" s="115" t="s">
        <v>128</v>
      </c>
      <c r="C1506" s="115" t="s">
        <v>3674</v>
      </c>
      <c r="D1506" s="115">
        <v>1</v>
      </c>
      <c r="E1506" s="115">
        <v>0</v>
      </c>
      <c r="F1506" s="115">
        <v>0</v>
      </c>
      <c r="G1506" s="115">
        <v>0</v>
      </c>
      <c r="H1506" s="115">
        <v>0</v>
      </c>
    </row>
    <row r="1507" spans="1:8" ht="30" x14ac:dyDescent="0.25">
      <c r="A1507" s="115">
        <v>6343</v>
      </c>
      <c r="B1507" s="115" t="s">
        <v>128</v>
      </c>
      <c r="C1507" s="115" t="s">
        <v>3675</v>
      </c>
      <c r="D1507" s="115">
        <v>1</v>
      </c>
      <c r="E1507" s="115" t="s">
        <v>505</v>
      </c>
      <c r="F1507" s="115" t="s">
        <v>506</v>
      </c>
      <c r="G1507" s="115" t="s">
        <v>507</v>
      </c>
      <c r="H1507" s="115" t="s">
        <v>508</v>
      </c>
    </row>
    <row r="1508" spans="1:8" ht="30" x14ac:dyDescent="0.25">
      <c r="A1508" s="115">
        <v>6342</v>
      </c>
      <c r="B1508" s="115" t="s">
        <v>128</v>
      </c>
      <c r="C1508" s="115" t="s">
        <v>3676</v>
      </c>
      <c r="D1508" s="115">
        <v>1</v>
      </c>
      <c r="E1508" s="115" t="s">
        <v>3677</v>
      </c>
      <c r="F1508" s="115" t="s">
        <v>3678</v>
      </c>
      <c r="G1508" s="115" t="s">
        <v>3679</v>
      </c>
      <c r="H1508" s="115" t="s">
        <v>3680</v>
      </c>
    </row>
    <row r="1509" spans="1:8" ht="30" x14ac:dyDescent="0.25">
      <c r="A1509" s="115">
        <v>6341</v>
      </c>
      <c r="B1509" s="115" t="s">
        <v>128</v>
      </c>
      <c r="C1509" s="115" t="s">
        <v>3681</v>
      </c>
      <c r="D1509" s="115">
        <v>1</v>
      </c>
      <c r="E1509" s="115" t="s">
        <v>3682</v>
      </c>
      <c r="F1509" s="115" t="s">
        <v>3683</v>
      </c>
      <c r="G1509" s="115" t="s">
        <v>3684</v>
      </c>
      <c r="H1509" s="115" t="s">
        <v>3685</v>
      </c>
    </row>
    <row r="1510" spans="1:8" ht="30" x14ac:dyDescent="0.25">
      <c r="A1510" s="115">
        <v>6340</v>
      </c>
      <c r="B1510" s="115" t="s">
        <v>128</v>
      </c>
      <c r="C1510" s="115" t="s">
        <v>3686</v>
      </c>
      <c r="D1510" s="115">
        <v>1</v>
      </c>
      <c r="E1510" s="115" t="s">
        <v>3687</v>
      </c>
      <c r="F1510" s="115" t="s">
        <v>3688</v>
      </c>
      <c r="G1510" s="115" t="s">
        <v>3689</v>
      </c>
      <c r="H1510" s="115" t="s">
        <v>3690</v>
      </c>
    </row>
    <row r="1511" spans="1:8" ht="30" x14ac:dyDescent="0.25">
      <c r="A1511" s="115">
        <v>6339</v>
      </c>
      <c r="B1511" s="115" t="s">
        <v>128</v>
      </c>
      <c r="C1511" s="115" t="s">
        <v>3691</v>
      </c>
      <c r="D1511" s="115">
        <v>1</v>
      </c>
      <c r="E1511" s="115" t="s">
        <v>3692</v>
      </c>
      <c r="F1511" s="115" t="s">
        <v>3693</v>
      </c>
      <c r="G1511" s="115" t="s">
        <v>3694</v>
      </c>
      <c r="H1511" s="115" t="s">
        <v>3695</v>
      </c>
    </row>
    <row r="1512" spans="1:8" ht="30" x14ac:dyDescent="0.25">
      <c r="A1512" s="115">
        <v>6338</v>
      </c>
      <c r="B1512" s="115" t="s">
        <v>128</v>
      </c>
      <c r="C1512" s="115" t="s">
        <v>3696</v>
      </c>
      <c r="D1512" s="115">
        <v>1</v>
      </c>
      <c r="E1512" s="115">
        <v>5</v>
      </c>
      <c r="F1512" s="115">
        <v>5</v>
      </c>
      <c r="G1512" s="115">
        <v>5</v>
      </c>
      <c r="H1512" s="115">
        <v>5</v>
      </c>
    </row>
    <row r="1513" spans="1:8" ht="30" x14ac:dyDescent="0.25">
      <c r="A1513" s="115">
        <v>6337</v>
      </c>
      <c r="B1513" s="115" t="s">
        <v>128</v>
      </c>
      <c r="C1513" s="115" t="s">
        <v>3697</v>
      </c>
      <c r="D1513" s="115">
        <v>1</v>
      </c>
      <c r="E1513" s="115">
        <v>412864</v>
      </c>
      <c r="F1513" s="115">
        <v>412864</v>
      </c>
      <c r="G1513" s="115">
        <v>412864</v>
      </c>
      <c r="H1513" s="115">
        <v>412864</v>
      </c>
    </row>
    <row r="1514" spans="1:8" ht="30" x14ac:dyDescent="0.25">
      <c r="A1514" s="115">
        <v>6336</v>
      </c>
      <c r="B1514" s="115" t="s">
        <v>128</v>
      </c>
      <c r="C1514" s="115" t="s">
        <v>3698</v>
      </c>
      <c r="D1514" s="115">
        <v>1</v>
      </c>
      <c r="E1514" s="115">
        <v>168250</v>
      </c>
      <c r="F1514" s="115">
        <v>168250</v>
      </c>
      <c r="G1514" s="115">
        <v>168250</v>
      </c>
      <c r="H1514" s="115">
        <v>168250</v>
      </c>
    </row>
    <row r="1515" spans="1:8" ht="30" x14ac:dyDescent="0.25">
      <c r="A1515" s="115">
        <v>6335</v>
      </c>
      <c r="B1515" s="115" t="s">
        <v>128</v>
      </c>
      <c r="C1515" s="115" t="s">
        <v>3699</v>
      </c>
      <c r="D1515" s="115">
        <v>1</v>
      </c>
      <c r="E1515" s="115">
        <v>172000</v>
      </c>
      <c r="F1515" s="115">
        <v>172000</v>
      </c>
      <c r="G1515" s="115">
        <v>172000</v>
      </c>
      <c r="H1515" s="115">
        <v>172000</v>
      </c>
    </row>
    <row r="1516" spans="1:8" ht="30" x14ac:dyDescent="0.25">
      <c r="A1516" s="115">
        <v>6334</v>
      </c>
      <c r="B1516" s="115" t="s">
        <v>128</v>
      </c>
      <c r="C1516" s="115" t="s">
        <v>3700</v>
      </c>
      <c r="D1516" s="115">
        <v>1</v>
      </c>
      <c r="E1516" s="115">
        <v>72614</v>
      </c>
      <c r="F1516" s="115">
        <v>72614</v>
      </c>
      <c r="G1516" s="115">
        <v>72614</v>
      </c>
      <c r="H1516" s="115">
        <v>72614</v>
      </c>
    </row>
    <row r="1517" spans="1:8" ht="30" x14ac:dyDescent="0.25">
      <c r="A1517" s="115">
        <v>6333</v>
      </c>
      <c r="B1517" s="115" t="s">
        <v>128</v>
      </c>
      <c r="C1517" s="115" t="s">
        <v>3701</v>
      </c>
      <c r="D1517" s="115">
        <v>1</v>
      </c>
      <c r="E1517" s="115">
        <v>0</v>
      </c>
      <c r="F1517" s="115">
        <v>0</v>
      </c>
      <c r="G1517" s="115">
        <v>0</v>
      </c>
      <c r="H1517" s="115">
        <v>0</v>
      </c>
    </row>
    <row r="1518" spans="1:8" ht="30" x14ac:dyDescent="0.25">
      <c r="A1518" s="115">
        <v>6332</v>
      </c>
      <c r="B1518" s="115" t="s">
        <v>128</v>
      </c>
      <c r="C1518" s="115" t="s">
        <v>3702</v>
      </c>
      <c r="D1518" s="115">
        <v>1</v>
      </c>
      <c r="E1518" s="115" t="s">
        <v>536</v>
      </c>
      <c r="F1518" s="115" t="s">
        <v>536</v>
      </c>
      <c r="G1518" s="115" t="s">
        <v>537</v>
      </c>
      <c r="H1518" s="115" t="s">
        <v>538</v>
      </c>
    </row>
    <row r="1519" spans="1:8" ht="30" x14ac:dyDescent="0.25">
      <c r="A1519" s="115">
        <v>6331</v>
      </c>
      <c r="B1519" s="115" t="s">
        <v>128</v>
      </c>
      <c r="C1519" s="115" t="s">
        <v>3703</v>
      </c>
      <c r="D1519" s="115">
        <v>1</v>
      </c>
      <c r="E1519" s="115" t="s">
        <v>3677</v>
      </c>
      <c r="F1519" s="115" t="s">
        <v>3678</v>
      </c>
      <c r="G1519" s="115" t="s">
        <v>3679</v>
      </c>
      <c r="H1519" s="115" t="s">
        <v>3680</v>
      </c>
    </row>
    <row r="1520" spans="1:8" ht="30" x14ac:dyDescent="0.25">
      <c r="A1520" s="115">
        <v>6330</v>
      </c>
      <c r="B1520" s="115" t="s">
        <v>128</v>
      </c>
      <c r="C1520" s="115" t="s">
        <v>3704</v>
      </c>
      <c r="D1520" s="115">
        <v>1</v>
      </c>
      <c r="E1520" s="115" t="s">
        <v>3682</v>
      </c>
      <c r="F1520" s="115" t="s">
        <v>3683</v>
      </c>
      <c r="G1520" s="115" t="s">
        <v>3684</v>
      </c>
      <c r="H1520" s="115" t="s">
        <v>3685</v>
      </c>
    </row>
    <row r="1521" spans="1:8" ht="30" x14ac:dyDescent="0.25">
      <c r="A1521" s="115">
        <v>6329</v>
      </c>
      <c r="B1521" s="115" t="s">
        <v>128</v>
      </c>
      <c r="C1521" s="115" t="s">
        <v>3705</v>
      </c>
      <c r="D1521" s="115">
        <v>1</v>
      </c>
      <c r="E1521" s="115" t="s">
        <v>3687</v>
      </c>
      <c r="F1521" s="115" t="s">
        <v>3688</v>
      </c>
      <c r="G1521" s="115" t="s">
        <v>3689</v>
      </c>
      <c r="H1521" s="115" t="s">
        <v>3690</v>
      </c>
    </row>
    <row r="1522" spans="1:8" ht="30" x14ac:dyDescent="0.25">
      <c r="A1522" s="115">
        <v>6328</v>
      </c>
      <c r="B1522" s="115" t="s">
        <v>128</v>
      </c>
      <c r="C1522" s="115" t="s">
        <v>3706</v>
      </c>
      <c r="D1522" s="115">
        <v>1</v>
      </c>
      <c r="E1522" s="115" t="s">
        <v>3692</v>
      </c>
      <c r="F1522" s="115" t="s">
        <v>3693</v>
      </c>
      <c r="G1522" s="115" t="s">
        <v>3694</v>
      </c>
      <c r="H1522" s="115" t="s">
        <v>3695</v>
      </c>
    </row>
    <row r="1523" spans="1:8" ht="30" x14ac:dyDescent="0.25">
      <c r="A1523" s="115">
        <v>6327</v>
      </c>
      <c r="B1523" s="115" t="s">
        <v>128</v>
      </c>
      <c r="C1523" s="115" t="s">
        <v>3707</v>
      </c>
      <c r="D1523" s="115">
        <v>1</v>
      </c>
      <c r="E1523" s="115">
        <v>4</v>
      </c>
      <c r="F1523" s="115">
        <v>4</v>
      </c>
      <c r="G1523" s="115">
        <v>4</v>
      </c>
      <c r="H1523" s="115">
        <v>4</v>
      </c>
    </row>
    <row r="1524" spans="1:8" ht="30" x14ac:dyDescent="0.25">
      <c r="A1524" s="115">
        <v>6326</v>
      </c>
      <c r="B1524" s="115" t="s">
        <v>128</v>
      </c>
      <c r="C1524" s="115" t="s">
        <v>3708</v>
      </c>
      <c r="D1524" s="115">
        <v>1</v>
      </c>
      <c r="E1524" s="115">
        <v>826070</v>
      </c>
      <c r="F1524" s="115">
        <v>826070</v>
      </c>
      <c r="G1524" s="115">
        <v>826070</v>
      </c>
      <c r="H1524" s="115">
        <v>826070</v>
      </c>
    </row>
    <row r="1525" spans="1:8" ht="30" x14ac:dyDescent="0.25">
      <c r="A1525" s="115">
        <v>6325</v>
      </c>
      <c r="B1525" s="115" t="s">
        <v>128</v>
      </c>
      <c r="C1525" s="115" t="s">
        <v>3709</v>
      </c>
      <c r="D1525" s="115">
        <v>1</v>
      </c>
      <c r="E1525" s="115">
        <v>0</v>
      </c>
      <c r="F1525" s="115">
        <v>0</v>
      </c>
      <c r="G1525" s="115">
        <v>0</v>
      </c>
      <c r="H1525" s="115">
        <v>0</v>
      </c>
    </row>
    <row r="1526" spans="1:8" ht="30" x14ac:dyDescent="0.25">
      <c r="A1526" s="115">
        <v>6324</v>
      </c>
      <c r="B1526" s="115" t="s">
        <v>128</v>
      </c>
      <c r="C1526" s="115" t="s">
        <v>3710</v>
      </c>
      <c r="D1526" s="115">
        <v>1</v>
      </c>
      <c r="E1526" s="115">
        <v>181250</v>
      </c>
      <c r="F1526" s="115">
        <v>181250</v>
      </c>
      <c r="G1526" s="115">
        <v>181250</v>
      </c>
      <c r="H1526" s="115">
        <v>181250</v>
      </c>
    </row>
    <row r="1527" spans="1:8" ht="30" x14ac:dyDescent="0.25">
      <c r="A1527" s="115">
        <v>6323</v>
      </c>
      <c r="B1527" s="115" t="s">
        <v>128</v>
      </c>
      <c r="C1527" s="115" t="s">
        <v>3711</v>
      </c>
      <c r="D1527" s="115">
        <v>1</v>
      </c>
      <c r="E1527" s="115">
        <v>644820</v>
      </c>
      <c r="F1527" s="115">
        <v>644820</v>
      </c>
      <c r="G1527" s="115">
        <v>644820</v>
      </c>
      <c r="H1527" s="115">
        <v>644820</v>
      </c>
    </row>
    <row r="1528" spans="1:8" ht="30" x14ac:dyDescent="0.25">
      <c r="A1528" s="115">
        <v>6322</v>
      </c>
      <c r="B1528" s="115" t="s">
        <v>128</v>
      </c>
      <c r="C1528" s="115" t="s">
        <v>3712</v>
      </c>
      <c r="D1528" s="115">
        <v>1</v>
      </c>
      <c r="E1528" s="115">
        <v>0</v>
      </c>
      <c r="F1528" s="115">
        <v>0</v>
      </c>
      <c r="G1528" s="115">
        <v>0</v>
      </c>
      <c r="H1528" s="115">
        <v>0</v>
      </c>
    </row>
    <row r="1529" spans="1:8" ht="30" x14ac:dyDescent="0.25">
      <c r="A1529" s="115">
        <v>6321</v>
      </c>
      <c r="B1529" s="115" t="s">
        <v>128</v>
      </c>
      <c r="C1529" s="115" t="s">
        <v>3713</v>
      </c>
      <c r="D1529" s="115">
        <v>1</v>
      </c>
      <c r="E1529" s="115" t="s">
        <v>494</v>
      </c>
      <c r="F1529" s="115" t="s">
        <v>495</v>
      </c>
      <c r="G1529" s="115" t="s">
        <v>638</v>
      </c>
      <c r="H1529" s="115" t="s">
        <v>497</v>
      </c>
    </row>
    <row r="1530" spans="1:8" ht="30" x14ac:dyDescent="0.25">
      <c r="A1530" s="115">
        <v>6320</v>
      </c>
      <c r="B1530" s="115" t="s">
        <v>128</v>
      </c>
      <c r="C1530" s="115" t="s">
        <v>3714</v>
      </c>
      <c r="D1530" s="115">
        <v>1</v>
      </c>
      <c r="E1530" s="115" t="s">
        <v>3677</v>
      </c>
      <c r="F1530" s="115" t="s">
        <v>3678</v>
      </c>
      <c r="G1530" s="115" t="s">
        <v>3679</v>
      </c>
      <c r="H1530" s="115" t="s">
        <v>3680</v>
      </c>
    </row>
    <row r="1531" spans="1:8" ht="30" x14ac:dyDescent="0.25">
      <c r="A1531" s="115">
        <v>6319</v>
      </c>
      <c r="B1531" s="115" t="s">
        <v>128</v>
      </c>
      <c r="C1531" s="115" t="s">
        <v>3715</v>
      </c>
      <c r="D1531" s="115">
        <v>1</v>
      </c>
      <c r="E1531" s="115" t="s">
        <v>3682</v>
      </c>
      <c r="F1531" s="115" t="s">
        <v>3683</v>
      </c>
      <c r="G1531" s="115" t="s">
        <v>3684</v>
      </c>
      <c r="H1531" s="115" t="s">
        <v>3685</v>
      </c>
    </row>
    <row r="1532" spans="1:8" ht="30" x14ac:dyDescent="0.25">
      <c r="A1532" s="115">
        <v>6318</v>
      </c>
      <c r="B1532" s="115" t="s">
        <v>128</v>
      </c>
      <c r="C1532" s="115" t="s">
        <v>3716</v>
      </c>
      <c r="D1532" s="115">
        <v>1</v>
      </c>
      <c r="E1532" s="115" t="s">
        <v>3687</v>
      </c>
      <c r="F1532" s="115" t="s">
        <v>3688</v>
      </c>
      <c r="G1532" s="115" t="s">
        <v>3689</v>
      </c>
      <c r="H1532" s="115" t="s">
        <v>3690</v>
      </c>
    </row>
    <row r="1533" spans="1:8" ht="30" x14ac:dyDescent="0.25">
      <c r="A1533" s="115">
        <v>6317</v>
      </c>
      <c r="B1533" s="115" t="s">
        <v>128</v>
      </c>
      <c r="C1533" s="115" t="s">
        <v>3717</v>
      </c>
      <c r="D1533" s="115">
        <v>1</v>
      </c>
      <c r="E1533" s="115" t="s">
        <v>3692</v>
      </c>
      <c r="F1533" s="115" t="s">
        <v>3693</v>
      </c>
      <c r="G1533" s="115" t="s">
        <v>3694</v>
      </c>
      <c r="H1533" s="115" t="s">
        <v>3695</v>
      </c>
    </row>
    <row r="1534" spans="1:8" ht="30" x14ac:dyDescent="0.25">
      <c r="A1534" s="115">
        <v>6316</v>
      </c>
      <c r="B1534" s="115" t="s">
        <v>128</v>
      </c>
      <c r="C1534" s="115" t="s">
        <v>3718</v>
      </c>
      <c r="D1534" s="115">
        <v>1</v>
      </c>
      <c r="E1534" s="115">
        <v>3</v>
      </c>
      <c r="F1534" s="115">
        <v>3</v>
      </c>
      <c r="G1534" s="115">
        <v>3</v>
      </c>
      <c r="H1534" s="115">
        <v>3</v>
      </c>
    </row>
    <row r="1535" spans="1:8" ht="30" x14ac:dyDescent="0.25">
      <c r="A1535" s="115">
        <v>6315</v>
      </c>
      <c r="B1535" s="115" t="s">
        <v>128</v>
      </c>
      <c r="C1535" s="115" t="s">
        <v>3719</v>
      </c>
      <c r="D1535" s="115">
        <v>1</v>
      </c>
      <c r="E1535" s="115">
        <v>3644456</v>
      </c>
      <c r="F1535" s="115">
        <v>3644456</v>
      </c>
      <c r="G1535" s="115">
        <v>3644456</v>
      </c>
      <c r="H1535" s="115">
        <v>3644456</v>
      </c>
    </row>
    <row r="1536" spans="1:8" ht="30" x14ac:dyDescent="0.25">
      <c r="A1536" s="115">
        <v>6314</v>
      </c>
      <c r="B1536" s="115" t="s">
        <v>128</v>
      </c>
      <c r="C1536" s="115" t="s">
        <v>3720</v>
      </c>
      <c r="D1536" s="115">
        <v>1</v>
      </c>
      <c r="E1536" s="115">
        <v>173729</v>
      </c>
      <c r="F1536" s="115">
        <v>173729</v>
      </c>
      <c r="G1536" s="115">
        <v>173729</v>
      </c>
      <c r="H1536" s="115">
        <v>173729</v>
      </c>
    </row>
    <row r="1537" spans="1:8" ht="30" x14ac:dyDescent="0.25">
      <c r="A1537" s="115">
        <v>6313</v>
      </c>
      <c r="B1537" s="115" t="s">
        <v>128</v>
      </c>
      <c r="C1537" s="115" t="s">
        <v>3721</v>
      </c>
      <c r="D1537" s="115">
        <v>1</v>
      </c>
      <c r="E1537" s="115">
        <v>10000</v>
      </c>
      <c r="F1537" s="115">
        <v>10000</v>
      </c>
      <c r="G1537" s="115">
        <v>10000</v>
      </c>
      <c r="H1537" s="115">
        <v>10000</v>
      </c>
    </row>
    <row r="1538" spans="1:8" ht="30" x14ac:dyDescent="0.25">
      <c r="A1538" s="115">
        <v>6312</v>
      </c>
      <c r="B1538" s="115" t="s">
        <v>128</v>
      </c>
      <c r="C1538" s="115" t="s">
        <v>3722</v>
      </c>
      <c r="D1538" s="115">
        <v>1</v>
      </c>
      <c r="E1538" s="115">
        <v>1152032</v>
      </c>
      <c r="F1538" s="115">
        <v>1152032</v>
      </c>
      <c r="G1538" s="115">
        <v>1152032</v>
      </c>
      <c r="H1538" s="115">
        <v>1152032</v>
      </c>
    </row>
    <row r="1539" spans="1:8" ht="30" x14ac:dyDescent="0.25">
      <c r="A1539" s="115">
        <v>6311</v>
      </c>
      <c r="B1539" s="115" t="s">
        <v>128</v>
      </c>
      <c r="C1539" s="115" t="s">
        <v>3723</v>
      </c>
      <c r="D1539" s="115">
        <v>1</v>
      </c>
      <c r="E1539" s="115">
        <v>2308695</v>
      </c>
      <c r="F1539" s="115">
        <v>2308695</v>
      </c>
      <c r="G1539" s="115">
        <v>2308695</v>
      </c>
      <c r="H1539" s="115">
        <v>2308695</v>
      </c>
    </row>
    <row r="1540" spans="1:8" ht="30" x14ac:dyDescent="0.25">
      <c r="A1540" s="115">
        <v>6310</v>
      </c>
      <c r="B1540" s="115" t="s">
        <v>128</v>
      </c>
      <c r="C1540" s="115" t="s">
        <v>3724</v>
      </c>
      <c r="D1540" s="115">
        <v>1</v>
      </c>
      <c r="E1540" s="115" t="s">
        <v>2921</v>
      </c>
      <c r="F1540" s="115" t="s">
        <v>553</v>
      </c>
      <c r="G1540" s="115" t="s">
        <v>649</v>
      </c>
      <c r="H1540" s="115" t="s">
        <v>555</v>
      </c>
    </row>
    <row r="1541" spans="1:8" ht="30" x14ac:dyDescent="0.25">
      <c r="A1541" s="115">
        <v>6309</v>
      </c>
      <c r="B1541" s="115" t="s">
        <v>128</v>
      </c>
      <c r="C1541" s="115" t="s">
        <v>3725</v>
      </c>
      <c r="D1541" s="115">
        <v>1</v>
      </c>
      <c r="E1541" s="115" t="s">
        <v>3677</v>
      </c>
      <c r="F1541" s="115" t="s">
        <v>3678</v>
      </c>
      <c r="G1541" s="115" t="s">
        <v>3679</v>
      </c>
      <c r="H1541" s="115" t="s">
        <v>3680</v>
      </c>
    </row>
    <row r="1542" spans="1:8" ht="30" x14ac:dyDescent="0.25">
      <c r="A1542" s="115">
        <v>6308</v>
      </c>
      <c r="B1542" s="115" t="s">
        <v>128</v>
      </c>
      <c r="C1542" s="115" t="s">
        <v>3726</v>
      </c>
      <c r="D1542" s="115">
        <v>1</v>
      </c>
      <c r="E1542" s="115" t="s">
        <v>3682</v>
      </c>
      <c r="F1542" s="115" t="s">
        <v>3683</v>
      </c>
      <c r="G1542" s="115" t="s">
        <v>3684</v>
      </c>
      <c r="H1542" s="115" t="s">
        <v>3685</v>
      </c>
    </row>
    <row r="1543" spans="1:8" ht="30" x14ac:dyDescent="0.25">
      <c r="A1543" s="115">
        <v>6307</v>
      </c>
      <c r="B1543" s="115" t="s">
        <v>128</v>
      </c>
      <c r="C1543" s="115" t="s">
        <v>3727</v>
      </c>
      <c r="D1543" s="115">
        <v>1</v>
      </c>
      <c r="E1543" s="115" t="s">
        <v>3687</v>
      </c>
      <c r="F1543" s="115" t="s">
        <v>3688</v>
      </c>
      <c r="G1543" s="115" t="s">
        <v>3689</v>
      </c>
      <c r="H1543" s="115" t="s">
        <v>3690</v>
      </c>
    </row>
    <row r="1544" spans="1:8" ht="30" x14ac:dyDescent="0.25">
      <c r="A1544" s="115">
        <v>6306</v>
      </c>
      <c r="B1544" s="115" t="s">
        <v>128</v>
      </c>
      <c r="C1544" s="115" t="s">
        <v>3728</v>
      </c>
      <c r="D1544" s="115">
        <v>1</v>
      </c>
      <c r="E1544" s="115" t="s">
        <v>3692</v>
      </c>
      <c r="F1544" s="115" t="s">
        <v>3693</v>
      </c>
      <c r="G1544" s="115" t="s">
        <v>3694</v>
      </c>
      <c r="H1544" s="115" t="s">
        <v>3695</v>
      </c>
    </row>
    <row r="1545" spans="1:8" ht="30" x14ac:dyDescent="0.25">
      <c r="A1545" s="115">
        <v>6305</v>
      </c>
      <c r="B1545" s="115" t="s">
        <v>128</v>
      </c>
      <c r="C1545" s="115" t="s">
        <v>3729</v>
      </c>
      <c r="D1545" s="115">
        <v>1</v>
      </c>
      <c r="E1545" s="115">
        <v>2</v>
      </c>
      <c r="F1545" s="115">
        <v>2</v>
      </c>
      <c r="G1545" s="115">
        <v>2</v>
      </c>
      <c r="H1545" s="115">
        <v>2</v>
      </c>
    </row>
    <row r="1546" spans="1:8" ht="30" x14ac:dyDescent="0.25">
      <c r="A1546" s="115">
        <v>6304</v>
      </c>
      <c r="B1546" s="115" t="s">
        <v>128</v>
      </c>
      <c r="C1546" s="115" t="s">
        <v>3730</v>
      </c>
      <c r="D1546" s="115">
        <v>1</v>
      </c>
      <c r="E1546" s="115">
        <v>8162084</v>
      </c>
      <c r="F1546" s="115">
        <v>8162084</v>
      </c>
      <c r="G1546" s="115">
        <v>8162084</v>
      </c>
      <c r="H1546" s="115">
        <v>8162084</v>
      </c>
    </row>
    <row r="1547" spans="1:8" ht="30" x14ac:dyDescent="0.25">
      <c r="A1547" s="115">
        <v>6303</v>
      </c>
      <c r="B1547" s="115" t="s">
        <v>128</v>
      </c>
      <c r="C1547" s="115" t="s">
        <v>3731</v>
      </c>
      <c r="D1547" s="115">
        <v>1</v>
      </c>
      <c r="E1547" s="115">
        <v>600019</v>
      </c>
      <c r="F1547" s="115">
        <v>600019</v>
      </c>
      <c r="G1547" s="115">
        <v>600019</v>
      </c>
      <c r="H1547" s="115">
        <v>600019</v>
      </c>
    </row>
    <row r="1548" spans="1:8" ht="30" x14ac:dyDescent="0.25">
      <c r="A1548" s="115">
        <v>6302</v>
      </c>
      <c r="B1548" s="115" t="s">
        <v>128</v>
      </c>
      <c r="C1548" s="115" t="s">
        <v>3732</v>
      </c>
      <c r="D1548" s="115">
        <v>1</v>
      </c>
      <c r="E1548" s="115">
        <v>6953897</v>
      </c>
      <c r="F1548" s="115">
        <v>6953897</v>
      </c>
      <c r="G1548" s="115">
        <v>6953897</v>
      </c>
      <c r="H1548" s="115">
        <v>6953897</v>
      </c>
    </row>
    <row r="1549" spans="1:8" ht="30" x14ac:dyDescent="0.25">
      <c r="A1549" s="115">
        <v>6301</v>
      </c>
      <c r="B1549" s="115" t="s">
        <v>128</v>
      </c>
      <c r="C1549" s="115" t="s">
        <v>3733</v>
      </c>
      <c r="D1549" s="115">
        <v>1</v>
      </c>
      <c r="E1549" s="115">
        <v>608168</v>
      </c>
      <c r="F1549" s="115">
        <v>608168</v>
      </c>
      <c r="G1549" s="115">
        <v>608168</v>
      </c>
      <c r="H1549" s="115">
        <v>608168</v>
      </c>
    </row>
    <row r="1550" spans="1:8" ht="30" x14ac:dyDescent="0.25">
      <c r="A1550" s="115">
        <v>6300</v>
      </c>
      <c r="B1550" s="115" t="s">
        <v>128</v>
      </c>
      <c r="C1550" s="115" t="s">
        <v>3734</v>
      </c>
      <c r="D1550" s="115">
        <v>1</v>
      </c>
      <c r="E1550" s="115">
        <v>0</v>
      </c>
      <c r="F1550" s="115">
        <v>0</v>
      </c>
      <c r="G1550" s="115">
        <v>0</v>
      </c>
      <c r="H1550" s="115">
        <v>0</v>
      </c>
    </row>
    <row r="1551" spans="1:8" ht="30" x14ac:dyDescent="0.25">
      <c r="A1551" s="115">
        <v>6299</v>
      </c>
      <c r="B1551" s="115" t="s">
        <v>128</v>
      </c>
      <c r="C1551" s="115" t="s">
        <v>3735</v>
      </c>
      <c r="D1551" s="115">
        <v>1</v>
      </c>
      <c r="E1551" s="115" t="s">
        <v>519</v>
      </c>
      <c r="F1551" s="115" t="s">
        <v>520</v>
      </c>
      <c r="G1551" s="115" t="s">
        <v>521</v>
      </c>
      <c r="H1551" s="115" t="s">
        <v>522</v>
      </c>
    </row>
    <row r="1552" spans="1:8" ht="30" x14ac:dyDescent="0.25">
      <c r="A1552" s="115">
        <v>6298</v>
      </c>
      <c r="B1552" s="115" t="s">
        <v>128</v>
      </c>
      <c r="C1552" s="115" t="s">
        <v>3736</v>
      </c>
      <c r="D1552" s="115">
        <v>1</v>
      </c>
      <c r="E1552" s="115" t="s">
        <v>3677</v>
      </c>
      <c r="F1552" s="115" t="s">
        <v>3678</v>
      </c>
      <c r="G1552" s="115" t="s">
        <v>3679</v>
      </c>
      <c r="H1552" s="115" t="s">
        <v>3680</v>
      </c>
    </row>
    <row r="1553" spans="1:8" ht="30" x14ac:dyDescent="0.25">
      <c r="A1553" s="115">
        <v>6297</v>
      </c>
      <c r="B1553" s="115" t="s">
        <v>128</v>
      </c>
      <c r="C1553" s="115" t="s">
        <v>3737</v>
      </c>
      <c r="D1553" s="115">
        <v>1</v>
      </c>
      <c r="E1553" s="115" t="s">
        <v>3682</v>
      </c>
      <c r="F1553" s="115" t="s">
        <v>3683</v>
      </c>
      <c r="G1553" s="115" t="s">
        <v>3684</v>
      </c>
      <c r="H1553" s="115" t="s">
        <v>3685</v>
      </c>
    </row>
    <row r="1554" spans="1:8" ht="30" x14ac:dyDescent="0.25">
      <c r="A1554" s="115">
        <v>6296</v>
      </c>
      <c r="B1554" s="115" t="s">
        <v>128</v>
      </c>
      <c r="C1554" s="115" t="s">
        <v>3738</v>
      </c>
      <c r="D1554" s="115">
        <v>1</v>
      </c>
      <c r="E1554" s="115" t="s">
        <v>3687</v>
      </c>
      <c r="F1554" s="115" t="s">
        <v>3688</v>
      </c>
      <c r="G1554" s="115" t="s">
        <v>3689</v>
      </c>
      <c r="H1554" s="115" t="s">
        <v>3690</v>
      </c>
    </row>
    <row r="1555" spans="1:8" ht="30" x14ac:dyDescent="0.25">
      <c r="A1555" s="115">
        <v>6295</v>
      </c>
      <c r="B1555" s="115" t="s">
        <v>128</v>
      </c>
      <c r="C1555" s="115" t="s">
        <v>3739</v>
      </c>
      <c r="D1555" s="115">
        <v>1</v>
      </c>
      <c r="E1555" s="115" t="s">
        <v>3692</v>
      </c>
      <c r="F1555" s="115" t="s">
        <v>3693</v>
      </c>
      <c r="G1555" s="115" t="s">
        <v>3694</v>
      </c>
      <c r="H1555" s="115" t="s">
        <v>3695</v>
      </c>
    </row>
    <row r="1556" spans="1:8" ht="30" x14ac:dyDescent="0.25">
      <c r="A1556" s="115">
        <v>6294</v>
      </c>
      <c r="B1556" s="115" t="s">
        <v>128</v>
      </c>
      <c r="C1556" s="115" t="s">
        <v>3740</v>
      </c>
      <c r="D1556" s="115">
        <v>1</v>
      </c>
      <c r="E1556" s="115">
        <v>1</v>
      </c>
      <c r="F1556" s="115">
        <v>1</v>
      </c>
      <c r="G1556" s="115">
        <v>1</v>
      </c>
      <c r="H1556" s="115">
        <v>1</v>
      </c>
    </row>
    <row r="1557" spans="1:8" ht="30" x14ac:dyDescent="0.25">
      <c r="A1557" s="115">
        <v>6293</v>
      </c>
      <c r="B1557" s="115" t="s">
        <v>128</v>
      </c>
      <c r="C1557" s="115" t="s">
        <v>3741</v>
      </c>
      <c r="D1557" s="115">
        <v>1</v>
      </c>
      <c r="E1557" s="115" t="s">
        <v>2096</v>
      </c>
      <c r="F1557" s="115" t="s">
        <v>2096</v>
      </c>
      <c r="G1557" s="115" t="s">
        <v>2096</v>
      </c>
      <c r="H1557" s="115" t="s">
        <v>2096</v>
      </c>
    </row>
    <row r="1558" spans="1:8" ht="30" x14ac:dyDescent="0.25">
      <c r="A1558" s="115">
        <v>6292</v>
      </c>
      <c r="B1558" s="115" t="s">
        <v>128</v>
      </c>
      <c r="C1558" s="115" t="s">
        <v>3742</v>
      </c>
      <c r="D1558" s="115">
        <v>1</v>
      </c>
      <c r="E1558" s="115" t="s">
        <v>3743</v>
      </c>
      <c r="F1558" s="115" t="s">
        <v>3743</v>
      </c>
      <c r="G1558" s="115" t="s">
        <v>3743</v>
      </c>
      <c r="H1558" s="115" t="s">
        <v>3743</v>
      </c>
    </row>
    <row r="1559" spans="1:8" ht="30" x14ac:dyDescent="0.25">
      <c r="A1559" s="115">
        <v>6291</v>
      </c>
      <c r="B1559" s="115" t="s">
        <v>128</v>
      </c>
      <c r="C1559" s="115" t="s">
        <v>3744</v>
      </c>
      <c r="D1559" s="115">
        <v>1</v>
      </c>
      <c r="E1559" s="115" t="s">
        <v>2426</v>
      </c>
      <c r="F1559" s="115" t="s">
        <v>2426</v>
      </c>
      <c r="G1559" s="115" t="s">
        <v>2426</v>
      </c>
      <c r="H1559" s="115" t="s">
        <v>2426</v>
      </c>
    </row>
    <row r="1560" spans="1:8" ht="30" x14ac:dyDescent="0.25">
      <c r="A1560" s="115">
        <v>6290</v>
      </c>
      <c r="B1560" s="115" t="s">
        <v>128</v>
      </c>
      <c r="C1560" s="115" t="s">
        <v>3745</v>
      </c>
      <c r="D1560" s="115">
        <v>1</v>
      </c>
      <c r="E1560" s="115" t="s">
        <v>2403</v>
      </c>
      <c r="F1560" s="115" t="s">
        <v>2403</v>
      </c>
      <c r="G1560" s="115" t="s">
        <v>2403</v>
      </c>
      <c r="H1560" s="115" t="s">
        <v>2403</v>
      </c>
    </row>
    <row r="1561" spans="1:8" ht="60" x14ac:dyDescent="0.25">
      <c r="A1561" s="115">
        <v>6289</v>
      </c>
      <c r="B1561" s="115" t="s">
        <v>128</v>
      </c>
      <c r="C1561" s="115" t="s">
        <v>3746</v>
      </c>
      <c r="D1561" s="115">
        <v>1</v>
      </c>
      <c r="E1561" s="115" t="s">
        <v>3747</v>
      </c>
      <c r="F1561" s="115" t="s">
        <v>3748</v>
      </c>
      <c r="G1561" s="115" t="s">
        <v>3749</v>
      </c>
      <c r="H1561" s="115" t="s">
        <v>3750</v>
      </c>
    </row>
    <row r="1562" spans="1:8" ht="135" x14ac:dyDescent="0.25">
      <c r="A1562" s="115">
        <v>6288</v>
      </c>
      <c r="B1562" s="115" t="s">
        <v>128</v>
      </c>
      <c r="C1562" s="115" t="s">
        <v>3751</v>
      </c>
      <c r="D1562" s="115">
        <v>1</v>
      </c>
      <c r="E1562" s="115" t="s">
        <v>3752</v>
      </c>
      <c r="F1562" s="115" t="s">
        <v>3753</v>
      </c>
      <c r="G1562" s="115" t="s">
        <v>3754</v>
      </c>
      <c r="H1562" s="115" t="s">
        <v>3755</v>
      </c>
    </row>
    <row r="1563" spans="1:8" ht="165" x14ac:dyDescent="0.25">
      <c r="A1563" s="115">
        <v>6287</v>
      </c>
      <c r="B1563" s="115" t="s">
        <v>128</v>
      </c>
      <c r="C1563" s="115" t="s">
        <v>3756</v>
      </c>
      <c r="D1563" s="115">
        <v>1</v>
      </c>
      <c r="E1563" s="115" t="s">
        <v>3757</v>
      </c>
      <c r="F1563" s="115" t="s">
        <v>3758</v>
      </c>
      <c r="G1563" s="115" t="s">
        <v>3759</v>
      </c>
      <c r="H1563" s="115" t="s">
        <v>3760</v>
      </c>
    </row>
    <row r="1564" spans="1:8" ht="30" x14ac:dyDescent="0.25">
      <c r="A1564" s="115">
        <v>6286</v>
      </c>
      <c r="B1564" s="115" t="s">
        <v>128</v>
      </c>
      <c r="C1564" s="115" t="s">
        <v>3761</v>
      </c>
      <c r="D1564" s="115">
        <v>1</v>
      </c>
      <c r="E1564" s="115" t="s">
        <v>2270</v>
      </c>
      <c r="F1564" s="115" t="s">
        <v>1409</v>
      </c>
      <c r="G1564" s="115" t="s">
        <v>2271</v>
      </c>
      <c r="H1564" s="115" t="s">
        <v>2272</v>
      </c>
    </row>
    <row r="1565" spans="1:8" ht="30" x14ac:dyDescent="0.25">
      <c r="A1565" s="115">
        <v>6285</v>
      </c>
      <c r="B1565" s="115" t="s">
        <v>128</v>
      </c>
      <c r="C1565" s="115" t="s">
        <v>3762</v>
      </c>
      <c r="D1565" s="115">
        <v>1</v>
      </c>
      <c r="E1565" s="115" t="s">
        <v>3763</v>
      </c>
      <c r="F1565" s="115" t="s">
        <v>2266</v>
      </c>
      <c r="G1565" s="115" t="s">
        <v>2267</v>
      </c>
      <c r="H1565" s="115" t="s">
        <v>2268</v>
      </c>
    </row>
    <row r="1566" spans="1:8" ht="30" x14ac:dyDescent="0.25">
      <c r="A1566" s="115">
        <v>6284</v>
      </c>
      <c r="B1566" s="115" t="s">
        <v>128</v>
      </c>
      <c r="C1566" s="115" t="s">
        <v>3764</v>
      </c>
      <c r="D1566" s="115">
        <v>1</v>
      </c>
      <c r="E1566" s="115" t="s">
        <v>2274</v>
      </c>
      <c r="F1566" s="115" t="s">
        <v>2274</v>
      </c>
      <c r="G1566" s="115" t="s">
        <v>2274</v>
      </c>
      <c r="H1566" s="115" t="s">
        <v>2274</v>
      </c>
    </row>
    <row r="1567" spans="1:8" ht="30" x14ac:dyDescent="0.25">
      <c r="A1567" s="115">
        <v>6283</v>
      </c>
      <c r="B1567" s="115" t="s">
        <v>128</v>
      </c>
      <c r="C1567" s="115" t="s">
        <v>3765</v>
      </c>
      <c r="D1567" s="115">
        <v>1</v>
      </c>
      <c r="E1567" s="115" t="s">
        <v>1338</v>
      </c>
      <c r="F1567" s="115" t="s">
        <v>1339</v>
      </c>
      <c r="G1567" s="115" t="s">
        <v>1340</v>
      </c>
      <c r="H1567" s="115" t="s">
        <v>1341</v>
      </c>
    </row>
    <row r="1568" spans="1:8" ht="30" x14ac:dyDescent="0.25">
      <c r="A1568" s="115">
        <v>6282</v>
      </c>
      <c r="B1568" s="115" t="s">
        <v>128</v>
      </c>
      <c r="C1568" s="115" t="s">
        <v>3766</v>
      </c>
      <c r="D1568" s="115">
        <v>1</v>
      </c>
      <c r="E1568" s="115">
        <v>5</v>
      </c>
      <c r="F1568" s="115">
        <v>5</v>
      </c>
      <c r="G1568" s="115">
        <v>5</v>
      </c>
      <c r="H1568" s="115">
        <v>5</v>
      </c>
    </row>
    <row r="1569" spans="1:8" ht="90" x14ac:dyDescent="0.25">
      <c r="A1569" s="115">
        <v>6281</v>
      </c>
      <c r="B1569" s="115" t="s">
        <v>128</v>
      </c>
      <c r="C1569" s="115" t="s">
        <v>3767</v>
      </c>
      <c r="D1569" s="115">
        <v>1</v>
      </c>
      <c r="E1569" s="115" t="s">
        <v>3768</v>
      </c>
      <c r="F1569" s="115" t="s">
        <v>3769</v>
      </c>
      <c r="G1569" s="115" t="s">
        <v>3770</v>
      </c>
      <c r="H1569" s="115" t="s">
        <v>3771</v>
      </c>
    </row>
    <row r="1570" spans="1:8" ht="30" x14ac:dyDescent="0.25">
      <c r="A1570" s="115">
        <v>6280</v>
      </c>
      <c r="B1570" s="115" t="s">
        <v>128</v>
      </c>
      <c r="C1570" s="115" t="s">
        <v>3772</v>
      </c>
      <c r="D1570" s="115">
        <v>1</v>
      </c>
      <c r="E1570" s="115" t="s">
        <v>764</v>
      </c>
      <c r="F1570" s="115" t="s">
        <v>765</v>
      </c>
      <c r="G1570" s="115" t="s">
        <v>766</v>
      </c>
      <c r="H1570" s="115" t="s">
        <v>764</v>
      </c>
    </row>
    <row r="1571" spans="1:8" ht="45" x14ac:dyDescent="0.25">
      <c r="A1571" s="115">
        <v>6279</v>
      </c>
      <c r="B1571" s="115" t="s">
        <v>128</v>
      </c>
      <c r="C1571" s="115" t="s">
        <v>3773</v>
      </c>
      <c r="D1571" s="115">
        <v>1</v>
      </c>
      <c r="E1571" s="115" t="s">
        <v>3774</v>
      </c>
      <c r="F1571" s="115" t="s">
        <v>3775</v>
      </c>
      <c r="G1571" s="115" t="s">
        <v>3776</v>
      </c>
      <c r="H1571" s="115" t="s">
        <v>3777</v>
      </c>
    </row>
    <row r="1572" spans="1:8" ht="30" x14ac:dyDescent="0.25">
      <c r="A1572" s="115">
        <v>6278</v>
      </c>
      <c r="B1572" s="115" t="s">
        <v>128</v>
      </c>
      <c r="C1572" s="115" t="s">
        <v>3778</v>
      </c>
      <c r="D1572" s="115">
        <v>1</v>
      </c>
      <c r="E1572" s="115" t="s">
        <v>3779</v>
      </c>
      <c r="F1572" s="115" t="s">
        <v>3780</v>
      </c>
      <c r="G1572" s="115" t="s">
        <v>3781</v>
      </c>
      <c r="H1572" s="115" t="s">
        <v>3782</v>
      </c>
    </row>
    <row r="1573" spans="1:8" ht="30" x14ac:dyDescent="0.25">
      <c r="A1573" s="115">
        <v>6277</v>
      </c>
      <c r="B1573" s="115" t="s">
        <v>128</v>
      </c>
      <c r="C1573" s="115" t="s">
        <v>3783</v>
      </c>
      <c r="D1573" s="115">
        <v>1</v>
      </c>
      <c r="E1573" s="115">
        <v>2014</v>
      </c>
      <c r="F1573" s="115">
        <v>2014</v>
      </c>
      <c r="G1573" s="115">
        <v>2014</v>
      </c>
      <c r="H1573" s="115">
        <v>2014</v>
      </c>
    </row>
    <row r="1574" spans="1:8" ht="30" x14ac:dyDescent="0.25">
      <c r="A1574" s="115">
        <v>6276</v>
      </c>
      <c r="B1574" s="115" t="s">
        <v>128</v>
      </c>
      <c r="C1574" s="115" t="s">
        <v>3784</v>
      </c>
      <c r="D1574" s="115">
        <v>1</v>
      </c>
      <c r="E1574" s="115">
        <v>278</v>
      </c>
      <c r="F1574" s="115">
        <v>278</v>
      </c>
      <c r="G1574" s="115">
        <v>278</v>
      </c>
      <c r="H1574" s="115">
        <v>278</v>
      </c>
    </row>
    <row r="1575" spans="1:8" ht="30" x14ac:dyDescent="0.25">
      <c r="A1575" s="115">
        <v>6275</v>
      </c>
      <c r="B1575" s="115" t="s">
        <v>128</v>
      </c>
      <c r="C1575" s="115" t="s">
        <v>3785</v>
      </c>
      <c r="D1575" s="115">
        <v>1</v>
      </c>
      <c r="E1575" s="115">
        <v>2013</v>
      </c>
      <c r="F1575" s="115">
        <v>2013</v>
      </c>
      <c r="G1575" s="115">
        <v>2013</v>
      </c>
      <c r="H1575" s="115">
        <v>2013</v>
      </c>
    </row>
    <row r="1576" spans="1:8" ht="30" x14ac:dyDescent="0.25">
      <c r="A1576" s="115">
        <v>6274</v>
      </c>
      <c r="B1576" s="115" t="s">
        <v>128</v>
      </c>
      <c r="C1576" s="115" t="s">
        <v>3786</v>
      </c>
      <c r="D1576" s="115">
        <v>1</v>
      </c>
      <c r="E1576" s="115">
        <v>305</v>
      </c>
      <c r="F1576" s="115">
        <v>305</v>
      </c>
      <c r="G1576" s="115">
        <v>305</v>
      </c>
      <c r="H1576" s="115">
        <v>305</v>
      </c>
    </row>
    <row r="1577" spans="1:8" ht="30" x14ac:dyDescent="0.25">
      <c r="A1577" s="115">
        <v>6273</v>
      </c>
      <c r="B1577" s="115" t="s">
        <v>128</v>
      </c>
      <c r="C1577" s="115" t="s">
        <v>3787</v>
      </c>
      <c r="D1577" s="115">
        <v>1</v>
      </c>
      <c r="E1577" s="115">
        <v>2012</v>
      </c>
      <c r="F1577" s="115">
        <v>2012</v>
      </c>
      <c r="G1577" s="115">
        <v>2012</v>
      </c>
      <c r="H1577" s="115">
        <v>2012</v>
      </c>
    </row>
    <row r="1578" spans="1:8" ht="30" x14ac:dyDescent="0.25">
      <c r="A1578" s="115">
        <v>6272</v>
      </c>
      <c r="B1578" s="115" t="s">
        <v>128</v>
      </c>
      <c r="C1578" s="115" t="s">
        <v>3788</v>
      </c>
      <c r="D1578" s="115">
        <v>1</v>
      </c>
      <c r="E1578" s="115">
        <v>358</v>
      </c>
      <c r="F1578" s="115">
        <v>358</v>
      </c>
      <c r="G1578" s="115">
        <v>358</v>
      </c>
      <c r="H1578" s="115">
        <v>358</v>
      </c>
    </row>
    <row r="1579" spans="1:8" ht="30" x14ac:dyDescent="0.25">
      <c r="A1579" s="115">
        <v>6271</v>
      </c>
      <c r="B1579" s="115" t="s">
        <v>128</v>
      </c>
      <c r="C1579" s="115" t="s">
        <v>3789</v>
      </c>
      <c r="D1579" s="115">
        <v>1</v>
      </c>
      <c r="E1579" s="115">
        <v>2011</v>
      </c>
      <c r="F1579" s="115">
        <v>2011</v>
      </c>
      <c r="G1579" s="115">
        <v>2011</v>
      </c>
      <c r="H1579" s="115">
        <v>2011</v>
      </c>
    </row>
    <row r="1580" spans="1:8" ht="30" x14ac:dyDescent="0.25">
      <c r="A1580" s="115">
        <v>6270</v>
      </c>
      <c r="B1580" s="115" t="s">
        <v>128</v>
      </c>
      <c r="C1580" s="115" t="s">
        <v>3790</v>
      </c>
      <c r="D1580" s="115">
        <v>1</v>
      </c>
      <c r="E1580" s="115">
        <v>406</v>
      </c>
      <c r="F1580" s="115">
        <v>406</v>
      </c>
      <c r="G1580" s="115">
        <v>406</v>
      </c>
      <c r="H1580" s="115">
        <v>406</v>
      </c>
    </row>
    <row r="1581" spans="1:8" ht="30" x14ac:dyDescent="0.25">
      <c r="A1581" s="115">
        <v>6269</v>
      </c>
      <c r="B1581" s="115" t="s">
        <v>128</v>
      </c>
      <c r="C1581" s="115" t="s">
        <v>3791</v>
      </c>
      <c r="D1581" s="115">
        <v>1</v>
      </c>
      <c r="E1581" s="115">
        <v>2010</v>
      </c>
      <c r="F1581" s="115">
        <v>2010</v>
      </c>
      <c r="G1581" s="115">
        <v>2010</v>
      </c>
      <c r="H1581" s="115">
        <v>2010</v>
      </c>
    </row>
    <row r="1582" spans="1:8" ht="30" x14ac:dyDescent="0.25">
      <c r="A1582" s="115">
        <v>6268</v>
      </c>
      <c r="B1582" s="115" t="s">
        <v>128</v>
      </c>
      <c r="C1582" s="115" t="s">
        <v>3792</v>
      </c>
      <c r="D1582" s="115">
        <v>1</v>
      </c>
      <c r="E1582" s="115">
        <v>393</v>
      </c>
      <c r="F1582" s="115">
        <v>393</v>
      </c>
      <c r="G1582" s="115">
        <v>393</v>
      </c>
      <c r="H1582" s="115">
        <v>393</v>
      </c>
    </row>
    <row r="1583" spans="1:8" ht="30" x14ac:dyDescent="0.25">
      <c r="A1583" s="115">
        <v>6267</v>
      </c>
      <c r="B1583" s="115" t="s">
        <v>128</v>
      </c>
      <c r="C1583" s="115" t="s">
        <v>3793</v>
      </c>
      <c r="D1583" s="115">
        <v>1</v>
      </c>
      <c r="E1583" s="115" t="s">
        <v>3427</v>
      </c>
      <c r="F1583" s="115" t="s">
        <v>3428</v>
      </c>
      <c r="G1583" s="115" t="s">
        <v>3429</v>
      </c>
      <c r="H1583" s="115" t="s">
        <v>3430</v>
      </c>
    </row>
    <row r="1584" spans="1:8" ht="30" x14ac:dyDescent="0.25">
      <c r="A1584" s="115">
        <v>6266</v>
      </c>
      <c r="B1584" s="115" t="s">
        <v>128</v>
      </c>
      <c r="C1584" s="115" t="s">
        <v>3794</v>
      </c>
      <c r="D1584" s="115">
        <v>1</v>
      </c>
      <c r="E1584" s="115" t="s">
        <v>3779</v>
      </c>
      <c r="F1584" s="115" t="s">
        <v>3780</v>
      </c>
      <c r="G1584" s="115" t="s">
        <v>3781</v>
      </c>
      <c r="H1584" s="115" t="s">
        <v>3782</v>
      </c>
    </row>
    <row r="1585" spans="1:8" ht="30" x14ac:dyDescent="0.25">
      <c r="A1585" s="115">
        <v>6265</v>
      </c>
      <c r="B1585" s="115" t="s">
        <v>128</v>
      </c>
      <c r="C1585" s="115" t="s">
        <v>3795</v>
      </c>
      <c r="D1585" s="115">
        <v>1</v>
      </c>
      <c r="E1585" s="115" t="s">
        <v>1296</v>
      </c>
      <c r="F1585" s="115" t="s">
        <v>3325</v>
      </c>
      <c r="G1585" s="115" t="s">
        <v>1298</v>
      </c>
      <c r="H1585" s="115" t="s">
        <v>1299</v>
      </c>
    </row>
    <row r="1586" spans="1:8" ht="270" x14ac:dyDescent="0.25">
      <c r="A1586" s="115">
        <v>6264</v>
      </c>
      <c r="B1586" s="115" t="s">
        <v>128</v>
      </c>
      <c r="C1586" s="115" t="s">
        <v>3796</v>
      </c>
      <c r="D1586" s="115">
        <v>1</v>
      </c>
      <c r="E1586" s="115" t="s">
        <v>3797</v>
      </c>
      <c r="F1586" s="115" t="s">
        <v>3798</v>
      </c>
      <c r="G1586" s="115" t="s">
        <v>3799</v>
      </c>
      <c r="H1586" s="115" t="s">
        <v>3800</v>
      </c>
    </row>
    <row r="1587" spans="1:8" x14ac:dyDescent="0.25">
      <c r="A1587" s="115">
        <v>6263</v>
      </c>
      <c r="B1587" s="115" t="s">
        <v>128</v>
      </c>
      <c r="C1587" s="115" t="s">
        <v>3801</v>
      </c>
      <c r="D1587" s="115">
        <v>1</v>
      </c>
      <c r="E1587" s="115">
        <v>4</v>
      </c>
      <c r="F1587" s="115">
        <v>4</v>
      </c>
      <c r="G1587" s="115">
        <v>4</v>
      </c>
      <c r="H1587" s="115">
        <v>4</v>
      </c>
    </row>
    <row r="1588" spans="1:8" ht="30" x14ac:dyDescent="0.25">
      <c r="A1588" s="115">
        <v>6262</v>
      </c>
      <c r="B1588" s="115" t="s">
        <v>128</v>
      </c>
      <c r="C1588" s="115" t="s">
        <v>3802</v>
      </c>
      <c r="D1588" s="115">
        <v>1</v>
      </c>
      <c r="E1588" s="115" t="s">
        <v>1423</v>
      </c>
      <c r="F1588" s="115" t="s">
        <v>1424</v>
      </c>
      <c r="G1588" s="115" t="s">
        <v>1425</v>
      </c>
      <c r="H1588" s="115" t="s">
        <v>1426</v>
      </c>
    </row>
    <row r="1589" spans="1:8" ht="30" x14ac:dyDescent="0.25">
      <c r="A1589" s="115">
        <v>6261</v>
      </c>
      <c r="B1589" s="115" t="s">
        <v>128</v>
      </c>
      <c r="C1589" s="115" t="s">
        <v>3803</v>
      </c>
      <c r="D1589" s="115">
        <v>1</v>
      </c>
      <c r="E1589" s="115" t="s">
        <v>1429</v>
      </c>
      <c r="F1589" s="115" t="s">
        <v>3804</v>
      </c>
      <c r="G1589" s="115" t="s">
        <v>1429</v>
      </c>
      <c r="H1589" s="115" t="s">
        <v>1429</v>
      </c>
    </row>
    <row r="1590" spans="1:8" x14ac:dyDescent="0.25">
      <c r="A1590" s="115">
        <v>6260</v>
      </c>
      <c r="B1590" s="115" t="s">
        <v>128</v>
      </c>
      <c r="C1590" s="115" t="s">
        <v>3805</v>
      </c>
      <c r="D1590" s="115">
        <v>1</v>
      </c>
      <c r="E1590" s="115" t="s">
        <v>3806</v>
      </c>
      <c r="F1590" s="115" t="s">
        <v>3807</v>
      </c>
      <c r="G1590" s="115" t="s">
        <v>3806</v>
      </c>
      <c r="H1590" s="115" t="s">
        <v>3806</v>
      </c>
    </row>
    <row r="1591" spans="1:8" ht="30" x14ac:dyDescent="0.25">
      <c r="A1591" s="115">
        <v>6259</v>
      </c>
      <c r="B1591" s="115" t="s">
        <v>128</v>
      </c>
      <c r="C1591" s="115" t="s">
        <v>3808</v>
      </c>
      <c r="D1591" s="115">
        <v>1</v>
      </c>
      <c r="E1591" s="115" t="s">
        <v>3809</v>
      </c>
      <c r="F1591" s="115" t="s">
        <v>3810</v>
      </c>
      <c r="G1591" s="115" t="s">
        <v>3811</v>
      </c>
      <c r="H1591" s="115" t="s">
        <v>3812</v>
      </c>
    </row>
    <row r="1592" spans="1:8" ht="30" x14ac:dyDescent="0.25">
      <c r="A1592" s="115">
        <v>6258</v>
      </c>
      <c r="B1592" s="115" t="s">
        <v>128</v>
      </c>
      <c r="C1592" s="115" t="s">
        <v>3813</v>
      </c>
      <c r="D1592" s="115">
        <v>1</v>
      </c>
      <c r="E1592" s="115" t="s">
        <v>764</v>
      </c>
      <c r="F1592" s="115" t="s">
        <v>765</v>
      </c>
      <c r="G1592" s="115" t="s">
        <v>766</v>
      </c>
      <c r="H1592" s="115" t="s">
        <v>764</v>
      </c>
    </row>
    <row r="1593" spans="1:8" ht="30" x14ac:dyDescent="0.25">
      <c r="A1593" s="115">
        <v>6257</v>
      </c>
      <c r="B1593" s="115" t="s">
        <v>128</v>
      </c>
      <c r="C1593" s="115" t="s">
        <v>3814</v>
      </c>
      <c r="D1593" s="115">
        <v>1</v>
      </c>
    </row>
    <row r="1594" spans="1:8" ht="30" x14ac:dyDescent="0.25">
      <c r="A1594" s="115">
        <v>6256</v>
      </c>
      <c r="B1594" s="115" t="s">
        <v>128</v>
      </c>
      <c r="C1594" s="115" t="s">
        <v>3815</v>
      </c>
      <c r="D1594" s="115">
        <v>1</v>
      </c>
      <c r="E1594" s="115" t="s">
        <v>3816</v>
      </c>
      <c r="F1594" s="115" t="s">
        <v>3816</v>
      </c>
      <c r="G1594" s="115" t="s">
        <v>3816</v>
      </c>
      <c r="H1594" s="115" t="s">
        <v>3816</v>
      </c>
    </row>
    <row r="1595" spans="1:8" ht="30" x14ac:dyDescent="0.25">
      <c r="A1595" s="115">
        <v>6255</v>
      </c>
      <c r="B1595" s="115" t="s">
        <v>128</v>
      </c>
      <c r="C1595" s="115" t="s">
        <v>3817</v>
      </c>
      <c r="D1595" s="115">
        <v>1</v>
      </c>
      <c r="E1595" s="115" t="s">
        <v>3818</v>
      </c>
      <c r="F1595" s="115" t="s">
        <v>3819</v>
      </c>
      <c r="G1595" s="115" t="s">
        <v>3820</v>
      </c>
      <c r="H1595" s="115" t="s">
        <v>3821</v>
      </c>
    </row>
    <row r="1596" spans="1:8" ht="30" x14ac:dyDescent="0.25">
      <c r="A1596" s="115">
        <v>6254</v>
      </c>
      <c r="B1596" s="115" t="s">
        <v>128</v>
      </c>
      <c r="C1596" s="115" t="s">
        <v>3822</v>
      </c>
      <c r="D1596" s="115">
        <v>1</v>
      </c>
      <c r="E1596" s="115" t="s">
        <v>3823</v>
      </c>
      <c r="F1596" s="115" t="s">
        <v>3824</v>
      </c>
      <c r="G1596" s="115" t="s">
        <v>3825</v>
      </c>
      <c r="H1596" s="115" t="s">
        <v>3826</v>
      </c>
    </row>
    <row r="1597" spans="1:8" ht="30" x14ac:dyDescent="0.25">
      <c r="A1597" s="115">
        <v>6253</v>
      </c>
      <c r="B1597" s="115" t="s">
        <v>128</v>
      </c>
      <c r="C1597" s="115" t="s">
        <v>3827</v>
      </c>
      <c r="D1597" s="115">
        <v>1</v>
      </c>
      <c r="E1597" s="115" t="s">
        <v>3828</v>
      </c>
      <c r="F1597" s="115" t="s">
        <v>3829</v>
      </c>
      <c r="G1597" s="115" t="s">
        <v>3830</v>
      </c>
      <c r="H1597" s="115" t="s">
        <v>3831</v>
      </c>
    </row>
    <row r="1598" spans="1:8" ht="30" x14ac:dyDescent="0.25">
      <c r="A1598" s="115">
        <v>6252</v>
      </c>
      <c r="B1598" s="115" t="s">
        <v>128</v>
      </c>
      <c r="C1598" s="115" t="s">
        <v>3832</v>
      </c>
      <c r="D1598" s="115">
        <v>1</v>
      </c>
      <c r="E1598" s="115" t="s">
        <v>3833</v>
      </c>
      <c r="F1598" s="115" t="s">
        <v>3834</v>
      </c>
      <c r="G1598" s="115" t="s">
        <v>3835</v>
      </c>
      <c r="H1598" s="115" t="s">
        <v>3836</v>
      </c>
    </row>
    <row r="1599" spans="1:8" ht="30" x14ac:dyDescent="0.25">
      <c r="A1599" s="115">
        <v>6251</v>
      </c>
      <c r="B1599" s="115" t="s">
        <v>128</v>
      </c>
      <c r="C1599" s="115" t="s">
        <v>3837</v>
      </c>
      <c r="D1599" s="115">
        <v>1</v>
      </c>
      <c r="E1599" s="115" t="s">
        <v>3838</v>
      </c>
      <c r="F1599" s="115" t="s">
        <v>3839</v>
      </c>
      <c r="G1599" s="115" t="s">
        <v>3840</v>
      </c>
      <c r="H1599" s="115" t="s">
        <v>3841</v>
      </c>
    </row>
    <row r="1600" spans="1:8" ht="30" x14ac:dyDescent="0.25">
      <c r="A1600" s="115">
        <v>6250</v>
      </c>
      <c r="B1600" s="115" t="s">
        <v>128</v>
      </c>
      <c r="C1600" s="115" t="s">
        <v>3842</v>
      </c>
      <c r="D1600" s="115">
        <v>1</v>
      </c>
      <c r="E1600" s="115" t="s">
        <v>3843</v>
      </c>
      <c r="F1600" s="115" t="s">
        <v>3844</v>
      </c>
      <c r="G1600" s="115" t="s">
        <v>3845</v>
      </c>
      <c r="H1600" s="115" t="s">
        <v>3846</v>
      </c>
    </row>
    <row r="1601" spans="1:8" ht="30" x14ac:dyDescent="0.25">
      <c r="A1601" s="115">
        <v>6249</v>
      </c>
      <c r="B1601" s="115" t="s">
        <v>128</v>
      </c>
      <c r="C1601" s="115" t="s">
        <v>3847</v>
      </c>
      <c r="D1601" s="115">
        <v>1</v>
      </c>
      <c r="E1601" s="115" t="s">
        <v>3848</v>
      </c>
      <c r="F1601" s="115" t="s">
        <v>3849</v>
      </c>
      <c r="G1601" s="115" t="s">
        <v>3850</v>
      </c>
      <c r="H1601" s="115" t="s">
        <v>3851</v>
      </c>
    </row>
    <row r="1602" spans="1:8" ht="30" x14ac:dyDescent="0.25">
      <c r="A1602" s="115">
        <v>6248</v>
      </c>
      <c r="B1602" s="115" t="s">
        <v>128</v>
      </c>
      <c r="C1602" s="115" t="s">
        <v>3852</v>
      </c>
      <c r="D1602" s="115">
        <v>1</v>
      </c>
      <c r="E1602" s="115" t="s">
        <v>3853</v>
      </c>
      <c r="F1602" s="115" t="s">
        <v>3854</v>
      </c>
      <c r="G1602" s="115" t="s">
        <v>3855</v>
      </c>
      <c r="H1602" s="115" t="s">
        <v>3856</v>
      </c>
    </row>
    <row r="1603" spans="1:8" ht="30" x14ac:dyDescent="0.25">
      <c r="A1603" s="115">
        <v>6247</v>
      </c>
      <c r="B1603" s="115" t="s">
        <v>128</v>
      </c>
      <c r="C1603" s="115" t="s">
        <v>3857</v>
      </c>
      <c r="D1603" s="115">
        <v>1</v>
      </c>
    </row>
    <row r="1604" spans="1:8" ht="165" x14ac:dyDescent="0.25">
      <c r="A1604" s="115">
        <v>6246</v>
      </c>
      <c r="B1604" s="115" t="s">
        <v>128</v>
      </c>
      <c r="C1604" s="115" t="s">
        <v>3858</v>
      </c>
      <c r="D1604" s="115">
        <v>1</v>
      </c>
      <c r="E1604" s="115" t="s">
        <v>3859</v>
      </c>
      <c r="F1604" s="115" t="s">
        <v>3860</v>
      </c>
      <c r="G1604" s="115" t="s">
        <v>3861</v>
      </c>
      <c r="H1604" s="115" t="s">
        <v>3862</v>
      </c>
    </row>
    <row r="1605" spans="1:8" ht="225" x14ac:dyDescent="0.25">
      <c r="A1605" s="115">
        <v>6245</v>
      </c>
      <c r="B1605" s="115" t="s">
        <v>128</v>
      </c>
      <c r="C1605" s="115" t="s">
        <v>3863</v>
      </c>
      <c r="D1605" s="115">
        <v>1</v>
      </c>
      <c r="E1605" s="115" t="s">
        <v>3864</v>
      </c>
      <c r="F1605" s="115" t="s">
        <v>3865</v>
      </c>
      <c r="G1605" s="115" t="s">
        <v>3866</v>
      </c>
      <c r="H1605" s="115" t="s">
        <v>3867</v>
      </c>
    </row>
    <row r="1606" spans="1:8" ht="30" x14ac:dyDescent="0.25">
      <c r="A1606" s="115">
        <v>6244</v>
      </c>
      <c r="B1606" s="115" t="s">
        <v>128</v>
      </c>
      <c r="C1606" s="115" t="s">
        <v>3868</v>
      </c>
      <c r="D1606" s="115">
        <v>1</v>
      </c>
      <c r="E1606" s="115" t="s">
        <v>764</v>
      </c>
      <c r="F1606" s="115" t="s">
        <v>765</v>
      </c>
      <c r="G1606" s="115" t="s">
        <v>766</v>
      </c>
      <c r="H1606" s="115" t="s">
        <v>764</v>
      </c>
    </row>
    <row r="1607" spans="1:8" ht="30" x14ac:dyDescent="0.25">
      <c r="A1607" s="115">
        <v>6243</v>
      </c>
      <c r="B1607" s="115" t="s">
        <v>128</v>
      </c>
      <c r="C1607" s="115" t="s">
        <v>3869</v>
      </c>
      <c r="D1607" s="115">
        <v>1</v>
      </c>
    </row>
    <row r="1608" spans="1:8" ht="30" x14ac:dyDescent="0.25">
      <c r="A1608" s="115">
        <v>6242</v>
      </c>
      <c r="B1608" s="115" t="s">
        <v>128</v>
      </c>
      <c r="C1608" s="115" t="s">
        <v>3870</v>
      </c>
      <c r="D1608" s="115">
        <v>1</v>
      </c>
      <c r="E1608" s="115" t="s">
        <v>3871</v>
      </c>
      <c r="F1608" s="115" t="s">
        <v>3871</v>
      </c>
      <c r="G1608" s="115" t="s">
        <v>3871</v>
      </c>
      <c r="H1608" s="115" t="s">
        <v>3871</v>
      </c>
    </row>
    <row r="1609" spans="1:8" ht="30" x14ac:dyDescent="0.25">
      <c r="A1609" s="115">
        <v>6241</v>
      </c>
      <c r="B1609" s="115" t="s">
        <v>128</v>
      </c>
      <c r="C1609" s="115" t="s">
        <v>3872</v>
      </c>
      <c r="D1609" s="115">
        <v>1</v>
      </c>
      <c r="E1609" s="115" t="s">
        <v>3873</v>
      </c>
      <c r="F1609" s="115" t="s">
        <v>3874</v>
      </c>
      <c r="G1609" s="115" t="s">
        <v>3873</v>
      </c>
      <c r="H1609" s="115" t="s">
        <v>3875</v>
      </c>
    </row>
    <row r="1610" spans="1:8" ht="30" x14ac:dyDescent="0.25">
      <c r="A1610" s="115">
        <v>6240</v>
      </c>
      <c r="B1610" s="115" t="s">
        <v>128</v>
      </c>
      <c r="C1610" s="115" t="s">
        <v>3876</v>
      </c>
      <c r="D1610" s="115">
        <v>1</v>
      </c>
      <c r="E1610" s="115" t="s">
        <v>3877</v>
      </c>
      <c r="F1610" s="115" t="s">
        <v>3878</v>
      </c>
      <c r="G1610" s="115" t="s">
        <v>3879</v>
      </c>
      <c r="H1610" s="115" t="s">
        <v>458</v>
      </c>
    </row>
    <row r="1611" spans="1:8" ht="30" x14ac:dyDescent="0.25">
      <c r="A1611" s="115">
        <v>6239</v>
      </c>
      <c r="B1611" s="115" t="s">
        <v>128</v>
      </c>
      <c r="C1611" s="115" t="s">
        <v>3880</v>
      </c>
      <c r="D1611" s="115">
        <v>1</v>
      </c>
      <c r="E1611" s="115" t="s">
        <v>3881</v>
      </c>
      <c r="F1611" s="115" t="s">
        <v>3882</v>
      </c>
      <c r="G1611" s="115" t="s">
        <v>3883</v>
      </c>
      <c r="H1611" s="115" t="s">
        <v>3884</v>
      </c>
    </row>
    <row r="1612" spans="1:8" ht="30" x14ac:dyDescent="0.25">
      <c r="A1612" s="115">
        <v>6238</v>
      </c>
      <c r="B1612" s="115" t="s">
        <v>128</v>
      </c>
      <c r="C1612" s="115" t="s">
        <v>3885</v>
      </c>
      <c r="D1612" s="115">
        <v>1</v>
      </c>
      <c r="E1612" s="115" t="s">
        <v>3886</v>
      </c>
      <c r="F1612" s="115" t="s">
        <v>3887</v>
      </c>
      <c r="G1612" s="115" t="s">
        <v>3888</v>
      </c>
      <c r="H1612" s="115" t="s">
        <v>3889</v>
      </c>
    </row>
    <row r="1613" spans="1:8" ht="30" x14ac:dyDescent="0.25">
      <c r="A1613" s="115">
        <v>6237</v>
      </c>
      <c r="B1613" s="115" t="s">
        <v>128</v>
      </c>
      <c r="C1613" s="115" t="s">
        <v>3890</v>
      </c>
      <c r="D1613" s="115">
        <v>1</v>
      </c>
      <c r="E1613" s="115" t="s">
        <v>3891</v>
      </c>
      <c r="F1613" s="115" t="s">
        <v>3892</v>
      </c>
      <c r="G1613" s="115" t="s">
        <v>3893</v>
      </c>
      <c r="H1613" s="115" t="s">
        <v>3894</v>
      </c>
    </row>
    <row r="1614" spans="1:8" ht="30" x14ac:dyDescent="0.25">
      <c r="A1614" s="115">
        <v>6236</v>
      </c>
      <c r="B1614" s="115" t="s">
        <v>128</v>
      </c>
      <c r="C1614" s="115" t="s">
        <v>3895</v>
      </c>
      <c r="D1614" s="115">
        <v>1</v>
      </c>
      <c r="E1614" s="115" t="s">
        <v>3896</v>
      </c>
      <c r="F1614" s="115" t="s">
        <v>3897</v>
      </c>
      <c r="G1614" s="115" t="s">
        <v>3898</v>
      </c>
      <c r="H1614" s="115" t="s">
        <v>3899</v>
      </c>
    </row>
    <row r="1615" spans="1:8" ht="30" x14ac:dyDescent="0.25">
      <c r="A1615" s="115">
        <v>6235</v>
      </c>
      <c r="B1615" s="115" t="s">
        <v>128</v>
      </c>
      <c r="C1615" s="115" t="s">
        <v>3900</v>
      </c>
      <c r="D1615" s="115">
        <v>1</v>
      </c>
      <c r="E1615" s="115" t="s">
        <v>3901</v>
      </c>
      <c r="F1615" s="115" t="s">
        <v>3902</v>
      </c>
      <c r="G1615" s="115" t="s">
        <v>3903</v>
      </c>
      <c r="H1615" s="115" t="s">
        <v>3904</v>
      </c>
    </row>
    <row r="1616" spans="1:8" ht="30" x14ac:dyDescent="0.25">
      <c r="A1616" s="115">
        <v>6234</v>
      </c>
      <c r="B1616" s="115" t="s">
        <v>128</v>
      </c>
      <c r="C1616" s="115" t="s">
        <v>3905</v>
      </c>
      <c r="D1616" s="115">
        <v>1</v>
      </c>
      <c r="E1616" s="115" t="s">
        <v>3906</v>
      </c>
      <c r="F1616" s="115" t="s">
        <v>3907</v>
      </c>
      <c r="G1616" s="115" t="s">
        <v>3908</v>
      </c>
      <c r="H1616" s="115" t="s">
        <v>3909</v>
      </c>
    </row>
    <row r="1617" spans="1:8" ht="30" x14ac:dyDescent="0.25">
      <c r="A1617" s="115">
        <v>6233</v>
      </c>
      <c r="B1617" s="115" t="s">
        <v>128</v>
      </c>
      <c r="C1617" s="115" t="s">
        <v>3910</v>
      </c>
      <c r="D1617" s="115">
        <v>1</v>
      </c>
    </row>
    <row r="1618" spans="1:8" ht="135" x14ac:dyDescent="0.25">
      <c r="A1618" s="115">
        <v>6232</v>
      </c>
      <c r="B1618" s="115" t="s">
        <v>128</v>
      </c>
      <c r="C1618" s="115" t="s">
        <v>3911</v>
      </c>
      <c r="D1618" s="115">
        <v>1</v>
      </c>
      <c r="E1618" s="115" t="s">
        <v>3912</v>
      </c>
      <c r="F1618" s="115" t="s">
        <v>3913</v>
      </c>
      <c r="G1618" s="115" t="s">
        <v>3914</v>
      </c>
      <c r="H1618" s="115" t="s">
        <v>3915</v>
      </c>
    </row>
    <row r="1619" spans="1:8" ht="60" x14ac:dyDescent="0.25">
      <c r="A1619" s="115">
        <v>6231</v>
      </c>
      <c r="B1619" s="115" t="s">
        <v>128</v>
      </c>
      <c r="C1619" s="115" t="s">
        <v>3916</v>
      </c>
      <c r="D1619" s="115">
        <v>1</v>
      </c>
      <c r="E1619" s="115" t="s">
        <v>2991</v>
      </c>
      <c r="F1619" s="115" t="s">
        <v>2992</v>
      </c>
      <c r="G1619" s="115" t="s">
        <v>2993</v>
      </c>
      <c r="H1619" s="115" t="s">
        <v>2994</v>
      </c>
    </row>
    <row r="1620" spans="1:8" ht="30" x14ac:dyDescent="0.25">
      <c r="A1620" s="115">
        <v>6230</v>
      </c>
      <c r="B1620" s="115" t="s">
        <v>128</v>
      </c>
      <c r="C1620" s="115" t="s">
        <v>3917</v>
      </c>
      <c r="D1620" s="115">
        <v>1</v>
      </c>
      <c r="E1620" s="115" t="s">
        <v>3918</v>
      </c>
      <c r="F1620" s="115" t="s">
        <v>2987</v>
      </c>
      <c r="G1620" s="115" t="s">
        <v>2988</v>
      </c>
      <c r="H1620" s="115" t="s">
        <v>2989</v>
      </c>
    </row>
    <row r="1621" spans="1:8" x14ac:dyDescent="0.25">
      <c r="A1621" s="115">
        <v>6229</v>
      </c>
      <c r="B1621" s="115" t="s">
        <v>128</v>
      </c>
      <c r="C1621" s="115" t="s">
        <v>3919</v>
      </c>
      <c r="D1621" s="115">
        <v>1</v>
      </c>
      <c r="E1621" s="115" t="s">
        <v>2996</v>
      </c>
      <c r="F1621" s="115" t="s">
        <v>2996</v>
      </c>
      <c r="G1621" s="115" t="s">
        <v>2996</v>
      </c>
      <c r="H1621" s="115" t="s">
        <v>2996</v>
      </c>
    </row>
    <row r="1622" spans="1:8" ht="30" x14ac:dyDescent="0.25">
      <c r="A1622" s="115">
        <v>6228</v>
      </c>
      <c r="B1622" s="115" t="s">
        <v>128</v>
      </c>
      <c r="C1622" s="115" t="s">
        <v>3920</v>
      </c>
      <c r="D1622" s="115">
        <v>1</v>
      </c>
      <c r="E1622" s="115" t="s">
        <v>1338</v>
      </c>
      <c r="F1622" s="115" t="s">
        <v>1339</v>
      </c>
      <c r="G1622" s="115" t="s">
        <v>1340</v>
      </c>
      <c r="H1622" s="115" t="s">
        <v>1341</v>
      </c>
    </row>
    <row r="1623" spans="1:8" ht="30" x14ac:dyDescent="0.25">
      <c r="A1623" s="115">
        <v>6227</v>
      </c>
      <c r="B1623" s="115" t="s">
        <v>128</v>
      </c>
      <c r="C1623" s="115" t="s">
        <v>3921</v>
      </c>
      <c r="D1623" s="115">
        <v>1</v>
      </c>
      <c r="E1623" s="115">
        <v>4</v>
      </c>
      <c r="F1623" s="115">
        <v>4</v>
      </c>
      <c r="G1623" s="115">
        <v>4</v>
      </c>
      <c r="H1623" s="115">
        <v>4</v>
      </c>
    </row>
    <row r="1624" spans="1:8" ht="75" x14ac:dyDescent="0.25">
      <c r="A1624" s="115">
        <v>6226</v>
      </c>
      <c r="B1624" s="115" t="s">
        <v>128</v>
      </c>
      <c r="C1624" s="115" t="s">
        <v>3922</v>
      </c>
      <c r="D1624" s="115">
        <v>1</v>
      </c>
      <c r="E1624" s="115" t="s">
        <v>3923</v>
      </c>
      <c r="F1624" s="115" t="s">
        <v>3924</v>
      </c>
      <c r="G1624" s="115" t="s">
        <v>3925</v>
      </c>
      <c r="H1624" s="115" t="s">
        <v>3926</v>
      </c>
    </row>
    <row r="1625" spans="1:8" ht="180" x14ac:dyDescent="0.25">
      <c r="A1625" s="115">
        <v>6225</v>
      </c>
      <c r="B1625" s="115" t="s">
        <v>128</v>
      </c>
      <c r="C1625" s="115" t="s">
        <v>3927</v>
      </c>
      <c r="D1625" s="115">
        <v>1</v>
      </c>
      <c r="E1625" s="115" t="s">
        <v>3928</v>
      </c>
      <c r="F1625" s="115" t="s">
        <v>3929</v>
      </c>
      <c r="G1625" s="115" t="s">
        <v>3930</v>
      </c>
      <c r="H1625" s="115" t="s">
        <v>3931</v>
      </c>
    </row>
    <row r="1626" spans="1:8" x14ac:dyDescent="0.25">
      <c r="A1626" s="115">
        <v>6224</v>
      </c>
      <c r="B1626" s="115" t="s">
        <v>128</v>
      </c>
      <c r="C1626" s="115" t="s">
        <v>3932</v>
      </c>
      <c r="D1626" s="115">
        <v>1</v>
      </c>
      <c r="E1626" s="115" t="s">
        <v>3877</v>
      </c>
      <c r="F1626" s="115" t="s">
        <v>3878</v>
      </c>
      <c r="G1626" s="115" t="s">
        <v>3879</v>
      </c>
      <c r="H1626" s="115" t="s">
        <v>458</v>
      </c>
    </row>
    <row r="1627" spans="1:8" x14ac:dyDescent="0.25">
      <c r="A1627" s="115">
        <v>6223</v>
      </c>
      <c r="B1627" s="115" t="s">
        <v>128</v>
      </c>
      <c r="C1627" s="115" t="s">
        <v>3933</v>
      </c>
      <c r="D1627" s="115">
        <v>1</v>
      </c>
      <c r="E1627" s="115" t="s">
        <v>3881</v>
      </c>
      <c r="F1627" s="115" t="s">
        <v>3882</v>
      </c>
      <c r="G1627" s="115" t="s">
        <v>3883</v>
      </c>
      <c r="H1627" s="115" t="s">
        <v>3884</v>
      </c>
    </row>
    <row r="1628" spans="1:8" x14ac:dyDescent="0.25">
      <c r="A1628" s="115">
        <v>6222</v>
      </c>
      <c r="B1628" s="115" t="s">
        <v>128</v>
      </c>
      <c r="C1628" s="115" t="s">
        <v>3934</v>
      </c>
      <c r="D1628" s="115">
        <v>1</v>
      </c>
      <c r="E1628" s="115" t="s">
        <v>3935</v>
      </c>
      <c r="F1628" s="115" t="s">
        <v>3887</v>
      </c>
      <c r="G1628" s="115" t="s">
        <v>3888</v>
      </c>
      <c r="H1628" s="115" t="s">
        <v>3889</v>
      </c>
    </row>
    <row r="1629" spans="1:8" x14ac:dyDescent="0.25">
      <c r="A1629" s="115">
        <v>6221</v>
      </c>
      <c r="B1629" s="115" t="s">
        <v>128</v>
      </c>
      <c r="C1629" s="115" t="s">
        <v>3936</v>
      </c>
      <c r="D1629" s="115">
        <v>1</v>
      </c>
      <c r="E1629" s="115" t="s">
        <v>3891</v>
      </c>
      <c r="F1629" s="115" t="s">
        <v>3892</v>
      </c>
      <c r="G1629" s="115" t="s">
        <v>3893</v>
      </c>
      <c r="H1629" s="115" t="s">
        <v>3894</v>
      </c>
    </row>
    <row r="1630" spans="1:8" x14ac:dyDescent="0.25">
      <c r="A1630" s="115">
        <v>6220</v>
      </c>
      <c r="B1630" s="115" t="s">
        <v>128</v>
      </c>
      <c r="C1630" s="115" t="s">
        <v>3937</v>
      </c>
      <c r="D1630" s="115">
        <v>1</v>
      </c>
      <c r="E1630" s="115" t="s">
        <v>3896</v>
      </c>
      <c r="F1630" s="115" t="s">
        <v>3897</v>
      </c>
      <c r="G1630" s="115" t="s">
        <v>3898</v>
      </c>
      <c r="H1630" s="115" t="s">
        <v>3899</v>
      </c>
    </row>
    <row r="1631" spans="1:8" x14ac:dyDescent="0.25">
      <c r="A1631" s="115">
        <v>6219</v>
      </c>
      <c r="B1631" s="115" t="s">
        <v>128</v>
      </c>
      <c r="C1631" s="115" t="s">
        <v>3938</v>
      </c>
      <c r="D1631" s="115">
        <v>1</v>
      </c>
      <c r="E1631" s="115" t="s">
        <v>3901</v>
      </c>
      <c r="F1631" s="115" t="s">
        <v>3902</v>
      </c>
      <c r="G1631" s="115" t="s">
        <v>3903</v>
      </c>
      <c r="H1631" s="115" t="s">
        <v>3904</v>
      </c>
    </row>
    <row r="1632" spans="1:8" x14ac:dyDescent="0.25">
      <c r="A1632" s="115">
        <v>6218</v>
      </c>
      <c r="B1632" s="115" t="s">
        <v>128</v>
      </c>
      <c r="C1632" s="115" t="s">
        <v>3939</v>
      </c>
      <c r="D1632" s="115">
        <v>1</v>
      </c>
      <c r="E1632" s="115" t="s">
        <v>3906</v>
      </c>
      <c r="F1632" s="115" t="s">
        <v>3907</v>
      </c>
      <c r="G1632" s="115" t="s">
        <v>3908</v>
      </c>
      <c r="H1632" s="115" t="s">
        <v>3909</v>
      </c>
    </row>
    <row r="1633" spans="1:8" x14ac:dyDescent="0.25">
      <c r="A1633" s="115">
        <v>6217</v>
      </c>
      <c r="B1633" s="115" t="s">
        <v>128</v>
      </c>
      <c r="C1633" s="115" t="s">
        <v>3940</v>
      </c>
      <c r="D1633" s="115">
        <v>1</v>
      </c>
      <c r="E1633" s="115">
        <v>3</v>
      </c>
      <c r="F1633" s="115">
        <v>3</v>
      </c>
      <c r="G1633" s="115">
        <v>3</v>
      </c>
      <c r="H1633" s="115">
        <v>3</v>
      </c>
    </row>
    <row r="1634" spans="1:8" x14ac:dyDescent="0.25">
      <c r="A1634" s="115">
        <v>6216</v>
      </c>
      <c r="B1634" s="115" t="s">
        <v>128</v>
      </c>
      <c r="C1634" s="115" t="s">
        <v>3941</v>
      </c>
      <c r="D1634" s="115">
        <v>1</v>
      </c>
      <c r="E1634" s="115" t="s">
        <v>3942</v>
      </c>
      <c r="F1634" s="115" t="s">
        <v>3943</v>
      </c>
      <c r="G1634" s="115" t="s">
        <v>3944</v>
      </c>
      <c r="H1634" s="115" t="s">
        <v>3945</v>
      </c>
    </row>
    <row r="1635" spans="1:8" ht="30" x14ac:dyDescent="0.25">
      <c r="A1635" s="115">
        <v>6215</v>
      </c>
      <c r="B1635" s="115" t="s">
        <v>128</v>
      </c>
      <c r="C1635" s="115" t="s">
        <v>3946</v>
      </c>
      <c r="D1635" s="115">
        <v>1</v>
      </c>
      <c r="E1635" s="115" t="s">
        <v>3947</v>
      </c>
      <c r="F1635" s="115" t="s">
        <v>3948</v>
      </c>
      <c r="G1635" s="115" t="s">
        <v>3949</v>
      </c>
      <c r="H1635" s="115" t="s">
        <v>3950</v>
      </c>
    </row>
    <row r="1636" spans="1:8" x14ac:dyDescent="0.25">
      <c r="A1636" s="115">
        <v>6214</v>
      </c>
      <c r="B1636" s="115" t="s">
        <v>128</v>
      </c>
      <c r="C1636" s="115" t="s">
        <v>3951</v>
      </c>
      <c r="D1636" s="115">
        <v>1</v>
      </c>
      <c r="E1636" s="115" t="s">
        <v>3952</v>
      </c>
      <c r="F1636" s="115" t="s">
        <v>3952</v>
      </c>
      <c r="G1636" s="115" t="s">
        <v>3952</v>
      </c>
      <c r="H1636" s="115" t="s">
        <v>3952</v>
      </c>
    </row>
    <row r="1637" spans="1:8" ht="30" x14ac:dyDescent="0.25">
      <c r="A1637" s="115">
        <v>6213</v>
      </c>
      <c r="B1637" s="115" t="s">
        <v>128</v>
      </c>
      <c r="C1637" s="115" t="s">
        <v>3953</v>
      </c>
      <c r="D1637" s="115">
        <v>1</v>
      </c>
      <c r="E1637" s="115" t="s">
        <v>3954</v>
      </c>
      <c r="F1637" s="115" t="s">
        <v>3955</v>
      </c>
      <c r="G1637" s="115" t="s">
        <v>3956</v>
      </c>
      <c r="H1637" s="115" t="s">
        <v>3957</v>
      </c>
    </row>
    <row r="1638" spans="1:8" ht="30" x14ac:dyDescent="0.25">
      <c r="A1638" s="115">
        <v>6212</v>
      </c>
      <c r="B1638" s="115" t="s">
        <v>128</v>
      </c>
      <c r="C1638" s="115" t="s">
        <v>3958</v>
      </c>
      <c r="D1638" s="115">
        <v>1</v>
      </c>
      <c r="E1638" s="115" t="s">
        <v>3959</v>
      </c>
      <c r="F1638" s="115" t="s">
        <v>3960</v>
      </c>
      <c r="G1638" s="115" t="s">
        <v>3961</v>
      </c>
      <c r="H1638" s="115" t="s">
        <v>3962</v>
      </c>
    </row>
    <row r="1639" spans="1:8" ht="45" x14ac:dyDescent="0.25">
      <c r="A1639" s="115">
        <v>6211</v>
      </c>
      <c r="B1639" s="115" t="s">
        <v>128</v>
      </c>
      <c r="C1639" s="115" t="s">
        <v>3963</v>
      </c>
      <c r="D1639" s="115">
        <v>1</v>
      </c>
      <c r="E1639" s="115" t="s">
        <v>3964</v>
      </c>
      <c r="F1639" s="115" t="s">
        <v>3965</v>
      </c>
      <c r="G1639" s="115" t="s">
        <v>3966</v>
      </c>
      <c r="H1639" s="115" t="s">
        <v>3967</v>
      </c>
    </row>
    <row r="1640" spans="1:8" ht="30" x14ac:dyDescent="0.25">
      <c r="A1640" s="115">
        <v>6210</v>
      </c>
      <c r="B1640" s="115" t="s">
        <v>128</v>
      </c>
      <c r="C1640" s="115" t="s">
        <v>3968</v>
      </c>
      <c r="D1640" s="115">
        <v>1</v>
      </c>
      <c r="E1640" s="115" t="s">
        <v>3969</v>
      </c>
      <c r="F1640" s="115" t="s">
        <v>3969</v>
      </c>
      <c r="G1640" s="115" t="s">
        <v>3969</v>
      </c>
      <c r="H1640" s="115" t="s">
        <v>3970</v>
      </c>
    </row>
    <row r="1641" spans="1:8" ht="30" x14ac:dyDescent="0.25">
      <c r="A1641" s="115">
        <v>6209</v>
      </c>
      <c r="B1641" s="115" t="s">
        <v>128</v>
      </c>
      <c r="C1641" s="115" t="s">
        <v>3971</v>
      </c>
      <c r="D1641" s="115">
        <v>1</v>
      </c>
      <c r="E1641" s="115" t="s">
        <v>3972</v>
      </c>
      <c r="F1641" s="115" t="s">
        <v>3973</v>
      </c>
      <c r="G1641" s="115" t="s">
        <v>3974</v>
      </c>
      <c r="H1641" s="115" t="s">
        <v>3975</v>
      </c>
    </row>
    <row r="1642" spans="1:8" ht="30" x14ac:dyDescent="0.25">
      <c r="A1642" s="115">
        <v>6208</v>
      </c>
      <c r="B1642" s="115" t="s">
        <v>128</v>
      </c>
      <c r="C1642" s="115" t="s">
        <v>3976</v>
      </c>
      <c r="D1642" s="115">
        <v>1</v>
      </c>
      <c r="E1642" s="115" t="s">
        <v>1033</v>
      </c>
      <c r="F1642" s="115" t="s">
        <v>1034</v>
      </c>
      <c r="G1642" s="115" t="s">
        <v>3977</v>
      </c>
      <c r="H1642" s="115" t="s">
        <v>3978</v>
      </c>
    </row>
    <row r="1643" spans="1:8" ht="30" x14ac:dyDescent="0.25">
      <c r="A1643" s="115">
        <v>6207</v>
      </c>
      <c r="B1643" s="115" t="s">
        <v>128</v>
      </c>
      <c r="C1643" s="115" t="s">
        <v>3979</v>
      </c>
      <c r="D1643" s="115">
        <v>1</v>
      </c>
      <c r="E1643" s="115" t="s">
        <v>3980</v>
      </c>
      <c r="F1643" s="115" t="s">
        <v>3980</v>
      </c>
      <c r="G1643" s="115" t="s">
        <v>3980</v>
      </c>
      <c r="H1643" s="115" t="s">
        <v>3981</v>
      </c>
    </row>
    <row r="1644" spans="1:8" ht="45" x14ac:dyDescent="0.25">
      <c r="A1644" s="115">
        <v>6206</v>
      </c>
      <c r="B1644" s="115" t="s">
        <v>128</v>
      </c>
      <c r="C1644" s="115" t="s">
        <v>3982</v>
      </c>
      <c r="D1644" s="115">
        <v>1</v>
      </c>
      <c r="E1644" s="115" t="s">
        <v>3983</v>
      </c>
      <c r="F1644" s="115" t="s">
        <v>3984</v>
      </c>
      <c r="G1644" s="115" t="s">
        <v>3985</v>
      </c>
      <c r="H1644" s="115" t="s">
        <v>3986</v>
      </c>
    </row>
    <row r="1645" spans="1:8" ht="30" x14ac:dyDescent="0.25">
      <c r="A1645" s="115">
        <v>6205</v>
      </c>
      <c r="B1645" s="115" t="s">
        <v>128</v>
      </c>
      <c r="C1645" s="115" t="s">
        <v>3987</v>
      </c>
      <c r="D1645" s="115">
        <v>1</v>
      </c>
      <c r="E1645" s="115" t="s">
        <v>3988</v>
      </c>
      <c r="F1645" s="115" t="s">
        <v>3989</v>
      </c>
      <c r="G1645" s="115" t="s">
        <v>3990</v>
      </c>
      <c r="H1645" s="115" t="s">
        <v>3991</v>
      </c>
    </row>
    <row r="1646" spans="1:8" ht="30" x14ac:dyDescent="0.25">
      <c r="A1646" s="115">
        <v>6204</v>
      </c>
      <c r="B1646" s="115" t="s">
        <v>128</v>
      </c>
      <c r="C1646" s="115" t="s">
        <v>3992</v>
      </c>
      <c r="D1646" s="115">
        <v>1</v>
      </c>
      <c r="E1646" s="115" t="s">
        <v>3993</v>
      </c>
      <c r="F1646" s="115" t="s">
        <v>3993</v>
      </c>
      <c r="G1646" s="115" t="s">
        <v>3993</v>
      </c>
      <c r="H1646" s="115" t="s">
        <v>3994</v>
      </c>
    </row>
    <row r="1647" spans="1:8" ht="45" x14ac:dyDescent="0.25">
      <c r="A1647" s="115">
        <v>6203</v>
      </c>
      <c r="B1647" s="115" t="s">
        <v>128</v>
      </c>
      <c r="C1647" s="115" t="s">
        <v>3995</v>
      </c>
      <c r="D1647" s="115">
        <v>1</v>
      </c>
      <c r="E1647" s="115" t="s">
        <v>3996</v>
      </c>
      <c r="F1647" s="115" t="s">
        <v>3997</v>
      </c>
      <c r="G1647" s="115" t="s">
        <v>3998</v>
      </c>
      <c r="H1647" s="115" t="s">
        <v>3999</v>
      </c>
    </row>
    <row r="1648" spans="1:8" ht="30" x14ac:dyDescent="0.25">
      <c r="A1648" s="115">
        <v>6202</v>
      </c>
      <c r="B1648" s="115" t="s">
        <v>128</v>
      </c>
      <c r="C1648" s="115" t="s">
        <v>4000</v>
      </c>
      <c r="D1648" s="115">
        <v>1</v>
      </c>
      <c r="E1648" s="115" t="s">
        <v>4001</v>
      </c>
      <c r="F1648" s="115" t="s">
        <v>4002</v>
      </c>
      <c r="G1648" s="115" t="s">
        <v>4003</v>
      </c>
      <c r="H1648" s="115" t="s">
        <v>4004</v>
      </c>
    </row>
    <row r="1649" spans="1:8" ht="30" x14ac:dyDescent="0.25">
      <c r="A1649" s="115">
        <v>6201</v>
      </c>
      <c r="B1649" s="115" t="s">
        <v>128</v>
      </c>
      <c r="C1649" s="115" t="s">
        <v>4005</v>
      </c>
      <c r="D1649" s="115">
        <v>1</v>
      </c>
      <c r="E1649" s="115" t="s">
        <v>4006</v>
      </c>
      <c r="F1649" s="115" t="s">
        <v>4006</v>
      </c>
      <c r="G1649" s="115" t="s">
        <v>4006</v>
      </c>
      <c r="H1649" s="115" t="s">
        <v>4007</v>
      </c>
    </row>
    <row r="1650" spans="1:8" ht="30" x14ac:dyDescent="0.25">
      <c r="A1650" s="115">
        <v>6200</v>
      </c>
      <c r="B1650" s="115" t="s">
        <v>128</v>
      </c>
      <c r="C1650" s="115" t="s">
        <v>4008</v>
      </c>
      <c r="D1650" s="115">
        <v>1</v>
      </c>
      <c r="E1650" s="115" t="s">
        <v>4009</v>
      </c>
      <c r="F1650" s="115" t="s">
        <v>4010</v>
      </c>
      <c r="G1650" s="115" t="s">
        <v>4011</v>
      </c>
      <c r="H1650" s="115" t="s">
        <v>4012</v>
      </c>
    </row>
    <row r="1651" spans="1:8" ht="30" x14ac:dyDescent="0.25">
      <c r="A1651" s="115">
        <v>6199</v>
      </c>
      <c r="B1651" s="115" t="s">
        <v>128</v>
      </c>
      <c r="C1651" s="115" t="s">
        <v>4013</v>
      </c>
      <c r="D1651" s="115">
        <v>1</v>
      </c>
      <c r="E1651" s="115" t="s">
        <v>4014</v>
      </c>
      <c r="F1651" s="115" t="s">
        <v>4015</v>
      </c>
      <c r="G1651" s="115" t="s">
        <v>4016</v>
      </c>
      <c r="H1651" s="115" t="s">
        <v>4017</v>
      </c>
    </row>
    <row r="1652" spans="1:8" ht="30" x14ac:dyDescent="0.25">
      <c r="A1652" s="115">
        <v>6198</v>
      </c>
      <c r="B1652" s="115" t="s">
        <v>128</v>
      </c>
      <c r="C1652" s="115" t="s">
        <v>4018</v>
      </c>
      <c r="D1652" s="115">
        <v>1</v>
      </c>
      <c r="E1652" s="115" t="s">
        <v>4019</v>
      </c>
      <c r="F1652" s="115" t="s">
        <v>4019</v>
      </c>
      <c r="G1652" s="115" t="s">
        <v>4019</v>
      </c>
      <c r="H1652" s="115" t="s">
        <v>4020</v>
      </c>
    </row>
    <row r="1653" spans="1:8" ht="30" x14ac:dyDescent="0.25">
      <c r="A1653" s="115">
        <v>6197</v>
      </c>
      <c r="B1653" s="115" t="s">
        <v>128</v>
      </c>
      <c r="C1653" s="115" t="s">
        <v>4021</v>
      </c>
      <c r="D1653" s="115">
        <v>1</v>
      </c>
      <c r="E1653" s="115" t="s">
        <v>4022</v>
      </c>
      <c r="F1653" s="115" t="s">
        <v>4023</v>
      </c>
      <c r="G1653" s="115" t="s">
        <v>4024</v>
      </c>
      <c r="H1653" s="115" t="s">
        <v>4025</v>
      </c>
    </row>
    <row r="1654" spans="1:8" ht="30" x14ac:dyDescent="0.25">
      <c r="A1654" s="115">
        <v>6196</v>
      </c>
      <c r="B1654" s="115" t="s">
        <v>128</v>
      </c>
      <c r="C1654" s="115" t="s">
        <v>4026</v>
      </c>
      <c r="D1654" s="115">
        <v>1</v>
      </c>
      <c r="E1654" s="115" t="s">
        <v>528</v>
      </c>
      <c r="F1654" s="115" t="s">
        <v>529</v>
      </c>
      <c r="G1654" s="115" t="s">
        <v>4027</v>
      </c>
      <c r="H1654" s="115" t="s">
        <v>530</v>
      </c>
    </row>
    <row r="1655" spans="1:8" ht="45" x14ac:dyDescent="0.25">
      <c r="A1655" s="115">
        <v>6195</v>
      </c>
      <c r="B1655" s="115" t="s">
        <v>128</v>
      </c>
      <c r="C1655" s="115" t="s">
        <v>4028</v>
      </c>
      <c r="D1655" s="115">
        <v>1</v>
      </c>
      <c r="E1655" s="115" t="s">
        <v>4029</v>
      </c>
      <c r="F1655" s="115" t="s">
        <v>4029</v>
      </c>
      <c r="G1655" s="115" t="s">
        <v>4029</v>
      </c>
      <c r="H1655" s="115" t="s">
        <v>4030</v>
      </c>
    </row>
    <row r="1656" spans="1:8" ht="30" x14ac:dyDescent="0.25">
      <c r="A1656" s="115">
        <v>6194</v>
      </c>
      <c r="B1656" s="115" t="s">
        <v>128</v>
      </c>
      <c r="C1656" s="115" t="s">
        <v>4031</v>
      </c>
      <c r="D1656" s="115">
        <v>1</v>
      </c>
      <c r="E1656" s="115" t="s">
        <v>4032</v>
      </c>
      <c r="F1656" s="115" t="s">
        <v>4033</v>
      </c>
      <c r="G1656" s="115" t="s">
        <v>4034</v>
      </c>
      <c r="H1656" s="115" t="s">
        <v>4035</v>
      </c>
    </row>
    <row r="1657" spans="1:8" ht="30" x14ac:dyDescent="0.25">
      <c r="A1657" s="115">
        <v>6193</v>
      </c>
      <c r="B1657" s="115" t="s">
        <v>128</v>
      </c>
      <c r="C1657" s="115" t="s">
        <v>4036</v>
      </c>
      <c r="D1657" s="115">
        <v>1</v>
      </c>
      <c r="E1657" s="115" t="s">
        <v>985</v>
      </c>
      <c r="F1657" s="115" t="s">
        <v>516</v>
      </c>
      <c r="G1657" s="115" t="s">
        <v>4037</v>
      </c>
      <c r="H1657" s="115" t="s">
        <v>517</v>
      </c>
    </row>
    <row r="1658" spans="1:8" ht="30" x14ac:dyDescent="0.25">
      <c r="A1658" s="115">
        <v>6192</v>
      </c>
      <c r="B1658" s="115" t="s">
        <v>128</v>
      </c>
      <c r="C1658" s="115" t="s">
        <v>4038</v>
      </c>
      <c r="D1658" s="115">
        <v>1</v>
      </c>
      <c r="E1658" s="115" t="s">
        <v>4039</v>
      </c>
      <c r="F1658" s="115" t="s">
        <v>4039</v>
      </c>
      <c r="G1658" s="115" t="s">
        <v>4039</v>
      </c>
      <c r="H1658" s="115" t="s">
        <v>4040</v>
      </c>
    </row>
    <row r="1659" spans="1:8" ht="30" x14ac:dyDescent="0.25">
      <c r="A1659" s="115">
        <v>6191</v>
      </c>
      <c r="B1659" s="115" t="s">
        <v>128</v>
      </c>
      <c r="C1659" s="115" t="s">
        <v>4041</v>
      </c>
      <c r="D1659" s="115">
        <v>1</v>
      </c>
      <c r="E1659" s="115" t="s">
        <v>4042</v>
      </c>
      <c r="F1659" s="115" t="s">
        <v>4043</v>
      </c>
      <c r="G1659" s="115" t="s">
        <v>4044</v>
      </c>
      <c r="H1659" s="115" t="s">
        <v>4045</v>
      </c>
    </row>
    <row r="1660" spans="1:8" ht="30" x14ac:dyDescent="0.25">
      <c r="A1660" s="115">
        <v>6190</v>
      </c>
      <c r="B1660" s="115" t="s">
        <v>128</v>
      </c>
      <c r="C1660" s="115" t="s">
        <v>4046</v>
      </c>
      <c r="D1660" s="115">
        <v>1</v>
      </c>
      <c r="E1660" s="115" t="s">
        <v>4047</v>
      </c>
      <c r="F1660" s="115" t="s">
        <v>4048</v>
      </c>
      <c r="G1660" s="115" t="s">
        <v>4049</v>
      </c>
      <c r="H1660" s="115" t="s">
        <v>980</v>
      </c>
    </row>
    <row r="1661" spans="1:8" ht="30" x14ac:dyDescent="0.25">
      <c r="A1661" s="115">
        <v>6189</v>
      </c>
      <c r="B1661" s="115" t="s">
        <v>128</v>
      </c>
      <c r="C1661" s="115" t="s">
        <v>4050</v>
      </c>
      <c r="D1661" s="115">
        <v>1</v>
      </c>
      <c r="E1661" s="115" t="s">
        <v>4051</v>
      </c>
      <c r="F1661" s="115" t="s">
        <v>4051</v>
      </c>
      <c r="G1661" s="115" t="s">
        <v>4051</v>
      </c>
      <c r="H1661" s="115" t="s">
        <v>4052</v>
      </c>
    </row>
    <row r="1662" spans="1:8" ht="30" x14ac:dyDescent="0.25">
      <c r="A1662" s="115">
        <v>6188</v>
      </c>
      <c r="B1662" s="115" t="s">
        <v>128</v>
      </c>
      <c r="C1662" s="115" t="s">
        <v>4053</v>
      </c>
      <c r="D1662" s="115">
        <v>1</v>
      </c>
      <c r="E1662" s="115" t="s">
        <v>4054</v>
      </c>
      <c r="F1662" s="115" t="s">
        <v>4055</v>
      </c>
      <c r="G1662" s="115" t="s">
        <v>4056</v>
      </c>
      <c r="H1662" s="115" t="s">
        <v>4057</v>
      </c>
    </row>
    <row r="1663" spans="1:8" ht="30" x14ac:dyDescent="0.25">
      <c r="A1663" s="115">
        <v>6187</v>
      </c>
      <c r="B1663" s="115" t="s">
        <v>128</v>
      </c>
      <c r="C1663" s="115" t="s">
        <v>4058</v>
      </c>
      <c r="D1663" s="115">
        <v>1</v>
      </c>
      <c r="E1663" s="115" t="s">
        <v>4059</v>
      </c>
      <c r="F1663" s="115" t="s">
        <v>4060</v>
      </c>
      <c r="G1663" s="115" t="s">
        <v>4061</v>
      </c>
      <c r="H1663" s="115" t="s">
        <v>4062</v>
      </c>
    </row>
    <row r="1664" spans="1:8" ht="30" x14ac:dyDescent="0.25">
      <c r="A1664" s="115">
        <v>6186</v>
      </c>
      <c r="B1664" s="115" t="s">
        <v>128</v>
      </c>
      <c r="C1664" s="115" t="s">
        <v>4063</v>
      </c>
      <c r="D1664" s="115">
        <v>1</v>
      </c>
      <c r="E1664" s="115" t="s">
        <v>4064</v>
      </c>
      <c r="F1664" s="115" t="s">
        <v>4064</v>
      </c>
      <c r="G1664" s="115" t="s">
        <v>4064</v>
      </c>
      <c r="H1664" s="115" t="s">
        <v>4065</v>
      </c>
    </row>
    <row r="1665" spans="1:8" ht="45" x14ac:dyDescent="0.25">
      <c r="A1665" s="115">
        <v>6185</v>
      </c>
      <c r="B1665" s="115" t="s">
        <v>128</v>
      </c>
      <c r="C1665" s="115" t="s">
        <v>4066</v>
      </c>
      <c r="D1665" s="115">
        <v>1</v>
      </c>
      <c r="E1665" s="115" t="s">
        <v>4067</v>
      </c>
      <c r="F1665" s="115" t="s">
        <v>4068</v>
      </c>
      <c r="G1665" s="115" t="s">
        <v>4069</v>
      </c>
      <c r="H1665" s="115" t="s">
        <v>4070</v>
      </c>
    </row>
    <row r="1666" spans="1:8" ht="30" x14ac:dyDescent="0.25">
      <c r="A1666" s="115">
        <v>6184</v>
      </c>
      <c r="B1666" s="115" t="s">
        <v>128</v>
      </c>
      <c r="C1666" s="115" t="s">
        <v>4071</v>
      </c>
      <c r="D1666" s="115">
        <v>1</v>
      </c>
      <c r="E1666" s="115" t="s">
        <v>4072</v>
      </c>
      <c r="F1666" s="115" t="s">
        <v>4073</v>
      </c>
      <c r="G1666" s="115" t="s">
        <v>4074</v>
      </c>
      <c r="H1666" s="115" t="s">
        <v>4075</v>
      </c>
    </row>
    <row r="1667" spans="1:8" ht="105" x14ac:dyDescent="0.25">
      <c r="A1667" s="115">
        <v>6183</v>
      </c>
      <c r="B1667" s="115" t="s">
        <v>128</v>
      </c>
      <c r="C1667" s="115" t="s">
        <v>4076</v>
      </c>
      <c r="D1667" s="115">
        <v>1</v>
      </c>
      <c r="E1667" s="115" t="s">
        <v>4077</v>
      </c>
      <c r="F1667" s="115" t="s">
        <v>4077</v>
      </c>
      <c r="G1667" s="115" t="s">
        <v>4077</v>
      </c>
      <c r="H1667" s="115" t="s">
        <v>4077</v>
      </c>
    </row>
    <row r="1668" spans="1:8" ht="30" x14ac:dyDescent="0.25">
      <c r="A1668" s="115">
        <v>6182</v>
      </c>
      <c r="B1668" s="115" t="s">
        <v>128</v>
      </c>
      <c r="C1668" s="115" t="s">
        <v>4078</v>
      </c>
      <c r="D1668" s="115">
        <v>1</v>
      </c>
      <c r="E1668" s="115" t="s">
        <v>4079</v>
      </c>
      <c r="F1668" s="115" t="s">
        <v>4080</v>
      </c>
      <c r="G1668" s="115" t="s">
        <v>4081</v>
      </c>
      <c r="H1668" s="115" t="s">
        <v>4082</v>
      </c>
    </row>
    <row r="1669" spans="1:8" ht="30" x14ac:dyDescent="0.25">
      <c r="A1669" s="115">
        <v>6181</v>
      </c>
      <c r="B1669" s="115" t="s">
        <v>128</v>
      </c>
      <c r="C1669" s="115" t="s">
        <v>4083</v>
      </c>
      <c r="D1669" s="115">
        <v>1</v>
      </c>
      <c r="E1669" s="115" t="s">
        <v>4084</v>
      </c>
      <c r="F1669" s="115" t="s">
        <v>4085</v>
      </c>
      <c r="G1669" s="115" t="s">
        <v>4086</v>
      </c>
      <c r="H1669" s="115" t="s">
        <v>4087</v>
      </c>
    </row>
    <row r="1670" spans="1:8" ht="45" x14ac:dyDescent="0.25">
      <c r="A1670" s="115">
        <v>6180</v>
      </c>
      <c r="B1670" s="115" t="s">
        <v>128</v>
      </c>
      <c r="C1670" s="115" t="s">
        <v>4088</v>
      </c>
      <c r="D1670" s="115">
        <v>1</v>
      </c>
      <c r="E1670" s="115" t="s">
        <v>4089</v>
      </c>
      <c r="F1670" s="115" t="s">
        <v>4089</v>
      </c>
      <c r="G1670" s="115" t="s">
        <v>4089</v>
      </c>
      <c r="H1670" s="115" t="s">
        <v>4089</v>
      </c>
    </row>
    <row r="1671" spans="1:8" ht="30" x14ac:dyDescent="0.25">
      <c r="A1671" s="115">
        <v>6179</v>
      </c>
      <c r="B1671" s="115" t="s">
        <v>128</v>
      </c>
      <c r="C1671" s="115" t="s">
        <v>4090</v>
      </c>
      <c r="D1671" s="115">
        <v>1</v>
      </c>
      <c r="E1671" s="115" t="s">
        <v>4091</v>
      </c>
      <c r="F1671" s="115" t="s">
        <v>4092</v>
      </c>
      <c r="G1671" s="115" t="s">
        <v>4093</v>
      </c>
      <c r="H1671" s="115" t="s">
        <v>4094</v>
      </c>
    </row>
    <row r="1672" spans="1:8" ht="30" x14ac:dyDescent="0.25">
      <c r="A1672" s="115">
        <v>6178</v>
      </c>
      <c r="B1672" s="115" t="s">
        <v>128</v>
      </c>
      <c r="C1672" s="115" t="s">
        <v>4095</v>
      </c>
      <c r="D1672" s="115">
        <v>1</v>
      </c>
      <c r="E1672" s="115" t="s">
        <v>4096</v>
      </c>
      <c r="F1672" s="115" t="s">
        <v>4097</v>
      </c>
      <c r="G1672" s="115" t="s">
        <v>4098</v>
      </c>
      <c r="H1672" s="115" t="s">
        <v>4099</v>
      </c>
    </row>
    <row r="1673" spans="1:8" ht="45" x14ac:dyDescent="0.25">
      <c r="A1673" s="115">
        <v>6177</v>
      </c>
      <c r="B1673" s="115" t="s">
        <v>128</v>
      </c>
      <c r="C1673" s="115" t="s">
        <v>4100</v>
      </c>
      <c r="D1673" s="115">
        <v>1</v>
      </c>
      <c r="E1673" s="115" t="s">
        <v>4101</v>
      </c>
      <c r="F1673" s="115" t="s">
        <v>4101</v>
      </c>
      <c r="G1673" s="115" t="s">
        <v>4101</v>
      </c>
      <c r="H1673" s="115" t="s">
        <v>4102</v>
      </c>
    </row>
    <row r="1674" spans="1:8" ht="30" x14ac:dyDescent="0.25">
      <c r="A1674" s="115">
        <v>6176</v>
      </c>
      <c r="B1674" s="115" t="s">
        <v>128</v>
      </c>
      <c r="C1674" s="115" t="s">
        <v>4103</v>
      </c>
      <c r="D1674" s="115">
        <v>1</v>
      </c>
      <c r="E1674" s="115" t="s">
        <v>4104</v>
      </c>
      <c r="F1674" s="115" t="s">
        <v>4105</v>
      </c>
      <c r="G1674" s="115" t="s">
        <v>4106</v>
      </c>
      <c r="H1674" s="115" t="s">
        <v>4107</v>
      </c>
    </row>
    <row r="1675" spans="1:8" ht="30" x14ac:dyDescent="0.25">
      <c r="A1675" s="115">
        <v>6175</v>
      </c>
      <c r="B1675" s="115" t="s">
        <v>128</v>
      </c>
      <c r="C1675" s="115" t="s">
        <v>4108</v>
      </c>
      <c r="D1675" s="115">
        <v>1</v>
      </c>
      <c r="E1675" s="115" t="s">
        <v>4109</v>
      </c>
      <c r="F1675" s="115" t="s">
        <v>4110</v>
      </c>
      <c r="G1675" s="115" t="s">
        <v>4111</v>
      </c>
      <c r="H1675" s="115" t="s">
        <v>4112</v>
      </c>
    </row>
    <row r="1676" spans="1:8" ht="30" x14ac:dyDescent="0.25">
      <c r="A1676" s="115">
        <v>6174</v>
      </c>
      <c r="B1676" s="115" t="s">
        <v>128</v>
      </c>
      <c r="C1676" s="115" t="s">
        <v>4113</v>
      </c>
      <c r="D1676" s="115">
        <v>1</v>
      </c>
      <c r="E1676" s="115" t="s">
        <v>4114</v>
      </c>
      <c r="F1676" s="115" t="s">
        <v>4114</v>
      </c>
      <c r="G1676" s="115" t="s">
        <v>4114</v>
      </c>
      <c r="H1676" s="115" t="s">
        <v>4114</v>
      </c>
    </row>
    <row r="1677" spans="1:8" ht="255" x14ac:dyDescent="0.25">
      <c r="A1677" s="115">
        <v>6173</v>
      </c>
      <c r="B1677" s="115" t="s">
        <v>128</v>
      </c>
      <c r="C1677" s="115" t="s">
        <v>4115</v>
      </c>
      <c r="D1677" s="115">
        <v>1</v>
      </c>
      <c r="E1677" s="115" t="s">
        <v>4116</v>
      </c>
      <c r="F1677" s="115" t="s">
        <v>4117</v>
      </c>
      <c r="G1677" s="115" t="s">
        <v>4118</v>
      </c>
      <c r="H1677" s="115" t="s">
        <v>4119</v>
      </c>
    </row>
    <row r="1678" spans="1:8" ht="30" x14ac:dyDescent="0.25">
      <c r="A1678" s="115">
        <v>6172</v>
      </c>
      <c r="B1678" s="115" t="s">
        <v>128</v>
      </c>
      <c r="C1678" s="115" t="s">
        <v>4120</v>
      </c>
      <c r="D1678" s="115">
        <v>1</v>
      </c>
      <c r="E1678" s="115" t="s">
        <v>4121</v>
      </c>
      <c r="F1678" s="115" t="s">
        <v>4122</v>
      </c>
      <c r="G1678" s="115" t="s">
        <v>4123</v>
      </c>
      <c r="H1678" s="115" t="s">
        <v>4124</v>
      </c>
    </row>
    <row r="1679" spans="1:8" ht="180" x14ac:dyDescent="0.25">
      <c r="A1679" s="115">
        <v>6171</v>
      </c>
      <c r="B1679" s="115" t="s">
        <v>128</v>
      </c>
      <c r="C1679" s="115" t="s">
        <v>4125</v>
      </c>
      <c r="D1679" s="115">
        <v>1</v>
      </c>
      <c r="E1679" s="115" t="s">
        <v>4126</v>
      </c>
      <c r="F1679" s="115" t="s">
        <v>4127</v>
      </c>
      <c r="G1679" s="115" t="s">
        <v>4128</v>
      </c>
      <c r="H1679" s="115" t="s">
        <v>4129</v>
      </c>
    </row>
    <row r="1680" spans="1:8" ht="75" x14ac:dyDescent="0.25">
      <c r="A1680" s="115">
        <v>6170</v>
      </c>
      <c r="B1680" s="115" t="s">
        <v>128</v>
      </c>
      <c r="C1680" s="115" t="s">
        <v>4130</v>
      </c>
      <c r="D1680" s="115">
        <v>1</v>
      </c>
      <c r="E1680" s="115" t="s">
        <v>4131</v>
      </c>
      <c r="F1680" s="115" t="s">
        <v>4132</v>
      </c>
      <c r="G1680" s="115" t="s">
        <v>4133</v>
      </c>
      <c r="H1680" s="115" t="s">
        <v>4134</v>
      </c>
    </row>
    <row r="1681" spans="1:8" ht="30" x14ac:dyDescent="0.25">
      <c r="A1681" s="115">
        <v>6169</v>
      </c>
      <c r="B1681" s="115" t="s">
        <v>128</v>
      </c>
      <c r="C1681" s="115" t="s">
        <v>4135</v>
      </c>
      <c r="D1681" s="115">
        <v>1</v>
      </c>
      <c r="E1681" s="115" t="s">
        <v>764</v>
      </c>
      <c r="F1681" s="115" t="s">
        <v>765</v>
      </c>
      <c r="G1681" s="115" t="s">
        <v>766</v>
      </c>
      <c r="H1681" s="115" t="s">
        <v>764</v>
      </c>
    </row>
    <row r="1682" spans="1:8" ht="30" x14ac:dyDescent="0.25">
      <c r="A1682" s="115">
        <v>6168</v>
      </c>
      <c r="B1682" s="115" t="s">
        <v>128</v>
      </c>
      <c r="C1682" s="115" t="s">
        <v>4136</v>
      </c>
      <c r="D1682" s="115">
        <v>1</v>
      </c>
      <c r="E1682" s="115" t="s">
        <v>4137</v>
      </c>
      <c r="F1682" s="115" t="s">
        <v>4138</v>
      </c>
      <c r="G1682" s="115" t="s">
        <v>4139</v>
      </c>
      <c r="H1682" s="115" t="s">
        <v>4140</v>
      </c>
    </row>
    <row r="1683" spans="1:8" ht="30" x14ac:dyDescent="0.25">
      <c r="A1683" s="115">
        <v>6167</v>
      </c>
      <c r="B1683" s="115" t="s">
        <v>128</v>
      </c>
      <c r="C1683" s="115" t="s">
        <v>4141</v>
      </c>
      <c r="D1683" s="115">
        <v>1</v>
      </c>
      <c r="E1683" s="115" t="s">
        <v>4142</v>
      </c>
      <c r="F1683" s="115" t="s">
        <v>4143</v>
      </c>
      <c r="G1683" s="115" t="s">
        <v>4144</v>
      </c>
      <c r="H1683" s="115" t="s">
        <v>4145</v>
      </c>
    </row>
    <row r="1684" spans="1:8" ht="30" x14ac:dyDescent="0.25">
      <c r="A1684" s="115">
        <v>6166</v>
      </c>
      <c r="B1684" s="115" t="s">
        <v>128</v>
      </c>
      <c r="C1684" s="115" t="s">
        <v>4146</v>
      </c>
      <c r="D1684" s="115">
        <v>1</v>
      </c>
      <c r="E1684" s="115" t="s">
        <v>4147</v>
      </c>
      <c r="F1684" s="115" t="s">
        <v>4148</v>
      </c>
      <c r="G1684" s="115" t="s">
        <v>4149</v>
      </c>
      <c r="H1684" s="115" t="s">
        <v>4150</v>
      </c>
    </row>
    <row r="1685" spans="1:8" ht="75" x14ac:dyDescent="0.25">
      <c r="A1685" s="115">
        <v>6165</v>
      </c>
      <c r="B1685" s="115" t="s">
        <v>128</v>
      </c>
      <c r="C1685" s="115" t="s">
        <v>4151</v>
      </c>
      <c r="D1685" s="115">
        <v>1</v>
      </c>
      <c r="E1685" s="115" t="s">
        <v>4152</v>
      </c>
      <c r="F1685" s="115" t="s">
        <v>4153</v>
      </c>
      <c r="G1685" s="115" t="s">
        <v>4154</v>
      </c>
      <c r="H1685" s="115" t="s">
        <v>4155</v>
      </c>
    </row>
    <row r="1686" spans="1:8" ht="30" x14ac:dyDescent="0.25">
      <c r="A1686" s="115">
        <v>6164</v>
      </c>
      <c r="B1686" s="115" t="s">
        <v>128</v>
      </c>
      <c r="C1686" s="115" t="s">
        <v>4156</v>
      </c>
      <c r="D1686" s="115">
        <v>1</v>
      </c>
    </row>
    <row r="1687" spans="1:8" ht="30" x14ac:dyDescent="0.25">
      <c r="A1687" s="115">
        <v>6163</v>
      </c>
      <c r="B1687" s="115" t="s">
        <v>128</v>
      </c>
      <c r="C1687" s="115" t="s">
        <v>4157</v>
      </c>
      <c r="D1687" s="115">
        <v>1</v>
      </c>
      <c r="E1687" s="115" t="s">
        <v>1296</v>
      </c>
      <c r="F1687" s="115" t="s">
        <v>1297</v>
      </c>
      <c r="G1687" s="115" t="s">
        <v>1298</v>
      </c>
      <c r="H1687" s="115" t="s">
        <v>318</v>
      </c>
    </row>
    <row r="1688" spans="1:8" ht="30" x14ac:dyDescent="0.25">
      <c r="A1688" s="115">
        <v>6162</v>
      </c>
      <c r="B1688" s="115" t="s">
        <v>128</v>
      </c>
      <c r="C1688" s="115" t="s">
        <v>4158</v>
      </c>
      <c r="D1688" s="115">
        <v>1</v>
      </c>
      <c r="E1688" s="115" t="s">
        <v>764</v>
      </c>
      <c r="F1688" s="115" t="s">
        <v>765</v>
      </c>
      <c r="G1688" s="115" t="s">
        <v>766</v>
      </c>
      <c r="H1688" s="115" t="s">
        <v>764</v>
      </c>
    </row>
    <row r="1689" spans="1:8" ht="45" x14ac:dyDescent="0.25">
      <c r="A1689" s="115">
        <v>6161</v>
      </c>
      <c r="B1689" s="115" t="s">
        <v>128</v>
      </c>
      <c r="C1689" s="115" t="s">
        <v>4159</v>
      </c>
      <c r="D1689" s="115">
        <v>1</v>
      </c>
      <c r="E1689" s="115" t="s">
        <v>4160</v>
      </c>
      <c r="F1689" s="115" t="s">
        <v>4161</v>
      </c>
      <c r="G1689" s="115" t="s">
        <v>4162</v>
      </c>
      <c r="H1689" s="115" t="s">
        <v>4163</v>
      </c>
    </row>
    <row r="1690" spans="1:8" ht="30" x14ac:dyDescent="0.25">
      <c r="A1690" s="115">
        <v>6160</v>
      </c>
      <c r="B1690" s="115" t="s">
        <v>128</v>
      </c>
      <c r="C1690" s="115" t="s">
        <v>4164</v>
      </c>
      <c r="D1690" s="115">
        <v>1</v>
      </c>
      <c r="E1690" s="115" t="s">
        <v>4165</v>
      </c>
      <c r="F1690" s="115" t="s">
        <v>4166</v>
      </c>
      <c r="G1690" s="115" t="s">
        <v>4167</v>
      </c>
      <c r="H1690" s="115" t="s">
        <v>4168</v>
      </c>
    </row>
    <row r="1691" spans="1:8" ht="120" x14ac:dyDescent="0.25">
      <c r="A1691" s="115">
        <v>6159</v>
      </c>
      <c r="B1691" s="115" t="s">
        <v>128</v>
      </c>
      <c r="C1691" s="115" t="s">
        <v>4169</v>
      </c>
      <c r="D1691" s="115">
        <v>1</v>
      </c>
      <c r="E1691" s="115" t="s">
        <v>4170</v>
      </c>
      <c r="F1691" s="115" t="s">
        <v>4171</v>
      </c>
      <c r="G1691" s="115" t="s">
        <v>4172</v>
      </c>
      <c r="H1691" s="115" t="s">
        <v>4173</v>
      </c>
    </row>
    <row r="1692" spans="1:8" ht="90" x14ac:dyDescent="0.25">
      <c r="A1692" s="115">
        <v>6158</v>
      </c>
      <c r="B1692" s="115" t="s">
        <v>128</v>
      </c>
      <c r="C1692" s="115" t="s">
        <v>4174</v>
      </c>
      <c r="D1692" s="115">
        <v>1</v>
      </c>
      <c r="E1692" s="115" t="s">
        <v>4175</v>
      </c>
      <c r="F1692" s="115" t="s">
        <v>4176</v>
      </c>
      <c r="G1692" s="115" t="s">
        <v>4177</v>
      </c>
      <c r="H1692" s="115" t="s">
        <v>4178</v>
      </c>
    </row>
    <row r="1693" spans="1:8" ht="135" x14ac:dyDescent="0.25">
      <c r="A1693" s="115">
        <v>6157</v>
      </c>
      <c r="B1693" s="115" t="s">
        <v>128</v>
      </c>
      <c r="C1693" s="115" t="s">
        <v>4179</v>
      </c>
      <c r="D1693" s="115">
        <v>1</v>
      </c>
      <c r="E1693" s="115" t="s">
        <v>4180</v>
      </c>
      <c r="F1693" s="115" t="s">
        <v>4181</v>
      </c>
      <c r="G1693" s="115" t="s">
        <v>4182</v>
      </c>
      <c r="H1693" s="115" t="s">
        <v>4183</v>
      </c>
    </row>
    <row r="1694" spans="1:8" ht="30" x14ac:dyDescent="0.25">
      <c r="A1694" s="115">
        <v>6156</v>
      </c>
      <c r="B1694" s="115" t="s">
        <v>128</v>
      </c>
      <c r="C1694" s="115" t="s">
        <v>4184</v>
      </c>
      <c r="D1694" s="115">
        <v>1</v>
      </c>
      <c r="E1694" s="115" t="s">
        <v>764</v>
      </c>
      <c r="F1694" s="115" t="s">
        <v>765</v>
      </c>
      <c r="G1694" s="115" t="s">
        <v>766</v>
      </c>
      <c r="H1694" s="115" t="s">
        <v>764</v>
      </c>
    </row>
    <row r="1695" spans="1:8" ht="30" x14ac:dyDescent="0.25">
      <c r="A1695" s="115">
        <v>6155</v>
      </c>
      <c r="B1695" s="115" t="s">
        <v>128</v>
      </c>
      <c r="C1695" s="115" t="s">
        <v>4185</v>
      </c>
      <c r="D1695" s="115">
        <v>1</v>
      </c>
      <c r="E1695" s="115" t="s">
        <v>4186</v>
      </c>
      <c r="F1695" s="115" t="s">
        <v>4187</v>
      </c>
      <c r="G1695" s="115" t="s">
        <v>4188</v>
      </c>
      <c r="H1695" s="115" t="s">
        <v>4189</v>
      </c>
    </row>
    <row r="1696" spans="1:8" ht="30" x14ac:dyDescent="0.25">
      <c r="A1696" s="115">
        <v>6154</v>
      </c>
      <c r="B1696" s="115" t="s">
        <v>128</v>
      </c>
      <c r="C1696" s="115" t="s">
        <v>4190</v>
      </c>
      <c r="D1696" s="115">
        <v>1</v>
      </c>
      <c r="E1696" s="115">
        <v>63</v>
      </c>
      <c r="F1696" s="115">
        <v>63</v>
      </c>
      <c r="G1696" s="115">
        <v>63</v>
      </c>
      <c r="H1696" s="115">
        <v>63</v>
      </c>
    </row>
    <row r="1697" spans="1:8" ht="30" x14ac:dyDescent="0.25">
      <c r="A1697" s="115">
        <v>6153</v>
      </c>
      <c r="B1697" s="115" t="s">
        <v>128</v>
      </c>
      <c r="C1697" s="115" t="s">
        <v>4191</v>
      </c>
      <c r="D1697" s="115">
        <v>1</v>
      </c>
      <c r="E1697" s="115" t="s">
        <v>881</v>
      </c>
      <c r="F1697" s="115" t="s">
        <v>882</v>
      </c>
      <c r="G1697" s="115" t="s">
        <v>883</v>
      </c>
      <c r="H1697" s="115" t="s">
        <v>4192</v>
      </c>
    </row>
    <row r="1698" spans="1:8" ht="30" x14ac:dyDescent="0.25">
      <c r="A1698" s="115">
        <v>6152</v>
      </c>
      <c r="B1698" s="115" t="s">
        <v>128</v>
      </c>
      <c r="C1698" s="115" t="s">
        <v>4193</v>
      </c>
      <c r="D1698" s="115">
        <v>1</v>
      </c>
      <c r="E1698" s="115">
        <v>20</v>
      </c>
      <c r="F1698" s="115">
        <v>20</v>
      </c>
      <c r="G1698" s="115">
        <v>20</v>
      </c>
      <c r="H1698" s="115">
        <v>20</v>
      </c>
    </row>
    <row r="1699" spans="1:8" ht="30" x14ac:dyDescent="0.25">
      <c r="A1699" s="115">
        <v>6151</v>
      </c>
      <c r="B1699" s="115" t="s">
        <v>128</v>
      </c>
      <c r="C1699" s="115" t="s">
        <v>4194</v>
      </c>
      <c r="D1699" s="115">
        <v>1</v>
      </c>
      <c r="E1699" s="115" t="s">
        <v>29</v>
      </c>
      <c r="F1699" s="115" t="s">
        <v>30</v>
      </c>
      <c r="G1699" s="115" t="s">
        <v>31</v>
      </c>
      <c r="H1699" s="115" t="s">
        <v>32</v>
      </c>
    </row>
    <row r="1700" spans="1:8" ht="30" x14ac:dyDescent="0.25">
      <c r="A1700" s="115">
        <v>6150</v>
      </c>
      <c r="B1700" s="115" t="s">
        <v>128</v>
      </c>
      <c r="C1700" s="115" t="s">
        <v>4195</v>
      </c>
      <c r="D1700" s="115">
        <v>1</v>
      </c>
      <c r="E1700" s="115">
        <v>28</v>
      </c>
      <c r="F1700" s="115">
        <v>28</v>
      </c>
      <c r="G1700" s="115">
        <v>28</v>
      </c>
      <c r="H1700" s="115">
        <v>28</v>
      </c>
    </row>
    <row r="1701" spans="1:8" ht="30" x14ac:dyDescent="0.25">
      <c r="A1701" s="115">
        <v>6149</v>
      </c>
      <c r="B1701" s="115" t="s">
        <v>128</v>
      </c>
      <c r="C1701" s="115" t="s">
        <v>4196</v>
      </c>
      <c r="D1701" s="115">
        <v>1</v>
      </c>
      <c r="E1701" s="115" t="s">
        <v>4197</v>
      </c>
      <c r="F1701" s="115" t="s">
        <v>4198</v>
      </c>
      <c r="G1701" s="115" t="s">
        <v>4199</v>
      </c>
      <c r="H1701" s="115" t="s">
        <v>4200</v>
      </c>
    </row>
    <row r="1702" spans="1:8" ht="30" x14ac:dyDescent="0.25">
      <c r="A1702" s="115">
        <v>6148</v>
      </c>
      <c r="B1702" s="115" t="s">
        <v>128</v>
      </c>
      <c r="C1702" s="115" t="s">
        <v>4201</v>
      </c>
      <c r="D1702" s="115">
        <v>1</v>
      </c>
      <c r="E1702" s="115">
        <v>30</v>
      </c>
      <c r="F1702" s="115">
        <v>30</v>
      </c>
      <c r="G1702" s="115">
        <v>30</v>
      </c>
      <c r="H1702" s="115">
        <v>30</v>
      </c>
    </row>
    <row r="1703" spans="1:8" ht="30" x14ac:dyDescent="0.25">
      <c r="A1703" s="115">
        <v>6147</v>
      </c>
      <c r="B1703" s="115" t="s">
        <v>128</v>
      </c>
      <c r="C1703" s="115" t="s">
        <v>4202</v>
      </c>
      <c r="D1703" s="115">
        <v>1</v>
      </c>
      <c r="E1703" s="115" t="s">
        <v>4203</v>
      </c>
      <c r="F1703" s="115" t="s">
        <v>4204</v>
      </c>
      <c r="G1703" s="115" t="s">
        <v>4205</v>
      </c>
      <c r="H1703" s="115" t="s">
        <v>4206</v>
      </c>
    </row>
    <row r="1704" spans="1:8" ht="30" x14ac:dyDescent="0.25">
      <c r="A1704" s="115">
        <v>6146</v>
      </c>
      <c r="B1704" s="115" t="s">
        <v>128</v>
      </c>
      <c r="C1704" s="115" t="s">
        <v>4207</v>
      </c>
      <c r="D1704" s="115">
        <v>1</v>
      </c>
      <c r="E1704" s="115">
        <v>30</v>
      </c>
      <c r="F1704" s="115">
        <v>30</v>
      </c>
      <c r="G1704" s="115">
        <v>30</v>
      </c>
      <c r="H1704" s="115">
        <v>30</v>
      </c>
    </row>
    <row r="1705" spans="1:8" ht="30" x14ac:dyDescent="0.25">
      <c r="A1705" s="115">
        <v>6145</v>
      </c>
      <c r="B1705" s="115" t="s">
        <v>128</v>
      </c>
      <c r="C1705" s="115" t="s">
        <v>4208</v>
      </c>
      <c r="D1705" s="115">
        <v>1</v>
      </c>
      <c r="E1705" s="115" t="s">
        <v>4209</v>
      </c>
      <c r="F1705" s="115" t="s">
        <v>4210</v>
      </c>
      <c r="G1705" s="115" t="s">
        <v>4211</v>
      </c>
      <c r="H1705" s="115" t="s">
        <v>4212</v>
      </c>
    </row>
    <row r="1706" spans="1:8" ht="30" x14ac:dyDescent="0.25">
      <c r="A1706" s="115">
        <v>6144</v>
      </c>
      <c r="B1706" s="115" t="s">
        <v>128</v>
      </c>
      <c r="C1706" s="115" t="s">
        <v>4213</v>
      </c>
      <c r="D1706" s="115">
        <v>1</v>
      </c>
      <c r="E1706" s="115">
        <v>43</v>
      </c>
      <c r="F1706" s="115">
        <v>43</v>
      </c>
      <c r="G1706" s="115">
        <v>43</v>
      </c>
      <c r="H1706" s="115">
        <v>43</v>
      </c>
    </row>
    <row r="1707" spans="1:8" ht="30" x14ac:dyDescent="0.25">
      <c r="A1707" s="115">
        <v>6143</v>
      </c>
      <c r="B1707" s="115" t="s">
        <v>128</v>
      </c>
      <c r="C1707" s="115" t="s">
        <v>4214</v>
      </c>
      <c r="D1707" s="115">
        <v>1</v>
      </c>
      <c r="E1707" s="115" t="s">
        <v>4215</v>
      </c>
      <c r="F1707" s="115" t="s">
        <v>4216</v>
      </c>
      <c r="G1707" s="115" t="s">
        <v>4217</v>
      </c>
      <c r="H1707" s="115" t="s">
        <v>4218</v>
      </c>
    </row>
    <row r="1708" spans="1:8" ht="30" x14ac:dyDescent="0.25">
      <c r="A1708" s="115">
        <v>6142</v>
      </c>
      <c r="B1708" s="115" t="s">
        <v>128</v>
      </c>
      <c r="C1708" s="115" t="s">
        <v>4219</v>
      </c>
      <c r="D1708" s="115">
        <v>1</v>
      </c>
      <c r="E1708" s="115">
        <v>44</v>
      </c>
      <c r="F1708" s="115">
        <v>44</v>
      </c>
      <c r="G1708" s="115">
        <v>44</v>
      </c>
      <c r="H1708" s="115">
        <v>44</v>
      </c>
    </row>
    <row r="1709" spans="1:8" ht="30" x14ac:dyDescent="0.25">
      <c r="A1709" s="115">
        <v>6141</v>
      </c>
      <c r="B1709" s="115" t="s">
        <v>128</v>
      </c>
      <c r="C1709" s="115" t="s">
        <v>4220</v>
      </c>
      <c r="D1709" s="115">
        <v>1</v>
      </c>
      <c r="E1709" s="115" t="s">
        <v>4221</v>
      </c>
      <c r="F1709" s="115" t="s">
        <v>4222</v>
      </c>
      <c r="G1709" s="115" t="s">
        <v>4223</v>
      </c>
      <c r="H1709" s="115" t="s">
        <v>4224</v>
      </c>
    </row>
    <row r="1710" spans="1:8" ht="30" x14ac:dyDescent="0.25">
      <c r="A1710" s="115">
        <v>6140</v>
      </c>
      <c r="B1710" s="115" t="s">
        <v>128</v>
      </c>
      <c r="C1710" s="115" t="s">
        <v>4225</v>
      </c>
      <c r="D1710" s="115">
        <v>1</v>
      </c>
      <c r="E1710" s="115">
        <v>81</v>
      </c>
      <c r="F1710" s="115">
        <v>81</v>
      </c>
      <c r="G1710" s="115">
        <v>81</v>
      </c>
      <c r="H1710" s="115">
        <v>81</v>
      </c>
    </row>
    <row r="1711" spans="1:8" ht="30" x14ac:dyDescent="0.25">
      <c r="A1711" s="115">
        <v>6139</v>
      </c>
      <c r="B1711" s="115" t="s">
        <v>128</v>
      </c>
      <c r="C1711" s="115" t="s">
        <v>4226</v>
      </c>
      <c r="D1711" s="115">
        <v>1</v>
      </c>
      <c r="E1711" s="115" t="s">
        <v>33</v>
      </c>
      <c r="F1711" s="115" t="s">
        <v>34</v>
      </c>
      <c r="G1711" s="115" t="s">
        <v>35</v>
      </c>
      <c r="H1711" s="115" t="s">
        <v>36</v>
      </c>
    </row>
    <row r="1712" spans="1:8" ht="30" x14ac:dyDescent="0.25">
      <c r="A1712" s="115">
        <v>6138</v>
      </c>
      <c r="B1712" s="115" t="s">
        <v>128</v>
      </c>
      <c r="C1712" s="115" t="s">
        <v>4227</v>
      </c>
      <c r="D1712" s="115">
        <v>1</v>
      </c>
      <c r="E1712" s="115">
        <v>85</v>
      </c>
      <c r="F1712" s="115">
        <v>85</v>
      </c>
      <c r="G1712" s="115">
        <v>85</v>
      </c>
      <c r="H1712" s="115">
        <v>85</v>
      </c>
    </row>
    <row r="1713" spans="1:8" ht="30" x14ac:dyDescent="0.25">
      <c r="A1713" s="115">
        <v>6137</v>
      </c>
      <c r="B1713" s="115" t="s">
        <v>128</v>
      </c>
      <c r="C1713" s="115" t="s">
        <v>4228</v>
      </c>
      <c r="D1713" s="115">
        <v>1</v>
      </c>
      <c r="E1713" s="115" t="s">
        <v>37</v>
      </c>
      <c r="F1713" s="115" t="s">
        <v>38</v>
      </c>
      <c r="G1713" s="115" t="s">
        <v>39</v>
      </c>
      <c r="H1713" s="115" t="s">
        <v>40</v>
      </c>
    </row>
    <row r="1714" spans="1:8" ht="30" x14ac:dyDescent="0.25">
      <c r="A1714" s="115">
        <v>6136</v>
      </c>
      <c r="B1714" s="115" t="s">
        <v>128</v>
      </c>
      <c r="C1714" s="115" t="s">
        <v>4229</v>
      </c>
      <c r="D1714" s="115">
        <v>1</v>
      </c>
      <c r="E1714" s="115">
        <v>108</v>
      </c>
      <c r="F1714" s="115">
        <v>108</v>
      </c>
      <c r="G1714" s="115">
        <v>108</v>
      </c>
      <c r="H1714" s="115">
        <v>108</v>
      </c>
    </row>
    <row r="1715" spans="1:8" ht="30" x14ac:dyDescent="0.25">
      <c r="A1715" s="115">
        <v>6135</v>
      </c>
      <c r="B1715" s="115" t="s">
        <v>128</v>
      </c>
      <c r="C1715" s="115" t="s">
        <v>4230</v>
      </c>
      <c r="D1715" s="115">
        <v>1</v>
      </c>
      <c r="E1715" s="115" t="s">
        <v>41</v>
      </c>
      <c r="F1715" s="115" t="s">
        <v>42</v>
      </c>
      <c r="G1715" s="115" t="s">
        <v>43</v>
      </c>
      <c r="H1715" s="115" t="s">
        <v>44</v>
      </c>
    </row>
    <row r="1716" spans="1:8" ht="30" x14ac:dyDescent="0.25">
      <c r="A1716" s="115">
        <v>6134</v>
      </c>
      <c r="B1716" s="115" t="s">
        <v>128</v>
      </c>
      <c r="C1716" s="115" t="s">
        <v>4231</v>
      </c>
      <c r="D1716" s="115">
        <v>1</v>
      </c>
      <c r="E1716" s="115" t="s">
        <v>4232</v>
      </c>
      <c r="F1716" s="115" t="s">
        <v>4233</v>
      </c>
      <c r="G1716" s="115" t="s">
        <v>4167</v>
      </c>
      <c r="H1716" s="115" t="s">
        <v>4168</v>
      </c>
    </row>
    <row r="1717" spans="1:8" ht="270" x14ac:dyDescent="0.25">
      <c r="A1717" s="115">
        <v>6133</v>
      </c>
      <c r="B1717" s="115" t="s">
        <v>128</v>
      </c>
      <c r="C1717" s="115" t="s">
        <v>4234</v>
      </c>
      <c r="D1717" s="115">
        <v>1</v>
      </c>
      <c r="E1717" s="115" t="s">
        <v>4235</v>
      </c>
      <c r="F1717" s="115" t="s">
        <v>4236</v>
      </c>
      <c r="G1717" s="115" t="s">
        <v>4237</v>
      </c>
      <c r="H1717" s="115" t="s">
        <v>4238</v>
      </c>
    </row>
    <row r="1718" spans="1:8" ht="30" x14ac:dyDescent="0.25">
      <c r="A1718" s="115">
        <v>6132</v>
      </c>
      <c r="B1718" s="115" t="s">
        <v>128</v>
      </c>
      <c r="C1718" s="115" t="s">
        <v>4239</v>
      </c>
      <c r="D1718" s="115">
        <v>1</v>
      </c>
      <c r="E1718" s="115" t="s">
        <v>4240</v>
      </c>
      <c r="F1718" s="115" t="s">
        <v>4241</v>
      </c>
      <c r="G1718" s="115" t="s">
        <v>4242</v>
      </c>
      <c r="H1718" s="115" t="s">
        <v>4243</v>
      </c>
    </row>
    <row r="1719" spans="1:8" ht="180" x14ac:dyDescent="0.25">
      <c r="A1719" s="115">
        <v>6131</v>
      </c>
      <c r="B1719" s="115" t="s">
        <v>128</v>
      </c>
      <c r="C1719" s="115" t="s">
        <v>4244</v>
      </c>
      <c r="D1719" s="115">
        <v>1</v>
      </c>
      <c r="E1719" s="115" t="s">
        <v>4245</v>
      </c>
      <c r="F1719" s="115" t="s">
        <v>4246</v>
      </c>
      <c r="G1719" s="115" t="s">
        <v>4245</v>
      </c>
      <c r="H1719" s="115" t="s">
        <v>4247</v>
      </c>
    </row>
    <row r="1720" spans="1:8" ht="300" x14ac:dyDescent="0.25">
      <c r="A1720" s="115">
        <v>6130</v>
      </c>
      <c r="B1720" s="115" t="s">
        <v>128</v>
      </c>
      <c r="C1720" s="115" t="s">
        <v>4248</v>
      </c>
      <c r="D1720" s="115">
        <v>1</v>
      </c>
      <c r="E1720" s="115" t="s">
        <v>4249</v>
      </c>
      <c r="F1720" s="115" t="s">
        <v>4250</v>
      </c>
      <c r="G1720" s="115" t="s">
        <v>4251</v>
      </c>
      <c r="H1720" s="115" t="s">
        <v>4252</v>
      </c>
    </row>
    <row r="1721" spans="1:8" ht="375" x14ac:dyDescent="0.25">
      <c r="A1721" s="115">
        <v>6129</v>
      </c>
      <c r="B1721" s="115" t="s">
        <v>128</v>
      </c>
      <c r="C1721" s="115" t="s">
        <v>4253</v>
      </c>
      <c r="D1721" s="115">
        <v>1</v>
      </c>
      <c r="E1721" s="115" t="s">
        <v>4254</v>
      </c>
      <c r="F1721" s="115" t="s">
        <v>4255</v>
      </c>
      <c r="G1721" s="115" t="s">
        <v>4256</v>
      </c>
      <c r="H1721" s="115" t="s">
        <v>4257</v>
      </c>
    </row>
    <row r="1722" spans="1:8" ht="315" x14ac:dyDescent="0.25">
      <c r="A1722" s="115">
        <v>6128</v>
      </c>
      <c r="B1722" s="115" t="s">
        <v>128</v>
      </c>
      <c r="C1722" s="115" t="s">
        <v>4258</v>
      </c>
      <c r="D1722" s="115">
        <v>1</v>
      </c>
      <c r="E1722" s="115" t="s">
        <v>4259</v>
      </c>
      <c r="F1722" s="115" t="s">
        <v>4260</v>
      </c>
      <c r="G1722" s="115" t="s">
        <v>4261</v>
      </c>
      <c r="H1722" s="115" t="s">
        <v>4262</v>
      </c>
    </row>
    <row r="1723" spans="1:8" ht="210" x14ac:dyDescent="0.25">
      <c r="A1723" s="115">
        <v>6127</v>
      </c>
      <c r="B1723" s="115" t="s">
        <v>128</v>
      </c>
      <c r="C1723" s="115" t="s">
        <v>4263</v>
      </c>
      <c r="D1723" s="115">
        <v>1</v>
      </c>
      <c r="E1723" s="115" t="s">
        <v>4264</v>
      </c>
      <c r="F1723" s="115" t="s">
        <v>4265</v>
      </c>
      <c r="G1723" s="115" t="s">
        <v>4266</v>
      </c>
      <c r="H1723" s="115" t="s">
        <v>4267</v>
      </c>
    </row>
    <row r="1724" spans="1:8" ht="30" x14ac:dyDescent="0.25">
      <c r="A1724" s="115">
        <v>6126</v>
      </c>
      <c r="B1724" s="115" t="s">
        <v>128</v>
      </c>
      <c r="C1724" s="115" t="s">
        <v>4268</v>
      </c>
      <c r="D1724" s="115">
        <v>1</v>
      </c>
      <c r="E1724" s="115" t="s">
        <v>4269</v>
      </c>
      <c r="F1724" s="115" t="s">
        <v>4270</v>
      </c>
      <c r="G1724" s="115" t="s">
        <v>4271</v>
      </c>
      <c r="H1724" s="115" t="s">
        <v>4272</v>
      </c>
    </row>
    <row r="1725" spans="1:8" ht="90" x14ac:dyDescent="0.25">
      <c r="A1725" s="115">
        <v>6125</v>
      </c>
      <c r="B1725" s="115" t="s">
        <v>128</v>
      </c>
      <c r="C1725" s="115" t="s">
        <v>4273</v>
      </c>
      <c r="D1725" s="115">
        <v>1</v>
      </c>
      <c r="E1725" s="115" t="s">
        <v>4274</v>
      </c>
      <c r="F1725" s="115" t="s">
        <v>4275</v>
      </c>
      <c r="G1725" s="115" t="s">
        <v>4276</v>
      </c>
      <c r="H1725" s="115" t="s">
        <v>4277</v>
      </c>
    </row>
    <row r="1726" spans="1:8" ht="30" x14ac:dyDescent="0.25">
      <c r="A1726" s="115">
        <v>6124</v>
      </c>
      <c r="B1726" s="115" t="s">
        <v>128</v>
      </c>
      <c r="C1726" s="115" t="s">
        <v>4278</v>
      </c>
      <c r="D1726" s="115">
        <v>1</v>
      </c>
      <c r="E1726" s="115" t="s">
        <v>764</v>
      </c>
      <c r="F1726" s="115" t="s">
        <v>4279</v>
      </c>
      <c r="G1726" s="115" t="s">
        <v>766</v>
      </c>
      <c r="H1726" s="115" t="s">
        <v>764</v>
      </c>
    </row>
    <row r="1727" spans="1:8" ht="45" x14ac:dyDescent="0.25">
      <c r="A1727" s="115">
        <v>6123</v>
      </c>
      <c r="B1727" s="115" t="s">
        <v>128</v>
      </c>
      <c r="C1727" s="115" t="s">
        <v>4280</v>
      </c>
      <c r="D1727" s="115">
        <v>1</v>
      </c>
      <c r="E1727" s="115" t="s">
        <v>4281</v>
      </c>
      <c r="F1727" s="115" t="s">
        <v>4282</v>
      </c>
      <c r="G1727" s="115" t="s">
        <v>4283</v>
      </c>
      <c r="H1727" s="115" t="s">
        <v>4284</v>
      </c>
    </row>
    <row r="1728" spans="1:8" ht="45" x14ac:dyDescent="0.25">
      <c r="A1728" s="115">
        <v>6122</v>
      </c>
      <c r="B1728" s="115" t="s">
        <v>128</v>
      </c>
      <c r="C1728" s="115" t="s">
        <v>4285</v>
      </c>
      <c r="D1728" s="115">
        <v>1</v>
      </c>
      <c r="E1728" s="115" t="s">
        <v>559</v>
      </c>
      <c r="F1728" s="115" t="s">
        <v>559</v>
      </c>
      <c r="G1728" s="115" t="s">
        <v>560</v>
      </c>
      <c r="H1728" s="115" t="s">
        <v>4286</v>
      </c>
    </row>
    <row r="1729" spans="1:8" ht="30" x14ac:dyDescent="0.25">
      <c r="A1729" s="115">
        <v>6121</v>
      </c>
      <c r="B1729" s="115" t="s">
        <v>128</v>
      </c>
      <c r="C1729" s="115" t="s">
        <v>4287</v>
      </c>
      <c r="D1729" s="115">
        <v>1</v>
      </c>
      <c r="E1729" s="115" t="s">
        <v>764</v>
      </c>
      <c r="F1729" s="115" t="s">
        <v>765</v>
      </c>
      <c r="G1729" s="115" t="s">
        <v>766</v>
      </c>
      <c r="H1729" s="115" t="s">
        <v>764</v>
      </c>
    </row>
    <row r="1730" spans="1:8" ht="45" x14ac:dyDescent="0.25">
      <c r="A1730" s="115">
        <v>6120</v>
      </c>
      <c r="B1730" s="115" t="s">
        <v>128</v>
      </c>
      <c r="C1730" s="115" t="s">
        <v>4288</v>
      </c>
      <c r="D1730" s="115">
        <v>1</v>
      </c>
      <c r="E1730" s="115" t="s">
        <v>4289</v>
      </c>
      <c r="F1730" s="115" t="s">
        <v>4290</v>
      </c>
      <c r="G1730" s="115" t="s">
        <v>4291</v>
      </c>
      <c r="H1730" s="115" t="s">
        <v>4292</v>
      </c>
    </row>
    <row r="1731" spans="1:8" ht="45" x14ac:dyDescent="0.25">
      <c r="A1731" s="115">
        <v>6119</v>
      </c>
      <c r="B1731" s="115" t="s">
        <v>128</v>
      </c>
      <c r="C1731" s="115" t="s">
        <v>4293</v>
      </c>
      <c r="D1731" s="115">
        <v>1</v>
      </c>
      <c r="E1731" s="115" t="s">
        <v>559</v>
      </c>
      <c r="F1731" s="115" t="s">
        <v>559</v>
      </c>
      <c r="G1731" s="115" t="s">
        <v>560</v>
      </c>
      <c r="H1731" s="115" t="s">
        <v>561</v>
      </c>
    </row>
    <row r="1732" spans="1:8" ht="409.5" x14ac:dyDescent="0.25">
      <c r="A1732" s="115">
        <v>6118</v>
      </c>
      <c r="B1732" s="115" t="s">
        <v>128</v>
      </c>
      <c r="C1732" s="115" t="s">
        <v>4294</v>
      </c>
      <c r="D1732" s="115">
        <v>1</v>
      </c>
      <c r="E1732" s="115" t="s">
        <v>4295</v>
      </c>
      <c r="F1732" s="115" t="s">
        <v>4296</v>
      </c>
      <c r="G1732" s="115" t="s">
        <v>4297</v>
      </c>
      <c r="H1732" s="115" t="s">
        <v>4298</v>
      </c>
    </row>
    <row r="1733" spans="1:8" ht="30" x14ac:dyDescent="0.25">
      <c r="A1733" s="115">
        <v>6117</v>
      </c>
      <c r="B1733" s="115" t="s">
        <v>128</v>
      </c>
      <c r="C1733" s="115" t="s">
        <v>4299</v>
      </c>
      <c r="D1733" s="115">
        <v>1</v>
      </c>
      <c r="E1733" s="115" t="s">
        <v>4300</v>
      </c>
      <c r="F1733" s="115" t="s">
        <v>4301</v>
      </c>
      <c r="G1733" s="115" t="s">
        <v>4302</v>
      </c>
      <c r="H1733" s="115" t="s">
        <v>4303</v>
      </c>
    </row>
    <row r="1734" spans="1:8" ht="105" x14ac:dyDescent="0.25">
      <c r="A1734" s="115">
        <v>6116</v>
      </c>
      <c r="B1734" s="115" t="s">
        <v>128</v>
      </c>
      <c r="C1734" s="115" t="s">
        <v>4304</v>
      </c>
      <c r="D1734" s="115">
        <v>1</v>
      </c>
      <c r="E1734" s="115" t="s">
        <v>4305</v>
      </c>
      <c r="F1734" s="115" t="s">
        <v>4306</v>
      </c>
      <c r="G1734" s="115" t="s">
        <v>4307</v>
      </c>
      <c r="H1734" s="115" t="s">
        <v>4308</v>
      </c>
    </row>
    <row r="1735" spans="1:8" ht="30" x14ac:dyDescent="0.25">
      <c r="A1735" s="115">
        <v>6115</v>
      </c>
      <c r="B1735" s="115" t="s">
        <v>128</v>
      </c>
      <c r="C1735" s="115" t="s">
        <v>4309</v>
      </c>
      <c r="D1735" s="115">
        <v>1</v>
      </c>
      <c r="E1735" s="115" t="s">
        <v>764</v>
      </c>
      <c r="F1735" s="115" t="s">
        <v>765</v>
      </c>
      <c r="G1735" s="115" t="s">
        <v>766</v>
      </c>
      <c r="H1735" s="115" t="s">
        <v>764</v>
      </c>
    </row>
    <row r="1736" spans="1:8" ht="30" x14ac:dyDescent="0.25">
      <c r="A1736" s="115">
        <v>6114</v>
      </c>
      <c r="B1736" s="115" t="s">
        <v>128</v>
      </c>
      <c r="C1736" s="115" t="s">
        <v>4310</v>
      </c>
      <c r="D1736" s="115">
        <v>1</v>
      </c>
      <c r="E1736" s="115" t="s">
        <v>4311</v>
      </c>
      <c r="F1736" s="115" t="s">
        <v>4312</v>
      </c>
      <c r="G1736" s="115" t="s">
        <v>4313</v>
      </c>
      <c r="H1736" s="115" t="s">
        <v>4314</v>
      </c>
    </row>
    <row r="1737" spans="1:8" ht="30" x14ac:dyDescent="0.25">
      <c r="A1737" s="115">
        <v>6113</v>
      </c>
      <c r="B1737" s="115" t="s">
        <v>128</v>
      </c>
      <c r="C1737" s="115" t="s">
        <v>4315</v>
      </c>
      <c r="D1737" s="115">
        <v>1</v>
      </c>
      <c r="E1737" s="115">
        <v>2</v>
      </c>
      <c r="F1737" s="115">
        <v>2</v>
      </c>
      <c r="G1737" s="115">
        <v>2</v>
      </c>
      <c r="H1737" s="115">
        <v>2</v>
      </c>
    </row>
    <row r="1738" spans="1:8" ht="30" x14ac:dyDescent="0.25">
      <c r="A1738" s="115">
        <v>6112</v>
      </c>
      <c r="B1738" s="115" t="s">
        <v>128</v>
      </c>
      <c r="C1738" s="115" t="s">
        <v>4316</v>
      </c>
      <c r="D1738" s="115">
        <v>1</v>
      </c>
      <c r="E1738" s="115" t="s">
        <v>206</v>
      </c>
      <c r="F1738" s="115" t="s">
        <v>4317</v>
      </c>
      <c r="G1738" s="115" t="s">
        <v>208</v>
      </c>
      <c r="H1738" s="115" t="s">
        <v>209</v>
      </c>
    </row>
    <row r="1739" spans="1:8" ht="30" x14ac:dyDescent="0.25">
      <c r="A1739" s="115">
        <v>6111</v>
      </c>
      <c r="B1739" s="115" t="s">
        <v>128</v>
      </c>
      <c r="C1739" s="115" t="s">
        <v>4318</v>
      </c>
      <c r="D1739" s="115">
        <v>1</v>
      </c>
      <c r="E1739" s="115">
        <v>10</v>
      </c>
      <c r="F1739" s="115">
        <v>10</v>
      </c>
      <c r="G1739" s="115">
        <v>10</v>
      </c>
      <c r="H1739" s="115">
        <v>10</v>
      </c>
    </row>
    <row r="1740" spans="1:8" ht="30" x14ac:dyDescent="0.25">
      <c r="A1740" s="115">
        <v>6110</v>
      </c>
      <c r="B1740" s="115" t="s">
        <v>128</v>
      </c>
      <c r="C1740" s="115" t="s">
        <v>4319</v>
      </c>
      <c r="D1740" s="115">
        <v>1</v>
      </c>
      <c r="E1740" s="115" t="s">
        <v>4320</v>
      </c>
      <c r="F1740" s="115" t="s">
        <v>4321</v>
      </c>
      <c r="G1740" s="115" t="s">
        <v>4321</v>
      </c>
      <c r="H1740" s="115" t="s">
        <v>4322</v>
      </c>
    </row>
    <row r="1741" spans="1:8" ht="30" x14ac:dyDescent="0.25">
      <c r="A1741" s="115">
        <v>6109</v>
      </c>
      <c r="B1741" s="115" t="s">
        <v>128</v>
      </c>
      <c r="C1741" s="115" t="s">
        <v>4323</v>
      </c>
      <c r="D1741" s="115">
        <v>1</v>
      </c>
      <c r="E1741" s="115">
        <v>1</v>
      </c>
      <c r="F1741" s="115">
        <v>1</v>
      </c>
      <c r="G1741" s="115">
        <v>1</v>
      </c>
      <c r="H1741" s="115">
        <v>1</v>
      </c>
    </row>
    <row r="1742" spans="1:8" ht="30" x14ac:dyDescent="0.25">
      <c r="A1742" s="115">
        <v>6108</v>
      </c>
      <c r="B1742" s="115" t="s">
        <v>128</v>
      </c>
      <c r="C1742" s="115" t="s">
        <v>4324</v>
      </c>
      <c r="D1742" s="115">
        <v>1</v>
      </c>
      <c r="E1742" s="115" t="s">
        <v>4325</v>
      </c>
      <c r="F1742" s="115" t="s">
        <v>4326</v>
      </c>
      <c r="G1742" s="115" t="s">
        <v>4327</v>
      </c>
      <c r="H1742" s="115" t="s">
        <v>4328</v>
      </c>
    </row>
    <row r="1743" spans="1:8" ht="30" x14ac:dyDescent="0.25">
      <c r="A1743" s="115">
        <v>6107</v>
      </c>
      <c r="B1743" s="115" t="s">
        <v>128</v>
      </c>
      <c r="C1743" s="115" t="s">
        <v>4329</v>
      </c>
      <c r="D1743" s="115">
        <v>1</v>
      </c>
      <c r="E1743" s="115">
        <v>3</v>
      </c>
      <c r="F1743" s="115">
        <v>3</v>
      </c>
      <c r="G1743" s="115">
        <v>3</v>
      </c>
      <c r="H1743" s="115">
        <v>3</v>
      </c>
    </row>
    <row r="1744" spans="1:8" ht="30" x14ac:dyDescent="0.25">
      <c r="A1744" s="115">
        <v>6106</v>
      </c>
      <c r="B1744" s="115" t="s">
        <v>128</v>
      </c>
      <c r="C1744" s="115" t="s">
        <v>4330</v>
      </c>
      <c r="D1744" s="115">
        <v>1</v>
      </c>
      <c r="E1744" s="115" t="s">
        <v>4331</v>
      </c>
      <c r="F1744" s="115" t="s">
        <v>4332</v>
      </c>
      <c r="G1744" s="115" t="s">
        <v>4333</v>
      </c>
      <c r="H1744" s="115" t="s">
        <v>4334</v>
      </c>
    </row>
    <row r="1745" spans="1:8" ht="30" x14ac:dyDescent="0.25">
      <c r="A1745" s="115">
        <v>6105</v>
      </c>
      <c r="B1745" s="115" t="s">
        <v>128</v>
      </c>
      <c r="C1745" s="115" t="s">
        <v>4335</v>
      </c>
      <c r="D1745" s="115">
        <v>1</v>
      </c>
      <c r="E1745" s="115">
        <v>1</v>
      </c>
      <c r="F1745" s="115">
        <v>1</v>
      </c>
      <c r="G1745" s="115">
        <v>1</v>
      </c>
      <c r="H1745" s="115">
        <v>1</v>
      </c>
    </row>
    <row r="1746" spans="1:8" ht="30" x14ac:dyDescent="0.25">
      <c r="A1746" s="115">
        <v>6104</v>
      </c>
      <c r="B1746" s="115" t="s">
        <v>128</v>
      </c>
      <c r="C1746" s="115" t="s">
        <v>4336</v>
      </c>
      <c r="D1746" s="115">
        <v>1</v>
      </c>
      <c r="E1746" s="115" t="s">
        <v>4337</v>
      </c>
      <c r="F1746" s="115" t="s">
        <v>4338</v>
      </c>
      <c r="G1746" s="115" t="s">
        <v>4339</v>
      </c>
      <c r="H1746" s="115" t="s">
        <v>4337</v>
      </c>
    </row>
    <row r="1747" spans="1:8" ht="30" x14ac:dyDescent="0.25">
      <c r="A1747" s="115">
        <v>6103</v>
      </c>
      <c r="B1747" s="115" t="s">
        <v>128</v>
      </c>
      <c r="C1747" s="115" t="s">
        <v>4340</v>
      </c>
      <c r="D1747" s="115">
        <v>1</v>
      </c>
      <c r="E1747" s="115">
        <v>2</v>
      </c>
      <c r="F1747" s="115">
        <v>2</v>
      </c>
      <c r="G1747" s="115">
        <v>2</v>
      </c>
      <c r="H1747" s="115">
        <v>2</v>
      </c>
    </row>
    <row r="1748" spans="1:8" ht="30" x14ac:dyDescent="0.25">
      <c r="A1748" s="115">
        <v>6102</v>
      </c>
      <c r="B1748" s="115" t="s">
        <v>128</v>
      </c>
      <c r="C1748" s="115" t="s">
        <v>4341</v>
      </c>
      <c r="D1748" s="115">
        <v>1</v>
      </c>
      <c r="E1748" s="115" t="s">
        <v>4342</v>
      </c>
      <c r="F1748" s="115" t="s">
        <v>4343</v>
      </c>
      <c r="G1748" s="115" t="s">
        <v>4344</v>
      </c>
      <c r="H1748" s="115" t="s">
        <v>4345</v>
      </c>
    </row>
    <row r="1749" spans="1:8" ht="30" x14ac:dyDescent="0.25">
      <c r="A1749" s="115">
        <v>6101</v>
      </c>
      <c r="B1749" s="115" t="s">
        <v>128</v>
      </c>
      <c r="C1749" s="115" t="s">
        <v>4346</v>
      </c>
      <c r="D1749" s="115">
        <v>1</v>
      </c>
      <c r="E1749" s="115">
        <v>9</v>
      </c>
      <c r="F1749" s="115">
        <v>9</v>
      </c>
      <c r="G1749" s="115">
        <v>9</v>
      </c>
      <c r="H1749" s="115">
        <v>9</v>
      </c>
    </row>
    <row r="1750" spans="1:8" ht="30" x14ac:dyDescent="0.25">
      <c r="A1750" s="115">
        <v>6100</v>
      </c>
      <c r="B1750" s="115" t="s">
        <v>128</v>
      </c>
      <c r="C1750" s="115" t="s">
        <v>4347</v>
      </c>
      <c r="D1750" s="115">
        <v>1</v>
      </c>
      <c r="E1750" s="115" t="s">
        <v>4348</v>
      </c>
      <c r="F1750" s="115" t="s">
        <v>4349</v>
      </c>
      <c r="G1750" s="115" t="s">
        <v>4350</v>
      </c>
      <c r="H1750" s="115" t="s">
        <v>4351</v>
      </c>
    </row>
    <row r="1751" spans="1:8" ht="30" x14ac:dyDescent="0.25">
      <c r="A1751" s="115">
        <v>6099</v>
      </c>
      <c r="B1751" s="115" t="s">
        <v>128</v>
      </c>
      <c r="C1751" s="115" t="s">
        <v>4352</v>
      </c>
      <c r="D1751" s="115">
        <v>1</v>
      </c>
      <c r="E1751" s="115">
        <v>7</v>
      </c>
      <c r="F1751" s="115">
        <v>7</v>
      </c>
      <c r="G1751" s="115">
        <v>7</v>
      </c>
      <c r="H1751" s="115">
        <v>7</v>
      </c>
    </row>
    <row r="1752" spans="1:8" ht="30" x14ac:dyDescent="0.25">
      <c r="A1752" s="115">
        <v>6098</v>
      </c>
      <c r="B1752" s="115" t="s">
        <v>128</v>
      </c>
      <c r="C1752" s="115" t="s">
        <v>4353</v>
      </c>
      <c r="D1752" s="115">
        <v>1</v>
      </c>
      <c r="E1752" s="115" t="s">
        <v>4354</v>
      </c>
      <c r="F1752" s="115" t="s">
        <v>4355</v>
      </c>
      <c r="G1752" s="115" t="s">
        <v>4356</v>
      </c>
      <c r="H1752" s="115" t="s">
        <v>4357</v>
      </c>
    </row>
    <row r="1753" spans="1:8" ht="30" x14ac:dyDescent="0.25">
      <c r="A1753" s="115">
        <v>6097</v>
      </c>
      <c r="B1753" s="115" t="s">
        <v>128</v>
      </c>
      <c r="C1753" s="115" t="s">
        <v>4358</v>
      </c>
      <c r="D1753" s="115">
        <v>1</v>
      </c>
      <c r="E1753" s="115">
        <v>3</v>
      </c>
      <c r="F1753" s="115">
        <v>3</v>
      </c>
      <c r="G1753" s="115">
        <v>3</v>
      </c>
      <c r="H1753" s="115">
        <v>3</v>
      </c>
    </row>
    <row r="1754" spans="1:8" ht="30" x14ac:dyDescent="0.25">
      <c r="A1754" s="115">
        <v>6096</v>
      </c>
      <c r="B1754" s="115" t="s">
        <v>128</v>
      </c>
      <c r="C1754" s="115" t="s">
        <v>4359</v>
      </c>
      <c r="D1754" s="115">
        <v>1</v>
      </c>
      <c r="E1754" s="115" t="s">
        <v>4360</v>
      </c>
      <c r="F1754" s="115" t="s">
        <v>4361</v>
      </c>
      <c r="G1754" s="115" t="s">
        <v>4362</v>
      </c>
      <c r="H1754" s="115" t="s">
        <v>4363</v>
      </c>
    </row>
    <row r="1755" spans="1:8" ht="30" x14ac:dyDescent="0.25">
      <c r="A1755" s="115">
        <v>6095</v>
      </c>
      <c r="B1755" s="115" t="s">
        <v>128</v>
      </c>
      <c r="C1755" s="115" t="s">
        <v>4364</v>
      </c>
      <c r="D1755" s="115">
        <v>1</v>
      </c>
      <c r="E1755" s="115" t="s">
        <v>4365</v>
      </c>
      <c r="F1755" s="115" t="s">
        <v>4366</v>
      </c>
      <c r="G1755" s="115" t="s">
        <v>4367</v>
      </c>
      <c r="H1755" s="115" t="s">
        <v>4368</v>
      </c>
    </row>
    <row r="1756" spans="1:8" ht="315" x14ac:dyDescent="0.25">
      <c r="A1756" s="115">
        <v>6094</v>
      </c>
      <c r="B1756" s="115" t="s">
        <v>128</v>
      </c>
      <c r="C1756" s="115" t="s">
        <v>4369</v>
      </c>
      <c r="D1756" s="115">
        <v>1</v>
      </c>
      <c r="E1756" s="115" t="s">
        <v>4370</v>
      </c>
      <c r="F1756" s="115" t="s">
        <v>4371</v>
      </c>
      <c r="G1756" s="115" t="s">
        <v>4372</v>
      </c>
      <c r="H1756" s="115" t="s">
        <v>4373</v>
      </c>
    </row>
    <row r="1757" spans="1:8" ht="180" x14ac:dyDescent="0.25">
      <c r="A1757" s="115">
        <v>6093</v>
      </c>
      <c r="B1757" s="115" t="s">
        <v>128</v>
      </c>
      <c r="C1757" s="115" t="s">
        <v>4374</v>
      </c>
      <c r="D1757" s="115">
        <v>1</v>
      </c>
      <c r="E1757" s="115" t="s">
        <v>4375</v>
      </c>
      <c r="F1757" s="115" t="s">
        <v>4376</v>
      </c>
      <c r="G1757" s="115" t="s">
        <v>4377</v>
      </c>
      <c r="H1757" s="115" t="s">
        <v>4378</v>
      </c>
    </row>
    <row r="1758" spans="1:8" ht="30" x14ac:dyDescent="0.25">
      <c r="A1758" s="115">
        <v>6092</v>
      </c>
      <c r="B1758" s="115" t="s">
        <v>128</v>
      </c>
      <c r="C1758" s="115" t="s">
        <v>4379</v>
      </c>
      <c r="D1758" s="115">
        <v>1</v>
      </c>
      <c r="E1758" s="115" t="s">
        <v>4380</v>
      </c>
      <c r="F1758" s="115" t="s">
        <v>4381</v>
      </c>
      <c r="G1758" s="115" t="s">
        <v>4382</v>
      </c>
      <c r="H1758" s="115" t="s">
        <v>4383</v>
      </c>
    </row>
    <row r="1759" spans="1:8" ht="60" x14ac:dyDescent="0.25">
      <c r="A1759" s="115">
        <v>6091</v>
      </c>
      <c r="B1759" s="115" t="s">
        <v>128</v>
      </c>
      <c r="C1759" s="115" t="s">
        <v>4384</v>
      </c>
      <c r="D1759" s="115">
        <v>1</v>
      </c>
      <c r="E1759" s="115" t="s">
        <v>4385</v>
      </c>
      <c r="F1759" s="115" t="s">
        <v>4386</v>
      </c>
      <c r="G1759" s="115" t="s">
        <v>4387</v>
      </c>
      <c r="H1759" s="115" t="s">
        <v>4388</v>
      </c>
    </row>
    <row r="1760" spans="1:8" ht="225" x14ac:dyDescent="0.25">
      <c r="A1760" s="115">
        <v>6090</v>
      </c>
      <c r="B1760" s="115" t="s">
        <v>128</v>
      </c>
      <c r="C1760" s="115" t="s">
        <v>4389</v>
      </c>
      <c r="D1760" s="115">
        <v>1</v>
      </c>
      <c r="E1760" s="115" t="s">
        <v>4390</v>
      </c>
      <c r="F1760" s="115" t="s">
        <v>4391</v>
      </c>
      <c r="G1760" s="115" t="s">
        <v>4392</v>
      </c>
      <c r="H1760" s="115" t="s">
        <v>4393</v>
      </c>
    </row>
    <row r="1761" spans="1:8" ht="30" x14ac:dyDescent="0.25">
      <c r="A1761" s="115">
        <v>6089</v>
      </c>
      <c r="B1761" s="115" t="s">
        <v>128</v>
      </c>
      <c r="C1761" s="115" t="s">
        <v>4394</v>
      </c>
      <c r="D1761" s="115">
        <v>1</v>
      </c>
      <c r="E1761" s="115" t="s">
        <v>2828</v>
      </c>
      <c r="F1761" s="115" t="s">
        <v>2828</v>
      </c>
      <c r="G1761" s="115" t="s">
        <v>2828</v>
      </c>
      <c r="H1761" s="115" t="s">
        <v>2828</v>
      </c>
    </row>
    <row r="1762" spans="1:8" ht="30" x14ac:dyDescent="0.25">
      <c r="A1762" s="115">
        <v>6088</v>
      </c>
      <c r="B1762" s="115" t="s">
        <v>128</v>
      </c>
      <c r="C1762" s="115" t="s">
        <v>4395</v>
      </c>
      <c r="D1762" s="115">
        <v>1</v>
      </c>
      <c r="E1762" s="115" t="s">
        <v>4396</v>
      </c>
      <c r="F1762" s="115" t="s">
        <v>4397</v>
      </c>
      <c r="G1762" s="115" t="s">
        <v>4396</v>
      </c>
      <c r="H1762" s="115" t="s">
        <v>4396</v>
      </c>
    </row>
    <row r="1763" spans="1:8" ht="30" x14ac:dyDescent="0.25">
      <c r="A1763" s="115">
        <v>6087</v>
      </c>
      <c r="B1763" s="115" t="s">
        <v>128</v>
      </c>
      <c r="C1763" s="115" t="s">
        <v>4398</v>
      </c>
      <c r="D1763" s="115">
        <v>1</v>
      </c>
      <c r="E1763" s="115" t="s">
        <v>4399</v>
      </c>
      <c r="F1763" s="115" t="s">
        <v>4400</v>
      </c>
      <c r="G1763" s="115" t="s">
        <v>4401</v>
      </c>
      <c r="H1763" s="115" t="s">
        <v>4402</v>
      </c>
    </row>
    <row r="1764" spans="1:8" ht="195" x14ac:dyDescent="0.25">
      <c r="A1764" s="115">
        <v>6086</v>
      </c>
      <c r="B1764" s="115" t="s">
        <v>128</v>
      </c>
      <c r="C1764" s="115" t="s">
        <v>4403</v>
      </c>
      <c r="D1764" s="115">
        <v>1</v>
      </c>
      <c r="E1764" s="115" t="s">
        <v>4404</v>
      </c>
      <c r="F1764" s="115" t="s">
        <v>4405</v>
      </c>
      <c r="G1764" s="115" t="s">
        <v>4406</v>
      </c>
      <c r="H1764" s="115" t="s">
        <v>4407</v>
      </c>
    </row>
    <row r="1765" spans="1:8" ht="30" x14ac:dyDescent="0.25">
      <c r="A1765" s="115">
        <v>6085</v>
      </c>
      <c r="B1765" s="115" t="s">
        <v>128</v>
      </c>
      <c r="C1765" s="115" t="s">
        <v>4408</v>
      </c>
      <c r="D1765" s="115">
        <v>1</v>
      </c>
      <c r="E1765" s="115" t="s">
        <v>4409</v>
      </c>
      <c r="F1765" s="115" t="s">
        <v>4410</v>
      </c>
      <c r="G1765" s="115" t="s">
        <v>4411</v>
      </c>
      <c r="H1765" s="115" t="s">
        <v>4412</v>
      </c>
    </row>
    <row r="1766" spans="1:8" ht="165" x14ac:dyDescent="0.25">
      <c r="A1766" s="115">
        <v>6084</v>
      </c>
      <c r="B1766" s="115" t="s">
        <v>128</v>
      </c>
      <c r="C1766" s="115" t="s">
        <v>4413</v>
      </c>
      <c r="D1766" s="115">
        <v>1</v>
      </c>
      <c r="E1766" s="115" t="s">
        <v>4414</v>
      </c>
      <c r="F1766" s="115" t="s">
        <v>4415</v>
      </c>
      <c r="G1766" s="115" t="s">
        <v>4416</v>
      </c>
      <c r="H1766" s="115" t="s">
        <v>4417</v>
      </c>
    </row>
    <row r="1767" spans="1:8" ht="30" x14ac:dyDescent="0.25">
      <c r="A1767" s="115">
        <v>6083</v>
      </c>
      <c r="B1767" s="115" t="s">
        <v>128</v>
      </c>
      <c r="C1767" s="115" t="s">
        <v>4418</v>
      </c>
      <c r="D1767" s="115">
        <v>1</v>
      </c>
      <c r="E1767" s="115" t="s">
        <v>764</v>
      </c>
      <c r="F1767" s="115" t="s">
        <v>765</v>
      </c>
      <c r="G1767" s="115" t="s">
        <v>766</v>
      </c>
      <c r="H1767" s="115" t="s">
        <v>764</v>
      </c>
    </row>
    <row r="1768" spans="1:8" ht="30" x14ac:dyDescent="0.25">
      <c r="A1768" s="115">
        <v>6082</v>
      </c>
      <c r="B1768" s="115" t="s">
        <v>128</v>
      </c>
      <c r="C1768" s="115" t="s">
        <v>4419</v>
      </c>
      <c r="D1768" s="115">
        <v>1</v>
      </c>
      <c r="E1768" s="115" t="s">
        <v>4420</v>
      </c>
      <c r="F1768" s="115" t="s">
        <v>4421</v>
      </c>
      <c r="G1768" s="115" t="s">
        <v>4422</v>
      </c>
      <c r="H1768" s="115" t="s">
        <v>4423</v>
      </c>
    </row>
    <row r="1769" spans="1:8" ht="30" x14ac:dyDescent="0.25">
      <c r="A1769" s="115">
        <v>6081</v>
      </c>
      <c r="B1769" s="115" t="s">
        <v>128</v>
      </c>
      <c r="C1769" s="115" t="s">
        <v>4424</v>
      </c>
      <c r="D1769" s="115">
        <v>1</v>
      </c>
      <c r="E1769" s="115">
        <v>62</v>
      </c>
      <c r="F1769" s="115">
        <v>62</v>
      </c>
      <c r="G1769" s="115">
        <v>62</v>
      </c>
      <c r="H1769" s="115">
        <v>62</v>
      </c>
    </row>
    <row r="1770" spans="1:8" ht="30" x14ac:dyDescent="0.25">
      <c r="A1770" s="115">
        <v>6080</v>
      </c>
      <c r="B1770" s="115" t="s">
        <v>128</v>
      </c>
      <c r="C1770" s="115" t="s">
        <v>4425</v>
      </c>
      <c r="D1770" s="115">
        <v>1</v>
      </c>
      <c r="E1770" s="115" t="s">
        <v>4426</v>
      </c>
      <c r="F1770" s="115" t="s">
        <v>4427</v>
      </c>
      <c r="G1770" s="115" t="s">
        <v>4428</v>
      </c>
      <c r="H1770" s="115" t="s">
        <v>4429</v>
      </c>
    </row>
    <row r="1771" spans="1:8" ht="30" x14ac:dyDescent="0.25">
      <c r="A1771" s="115">
        <v>6079</v>
      </c>
      <c r="B1771" s="115" t="s">
        <v>128</v>
      </c>
      <c r="C1771" s="115" t="s">
        <v>4430</v>
      </c>
      <c r="D1771" s="115">
        <v>1</v>
      </c>
      <c r="E1771" s="115" t="s">
        <v>2096</v>
      </c>
      <c r="F1771" s="115" t="s">
        <v>2096</v>
      </c>
      <c r="G1771" s="115" t="s">
        <v>2096</v>
      </c>
      <c r="H1771" s="115" t="s">
        <v>2096</v>
      </c>
    </row>
    <row r="1772" spans="1:8" ht="30" x14ac:dyDescent="0.25">
      <c r="A1772" s="115">
        <v>6078</v>
      </c>
      <c r="B1772" s="115" t="s">
        <v>128</v>
      </c>
      <c r="C1772" s="115" t="s">
        <v>4431</v>
      </c>
      <c r="D1772" s="115">
        <v>1</v>
      </c>
      <c r="E1772" s="115">
        <v>2</v>
      </c>
      <c r="F1772" s="115">
        <v>2</v>
      </c>
      <c r="G1772" s="115">
        <v>2</v>
      </c>
      <c r="H1772" s="115">
        <v>2</v>
      </c>
    </row>
    <row r="1773" spans="1:8" ht="30" x14ac:dyDescent="0.25">
      <c r="A1773" s="115">
        <v>6077</v>
      </c>
      <c r="B1773" s="115" t="s">
        <v>128</v>
      </c>
      <c r="C1773" s="115" t="s">
        <v>4432</v>
      </c>
      <c r="D1773" s="115">
        <v>1</v>
      </c>
      <c r="E1773" s="115" t="s">
        <v>4433</v>
      </c>
      <c r="F1773" s="115" t="s">
        <v>4434</v>
      </c>
      <c r="G1773" s="115" t="s">
        <v>4435</v>
      </c>
      <c r="H1773" s="115" t="s">
        <v>4436</v>
      </c>
    </row>
    <row r="1774" spans="1:8" ht="30" x14ac:dyDescent="0.25">
      <c r="A1774" s="115">
        <v>6076</v>
      </c>
      <c r="B1774" s="115" t="s">
        <v>128</v>
      </c>
      <c r="C1774" s="115" t="s">
        <v>4437</v>
      </c>
      <c r="D1774" s="115">
        <v>1</v>
      </c>
      <c r="E1774" s="115" t="s">
        <v>2103</v>
      </c>
      <c r="F1774" s="115" t="s">
        <v>2103</v>
      </c>
      <c r="G1774" s="115" t="s">
        <v>2103</v>
      </c>
      <c r="H1774" s="115" t="s">
        <v>2103</v>
      </c>
    </row>
    <row r="1775" spans="1:8" ht="30" x14ac:dyDescent="0.25">
      <c r="A1775" s="115">
        <v>6075</v>
      </c>
      <c r="B1775" s="115" t="s">
        <v>128</v>
      </c>
      <c r="C1775" s="115" t="s">
        <v>4438</v>
      </c>
      <c r="D1775" s="115">
        <v>1</v>
      </c>
      <c r="E1775" s="115">
        <v>10</v>
      </c>
      <c r="F1775" s="115">
        <v>10</v>
      </c>
      <c r="G1775" s="115">
        <v>10</v>
      </c>
      <c r="H1775" s="115">
        <v>10</v>
      </c>
    </row>
    <row r="1776" spans="1:8" ht="30" x14ac:dyDescent="0.25">
      <c r="A1776" s="115">
        <v>6074</v>
      </c>
      <c r="B1776" s="115" t="s">
        <v>128</v>
      </c>
      <c r="C1776" s="115" t="s">
        <v>4439</v>
      </c>
      <c r="D1776" s="115">
        <v>1</v>
      </c>
      <c r="E1776" s="115" t="s">
        <v>4440</v>
      </c>
      <c r="F1776" s="115" t="s">
        <v>4441</v>
      </c>
      <c r="G1776" s="115" t="s">
        <v>4442</v>
      </c>
      <c r="H1776" s="115" t="s">
        <v>4443</v>
      </c>
    </row>
    <row r="1777" spans="1:8" ht="30" x14ac:dyDescent="0.25">
      <c r="A1777" s="115">
        <v>6073</v>
      </c>
      <c r="B1777" s="115" t="s">
        <v>128</v>
      </c>
      <c r="C1777" s="115" t="s">
        <v>4444</v>
      </c>
      <c r="D1777" s="115">
        <v>1</v>
      </c>
      <c r="E1777" s="115" t="s">
        <v>2110</v>
      </c>
      <c r="F1777" s="115" t="s">
        <v>2110</v>
      </c>
      <c r="G1777" s="115" t="s">
        <v>2110</v>
      </c>
      <c r="H1777" s="115" t="s">
        <v>2110</v>
      </c>
    </row>
    <row r="1778" spans="1:8" ht="30" x14ac:dyDescent="0.25">
      <c r="A1778" s="115">
        <v>6072</v>
      </c>
      <c r="B1778" s="115" t="s">
        <v>128</v>
      </c>
      <c r="C1778" s="115" t="s">
        <v>4445</v>
      </c>
      <c r="D1778" s="115">
        <v>1</v>
      </c>
      <c r="E1778" s="115">
        <v>26</v>
      </c>
      <c r="F1778" s="115">
        <v>26</v>
      </c>
      <c r="G1778" s="115">
        <v>26</v>
      </c>
      <c r="H1778" s="115">
        <v>26</v>
      </c>
    </row>
    <row r="1779" spans="1:8" ht="30" x14ac:dyDescent="0.25">
      <c r="A1779" s="115">
        <v>6071</v>
      </c>
      <c r="B1779" s="115" t="s">
        <v>128</v>
      </c>
      <c r="C1779" s="115" t="s">
        <v>4446</v>
      </c>
      <c r="D1779" s="115">
        <v>1</v>
      </c>
      <c r="E1779" s="115" t="s">
        <v>4447</v>
      </c>
      <c r="F1779" s="115" t="s">
        <v>4448</v>
      </c>
      <c r="G1779" s="115" t="s">
        <v>4449</v>
      </c>
      <c r="H1779" s="115" t="s">
        <v>4450</v>
      </c>
    </row>
    <row r="1780" spans="1:8" ht="30" x14ac:dyDescent="0.25">
      <c r="A1780" s="115">
        <v>6070</v>
      </c>
      <c r="B1780" s="115" t="s">
        <v>128</v>
      </c>
      <c r="C1780" s="115" t="s">
        <v>4451</v>
      </c>
      <c r="D1780" s="115">
        <v>1</v>
      </c>
      <c r="E1780" s="115" t="s">
        <v>2419</v>
      </c>
      <c r="F1780" s="115" t="s">
        <v>2419</v>
      </c>
      <c r="G1780" s="115" t="s">
        <v>2419</v>
      </c>
      <c r="H1780" s="115" t="s">
        <v>2419</v>
      </c>
    </row>
    <row r="1781" spans="1:8" ht="45" x14ac:dyDescent="0.25">
      <c r="A1781" s="115">
        <v>6069</v>
      </c>
      <c r="B1781" s="115" t="s">
        <v>128</v>
      </c>
      <c r="C1781" s="115" t="s">
        <v>4452</v>
      </c>
      <c r="D1781" s="115">
        <v>1</v>
      </c>
      <c r="E1781" s="115" t="s">
        <v>4453</v>
      </c>
      <c r="F1781" s="115" t="s">
        <v>4454</v>
      </c>
      <c r="G1781" s="115" t="s">
        <v>4455</v>
      </c>
      <c r="H1781" s="115" t="s">
        <v>4456</v>
      </c>
    </row>
    <row r="1782" spans="1:8" ht="240" x14ac:dyDescent="0.25">
      <c r="A1782" s="115">
        <v>6068</v>
      </c>
      <c r="B1782" s="115" t="s">
        <v>128</v>
      </c>
      <c r="C1782" s="115" t="s">
        <v>4457</v>
      </c>
      <c r="D1782" s="115">
        <v>1</v>
      </c>
      <c r="E1782" s="115" t="s">
        <v>4458</v>
      </c>
      <c r="F1782" s="115" t="s">
        <v>4459</v>
      </c>
      <c r="G1782" s="115" t="s">
        <v>4460</v>
      </c>
      <c r="H1782" s="115" t="s">
        <v>4461</v>
      </c>
    </row>
    <row r="1783" spans="1:8" ht="150" x14ac:dyDescent="0.25">
      <c r="A1783" s="115">
        <v>6067</v>
      </c>
      <c r="B1783" s="115" t="s">
        <v>128</v>
      </c>
      <c r="C1783" s="115" t="s">
        <v>4462</v>
      </c>
      <c r="D1783" s="115">
        <v>1</v>
      </c>
      <c r="E1783" s="115" t="s">
        <v>4463</v>
      </c>
      <c r="F1783" s="115" t="s">
        <v>4464</v>
      </c>
      <c r="G1783" s="115" t="s">
        <v>4465</v>
      </c>
      <c r="H1783" s="115" t="s">
        <v>4466</v>
      </c>
    </row>
    <row r="1784" spans="1:8" ht="30" x14ac:dyDescent="0.25">
      <c r="A1784" s="115">
        <v>6066</v>
      </c>
      <c r="B1784" s="115" t="s">
        <v>128</v>
      </c>
      <c r="C1784" s="115" t="s">
        <v>4467</v>
      </c>
      <c r="D1784" s="115">
        <v>1</v>
      </c>
      <c r="E1784" s="115" t="s">
        <v>4468</v>
      </c>
      <c r="F1784" s="115" t="s">
        <v>4469</v>
      </c>
      <c r="G1784" s="115" t="s">
        <v>4470</v>
      </c>
      <c r="H1784" s="115" t="s">
        <v>4471</v>
      </c>
    </row>
    <row r="1785" spans="1:8" ht="30" x14ac:dyDescent="0.25">
      <c r="A1785" s="115">
        <v>6065</v>
      </c>
      <c r="B1785" s="115" t="s">
        <v>128</v>
      </c>
      <c r="C1785" s="115" t="s">
        <v>4472</v>
      </c>
      <c r="D1785" s="115">
        <v>1</v>
      </c>
      <c r="E1785" s="115" t="s">
        <v>4473</v>
      </c>
      <c r="F1785" s="115" t="s">
        <v>4474</v>
      </c>
      <c r="G1785" s="115" t="s">
        <v>4473</v>
      </c>
      <c r="H1785" s="115" t="s">
        <v>4475</v>
      </c>
    </row>
    <row r="1786" spans="1:8" ht="30" x14ac:dyDescent="0.25">
      <c r="A1786" s="115">
        <v>6064</v>
      </c>
      <c r="B1786" s="115" t="s">
        <v>128</v>
      </c>
      <c r="C1786" s="115" t="s">
        <v>4476</v>
      </c>
      <c r="D1786" s="115">
        <v>1</v>
      </c>
      <c r="E1786" s="115" t="s">
        <v>4477</v>
      </c>
      <c r="F1786" s="115" t="s">
        <v>4478</v>
      </c>
      <c r="G1786" s="115" t="s">
        <v>4477</v>
      </c>
      <c r="H1786" s="115" t="s">
        <v>4477</v>
      </c>
    </row>
    <row r="1787" spans="1:8" ht="30" x14ac:dyDescent="0.25">
      <c r="A1787" s="115">
        <v>6063</v>
      </c>
      <c r="B1787" s="115" t="s">
        <v>128</v>
      </c>
      <c r="C1787" s="115" t="s">
        <v>4479</v>
      </c>
      <c r="D1787" s="115">
        <v>1</v>
      </c>
      <c r="E1787" s="115" t="s">
        <v>1338</v>
      </c>
      <c r="F1787" s="115" t="s">
        <v>1339</v>
      </c>
      <c r="G1787" s="115" t="s">
        <v>1340</v>
      </c>
      <c r="H1787" s="115" t="s">
        <v>1341</v>
      </c>
    </row>
    <row r="1788" spans="1:8" ht="30" x14ac:dyDescent="0.25">
      <c r="A1788" s="115">
        <v>6062</v>
      </c>
      <c r="B1788" s="115" t="s">
        <v>128</v>
      </c>
      <c r="C1788" s="115" t="s">
        <v>4480</v>
      </c>
      <c r="D1788" s="115">
        <v>1</v>
      </c>
      <c r="E1788" s="115">
        <v>10</v>
      </c>
      <c r="F1788" s="115">
        <v>10</v>
      </c>
      <c r="G1788" s="115">
        <v>10</v>
      </c>
      <c r="H1788" s="115">
        <v>10</v>
      </c>
    </row>
    <row r="1789" spans="1:8" ht="135" x14ac:dyDescent="0.25">
      <c r="A1789" s="115">
        <v>6061</v>
      </c>
      <c r="B1789" s="115" t="s">
        <v>128</v>
      </c>
      <c r="C1789" s="115" t="s">
        <v>4481</v>
      </c>
      <c r="D1789" s="115">
        <v>1</v>
      </c>
      <c r="E1789" s="115" t="s">
        <v>4482</v>
      </c>
      <c r="F1789" s="115" t="s">
        <v>4483</v>
      </c>
      <c r="G1789" s="115" t="s">
        <v>4484</v>
      </c>
      <c r="H1789" s="115" t="s">
        <v>4485</v>
      </c>
    </row>
    <row r="1790" spans="1:8" ht="30" x14ac:dyDescent="0.25">
      <c r="A1790" s="115">
        <v>6060</v>
      </c>
      <c r="B1790" s="115" t="s">
        <v>128</v>
      </c>
      <c r="C1790" s="115" t="s">
        <v>4486</v>
      </c>
      <c r="D1790" s="115">
        <v>1</v>
      </c>
      <c r="E1790" s="115">
        <v>9</v>
      </c>
      <c r="F1790" s="115">
        <v>9</v>
      </c>
      <c r="G1790" s="115">
        <v>9</v>
      </c>
      <c r="H1790" s="115">
        <v>9</v>
      </c>
    </row>
    <row r="1791" spans="1:8" x14ac:dyDescent="0.25">
      <c r="A1791" s="115">
        <v>6059</v>
      </c>
      <c r="B1791" s="115" t="s">
        <v>128</v>
      </c>
      <c r="C1791" s="115" t="s">
        <v>4487</v>
      </c>
      <c r="D1791" s="115">
        <v>1</v>
      </c>
      <c r="E1791" s="115" t="s">
        <v>4488</v>
      </c>
      <c r="F1791" s="115" t="s">
        <v>4489</v>
      </c>
      <c r="G1791" s="115" t="s">
        <v>4490</v>
      </c>
      <c r="H1791" s="115" t="s">
        <v>4491</v>
      </c>
    </row>
    <row r="1792" spans="1:8" ht="60" x14ac:dyDescent="0.25">
      <c r="A1792" s="115">
        <v>6058</v>
      </c>
      <c r="B1792" s="115" t="s">
        <v>128</v>
      </c>
      <c r="C1792" s="115" t="s">
        <v>4492</v>
      </c>
      <c r="D1792" s="115">
        <v>1</v>
      </c>
      <c r="E1792" s="115" t="s">
        <v>4493</v>
      </c>
      <c r="F1792" s="115" t="s">
        <v>4494</v>
      </c>
      <c r="G1792" s="115" t="s">
        <v>4495</v>
      </c>
      <c r="H1792" s="115" t="s">
        <v>4496</v>
      </c>
    </row>
    <row r="1793" spans="1:8" x14ac:dyDescent="0.25">
      <c r="A1793" s="115">
        <v>6057</v>
      </c>
      <c r="B1793" s="115" t="s">
        <v>128</v>
      </c>
      <c r="C1793" s="115" t="s">
        <v>4497</v>
      </c>
      <c r="D1793" s="115">
        <v>1</v>
      </c>
      <c r="E1793" s="115" t="s">
        <v>4498</v>
      </c>
      <c r="F1793" s="115" t="s">
        <v>4498</v>
      </c>
      <c r="G1793" s="115" t="s">
        <v>4498</v>
      </c>
      <c r="H1793" s="115" t="s">
        <v>4498</v>
      </c>
    </row>
    <row r="1794" spans="1:8" ht="30" x14ac:dyDescent="0.25">
      <c r="A1794" s="115">
        <v>6056</v>
      </c>
      <c r="B1794" s="115" t="s">
        <v>128</v>
      </c>
      <c r="C1794" s="115" t="s">
        <v>4499</v>
      </c>
      <c r="D1794" s="115">
        <v>1</v>
      </c>
      <c r="E1794" s="115" t="s">
        <v>4500</v>
      </c>
      <c r="F1794" s="115" t="s">
        <v>4501</v>
      </c>
      <c r="G1794" s="115" t="s">
        <v>4502</v>
      </c>
      <c r="H1794" s="115" t="s">
        <v>4503</v>
      </c>
    </row>
    <row r="1795" spans="1:8" ht="195" x14ac:dyDescent="0.25">
      <c r="A1795" s="115">
        <v>6055</v>
      </c>
      <c r="B1795" s="115" t="s">
        <v>128</v>
      </c>
      <c r="C1795" s="115" t="s">
        <v>4504</v>
      </c>
      <c r="D1795" s="115">
        <v>1</v>
      </c>
      <c r="E1795" s="115" t="s">
        <v>4505</v>
      </c>
      <c r="F1795" s="115" t="s">
        <v>4506</v>
      </c>
      <c r="G1795" s="115" t="s">
        <v>4507</v>
      </c>
      <c r="H1795" s="115" t="s">
        <v>4508</v>
      </c>
    </row>
    <row r="1796" spans="1:8" ht="30" x14ac:dyDescent="0.25">
      <c r="A1796" s="115">
        <v>6054</v>
      </c>
      <c r="B1796" s="115" t="s">
        <v>128</v>
      </c>
      <c r="C1796" s="115" t="s">
        <v>4509</v>
      </c>
      <c r="D1796" s="115">
        <v>1</v>
      </c>
      <c r="E1796" s="115" t="s">
        <v>764</v>
      </c>
      <c r="F1796" s="115" t="s">
        <v>765</v>
      </c>
      <c r="G1796" s="115" t="s">
        <v>766</v>
      </c>
      <c r="H1796" s="115" t="s">
        <v>764</v>
      </c>
    </row>
    <row r="1797" spans="1:8" ht="30" x14ac:dyDescent="0.25">
      <c r="A1797" s="115">
        <v>6053</v>
      </c>
      <c r="B1797" s="115" t="s">
        <v>128</v>
      </c>
      <c r="C1797" s="115" t="s">
        <v>4510</v>
      </c>
      <c r="D1797" s="115">
        <v>1</v>
      </c>
      <c r="E1797" s="115" t="s">
        <v>4511</v>
      </c>
      <c r="F1797" s="115" t="s">
        <v>4512</v>
      </c>
      <c r="G1797" s="115" t="s">
        <v>4513</v>
      </c>
      <c r="H1797" s="115" t="s">
        <v>4514</v>
      </c>
    </row>
    <row r="1798" spans="1:8" ht="30" x14ac:dyDescent="0.25">
      <c r="A1798" s="115">
        <v>6052</v>
      </c>
      <c r="B1798" s="115" t="s">
        <v>128</v>
      </c>
      <c r="C1798" s="115" t="s">
        <v>4515</v>
      </c>
      <c r="D1798" s="115">
        <v>1</v>
      </c>
      <c r="E1798" s="115" t="s">
        <v>4516</v>
      </c>
      <c r="F1798" s="115" t="s">
        <v>4517</v>
      </c>
      <c r="G1798" s="115" t="s">
        <v>4516</v>
      </c>
      <c r="H1798" s="115" t="s">
        <v>4518</v>
      </c>
    </row>
    <row r="1799" spans="1:8" ht="30" x14ac:dyDescent="0.25">
      <c r="A1799" s="115">
        <v>6051</v>
      </c>
      <c r="B1799" s="115" t="s">
        <v>128</v>
      </c>
      <c r="C1799" s="115" t="s">
        <v>4519</v>
      </c>
      <c r="D1799" s="115">
        <v>1</v>
      </c>
      <c r="E1799" s="115" t="s">
        <v>4520</v>
      </c>
      <c r="F1799" s="115" t="s">
        <v>4520</v>
      </c>
      <c r="G1799" s="115" t="s">
        <v>4520</v>
      </c>
      <c r="H1799" s="115" t="s">
        <v>4521</v>
      </c>
    </row>
    <row r="1800" spans="1:8" ht="30" x14ac:dyDescent="0.25">
      <c r="A1800" s="115">
        <v>6050</v>
      </c>
      <c r="B1800" s="115" t="s">
        <v>128</v>
      </c>
      <c r="C1800" s="115" t="s">
        <v>4522</v>
      </c>
      <c r="D1800" s="115">
        <v>1</v>
      </c>
      <c r="E1800" s="115" t="s">
        <v>4523</v>
      </c>
      <c r="F1800" s="115" t="s">
        <v>4523</v>
      </c>
      <c r="G1800" s="115" t="s">
        <v>4523</v>
      </c>
      <c r="H1800" s="115" t="s">
        <v>4524</v>
      </c>
    </row>
    <row r="1801" spans="1:8" ht="30" x14ac:dyDescent="0.25">
      <c r="A1801" s="115">
        <v>6049</v>
      </c>
      <c r="B1801" s="115" t="s">
        <v>128</v>
      </c>
      <c r="C1801" s="115" t="s">
        <v>4525</v>
      </c>
      <c r="D1801" s="115">
        <v>1</v>
      </c>
      <c r="E1801" s="115" t="s">
        <v>4526</v>
      </c>
      <c r="F1801" s="115" t="s">
        <v>4526</v>
      </c>
      <c r="G1801" s="115" t="s">
        <v>4526</v>
      </c>
      <c r="H1801" s="115" t="s">
        <v>4527</v>
      </c>
    </row>
    <row r="1802" spans="1:8" ht="30" x14ac:dyDescent="0.25">
      <c r="A1802" s="115">
        <v>6048</v>
      </c>
      <c r="B1802" s="115" t="s">
        <v>128</v>
      </c>
      <c r="C1802" s="115" t="s">
        <v>4528</v>
      </c>
      <c r="D1802" s="115">
        <v>1</v>
      </c>
      <c r="E1802" s="115" t="s">
        <v>4529</v>
      </c>
      <c r="F1802" s="115" t="s">
        <v>4530</v>
      </c>
      <c r="G1802" s="115" t="s">
        <v>4529</v>
      </c>
      <c r="H1802" s="115" t="s">
        <v>4531</v>
      </c>
    </row>
    <row r="1803" spans="1:8" ht="30" x14ac:dyDescent="0.25">
      <c r="A1803" s="115">
        <v>6047</v>
      </c>
      <c r="B1803" s="115" t="s">
        <v>128</v>
      </c>
      <c r="C1803" s="115" t="s">
        <v>4532</v>
      </c>
      <c r="D1803" s="115">
        <v>1</v>
      </c>
      <c r="E1803" s="115" t="s">
        <v>4533</v>
      </c>
      <c r="F1803" s="115" t="s">
        <v>4534</v>
      </c>
      <c r="G1803" s="115" t="s">
        <v>4533</v>
      </c>
      <c r="H1803" s="115" t="s">
        <v>4535</v>
      </c>
    </row>
    <row r="1804" spans="1:8" ht="30" x14ac:dyDescent="0.25">
      <c r="A1804" s="115">
        <v>6046</v>
      </c>
      <c r="B1804" s="115" t="s">
        <v>128</v>
      </c>
      <c r="C1804" s="115" t="s">
        <v>4536</v>
      </c>
      <c r="D1804" s="115">
        <v>1</v>
      </c>
      <c r="E1804" s="115" t="s">
        <v>4537</v>
      </c>
      <c r="F1804" s="115" t="s">
        <v>4538</v>
      </c>
      <c r="G1804" s="115" t="s">
        <v>4539</v>
      </c>
      <c r="H1804" s="115" t="s">
        <v>4540</v>
      </c>
    </row>
    <row r="1805" spans="1:8" ht="30" x14ac:dyDescent="0.25">
      <c r="A1805" s="115">
        <v>6045</v>
      </c>
      <c r="B1805" s="115" t="s">
        <v>128</v>
      </c>
      <c r="C1805" s="115" t="s">
        <v>4541</v>
      </c>
      <c r="D1805" s="115">
        <v>1</v>
      </c>
    </row>
    <row r="1806" spans="1:8" ht="30" x14ac:dyDescent="0.25">
      <c r="A1806" s="115">
        <v>6044</v>
      </c>
      <c r="B1806" s="115" t="s">
        <v>128</v>
      </c>
      <c r="C1806" s="115" t="s">
        <v>4542</v>
      </c>
      <c r="D1806" s="115">
        <v>1</v>
      </c>
      <c r="E1806" s="115" t="s">
        <v>1296</v>
      </c>
      <c r="F1806" s="115" t="s">
        <v>1297</v>
      </c>
      <c r="G1806" s="115" t="s">
        <v>1298</v>
      </c>
      <c r="H1806" s="115" t="s">
        <v>1299</v>
      </c>
    </row>
    <row r="1807" spans="1:8" ht="240" x14ac:dyDescent="0.25">
      <c r="A1807" s="115">
        <v>6043</v>
      </c>
      <c r="B1807" s="115" t="s">
        <v>128</v>
      </c>
      <c r="C1807" s="115" t="s">
        <v>4543</v>
      </c>
      <c r="D1807" s="115">
        <v>1</v>
      </c>
      <c r="E1807" s="115" t="s">
        <v>4544</v>
      </c>
      <c r="F1807" s="115" t="s">
        <v>4545</v>
      </c>
      <c r="G1807" s="115" t="s">
        <v>4546</v>
      </c>
      <c r="H1807" s="115" t="s">
        <v>4547</v>
      </c>
    </row>
    <row r="1808" spans="1:8" ht="30" x14ac:dyDescent="0.25">
      <c r="A1808" s="115">
        <v>6042</v>
      </c>
      <c r="B1808" s="115" t="s">
        <v>128</v>
      </c>
      <c r="C1808" s="115" t="s">
        <v>4548</v>
      </c>
      <c r="D1808" s="115">
        <v>1</v>
      </c>
      <c r="E1808" s="115" t="s">
        <v>4549</v>
      </c>
      <c r="F1808" s="115" t="s">
        <v>4550</v>
      </c>
      <c r="G1808" s="115" t="s">
        <v>4551</v>
      </c>
      <c r="H1808" s="115" t="s">
        <v>4552</v>
      </c>
    </row>
    <row r="1809" spans="1:8" ht="195" x14ac:dyDescent="0.25">
      <c r="A1809" s="115">
        <v>6041</v>
      </c>
      <c r="B1809" s="115" t="s">
        <v>128</v>
      </c>
      <c r="C1809" s="115" t="s">
        <v>4553</v>
      </c>
      <c r="D1809" s="115">
        <v>1</v>
      </c>
      <c r="E1809" s="115" t="s">
        <v>4554</v>
      </c>
      <c r="F1809" s="115" t="s">
        <v>4555</v>
      </c>
      <c r="G1809" s="115" t="s">
        <v>4556</v>
      </c>
      <c r="H1809" s="115" t="s">
        <v>4557</v>
      </c>
    </row>
    <row r="1810" spans="1:8" ht="30" x14ac:dyDescent="0.25">
      <c r="A1810" s="115">
        <v>6040</v>
      </c>
      <c r="B1810" s="115" t="s">
        <v>128</v>
      </c>
      <c r="C1810" s="115" t="s">
        <v>4558</v>
      </c>
      <c r="D1810" s="115">
        <v>1</v>
      </c>
      <c r="E1810" s="115" t="s">
        <v>764</v>
      </c>
      <c r="F1810" s="115" t="s">
        <v>765</v>
      </c>
      <c r="G1810" s="115" t="s">
        <v>766</v>
      </c>
      <c r="H1810" s="115" t="s">
        <v>764</v>
      </c>
    </row>
    <row r="1811" spans="1:8" ht="30" x14ac:dyDescent="0.25">
      <c r="A1811" s="115">
        <v>6039</v>
      </c>
      <c r="B1811" s="115" t="s">
        <v>128</v>
      </c>
      <c r="C1811" s="115" t="s">
        <v>4559</v>
      </c>
      <c r="D1811" s="115">
        <v>1</v>
      </c>
      <c r="E1811" s="115" t="s">
        <v>4560</v>
      </c>
      <c r="F1811" s="115" t="s">
        <v>4561</v>
      </c>
      <c r="G1811" s="115" t="s">
        <v>4562</v>
      </c>
      <c r="H1811" s="115" t="s">
        <v>4563</v>
      </c>
    </row>
    <row r="1812" spans="1:8" ht="195" x14ac:dyDescent="0.25">
      <c r="A1812" s="115">
        <v>6038</v>
      </c>
      <c r="B1812" s="115" t="s">
        <v>128</v>
      </c>
      <c r="C1812" s="115" t="s">
        <v>4564</v>
      </c>
      <c r="D1812" s="115">
        <v>1</v>
      </c>
      <c r="E1812" s="115" t="s">
        <v>4565</v>
      </c>
      <c r="F1812" s="115" t="s">
        <v>4566</v>
      </c>
      <c r="G1812" s="115" t="s">
        <v>4567</v>
      </c>
      <c r="H1812" s="115" t="s">
        <v>4568</v>
      </c>
    </row>
    <row r="1813" spans="1:8" ht="30" x14ac:dyDescent="0.25">
      <c r="A1813" s="115">
        <v>6037</v>
      </c>
      <c r="B1813" s="115" t="s">
        <v>128</v>
      </c>
      <c r="C1813" s="115" t="s">
        <v>4569</v>
      </c>
      <c r="D1813" s="115">
        <v>1</v>
      </c>
      <c r="E1813" s="115" t="s">
        <v>4570</v>
      </c>
      <c r="F1813" s="115" t="s">
        <v>4571</v>
      </c>
      <c r="G1813" s="115" t="s">
        <v>4570</v>
      </c>
      <c r="H1813" s="115" t="s">
        <v>4572</v>
      </c>
    </row>
    <row r="1814" spans="1:8" ht="180" x14ac:dyDescent="0.25">
      <c r="A1814" s="115">
        <v>6036</v>
      </c>
      <c r="B1814" s="115" t="s">
        <v>128</v>
      </c>
      <c r="C1814" s="115" t="s">
        <v>4573</v>
      </c>
      <c r="D1814" s="115">
        <v>1</v>
      </c>
      <c r="E1814" s="115" t="s">
        <v>4574</v>
      </c>
      <c r="F1814" s="115" t="s">
        <v>4575</v>
      </c>
      <c r="G1814" s="115" t="s">
        <v>4576</v>
      </c>
      <c r="H1814" s="115" t="s">
        <v>4577</v>
      </c>
    </row>
    <row r="1815" spans="1:8" ht="30" x14ac:dyDescent="0.25">
      <c r="A1815" s="115">
        <v>6035</v>
      </c>
      <c r="B1815" s="115" t="s">
        <v>128</v>
      </c>
      <c r="C1815" s="115" t="s">
        <v>4578</v>
      </c>
      <c r="D1815" s="115">
        <v>1</v>
      </c>
      <c r="E1815" s="115" t="s">
        <v>4579</v>
      </c>
      <c r="F1815" s="115" t="s">
        <v>4580</v>
      </c>
      <c r="G1815" s="115" t="s">
        <v>4581</v>
      </c>
      <c r="H1815" s="115" t="s">
        <v>4582</v>
      </c>
    </row>
    <row r="1816" spans="1:8" ht="330" x14ac:dyDescent="0.25">
      <c r="A1816" s="115">
        <v>6034</v>
      </c>
      <c r="B1816" s="115" t="s">
        <v>128</v>
      </c>
      <c r="C1816" s="115" t="s">
        <v>4583</v>
      </c>
      <c r="D1816" s="115">
        <v>1</v>
      </c>
      <c r="E1816" s="115" t="s">
        <v>4584</v>
      </c>
      <c r="F1816" s="115" t="s">
        <v>4585</v>
      </c>
      <c r="G1816" s="115" t="s">
        <v>4586</v>
      </c>
      <c r="H1816" s="115" t="s">
        <v>4587</v>
      </c>
    </row>
    <row r="1817" spans="1:8" ht="30" x14ac:dyDescent="0.25">
      <c r="A1817" s="115">
        <v>6033</v>
      </c>
      <c r="B1817" s="115" t="s">
        <v>128</v>
      </c>
      <c r="C1817" s="115" t="s">
        <v>4588</v>
      </c>
      <c r="D1817" s="115">
        <v>1</v>
      </c>
      <c r="E1817" s="115" t="s">
        <v>4589</v>
      </c>
      <c r="F1817" s="115" t="s">
        <v>4590</v>
      </c>
      <c r="G1817" s="115" t="s">
        <v>4589</v>
      </c>
      <c r="H1817" s="115" t="s">
        <v>4591</v>
      </c>
    </row>
    <row r="1818" spans="1:8" ht="135" x14ac:dyDescent="0.25">
      <c r="A1818" s="115">
        <v>6032</v>
      </c>
      <c r="B1818" s="115" t="s">
        <v>128</v>
      </c>
      <c r="C1818" s="115" t="s">
        <v>4592</v>
      </c>
      <c r="D1818" s="115">
        <v>1</v>
      </c>
      <c r="E1818" s="115" t="s">
        <v>4593</v>
      </c>
      <c r="F1818" s="115" t="s">
        <v>4594</v>
      </c>
      <c r="G1818" s="115" t="s">
        <v>4595</v>
      </c>
      <c r="H1818" s="115" t="s">
        <v>4596</v>
      </c>
    </row>
    <row r="1819" spans="1:8" ht="30" x14ac:dyDescent="0.25">
      <c r="A1819" s="115">
        <v>6031</v>
      </c>
      <c r="B1819" s="115" t="s">
        <v>128</v>
      </c>
      <c r="C1819" s="115" t="s">
        <v>4597</v>
      </c>
      <c r="D1819" s="115">
        <v>1</v>
      </c>
      <c r="E1819" s="115" t="s">
        <v>4598</v>
      </c>
      <c r="F1819" s="115" t="s">
        <v>4599</v>
      </c>
      <c r="G1819" s="115" t="s">
        <v>4598</v>
      </c>
      <c r="H1819" s="115" t="s">
        <v>4600</v>
      </c>
    </row>
    <row r="1820" spans="1:8" ht="30" x14ac:dyDescent="0.25">
      <c r="A1820" s="115">
        <v>6030</v>
      </c>
      <c r="B1820" s="115" t="s">
        <v>128</v>
      </c>
      <c r="C1820" s="115" t="s">
        <v>4601</v>
      </c>
      <c r="D1820" s="115">
        <v>1</v>
      </c>
    </row>
    <row r="1821" spans="1:8" ht="255" x14ac:dyDescent="0.25">
      <c r="A1821" s="115">
        <v>6029</v>
      </c>
      <c r="B1821" s="115" t="s">
        <v>128</v>
      </c>
      <c r="C1821" s="115" t="s">
        <v>4602</v>
      </c>
      <c r="D1821" s="115">
        <v>1</v>
      </c>
      <c r="E1821" s="115" t="s">
        <v>4603</v>
      </c>
      <c r="F1821" s="115" t="s">
        <v>4604</v>
      </c>
      <c r="G1821" s="115" t="s">
        <v>4605</v>
      </c>
      <c r="H1821" s="115" t="s">
        <v>4606</v>
      </c>
    </row>
    <row r="1822" spans="1:8" ht="30" x14ac:dyDescent="0.25">
      <c r="A1822" s="115">
        <v>6028</v>
      </c>
      <c r="B1822" s="115" t="s">
        <v>128</v>
      </c>
      <c r="C1822" s="115" t="s">
        <v>4607</v>
      </c>
      <c r="D1822" s="115">
        <v>1</v>
      </c>
      <c r="E1822" s="115" t="s">
        <v>4608</v>
      </c>
      <c r="F1822" s="115" t="s">
        <v>4609</v>
      </c>
      <c r="G1822" s="115" t="s">
        <v>4610</v>
      </c>
      <c r="H1822" s="115" t="s">
        <v>4608</v>
      </c>
    </row>
    <row r="1823" spans="1:8" ht="285" x14ac:dyDescent="0.25">
      <c r="A1823" s="115">
        <v>6027</v>
      </c>
      <c r="B1823" s="115" t="s">
        <v>128</v>
      </c>
      <c r="C1823" s="115" t="s">
        <v>4611</v>
      </c>
      <c r="D1823" s="115">
        <v>1</v>
      </c>
      <c r="E1823" s="115" t="s">
        <v>4612</v>
      </c>
      <c r="F1823" s="115" t="s">
        <v>4613</v>
      </c>
      <c r="G1823" s="115" t="s">
        <v>4614</v>
      </c>
      <c r="H1823" s="115" t="s">
        <v>4615</v>
      </c>
    </row>
    <row r="1824" spans="1:8" ht="30" x14ac:dyDescent="0.25">
      <c r="A1824" s="115">
        <v>6026</v>
      </c>
      <c r="B1824" s="115" t="s">
        <v>128</v>
      </c>
      <c r="C1824" s="115" t="s">
        <v>4616</v>
      </c>
      <c r="D1824" s="115">
        <v>1</v>
      </c>
      <c r="E1824" s="115" t="s">
        <v>4617</v>
      </c>
      <c r="F1824" s="115" t="s">
        <v>4618</v>
      </c>
      <c r="G1824" s="115" t="s">
        <v>4619</v>
      </c>
      <c r="H1824" s="115" t="s">
        <v>4620</v>
      </c>
    </row>
    <row r="1825" spans="1:8" ht="195" x14ac:dyDescent="0.25">
      <c r="A1825" s="115">
        <v>6025</v>
      </c>
      <c r="B1825" s="115" t="s">
        <v>128</v>
      </c>
      <c r="C1825" s="115" t="s">
        <v>4621</v>
      </c>
      <c r="D1825" s="115">
        <v>1</v>
      </c>
      <c r="E1825" s="115" t="s">
        <v>4622</v>
      </c>
      <c r="F1825" s="115" t="s">
        <v>4623</v>
      </c>
      <c r="G1825" s="115" t="s">
        <v>4624</v>
      </c>
      <c r="H1825" s="115" t="s">
        <v>4625</v>
      </c>
    </row>
    <row r="1826" spans="1:8" ht="60" x14ac:dyDescent="0.25">
      <c r="A1826" s="115">
        <v>6024</v>
      </c>
      <c r="B1826" s="115" t="s">
        <v>128</v>
      </c>
      <c r="C1826" s="115" t="s">
        <v>4626</v>
      </c>
      <c r="D1826" s="115">
        <v>1</v>
      </c>
      <c r="E1826" s="115" t="s">
        <v>4627</v>
      </c>
      <c r="F1826" s="115" t="s">
        <v>4628</v>
      </c>
      <c r="G1826" s="115" t="s">
        <v>4629</v>
      </c>
      <c r="H1826" s="115" t="s">
        <v>4630</v>
      </c>
    </row>
    <row r="1827" spans="1:8" ht="210" x14ac:dyDescent="0.25">
      <c r="A1827" s="115">
        <v>6023</v>
      </c>
      <c r="B1827" s="115" t="s">
        <v>128</v>
      </c>
      <c r="C1827" s="115" t="s">
        <v>4631</v>
      </c>
      <c r="D1827" s="115">
        <v>1</v>
      </c>
      <c r="E1827" s="115" t="s">
        <v>4632</v>
      </c>
      <c r="F1827" s="115" t="s">
        <v>4633</v>
      </c>
      <c r="G1827" s="115" t="s">
        <v>4634</v>
      </c>
      <c r="H1827" s="115" t="s">
        <v>4635</v>
      </c>
    </row>
    <row r="1828" spans="1:8" ht="75" x14ac:dyDescent="0.25">
      <c r="A1828" s="115">
        <v>6022</v>
      </c>
      <c r="B1828" s="115" t="s">
        <v>128</v>
      </c>
      <c r="C1828" s="115" t="s">
        <v>4636</v>
      </c>
      <c r="D1828" s="115">
        <v>1</v>
      </c>
      <c r="E1828" s="115" t="s">
        <v>4637</v>
      </c>
      <c r="F1828" s="115" t="s">
        <v>4638</v>
      </c>
      <c r="G1828" s="115" t="s">
        <v>4639</v>
      </c>
      <c r="H1828" s="115" t="s">
        <v>4640</v>
      </c>
    </row>
    <row r="1829" spans="1:8" ht="150" x14ac:dyDescent="0.25">
      <c r="A1829" s="115">
        <v>6021</v>
      </c>
      <c r="B1829" s="115" t="s">
        <v>128</v>
      </c>
      <c r="C1829" s="115" t="s">
        <v>4641</v>
      </c>
      <c r="D1829" s="115">
        <v>1</v>
      </c>
      <c r="E1829" s="115" t="s">
        <v>4642</v>
      </c>
      <c r="F1829" s="115" t="s">
        <v>4643</v>
      </c>
      <c r="G1829" s="115" t="s">
        <v>4644</v>
      </c>
      <c r="H1829" s="115" t="s">
        <v>4645</v>
      </c>
    </row>
    <row r="1830" spans="1:8" ht="30" x14ac:dyDescent="0.25">
      <c r="A1830" s="115">
        <v>6020</v>
      </c>
      <c r="B1830" s="115" t="s">
        <v>128</v>
      </c>
      <c r="C1830" s="115" t="s">
        <v>4646</v>
      </c>
      <c r="D1830" s="115">
        <v>1</v>
      </c>
      <c r="E1830" s="115" t="s">
        <v>3947</v>
      </c>
      <c r="F1830" s="115" t="s">
        <v>3948</v>
      </c>
      <c r="G1830" s="115" t="s">
        <v>3949</v>
      </c>
      <c r="H1830" s="115" t="s">
        <v>3950</v>
      </c>
    </row>
    <row r="1831" spans="1:8" ht="30" x14ac:dyDescent="0.25">
      <c r="A1831" s="115">
        <v>6019</v>
      </c>
      <c r="B1831" s="115" t="s">
        <v>128</v>
      </c>
      <c r="C1831" s="115" t="s">
        <v>4647</v>
      </c>
      <c r="D1831" s="115">
        <v>1</v>
      </c>
      <c r="E1831" s="115" t="s">
        <v>3942</v>
      </c>
      <c r="F1831" s="115" t="s">
        <v>3943</v>
      </c>
      <c r="G1831" s="115" t="s">
        <v>3942</v>
      </c>
      <c r="H1831" s="115" t="s">
        <v>3945</v>
      </c>
    </row>
    <row r="1832" spans="1:8" ht="30" x14ac:dyDescent="0.25">
      <c r="A1832" s="115">
        <v>6018</v>
      </c>
      <c r="B1832" s="115" t="s">
        <v>128</v>
      </c>
      <c r="C1832" s="115" t="s">
        <v>4648</v>
      </c>
      <c r="D1832" s="115">
        <v>1</v>
      </c>
      <c r="E1832" s="115" t="s">
        <v>3952</v>
      </c>
      <c r="F1832" s="115" t="s">
        <v>3952</v>
      </c>
      <c r="G1832" s="115" t="s">
        <v>3952</v>
      </c>
      <c r="H1832" s="115" t="s">
        <v>3952</v>
      </c>
    </row>
    <row r="1833" spans="1:8" ht="30" x14ac:dyDescent="0.25">
      <c r="A1833" s="115">
        <v>6017</v>
      </c>
      <c r="B1833" s="115" t="s">
        <v>128</v>
      </c>
      <c r="C1833" s="115" t="s">
        <v>4649</v>
      </c>
      <c r="D1833" s="115">
        <v>1</v>
      </c>
      <c r="E1833" s="115" t="s">
        <v>1338</v>
      </c>
      <c r="F1833" s="115" t="s">
        <v>1339</v>
      </c>
      <c r="G1833" s="115" t="s">
        <v>1340</v>
      </c>
      <c r="H1833" s="115" t="s">
        <v>1341</v>
      </c>
    </row>
    <row r="1834" spans="1:8" ht="30" x14ac:dyDescent="0.25">
      <c r="A1834" s="115">
        <v>6016</v>
      </c>
      <c r="B1834" s="115" t="s">
        <v>128</v>
      </c>
      <c r="C1834" s="115" t="s">
        <v>4650</v>
      </c>
      <c r="D1834" s="115">
        <v>1</v>
      </c>
      <c r="E1834" s="115">
        <v>9</v>
      </c>
      <c r="F1834" s="115">
        <v>9</v>
      </c>
      <c r="G1834" s="115">
        <v>9</v>
      </c>
      <c r="H1834" s="115">
        <v>9</v>
      </c>
    </row>
    <row r="1835" spans="1:8" ht="210" x14ac:dyDescent="0.25">
      <c r="A1835" s="115">
        <v>6015</v>
      </c>
      <c r="B1835" s="115" t="s">
        <v>128</v>
      </c>
      <c r="C1835" s="115" t="s">
        <v>4651</v>
      </c>
      <c r="D1835" s="115">
        <v>1</v>
      </c>
      <c r="E1835" s="115" t="s">
        <v>4652</v>
      </c>
      <c r="F1835" s="115" t="s">
        <v>4653</v>
      </c>
      <c r="G1835" s="115" t="s">
        <v>4654</v>
      </c>
      <c r="H1835" s="115" t="s">
        <v>4655</v>
      </c>
    </row>
    <row r="1836" spans="1:8" ht="30" x14ac:dyDescent="0.25">
      <c r="A1836" s="115">
        <v>6014</v>
      </c>
      <c r="B1836" s="115" t="s">
        <v>128</v>
      </c>
      <c r="C1836" s="115" t="s">
        <v>4656</v>
      </c>
      <c r="D1836" s="115">
        <v>1</v>
      </c>
      <c r="E1836" s="115">
        <v>8</v>
      </c>
      <c r="F1836" s="115">
        <v>8</v>
      </c>
      <c r="G1836" s="115">
        <v>8</v>
      </c>
      <c r="H1836" s="115">
        <v>8</v>
      </c>
    </row>
    <row r="1837" spans="1:8" x14ac:dyDescent="0.25">
      <c r="A1837" s="115">
        <v>6013</v>
      </c>
      <c r="B1837" s="115" t="s">
        <v>128</v>
      </c>
      <c r="C1837" s="115" t="s">
        <v>4657</v>
      </c>
      <c r="D1837" s="115">
        <v>1</v>
      </c>
      <c r="E1837" s="115" t="s">
        <v>2250</v>
      </c>
      <c r="F1837" s="115" t="s">
        <v>2251</v>
      </c>
      <c r="G1837" s="115" t="s">
        <v>2252</v>
      </c>
      <c r="H1837" s="115" t="s">
        <v>2253</v>
      </c>
    </row>
    <row r="1838" spans="1:8" ht="45" x14ac:dyDescent="0.25">
      <c r="A1838" s="115">
        <v>6012</v>
      </c>
      <c r="B1838" s="115" t="s">
        <v>128</v>
      </c>
      <c r="C1838" s="115" t="s">
        <v>4658</v>
      </c>
      <c r="D1838" s="115">
        <v>1</v>
      </c>
      <c r="E1838" s="115" t="s">
        <v>4659</v>
      </c>
      <c r="F1838" s="115" t="s">
        <v>2246</v>
      </c>
      <c r="G1838" s="115" t="s">
        <v>2247</v>
      </c>
      <c r="H1838" s="115" t="s">
        <v>2248</v>
      </c>
    </row>
    <row r="1839" spans="1:8" ht="30" x14ac:dyDescent="0.25">
      <c r="A1839" s="115">
        <v>6011</v>
      </c>
      <c r="B1839" s="115" t="s">
        <v>128</v>
      </c>
      <c r="C1839" s="115" t="s">
        <v>4660</v>
      </c>
      <c r="D1839" s="115">
        <v>1</v>
      </c>
      <c r="E1839" s="115" t="s">
        <v>4661</v>
      </c>
      <c r="F1839" s="115" t="s">
        <v>4662</v>
      </c>
      <c r="G1839" s="115" t="s">
        <v>4663</v>
      </c>
      <c r="H1839" s="115" t="s">
        <v>4664</v>
      </c>
    </row>
    <row r="1840" spans="1:8" ht="210" x14ac:dyDescent="0.25">
      <c r="A1840" s="115">
        <v>6010</v>
      </c>
      <c r="B1840" s="115" t="s">
        <v>128</v>
      </c>
      <c r="C1840" s="115" t="s">
        <v>4665</v>
      </c>
      <c r="D1840" s="115">
        <v>1</v>
      </c>
      <c r="E1840" s="115" t="s">
        <v>4666</v>
      </c>
      <c r="F1840" s="115" t="s">
        <v>4667</v>
      </c>
      <c r="G1840" s="115" t="s">
        <v>4668</v>
      </c>
      <c r="H1840" s="115" t="s">
        <v>4669</v>
      </c>
    </row>
    <row r="1841" spans="1:8" ht="30" x14ac:dyDescent="0.25">
      <c r="A1841" s="115">
        <v>6009</v>
      </c>
      <c r="B1841" s="115" t="s">
        <v>128</v>
      </c>
      <c r="C1841" s="115" t="s">
        <v>4670</v>
      </c>
      <c r="D1841" s="115">
        <v>1</v>
      </c>
      <c r="E1841" s="115" t="s">
        <v>764</v>
      </c>
      <c r="F1841" s="115" t="s">
        <v>765</v>
      </c>
      <c r="G1841" s="115" t="s">
        <v>766</v>
      </c>
      <c r="H1841" s="115" t="s">
        <v>764</v>
      </c>
    </row>
    <row r="1842" spans="1:8" ht="30" x14ac:dyDescent="0.25">
      <c r="A1842" s="115">
        <v>6008</v>
      </c>
      <c r="B1842" s="115" t="s">
        <v>128</v>
      </c>
      <c r="C1842" s="115" t="s">
        <v>4671</v>
      </c>
      <c r="D1842" s="115">
        <v>1</v>
      </c>
      <c r="E1842" s="115" t="s">
        <v>4672</v>
      </c>
      <c r="F1842" s="115" t="s">
        <v>4673</v>
      </c>
      <c r="G1842" s="115" t="s">
        <v>4674</v>
      </c>
      <c r="H1842" s="115" t="s">
        <v>4675</v>
      </c>
    </row>
    <row r="1843" spans="1:8" ht="45" x14ac:dyDescent="0.25">
      <c r="A1843" s="115">
        <v>6007</v>
      </c>
      <c r="B1843" s="115" t="s">
        <v>128</v>
      </c>
      <c r="C1843" s="115" t="s">
        <v>4676</v>
      </c>
      <c r="D1843" s="115">
        <v>1</v>
      </c>
      <c r="E1843" s="115">
        <v>92</v>
      </c>
      <c r="F1843" s="115">
        <v>92</v>
      </c>
      <c r="G1843" s="115">
        <v>92</v>
      </c>
      <c r="H1843" s="115">
        <v>92</v>
      </c>
    </row>
    <row r="1844" spans="1:8" ht="30" x14ac:dyDescent="0.25">
      <c r="A1844" s="115">
        <v>6006</v>
      </c>
      <c r="B1844" s="115" t="s">
        <v>128</v>
      </c>
      <c r="C1844" s="115" t="s">
        <v>4677</v>
      </c>
      <c r="D1844" s="115">
        <v>1</v>
      </c>
      <c r="E1844" s="115" t="s">
        <v>4678</v>
      </c>
      <c r="F1844" s="115" t="s">
        <v>4679</v>
      </c>
      <c r="G1844" s="115" t="s">
        <v>4680</v>
      </c>
      <c r="H1844" s="115" t="s">
        <v>4681</v>
      </c>
    </row>
    <row r="1845" spans="1:8" ht="45" x14ac:dyDescent="0.25">
      <c r="A1845" s="115">
        <v>6005</v>
      </c>
      <c r="B1845" s="115" t="s">
        <v>128</v>
      </c>
      <c r="C1845" s="115" t="s">
        <v>4682</v>
      </c>
      <c r="D1845" s="115">
        <v>1</v>
      </c>
      <c r="E1845" s="115">
        <v>110</v>
      </c>
      <c r="F1845" s="115">
        <v>110</v>
      </c>
      <c r="G1845" s="115">
        <v>110</v>
      </c>
      <c r="H1845" s="115">
        <v>110</v>
      </c>
    </row>
    <row r="1846" spans="1:8" ht="30" x14ac:dyDescent="0.25">
      <c r="A1846" s="115">
        <v>6004</v>
      </c>
      <c r="B1846" s="115" t="s">
        <v>128</v>
      </c>
      <c r="C1846" s="115" t="s">
        <v>4683</v>
      </c>
      <c r="D1846" s="115">
        <v>1</v>
      </c>
      <c r="E1846" s="115" t="s">
        <v>4684</v>
      </c>
      <c r="F1846" s="115" t="s">
        <v>4685</v>
      </c>
      <c r="G1846" s="115" t="s">
        <v>4686</v>
      </c>
      <c r="H1846" s="115" t="s">
        <v>4687</v>
      </c>
    </row>
    <row r="1847" spans="1:8" ht="45" x14ac:dyDescent="0.25">
      <c r="A1847" s="115">
        <v>6003</v>
      </c>
      <c r="B1847" s="115" t="s">
        <v>128</v>
      </c>
      <c r="C1847" s="115" t="s">
        <v>4688</v>
      </c>
      <c r="D1847" s="115">
        <v>1</v>
      </c>
      <c r="E1847" s="115">
        <v>76</v>
      </c>
      <c r="F1847" s="115">
        <v>76</v>
      </c>
      <c r="G1847" s="115">
        <v>76</v>
      </c>
      <c r="H1847" s="115">
        <v>76</v>
      </c>
    </row>
    <row r="1848" spans="1:8" ht="45" x14ac:dyDescent="0.25">
      <c r="A1848" s="115">
        <v>6002</v>
      </c>
      <c r="B1848" s="115" t="s">
        <v>128</v>
      </c>
      <c r="C1848" s="115" t="s">
        <v>4689</v>
      </c>
      <c r="D1848" s="115">
        <v>1</v>
      </c>
      <c r="E1848" s="115" t="s">
        <v>4690</v>
      </c>
      <c r="F1848" s="115" t="s">
        <v>4691</v>
      </c>
      <c r="G1848" s="115" t="s">
        <v>4692</v>
      </c>
      <c r="H1848" s="115" t="s">
        <v>4693</v>
      </c>
    </row>
    <row r="1849" spans="1:8" ht="45" x14ac:dyDescent="0.25">
      <c r="A1849" s="115">
        <v>6001</v>
      </c>
      <c r="B1849" s="115" t="s">
        <v>128</v>
      </c>
      <c r="C1849" s="115" t="s">
        <v>4694</v>
      </c>
      <c r="D1849" s="115">
        <v>1</v>
      </c>
      <c r="E1849" s="115">
        <v>108</v>
      </c>
      <c r="F1849" s="115">
        <v>108</v>
      </c>
      <c r="G1849" s="115">
        <v>108</v>
      </c>
      <c r="H1849" s="115">
        <v>108</v>
      </c>
    </row>
    <row r="1850" spans="1:8" ht="30" x14ac:dyDescent="0.25">
      <c r="A1850" s="115">
        <v>6000</v>
      </c>
      <c r="B1850" s="115" t="s">
        <v>128</v>
      </c>
      <c r="C1850" s="115" t="s">
        <v>4695</v>
      </c>
      <c r="D1850" s="115">
        <v>1</v>
      </c>
      <c r="E1850" s="115" t="s">
        <v>4696</v>
      </c>
      <c r="F1850" s="115" t="s">
        <v>4697</v>
      </c>
      <c r="G1850" s="115" t="s">
        <v>4698</v>
      </c>
      <c r="H1850" s="115" t="s">
        <v>4699</v>
      </c>
    </row>
    <row r="1851" spans="1:8" ht="45" x14ac:dyDescent="0.25">
      <c r="A1851" s="115">
        <v>5999</v>
      </c>
      <c r="B1851" s="115" t="s">
        <v>128</v>
      </c>
      <c r="C1851" s="115" t="s">
        <v>4700</v>
      </c>
      <c r="D1851" s="115">
        <v>1</v>
      </c>
      <c r="E1851" s="115">
        <v>69</v>
      </c>
      <c r="F1851" s="115">
        <v>69</v>
      </c>
      <c r="G1851" s="115">
        <v>69</v>
      </c>
      <c r="H1851" s="115">
        <v>69</v>
      </c>
    </row>
    <row r="1852" spans="1:8" ht="45" x14ac:dyDescent="0.25">
      <c r="A1852" s="115">
        <v>5998</v>
      </c>
      <c r="B1852" s="115" t="s">
        <v>128</v>
      </c>
      <c r="C1852" s="115" t="s">
        <v>4701</v>
      </c>
      <c r="D1852" s="115">
        <v>1</v>
      </c>
      <c r="E1852" s="115" t="s">
        <v>4702</v>
      </c>
      <c r="F1852" s="115" t="s">
        <v>4703</v>
      </c>
      <c r="G1852" s="115" t="s">
        <v>4704</v>
      </c>
      <c r="H1852" s="115" t="s">
        <v>4705</v>
      </c>
    </row>
    <row r="1853" spans="1:8" ht="45" x14ac:dyDescent="0.25">
      <c r="A1853" s="115">
        <v>5997</v>
      </c>
      <c r="B1853" s="115" t="s">
        <v>128</v>
      </c>
      <c r="C1853" s="115" t="s">
        <v>4706</v>
      </c>
      <c r="D1853" s="115">
        <v>1</v>
      </c>
      <c r="E1853" s="115">
        <v>89</v>
      </c>
      <c r="F1853" s="115">
        <v>89</v>
      </c>
      <c r="G1853" s="115">
        <v>89</v>
      </c>
      <c r="H1853" s="115">
        <v>89</v>
      </c>
    </row>
    <row r="1854" spans="1:8" ht="45" x14ac:dyDescent="0.25">
      <c r="A1854" s="115">
        <v>5996</v>
      </c>
      <c r="B1854" s="115" t="s">
        <v>128</v>
      </c>
      <c r="C1854" s="115" t="s">
        <v>4707</v>
      </c>
      <c r="D1854" s="115">
        <v>1</v>
      </c>
      <c r="E1854" s="115" t="s">
        <v>4708</v>
      </c>
      <c r="F1854" s="115" t="s">
        <v>4709</v>
      </c>
      <c r="G1854" s="115" t="s">
        <v>4710</v>
      </c>
      <c r="H1854" s="115" t="s">
        <v>4711</v>
      </c>
    </row>
    <row r="1855" spans="1:8" ht="45" x14ac:dyDescent="0.25">
      <c r="A1855" s="115">
        <v>5995</v>
      </c>
      <c r="B1855" s="115" t="s">
        <v>128</v>
      </c>
      <c r="C1855" s="115" t="s">
        <v>4712</v>
      </c>
      <c r="D1855" s="115">
        <v>1</v>
      </c>
      <c r="E1855" s="115">
        <v>116</v>
      </c>
      <c r="F1855" s="115">
        <v>116</v>
      </c>
      <c r="G1855" s="115">
        <v>116</v>
      </c>
      <c r="H1855" s="115">
        <v>116</v>
      </c>
    </row>
    <row r="1856" spans="1:8" ht="45" x14ac:dyDescent="0.25">
      <c r="A1856" s="115">
        <v>5994</v>
      </c>
      <c r="B1856" s="115" t="s">
        <v>128</v>
      </c>
      <c r="C1856" s="115" t="s">
        <v>4713</v>
      </c>
      <c r="D1856" s="115">
        <v>1</v>
      </c>
      <c r="E1856" s="115" t="s">
        <v>4714</v>
      </c>
      <c r="F1856" s="115" t="s">
        <v>4715</v>
      </c>
      <c r="G1856" s="115" t="s">
        <v>4716</v>
      </c>
      <c r="H1856" s="115" t="s">
        <v>4717</v>
      </c>
    </row>
    <row r="1857" spans="1:8" ht="45" x14ac:dyDescent="0.25">
      <c r="A1857" s="115">
        <v>5993</v>
      </c>
      <c r="B1857" s="115" t="s">
        <v>128</v>
      </c>
      <c r="C1857" s="115" t="s">
        <v>4718</v>
      </c>
      <c r="D1857" s="115">
        <v>1</v>
      </c>
      <c r="E1857" s="115" t="s">
        <v>4719</v>
      </c>
      <c r="F1857" s="115" t="s">
        <v>4720</v>
      </c>
      <c r="G1857" s="115" t="s">
        <v>4721</v>
      </c>
      <c r="H1857" s="115" t="s">
        <v>4722</v>
      </c>
    </row>
    <row r="1858" spans="1:8" ht="345" x14ac:dyDescent="0.25">
      <c r="A1858" s="115">
        <v>5992</v>
      </c>
      <c r="B1858" s="115" t="s">
        <v>128</v>
      </c>
      <c r="C1858" s="115" t="s">
        <v>4723</v>
      </c>
      <c r="D1858" s="115">
        <v>1</v>
      </c>
      <c r="E1858" s="115" t="s">
        <v>4724</v>
      </c>
      <c r="F1858" s="115" t="s">
        <v>4725</v>
      </c>
      <c r="G1858" s="115" t="s">
        <v>4726</v>
      </c>
      <c r="H1858" s="115" t="s">
        <v>4727</v>
      </c>
    </row>
    <row r="1859" spans="1:8" ht="30" x14ac:dyDescent="0.25">
      <c r="A1859" s="115">
        <v>5991</v>
      </c>
      <c r="B1859" s="115" t="s">
        <v>128</v>
      </c>
      <c r="C1859" s="115" t="s">
        <v>4728</v>
      </c>
      <c r="D1859" s="115">
        <v>1</v>
      </c>
      <c r="E1859" s="115" t="s">
        <v>764</v>
      </c>
      <c r="F1859" s="115" t="s">
        <v>765</v>
      </c>
      <c r="G1859" s="115" t="s">
        <v>766</v>
      </c>
      <c r="H1859" s="115" t="s">
        <v>764</v>
      </c>
    </row>
    <row r="1860" spans="1:8" ht="30" x14ac:dyDescent="0.25">
      <c r="A1860" s="115">
        <v>5990</v>
      </c>
      <c r="B1860" s="115" t="s">
        <v>128</v>
      </c>
      <c r="C1860" s="115" t="s">
        <v>4729</v>
      </c>
      <c r="D1860" s="115">
        <v>1</v>
      </c>
      <c r="E1860" s="115" t="s">
        <v>4730</v>
      </c>
      <c r="F1860" s="115" t="s">
        <v>4731</v>
      </c>
      <c r="G1860" s="115" t="s">
        <v>4663</v>
      </c>
      <c r="H1860" s="115" t="s">
        <v>4732</v>
      </c>
    </row>
    <row r="1861" spans="1:8" ht="30" x14ac:dyDescent="0.25">
      <c r="A1861" s="115">
        <v>5989</v>
      </c>
      <c r="B1861" s="115" t="s">
        <v>128</v>
      </c>
      <c r="C1861" s="115" t="s">
        <v>4733</v>
      </c>
      <c r="D1861" s="115">
        <v>1</v>
      </c>
      <c r="E1861" s="115">
        <v>82</v>
      </c>
      <c r="F1861" s="115">
        <v>82</v>
      </c>
      <c r="G1861" s="115">
        <v>82</v>
      </c>
      <c r="H1861" s="115">
        <v>82</v>
      </c>
    </row>
    <row r="1862" spans="1:8" ht="30" x14ac:dyDescent="0.25">
      <c r="A1862" s="115">
        <v>5988</v>
      </c>
      <c r="B1862" s="115" t="s">
        <v>128</v>
      </c>
      <c r="C1862" s="115" t="s">
        <v>4734</v>
      </c>
      <c r="D1862" s="115">
        <v>1</v>
      </c>
      <c r="E1862" s="115" t="s">
        <v>4735</v>
      </c>
      <c r="F1862" s="115" t="s">
        <v>4735</v>
      </c>
      <c r="G1862" s="115" t="s">
        <v>4735</v>
      </c>
      <c r="H1862" s="115" t="s">
        <v>4735</v>
      </c>
    </row>
    <row r="1863" spans="1:8" ht="30" x14ac:dyDescent="0.25">
      <c r="A1863" s="115">
        <v>5987</v>
      </c>
      <c r="B1863" s="115" t="s">
        <v>128</v>
      </c>
      <c r="C1863" s="115" t="s">
        <v>4736</v>
      </c>
      <c r="D1863" s="115">
        <v>1</v>
      </c>
      <c r="E1863" s="115" t="s">
        <v>4737</v>
      </c>
      <c r="F1863" s="115" t="s">
        <v>4737</v>
      </c>
      <c r="G1863" s="115" t="s">
        <v>4737</v>
      </c>
      <c r="H1863" s="115" t="s">
        <v>4737</v>
      </c>
    </row>
    <row r="1864" spans="1:8" ht="30" x14ac:dyDescent="0.25">
      <c r="A1864" s="115">
        <v>5986</v>
      </c>
      <c r="B1864" s="115" t="s">
        <v>128</v>
      </c>
      <c r="C1864" s="115" t="s">
        <v>4738</v>
      </c>
      <c r="D1864" s="115">
        <v>1</v>
      </c>
      <c r="E1864" s="115">
        <v>18</v>
      </c>
      <c r="F1864" s="115">
        <v>18</v>
      </c>
      <c r="G1864" s="115">
        <v>18</v>
      </c>
      <c r="H1864" s="115">
        <v>18</v>
      </c>
    </row>
    <row r="1865" spans="1:8" ht="30" x14ac:dyDescent="0.25">
      <c r="A1865" s="115">
        <v>5985</v>
      </c>
      <c r="B1865" s="115" t="s">
        <v>128</v>
      </c>
      <c r="C1865" s="115" t="s">
        <v>4739</v>
      </c>
      <c r="D1865" s="115">
        <v>1</v>
      </c>
      <c r="E1865" s="115" t="s">
        <v>4735</v>
      </c>
      <c r="F1865" s="115" t="s">
        <v>4735</v>
      </c>
      <c r="G1865" s="115" t="s">
        <v>4735</v>
      </c>
      <c r="H1865" s="115" t="s">
        <v>4735</v>
      </c>
    </row>
    <row r="1866" spans="1:8" ht="30" x14ac:dyDescent="0.25">
      <c r="A1866" s="115">
        <v>5984</v>
      </c>
      <c r="B1866" s="115" t="s">
        <v>128</v>
      </c>
      <c r="C1866" s="115" t="s">
        <v>4740</v>
      </c>
      <c r="D1866" s="115">
        <v>1</v>
      </c>
      <c r="E1866" s="115" t="s">
        <v>2103</v>
      </c>
      <c r="F1866" s="115" t="s">
        <v>2103</v>
      </c>
      <c r="G1866" s="115" t="s">
        <v>2103</v>
      </c>
      <c r="H1866" s="115" t="s">
        <v>2103</v>
      </c>
    </row>
    <row r="1867" spans="1:8" ht="30" x14ac:dyDescent="0.25">
      <c r="A1867" s="115">
        <v>5983</v>
      </c>
      <c r="B1867" s="115" t="s">
        <v>128</v>
      </c>
      <c r="C1867" s="115" t="s">
        <v>4741</v>
      </c>
      <c r="D1867" s="115">
        <v>1</v>
      </c>
      <c r="E1867" s="115">
        <v>50</v>
      </c>
      <c r="F1867" s="115">
        <v>50</v>
      </c>
      <c r="G1867" s="115">
        <v>50</v>
      </c>
      <c r="H1867" s="115">
        <v>50</v>
      </c>
    </row>
    <row r="1868" spans="1:8" ht="30" x14ac:dyDescent="0.25">
      <c r="A1868" s="115">
        <v>5982</v>
      </c>
      <c r="B1868" s="115" t="s">
        <v>128</v>
      </c>
      <c r="C1868" s="115" t="s">
        <v>4742</v>
      </c>
      <c r="D1868" s="115">
        <v>1</v>
      </c>
      <c r="E1868" s="115" t="s">
        <v>4735</v>
      </c>
      <c r="F1868" s="115" t="s">
        <v>4735</v>
      </c>
      <c r="G1868" s="115" t="s">
        <v>4735</v>
      </c>
      <c r="H1868" s="115" t="s">
        <v>4735</v>
      </c>
    </row>
    <row r="1869" spans="1:8" ht="30" x14ac:dyDescent="0.25">
      <c r="A1869" s="115">
        <v>5981</v>
      </c>
      <c r="B1869" s="115" t="s">
        <v>128</v>
      </c>
      <c r="C1869" s="115" t="s">
        <v>4743</v>
      </c>
      <c r="D1869" s="115">
        <v>1</v>
      </c>
      <c r="E1869" s="115" t="s">
        <v>4737</v>
      </c>
      <c r="F1869" s="115" t="s">
        <v>4737</v>
      </c>
      <c r="G1869" s="115" t="s">
        <v>4737</v>
      </c>
      <c r="H1869" s="115" t="s">
        <v>4737</v>
      </c>
    </row>
    <row r="1870" spans="1:8" ht="30" x14ac:dyDescent="0.25">
      <c r="A1870" s="115">
        <v>5980</v>
      </c>
      <c r="B1870" s="115" t="s">
        <v>128</v>
      </c>
      <c r="C1870" s="115" t="s">
        <v>4744</v>
      </c>
      <c r="D1870" s="115">
        <v>1</v>
      </c>
      <c r="E1870" s="115">
        <v>50</v>
      </c>
      <c r="F1870" s="115">
        <v>50</v>
      </c>
      <c r="G1870" s="115">
        <v>50</v>
      </c>
      <c r="H1870" s="115">
        <v>50</v>
      </c>
    </row>
    <row r="1871" spans="1:8" ht="30" x14ac:dyDescent="0.25">
      <c r="A1871" s="115">
        <v>5979</v>
      </c>
      <c r="B1871" s="115" t="s">
        <v>128</v>
      </c>
      <c r="C1871" s="115" t="s">
        <v>4745</v>
      </c>
      <c r="D1871" s="115">
        <v>1</v>
      </c>
      <c r="E1871" s="115" t="s">
        <v>4735</v>
      </c>
      <c r="F1871" s="115" t="s">
        <v>4735</v>
      </c>
      <c r="G1871" s="115" t="s">
        <v>4735</v>
      </c>
      <c r="H1871" s="115" t="s">
        <v>4735</v>
      </c>
    </row>
    <row r="1872" spans="1:8" ht="30" x14ac:dyDescent="0.25">
      <c r="A1872" s="115">
        <v>5978</v>
      </c>
      <c r="B1872" s="115" t="s">
        <v>128</v>
      </c>
      <c r="C1872" s="115" t="s">
        <v>4746</v>
      </c>
      <c r="D1872" s="115">
        <v>1</v>
      </c>
      <c r="E1872" s="115" t="s">
        <v>2103</v>
      </c>
      <c r="F1872" s="115" t="s">
        <v>2103</v>
      </c>
      <c r="G1872" s="115" t="s">
        <v>2103</v>
      </c>
      <c r="H1872" s="115" t="s">
        <v>2103</v>
      </c>
    </row>
    <row r="1873" spans="1:8" ht="45" x14ac:dyDescent="0.25">
      <c r="A1873" s="115">
        <v>5977</v>
      </c>
      <c r="B1873" s="115" t="s">
        <v>128</v>
      </c>
      <c r="C1873" s="115" t="s">
        <v>4747</v>
      </c>
      <c r="D1873" s="115">
        <v>1</v>
      </c>
      <c r="E1873" s="115" t="s">
        <v>4748</v>
      </c>
      <c r="F1873" s="115" t="s">
        <v>4749</v>
      </c>
      <c r="G1873" s="115" t="s">
        <v>4750</v>
      </c>
      <c r="H1873" s="115" t="s">
        <v>4751</v>
      </c>
    </row>
    <row r="1874" spans="1:8" ht="30" x14ac:dyDescent="0.25">
      <c r="A1874" s="115">
        <v>5976</v>
      </c>
      <c r="B1874" s="115" t="s">
        <v>128</v>
      </c>
      <c r="C1874" s="115" t="s">
        <v>4752</v>
      </c>
      <c r="D1874" s="115">
        <v>1</v>
      </c>
      <c r="E1874" s="115" t="s">
        <v>4753</v>
      </c>
      <c r="F1874" s="115" t="s">
        <v>4754</v>
      </c>
      <c r="G1874" s="115" t="s">
        <v>4755</v>
      </c>
      <c r="H1874" s="115" t="s">
        <v>4756</v>
      </c>
    </row>
    <row r="1875" spans="1:8" ht="30" x14ac:dyDescent="0.25">
      <c r="A1875" s="115">
        <v>5975</v>
      </c>
      <c r="B1875" s="115" t="s">
        <v>128</v>
      </c>
      <c r="C1875" s="115" t="s">
        <v>4757</v>
      </c>
      <c r="D1875" s="115">
        <v>1</v>
      </c>
    </row>
    <row r="1876" spans="1:8" ht="345" x14ac:dyDescent="0.25">
      <c r="A1876" s="115">
        <v>5974</v>
      </c>
      <c r="B1876" s="115" t="s">
        <v>128</v>
      </c>
      <c r="C1876" s="115" t="s">
        <v>4758</v>
      </c>
      <c r="D1876" s="115">
        <v>1</v>
      </c>
      <c r="E1876" s="115" t="s">
        <v>4759</v>
      </c>
      <c r="F1876" s="115" t="s">
        <v>4760</v>
      </c>
      <c r="G1876" s="115" t="s">
        <v>4761</v>
      </c>
      <c r="H1876" s="115" t="s">
        <v>4762</v>
      </c>
    </row>
    <row r="1877" spans="1:8" ht="30" x14ac:dyDescent="0.25">
      <c r="A1877" s="115">
        <v>5973</v>
      </c>
      <c r="B1877" s="115" t="s">
        <v>128</v>
      </c>
      <c r="C1877" s="115" t="s">
        <v>4763</v>
      </c>
      <c r="D1877" s="115">
        <v>1</v>
      </c>
      <c r="E1877" s="115" t="s">
        <v>4764</v>
      </c>
      <c r="F1877" s="115" t="s">
        <v>4765</v>
      </c>
      <c r="G1877" s="115" t="s">
        <v>4766</v>
      </c>
      <c r="H1877" s="115" t="s">
        <v>4767</v>
      </c>
    </row>
    <row r="1878" spans="1:8" ht="30" x14ac:dyDescent="0.25">
      <c r="A1878" s="115">
        <v>5972</v>
      </c>
      <c r="B1878" s="115" t="s">
        <v>128</v>
      </c>
      <c r="C1878" s="115" t="s">
        <v>4768</v>
      </c>
      <c r="D1878" s="115">
        <v>1</v>
      </c>
      <c r="E1878" s="115" t="s">
        <v>1942</v>
      </c>
      <c r="F1878" s="115" t="s">
        <v>1942</v>
      </c>
      <c r="G1878" s="115" t="s">
        <v>1942</v>
      </c>
      <c r="H1878" s="115" t="s">
        <v>1942</v>
      </c>
    </row>
    <row r="1879" spans="1:8" ht="30" x14ac:dyDescent="0.25">
      <c r="A1879" s="115">
        <v>5971</v>
      </c>
      <c r="B1879" s="115" t="s">
        <v>128</v>
      </c>
      <c r="C1879" s="115" t="s">
        <v>4769</v>
      </c>
      <c r="D1879" s="115">
        <v>1</v>
      </c>
      <c r="E1879" s="115" t="s">
        <v>4770</v>
      </c>
      <c r="F1879" s="115" t="s">
        <v>4771</v>
      </c>
      <c r="G1879" s="115" t="s">
        <v>4772</v>
      </c>
      <c r="H1879" s="115" t="s">
        <v>4773</v>
      </c>
    </row>
    <row r="1880" spans="1:8" ht="150" x14ac:dyDescent="0.25">
      <c r="A1880" s="115">
        <v>5970</v>
      </c>
      <c r="B1880" s="115" t="s">
        <v>128</v>
      </c>
      <c r="C1880" s="115" t="s">
        <v>4774</v>
      </c>
      <c r="D1880" s="115">
        <v>1</v>
      </c>
      <c r="E1880" s="115" t="s">
        <v>4775</v>
      </c>
      <c r="F1880" s="115" t="s">
        <v>4776</v>
      </c>
      <c r="G1880" s="115" t="s">
        <v>4777</v>
      </c>
      <c r="H1880" s="115" t="s">
        <v>4778</v>
      </c>
    </row>
    <row r="1881" spans="1:8" ht="375" x14ac:dyDescent="0.25">
      <c r="A1881" s="115">
        <v>5969</v>
      </c>
      <c r="B1881" s="115" t="s">
        <v>128</v>
      </c>
      <c r="C1881" s="115" t="s">
        <v>4779</v>
      </c>
      <c r="D1881" s="115">
        <v>1</v>
      </c>
      <c r="E1881" s="115" t="s">
        <v>4780</v>
      </c>
      <c r="F1881" s="115" t="s">
        <v>4781</v>
      </c>
      <c r="G1881" s="115" t="s">
        <v>4782</v>
      </c>
      <c r="H1881" s="115" t="s">
        <v>4783</v>
      </c>
    </row>
    <row r="1882" spans="1:8" ht="195" x14ac:dyDescent="0.25">
      <c r="A1882" s="115">
        <v>5968</v>
      </c>
      <c r="B1882" s="115" t="s">
        <v>128</v>
      </c>
      <c r="C1882" s="115" t="s">
        <v>4784</v>
      </c>
      <c r="D1882" s="115">
        <v>1</v>
      </c>
      <c r="E1882" s="115" t="s">
        <v>4785</v>
      </c>
      <c r="F1882" s="115" t="s">
        <v>4786</v>
      </c>
      <c r="G1882" s="115" t="s">
        <v>4787</v>
      </c>
      <c r="H1882" s="115" t="s">
        <v>4788</v>
      </c>
    </row>
    <row r="1883" spans="1:8" ht="240" x14ac:dyDescent="0.25">
      <c r="A1883" s="115">
        <v>5967</v>
      </c>
      <c r="B1883" s="115" t="s">
        <v>128</v>
      </c>
      <c r="C1883" s="115" t="s">
        <v>4789</v>
      </c>
      <c r="D1883" s="115">
        <v>1</v>
      </c>
      <c r="E1883" s="115" t="s">
        <v>4790</v>
      </c>
      <c r="F1883" s="115" t="s">
        <v>4791</v>
      </c>
      <c r="G1883" s="115" t="s">
        <v>4792</v>
      </c>
      <c r="H1883" s="115" t="s">
        <v>4793</v>
      </c>
    </row>
    <row r="1884" spans="1:8" ht="105" x14ac:dyDescent="0.25">
      <c r="A1884" s="115">
        <v>5966</v>
      </c>
      <c r="B1884" s="115" t="s">
        <v>128</v>
      </c>
      <c r="C1884" s="115" t="s">
        <v>4794</v>
      </c>
      <c r="D1884" s="115">
        <v>1</v>
      </c>
      <c r="E1884" s="115" t="s">
        <v>4795</v>
      </c>
      <c r="F1884" s="115" t="s">
        <v>4796</v>
      </c>
      <c r="G1884" s="115" t="s">
        <v>4797</v>
      </c>
      <c r="H1884" s="115" t="s">
        <v>4798</v>
      </c>
    </row>
    <row r="1885" spans="1:8" ht="180" x14ac:dyDescent="0.25">
      <c r="A1885" s="115">
        <v>5965</v>
      </c>
      <c r="B1885" s="115" t="s">
        <v>128</v>
      </c>
      <c r="C1885" s="115" t="s">
        <v>4799</v>
      </c>
      <c r="D1885" s="115">
        <v>1</v>
      </c>
      <c r="E1885" s="115" t="s">
        <v>4800</v>
      </c>
      <c r="F1885" s="115" t="s">
        <v>4801</v>
      </c>
      <c r="G1885" s="115" t="s">
        <v>4802</v>
      </c>
      <c r="H1885" s="115" t="s">
        <v>4803</v>
      </c>
    </row>
    <row r="1886" spans="1:8" ht="30" x14ac:dyDescent="0.25">
      <c r="A1886" s="115">
        <v>5964</v>
      </c>
      <c r="B1886" s="115" t="s">
        <v>128</v>
      </c>
      <c r="C1886" s="115" t="s">
        <v>4804</v>
      </c>
      <c r="D1886" s="115">
        <v>1</v>
      </c>
      <c r="E1886" s="115" t="s">
        <v>4805</v>
      </c>
      <c r="F1886" s="115" t="s">
        <v>4806</v>
      </c>
      <c r="G1886" s="115" t="s">
        <v>4807</v>
      </c>
      <c r="H1886" s="115" t="s">
        <v>4808</v>
      </c>
    </row>
    <row r="1887" spans="1:8" ht="30" x14ac:dyDescent="0.25">
      <c r="A1887" s="115">
        <v>5963</v>
      </c>
      <c r="B1887" s="115" t="s">
        <v>128</v>
      </c>
      <c r="C1887" s="115" t="s">
        <v>4809</v>
      </c>
      <c r="D1887" s="115">
        <v>1</v>
      </c>
      <c r="E1887" s="115" t="s">
        <v>2828</v>
      </c>
      <c r="F1887" s="115" t="s">
        <v>2828</v>
      </c>
      <c r="G1887" s="115" t="s">
        <v>2828</v>
      </c>
      <c r="H1887" s="115" t="s">
        <v>2828</v>
      </c>
    </row>
    <row r="1888" spans="1:8" ht="30" x14ac:dyDescent="0.25">
      <c r="A1888" s="115">
        <v>5962</v>
      </c>
      <c r="B1888" s="115" t="s">
        <v>128</v>
      </c>
      <c r="C1888" s="115" t="s">
        <v>4810</v>
      </c>
      <c r="D1888" s="115">
        <v>1</v>
      </c>
      <c r="E1888" s="115" t="s">
        <v>4396</v>
      </c>
      <c r="F1888" s="115" t="s">
        <v>4397</v>
      </c>
      <c r="G1888" s="115" t="s">
        <v>4396</v>
      </c>
      <c r="H1888" s="115" t="s">
        <v>4396</v>
      </c>
    </row>
    <row r="1889" spans="1:8" ht="30" x14ac:dyDescent="0.25">
      <c r="A1889" s="115">
        <v>5961</v>
      </c>
      <c r="B1889" s="115" t="s">
        <v>128</v>
      </c>
      <c r="C1889" s="115" t="s">
        <v>4811</v>
      </c>
      <c r="D1889" s="115">
        <v>1</v>
      </c>
    </row>
    <row r="1890" spans="1:8" ht="180" x14ac:dyDescent="0.25">
      <c r="A1890" s="115">
        <v>5960</v>
      </c>
      <c r="B1890" s="115" t="s">
        <v>128</v>
      </c>
      <c r="C1890" s="115" t="s">
        <v>4812</v>
      </c>
      <c r="D1890" s="115">
        <v>1</v>
      </c>
      <c r="E1890" s="115" t="s">
        <v>4813</v>
      </c>
      <c r="F1890" s="115" t="s">
        <v>4814</v>
      </c>
      <c r="G1890" s="115" t="s">
        <v>4815</v>
      </c>
      <c r="H1890" s="115" t="s">
        <v>4816</v>
      </c>
    </row>
    <row r="1891" spans="1:8" ht="315" x14ac:dyDescent="0.25">
      <c r="A1891" s="115">
        <v>5959</v>
      </c>
      <c r="B1891" s="115" t="s">
        <v>128</v>
      </c>
      <c r="C1891" s="115" t="s">
        <v>4817</v>
      </c>
      <c r="D1891" s="115">
        <v>1</v>
      </c>
      <c r="E1891" s="115" t="s">
        <v>4818</v>
      </c>
      <c r="F1891" s="115" t="s">
        <v>4819</v>
      </c>
      <c r="G1891" s="115" t="s">
        <v>4820</v>
      </c>
      <c r="H1891" s="115" t="s">
        <v>4821</v>
      </c>
    </row>
    <row r="1892" spans="1:8" ht="30" x14ac:dyDescent="0.25">
      <c r="A1892" s="115">
        <v>5958</v>
      </c>
      <c r="B1892" s="115" t="s">
        <v>128</v>
      </c>
      <c r="C1892" s="115" t="s">
        <v>4822</v>
      </c>
      <c r="D1892" s="115">
        <v>1</v>
      </c>
      <c r="E1892" s="115" t="s">
        <v>4823</v>
      </c>
      <c r="F1892" s="115" t="s">
        <v>4824</v>
      </c>
      <c r="G1892" s="115" t="s">
        <v>4825</v>
      </c>
      <c r="H1892" s="115" t="s">
        <v>4826</v>
      </c>
    </row>
    <row r="1893" spans="1:8" ht="135" x14ac:dyDescent="0.25">
      <c r="A1893" s="115">
        <v>5957</v>
      </c>
      <c r="B1893" s="115" t="s">
        <v>128</v>
      </c>
      <c r="C1893" s="115" t="s">
        <v>4827</v>
      </c>
      <c r="D1893" s="115">
        <v>1</v>
      </c>
      <c r="E1893" s="115" t="s">
        <v>4828</v>
      </c>
      <c r="F1893" s="115" t="s">
        <v>4829</v>
      </c>
      <c r="G1893" s="115" t="s">
        <v>4830</v>
      </c>
      <c r="H1893" s="115" t="s">
        <v>4831</v>
      </c>
    </row>
    <row r="1894" spans="1:8" ht="30" x14ac:dyDescent="0.25">
      <c r="A1894" s="115">
        <v>5956</v>
      </c>
      <c r="B1894" s="115" t="s">
        <v>128</v>
      </c>
      <c r="C1894" s="115" t="s">
        <v>4832</v>
      </c>
      <c r="D1894" s="115">
        <v>1</v>
      </c>
      <c r="E1894" s="115" t="s">
        <v>764</v>
      </c>
      <c r="F1894" s="115" t="s">
        <v>765</v>
      </c>
      <c r="G1894" s="115" t="s">
        <v>766</v>
      </c>
      <c r="H1894" s="115" t="s">
        <v>764</v>
      </c>
    </row>
    <row r="1895" spans="1:8" ht="30" x14ac:dyDescent="0.25">
      <c r="A1895" s="115">
        <v>5955</v>
      </c>
      <c r="B1895" s="115" t="s">
        <v>128</v>
      </c>
      <c r="C1895" s="115" t="s">
        <v>4833</v>
      </c>
      <c r="D1895" s="115">
        <v>1</v>
      </c>
      <c r="E1895" s="115" t="s">
        <v>4834</v>
      </c>
      <c r="F1895" s="115" t="s">
        <v>4835</v>
      </c>
      <c r="G1895" s="115" t="s">
        <v>4836</v>
      </c>
      <c r="H1895" s="115" t="s">
        <v>4837</v>
      </c>
    </row>
    <row r="1896" spans="1:8" ht="30" x14ac:dyDescent="0.25">
      <c r="A1896" s="115">
        <v>5954</v>
      </c>
      <c r="B1896" s="115" t="s">
        <v>128</v>
      </c>
      <c r="C1896" s="115" t="s">
        <v>4838</v>
      </c>
      <c r="D1896" s="115">
        <v>1</v>
      </c>
      <c r="E1896" s="115" t="s">
        <v>505</v>
      </c>
      <c r="F1896" s="115" t="s">
        <v>506</v>
      </c>
      <c r="G1896" s="115" t="s">
        <v>507</v>
      </c>
      <c r="H1896" s="115" t="s">
        <v>508</v>
      </c>
    </row>
    <row r="1897" spans="1:8" ht="30" x14ac:dyDescent="0.25">
      <c r="A1897" s="115">
        <v>5953</v>
      </c>
      <c r="B1897" s="115" t="s">
        <v>128</v>
      </c>
      <c r="C1897" s="115" t="s">
        <v>4839</v>
      </c>
      <c r="D1897" s="115">
        <v>1</v>
      </c>
      <c r="E1897" s="115" t="s">
        <v>4840</v>
      </c>
      <c r="F1897" s="115" t="s">
        <v>4840</v>
      </c>
      <c r="G1897" s="115" t="s">
        <v>4840</v>
      </c>
      <c r="H1897" s="115" t="s">
        <v>4840</v>
      </c>
    </row>
    <row r="1898" spans="1:8" ht="30" x14ac:dyDescent="0.25">
      <c r="A1898" s="115">
        <v>5952</v>
      </c>
      <c r="B1898" s="115" t="s">
        <v>128</v>
      </c>
      <c r="C1898" s="115" t="s">
        <v>4841</v>
      </c>
      <c r="D1898" s="115">
        <v>1</v>
      </c>
      <c r="E1898" s="115" t="s">
        <v>536</v>
      </c>
      <c r="F1898" s="115" t="s">
        <v>536</v>
      </c>
      <c r="G1898" s="115" t="s">
        <v>537</v>
      </c>
      <c r="H1898" s="115" t="s">
        <v>538</v>
      </c>
    </row>
    <row r="1899" spans="1:8" ht="30" x14ac:dyDescent="0.25">
      <c r="A1899" s="115">
        <v>5951</v>
      </c>
      <c r="B1899" s="115" t="s">
        <v>128</v>
      </c>
      <c r="C1899" s="115" t="s">
        <v>4842</v>
      </c>
      <c r="D1899" s="115">
        <v>1</v>
      </c>
      <c r="E1899" s="115" t="s">
        <v>4843</v>
      </c>
      <c r="F1899" s="115" t="s">
        <v>4843</v>
      </c>
      <c r="G1899" s="115" t="s">
        <v>4843</v>
      </c>
      <c r="H1899" s="115" t="s">
        <v>4843</v>
      </c>
    </row>
    <row r="1900" spans="1:8" ht="30" x14ac:dyDescent="0.25">
      <c r="A1900" s="115">
        <v>5950</v>
      </c>
      <c r="B1900" s="115" t="s">
        <v>128</v>
      </c>
      <c r="C1900" s="115" t="s">
        <v>4844</v>
      </c>
      <c r="D1900" s="115">
        <v>1</v>
      </c>
      <c r="E1900" s="115" t="s">
        <v>2795</v>
      </c>
      <c r="F1900" s="115" t="s">
        <v>553</v>
      </c>
      <c r="G1900" s="115" t="s">
        <v>554</v>
      </c>
      <c r="H1900" s="115" t="s">
        <v>555</v>
      </c>
    </row>
    <row r="1901" spans="1:8" ht="30" x14ac:dyDescent="0.25">
      <c r="A1901" s="115">
        <v>5949</v>
      </c>
      <c r="B1901" s="115" t="s">
        <v>128</v>
      </c>
      <c r="C1901" s="115" t="s">
        <v>4845</v>
      </c>
      <c r="D1901" s="115">
        <v>1</v>
      </c>
      <c r="E1901" s="115" t="s">
        <v>2103</v>
      </c>
      <c r="F1901" s="115" t="s">
        <v>2103</v>
      </c>
      <c r="G1901" s="115" t="s">
        <v>2103</v>
      </c>
      <c r="H1901" s="115" t="s">
        <v>2103</v>
      </c>
    </row>
    <row r="1902" spans="1:8" ht="30" x14ac:dyDescent="0.25">
      <c r="A1902" s="115">
        <v>5948</v>
      </c>
      <c r="B1902" s="115" t="s">
        <v>128</v>
      </c>
      <c r="C1902" s="115" t="s">
        <v>4846</v>
      </c>
      <c r="D1902" s="115">
        <v>1</v>
      </c>
      <c r="E1902" s="115" t="s">
        <v>494</v>
      </c>
      <c r="F1902" s="115" t="s">
        <v>4847</v>
      </c>
      <c r="G1902" s="115" t="s">
        <v>496</v>
      </c>
      <c r="H1902" s="115" t="s">
        <v>497</v>
      </c>
    </row>
    <row r="1903" spans="1:8" ht="30" x14ac:dyDescent="0.25">
      <c r="A1903" s="115">
        <v>5947</v>
      </c>
      <c r="B1903" s="115" t="s">
        <v>128</v>
      </c>
      <c r="C1903" s="115" t="s">
        <v>4848</v>
      </c>
      <c r="D1903" s="115">
        <v>1</v>
      </c>
      <c r="E1903" s="115" t="s">
        <v>4849</v>
      </c>
      <c r="F1903" s="115" t="s">
        <v>4849</v>
      </c>
      <c r="G1903" s="115" t="s">
        <v>4849</v>
      </c>
      <c r="H1903" s="115" t="s">
        <v>4849</v>
      </c>
    </row>
    <row r="1904" spans="1:8" ht="30" x14ac:dyDescent="0.25">
      <c r="A1904" s="115">
        <v>5946</v>
      </c>
      <c r="B1904" s="115" t="s">
        <v>128</v>
      </c>
      <c r="C1904" s="115" t="s">
        <v>4850</v>
      </c>
      <c r="D1904" s="115">
        <v>1</v>
      </c>
      <c r="E1904" s="115" t="s">
        <v>519</v>
      </c>
      <c r="F1904" s="115" t="s">
        <v>520</v>
      </c>
      <c r="G1904" s="115" t="s">
        <v>521</v>
      </c>
      <c r="H1904" s="115" t="s">
        <v>522</v>
      </c>
    </row>
    <row r="1905" spans="1:8" ht="30" x14ac:dyDescent="0.25">
      <c r="A1905" s="115">
        <v>5945</v>
      </c>
      <c r="B1905" s="115" t="s">
        <v>128</v>
      </c>
      <c r="C1905" s="115" t="s">
        <v>4851</v>
      </c>
      <c r="D1905" s="115">
        <v>1</v>
      </c>
      <c r="E1905" s="115" t="s">
        <v>4852</v>
      </c>
      <c r="F1905" s="115" t="s">
        <v>4852</v>
      </c>
      <c r="G1905" s="115" t="s">
        <v>4852</v>
      </c>
      <c r="H1905" s="115" t="s">
        <v>4852</v>
      </c>
    </row>
    <row r="1906" spans="1:8" ht="30" x14ac:dyDescent="0.25">
      <c r="A1906" s="115">
        <v>5944</v>
      </c>
      <c r="B1906" s="115" t="s">
        <v>128</v>
      </c>
      <c r="C1906" s="115" t="s">
        <v>4853</v>
      </c>
      <c r="D1906" s="115">
        <v>1</v>
      </c>
      <c r="E1906" s="115">
        <v>53</v>
      </c>
      <c r="F1906" s="115">
        <v>53</v>
      </c>
      <c r="G1906" s="115">
        <v>53</v>
      </c>
      <c r="H1906" s="115">
        <v>53</v>
      </c>
    </row>
    <row r="1907" spans="1:8" ht="45" x14ac:dyDescent="0.25">
      <c r="A1907" s="115">
        <v>5943</v>
      </c>
      <c r="B1907" s="115" t="s">
        <v>128</v>
      </c>
      <c r="C1907" s="115" t="s">
        <v>4854</v>
      </c>
      <c r="D1907" s="115">
        <v>1</v>
      </c>
      <c r="E1907" s="115">
        <v>574.11952232440001</v>
      </c>
      <c r="F1907" s="115">
        <v>574.11952232440001</v>
      </c>
      <c r="G1907" s="115">
        <v>574.11952232440001</v>
      </c>
      <c r="H1907" s="115">
        <v>574.11952232440001</v>
      </c>
    </row>
    <row r="1908" spans="1:8" ht="30" x14ac:dyDescent="0.25">
      <c r="A1908" s="115">
        <v>5942</v>
      </c>
      <c r="B1908" s="115" t="s">
        <v>128</v>
      </c>
      <c r="C1908" s="115" t="s">
        <v>4855</v>
      </c>
      <c r="D1908" s="115">
        <v>1</v>
      </c>
      <c r="E1908" s="115">
        <v>2.7590023148</v>
      </c>
      <c r="F1908" s="115">
        <v>2.7590023148</v>
      </c>
      <c r="G1908" s="115">
        <v>2.7590023148</v>
      </c>
      <c r="H1908" s="115">
        <v>2.7590023148</v>
      </c>
    </row>
    <row r="1909" spans="1:8" ht="45" x14ac:dyDescent="0.25">
      <c r="A1909" s="115">
        <v>5941</v>
      </c>
      <c r="B1909" s="115" t="s">
        <v>128</v>
      </c>
      <c r="C1909" s="115" t="s">
        <v>4856</v>
      </c>
      <c r="D1909" s="115">
        <v>1</v>
      </c>
      <c r="E1909" s="115" t="s">
        <v>4852</v>
      </c>
      <c r="F1909" s="115" t="s">
        <v>4852</v>
      </c>
      <c r="G1909" s="115" t="s">
        <v>4852</v>
      </c>
      <c r="H1909" s="115" t="s">
        <v>4852</v>
      </c>
    </row>
    <row r="1910" spans="1:8" ht="45" x14ac:dyDescent="0.25">
      <c r="A1910" s="115">
        <v>5940</v>
      </c>
      <c r="B1910" s="115" t="s">
        <v>128</v>
      </c>
      <c r="C1910" s="115" t="s">
        <v>4857</v>
      </c>
      <c r="D1910" s="115">
        <v>1</v>
      </c>
      <c r="E1910" s="115" t="s">
        <v>519</v>
      </c>
      <c r="F1910" s="115" t="s">
        <v>520</v>
      </c>
      <c r="G1910" s="115" t="s">
        <v>521</v>
      </c>
      <c r="H1910" s="115" t="s">
        <v>522</v>
      </c>
    </row>
    <row r="1911" spans="1:8" ht="30" x14ac:dyDescent="0.25">
      <c r="A1911" s="115">
        <v>5939</v>
      </c>
      <c r="B1911" s="115" t="s">
        <v>128</v>
      </c>
      <c r="C1911" s="115" t="s">
        <v>4858</v>
      </c>
      <c r="D1911" s="115">
        <v>1</v>
      </c>
      <c r="E1911" s="115">
        <v>36</v>
      </c>
      <c r="F1911" s="115">
        <v>36</v>
      </c>
      <c r="G1911" s="115">
        <v>36</v>
      </c>
      <c r="H1911" s="115">
        <v>36</v>
      </c>
    </row>
    <row r="1912" spans="1:8" ht="45" x14ac:dyDescent="0.25">
      <c r="A1912" s="115">
        <v>5938</v>
      </c>
      <c r="B1912" s="115" t="s">
        <v>128</v>
      </c>
      <c r="C1912" s="115" t="s">
        <v>4859</v>
      </c>
      <c r="D1912" s="115">
        <v>1</v>
      </c>
      <c r="E1912" s="115">
        <v>512.10319922379995</v>
      </c>
      <c r="F1912" s="115">
        <v>512.10319922379995</v>
      </c>
      <c r="G1912" s="115">
        <v>512.10319922379995</v>
      </c>
      <c r="H1912" s="115">
        <v>512.10319922379995</v>
      </c>
    </row>
    <row r="1913" spans="1:8" ht="30" x14ac:dyDescent="0.25">
      <c r="A1913" s="115">
        <v>5937</v>
      </c>
      <c r="B1913" s="115" t="s">
        <v>128</v>
      </c>
      <c r="C1913" s="115" t="s">
        <v>4860</v>
      </c>
      <c r="D1913" s="115">
        <v>1</v>
      </c>
      <c r="E1913" s="115">
        <v>2.7093574889999998</v>
      </c>
      <c r="F1913" s="115">
        <v>2.7093574889999998</v>
      </c>
      <c r="G1913" s="115">
        <v>2.7093574889999998</v>
      </c>
      <c r="H1913" s="115">
        <v>2.7093574889999998</v>
      </c>
    </row>
    <row r="1914" spans="1:8" ht="45" x14ac:dyDescent="0.25">
      <c r="A1914" s="115">
        <v>5936</v>
      </c>
      <c r="B1914" s="115" t="s">
        <v>128</v>
      </c>
      <c r="C1914" s="115" t="s">
        <v>4861</v>
      </c>
      <c r="D1914" s="115">
        <v>1</v>
      </c>
      <c r="E1914" s="115" t="s">
        <v>4852</v>
      </c>
      <c r="F1914" s="115" t="s">
        <v>4852</v>
      </c>
      <c r="G1914" s="115" t="s">
        <v>4852</v>
      </c>
      <c r="H1914" s="115" t="s">
        <v>4852</v>
      </c>
    </row>
    <row r="1915" spans="1:8" ht="45" x14ac:dyDescent="0.25">
      <c r="A1915" s="115">
        <v>5935</v>
      </c>
      <c r="B1915" s="115" t="s">
        <v>128</v>
      </c>
      <c r="C1915" s="115" t="s">
        <v>4862</v>
      </c>
      <c r="D1915" s="115">
        <v>1</v>
      </c>
      <c r="E1915" s="115" t="s">
        <v>519</v>
      </c>
      <c r="F1915" s="115" t="s">
        <v>520</v>
      </c>
      <c r="G1915" s="115" t="s">
        <v>521</v>
      </c>
      <c r="H1915" s="115" t="s">
        <v>522</v>
      </c>
    </row>
    <row r="1916" spans="1:8" ht="30" x14ac:dyDescent="0.25">
      <c r="A1916" s="115">
        <v>5934</v>
      </c>
      <c r="B1916" s="115" t="s">
        <v>128</v>
      </c>
      <c r="C1916" s="115" t="s">
        <v>4863</v>
      </c>
      <c r="D1916" s="115">
        <v>1</v>
      </c>
      <c r="E1916" s="115">
        <v>69</v>
      </c>
      <c r="F1916" s="115">
        <v>69</v>
      </c>
      <c r="G1916" s="115">
        <v>69</v>
      </c>
      <c r="H1916" s="115">
        <v>69</v>
      </c>
    </row>
    <row r="1917" spans="1:8" ht="45" x14ac:dyDescent="0.25">
      <c r="A1917" s="115">
        <v>5933</v>
      </c>
      <c r="B1917" s="115" t="s">
        <v>128</v>
      </c>
      <c r="C1917" s="115" t="s">
        <v>4864</v>
      </c>
      <c r="D1917" s="115">
        <v>1</v>
      </c>
      <c r="E1917" s="115">
        <v>494.31461506319999</v>
      </c>
      <c r="F1917" s="115">
        <v>494.31461506319999</v>
      </c>
      <c r="G1917" s="115">
        <v>494.31461506319999</v>
      </c>
      <c r="H1917" s="115">
        <v>494.31461506319999</v>
      </c>
    </row>
    <row r="1918" spans="1:8" ht="30" x14ac:dyDescent="0.25">
      <c r="A1918" s="115">
        <v>5932</v>
      </c>
      <c r="B1918" s="115" t="s">
        <v>128</v>
      </c>
      <c r="C1918" s="115" t="s">
        <v>4865</v>
      </c>
      <c r="D1918" s="115">
        <v>1</v>
      </c>
      <c r="E1918" s="115">
        <v>2.6940034510999999</v>
      </c>
      <c r="F1918" s="115">
        <v>2.6940034510999999</v>
      </c>
      <c r="G1918" s="115">
        <v>2.6940034510999999</v>
      </c>
      <c r="H1918" s="115">
        <v>2.6940034510999999</v>
      </c>
    </row>
    <row r="1919" spans="1:8" ht="45" x14ac:dyDescent="0.25">
      <c r="A1919" s="115">
        <v>5931</v>
      </c>
      <c r="B1919" s="115" t="s">
        <v>128</v>
      </c>
      <c r="C1919" s="115" t="s">
        <v>4866</v>
      </c>
      <c r="D1919" s="115">
        <v>1</v>
      </c>
      <c r="E1919" s="115" t="s">
        <v>4852</v>
      </c>
      <c r="F1919" s="115" t="s">
        <v>4852</v>
      </c>
      <c r="G1919" s="115" t="s">
        <v>4852</v>
      </c>
      <c r="H1919" s="115" t="s">
        <v>4852</v>
      </c>
    </row>
    <row r="1920" spans="1:8" ht="45" x14ac:dyDescent="0.25">
      <c r="A1920" s="115">
        <v>5930</v>
      </c>
      <c r="B1920" s="115" t="s">
        <v>128</v>
      </c>
      <c r="C1920" s="115" t="s">
        <v>4867</v>
      </c>
      <c r="D1920" s="115">
        <v>1</v>
      </c>
      <c r="E1920" s="115" t="s">
        <v>519</v>
      </c>
      <c r="F1920" s="115" t="s">
        <v>520</v>
      </c>
      <c r="G1920" s="115" t="s">
        <v>521</v>
      </c>
      <c r="H1920" s="115" t="s">
        <v>522</v>
      </c>
    </row>
    <row r="1921" spans="1:8" ht="30" x14ac:dyDescent="0.25">
      <c r="A1921" s="115">
        <v>5929</v>
      </c>
      <c r="B1921" s="115" t="s">
        <v>128</v>
      </c>
      <c r="C1921" s="115" t="s">
        <v>4868</v>
      </c>
      <c r="D1921" s="115">
        <v>1</v>
      </c>
      <c r="E1921" s="115">
        <v>63</v>
      </c>
      <c r="F1921" s="115">
        <v>63</v>
      </c>
      <c r="G1921" s="115">
        <v>63</v>
      </c>
      <c r="H1921" s="115">
        <v>63</v>
      </c>
    </row>
    <row r="1922" spans="1:8" ht="45" x14ac:dyDescent="0.25">
      <c r="A1922" s="115">
        <v>5928</v>
      </c>
      <c r="B1922" s="115" t="s">
        <v>128</v>
      </c>
      <c r="C1922" s="115" t="s">
        <v>4869</v>
      </c>
      <c r="D1922" s="115">
        <v>1</v>
      </c>
      <c r="E1922" s="115">
        <v>92682</v>
      </c>
      <c r="F1922" s="115">
        <v>92682</v>
      </c>
      <c r="G1922" s="115">
        <v>92682</v>
      </c>
      <c r="H1922" s="115">
        <v>92682</v>
      </c>
    </row>
    <row r="1923" spans="1:8" ht="30" x14ac:dyDescent="0.25">
      <c r="A1923" s="115">
        <v>5927</v>
      </c>
      <c r="B1923" s="115" t="s">
        <v>128</v>
      </c>
      <c r="C1923" s="115" t="s">
        <v>4870</v>
      </c>
      <c r="D1923" s="115">
        <v>1</v>
      </c>
      <c r="E1923" s="115">
        <v>4.9669953968999998</v>
      </c>
      <c r="F1923" s="115">
        <v>4.9669953968999998</v>
      </c>
      <c r="G1923" s="115">
        <v>4.9669953968999998</v>
      </c>
      <c r="H1923" s="115">
        <v>4.9669953968999998</v>
      </c>
    </row>
    <row r="1924" spans="1:8" ht="45" x14ac:dyDescent="0.25">
      <c r="A1924" s="115">
        <v>5926</v>
      </c>
      <c r="B1924" s="115" t="s">
        <v>128</v>
      </c>
      <c r="C1924" s="115" t="s">
        <v>4871</v>
      </c>
      <c r="D1924" s="115">
        <v>1</v>
      </c>
      <c r="E1924" s="115" t="s">
        <v>4840</v>
      </c>
      <c r="F1924" s="115" t="s">
        <v>4840</v>
      </c>
      <c r="G1924" s="115" t="s">
        <v>4840</v>
      </c>
      <c r="H1924" s="115" t="s">
        <v>4840</v>
      </c>
    </row>
    <row r="1925" spans="1:8" ht="45" x14ac:dyDescent="0.25">
      <c r="A1925" s="115">
        <v>5925</v>
      </c>
      <c r="B1925" s="115" t="s">
        <v>128</v>
      </c>
      <c r="C1925" s="115" t="s">
        <v>4872</v>
      </c>
      <c r="D1925" s="115">
        <v>1</v>
      </c>
      <c r="E1925" s="115" t="s">
        <v>505</v>
      </c>
      <c r="F1925" s="115" t="s">
        <v>506</v>
      </c>
      <c r="G1925" s="115" t="s">
        <v>507</v>
      </c>
      <c r="H1925" s="115" t="s">
        <v>508</v>
      </c>
    </row>
    <row r="1926" spans="1:8" ht="30" x14ac:dyDescent="0.25">
      <c r="A1926" s="115">
        <v>5924</v>
      </c>
      <c r="B1926" s="115" t="s">
        <v>128</v>
      </c>
      <c r="C1926" s="115" t="s">
        <v>4873</v>
      </c>
      <c r="D1926" s="115">
        <v>1</v>
      </c>
      <c r="E1926" s="115">
        <v>73</v>
      </c>
      <c r="F1926" s="115">
        <v>73</v>
      </c>
      <c r="G1926" s="115">
        <v>73</v>
      </c>
      <c r="H1926" s="115">
        <v>73</v>
      </c>
    </row>
    <row r="1927" spans="1:8" ht="45" x14ac:dyDescent="0.25">
      <c r="A1927" s="115">
        <v>5923</v>
      </c>
      <c r="B1927" s="115" t="s">
        <v>128</v>
      </c>
      <c r="C1927" s="115" t="s">
        <v>4874</v>
      </c>
      <c r="D1927" s="115">
        <v>1</v>
      </c>
      <c r="E1927" s="115">
        <v>46720.356660302001</v>
      </c>
      <c r="F1927" s="115">
        <v>46720.356660302001</v>
      </c>
      <c r="G1927" s="115">
        <v>46720.356660302001</v>
      </c>
      <c r="H1927" s="115">
        <v>46720.356660302001</v>
      </c>
    </row>
    <row r="1928" spans="1:8" ht="30" x14ac:dyDescent="0.25">
      <c r="A1928" s="115">
        <v>5922</v>
      </c>
      <c r="B1928" s="115" t="s">
        <v>128</v>
      </c>
      <c r="C1928" s="115" t="s">
        <v>4875</v>
      </c>
      <c r="D1928" s="115">
        <v>1</v>
      </c>
      <c r="E1928" s="115">
        <v>4.6695061495000001</v>
      </c>
      <c r="F1928" s="115">
        <v>4.6695061495000001</v>
      </c>
      <c r="G1928" s="115">
        <v>4.6695061495000001</v>
      </c>
      <c r="H1928" s="115">
        <v>4.6695061495000001</v>
      </c>
    </row>
    <row r="1929" spans="1:8" ht="45" x14ac:dyDescent="0.25">
      <c r="A1929" s="115">
        <v>5921</v>
      </c>
      <c r="B1929" s="115" t="s">
        <v>128</v>
      </c>
      <c r="C1929" s="115" t="s">
        <v>4876</v>
      </c>
      <c r="D1929" s="115">
        <v>1</v>
      </c>
      <c r="E1929" s="115" t="s">
        <v>2103</v>
      </c>
      <c r="F1929" s="115" t="s">
        <v>2103</v>
      </c>
      <c r="G1929" s="115" t="s">
        <v>2103</v>
      </c>
      <c r="H1929" s="115" t="s">
        <v>2103</v>
      </c>
    </row>
    <row r="1930" spans="1:8" ht="45" x14ac:dyDescent="0.25">
      <c r="A1930" s="115">
        <v>5920</v>
      </c>
      <c r="B1930" s="115" t="s">
        <v>128</v>
      </c>
      <c r="C1930" s="115" t="s">
        <v>4877</v>
      </c>
      <c r="D1930" s="115">
        <v>1</v>
      </c>
      <c r="E1930" s="115" t="s">
        <v>2921</v>
      </c>
      <c r="F1930" s="115" t="s">
        <v>553</v>
      </c>
      <c r="G1930" s="115" t="s">
        <v>554</v>
      </c>
      <c r="H1930" s="115" t="s">
        <v>555</v>
      </c>
    </row>
    <row r="1931" spans="1:8" ht="30" x14ac:dyDescent="0.25">
      <c r="A1931" s="115">
        <v>5919</v>
      </c>
      <c r="B1931" s="115" t="s">
        <v>128</v>
      </c>
      <c r="C1931" s="115" t="s">
        <v>4878</v>
      </c>
      <c r="D1931" s="115">
        <v>1</v>
      </c>
      <c r="E1931" s="115">
        <v>43</v>
      </c>
      <c r="F1931" s="115">
        <v>43</v>
      </c>
      <c r="G1931" s="115">
        <v>43</v>
      </c>
      <c r="H1931" s="115">
        <v>43</v>
      </c>
    </row>
    <row r="1932" spans="1:8" ht="45" x14ac:dyDescent="0.25">
      <c r="A1932" s="115">
        <v>5918</v>
      </c>
      <c r="B1932" s="115" t="s">
        <v>128</v>
      </c>
      <c r="C1932" s="115" t="s">
        <v>4879</v>
      </c>
      <c r="D1932" s="115">
        <v>1</v>
      </c>
      <c r="E1932" s="115">
        <v>45931.724786305</v>
      </c>
      <c r="F1932" s="115">
        <v>45931.724786305</v>
      </c>
      <c r="G1932" s="115">
        <v>45931.724786305</v>
      </c>
      <c r="H1932" s="115">
        <v>45931.724786305</v>
      </c>
    </row>
    <row r="1933" spans="1:8" ht="30" x14ac:dyDescent="0.25">
      <c r="A1933" s="115">
        <v>5917</v>
      </c>
      <c r="B1933" s="115" t="s">
        <v>128</v>
      </c>
      <c r="C1933" s="115" t="s">
        <v>4880</v>
      </c>
      <c r="D1933" s="115">
        <v>1</v>
      </c>
      <c r="E1933" s="115">
        <v>4.6621127539999998</v>
      </c>
      <c r="F1933" s="115">
        <v>4.6621127539999998</v>
      </c>
      <c r="G1933" s="115">
        <v>4.6621127539999998</v>
      </c>
      <c r="H1933" s="115">
        <v>4.6621127539999998</v>
      </c>
    </row>
    <row r="1934" spans="1:8" ht="45" x14ac:dyDescent="0.25">
      <c r="A1934" s="115">
        <v>5916</v>
      </c>
      <c r="B1934" s="115" t="s">
        <v>128</v>
      </c>
      <c r="C1934" s="115" t="s">
        <v>4881</v>
      </c>
      <c r="D1934" s="115">
        <v>1</v>
      </c>
      <c r="E1934" s="115" t="s">
        <v>4843</v>
      </c>
      <c r="F1934" s="115" t="s">
        <v>4843</v>
      </c>
      <c r="G1934" s="115" t="s">
        <v>4843</v>
      </c>
      <c r="H1934" s="115" t="s">
        <v>4843</v>
      </c>
    </row>
    <row r="1935" spans="1:8" ht="45" x14ac:dyDescent="0.25">
      <c r="A1935" s="115">
        <v>5915</v>
      </c>
      <c r="B1935" s="115" t="s">
        <v>128</v>
      </c>
      <c r="C1935" s="115" t="s">
        <v>4882</v>
      </c>
      <c r="D1935" s="115">
        <v>1</v>
      </c>
      <c r="E1935" s="115" t="s">
        <v>536</v>
      </c>
      <c r="F1935" s="115" t="s">
        <v>536</v>
      </c>
      <c r="G1935" s="115" t="s">
        <v>537</v>
      </c>
      <c r="H1935" s="115" t="s">
        <v>538</v>
      </c>
    </row>
    <row r="1936" spans="1:8" ht="30" x14ac:dyDescent="0.25">
      <c r="A1936" s="115">
        <v>5914</v>
      </c>
      <c r="B1936" s="115" t="s">
        <v>128</v>
      </c>
      <c r="C1936" s="115" t="s">
        <v>4883</v>
      </c>
      <c r="D1936" s="115">
        <v>1</v>
      </c>
      <c r="E1936" s="115">
        <v>42</v>
      </c>
      <c r="F1936" s="115">
        <v>42</v>
      </c>
      <c r="G1936" s="115">
        <v>42</v>
      </c>
      <c r="H1936" s="115">
        <v>42</v>
      </c>
    </row>
    <row r="1937" spans="1:8" ht="45" x14ac:dyDescent="0.25">
      <c r="A1937" s="115">
        <v>5913</v>
      </c>
      <c r="B1937" s="115" t="s">
        <v>128</v>
      </c>
      <c r="C1937" s="115" t="s">
        <v>4884</v>
      </c>
      <c r="D1937" s="115">
        <v>1</v>
      </c>
      <c r="E1937" s="115">
        <v>491.78997810020002</v>
      </c>
      <c r="F1937" s="115">
        <v>491.78997810020002</v>
      </c>
      <c r="G1937" s="115">
        <v>491.78997810020002</v>
      </c>
      <c r="H1937" s="115">
        <v>491.78997810020002</v>
      </c>
    </row>
    <row r="1938" spans="1:8" ht="30" x14ac:dyDescent="0.25">
      <c r="A1938" s="115">
        <v>5912</v>
      </c>
      <c r="B1938" s="115" t="s">
        <v>128</v>
      </c>
      <c r="C1938" s="115" t="s">
        <v>4885</v>
      </c>
      <c r="D1938" s="115">
        <v>1</v>
      </c>
      <c r="E1938" s="115">
        <v>2.6917796743000002</v>
      </c>
      <c r="F1938" s="115">
        <v>2.6917796743000002</v>
      </c>
      <c r="G1938" s="115">
        <v>2.6917796743000002</v>
      </c>
      <c r="H1938" s="115">
        <v>2.6917796743000002</v>
      </c>
    </row>
    <row r="1939" spans="1:8" ht="45" x14ac:dyDescent="0.25">
      <c r="A1939" s="115">
        <v>5911</v>
      </c>
      <c r="B1939" s="115" t="s">
        <v>128</v>
      </c>
      <c r="C1939" s="115" t="s">
        <v>4886</v>
      </c>
      <c r="D1939" s="115">
        <v>1</v>
      </c>
      <c r="E1939" s="115" t="s">
        <v>4852</v>
      </c>
      <c r="F1939" s="115" t="s">
        <v>4852</v>
      </c>
      <c r="G1939" s="115" t="s">
        <v>4852</v>
      </c>
      <c r="H1939" s="115" t="s">
        <v>4852</v>
      </c>
    </row>
    <row r="1940" spans="1:8" ht="45" x14ac:dyDescent="0.25">
      <c r="A1940" s="115">
        <v>5910</v>
      </c>
      <c r="B1940" s="115" t="s">
        <v>128</v>
      </c>
      <c r="C1940" s="115" t="s">
        <v>4887</v>
      </c>
      <c r="D1940" s="115">
        <v>1</v>
      </c>
      <c r="E1940" s="115" t="s">
        <v>519</v>
      </c>
      <c r="F1940" s="115" t="s">
        <v>520</v>
      </c>
      <c r="G1940" s="115" t="s">
        <v>521</v>
      </c>
      <c r="H1940" s="115" t="s">
        <v>522</v>
      </c>
    </row>
    <row r="1941" spans="1:8" ht="30" x14ac:dyDescent="0.25">
      <c r="A1941" s="115">
        <v>5909</v>
      </c>
      <c r="B1941" s="115" t="s">
        <v>128</v>
      </c>
      <c r="C1941" s="115" t="s">
        <v>4888</v>
      </c>
      <c r="D1941" s="115">
        <v>1</v>
      </c>
      <c r="E1941" s="115">
        <v>62</v>
      </c>
      <c r="F1941" s="115">
        <v>62</v>
      </c>
      <c r="G1941" s="115">
        <v>62</v>
      </c>
      <c r="H1941" s="115">
        <v>62</v>
      </c>
    </row>
    <row r="1942" spans="1:8" ht="45" x14ac:dyDescent="0.25">
      <c r="A1942" s="115">
        <v>5908</v>
      </c>
      <c r="B1942" s="115" t="s">
        <v>128</v>
      </c>
      <c r="C1942" s="115" t="s">
        <v>4889</v>
      </c>
      <c r="D1942" s="115">
        <v>1</v>
      </c>
      <c r="E1942" s="115">
        <v>37749.442722624997</v>
      </c>
      <c r="F1942" s="115">
        <v>37749.442722624997</v>
      </c>
      <c r="G1942" s="115">
        <v>37749.442722624997</v>
      </c>
      <c r="H1942" s="115">
        <v>37749.442722624997</v>
      </c>
    </row>
    <row r="1943" spans="1:8" ht="30" x14ac:dyDescent="0.25">
      <c r="A1943" s="115">
        <v>5907</v>
      </c>
      <c r="B1943" s="115" t="s">
        <v>128</v>
      </c>
      <c r="C1943" s="115" t="s">
        <v>4890</v>
      </c>
      <c r="D1943" s="115">
        <v>1</v>
      </c>
      <c r="E1943" s="115">
        <v>4.5769105446999996</v>
      </c>
      <c r="F1943" s="115">
        <v>4.5769105446999996</v>
      </c>
      <c r="G1943" s="115">
        <v>4.5769105446999996</v>
      </c>
      <c r="H1943" s="115">
        <v>4.5769105446999996</v>
      </c>
    </row>
    <row r="1944" spans="1:8" ht="45" x14ac:dyDescent="0.25">
      <c r="A1944" s="115">
        <v>5906</v>
      </c>
      <c r="B1944" s="115" t="s">
        <v>128</v>
      </c>
      <c r="C1944" s="115" t="s">
        <v>4891</v>
      </c>
      <c r="D1944" s="115">
        <v>1</v>
      </c>
      <c r="E1944" s="115" t="s">
        <v>2103</v>
      </c>
      <c r="F1944" s="115" t="s">
        <v>2103</v>
      </c>
      <c r="G1944" s="115" t="s">
        <v>2103</v>
      </c>
      <c r="H1944" s="115" t="s">
        <v>2103</v>
      </c>
    </row>
    <row r="1945" spans="1:8" ht="45" x14ac:dyDescent="0.25">
      <c r="A1945" s="115">
        <v>5905</v>
      </c>
      <c r="B1945" s="115" t="s">
        <v>128</v>
      </c>
      <c r="C1945" s="115" t="s">
        <v>4892</v>
      </c>
      <c r="D1945" s="115">
        <v>1</v>
      </c>
      <c r="E1945" s="115" t="s">
        <v>2921</v>
      </c>
      <c r="F1945" s="115" t="s">
        <v>553</v>
      </c>
      <c r="G1945" s="115" t="s">
        <v>554</v>
      </c>
      <c r="H1945" s="115" t="s">
        <v>555</v>
      </c>
    </row>
    <row r="1946" spans="1:8" ht="30" x14ac:dyDescent="0.25">
      <c r="A1946" s="115">
        <v>5904</v>
      </c>
      <c r="B1946" s="115" t="s">
        <v>128</v>
      </c>
      <c r="C1946" s="115" t="s">
        <v>4893</v>
      </c>
      <c r="D1946" s="115">
        <v>1</v>
      </c>
      <c r="E1946" s="115">
        <v>83</v>
      </c>
      <c r="F1946" s="115">
        <v>83</v>
      </c>
      <c r="G1946" s="115">
        <v>83</v>
      </c>
      <c r="H1946" s="115">
        <v>83</v>
      </c>
    </row>
    <row r="1947" spans="1:8" ht="45" x14ac:dyDescent="0.25">
      <c r="A1947" s="115">
        <v>5903</v>
      </c>
      <c r="B1947" s="115" t="s">
        <v>128</v>
      </c>
      <c r="C1947" s="115" t="s">
        <v>4894</v>
      </c>
      <c r="D1947" s="115">
        <v>1</v>
      </c>
      <c r="E1947" s="115">
        <v>33071.839313506003</v>
      </c>
      <c r="F1947" s="115">
        <v>33071.839313506003</v>
      </c>
      <c r="G1947" s="115">
        <v>33071.839313506003</v>
      </c>
      <c r="H1947" s="115">
        <v>33071.839313506003</v>
      </c>
    </row>
    <row r="1948" spans="1:8" ht="30" x14ac:dyDescent="0.25">
      <c r="A1948" s="115">
        <v>5902</v>
      </c>
      <c r="B1948" s="115" t="s">
        <v>128</v>
      </c>
      <c r="C1948" s="115" t="s">
        <v>4895</v>
      </c>
      <c r="D1948" s="115">
        <v>1</v>
      </c>
      <c r="E1948" s="115">
        <v>4.5194583491999998</v>
      </c>
      <c r="F1948" s="115">
        <v>4.5194583491999998</v>
      </c>
      <c r="G1948" s="115">
        <v>4.5194583491999998</v>
      </c>
      <c r="H1948" s="115">
        <v>4.5194583491999998</v>
      </c>
    </row>
    <row r="1949" spans="1:8" ht="45" x14ac:dyDescent="0.25">
      <c r="A1949" s="115">
        <v>5901</v>
      </c>
      <c r="B1949" s="115" t="s">
        <v>128</v>
      </c>
      <c r="C1949" s="115" t="s">
        <v>4896</v>
      </c>
      <c r="D1949" s="115">
        <v>1</v>
      </c>
      <c r="E1949" s="115" t="s">
        <v>4843</v>
      </c>
      <c r="F1949" s="115" t="s">
        <v>4843</v>
      </c>
      <c r="G1949" s="115" t="s">
        <v>4843</v>
      </c>
      <c r="H1949" s="115" t="s">
        <v>4843</v>
      </c>
    </row>
    <row r="1950" spans="1:8" ht="45" x14ac:dyDescent="0.25">
      <c r="A1950" s="115">
        <v>5900</v>
      </c>
      <c r="B1950" s="115" t="s">
        <v>128</v>
      </c>
      <c r="C1950" s="115" t="s">
        <v>4897</v>
      </c>
      <c r="D1950" s="115">
        <v>1</v>
      </c>
      <c r="E1950" s="115" t="s">
        <v>536</v>
      </c>
      <c r="F1950" s="115" t="s">
        <v>536</v>
      </c>
      <c r="G1950" s="115" t="s">
        <v>537</v>
      </c>
      <c r="H1950" s="115" t="s">
        <v>538</v>
      </c>
    </row>
    <row r="1951" spans="1:8" ht="30" x14ac:dyDescent="0.25">
      <c r="A1951" s="115">
        <v>5899</v>
      </c>
      <c r="B1951" s="115" t="s">
        <v>128</v>
      </c>
      <c r="C1951" s="115" t="s">
        <v>4898</v>
      </c>
      <c r="D1951" s="115">
        <v>1</v>
      </c>
      <c r="E1951" s="115">
        <v>66</v>
      </c>
      <c r="F1951" s="115">
        <v>66</v>
      </c>
      <c r="G1951" s="115">
        <v>66</v>
      </c>
      <c r="H1951" s="115">
        <v>66</v>
      </c>
    </row>
    <row r="1952" spans="1:8" ht="45" x14ac:dyDescent="0.25">
      <c r="A1952" s="115">
        <v>5898</v>
      </c>
      <c r="B1952" s="115" t="s">
        <v>128</v>
      </c>
      <c r="C1952" s="115" t="s">
        <v>4899</v>
      </c>
      <c r="D1952" s="115">
        <v>1</v>
      </c>
      <c r="E1952" s="115">
        <v>22000.069567181999</v>
      </c>
      <c r="F1952" s="115">
        <v>22000.069567181999</v>
      </c>
      <c r="G1952" s="115">
        <v>22000.069567181999</v>
      </c>
      <c r="H1952" s="115">
        <v>22000.069567181999</v>
      </c>
    </row>
    <row r="1953" spans="1:8" ht="30" x14ac:dyDescent="0.25">
      <c r="A1953" s="115">
        <v>5897</v>
      </c>
      <c r="B1953" s="115" t="s">
        <v>128</v>
      </c>
      <c r="C1953" s="115" t="s">
        <v>4900</v>
      </c>
      <c r="D1953" s="115">
        <v>1</v>
      </c>
      <c r="E1953" s="115">
        <v>4.3424240541000003</v>
      </c>
      <c r="F1953" s="115">
        <v>4.3424240541000003</v>
      </c>
      <c r="G1953" s="115">
        <v>4.3424240541000003</v>
      </c>
      <c r="H1953" s="115">
        <v>4.3424240541000003</v>
      </c>
    </row>
    <row r="1954" spans="1:8" ht="45" x14ac:dyDescent="0.25">
      <c r="A1954" s="115">
        <v>5896</v>
      </c>
      <c r="B1954" s="115" t="s">
        <v>128</v>
      </c>
      <c r="C1954" s="115" t="s">
        <v>4901</v>
      </c>
      <c r="D1954" s="115">
        <v>1</v>
      </c>
      <c r="E1954" s="115" t="s">
        <v>4843</v>
      </c>
      <c r="F1954" s="115" t="s">
        <v>4843</v>
      </c>
      <c r="G1954" s="115" t="s">
        <v>4843</v>
      </c>
      <c r="H1954" s="115" t="s">
        <v>4843</v>
      </c>
    </row>
    <row r="1955" spans="1:8" ht="45" x14ac:dyDescent="0.25">
      <c r="A1955" s="115">
        <v>5895</v>
      </c>
      <c r="B1955" s="115" t="s">
        <v>128</v>
      </c>
      <c r="C1955" s="115" t="s">
        <v>4902</v>
      </c>
      <c r="D1955" s="115">
        <v>1</v>
      </c>
      <c r="E1955" s="115" t="s">
        <v>536</v>
      </c>
      <c r="F1955" s="115" t="s">
        <v>536</v>
      </c>
      <c r="G1955" s="115" t="s">
        <v>537</v>
      </c>
      <c r="H1955" s="115" t="s">
        <v>538</v>
      </c>
    </row>
    <row r="1956" spans="1:8" ht="30" x14ac:dyDescent="0.25">
      <c r="A1956" s="115">
        <v>5894</v>
      </c>
      <c r="B1956" s="115" t="s">
        <v>128</v>
      </c>
      <c r="C1956" s="115" t="s">
        <v>4903</v>
      </c>
      <c r="D1956" s="115">
        <v>1</v>
      </c>
      <c r="E1956" s="115">
        <v>72</v>
      </c>
      <c r="F1956" s="115">
        <v>72</v>
      </c>
      <c r="G1956" s="115">
        <v>72</v>
      </c>
      <c r="H1956" s="115">
        <v>72</v>
      </c>
    </row>
    <row r="1957" spans="1:8" ht="45" x14ac:dyDescent="0.25">
      <c r="A1957" s="115">
        <v>5893</v>
      </c>
      <c r="B1957" s="115" t="s">
        <v>128</v>
      </c>
      <c r="C1957" s="115" t="s">
        <v>4904</v>
      </c>
      <c r="D1957" s="115">
        <v>1</v>
      </c>
      <c r="E1957" s="115">
        <v>19512</v>
      </c>
      <c r="F1957" s="115">
        <v>19512</v>
      </c>
      <c r="G1957" s="115">
        <v>19512</v>
      </c>
      <c r="H1957" s="115">
        <v>19512</v>
      </c>
    </row>
    <row r="1958" spans="1:8" ht="30" x14ac:dyDescent="0.25">
      <c r="A1958" s="115">
        <v>5892</v>
      </c>
      <c r="B1958" s="115" t="s">
        <v>128</v>
      </c>
      <c r="C1958" s="115" t="s">
        <v>4905</v>
      </c>
      <c r="D1958" s="115">
        <v>1</v>
      </c>
      <c r="E1958" s="115">
        <v>4.2903017872999998</v>
      </c>
      <c r="F1958" s="115">
        <v>4.2903017872999998</v>
      </c>
      <c r="G1958" s="115">
        <v>4.2903017872999998</v>
      </c>
      <c r="H1958" s="115">
        <v>4.2903017872999998</v>
      </c>
    </row>
    <row r="1959" spans="1:8" ht="45" x14ac:dyDescent="0.25">
      <c r="A1959" s="115">
        <v>5891</v>
      </c>
      <c r="B1959" s="115" t="s">
        <v>128</v>
      </c>
      <c r="C1959" s="115" t="s">
        <v>4906</v>
      </c>
      <c r="D1959" s="115">
        <v>1</v>
      </c>
      <c r="E1959" s="115" t="s">
        <v>4840</v>
      </c>
      <c r="F1959" s="115" t="s">
        <v>4840</v>
      </c>
      <c r="G1959" s="115" t="s">
        <v>4840</v>
      </c>
      <c r="H1959" s="115" t="s">
        <v>4840</v>
      </c>
    </row>
    <row r="1960" spans="1:8" ht="45" x14ac:dyDescent="0.25">
      <c r="A1960" s="115">
        <v>5890</v>
      </c>
      <c r="B1960" s="115" t="s">
        <v>128</v>
      </c>
      <c r="C1960" s="115" t="s">
        <v>4907</v>
      </c>
      <c r="D1960" s="115">
        <v>1</v>
      </c>
      <c r="E1960" s="115" t="s">
        <v>505</v>
      </c>
      <c r="F1960" s="115" t="s">
        <v>506</v>
      </c>
      <c r="G1960" s="115" t="s">
        <v>507</v>
      </c>
      <c r="H1960" s="115" t="s">
        <v>508</v>
      </c>
    </row>
    <row r="1961" spans="1:8" ht="30" x14ac:dyDescent="0.25">
      <c r="A1961" s="115">
        <v>5889</v>
      </c>
      <c r="B1961" s="115" t="s">
        <v>128</v>
      </c>
      <c r="C1961" s="115" t="s">
        <v>4908</v>
      </c>
      <c r="D1961" s="115">
        <v>1</v>
      </c>
      <c r="E1961" s="115">
        <v>47</v>
      </c>
      <c r="F1961" s="115">
        <v>47</v>
      </c>
      <c r="G1961" s="115">
        <v>47</v>
      </c>
      <c r="H1961" s="115">
        <v>47</v>
      </c>
    </row>
    <row r="1962" spans="1:8" ht="45" x14ac:dyDescent="0.25">
      <c r="A1962" s="115">
        <v>5888</v>
      </c>
      <c r="B1962" s="115" t="s">
        <v>128</v>
      </c>
      <c r="C1962" s="115" t="s">
        <v>4909</v>
      </c>
      <c r="D1962" s="115">
        <v>1</v>
      </c>
      <c r="E1962" s="115">
        <v>15452.173598195001</v>
      </c>
      <c r="F1962" s="115">
        <v>15452.173598195001</v>
      </c>
      <c r="G1962" s="115">
        <v>15452.173598195001</v>
      </c>
      <c r="H1962" s="115">
        <v>15452.173598195001</v>
      </c>
    </row>
    <row r="1963" spans="1:8" ht="30" x14ac:dyDescent="0.25">
      <c r="A1963" s="115">
        <v>5887</v>
      </c>
      <c r="B1963" s="115" t="s">
        <v>128</v>
      </c>
      <c r="C1963" s="115" t="s">
        <v>4910</v>
      </c>
      <c r="D1963" s="115">
        <v>1</v>
      </c>
      <c r="E1963" s="115">
        <v>4.1889895786000002</v>
      </c>
      <c r="F1963" s="115">
        <v>4.1889895786000002</v>
      </c>
      <c r="G1963" s="115">
        <v>4.1889895786000002</v>
      </c>
      <c r="H1963" s="115">
        <v>4.1889895786000002</v>
      </c>
    </row>
    <row r="1964" spans="1:8" ht="45" x14ac:dyDescent="0.25">
      <c r="A1964" s="115">
        <v>5886</v>
      </c>
      <c r="B1964" s="115" t="s">
        <v>128</v>
      </c>
      <c r="C1964" s="115" t="s">
        <v>4911</v>
      </c>
      <c r="D1964" s="115">
        <v>1</v>
      </c>
      <c r="E1964" s="115" t="s">
        <v>4849</v>
      </c>
      <c r="F1964" s="115" t="s">
        <v>4849</v>
      </c>
      <c r="G1964" s="115" t="s">
        <v>4849</v>
      </c>
      <c r="H1964" s="115" t="s">
        <v>4849</v>
      </c>
    </row>
    <row r="1965" spans="1:8" ht="45" x14ac:dyDescent="0.25">
      <c r="A1965" s="115">
        <v>5885</v>
      </c>
      <c r="B1965" s="115" t="s">
        <v>128</v>
      </c>
      <c r="C1965" s="115" t="s">
        <v>4912</v>
      </c>
      <c r="D1965" s="115">
        <v>1</v>
      </c>
      <c r="E1965" s="115" t="s">
        <v>494</v>
      </c>
      <c r="F1965" s="115" t="s">
        <v>4847</v>
      </c>
      <c r="G1965" s="115" t="s">
        <v>496</v>
      </c>
      <c r="H1965" s="115" t="s">
        <v>497</v>
      </c>
    </row>
    <row r="1966" spans="1:8" ht="30" x14ac:dyDescent="0.25">
      <c r="A1966" s="115">
        <v>5884</v>
      </c>
      <c r="B1966" s="115" t="s">
        <v>128</v>
      </c>
      <c r="C1966" s="115" t="s">
        <v>4913</v>
      </c>
      <c r="D1966" s="115">
        <v>1</v>
      </c>
      <c r="E1966" s="115">
        <v>55</v>
      </c>
      <c r="F1966" s="115">
        <v>55</v>
      </c>
      <c r="G1966" s="115">
        <v>55</v>
      </c>
      <c r="H1966" s="115">
        <v>55</v>
      </c>
    </row>
    <row r="1967" spans="1:8" ht="45" x14ac:dyDescent="0.25">
      <c r="A1967" s="115">
        <v>5883</v>
      </c>
      <c r="B1967" s="115" t="s">
        <v>128</v>
      </c>
      <c r="C1967" s="115" t="s">
        <v>4914</v>
      </c>
      <c r="D1967" s="115">
        <v>1</v>
      </c>
      <c r="E1967" s="115">
        <v>14183.01601695</v>
      </c>
      <c r="F1967" s="115">
        <v>14183.01601695</v>
      </c>
      <c r="G1967" s="115">
        <v>14183.01601695</v>
      </c>
      <c r="H1967" s="115">
        <v>14183.01601695</v>
      </c>
    </row>
    <row r="1968" spans="1:8" ht="30" x14ac:dyDescent="0.25">
      <c r="A1968" s="115">
        <v>5882</v>
      </c>
      <c r="B1968" s="115" t="s">
        <v>128</v>
      </c>
      <c r="C1968" s="115" t="s">
        <v>4915</v>
      </c>
      <c r="D1968" s="115">
        <v>1</v>
      </c>
      <c r="E1968" s="115">
        <v>4.1517685932999999</v>
      </c>
      <c r="F1968" s="115">
        <v>4.1517685932999999</v>
      </c>
      <c r="G1968" s="115">
        <v>4.1517685932999999</v>
      </c>
      <c r="H1968" s="115">
        <v>4.1517685932999999</v>
      </c>
    </row>
    <row r="1969" spans="1:8" ht="45" x14ac:dyDescent="0.25">
      <c r="A1969" s="115">
        <v>5881</v>
      </c>
      <c r="B1969" s="115" t="s">
        <v>128</v>
      </c>
      <c r="C1969" s="115" t="s">
        <v>4916</v>
      </c>
      <c r="D1969" s="115">
        <v>1</v>
      </c>
      <c r="E1969" s="115" t="s">
        <v>4843</v>
      </c>
      <c r="F1969" s="115" t="s">
        <v>4843</v>
      </c>
      <c r="G1969" s="115" t="s">
        <v>4843</v>
      </c>
      <c r="H1969" s="115" t="s">
        <v>4843</v>
      </c>
    </row>
    <row r="1970" spans="1:8" ht="45" x14ac:dyDescent="0.25">
      <c r="A1970" s="115">
        <v>5880</v>
      </c>
      <c r="B1970" s="115" t="s">
        <v>128</v>
      </c>
      <c r="C1970" s="115" t="s">
        <v>4917</v>
      </c>
      <c r="D1970" s="115">
        <v>1</v>
      </c>
      <c r="E1970" s="115" t="s">
        <v>536</v>
      </c>
      <c r="F1970" s="115" t="s">
        <v>536</v>
      </c>
      <c r="G1970" s="115" t="s">
        <v>537</v>
      </c>
      <c r="H1970" s="115" t="s">
        <v>538</v>
      </c>
    </row>
    <row r="1971" spans="1:8" ht="30" x14ac:dyDescent="0.25">
      <c r="A1971" s="115">
        <v>5879</v>
      </c>
      <c r="B1971" s="115" t="s">
        <v>128</v>
      </c>
      <c r="C1971" s="115" t="s">
        <v>4918</v>
      </c>
      <c r="D1971" s="115">
        <v>1</v>
      </c>
      <c r="E1971" s="115">
        <v>46</v>
      </c>
      <c r="F1971" s="115">
        <v>46</v>
      </c>
      <c r="G1971" s="115">
        <v>46</v>
      </c>
      <c r="H1971" s="115">
        <v>46</v>
      </c>
    </row>
    <row r="1972" spans="1:8" ht="45" x14ac:dyDescent="0.25">
      <c r="A1972" s="115">
        <v>5878</v>
      </c>
      <c r="B1972" s="115" t="s">
        <v>128</v>
      </c>
      <c r="C1972" s="115" t="s">
        <v>4919</v>
      </c>
      <c r="D1972" s="115">
        <v>1</v>
      </c>
      <c r="E1972" s="115">
        <v>14037.015448307</v>
      </c>
      <c r="F1972" s="115">
        <v>14037.015448307</v>
      </c>
      <c r="G1972" s="115">
        <v>14037.015448307</v>
      </c>
      <c r="H1972" s="115">
        <v>14037.015448307</v>
      </c>
    </row>
    <row r="1973" spans="1:8" ht="30" x14ac:dyDescent="0.25">
      <c r="A1973" s="115">
        <v>5877</v>
      </c>
      <c r="B1973" s="115" t="s">
        <v>128</v>
      </c>
      <c r="C1973" s="115" t="s">
        <v>4920</v>
      </c>
      <c r="D1973" s="115">
        <v>1</v>
      </c>
      <c r="E1973" s="115">
        <v>4.1472747778999999</v>
      </c>
      <c r="F1973" s="115">
        <v>4.1472747778999999</v>
      </c>
      <c r="G1973" s="115">
        <v>4.1472747778999999</v>
      </c>
      <c r="H1973" s="115">
        <v>4.1472747778999999</v>
      </c>
    </row>
    <row r="1974" spans="1:8" ht="45" x14ac:dyDescent="0.25">
      <c r="A1974" s="115">
        <v>5876</v>
      </c>
      <c r="B1974" s="115" t="s">
        <v>128</v>
      </c>
      <c r="C1974" s="115" t="s">
        <v>4921</v>
      </c>
      <c r="D1974" s="115">
        <v>1</v>
      </c>
      <c r="E1974" s="115" t="s">
        <v>4843</v>
      </c>
      <c r="F1974" s="115" t="s">
        <v>4843</v>
      </c>
      <c r="G1974" s="115" t="s">
        <v>4843</v>
      </c>
      <c r="H1974" s="115" t="s">
        <v>4843</v>
      </c>
    </row>
    <row r="1975" spans="1:8" ht="45" x14ac:dyDescent="0.25">
      <c r="A1975" s="115">
        <v>5875</v>
      </c>
      <c r="B1975" s="115" t="s">
        <v>128</v>
      </c>
      <c r="C1975" s="115" t="s">
        <v>4922</v>
      </c>
      <c r="D1975" s="115">
        <v>1</v>
      </c>
      <c r="E1975" s="115" t="s">
        <v>536</v>
      </c>
      <c r="F1975" s="115" t="s">
        <v>536</v>
      </c>
      <c r="G1975" s="115" t="s">
        <v>537</v>
      </c>
      <c r="H1975" s="115" t="s">
        <v>538</v>
      </c>
    </row>
    <row r="1976" spans="1:8" ht="30" x14ac:dyDescent="0.25">
      <c r="A1976" s="115">
        <v>5874</v>
      </c>
      <c r="B1976" s="115" t="s">
        <v>128</v>
      </c>
      <c r="C1976" s="115" t="s">
        <v>4923</v>
      </c>
      <c r="D1976" s="115">
        <v>1</v>
      </c>
      <c r="E1976" s="115">
        <v>46</v>
      </c>
      <c r="F1976" s="115">
        <v>46</v>
      </c>
      <c r="G1976" s="115">
        <v>46</v>
      </c>
      <c r="H1976" s="115">
        <v>46</v>
      </c>
    </row>
    <row r="1977" spans="1:8" ht="45" x14ac:dyDescent="0.25">
      <c r="A1977" s="115">
        <v>5873</v>
      </c>
      <c r="B1977" s="115" t="s">
        <v>128</v>
      </c>
      <c r="C1977" s="115" t="s">
        <v>4924</v>
      </c>
      <c r="D1977" s="115">
        <v>1</v>
      </c>
      <c r="E1977" s="115">
        <v>14007.877516277</v>
      </c>
      <c r="F1977" s="115">
        <v>14007.877516277</v>
      </c>
      <c r="G1977" s="115">
        <v>14007.877516277</v>
      </c>
      <c r="H1977" s="115">
        <v>14007.877516277</v>
      </c>
    </row>
    <row r="1978" spans="1:8" ht="30" x14ac:dyDescent="0.25">
      <c r="A1978" s="115">
        <v>5872</v>
      </c>
      <c r="B1978" s="115" t="s">
        <v>128</v>
      </c>
      <c r="C1978" s="115" t="s">
        <v>4925</v>
      </c>
      <c r="D1978" s="115">
        <v>1</v>
      </c>
      <c r="E1978" s="115">
        <v>4.1463723356999997</v>
      </c>
      <c r="F1978" s="115">
        <v>4.1463723356999997</v>
      </c>
      <c r="G1978" s="115">
        <v>4.1463723356999997</v>
      </c>
      <c r="H1978" s="115">
        <v>4.1463723356999997</v>
      </c>
    </row>
    <row r="1979" spans="1:8" ht="45" x14ac:dyDescent="0.25">
      <c r="A1979" s="115">
        <v>5871</v>
      </c>
      <c r="B1979" s="115" t="s">
        <v>128</v>
      </c>
      <c r="C1979" s="115" t="s">
        <v>4926</v>
      </c>
      <c r="D1979" s="115">
        <v>1</v>
      </c>
      <c r="E1979" s="115" t="s">
        <v>4843</v>
      </c>
      <c r="F1979" s="115" t="s">
        <v>4843</v>
      </c>
      <c r="G1979" s="115" t="s">
        <v>4843</v>
      </c>
      <c r="H1979" s="115" t="s">
        <v>4843</v>
      </c>
    </row>
    <row r="1980" spans="1:8" ht="45" x14ac:dyDescent="0.25">
      <c r="A1980" s="115">
        <v>5870</v>
      </c>
      <c r="B1980" s="115" t="s">
        <v>128</v>
      </c>
      <c r="C1980" s="115" t="s">
        <v>4927</v>
      </c>
      <c r="D1980" s="115">
        <v>1</v>
      </c>
      <c r="E1980" s="115" t="s">
        <v>536</v>
      </c>
      <c r="F1980" s="115" t="s">
        <v>536</v>
      </c>
      <c r="G1980" s="115" t="s">
        <v>537</v>
      </c>
      <c r="H1980" s="115" t="s">
        <v>538</v>
      </c>
    </row>
    <row r="1981" spans="1:8" ht="30" x14ac:dyDescent="0.25">
      <c r="A1981" s="115">
        <v>5869</v>
      </c>
      <c r="B1981" s="115" t="s">
        <v>128</v>
      </c>
      <c r="C1981" s="115" t="s">
        <v>4928</v>
      </c>
      <c r="D1981" s="115">
        <v>1</v>
      </c>
      <c r="E1981" s="115">
        <v>46</v>
      </c>
      <c r="F1981" s="115">
        <v>46</v>
      </c>
      <c r="G1981" s="115">
        <v>46</v>
      </c>
      <c r="H1981" s="115">
        <v>46</v>
      </c>
    </row>
    <row r="1982" spans="1:8" ht="45" x14ac:dyDescent="0.25">
      <c r="A1982" s="115">
        <v>5868</v>
      </c>
      <c r="B1982" s="115" t="s">
        <v>128</v>
      </c>
      <c r="C1982" s="115" t="s">
        <v>4929</v>
      </c>
      <c r="D1982" s="115">
        <v>1</v>
      </c>
      <c r="E1982" s="115">
        <v>12707.854313620001</v>
      </c>
      <c r="F1982" s="115">
        <v>12707.854313620001</v>
      </c>
      <c r="G1982" s="115">
        <v>12707.854313620001</v>
      </c>
      <c r="H1982" s="115">
        <v>12707.854313620001</v>
      </c>
    </row>
    <row r="1983" spans="1:8" ht="30" x14ac:dyDescent="0.25">
      <c r="A1983" s="115">
        <v>5867</v>
      </c>
      <c r="B1983" s="115" t="s">
        <v>128</v>
      </c>
      <c r="C1983" s="115" t="s">
        <v>4930</v>
      </c>
      <c r="D1983" s="115">
        <v>1</v>
      </c>
      <c r="E1983" s="115">
        <v>4.1040722272999997</v>
      </c>
      <c r="F1983" s="115">
        <v>4.1040722272999997</v>
      </c>
      <c r="G1983" s="115">
        <v>4.1040722272999997</v>
      </c>
      <c r="H1983" s="115">
        <v>4.1040722272999997</v>
      </c>
    </row>
    <row r="1984" spans="1:8" ht="45" x14ac:dyDescent="0.25">
      <c r="A1984" s="115">
        <v>5866</v>
      </c>
      <c r="B1984" s="115" t="s">
        <v>128</v>
      </c>
      <c r="C1984" s="115" t="s">
        <v>4931</v>
      </c>
      <c r="D1984" s="115">
        <v>1</v>
      </c>
      <c r="E1984" s="115" t="s">
        <v>4843</v>
      </c>
      <c r="F1984" s="115" t="s">
        <v>4843</v>
      </c>
      <c r="G1984" s="115" t="s">
        <v>4843</v>
      </c>
      <c r="H1984" s="115" t="s">
        <v>4843</v>
      </c>
    </row>
    <row r="1985" spans="1:8" ht="45" x14ac:dyDescent="0.25">
      <c r="A1985" s="115">
        <v>5865</v>
      </c>
      <c r="B1985" s="115" t="s">
        <v>128</v>
      </c>
      <c r="C1985" s="115" t="s">
        <v>4932</v>
      </c>
      <c r="D1985" s="115">
        <v>1</v>
      </c>
      <c r="E1985" s="115" t="s">
        <v>536</v>
      </c>
      <c r="F1985" s="115" t="s">
        <v>536</v>
      </c>
      <c r="G1985" s="115" t="s">
        <v>537</v>
      </c>
      <c r="H1985" s="115" t="s">
        <v>538</v>
      </c>
    </row>
    <row r="1986" spans="1:8" ht="30" x14ac:dyDescent="0.25">
      <c r="A1986" s="115">
        <v>5864</v>
      </c>
      <c r="B1986" s="115" t="s">
        <v>128</v>
      </c>
      <c r="C1986" s="115" t="s">
        <v>4933</v>
      </c>
      <c r="D1986" s="115">
        <v>1</v>
      </c>
      <c r="E1986" s="115">
        <v>37</v>
      </c>
      <c r="F1986" s="115">
        <v>37</v>
      </c>
      <c r="G1986" s="115">
        <v>37</v>
      </c>
      <c r="H1986" s="115">
        <v>37</v>
      </c>
    </row>
    <row r="1987" spans="1:8" ht="45" x14ac:dyDescent="0.25">
      <c r="A1987" s="115">
        <v>5863</v>
      </c>
      <c r="B1987" s="115" t="s">
        <v>128</v>
      </c>
      <c r="C1987" s="115" t="s">
        <v>4934</v>
      </c>
      <c r="D1987" s="115">
        <v>1</v>
      </c>
      <c r="E1987" s="115">
        <v>12116.15460932</v>
      </c>
      <c r="F1987" s="115">
        <v>12116.15460932</v>
      </c>
      <c r="G1987" s="115">
        <v>12116.15460932</v>
      </c>
      <c r="H1987" s="115">
        <v>12116.15460932</v>
      </c>
    </row>
    <row r="1988" spans="1:8" ht="30" x14ac:dyDescent="0.25">
      <c r="A1988" s="115">
        <v>5862</v>
      </c>
      <c r="B1988" s="115" t="s">
        <v>128</v>
      </c>
      <c r="C1988" s="115" t="s">
        <v>4935</v>
      </c>
      <c r="D1988" s="115">
        <v>1</v>
      </c>
      <c r="E1988" s="115">
        <v>4.0833648065999997</v>
      </c>
      <c r="F1988" s="115">
        <v>4.0833648065999997</v>
      </c>
      <c r="G1988" s="115">
        <v>4.0833648065999997</v>
      </c>
      <c r="H1988" s="115">
        <v>4.0833648065999997</v>
      </c>
    </row>
    <row r="1989" spans="1:8" ht="45" x14ac:dyDescent="0.25">
      <c r="A1989" s="115">
        <v>5861</v>
      </c>
      <c r="B1989" s="115" t="s">
        <v>128</v>
      </c>
      <c r="C1989" s="115" t="s">
        <v>4936</v>
      </c>
      <c r="D1989" s="115">
        <v>1</v>
      </c>
      <c r="E1989" s="115" t="s">
        <v>4843</v>
      </c>
      <c r="F1989" s="115" t="s">
        <v>4843</v>
      </c>
      <c r="G1989" s="115" t="s">
        <v>4843</v>
      </c>
      <c r="H1989" s="115" t="s">
        <v>4843</v>
      </c>
    </row>
    <row r="1990" spans="1:8" ht="45" x14ac:dyDescent="0.25">
      <c r="A1990" s="115">
        <v>5860</v>
      </c>
      <c r="B1990" s="115" t="s">
        <v>128</v>
      </c>
      <c r="C1990" s="115" t="s">
        <v>4937</v>
      </c>
      <c r="D1990" s="115">
        <v>1</v>
      </c>
      <c r="E1990" s="115" t="s">
        <v>536</v>
      </c>
      <c r="F1990" s="115" t="s">
        <v>536</v>
      </c>
      <c r="G1990" s="115" t="s">
        <v>537</v>
      </c>
      <c r="H1990" s="115" t="s">
        <v>538</v>
      </c>
    </row>
    <row r="1991" spans="1:8" ht="30" x14ac:dyDescent="0.25">
      <c r="A1991" s="115">
        <v>5859</v>
      </c>
      <c r="B1991" s="115" t="s">
        <v>128</v>
      </c>
      <c r="C1991" s="115" t="s">
        <v>4938</v>
      </c>
      <c r="D1991" s="115">
        <v>1</v>
      </c>
      <c r="E1991" s="115">
        <v>40</v>
      </c>
      <c r="F1991" s="115">
        <v>40</v>
      </c>
      <c r="G1991" s="115">
        <v>40</v>
      </c>
      <c r="H1991" s="115">
        <v>40</v>
      </c>
    </row>
    <row r="1992" spans="1:8" ht="45" x14ac:dyDescent="0.25">
      <c r="A1992" s="115">
        <v>5858</v>
      </c>
      <c r="B1992" s="115" t="s">
        <v>128</v>
      </c>
      <c r="C1992" s="115" t="s">
        <v>4939</v>
      </c>
      <c r="D1992" s="115">
        <v>1</v>
      </c>
      <c r="E1992" s="115">
        <v>453.56899273919998</v>
      </c>
      <c r="F1992" s="115">
        <v>453.56899273919998</v>
      </c>
      <c r="G1992" s="115">
        <v>453.56899273919998</v>
      </c>
      <c r="H1992" s="115">
        <v>453.56899273919998</v>
      </c>
    </row>
    <row r="1993" spans="1:8" ht="30" x14ac:dyDescent="0.25">
      <c r="A1993" s="115">
        <v>5857</v>
      </c>
      <c r="B1993" s="115" t="s">
        <v>128</v>
      </c>
      <c r="C1993" s="115" t="s">
        <v>4940</v>
      </c>
      <c r="D1993" s="115">
        <v>1</v>
      </c>
      <c r="E1993" s="115">
        <v>2.6566433573000001</v>
      </c>
      <c r="F1993" s="115">
        <v>2.6566433573000001</v>
      </c>
      <c r="G1993" s="115">
        <v>2.6566433573000001</v>
      </c>
      <c r="H1993" s="115">
        <v>2.6566433573000001</v>
      </c>
    </row>
    <row r="1994" spans="1:8" ht="45" x14ac:dyDescent="0.25">
      <c r="A1994" s="115">
        <v>5856</v>
      </c>
      <c r="B1994" s="115" t="s">
        <v>128</v>
      </c>
      <c r="C1994" s="115" t="s">
        <v>4941</v>
      </c>
      <c r="D1994" s="115">
        <v>1</v>
      </c>
      <c r="E1994" s="115" t="s">
        <v>4852</v>
      </c>
      <c r="F1994" s="115" t="s">
        <v>4852</v>
      </c>
      <c r="G1994" s="115" t="s">
        <v>4852</v>
      </c>
      <c r="H1994" s="115" t="s">
        <v>4852</v>
      </c>
    </row>
    <row r="1995" spans="1:8" ht="45" x14ac:dyDescent="0.25">
      <c r="A1995" s="115">
        <v>5855</v>
      </c>
      <c r="B1995" s="115" t="s">
        <v>128</v>
      </c>
      <c r="C1995" s="115" t="s">
        <v>4942</v>
      </c>
      <c r="D1995" s="115">
        <v>1</v>
      </c>
      <c r="E1995" s="115" t="s">
        <v>519</v>
      </c>
      <c r="F1995" s="115" t="s">
        <v>520</v>
      </c>
      <c r="G1995" s="115" t="s">
        <v>521</v>
      </c>
      <c r="H1995" s="115" t="s">
        <v>522</v>
      </c>
    </row>
    <row r="1996" spans="1:8" ht="30" x14ac:dyDescent="0.25">
      <c r="A1996" s="115">
        <v>5854</v>
      </c>
      <c r="B1996" s="115" t="s">
        <v>128</v>
      </c>
      <c r="C1996" s="115" t="s">
        <v>4943</v>
      </c>
      <c r="D1996" s="115">
        <v>1</v>
      </c>
      <c r="E1996" s="115">
        <v>20</v>
      </c>
      <c r="F1996" s="115">
        <v>20</v>
      </c>
      <c r="G1996" s="115">
        <v>20</v>
      </c>
      <c r="H1996" s="115">
        <v>20</v>
      </c>
    </row>
    <row r="1997" spans="1:8" ht="45" x14ac:dyDescent="0.25">
      <c r="A1997" s="115">
        <v>5853</v>
      </c>
      <c r="B1997" s="115" t="s">
        <v>128</v>
      </c>
      <c r="C1997" s="115" t="s">
        <v>4944</v>
      </c>
      <c r="D1997" s="115">
        <v>1</v>
      </c>
      <c r="E1997" s="115">
        <v>9705.3922340726003</v>
      </c>
      <c r="F1997" s="115">
        <v>9705.3922340726003</v>
      </c>
      <c r="G1997" s="115">
        <v>9705.3922340726003</v>
      </c>
      <c r="H1997" s="115">
        <v>9705.3922340726003</v>
      </c>
    </row>
    <row r="1998" spans="1:8" ht="30" x14ac:dyDescent="0.25">
      <c r="A1998" s="115">
        <v>5852</v>
      </c>
      <c r="B1998" s="115" t="s">
        <v>128</v>
      </c>
      <c r="C1998" s="115" t="s">
        <v>4945</v>
      </c>
      <c r="D1998" s="115">
        <v>1</v>
      </c>
      <c r="E1998" s="115">
        <v>3.9870130917000002</v>
      </c>
      <c r="F1998" s="115">
        <v>3.9870130917000002</v>
      </c>
      <c r="G1998" s="115">
        <v>3.9870130917000002</v>
      </c>
      <c r="H1998" s="115">
        <v>3.9870130917000002</v>
      </c>
    </row>
    <row r="1999" spans="1:8" ht="45" x14ac:dyDescent="0.25">
      <c r="A1999" s="115">
        <v>5851</v>
      </c>
      <c r="B1999" s="115" t="s">
        <v>128</v>
      </c>
      <c r="C1999" s="115" t="s">
        <v>4946</v>
      </c>
      <c r="D1999" s="115">
        <v>1</v>
      </c>
      <c r="E1999" s="115" t="s">
        <v>4840</v>
      </c>
      <c r="F1999" s="115" t="s">
        <v>4840</v>
      </c>
      <c r="G1999" s="115" t="s">
        <v>4840</v>
      </c>
      <c r="H1999" s="115" t="s">
        <v>4840</v>
      </c>
    </row>
    <row r="2000" spans="1:8" ht="45" x14ac:dyDescent="0.25">
      <c r="A2000" s="115">
        <v>5850</v>
      </c>
      <c r="B2000" s="115" t="s">
        <v>128</v>
      </c>
      <c r="C2000" s="115" t="s">
        <v>4947</v>
      </c>
      <c r="D2000" s="115">
        <v>1</v>
      </c>
      <c r="E2000" s="115" t="s">
        <v>505</v>
      </c>
      <c r="F2000" s="115" t="s">
        <v>506</v>
      </c>
      <c r="G2000" s="115" t="s">
        <v>507</v>
      </c>
      <c r="H2000" s="115" t="s">
        <v>508</v>
      </c>
    </row>
    <row r="2001" spans="1:8" ht="30" x14ac:dyDescent="0.25">
      <c r="A2001" s="115">
        <v>5849</v>
      </c>
      <c r="B2001" s="115" t="s">
        <v>128</v>
      </c>
      <c r="C2001" s="115" t="s">
        <v>4948</v>
      </c>
      <c r="D2001" s="115">
        <v>1</v>
      </c>
      <c r="E2001" s="115">
        <v>58</v>
      </c>
      <c r="F2001" s="115">
        <v>58</v>
      </c>
      <c r="G2001" s="115">
        <v>58</v>
      </c>
      <c r="H2001" s="115">
        <v>58</v>
      </c>
    </row>
    <row r="2002" spans="1:8" ht="45" x14ac:dyDescent="0.25">
      <c r="A2002" s="115">
        <v>5848</v>
      </c>
      <c r="B2002" s="115" t="s">
        <v>128</v>
      </c>
      <c r="C2002" s="115" t="s">
        <v>4949</v>
      </c>
      <c r="D2002" s="115">
        <v>1</v>
      </c>
      <c r="E2002" s="115">
        <v>9386.3048352873993</v>
      </c>
      <c r="F2002" s="115">
        <v>9386.3048352873993</v>
      </c>
      <c r="G2002" s="115">
        <v>9386.3048352873993</v>
      </c>
      <c r="H2002" s="115">
        <v>9386.3048352873993</v>
      </c>
    </row>
    <row r="2003" spans="1:8" ht="30" x14ac:dyDescent="0.25">
      <c r="A2003" s="115">
        <v>5847</v>
      </c>
      <c r="B2003" s="115" t="s">
        <v>128</v>
      </c>
      <c r="C2003" s="115" t="s">
        <v>4950</v>
      </c>
      <c r="D2003" s="115">
        <v>1</v>
      </c>
      <c r="E2003" s="115">
        <v>3.9724946545000002</v>
      </c>
      <c r="F2003" s="115">
        <v>3.9724946545000002</v>
      </c>
      <c r="G2003" s="115">
        <v>3.9724946545000002</v>
      </c>
      <c r="H2003" s="115">
        <v>3.9724946545000002</v>
      </c>
    </row>
    <row r="2004" spans="1:8" ht="45" x14ac:dyDescent="0.25">
      <c r="A2004" s="115">
        <v>5846</v>
      </c>
      <c r="B2004" s="115" t="s">
        <v>128</v>
      </c>
      <c r="C2004" s="115" t="s">
        <v>4951</v>
      </c>
      <c r="D2004" s="115">
        <v>1</v>
      </c>
      <c r="E2004" s="115" t="s">
        <v>4849</v>
      </c>
      <c r="F2004" s="115" t="s">
        <v>4849</v>
      </c>
      <c r="G2004" s="115" t="s">
        <v>4849</v>
      </c>
      <c r="H2004" s="115" t="s">
        <v>4849</v>
      </c>
    </row>
    <row r="2005" spans="1:8" ht="45" x14ac:dyDescent="0.25">
      <c r="A2005" s="115">
        <v>5845</v>
      </c>
      <c r="B2005" s="115" t="s">
        <v>128</v>
      </c>
      <c r="C2005" s="115" t="s">
        <v>4952</v>
      </c>
      <c r="D2005" s="115">
        <v>1</v>
      </c>
      <c r="E2005" s="115" t="s">
        <v>494</v>
      </c>
      <c r="F2005" s="115" t="s">
        <v>4847</v>
      </c>
      <c r="G2005" s="115" t="s">
        <v>496</v>
      </c>
      <c r="H2005" s="115" t="s">
        <v>497</v>
      </c>
    </row>
    <row r="2006" spans="1:8" ht="30" x14ac:dyDescent="0.25">
      <c r="A2006" s="115">
        <v>5844</v>
      </c>
      <c r="B2006" s="115" t="s">
        <v>128</v>
      </c>
      <c r="C2006" s="115" t="s">
        <v>4953</v>
      </c>
      <c r="D2006" s="115">
        <v>1</v>
      </c>
      <c r="E2006" s="115">
        <v>34</v>
      </c>
      <c r="F2006" s="115">
        <v>34</v>
      </c>
      <c r="G2006" s="115">
        <v>34</v>
      </c>
      <c r="H2006" s="115">
        <v>34</v>
      </c>
    </row>
    <row r="2007" spans="1:8" ht="45" x14ac:dyDescent="0.25">
      <c r="A2007" s="115">
        <v>5843</v>
      </c>
      <c r="B2007" s="115" t="s">
        <v>128</v>
      </c>
      <c r="C2007" s="115" t="s">
        <v>4954</v>
      </c>
      <c r="D2007" s="115">
        <v>1</v>
      </c>
      <c r="E2007" s="115">
        <v>9036.0361679301004</v>
      </c>
      <c r="F2007" s="115">
        <v>9036.0361679301004</v>
      </c>
      <c r="G2007" s="115">
        <v>9036.0361679301004</v>
      </c>
      <c r="H2007" s="115">
        <v>9036.0361679301004</v>
      </c>
    </row>
    <row r="2008" spans="1:8" ht="30" x14ac:dyDescent="0.25">
      <c r="A2008" s="115">
        <v>5842</v>
      </c>
      <c r="B2008" s="115" t="s">
        <v>128</v>
      </c>
      <c r="C2008" s="115" t="s">
        <v>4955</v>
      </c>
      <c r="D2008" s="115">
        <v>1</v>
      </c>
      <c r="E2008" s="115">
        <v>3.9559779605999998</v>
      </c>
      <c r="F2008" s="115">
        <v>3.9559779605999998</v>
      </c>
      <c r="G2008" s="115">
        <v>3.9559779605999998</v>
      </c>
      <c r="H2008" s="115">
        <v>3.9559779605999998</v>
      </c>
    </row>
    <row r="2009" spans="1:8" ht="45" x14ac:dyDescent="0.25">
      <c r="A2009" s="115">
        <v>5841</v>
      </c>
      <c r="B2009" s="115" t="s">
        <v>128</v>
      </c>
      <c r="C2009" s="115" t="s">
        <v>4956</v>
      </c>
      <c r="D2009" s="115">
        <v>1</v>
      </c>
      <c r="E2009" s="115" t="s">
        <v>4843</v>
      </c>
      <c r="F2009" s="115" t="s">
        <v>4843</v>
      </c>
      <c r="G2009" s="115" t="s">
        <v>4843</v>
      </c>
      <c r="H2009" s="115" t="s">
        <v>4843</v>
      </c>
    </row>
    <row r="2010" spans="1:8" ht="45" x14ac:dyDescent="0.25">
      <c r="A2010" s="115">
        <v>5840</v>
      </c>
      <c r="B2010" s="115" t="s">
        <v>128</v>
      </c>
      <c r="C2010" s="115" t="s">
        <v>4957</v>
      </c>
      <c r="D2010" s="115">
        <v>1</v>
      </c>
      <c r="E2010" s="115" t="s">
        <v>536</v>
      </c>
      <c r="F2010" s="115" t="s">
        <v>536</v>
      </c>
      <c r="G2010" s="115" t="s">
        <v>537</v>
      </c>
      <c r="H2010" s="115" t="s">
        <v>538</v>
      </c>
    </row>
    <row r="2011" spans="1:8" ht="30" x14ac:dyDescent="0.25">
      <c r="A2011" s="115">
        <v>5839</v>
      </c>
      <c r="B2011" s="115" t="s">
        <v>128</v>
      </c>
      <c r="C2011" s="115" t="s">
        <v>4958</v>
      </c>
      <c r="D2011" s="115">
        <v>1</v>
      </c>
      <c r="E2011" s="115">
        <v>63</v>
      </c>
      <c r="F2011" s="115">
        <v>63</v>
      </c>
      <c r="G2011" s="115">
        <v>63</v>
      </c>
      <c r="H2011" s="115">
        <v>63</v>
      </c>
    </row>
    <row r="2012" spans="1:8" ht="45" x14ac:dyDescent="0.25">
      <c r="A2012" s="115">
        <v>5838</v>
      </c>
      <c r="B2012" s="115" t="s">
        <v>128</v>
      </c>
      <c r="C2012" s="115" t="s">
        <v>4959</v>
      </c>
      <c r="D2012" s="115">
        <v>1</v>
      </c>
      <c r="E2012" s="115">
        <v>7747.8413209318996</v>
      </c>
      <c r="F2012" s="115">
        <v>7747.8413209318996</v>
      </c>
      <c r="G2012" s="115">
        <v>7747.8413209318996</v>
      </c>
      <c r="H2012" s="115">
        <v>7747.8413209318996</v>
      </c>
    </row>
    <row r="2013" spans="1:8" ht="30" x14ac:dyDescent="0.25">
      <c r="A2013" s="115">
        <v>5837</v>
      </c>
      <c r="B2013" s="115" t="s">
        <v>128</v>
      </c>
      <c r="C2013" s="115" t="s">
        <v>4960</v>
      </c>
      <c r="D2013" s="115">
        <v>1</v>
      </c>
      <c r="E2013" s="115">
        <v>3.8891807175999999</v>
      </c>
      <c r="F2013" s="115">
        <v>3.8891807175999999</v>
      </c>
      <c r="G2013" s="115">
        <v>3.8891807175999999</v>
      </c>
      <c r="H2013" s="115">
        <v>3.8891807175999999</v>
      </c>
    </row>
    <row r="2014" spans="1:8" ht="45" x14ac:dyDescent="0.25">
      <c r="A2014" s="115">
        <v>5836</v>
      </c>
      <c r="B2014" s="115" t="s">
        <v>128</v>
      </c>
      <c r="C2014" s="115" t="s">
        <v>4961</v>
      </c>
      <c r="D2014" s="115">
        <v>1</v>
      </c>
      <c r="E2014" s="115" t="s">
        <v>4849</v>
      </c>
      <c r="F2014" s="115" t="s">
        <v>4849</v>
      </c>
      <c r="G2014" s="115" t="s">
        <v>4849</v>
      </c>
      <c r="H2014" s="115" t="s">
        <v>4849</v>
      </c>
    </row>
    <row r="2015" spans="1:8" ht="45" x14ac:dyDescent="0.25">
      <c r="A2015" s="115">
        <v>5835</v>
      </c>
      <c r="B2015" s="115" t="s">
        <v>128</v>
      </c>
      <c r="C2015" s="115" t="s">
        <v>4962</v>
      </c>
      <c r="D2015" s="115">
        <v>1</v>
      </c>
      <c r="E2015" s="115" t="s">
        <v>494</v>
      </c>
      <c r="F2015" s="115" t="s">
        <v>4847</v>
      </c>
      <c r="G2015" s="115" t="s">
        <v>496</v>
      </c>
      <c r="H2015" s="115" t="s">
        <v>497</v>
      </c>
    </row>
    <row r="2016" spans="1:8" ht="30" x14ac:dyDescent="0.25">
      <c r="A2016" s="115">
        <v>5834</v>
      </c>
      <c r="B2016" s="115" t="s">
        <v>128</v>
      </c>
      <c r="C2016" s="115" t="s">
        <v>4963</v>
      </c>
      <c r="D2016" s="115">
        <v>1</v>
      </c>
      <c r="E2016" s="115">
        <v>45</v>
      </c>
      <c r="F2016" s="115">
        <v>45</v>
      </c>
      <c r="G2016" s="115">
        <v>45</v>
      </c>
      <c r="H2016" s="115">
        <v>45</v>
      </c>
    </row>
    <row r="2017" spans="1:8" ht="45" x14ac:dyDescent="0.25">
      <c r="A2017" s="115">
        <v>5833</v>
      </c>
      <c r="B2017" s="115" t="s">
        <v>128</v>
      </c>
      <c r="C2017" s="115" t="s">
        <v>4964</v>
      </c>
      <c r="D2017" s="115">
        <v>1</v>
      </c>
      <c r="E2017" s="115">
        <v>6797.7343069752997</v>
      </c>
      <c r="F2017" s="115">
        <v>6797.7343069752997</v>
      </c>
      <c r="G2017" s="115">
        <v>6797.7343069752997</v>
      </c>
      <c r="H2017" s="115">
        <v>6797.7343069752997</v>
      </c>
    </row>
    <row r="2018" spans="1:8" ht="30" x14ac:dyDescent="0.25">
      <c r="A2018" s="115">
        <v>5832</v>
      </c>
      <c r="B2018" s="115" t="s">
        <v>128</v>
      </c>
      <c r="C2018" s="115" t="s">
        <v>4965</v>
      </c>
      <c r="D2018" s="115">
        <v>1</v>
      </c>
      <c r="E2018" s="115">
        <v>3.832364186</v>
      </c>
      <c r="F2018" s="115">
        <v>3.832364186</v>
      </c>
      <c r="G2018" s="115">
        <v>3.832364186</v>
      </c>
      <c r="H2018" s="115">
        <v>3.832364186</v>
      </c>
    </row>
    <row r="2019" spans="1:8" ht="45" x14ac:dyDescent="0.25">
      <c r="A2019" s="115">
        <v>5831</v>
      </c>
      <c r="B2019" s="115" t="s">
        <v>128</v>
      </c>
      <c r="C2019" s="115" t="s">
        <v>4966</v>
      </c>
      <c r="D2019" s="115">
        <v>1</v>
      </c>
      <c r="E2019" s="115" t="s">
        <v>4843</v>
      </c>
      <c r="F2019" s="115" t="s">
        <v>4843</v>
      </c>
      <c r="G2019" s="115" t="s">
        <v>4843</v>
      </c>
      <c r="H2019" s="115" t="s">
        <v>4843</v>
      </c>
    </row>
    <row r="2020" spans="1:8" ht="45" x14ac:dyDescent="0.25">
      <c r="A2020" s="115">
        <v>5830</v>
      </c>
      <c r="B2020" s="115" t="s">
        <v>128</v>
      </c>
      <c r="C2020" s="115" t="s">
        <v>4967</v>
      </c>
      <c r="D2020" s="115">
        <v>1</v>
      </c>
      <c r="E2020" s="115" t="s">
        <v>536</v>
      </c>
      <c r="F2020" s="115" t="s">
        <v>536</v>
      </c>
      <c r="G2020" s="115" t="s">
        <v>537</v>
      </c>
      <c r="H2020" s="115" t="s">
        <v>538</v>
      </c>
    </row>
    <row r="2021" spans="1:8" ht="30" x14ac:dyDescent="0.25">
      <c r="A2021" s="115">
        <v>5829</v>
      </c>
      <c r="B2021" s="115" t="s">
        <v>128</v>
      </c>
      <c r="C2021" s="115" t="s">
        <v>4968</v>
      </c>
      <c r="D2021" s="115">
        <v>1</v>
      </c>
      <c r="E2021" s="115">
        <v>19</v>
      </c>
      <c r="F2021" s="115">
        <v>19</v>
      </c>
      <c r="G2021" s="115">
        <v>19</v>
      </c>
      <c r="H2021" s="115">
        <v>19</v>
      </c>
    </row>
    <row r="2022" spans="1:8" ht="45" x14ac:dyDescent="0.25">
      <c r="A2022" s="115">
        <v>5828</v>
      </c>
      <c r="B2022" s="115" t="s">
        <v>128</v>
      </c>
      <c r="C2022" s="115" t="s">
        <v>4969</v>
      </c>
      <c r="D2022" s="115">
        <v>1</v>
      </c>
      <c r="E2022" s="115">
        <v>6795.7724978041997</v>
      </c>
      <c r="F2022" s="115">
        <v>6795.7724978041997</v>
      </c>
      <c r="G2022" s="115">
        <v>6795.7724978041997</v>
      </c>
      <c r="H2022" s="115">
        <v>6795.7724978041997</v>
      </c>
    </row>
    <row r="2023" spans="1:8" ht="30" x14ac:dyDescent="0.25">
      <c r="A2023" s="115">
        <v>5827</v>
      </c>
      <c r="B2023" s="115" t="s">
        <v>128</v>
      </c>
      <c r="C2023" s="115" t="s">
        <v>4970</v>
      </c>
      <c r="D2023" s="115">
        <v>1</v>
      </c>
      <c r="E2023" s="115">
        <v>3.8322388315999998</v>
      </c>
      <c r="F2023" s="115">
        <v>3.8322388315999998</v>
      </c>
      <c r="G2023" s="115">
        <v>3.8322388315999998</v>
      </c>
      <c r="H2023" s="115">
        <v>3.8322388315999998</v>
      </c>
    </row>
    <row r="2024" spans="1:8" ht="45" x14ac:dyDescent="0.25">
      <c r="A2024" s="115">
        <v>5826</v>
      </c>
      <c r="B2024" s="115" t="s">
        <v>128</v>
      </c>
      <c r="C2024" s="115" t="s">
        <v>4971</v>
      </c>
      <c r="D2024" s="115">
        <v>1</v>
      </c>
      <c r="E2024" s="115" t="s">
        <v>4849</v>
      </c>
      <c r="F2024" s="115" t="s">
        <v>4849</v>
      </c>
      <c r="G2024" s="115" t="s">
        <v>4849</v>
      </c>
      <c r="H2024" s="115" t="s">
        <v>4849</v>
      </c>
    </row>
    <row r="2025" spans="1:8" ht="45" x14ac:dyDescent="0.25">
      <c r="A2025" s="115">
        <v>5825</v>
      </c>
      <c r="B2025" s="115" t="s">
        <v>128</v>
      </c>
      <c r="C2025" s="115" t="s">
        <v>4972</v>
      </c>
      <c r="D2025" s="115">
        <v>1</v>
      </c>
      <c r="E2025" s="115" t="s">
        <v>494</v>
      </c>
      <c r="F2025" s="115" t="s">
        <v>4847</v>
      </c>
      <c r="G2025" s="115" t="s">
        <v>496</v>
      </c>
      <c r="H2025" s="115" t="s">
        <v>497</v>
      </c>
    </row>
    <row r="2026" spans="1:8" ht="30" x14ac:dyDescent="0.25">
      <c r="A2026" s="115">
        <v>5824</v>
      </c>
      <c r="B2026" s="115" t="s">
        <v>128</v>
      </c>
      <c r="C2026" s="115" t="s">
        <v>4973</v>
      </c>
      <c r="D2026" s="115">
        <v>1</v>
      </c>
      <c r="E2026" s="115">
        <v>76</v>
      </c>
      <c r="F2026" s="115">
        <v>76</v>
      </c>
      <c r="G2026" s="115">
        <v>76</v>
      </c>
      <c r="H2026" s="115">
        <v>76</v>
      </c>
    </row>
    <row r="2027" spans="1:8" ht="45" x14ac:dyDescent="0.25">
      <c r="A2027" s="115">
        <v>5823</v>
      </c>
      <c r="B2027" s="115" t="s">
        <v>128</v>
      </c>
      <c r="C2027" s="115" t="s">
        <v>4974</v>
      </c>
      <c r="D2027" s="115">
        <v>1</v>
      </c>
      <c r="E2027" s="115">
        <v>6685.0187489763002</v>
      </c>
      <c r="F2027" s="115">
        <v>6685.0187489763002</v>
      </c>
      <c r="G2027" s="115">
        <v>6685.0187489763002</v>
      </c>
      <c r="H2027" s="115">
        <v>6685.0187489763002</v>
      </c>
    </row>
    <row r="2028" spans="1:8" ht="30" x14ac:dyDescent="0.25">
      <c r="A2028" s="115">
        <v>5822</v>
      </c>
      <c r="B2028" s="115" t="s">
        <v>128</v>
      </c>
      <c r="C2028" s="115" t="s">
        <v>4975</v>
      </c>
      <c r="D2028" s="115">
        <v>1</v>
      </c>
      <c r="E2028" s="115">
        <v>3.8251026295999999</v>
      </c>
      <c r="F2028" s="115">
        <v>3.8251026295999999</v>
      </c>
      <c r="G2028" s="115">
        <v>3.8251026295999999</v>
      </c>
      <c r="H2028" s="115">
        <v>3.8251026295999999</v>
      </c>
    </row>
    <row r="2029" spans="1:8" ht="45" x14ac:dyDescent="0.25">
      <c r="A2029" s="115">
        <v>5821</v>
      </c>
      <c r="B2029" s="115" t="s">
        <v>128</v>
      </c>
      <c r="C2029" s="115" t="s">
        <v>4976</v>
      </c>
      <c r="D2029" s="115">
        <v>1</v>
      </c>
      <c r="E2029" s="115" t="s">
        <v>4843</v>
      </c>
      <c r="F2029" s="115" t="s">
        <v>4843</v>
      </c>
      <c r="G2029" s="115" t="s">
        <v>4843</v>
      </c>
      <c r="H2029" s="115" t="s">
        <v>4843</v>
      </c>
    </row>
    <row r="2030" spans="1:8" ht="45" x14ac:dyDescent="0.25">
      <c r="A2030" s="115">
        <v>5820</v>
      </c>
      <c r="B2030" s="115" t="s">
        <v>128</v>
      </c>
      <c r="C2030" s="115" t="s">
        <v>4977</v>
      </c>
      <c r="D2030" s="115">
        <v>1</v>
      </c>
      <c r="E2030" s="115" t="s">
        <v>536</v>
      </c>
      <c r="F2030" s="115" t="s">
        <v>536</v>
      </c>
      <c r="G2030" s="115" t="s">
        <v>537</v>
      </c>
      <c r="H2030" s="115" t="s">
        <v>538</v>
      </c>
    </row>
    <row r="2031" spans="1:8" ht="30" x14ac:dyDescent="0.25">
      <c r="A2031" s="115">
        <v>5819</v>
      </c>
      <c r="B2031" s="115" t="s">
        <v>128</v>
      </c>
      <c r="C2031" s="115" t="s">
        <v>4978</v>
      </c>
      <c r="D2031" s="115">
        <v>1</v>
      </c>
      <c r="E2031" s="115">
        <v>67</v>
      </c>
      <c r="F2031" s="115">
        <v>67</v>
      </c>
      <c r="G2031" s="115">
        <v>67</v>
      </c>
      <c r="H2031" s="115">
        <v>67</v>
      </c>
    </row>
    <row r="2032" spans="1:8" ht="45" x14ac:dyDescent="0.25">
      <c r="A2032" s="115">
        <v>5818</v>
      </c>
      <c r="B2032" s="115" t="s">
        <v>128</v>
      </c>
      <c r="C2032" s="115" t="s">
        <v>4979</v>
      </c>
      <c r="D2032" s="115">
        <v>1</v>
      </c>
      <c r="E2032" s="115">
        <v>6454.6196279719998</v>
      </c>
      <c r="F2032" s="115">
        <v>6454.6196279719998</v>
      </c>
      <c r="G2032" s="115">
        <v>6454.6196279719998</v>
      </c>
      <c r="H2032" s="115">
        <v>6454.6196279719998</v>
      </c>
    </row>
    <row r="2033" spans="1:8" ht="30" x14ac:dyDescent="0.25">
      <c r="A2033" s="115">
        <v>5817</v>
      </c>
      <c r="B2033" s="115" t="s">
        <v>128</v>
      </c>
      <c r="C2033" s="115" t="s">
        <v>4980</v>
      </c>
      <c r="D2033" s="115">
        <v>1</v>
      </c>
      <c r="E2033" s="115">
        <v>3.8098706543</v>
      </c>
      <c r="F2033" s="115">
        <v>3.8098706543</v>
      </c>
      <c r="G2033" s="115">
        <v>3.8098706543</v>
      </c>
      <c r="H2033" s="115">
        <v>3.8098706543</v>
      </c>
    </row>
    <row r="2034" spans="1:8" ht="45" x14ac:dyDescent="0.25">
      <c r="A2034" s="115">
        <v>5816</v>
      </c>
      <c r="B2034" s="115" t="s">
        <v>128</v>
      </c>
      <c r="C2034" s="115" t="s">
        <v>4981</v>
      </c>
      <c r="D2034" s="115">
        <v>1</v>
      </c>
      <c r="E2034" s="115" t="s">
        <v>4840</v>
      </c>
      <c r="F2034" s="115" t="s">
        <v>4840</v>
      </c>
      <c r="G2034" s="115" t="s">
        <v>4840</v>
      </c>
      <c r="H2034" s="115" t="s">
        <v>4840</v>
      </c>
    </row>
    <row r="2035" spans="1:8" ht="45" x14ac:dyDescent="0.25">
      <c r="A2035" s="115">
        <v>5815</v>
      </c>
      <c r="B2035" s="115" t="s">
        <v>128</v>
      </c>
      <c r="C2035" s="115" t="s">
        <v>4982</v>
      </c>
      <c r="D2035" s="115">
        <v>1</v>
      </c>
      <c r="E2035" s="115" t="s">
        <v>505</v>
      </c>
      <c r="F2035" s="115" t="s">
        <v>506</v>
      </c>
      <c r="G2035" s="115" t="s">
        <v>507</v>
      </c>
      <c r="H2035" s="115" t="s">
        <v>508</v>
      </c>
    </row>
    <row r="2036" spans="1:8" ht="30" x14ac:dyDescent="0.25">
      <c r="A2036" s="115">
        <v>5814</v>
      </c>
      <c r="B2036" s="115" t="s">
        <v>128</v>
      </c>
      <c r="C2036" s="115" t="s">
        <v>4983</v>
      </c>
      <c r="D2036" s="115">
        <v>1</v>
      </c>
      <c r="E2036" s="115">
        <v>80</v>
      </c>
      <c r="F2036" s="115">
        <v>80</v>
      </c>
      <c r="G2036" s="115">
        <v>80</v>
      </c>
      <c r="H2036" s="115">
        <v>80</v>
      </c>
    </row>
    <row r="2037" spans="1:8" ht="45" x14ac:dyDescent="0.25">
      <c r="A2037" s="115">
        <v>5813</v>
      </c>
      <c r="B2037" s="115" t="s">
        <v>128</v>
      </c>
      <c r="C2037" s="115" t="s">
        <v>4984</v>
      </c>
      <c r="D2037" s="115">
        <v>1</v>
      </c>
      <c r="E2037" s="115">
        <v>6091.0143517459001</v>
      </c>
      <c r="F2037" s="115">
        <v>6091.0143517459001</v>
      </c>
      <c r="G2037" s="115">
        <v>6091.0143517459001</v>
      </c>
      <c r="H2037" s="115">
        <v>6091.0143517459001</v>
      </c>
    </row>
    <row r="2038" spans="1:8" ht="30" x14ac:dyDescent="0.25">
      <c r="A2038" s="115">
        <v>5812</v>
      </c>
      <c r="B2038" s="115" t="s">
        <v>128</v>
      </c>
      <c r="C2038" s="115" t="s">
        <v>4985</v>
      </c>
      <c r="D2038" s="115">
        <v>1</v>
      </c>
      <c r="E2038" s="115">
        <v>3.7846896228000002</v>
      </c>
      <c r="F2038" s="115">
        <v>3.7846896228000002</v>
      </c>
      <c r="G2038" s="115">
        <v>3.7846896228000002</v>
      </c>
      <c r="H2038" s="115">
        <v>3.7846896228000002</v>
      </c>
    </row>
    <row r="2039" spans="1:8" ht="45" x14ac:dyDescent="0.25">
      <c r="A2039" s="115">
        <v>5811</v>
      </c>
      <c r="B2039" s="115" t="s">
        <v>128</v>
      </c>
      <c r="C2039" s="115" t="s">
        <v>4986</v>
      </c>
      <c r="D2039" s="115">
        <v>1</v>
      </c>
      <c r="E2039" s="115" t="s">
        <v>2103</v>
      </c>
      <c r="F2039" s="115" t="s">
        <v>2103</v>
      </c>
      <c r="G2039" s="115" t="s">
        <v>2103</v>
      </c>
      <c r="H2039" s="115" t="s">
        <v>2103</v>
      </c>
    </row>
    <row r="2040" spans="1:8" ht="45" x14ac:dyDescent="0.25">
      <c r="A2040" s="115">
        <v>5810</v>
      </c>
      <c r="B2040" s="115" t="s">
        <v>128</v>
      </c>
      <c r="C2040" s="115" t="s">
        <v>4987</v>
      </c>
      <c r="D2040" s="115">
        <v>1</v>
      </c>
      <c r="E2040" s="115" t="s">
        <v>2921</v>
      </c>
      <c r="F2040" s="115" t="s">
        <v>553</v>
      </c>
      <c r="G2040" s="115" t="s">
        <v>554</v>
      </c>
      <c r="H2040" s="115" t="s">
        <v>555</v>
      </c>
    </row>
    <row r="2041" spans="1:8" ht="30" x14ac:dyDescent="0.25">
      <c r="A2041" s="115">
        <v>5809</v>
      </c>
      <c r="B2041" s="115" t="s">
        <v>128</v>
      </c>
      <c r="C2041" s="115" t="s">
        <v>4988</v>
      </c>
      <c r="D2041" s="115">
        <v>1</v>
      </c>
      <c r="E2041" s="115">
        <v>51</v>
      </c>
      <c r="F2041" s="115">
        <v>51</v>
      </c>
      <c r="G2041" s="115">
        <v>51</v>
      </c>
      <c r="H2041" s="115">
        <v>51</v>
      </c>
    </row>
    <row r="2042" spans="1:8" ht="45" x14ac:dyDescent="0.25">
      <c r="A2042" s="115">
        <v>5808</v>
      </c>
      <c r="B2042" s="115" t="s">
        <v>128</v>
      </c>
      <c r="C2042" s="115" t="s">
        <v>4989</v>
      </c>
      <c r="D2042" s="115">
        <v>1</v>
      </c>
      <c r="E2042" s="115">
        <v>5440.4524646363998</v>
      </c>
      <c r="F2042" s="115">
        <v>5440.4524646363998</v>
      </c>
      <c r="G2042" s="115">
        <v>5440.4524646363998</v>
      </c>
      <c r="H2042" s="115">
        <v>5440.4524646363998</v>
      </c>
    </row>
    <row r="2043" spans="1:8" ht="30" x14ac:dyDescent="0.25">
      <c r="A2043" s="115">
        <v>5807</v>
      </c>
      <c r="B2043" s="115" t="s">
        <v>128</v>
      </c>
      <c r="C2043" s="115" t="s">
        <v>4990</v>
      </c>
      <c r="D2043" s="115">
        <v>1</v>
      </c>
      <c r="E2043" s="115">
        <v>3.7356350201000001</v>
      </c>
      <c r="F2043" s="115">
        <v>3.7356350201000001</v>
      </c>
      <c r="G2043" s="115">
        <v>3.7356350201000001</v>
      </c>
      <c r="H2043" s="115">
        <v>3.7356350201000001</v>
      </c>
    </row>
    <row r="2044" spans="1:8" ht="45" x14ac:dyDescent="0.25">
      <c r="A2044" s="115">
        <v>5806</v>
      </c>
      <c r="B2044" s="115" t="s">
        <v>128</v>
      </c>
      <c r="C2044" s="115" t="s">
        <v>4991</v>
      </c>
      <c r="D2044" s="115">
        <v>1</v>
      </c>
      <c r="E2044" s="115" t="s">
        <v>4849</v>
      </c>
      <c r="F2044" s="115" t="s">
        <v>4849</v>
      </c>
      <c r="G2044" s="115" t="s">
        <v>4849</v>
      </c>
      <c r="H2044" s="115" t="s">
        <v>4849</v>
      </c>
    </row>
    <row r="2045" spans="1:8" ht="45" x14ac:dyDescent="0.25">
      <c r="A2045" s="115">
        <v>5805</v>
      </c>
      <c r="B2045" s="115" t="s">
        <v>128</v>
      </c>
      <c r="C2045" s="115" t="s">
        <v>4992</v>
      </c>
      <c r="D2045" s="115">
        <v>1</v>
      </c>
      <c r="E2045" s="115" t="s">
        <v>494</v>
      </c>
      <c r="F2045" s="115" t="s">
        <v>4847</v>
      </c>
      <c r="G2045" s="115" t="s">
        <v>496</v>
      </c>
      <c r="H2045" s="115" t="s">
        <v>497</v>
      </c>
    </row>
    <row r="2046" spans="1:8" ht="30" x14ac:dyDescent="0.25">
      <c r="A2046" s="115">
        <v>5804</v>
      </c>
      <c r="B2046" s="115" t="s">
        <v>128</v>
      </c>
      <c r="C2046" s="115" t="s">
        <v>4993</v>
      </c>
      <c r="D2046" s="115">
        <v>1</v>
      </c>
      <c r="E2046" s="115">
        <v>54</v>
      </c>
      <c r="F2046" s="115">
        <v>54</v>
      </c>
      <c r="G2046" s="115">
        <v>54</v>
      </c>
      <c r="H2046" s="115">
        <v>54</v>
      </c>
    </row>
    <row r="2047" spans="1:8" ht="45" x14ac:dyDescent="0.25">
      <c r="A2047" s="115">
        <v>5803</v>
      </c>
      <c r="B2047" s="115" t="s">
        <v>128</v>
      </c>
      <c r="C2047" s="115" t="s">
        <v>4994</v>
      </c>
      <c r="D2047" s="115">
        <v>1</v>
      </c>
      <c r="E2047" s="115">
        <v>447.43712891349998</v>
      </c>
      <c r="F2047" s="115">
        <v>447.43712891349998</v>
      </c>
      <c r="G2047" s="115">
        <v>447.43712891349998</v>
      </c>
      <c r="H2047" s="115">
        <v>447.43712891349998</v>
      </c>
    </row>
    <row r="2048" spans="1:8" ht="30" x14ac:dyDescent="0.25">
      <c r="A2048" s="115">
        <v>5802</v>
      </c>
      <c r="B2048" s="115" t="s">
        <v>128</v>
      </c>
      <c r="C2048" s="115" t="s">
        <v>4995</v>
      </c>
      <c r="D2048" s="115">
        <v>1</v>
      </c>
      <c r="E2048" s="115">
        <v>2.6507320195999999</v>
      </c>
      <c r="F2048" s="115">
        <v>2.6507320195999999</v>
      </c>
      <c r="G2048" s="115">
        <v>2.6507320195999999</v>
      </c>
      <c r="H2048" s="115">
        <v>2.6507320195999999</v>
      </c>
    </row>
    <row r="2049" spans="1:8" ht="45" x14ac:dyDescent="0.25">
      <c r="A2049" s="115">
        <v>5801</v>
      </c>
      <c r="B2049" s="115" t="s">
        <v>128</v>
      </c>
      <c r="C2049" s="115" t="s">
        <v>4996</v>
      </c>
      <c r="D2049" s="115">
        <v>1</v>
      </c>
      <c r="E2049" s="115" t="s">
        <v>4852</v>
      </c>
      <c r="F2049" s="115" t="s">
        <v>4852</v>
      </c>
      <c r="G2049" s="115" t="s">
        <v>4852</v>
      </c>
      <c r="H2049" s="115" t="s">
        <v>4852</v>
      </c>
    </row>
    <row r="2050" spans="1:8" ht="45" x14ac:dyDescent="0.25">
      <c r="A2050" s="115">
        <v>5800</v>
      </c>
      <c r="B2050" s="115" t="s">
        <v>128</v>
      </c>
      <c r="C2050" s="115" t="s">
        <v>4997</v>
      </c>
      <c r="D2050" s="115">
        <v>1</v>
      </c>
      <c r="E2050" s="115" t="s">
        <v>519</v>
      </c>
      <c r="F2050" s="115" t="s">
        <v>520</v>
      </c>
      <c r="G2050" s="115" t="s">
        <v>521</v>
      </c>
      <c r="H2050" s="115" t="s">
        <v>522</v>
      </c>
    </row>
    <row r="2051" spans="1:8" ht="30" x14ac:dyDescent="0.25">
      <c r="A2051" s="115">
        <v>5799</v>
      </c>
      <c r="B2051" s="115" t="s">
        <v>128</v>
      </c>
      <c r="C2051" s="115" t="s">
        <v>4998</v>
      </c>
      <c r="D2051" s="115">
        <v>1</v>
      </c>
      <c r="E2051" s="115">
        <v>88</v>
      </c>
      <c r="F2051" s="115">
        <v>88</v>
      </c>
      <c r="G2051" s="115">
        <v>88</v>
      </c>
      <c r="H2051" s="115">
        <v>88</v>
      </c>
    </row>
    <row r="2052" spans="1:8" ht="45" x14ac:dyDescent="0.25">
      <c r="A2052" s="115">
        <v>5798</v>
      </c>
      <c r="B2052" s="115" t="s">
        <v>128</v>
      </c>
      <c r="C2052" s="115" t="s">
        <v>4999</v>
      </c>
      <c r="D2052" s="115">
        <v>1</v>
      </c>
      <c r="E2052" s="115">
        <v>4909.0280937704001</v>
      </c>
      <c r="F2052" s="115">
        <v>4909.0280937704001</v>
      </c>
      <c r="G2052" s="115">
        <v>4909.0280937704001</v>
      </c>
      <c r="H2052" s="115">
        <v>4909.0280937704001</v>
      </c>
    </row>
    <row r="2053" spans="1:8" ht="30" x14ac:dyDescent="0.25">
      <c r="A2053" s="115">
        <v>5797</v>
      </c>
      <c r="B2053" s="115" t="s">
        <v>128</v>
      </c>
      <c r="C2053" s="115" t="s">
        <v>5000</v>
      </c>
      <c r="D2053" s="115">
        <v>1</v>
      </c>
      <c r="E2053" s="115">
        <v>3.6909955175000002</v>
      </c>
      <c r="F2053" s="115">
        <v>3.6909955175000002</v>
      </c>
      <c r="G2053" s="115">
        <v>3.6909955175000002</v>
      </c>
      <c r="H2053" s="115">
        <v>3.6909955175000002</v>
      </c>
    </row>
    <row r="2054" spans="1:8" ht="45" x14ac:dyDescent="0.25">
      <c r="A2054" s="115">
        <v>5796</v>
      </c>
      <c r="B2054" s="115" t="s">
        <v>128</v>
      </c>
      <c r="C2054" s="115" t="s">
        <v>5001</v>
      </c>
      <c r="D2054" s="115">
        <v>1</v>
      </c>
      <c r="E2054" s="115" t="s">
        <v>4840</v>
      </c>
      <c r="F2054" s="115" t="s">
        <v>4840</v>
      </c>
      <c r="G2054" s="115" t="s">
        <v>4840</v>
      </c>
      <c r="H2054" s="115" t="s">
        <v>4840</v>
      </c>
    </row>
    <row r="2055" spans="1:8" ht="45" x14ac:dyDescent="0.25">
      <c r="A2055" s="115">
        <v>5795</v>
      </c>
      <c r="B2055" s="115" t="s">
        <v>128</v>
      </c>
      <c r="C2055" s="115" t="s">
        <v>5002</v>
      </c>
      <c r="D2055" s="115">
        <v>1</v>
      </c>
      <c r="E2055" s="115" t="s">
        <v>505</v>
      </c>
      <c r="F2055" s="115" t="s">
        <v>506</v>
      </c>
      <c r="G2055" s="115" t="s">
        <v>507</v>
      </c>
      <c r="H2055" s="115" t="s">
        <v>508</v>
      </c>
    </row>
    <row r="2056" spans="1:8" ht="30" x14ac:dyDescent="0.25">
      <c r="A2056" s="115">
        <v>5794</v>
      </c>
      <c r="B2056" s="115" t="s">
        <v>128</v>
      </c>
      <c r="C2056" s="115" t="s">
        <v>5003</v>
      </c>
      <c r="D2056" s="115">
        <v>1</v>
      </c>
      <c r="E2056" s="115">
        <v>49</v>
      </c>
      <c r="F2056" s="115">
        <v>49</v>
      </c>
      <c r="G2056" s="115">
        <v>49</v>
      </c>
      <c r="H2056" s="115">
        <v>49</v>
      </c>
    </row>
    <row r="2057" spans="1:8" ht="45" x14ac:dyDescent="0.25">
      <c r="A2057" s="115">
        <v>5793</v>
      </c>
      <c r="B2057" s="115" t="s">
        <v>128</v>
      </c>
      <c r="C2057" s="115" t="s">
        <v>5004</v>
      </c>
      <c r="D2057" s="115">
        <v>1</v>
      </c>
      <c r="E2057" s="115">
        <v>4636</v>
      </c>
      <c r="F2057" s="115">
        <v>4636</v>
      </c>
      <c r="G2057" s="115">
        <v>4636</v>
      </c>
      <c r="H2057" s="115">
        <v>4636</v>
      </c>
    </row>
    <row r="2058" spans="1:8" ht="30" x14ac:dyDescent="0.25">
      <c r="A2058" s="115">
        <v>5792</v>
      </c>
      <c r="B2058" s="115" t="s">
        <v>128</v>
      </c>
      <c r="C2058" s="115" t="s">
        <v>5005</v>
      </c>
      <c r="D2058" s="115">
        <v>1</v>
      </c>
      <c r="E2058" s="115">
        <v>3.6661434273000002</v>
      </c>
      <c r="F2058" s="115">
        <v>3.6661434273000002</v>
      </c>
      <c r="G2058" s="115">
        <v>3.6661434273000002</v>
      </c>
      <c r="H2058" s="115">
        <v>3.6661434273000002</v>
      </c>
    </row>
    <row r="2059" spans="1:8" ht="45" x14ac:dyDescent="0.25">
      <c r="A2059" s="115">
        <v>5791</v>
      </c>
      <c r="B2059" s="115" t="s">
        <v>128</v>
      </c>
      <c r="C2059" s="115" t="s">
        <v>5006</v>
      </c>
      <c r="D2059" s="115">
        <v>1</v>
      </c>
      <c r="E2059" s="115" t="s">
        <v>4849</v>
      </c>
      <c r="F2059" s="115" t="s">
        <v>4849</v>
      </c>
      <c r="G2059" s="115" t="s">
        <v>4849</v>
      </c>
      <c r="H2059" s="115" t="s">
        <v>4849</v>
      </c>
    </row>
    <row r="2060" spans="1:8" ht="45" x14ac:dyDescent="0.25">
      <c r="A2060" s="115">
        <v>5790</v>
      </c>
      <c r="B2060" s="115" t="s">
        <v>128</v>
      </c>
      <c r="C2060" s="115" t="s">
        <v>5007</v>
      </c>
      <c r="D2060" s="115">
        <v>1</v>
      </c>
      <c r="E2060" s="115" t="s">
        <v>494</v>
      </c>
      <c r="F2060" s="115" t="s">
        <v>4847</v>
      </c>
      <c r="G2060" s="115" t="s">
        <v>496</v>
      </c>
      <c r="H2060" s="115" t="s">
        <v>497</v>
      </c>
    </row>
    <row r="2061" spans="1:8" ht="30" x14ac:dyDescent="0.25">
      <c r="A2061" s="115">
        <v>5789</v>
      </c>
      <c r="B2061" s="115" t="s">
        <v>128</v>
      </c>
      <c r="C2061" s="115" t="s">
        <v>5008</v>
      </c>
      <c r="D2061" s="115">
        <v>1</v>
      </c>
      <c r="E2061" s="115">
        <v>99</v>
      </c>
      <c r="F2061" s="115">
        <v>99</v>
      </c>
      <c r="G2061" s="115">
        <v>99</v>
      </c>
      <c r="H2061" s="115">
        <v>99</v>
      </c>
    </row>
    <row r="2062" spans="1:8" ht="45" x14ac:dyDescent="0.25">
      <c r="A2062" s="115">
        <v>5788</v>
      </c>
      <c r="B2062" s="115" t="s">
        <v>128</v>
      </c>
      <c r="C2062" s="115" t="s">
        <v>5009</v>
      </c>
      <c r="D2062" s="115">
        <v>1</v>
      </c>
      <c r="E2062" s="115">
        <v>4565.2698841641004</v>
      </c>
      <c r="F2062" s="115">
        <v>4565.2698841641004</v>
      </c>
      <c r="G2062" s="115">
        <v>4565.2698841641004</v>
      </c>
      <c r="H2062" s="115">
        <v>4565.2698841641004</v>
      </c>
    </row>
    <row r="2063" spans="1:8" ht="30" x14ac:dyDescent="0.25">
      <c r="A2063" s="115">
        <v>5787</v>
      </c>
      <c r="B2063" s="115" t="s">
        <v>128</v>
      </c>
      <c r="C2063" s="115" t="s">
        <v>5010</v>
      </c>
      <c r="D2063" s="115">
        <v>1</v>
      </c>
      <c r="E2063" s="115">
        <v>3.6594664567000001</v>
      </c>
      <c r="F2063" s="115">
        <v>3.6594664567000001</v>
      </c>
      <c r="G2063" s="115">
        <v>3.6594664567000001</v>
      </c>
      <c r="H2063" s="115">
        <v>3.6594664567000001</v>
      </c>
    </row>
    <row r="2064" spans="1:8" ht="45" x14ac:dyDescent="0.25">
      <c r="A2064" s="115">
        <v>5786</v>
      </c>
      <c r="B2064" s="115" t="s">
        <v>128</v>
      </c>
      <c r="C2064" s="115" t="s">
        <v>5011</v>
      </c>
      <c r="D2064" s="115">
        <v>1</v>
      </c>
      <c r="E2064" s="115" t="s">
        <v>4843</v>
      </c>
      <c r="F2064" s="115" t="s">
        <v>4843</v>
      </c>
      <c r="G2064" s="115" t="s">
        <v>4843</v>
      </c>
      <c r="H2064" s="115" t="s">
        <v>4843</v>
      </c>
    </row>
    <row r="2065" spans="1:8" ht="45" x14ac:dyDescent="0.25">
      <c r="A2065" s="115">
        <v>5785</v>
      </c>
      <c r="B2065" s="115" t="s">
        <v>128</v>
      </c>
      <c r="C2065" s="115" t="s">
        <v>5012</v>
      </c>
      <c r="D2065" s="115">
        <v>1</v>
      </c>
      <c r="E2065" s="115" t="s">
        <v>536</v>
      </c>
      <c r="F2065" s="115" t="s">
        <v>536</v>
      </c>
      <c r="G2065" s="115" t="s">
        <v>537</v>
      </c>
      <c r="H2065" s="115" t="s">
        <v>538</v>
      </c>
    </row>
    <row r="2066" spans="1:8" ht="30" x14ac:dyDescent="0.25">
      <c r="A2066" s="115">
        <v>5784</v>
      </c>
      <c r="B2066" s="115" t="s">
        <v>128</v>
      </c>
      <c r="C2066" s="115" t="s">
        <v>5013</v>
      </c>
      <c r="D2066" s="115">
        <v>1</v>
      </c>
      <c r="E2066" s="115">
        <v>86</v>
      </c>
      <c r="F2066" s="115">
        <v>86</v>
      </c>
      <c r="G2066" s="115">
        <v>86</v>
      </c>
      <c r="H2066" s="115">
        <v>86</v>
      </c>
    </row>
    <row r="2067" spans="1:8" ht="45" x14ac:dyDescent="0.25">
      <c r="A2067" s="115">
        <v>5783</v>
      </c>
      <c r="B2067" s="115" t="s">
        <v>128</v>
      </c>
      <c r="C2067" s="115" t="s">
        <v>5014</v>
      </c>
      <c r="D2067" s="115">
        <v>1</v>
      </c>
      <c r="E2067" s="115">
        <v>4467.1037911876001</v>
      </c>
      <c r="F2067" s="115">
        <v>4467.1037911876001</v>
      </c>
      <c r="G2067" s="115">
        <v>4467.1037911876001</v>
      </c>
      <c r="H2067" s="115">
        <v>4467.1037911876001</v>
      </c>
    </row>
    <row r="2068" spans="1:8" ht="30" x14ac:dyDescent="0.25">
      <c r="A2068" s="115">
        <v>5782</v>
      </c>
      <c r="B2068" s="115" t="s">
        <v>128</v>
      </c>
      <c r="C2068" s="115" t="s">
        <v>5015</v>
      </c>
      <c r="D2068" s="115">
        <v>1</v>
      </c>
      <c r="E2068" s="115">
        <v>3.6500260432</v>
      </c>
      <c r="F2068" s="115">
        <v>3.6500260432</v>
      </c>
      <c r="G2068" s="115">
        <v>3.6500260432</v>
      </c>
      <c r="H2068" s="115">
        <v>3.6500260432</v>
      </c>
    </row>
    <row r="2069" spans="1:8" ht="45" x14ac:dyDescent="0.25">
      <c r="A2069" s="115">
        <v>5781</v>
      </c>
      <c r="B2069" s="115" t="s">
        <v>128</v>
      </c>
      <c r="C2069" s="115" t="s">
        <v>5016</v>
      </c>
      <c r="D2069" s="115">
        <v>1</v>
      </c>
      <c r="E2069" s="115" t="s">
        <v>2103</v>
      </c>
      <c r="F2069" s="115" t="s">
        <v>2103</v>
      </c>
      <c r="G2069" s="115" t="s">
        <v>2103</v>
      </c>
      <c r="H2069" s="115" t="s">
        <v>2103</v>
      </c>
    </row>
    <row r="2070" spans="1:8" ht="45" x14ac:dyDescent="0.25">
      <c r="A2070" s="115">
        <v>5780</v>
      </c>
      <c r="B2070" s="115" t="s">
        <v>128</v>
      </c>
      <c r="C2070" s="115" t="s">
        <v>5017</v>
      </c>
      <c r="D2070" s="115">
        <v>1</v>
      </c>
      <c r="E2070" s="115" t="s">
        <v>2921</v>
      </c>
      <c r="F2070" s="115" t="s">
        <v>553</v>
      </c>
      <c r="G2070" s="115" t="s">
        <v>554</v>
      </c>
      <c r="H2070" s="115" t="s">
        <v>555</v>
      </c>
    </row>
    <row r="2071" spans="1:8" ht="30" x14ac:dyDescent="0.25">
      <c r="A2071" s="115">
        <v>5779</v>
      </c>
      <c r="B2071" s="115" t="s">
        <v>128</v>
      </c>
      <c r="C2071" s="115" t="s">
        <v>5018</v>
      </c>
      <c r="D2071" s="115">
        <v>1</v>
      </c>
      <c r="E2071" s="115">
        <v>6</v>
      </c>
      <c r="F2071" s="115">
        <v>6</v>
      </c>
      <c r="G2071" s="115">
        <v>6</v>
      </c>
      <c r="H2071" s="115">
        <v>6</v>
      </c>
    </row>
    <row r="2072" spans="1:8" ht="45" x14ac:dyDescent="0.25">
      <c r="A2072" s="115">
        <v>5778</v>
      </c>
      <c r="B2072" s="115" t="s">
        <v>128</v>
      </c>
      <c r="C2072" s="115" t="s">
        <v>5019</v>
      </c>
      <c r="D2072" s="115">
        <v>1</v>
      </c>
      <c r="E2072" s="115">
        <v>4236.793630997</v>
      </c>
      <c r="F2072" s="115">
        <v>4236.793630997</v>
      </c>
      <c r="G2072" s="115">
        <v>4236.793630997</v>
      </c>
      <c r="H2072" s="115">
        <v>4236.793630997</v>
      </c>
    </row>
    <row r="2073" spans="1:8" ht="30" x14ac:dyDescent="0.25">
      <c r="A2073" s="115">
        <v>5777</v>
      </c>
      <c r="B2073" s="115" t="s">
        <v>128</v>
      </c>
      <c r="C2073" s="115" t="s">
        <v>5020</v>
      </c>
      <c r="D2073" s="115">
        <v>1</v>
      </c>
      <c r="E2073" s="115">
        <v>3.6270373106</v>
      </c>
      <c r="F2073" s="115">
        <v>3.6270373106</v>
      </c>
      <c r="G2073" s="115">
        <v>3.6270373106</v>
      </c>
      <c r="H2073" s="115">
        <v>3.6270373106</v>
      </c>
    </row>
    <row r="2074" spans="1:8" ht="45" x14ac:dyDescent="0.25">
      <c r="A2074" s="115">
        <v>5776</v>
      </c>
      <c r="B2074" s="115" t="s">
        <v>128</v>
      </c>
      <c r="C2074" s="115" t="s">
        <v>5021</v>
      </c>
      <c r="D2074" s="115">
        <v>1</v>
      </c>
      <c r="E2074" s="115" t="s">
        <v>4840</v>
      </c>
      <c r="F2074" s="115" t="s">
        <v>4840</v>
      </c>
      <c r="G2074" s="115" t="s">
        <v>4840</v>
      </c>
      <c r="H2074" s="115" t="s">
        <v>4840</v>
      </c>
    </row>
    <row r="2075" spans="1:8" ht="45" x14ac:dyDescent="0.25">
      <c r="A2075" s="115">
        <v>5775</v>
      </c>
      <c r="B2075" s="115" t="s">
        <v>128</v>
      </c>
      <c r="C2075" s="115" t="s">
        <v>5022</v>
      </c>
      <c r="D2075" s="115">
        <v>1</v>
      </c>
      <c r="E2075" s="115" t="s">
        <v>505</v>
      </c>
      <c r="F2075" s="115" t="s">
        <v>506</v>
      </c>
      <c r="G2075" s="115" t="s">
        <v>507</v>
      </c>
      <c r="H2075" s="115" t="s">
        <v>508</v>
      </c>
    </row>
    <row r="2076" spans="1:8" ht="30" x14ac:dyDescent="0.25">
      <c r="A2076" s="115">
        <v>5774</v>
      </c>
      <c r="B2076" s="115" t="s">
        <v>128</v>
      </c>
      <c r="C2076" s="115" t="s">
        <v>5023</v>
      </c>
      <c r="D2076" s="115">
        <v>1</v>
      </c>
      <c r="E2076" s="115">
        <v>62</v>
      </c>
      <c r="F2076" s="115">
        <v>62</v>
      </c>
      <c r="G2076" s="115">
        <v>62</v>
      </c>
      <c r="H2076" s="115">
        <v>62</v>
      </c>
    </row>
    <row r="2077" spans="1:8" ht="45" x14ac:dyDescent="0.25">
      <c r="A2077" s="115">
        <v>5773</v>
      </c>
      <c r="B2077" s="115" t="s">
        <v>128</v>
      </c>
      <c r="C2077" s="115" t="s">
        <v>5024</v>
      </c>
      <c r="D2077" s="115">
        <v>1</v>
      </c>
      <c r="E2077" s="115">
        <v>3866.9897922327</v>
      </c>
      <c r="F2077" s="115">
        <v>3866.9897922327</v>
      </c>
      <c r="G2077" s="115">
        <v>3866.9897922327</v>
      </c>
      <c r="H2077" s="115">
        <v>3866.9897922327</v>
      </c>
    </row>
    <row r="2078" spans="1:8" ht="30" x14ac:dyDescent="0.25">
      <c r="A2078" s="115">
        <v>5772</v>
      </c>
      <c r="B2078" s="115" t="s">
        <v>128</v>
      </c>
      <c r="C2078" s="115" t="s">
        <v>5025</v>
      </c>
      <c r="D2078" s="115">
        <v>1</v>
      </c>
      <c r="E2078" s="115">
        <v>3.5873730256999998</v>
      </c>
      <c r="F2078" s="115">
        <v>3.5873730256999998</v>
      </c>
      <c r="G2078" s="115">
        <v>3.5873730256999998</v>
      </c>
      <c r="H2078" s="115">
        <v>3.5873730256999998</v>
      </c>
    </row>
    <row r="2079" spans="1:8" ht="45" x14ac:dyDescent="0.25">
      <c r="A2079" s="115">
        <v>5771</v>
      </c>
      <c r="B2079" s="115" t="s">
        <v>128</v>
      </c>
      <c r="C2079" s="115" t="s">
        <v>5026</v>
      </c>
      <c r="D2079" s="115">
        <v>1</v>
      </c>
      <c r="E2079" s="115" t="s">
        <v>4843</v>
      </c>
      <c r="F2079" s="115" t="s">
        <v>4843</v>
      </c>
      <c r="G2079" s="115" t="s">
        <v>4843</v>
      </c>
      <c r="H2079" s="115" t="s">
        <v>4843</v>
      </c>
    </row>
    <row r="2080" spans="1:8" ht="45" x14ac:dyDescent="0.25">
      <c r="A2080" s="115">
        <v>5770</v>
      </c>
      <c r="B2080" s="115" t="s">
        <v>128</v>
      </c>
      <c r="C2080" s="115" t="s">
        <v>5027</v>
      </c>
      <c r="D2080" s="115">
        <v>1</v>
      </c>
      <c r="E2080" s="115" t="s">
        <v>536</v>
      </c>
      <c r="F2080" s="115" t="s">
        <v>536</v>
      </c>
      <c r="G2080" s="115" t="s">
        <v>537</v>
      </c>
      <c r="H2080" s="115" t="s">
        <v>538</v>
      </c>
    </row>
    <row r="2081" spans="1:8" ht="30" x14ac:dyDescent="0.25">
      <c r="A2081" s="115">
        <v>5769</v>
      </c>
      <c r="B2081" s="115" t="s">
        <v>128</v>
      </c>
      <c r="C2081" s="115" t="s">
        <v>5028</v>
      </c>
      <c r="D2081" s="115">
        <v>1</v>
      </c>
      <c r="E2081" s="115">
        <v>42</v>
      </c>
      <c r="F2081" s="115">
        <v>42</v>
      </c>
      <c r="G2081" s="115">
        <v>42</v>
      </c>
      <c r="H2081" s="115">
        <v>42</v>
      </c>
    </row>
    <row r="2082" spans="1:8" ht="45" x14ac:dyDescent="0.25">
      <c r="A2082" s="115">
        <v>5768</v>
      </c>
      <c r="B2082" s="115" t="s">
        <v>128</v>
      </c>
      <c r="C2082" s="115" t="s">
        <v>5029</v>
      </c>
      <c r="D2082" s="115">
        <v>1</v>
      </c>
      <c r="E2082" s="115">
        <v>3789.5675576277999</v>
      </c>
      <c r="F2082" s="115">
        <v>3789.5675576277999</v>
      </c>
      <c r="G2082" s="115">
        <v>3789.5675576277999</v>
      </c>
      <c r="H2082" s="115">
        <v>3789.5675576277999</v>
      </c>
    </row>
    <row r="2083" spans="1:8" ht="30" x14ac:dyDescent="0.25">
      <c r="A2083" s="115">
        <v>5767</v>
      </c>
      <c r="B2083" s="115" t="s">
        <v>128</v>
      </c>
      <c r="C2083" s="115" t="s">
        <v>5030</v>
      </c>
      <c r="D2083" s="115">
        <v>1</v>
      </c>
      <c r="E2083" s="115">
        <v>3.5785896537999999</v>
      </c>
      <c r="F2083" s="115">
        <v>3.5785896537999999</v>
      </c>
      <c r="G2083" s="115">
        <v>3.5785896537999999</v>
      </c>
      <c r="H2083" s="115">
        <v>3.5785896537999999</v>
      </c>
    </row>
    <row r="2084" spans="1:8" ht="45" x14ac:dyDescent="0.25">
      <c r="A2084" s="115">
        <v>5766</v>
      </c>
      <c r="B2084" s="115" t="s">
        <v>128</v>
      </c>
      <c r="C2084" s="115" t="s">
        <v>5031</v>
      </c>
      <c r="D2084" s="115">
        <v>1</v>
      </c>
      <c r="E2084" s="115" t="s">
        <v>4849</v>
      </c>
      <c r="F2084" s="115" t="s">
        <v>4849</v>
      </c>
      <c r="G2084" s="115" t="s">
        <v>4849</v>
      </c>
      <c r="H2084" s="115" t="s">
        <v>4849</v>
      </c>
    </row>
    <row r="2085" spans="1:8" ht="45" x14ac:dyDescent="0.25">
      <c r="A2085" s="115">
        <v>5765</v>
      </c>
      <c r="B2085" s="115" t="s">
        <v>128</v>
      </c>
      <c r="C2085" s="115" t="s">
        <v>5032</v>
      </c>
      <c r="D2085" s="115">
        <v>1</v>
      </c>
      <c r="E2085" s="115" t="s">
        <v>494</v>
      </c>
      <c r="F2085" s="115" t="s">
        <v>4847</v>
      </c>
      <c r="G2085" s="115" t="s">
        <v>496</v>
      </c>
      <c r="H2085" s="115" t="s">
        <v>497</v>
      </c>
    </row>
    <row r="2086" spans="1:8" ht="30" x14ac:dyDescent="0.25">
      <c r="A2086" s="115">
        <v>5764</v>
      </c>
      <c r="B2086" s="115" t="s">
        <v>128</v>
      </c>
      <c r="C2086" s="115" t="s">
        <v>5033</v>
      </c>
      <c r="D2086" s="115">
        <v>1</v>
      </c>
      <c r="E2086" s="115">
        <v>40</v>
      </c>
      <c r="F2086" s="115">
        <v>40</v>
      </c>
      <c r="G2086" s="115">
        <v>40</v>
      </c>
      <c r="H2086" s="115">
        <v>40</v>
      </c>
    </row>
    <row r="2087" spans="1:8" ht="45" x14ac:dyDescent="0.25">
      <c r="A2087" s="115">
        <v>5763</v>
      </c>
      <c r="B2087" s="115" t="s">
        <v>128</v>
      </c>
      <c r="C2087" s="115" t="s">
        <v>5034</v>
      </c>
      <c r="D2087" s="115">
        <v>1</v>
      </c>
      <c r="E2087" s="115">
        <v>3672.9669404092001</v>
      </c>
      <c r="F2087" s="115">
        <v>3672.9669404092001</v>
      </c>
      <c r="G2087" s="115">
        <v>3672.9669404092001</v>
      </c>
      <c r="H2087" s="115">
        <v>3672.9669404092001</v>
      </c>
    </row>
    <row r="2088" spans="1:8" ht="30" x14ac:dyDescent="0.25">
      <c r="A2088" s="115">
        <v>5762</v>
      </c>
      <c r="B2088" s="115" t="s">
        <v>128</v>
      </c>
      <c r="C2088" s="115" t="s">
        <v>5035</v>
      </c>
      <c r="D2088" s="115">
        <v>1</v>
      </c>
      <c r="E2088" s="115">
        <v>3.5650170193999999</v>
      </c>
      <c r="F2088" s="115">
        <v>3.5650170193999999</v>
      </c>
      <c r="G2088" s="115">
        <v>3.5650170193999999</v>
      </c>
      <c r="H2088" s="115">
        <v>3.5650170193999999</v>
      </c>
    </row>
    <row r="2089" spans="1:8" ht="45" x14ac:dyDescent="0.25">
      <c r="A2089" s="115">
        <v>5761</v>
      </c>
      <c r="B2089" s="115" t="s">
        <v>128</v>
      </c>
      <c r="C2089" s="115" t="s">
        <v>5036</v>
      </c>
      <c r="D2089" s="115">
        <v>1</v>
      </c>
      <c r="E2089" s="115" t="s">
        <v>2103</v>
      </c>
      <c r="F2089" s="115" t="s">
        <v>2103</v>
      </c>
      <c r="G2089" s="115" t="s">
        <v>2103</v>
      </c>
      <c r="H2089" s="115" t="s">
        <v>2103</v>
      </c>
    </row>
    <row r="2090" spans="1:8" ht="45" x14ac:dyDescent="0.25">
      <c r="A2090" s="115">
        <v>5760</v>
      </c>
      <c r="B2090" s="115" t="s">
        <v>128</v>
      </c>
      <c r="C2090" s="115" t="s">
        <v>5037</v>
      </c>
      <c r="D2090" s="115">
        <v>1</v>
      </c>
      <c r="E2090" s="115" t="s">
        <v>2921</v>
      </c>
      <c r="F2090" s="115" t="s">
        <v>553</v>
      </c>
      <c r="G2090" s="115" t="s">
        <v>554</v>
      </c>
      <c r="H2090" s="115" t="s">
        <v>555</v>
      </c>
    </row>
    <row r="2091" spans="1:8" ht="30" x14ac:dyDescent="0.25">
      <c r="A2091" s="115">
        <v>5759</v>
      </c>
      <c r="B2091" s="115" t="s">
        <v>128</v>
      </c>
      <c r="C2091" s="115" t="s">
        <v>5038</v>
      </c>
      <c r="D2091" s="115">
        <v>1</v>
      </c>
      <c r="E2091" s="115">
        <v>79</v>
      </c>
      <c r="F2091" s="115">
        <v>79</v>
      </c>
      <c r="G2091" s="115">
        <v>79</v>
      </c>
      <c r="H2091" s="115">
        <v>79</v>
      </c>
    </row>
    <row r="2092" spans="1:8" ht="45" x14ac:dyDescent="0.25">
      <c r="A2092" s="115">
        <v>5758</v>
      </c>
      <c r="B2092" s="115" t="s">
        <v>128</v>
      </c>
      <c r="C2092" s="115" t="s">
        <v>5039</v>
      </c>
      <c r="D2092" s="115">
        <v>1</v>
      </c>
      <c r="E2092" s="115">
        <v>3490.2453158802</v>
      </c>
      <c r="F2092" s="115">
        <v>3490.2453158802</v>
      </c>
      <c r="G2092" s="115">
        <v>3490.2453158802</v>
      </c>
      <c r="H2092" s="115">
        <v>3490.2453158802</v>
      </c>
    </row>
    <row r="2093" spans="1:8" ht="30" x14ac:dyDescent="0.25">
      <c r="A2093" s="115">
        <v>5757</v>
      </c>
      <c r="B2093" s="115" t="s">
        <v>128</v>
      </c>
      <c r="C2093" s="115" t="s">
        <v>5040</v>
      </c>
      <c r="D2093" s="115">
        <v>1</v>
      </c>
      <c r="E2093" s="115">
        <v>3.5428559529000001</v>
      </c>
      <c r="F2093" s="115">
        <v>3.5428559529000001</v>
      </c>
      <c r="G2093" s="115">
        <v>3.5428559529000001</v>
      </c>
      <c r="H2093" s="115">
        <v>3.5428559529000001</v>
      </c>
    </row>
    <row r="2094" spans="1:8" ht="45" x14ac:dyDescent="0.25">
      <c r="A2094" s="115">
        <v>5756</v>
      </c>
      <c r="B2094" s="115" t="s">
        <v>128</v>
      </c>
      <c r="C2094" s="115" t="s">
        <v>5041</v>
      </c>
      <c r="D2094" s="115">
        <v>1</v>
      </c>
      <c r="E2094" s="115" t="s">
        <v>4843</v>
      </c>
      <c r="F2094" s="115" t="s">
        <v>4843</v>
      </c>
      <c r="G2094" s="115" t="s">
        <v>4843</v>
      </c>
      <c r="H2094" s="115" t="s">
        <v>4843</v>
      </c>
    </row>
    <row r="2095" spans="1:8" ht="45" x14ac:dyDescent="0.25">
      <c r="A2095" s="115">
        <v>5755</v>
      </c>
      <c r="B2095" s="115" t="s">
        <v>128</v>
      </c>
      <c r="C2095" s="115" t="s">
        <v>5042</v>
      </c>
      <c r="D2095" s="115">
        <v>1</v>
      </c>
      <c r="E2095" s="115" t="s">
        <v>536</v>
      </c>
      <c r="F2095" s="115" t="s">
        <v>536</v>
      </c>
      <c r="G2095" s="115" t="s">
        <v>537</v>
      </c>
      <c r="H2095" s="115" t="s">
        <v>538</v>
      </c>
    </row>
    <row r="2096" spans="1:8" ht="30" x14ac:dyDescent="0.25">
      <c r="A2096" s="115">
        <v>5754</v>
      </c>
      <c r="B2096" s="115" t="s">
        <v>128</v>
      </c>
      <c r="C2096" s="115" t="s">
        <v>5043</v>
      </c>
      <c r="D2096" s="115">
        <v>1</v>
      </c>
      <c r="E2096" s="115">
        <v>73</v>
      </c>
      <c r="F2096" s="115">
        <v>73</v>
      </c>
      <c r="G2096" s="115">
        <v>73</v>
      </c>
      <c r="H2096" s="115">
        <v>73</v>
      </c>
    </row>
    <row r="2097" spans="1:8" ht="45" x14ac:dyDescent="0.25">
      <c r="A2097" s="115">
        <v>5753</v>
      </c>
      <c r="B2097" s="115" t="s">
        <v>128</v>
      </c>
      <c r="C2097" s="115" t="s">
        <v>5044</v>
      </c>
      <c r="D2097" s="115">
        <v>1</v>
      </c>
      <c r="E2097" s="115">
        <v>3330.5252303753</v>
      </c>
      <c r="F2097" s="115">
        <v>3330.5252303753</v>
      </c>
      <c r="G2097" s="115">
        <v>3330.5252303753</v>
      </c>
      <c r="H2097" s="115">
        <v>3330.5252303753</v>
      </c>
    </row>
    <row r="2098" spans="1:8" ht="30" x14ac:dyDescent="0.25">
      <c r="A2098" s="115">
        <v>5752</v>
      </c>
      <c r="B2098" s="115" t="s">
        <v>128</v>
      </c>
      <c r="C2098" s="115" t="s">
        <v>5045</v>
      </c>
      <c r="D2098" s="115">
        <v>1</v>
      </c>
      <c r="E2098" s="115">
        <v>3.5225127280000001</v>
      </c>
      <c r="F2098" s="115">
        <v>3.5225127280000001</v>
      </c>
      <c r="G2098" s="115">
        <v>3.5225127280000001</v>
      </c>
      <c r="H2098" s="115">
        <v>3.5225127280000001</v>
      </c>
    </row>
    <row r="2099" spans="1:8" ht="45" x14ac:dyDescent="0.25">
      <c r="A2099" s="115">
        <v>5751</v>
      </c>
      <c r="B2099" s="115" t="s">
        <v>128</v>
      </c>
      <c r="C2099" s="115" t="s">
        <v>5046</v>
      </c>
      <c r="D2099" s="115">
        <v>1</v>
      </c>
      <c r="E2099" s="115" t="s">
        <v>4849</v>
      </c>
      <c r="F2099" s="115" t="s">
        <v>4849</v>
      </c>
      <c r="G2099" s="115" t="s">
        <v>4849</v>
      </c>
      <c r="H2099" s="115" t="s">
        <v>4849</v>
      </c>
    </row>
    <row r="2100" spans="1:8" ht="45" x14ac:dyDescent="0.25">
      <c r="A2100" s="115">
        <v>5750</v>
      </c>
      <c r="B2100" s="115" t="s">
        <v>128</v>
      </c>
      <c r="C2100" s="115" t="s">
        <v>5047</v>
      </c>
      <c r="D2100" s="115">
        <v>1</v>
      </c>
      <c r="E2100" s="115" t="s">
        <v>494</v>
      </c>
      <c r="F2100" s="115" t="s">
        <v>4847</v>
      </c>
      <c r="G2100" s="115" t="s">
        <v>496</v>
      </c>
      <c r="H2100" s="115" t="s">
        <v>497</v>
      </c>
    </row>
    <row r="2101" spans="1:8" ht="30" x14ac:dyDescent="0.25">
      <c r="A2101" s="115">
        <v>5749</v>
      </c>
      <c r="B2101" s="115" t="s">
        <v>128</v>
      </c>
      <c r="C2101" s="115" t="s">
        <v>5048</v>
      </c>
      <c r="D2101" s="115">
        <v>1</v>
      </c>
      <c r="E2101" s="115">
        <v>28</v>
      </c>
      <c r="F2101" s="115">
        <v>28</v>
      </c>
      <c r="G2101" s="115">
        <v>28</v>
      </c>
      <c r="H2101" s="115">
        <v>28</v>
      </c>
    </row>
    <row r="2102" spans="1:8" ht="45" x14ac:dyDescent="0.25">
      <c r="A2102" s="115">
        <v>5748</v>
      </c>
      <c r="B2102" s="115" t="s">
        <v>128</v>
      </c>
      <c r="C2102" s="115" t="s">
        <v>5049</v>
      </c>
      <c r="D2102" s="115">
        <v>1</v>
      </c>
      <c r="E2102" s="115">
        <v>413.75741485290001</v>
      </c>
      <c r="F2102" s="115">
        <v>413.75741485290001</v>
      </c>
      <c r="G2102" s="115">
        <v>413.75741485290001</v>
      </c>
      <c r="H2102" s="115">
        <v>413.75741485290001</v>
      </c>
    </row>
    <row r="2103" spans="1:8" ht="30" x14ac:dyDescent="0.25">
      <c r="A2103" s="115">
        <v>5747</v>
      </c>
      <c r="B2103" s="115" t="s">
        <v>128</v>
      </c>
      <c r="C2103" s="115" t="s">
        <v>5050</v>
      </c>
      <c r="D2103" s="115">
        <v>1</v>
      </c>
      <c r="E2103" s="115">
        <v>2.6167457896999999</v>
      </c>
      <c r="F2103" s="115">
        <v>2.6167457896999999</v>
      </c>
      <c r="G2103" s="115">
        <v>2.6167457896999999</v>
      </c>
      <c r="H2103" s="115">
        <v>2.6167457896999999</v>
      </c>
    </row>
    <row r="2104" spans="1:8" ht="45" x14ac:dyDescent="0.25">
      <c r="A2104" s="115">
        <v>5746</v>
      </c>
      <c r="B2104" s="115" t="s">
        <v>128</v>
      </c>
      <c r="C2104" s="115" t="s">
        <v>5051</v>
      </c>
      <c r="D2104" s="115">
        <v>1</v>
      </c>
      <c r="E2104" s="115" t="s">
        <v>4852</v>
      </c>
      <c r="F2104" s="115" t="s">
        <v>4852</v>
      </c>
      <c r="G2104" s="115" t="s">
        <v>4852</v>
      </c>
      <c r="H2104" s="115" t="s">
        <v>4852</v>
      </c>
    </row>
    <row r="2105" spans="1:8" ht="45" x14ac:dyDescent="0.25">
      <c r="A2105" s="115">
        <v>5745</v>
      </c>
      <c r="B2105" s="115" t="s">
        <v>128</v>
      </c>
      <c r="C2105" s="115" t="s">
        <v>5052</v>
      </c>
      <c r="D2105" s="115">
        <v>1</v>
      </c>
      <c r="E2105" s="115" t="s">
        <v>519</v>
      </c>
      <c r="F2105" s="115" t="s">
        <v>520</v>
      </c>
      <c r="G2105" s="115" t="s">
        <v>521</v>
      </c>
      <c r="H2105" s="115" t="s">
        <v>522</v>
      </c>
    </row>
    <row r="2106" spans="1:8" ht="30" x14ac:dyDescent="0.25">
      <c r="A2106" s="115">
        <v>5744</v>
      </c>
      <c r="B2106" s="115" t="s">
        <v>128</v>
      </c>
      <c r="C2106" s="115" t="s">
        <v>5053</v>
      </c>
      <c r="D2106" s="115">
        <v>1</v>
      </c>
      <c r="E2106" s="115">
        <v>58</v>
      </c>
      <c r="F2106" s="115">
        <v>58</v>
      </c>
      <c r="G2106" s="115">
        <v>58</v>
      </c>
      <c r="H2106" s="115">
        <v>58</v>
      </c>
    </row>
    <row r="2107" spans="1:8" ht="45" x14ac:dyDescent="0.25">
      <c r="A2107" s="115">
        <v>5743</v>
      </c>
      <c r="B2107" s="115" t="s">
        <v>128</v>
      </c>
      <c r="C2107" s="115" t="s">
        <v>5054</v>
      </c>
      <c r="D2107" s="115">
        <v>1</v>
      </c>
      <c r="E2107" s="115">
        <v>2575.6836947782999</v>
      </c>
      <c r="F2107" s="115">
        <v>2575.6836947782999</v>
      </c>
      <c r="G2107" s="115">
        <v>2575.6836947782999</v>
      </c>
      <c r="H2107" s="115">
        <v>2575.6836947782999</v>
      </c>
    </row>
    <row r="2108" spans="1:8" ht="30" x14ac:dyDescent="0.25">
      <c r="A2108" s="115">
        <v>5742</v>
      </c>
      <c r="B2108" s="115" t="s">
        <v>128</v>
      </c>
      <c r="C2108" s="115" t="s">
        <v>5055</v>
      </c>
      <c r="D2108" s="115">
        <v>1</v>
      </c>
      <c r="E2108" s="115">
        <v>3.4108925286999998</v>
      </c>
      <c r="F2108" s="115">
        <v>3.4108925286999998</v>
      </c>
      <c r="G2108" s="115">
        <v>3.4108925286999998</v>
      </c>
      <c r="H2108" s="115">
        <v>3.4108925286999998</v>
      </c>
    </row>
    <row r="2109" spans="1:8" ht="45" x14ac:dyDescent="0.25">
      <c r="A2109" s="115">
        <v>5741</v>
      </c>
      <c r="B2109" s="115" t="s">
        <v>128</v>
      </c>
      <c r="C2109" s="115" t="s">
        <v>5056</v>
      </c>
      <c r="D2109" s="115">
        <v>1</v>
      </c>
      <c r="E2109" s="115" t="s">
        <v>4849</v>
      </c>
      <c r="F2109" s="115" t="s">
        <v>4849</v>
      </c>
      <c r="G2109" s="115" t="s">
        <v>4849</v>
      </c>
      <c r="H2109" s="115" t="s">
        <v>4849</v>
      </c>
    </row>
    <row r="2110" spans="1:8" ht="45" x14ac:dyDescent="0.25">
      <c r="A2110" s="115">
        <v>5740</v>
      </c>
      <c r="B2110" s="115" t="s">
        <v>128</v>
      </c>
      <c r="C2110" s="115" t="s">
        <v>5057</v>
      </c>
      <c r="D2110" s="115">
        <v>1</v>
      </c>
      <c r="E2110" s="115" t="s">
        <v>494</v>
      </c>
      <c r="F2110" s="115" t="s">
        <v>4847</v>
      </c>
      <c r="G2110" s="115" t="s">
        <v>496</v>
      </c>
      <c r="H2110" s="115" t="s">
        <v>497</v>
      </c>
    </row>
    <row r="2111" spans="1:8" ht="30" x14ac:dyDescent="0.25">
      <c r="A2111" s="115">
        <v>5739</v>
      </c>
      <c r="B2111" s="115" t="s">
        <v>128</v>
      </c>
      <c r="C2111" s="115" t="s">
        <v>5058</v>
      </c>
      <c r="D2111" s="115">
        <v>1</v>
      </c>
      <c r="E2111" s="115">
        <v>38</v>
      </c>
      <c r="F2111" s="115">
        <v>38</v>
      </c>
      <c r="G2111" s="115">
        <v>38</v>
      </c>
      <c r="H2111" s="115">
        <v>38</v>
      </c>
    </row>
    <row r="2112" spans="1:8" ht="45" x14ac:dyDescent="0.25">
      <c r="A2112" s="115">
        <v>5738</v>
      </c>
      <c r="B2112" s="115" t="s">
        <v>128</v>
      </c>
      <c r="C2112" s="115" t="s">
        <v>5059</v>
      </c>
      <c r="D2112" s="115">
        <v>1</v>
      </c>
      <c r="E2112" s="115">
        <v>2322.8805603409</v>
      </c>
      <c r="F2112" s="115">
        <v>2322.8805603409</v>
      </c>
      <c r="G2112" s="115">
        <v>2322.8805603409</v>
      </c>
      <c r="H2112" s="115">
        <v>2322.8805603409</v>
      </c>
    </row>
    <row r="2113" spans="1:8" ht="30" x14ac:dyDescent="0.25">
      <c r="A2113" s="115">
        <v>5737</v>
      </c>
      <c r="B2113" s="115" t="s">
        <v>128</v>
      </c>
      <c r="C2113" s="115" t="s">
        <v>5060</v>
      </c>
      <c r="D2113" s="115">
        <v>1</v>
      </c>
      <c r="E2113" s="115">
        <v>3.3660268795000001</v>
      </c>
      <c r="F2113" s="115">
        <v>3.3660268795000001</v>
      </c>
      <c r="G2113" s="115">
        <v>3.3660268795000001</v>
      </c>
      <c r="H2113" s="115">
        <v>3.3660268795000001</v>
      </c>
    </row>
    <row r="2114" spans="1:8" ht="45" x14ac:dyDescent="0.25">
      <c r="A2114" s="115">
        <v>5736</v>
      </c>
      <c r="B2114" s="115" t="s">
        <v>128</v>
      </c>
      <c r="C2114" s="115" t="s">
        <v>5061</v>
      </c>
      <c r="D2114" s="115">
        <v>1</v>
      </c>
      <c r="E2114" s="115" t="s">
        <v>4849</v>
      </c>
      <c r="F2114" s="115" t="s">
        <v>4849</v>
      </c>
      <c r="G2114" s="115" t="s">
        <v>4849</v>
      </c>
      <c r="H2114" s="115" t="s">
        <v>4849</v>
      </c>
    </row>
    <row r="2115" spans="1:8" ht="45" x14ac:dyDescent="0.25">
      <c r="A2115" s="115">
        <v>5735</v>
      </c>
      <c r="B2115" s="115" t="s">
        <v>128</v>
      </c>
      <c r="C2115" s="115" t="s">
        <v>5062</v>
      </c>
      <c r="D2115" s="115">
        <v>1</v>
      </c>
      <c r="E2115" s="115" t="s">
        <v>494</v>
      </c>
      <c r="F2115" s="115" t="s">
        <v>4847</v>
      </c>
      <c r="G2115" s="115" t="s">
        <v>496</v>
      </c>
      <c r="H2115" s="115" t="s">
        <v>497</v>
      </c>
    </row>
    <row r="2116" spans="1:8" ht="30" x14ac:dyDescent="0.25">
      <c r="A2116" s="115">
        <v>5734</v>
      </c>
      <c r="B2116" s="115" t="s">
        <v>128</v>
      </c>
      <c r="C2116" s="115" t="s">
        <v>5063</v>
      </c>
      <c r="D2116" s="115">
        <v>1</v>
      </c>
      <c r="E2116" s="115">
        <v>31</v>
      </c>
      <c r="F2116" s="115">
        <v>31</v>
      </c>
      <c r="G2116" s="115">
        <v>31</v>
      </c>
      <c r="H2116" s="115">
        <v>31</v>
      </c>
    </row>
    <row r="2117" spans="1:8" ht="45" x14ac:dyDescent="0.25">
      <c r="A2117" s="115">
        <v>5733</v>
      </c>
      <c r="B2117" s="115" t="s">
        <v>128</v>
      </c>
      <c r="C2117" s="115" t="s">
        <v>5064</v>
      </c>
      <c r="D2117" s="115">
        <v>1</v>
      </c>
      <c r="E2117" s="115">
        <v>2184.1634610913002</v>
      </c>
      <c r="F2117" s="115">
        <v>2184.1634610913002</v>
      </c>
      <c r="G2117" s="115">
        <v>2184.1634610913002</v>
      </c>
      <c r="H2117" s="115">
        <v>2184.1634610913002</v>
      </c>
    </row>
    <row r="2118" spans="1:8" ht="30" x14ac:dyDescent="0.25">
      <c r="A2118" s="115">
        <v>5732</v>
      </c>
      <c r="B2118" s="115" t="s">
        <v>128</v>
      </c>
      <c r="C2118" s="115" t="s">
        <v>5065</v>
      </c>
      <c r="D2118" s="115">
        <v>1</v>
      </c>
      <c r="E2118" s="115">
        <v>3.3392851375000001</v>
      </c>
      <c r="F2118" s="115">
        <v>3.3392851375000001</v>
      </c>
      <c r="G2118" s="115">
        <v>3.3392851375000001</v>
      </c>
      <c r="H2118" s="115">
        <v>3.3392851375000001</v>
      </c>
    </row>
    <row r="2119" spans="1:8" ht="45" x14ac:dyDescent="0.25">
      <c r="A2119" s="115">
        <v>5731</v>
      </c>
      <c r="B2119" s="115" t="s">
        <v>128</v>
      </c>
      <c r="C2119" s="115" t="s">
        <v>5066</v>
      </c>
      <c r="D2119" s="115">
        <v>1</v>
      </c>
      <c r="E2119" s="115" t="s">
        <v>2103</v>
      </c>
      <c r="F2119" s="115" t="s">
        <v>2103</v>
      </c>
      <c r="G2119" s="115" t="s">
        <v>2103</v>
      </c>
      <c r="H2119" s="115" t="s">
        <v>2103</v>
      </c>
    </row>
    <row r="2120" spans="1:8" ht="45" x14ac:dyDescent="0.25">
      <c r="A2120" s="115">
        <v>5730</v>
      </c>
      <c r="B2120" s="115" t="s">
        <v>128</v>
      </c>
      <c r="C2120" s="115" t="s">
        <v>5067</v>
      </c>
      <c r="D2120" s="115">
        <v>1</v>
      </c>
      <c r="E2120" s="115" t="s">
        <v>2921</v>
      </c>
      <c r="F2120" s="115" t="s">
        <v>553</v>
      </c>
      <c r="G2120" s="115" t="s">
        <v>554</v>
      </c>
      <c r="H2120" s="115" t="s">
        <v>555</v>
      </c>
    </row>
    <row r="2121" spans="1:8" ht="30" x14ac:dyDescent="0.25">
      <c r="A2121" s="115">
        <v>5729</v>
      </c>
      <c r="B2121" s="115" t="s">
        <v>128</v>
      </c>
      <c r="C2121" s="115" t="s">
        <v>5068</v>
      </c>
      <c r="D2121" s="115">
        <v>1</v>
      </c>
      <c r="E2121" s="115">
        <v>30</v>
      </c>
      <c r="F2121" s="115">
        <v>30</v>
      </c>
      <c r="G2121" s="115">
        <v>30</v>
      </c>
      <c r="H2121" s="115">
        <v>30</v>
      </c>
    </row>
    <row r="2122" spans="1:8" ht="45" x14ac:dyDescent="0.25">
      <c r="A2122" s="115">
        <v>5728</v>
      </c>
      <c r="B2122" s="115" t="s">
        <v>128</v>
      </c>
      <c r="C2122" s="115" t="s">
        <v>5069</v>
      </c>
      <c r="D2122" s="115">
        <v>1</v>
      </c>
      <c r="E2122" s="115">
        <v>1755.2140164852999</v>
      </c>
      <c r="F2122" s="115">
        <v>1755.2140164852999</v>
      </c>
      <c r="G2122" s="115">
        <v>1755.2140164852999</v>
      </c>
      <c r="H2122" s="115">
        <v>1755.2140164852999</v>
      </c>
    </row>
    <row r="2123" spans="1:8" ht="30" x14ac:dyDescent="0.25">
      <c r="A2123" s="115">
        <v>5727</v>
      </c>
      <c r="B2123" s="115" t="s">
        <v>128</v>
      </c>
      <c r="C2123" s="115" t="s">
        <v>5070</v>
      </c>
      <c r="D2123" s="115">
        <v>1</v>
      </c>
      <c r="E2123" s="115">
        <v>3.2443300784</v>
      </c>
      <c r="F2123" s="115">
        <v>3.2443300784</v>
      </c>
      <c r="G2123" s="115">
        <v>3.2443300784</v>
      </c>
      <c r="H2123" s="115">
        <v>3.2443300784</v>
      </c>
    </row>
    <row r="2124" spans="1:8" ht="45" x14ac:dyDescent="0.25">
      <c r="A2124" s="115">
        <v>5726</v>
      </c>
      <c r="B2124" s="115" t="s">
        <v>128</v>
      </c>
      <c r="C2124" s="115" t="s">
        <v>5071</v>
      </c>
      <c r="D2124" s="115">
        <v>1</v>
      </c>
      <c r="E2124" s="115" t="s">
        <v>2103</v>
      </c>
      <c r="F2124" s="115" t="s">
        <v>2103</v>
      </c>
      <c r="G2124" s="115" t="s">
        <v>2103</v>
      </c>
      <c r="H2124" s="115" t="s">
        <v>2103</v>
      </c>
    </row>
    <row r="2125" spans="1:8" ht="45" x14ac:dyDescent="0.25">
      <c r="A2125" s="115">
        <v>5725</v>
      </c>
      <c r="B2125" s="115" t="s">
        <v>128</v>
      </c>
      <c r="C2125" s="115" t="s">
        <v>5072</v>
      </c>
      <c r="D2125" s="115">
        <v>1</v>
      </c>
      <c r="E2125" s="115" t="s">
        <v>2921</v>
      </c>
      <c r="F2125" s="115" t="s">
        <v>553</v>
      </c>
      <c r="G2125" s="115" t="s">
        <v>554</v>
      </c>
      <c r="H2125" s="115" t="s">
        <v>555</v>
      </c>
    </row>
    <row r="2126" spans="1:8" ht="30" x14ac:dyDescent="0.25">
      <c r="A2126" s="115">
        <v>5724</v>
      </c>
      <c r="B2126" s="115" t="s">
        <v>128</v>
      </c>
      <c r="C2126" s="115" t="s">
        <v>5073</v>
      </c>
      <c r="D2126" s="115">
        <v>1</v>
      </c>
      <c r="E2126" s="115">
        <v>14</v>
      </c>
      <c r="F2126" s="115">
        <v>14</v>
      </c>
      <c r="G2126" s="115">
        <v>14</v>
      </c>
      <c r="H2126" s="115">
        <v>14</v>
      </c>
    </row>
    <row r="2127" spans="1:8" ht="45" x14ac:dyDescent="0.25">
      <c r="A2127" s="115">
        <v>5723</v>
      </c>
      <c r="B2127" s="115" t="s">
        <v>128</v>
      </c>
      <c r="C2127" s="115" t="s">
        <v>5074</v>
      </c>
      <c r="D2127" s="115">
        <v>1</v>
      </c>
      <c r="E2127" s="115">
        <v>1753.6423665157999</v>
      </c>
      <c r="F2127" s="115">
        <v>1753.6423665157999</v>
      </c>
      <c r="G2127" s="115">
        <v>1753.6423665157999</v>
      </c>
      <c r="H2127" s="115">
        <v>1753.6423665157999</v>
      </c>
    </row>
    <row r="2128" spans="1:8" ht="30" x14ac:dyDescent="0.25">
      <c r="A2128" s="115">
        <v>5722</v>
      </c>
      <c r="B2128" s="115" t="s">
        <v>128</v>
      </c>
      <c r="C2128" s="115" t="s">
        <v>5075</v>
      </c>
      <c r="D2128" s="115">
        <v>1</v>
      </c>
      <c r="E2128" s="115">
        <v>3.2439410291000002</v>
      </c>
      <c r="F2128" s="115">
        <v>3.2439410291000002</v>
      </c>
      <c r="G2128" s="115">
        <v>3.2439410291000002</v>
      </c>
      <c r="H2128" s="115">
        <v>3.2439410291000002</v>
      </c>
    </row>
    <row r="2129" spans="1:8" ht="45" x14ac:dyDescent="0.25">
      <c r="A2129" s="115">
        <v>5721</v>
      </c>
      <c r="B2129" s="115" t="s">
        <v>128</v>
      </c>
      <c r="C2129" s="115" t="s">
        <v>5076</v>
      </c>
      <c r="D2129" s="115">
        <v>1</v>
      </c>
      <c r="E2129" s="115" t="s">
        <v>4849</v>
      </c>
      <c r="F2129" s="115" t="s">
        <v>4849</v>
      </c>
      <c r="G2129" s="115" t="s">
        <v>4849</v>
      </c>
      <c r="H2129" s="115" t="s">
        <v>4849</v>
      </c>
    </row>
    <row r="2130" spans="1:8" ht="45" x14ac:dyDescent="0.25">
      <c r="A2130" s="115">
        <v>5720</v>
      </c>
      <c r="B2130" s="115" t="s">
        <v>128</v>
      </c>
      <c r="C2130" s="115" t="s">
        <v>5077</v>
      </c>
      <c r="D2130" s="115">
        <v>1</v>
      </c>
      <c r="E2130" s="115" t="s">
        <v>494</v>
      </c>
      <c r="F2130" s="115" t="s">
        <v>4847</v>
      </c>
      <c r="G2130" s="115" t="s">
        <v>496</v>
      </c>
      <c r="H2130" s="115" t="s">
        <v>497</v>
      </c>
    </row>
    <row r="2131" spans="1:8" ht="30" x14ac:dyDescent="0.25">
      <c r="A2131" s="115">
        <v>5719</v>
      </c>
      <c r="B2131" s="115" t="s">
        <v>128</v>
      </c>
      <c r="C2131" s="115" t="s">
        <v>5078</v>
      </c>
      <c r="D2131" s="115">
        <v>1</v>
      </c>
      <c r="E2131" s="115">
        <v>40</v>
      </c>
      <c r="F2131" s="115">
        <v>40</v>
      </c>
      <c r="G2131" s="115">
        <v>40</v>
      </c>
      <c r="H2131" s="115">
        <v>40</v>
      </c>
    </row>
    <row r="2132" spans="1:8" ht="45" x14ac:dyDescent="0.25">
      <c r="A2132" s="115">
        <v>5718</v>
      </c>
      <c r="B2132" s="115" t="s">
        <v>128</v>
      </c>
      <c r="C2132" s="115" t="s">
        <v>5079</v>
      </c>
      <c r="D2132" s="115">
        <v>1</v>
      </c>
      <c r="E2132" s="115">
        <v>1716.5262836303</v>
      </c>
      <c r="F2132" s="115">
        <v>1716.5262836303</v>
      </c>
      <c r="G2132" s="115">
        <v>1716.5262836303</v>
      </c>
      <c r="H2132" s="115">
        <v>1716.5262836303</v>
      </c>
    </row>
    <row r="2133" spans="1:8" ht="30" x14ac:dyDescent="0.25">
      <c r="A2133" s="115">
        <v>5717</v>
      </c>
      <c r="B2133" s="115" t="s">
        <v>128</v>
      </c>
      <c r="C2133" s="115" t="s">
        <v>5080</v>
      </c>
      <c r="D2133" s="115">
        <v>1</v>
      </c>
      <c r="E2133" s="115">
        <v>3.2346504577999999</v>
      </c>
      <c r="F2133" s="115">
        <v>3.2346504577999999</v>
      </c>
      <c r="G2133" s="115">
        <v>3.2346504577999999</v>
      </c>
      <c r="H2133" s="115">
        <v>3.2346504577999999</v>
      </c>
    </row>
    <row r="2134" spans="1:8" ht="45" x14ac:dyDescent="0.25">
      <c r="A2134" s="115">
        <v>5716</v>
      </c>
      <c r="B2134" s="115" t="s">
        <v>128</v>
      </c>
      <c r="C2134" s="115" t="s">
        <v>5081</v>
      </c>
      <c r="D2134" s="115">
        <v>1</v>
      </c>
      <c r="E2134" s="115" t="s">
        <v>4843</v>
      </c>
      <c r="F2134" s="115" t="s">
        <v>4843</v>
      </c>
      <c r="G2134" s="115" t="s">
        <v>4843</v>
      </c>
      <c r="H2134" s="115" t="s">
        <v>4843</v>
      </c>
    </row>
    <row r="2135" spans="1:8" ht="45" x14ac:dyDescent="0.25">
      <c r="A2135" s="115">
        <v>5715</v>
      </c>
      <c r="B2135" s="115" t="s">
        <v>128</v>
      </c>
      <c r="C2135" s="115" t="s">
        <v>5082</v>
      </c>
      <c r="D2135" s="115">
        <v>1</v>
      </c>
      <c r="E2135" s="115" t="s">
        <v>536</v>
      </c>
      <c r="F2135" s="115" t="s">
        <v>536</v>
      </c>
      <c r="G2135" s="115" t="s">
        <v>537</v>
      </c>
      <c r="H2135" s="115" t="s">
        <v>538</v>
      </c>
    </row>
    <row r="2136" spans="1:8" ht="30" x14ac:dyDescent="0.25">
      <c r="A2136" s="115">
        <v>5714</v>
      </c>
      <c r="B2136" s="115" t="s">
        <v>128</v>
      </c>
      <c r="C2136" s="115" t="s">
        <v>5083</v>
      </c>
      <c r="D2136" s="115">
        <v>1</v>
      </c>
      <c r="E2136" s="115">
        <v>74</v>
      </c>
      <c r="F2136" s="115">
        <v>74</v>
      </c>
      <c r="G2136" s="115">
        <v>74</v>
      </c>
      <c r="H2136" s="115">
        <v>74</v>
      </c>
    </row>
    <row r="2137" spans="1:8" ht="45" x14ac:dyDescent="0.25">
      <c r="A2137" s="115">
        <v>5713</v>
      </c>
      <c r="B2137" s="115" t="s">
        <v>128</v>
      </c>
      <c r="C2137" s="115" t="s">
        <v>5084</v>
      </c>
      <c r="D2137" s="115">
        <v>1</v>
      </c>
      <c r="E2137" s="115">
        <v>1555.3606139082999</v>
      </c>
      <c r="F2137" s="115">
        <v>1555.3606139082999</v>
      </c>
      <c r="G2137" s="115">
        <v>1555.3606139082999</v>
      </c>
      <c r="H2137" s="115">
        <v>1555.3606139082999</v>
      </c>
    </row>
    <row r="2138" spans="1:8" ht="30" x14ac:dyDescent="0.25">
      <c r="A2138" s="115">
        <v>5712</v>
      </c>
      <c r="B2138" s="115" t="s">
        <v>128</v>
      </c>
      <c r="C2138" s="115" t="s">
        <v>5085</v>
      </c>
      <c r="D2138" s="115">
        <v>1</v>
      </c>
      <c r="E2138" s="115">
        <v>3.1918310972000001</v>
      </c>
      <c r="F2138" s="115">
        <v>3.1918310972000001</v>
      </c>
      <c r="G2138" s="115">
        <v>3.1918310972000001</v>
      </c>
      <c r="H2138" s="115">
        <v>3.1918310972000001</v>
      </c>
    </row>
    <row r="2139" spans="1:8" ht="45" x14ac:dyDescent="0.25">
      <c r="A2139" s="115">
        <v>5711</v>
      </c>
      <c r="B2139" s="115" t="s">
        <v>128</v>
      </c>
      <c r="C2139" s="115" t="s">
        <v>5086</v>
      </c>
      <c r="D2139" s="115">
        <v>1</v>
      </c>
      <c r="E2139" s="115" t="s">
        <v>4852</v>
      </c>
      <c r="F2139" s="115" t="s">
        <v>4852</v>
      </c>
      <c r="G2139" s="115" t="s">
        <v>4852</v>
      </c>
      <c r="H2139" s="115" t="s">
        <v>4852</v>
      </c>
    </row>
    <row r="2140" spans="1:8" ht="45" x14ac:dyDescent="0.25">
      <c r="A2140" s="115">
        <v>5710</v>
      </c>
      <c r="B2140" s="115" t="s">
        <v>128</v>
      </c>
      <c r="C2140" s="115" t="s">
        <v>5087</v>
      </c>
      <c r="D2140" s="115">
        <v>1</v>
      </c>
      <c r="E2140" s="115" t="s">
        <v>519</v>
      </c>
      <c r="F2140" s="115" t="s">
        <v>520</v>
      </c>
      <c r="G2140" s="115" t="s">
        <v>521</v>
      </c>
      <c r="H2140" s="115" t="s">
        <v>522</v>
      </c>
    </row>
    <row r="2141" spans="1:8" ht="30" x14ac:dyDescent="0.25">
      <c r="A2141" s="115">
        <v>5709</v>
      </c>
      <c r="B2141" s="115" t="s">
        <v>128</v>
      </c>
      <c r="C2141" s="115" t="s">
        <v>5088</v>
      </c>
      <c r="D2141" s="115">
        <v>1</v>
      </c>
      <c r="E2141" s="115">
        <v>33</v>
      </c>
      <c r="F2141" s="115">
        <v>33</v>
      </c>
      <c r="G2141" s="115">
        <v>33</v>
      </c>
      <c r="H2141" s="115">
        <v>33</v>
      </c>
    </row>
    <row r="2142" spans="1:8" ht="45" x14ac:dyDescent="0.25">
      <c r="A2142" s="115">
        <v>5708</v>
      </c>
      <c r="B2142" s="115" t="s">
        <v>128</v>
      </c>
      <c r="C2142" s="115" t="s">
        <v>5089</v>
      </c>
      <c r="D2142" s="115">
        <v>1</v>
      </c>
      <c r="E2142" s="115">
        <v>1469.1211622675</v>
      </c>
      <c r="F2142" s="115">
        <v>1469.1211622675</v>
      </c>
      <c r="G2142" s="115">
        <v>1469.1211622675</v>
      </c>
      <c r="H2142" s="115">
        <v>1469.1211622675</v>
      </c>
    </row>
    <row r="2143" spans="1:8" ht="30" x14ac:dyDescent="0.25">
      <c r="A2143" s="115">
        <v>5707</v>
      </c>
      <c r="B2143" s="115" t="s">
        <v>128</v>
      </c>
      <c r="C2143" s="115" t="s">
        <v>5090</v>
      </c>
      <c r="D2143" s="115">
        <v>1</v>
      </c>
      <c r="E2143" s="115">
        <v>3.1670576147</v>
      </c>
      <c r="F2143" s="115">
        <v>3.1670576147</v>
      </c>
      <c r="G2143" s="115">
        <v>3.1670576147</v>
      </c>
      <c r="H2143" s="115">
        <v>3.1670576147</v>
      </c>
    </row>
    <row r="2144" spans="1:8" ht="45" x14ac:dyDescent="0.25">
      <c r="A2144" s="115">
        <v>5706</v>
      </c>
      <c r="B2144" s="115" t="s">
        <v>128</v>
      </c>
      <c r="C2144" s="115" t="s">
        <v>5091</v>
      </c>
      <c r="D2144" s="115">
        <v>1</v>
      </c>
      <c r="E2144" s="115" t="s">
        <v>4852</v>
      </c>
      <c r="F2144" s="115" t="s">
        <v>4852</v>
      </c>
      <c r="G2144" s="115" t="s">
        <v>4852</v>
      </c>
      <c r="H2144" s="115" t="s">
        <v>4852</v>
      </c>
    </row>
    <row r="2145" spans="1:8" ht="45" x14ac:dyDescent="0.25">
      <c r="A2145" s="115">
        <v>5705</v>
      </c>
      <c r="B2145" s="115" t="s">
        <v>128</v>
      </c>
      <c r="C2145" s="115" t="s">
        <v>5092</v>
      </c>
      <c r="D2145" s="115">
        <v>1</v>
      </c>
      <c r="E2145" s="115" t="s">
        <v>519</v>
      </c>
      <c r="F2145" s="115" t="s">
        <v>520</v>
      </c>
      <c r="G2145" s="115" t="s">
        <v>521</v>
      </c>
      <c r="H2145" s="115" t="s">
        <v>522</v>
      </c>
    </row>
    <row r="2146" spans="1:8" ht="30" x14ac:dyDescent="0.25">
      <c r="A2146" s="115">
        <v>5704</v>
      </c>
      <c r="B2146" s="115" t="s">
        <v>128</v>
      </c>
      <c r="C2146" s="115" t="s">
        <v>5093</v>
      </c>
      <c r="D2146" s="115">
        <v>1</v>
      </c>
      <c r="E2146" s="115">
        <v>16</v>
      </c>
      <c r="F2146" s="115">
        <v>16</v>
      </c>
      <c r="G2146" s="115">
        <v>16</v>
      </c>
      <c r="H2146" s="115">
        <v>16</v>
      </c>
    </row>
    <row r="2147" spans="1:8" ht="45" x14ac:dyDescent="0.25">
      <c r="A2147" s="115">
        <v>5703</v>
      </c>
      <c r="B2147" s="115" t="s">
        <v>128</v>
      </c>
      <c r="C2147" s="115" t="s">
        <v>5094</v>
      </c>
      <c r="D2147" s="115">
        <v>1</v>
      </c>
      <c r="E2147" s="115">
        <v>1243.9860746449999</v>
      </c>
      <c r="F2147" s="115">
        <v>1243.9860746449999</v>
      </c>
      <c r="G2147" s="115">
        <v>1243.9860746449999</v>
      </c>
      <c r="H2147" s="115">
        <v>1243.9860746449999</v>
      </c>
    </row>
    <row r="2148" spans="1:8" ht="30" x14ac:dyDescent="0.25">
      <c r="A2148" s="115">
        <v>5702</v>
      </c>
      <c r="B2148" s="115" t="s">
        <v>128</v>
      </c>
      <c r="C2148" s="115" t="s">
        <v>5095</v>
      </c>
      <c r="D2148" s="115">
        <v>1</v>
      </c>
      <c r="E2148" s="115">
        <v>3.0948155187999999</v>
      </c>
      <c r="F2148" s="115">
        <v>3.0948155187999999</v>
      </c>
      <c r="G2148" s="115">
        <v>3.0948155187999999</v>
      </c>
      <c r="H2148" s="115">
        <v>3.0948155187999999</v>
      </c>
    </row>
    <row r="2149" spans="1:8" ht="45" x14ac:dyDescent="0.25">
      <c r="A2149" s="115">
        <v>5701</v>
      </c>
      <c r="B2149" s="115" t="s">
        <v>128</v>
      </c>
      <c r="C2149" s="115" t="s">
        <v>5096</v>
      </c>
      <c r="D2149" s="115">
        <v>1</v>
      </c>
      <c r="E2149" s="115" t="s">
        <v>2103</v>
      </c>
      <c r="F2149" s="115" t="s">
        <v>2103</v>
      </c>
      <c r="G2149" s="115" t="s">
        <v>2103</v>
      </c>
      <c r="H2149" s="115" t="s">
        <v>2103</v>
      </c>
    </row>
    <row r="2150" spans="1:8" ht="45" x14ac:dyDescent="0.25">
      <c r="A2150" s="115">
        <v>5700</v>
      </c>
      <c r="B2150" s="115" t="s">
        <v>128</v>
      </c>
      <c r="C2150" s="115" t="s">
        <v>5097</v>
      </c>
      <c r="D2150" s="115">
        <v>1</v>
      </c>
      <c r="E2150" s="115" t="s">
        <v>2921</v>
      </c>
      <c r="F2150" s="115" t="s">
        <v>553</v>
      </c>
      <c r="G2150" s="115" t="s">
        <v>554</v>
      </c>
      <c r="H2150" s="115" t="s">
        <v>555</v>
      </c>
    </row>
    <row r="2151" spans="1:8" ht="30" x14ac:dyDescent="0.25">
      <c r="A2151" s="115">
        <v>5699</v>
      </c>
      <c r="B2151" s="115" t="s">
        <v>128</v>
      </c>
      <c r="C2151" s="115" t="s">
        <v>5098</v>
      </c>
      <c r="D2151" s="115">
        <v>1</v>
      </c>
      <c r="E2151" s="115">
        <v>51</v>
      </c>
      <c r="F2151" s="115">
        <v>51</v>
      </c>
      <c r="G2151" s="115">
        <v>51</v>
      </c>
      <c r="H2151" s="115">
        <v>51</v>
      </c>
    </row>
    <row r="2152" spans="1:8" ht="45" x14ac:dyDescent="0.25">
      <c r="A2152" s="115">
        <v>5698</v>
      </c>
      <c r="B2152" s="115" t="s">
        <v>128</v>
      </c>
      <c r="C2152" s="115" t="s">
        <v>5099</v>
      </c>
      <c r="D2152" s="115">
        <v>1</v>
      </c>
      <c r="E2152" s="115">
        <v>1159.9297395353999</v>
      </c>
      <c r="F2152" s="115">
        <v>1159.9297395353999</v>
      </c>
      <c r="G2152" s="115">
        <v>1159.9297395353999</v>
      </c>
      <c r="H2152" s="115">
        <v>1159.9297395353999</v>
      </c>
    </row>
    <row r="2153" spans="1:8" ht="30" x14ac:dyDescent="0.25">
      <c r="A2153" s="115">
        <v>5697</v>
      </c>
      <c r="B2153" s="115" t="s">
        <v>128</v>
      </c>
      <c r="C2153" s="115" t="s">
        <v>5100</v>
      </c>
      <c r="D2153" s="115">
        <v>1</v>
      </c>
      <c r="E2153" s="115">
        <v>3.0644316835000001</v>
      </c>
      <c r="F2153" s="115">
        <v>3.0644316835000001</v>
      </c>
      <c r="G2153" s="115">
        <v>3.0644316835000001</v>
      </c>
      <c r="H2153" s="115">
        <v>3.0644316835000001</v>
      </c>
    </row>
    <row r="2154" spans="1:8" ht="45" x14ac:dyDescent="0.25">
      <c r="A2154" s="115">
        <v>5696</v>
      </c>
      <c r="B2154" s="115" t="s">
        <v>128</v>
      </c>
      <c r="C2154" s="115" t="s">
        <v>5101</v>
      </c>
      <c r="D2154" s="115">
        <v>1</v>
      </c>
      <c r="E2154" s="115" t="s">
        <v>4843</v>
      </c>
      <c r="F2154" s="115" t="s">
        <v>4843</v>
      </c>
      <c r="G2154" s="115" t="s">
        <v>4843</v>
      </c>
      <c r="H2154" s="115" t="s">
        <v>4843</v>
      </c>
    </row>
    <row r="2155" spans="1:8" ht="45" x14ac:dyDescent="0.25">
      <c r="A2155" s="115">
        <v>5695</v>
      </c>
      <c r="B2155" s="115" t="s">
        <v>128</v>
      </c>
      <c r="C2155" s="115" t="s">
        <v>5102</v>
      </c>
      <c r="D2155" s="115">
        <v>1</v>
      </c>
      <c r="E2155" s="115" t="s">
        <v>536</v>
      </c>
      <c r="F2155" s="115" t="s">
        <v>536</v>
      </c>
      <c r="G2155" s="115" t="s">
        <v>537</v>
      </c>
      <c r="H2155" s="115" t="s">
        <v>538</v>
      </c>
    </row>
    <row r="2156" spans="1:8" ht="30" x14ac:dyDescent="0.25">
      <c r="A2156" s="115">
        <v>5694</v>
      </c>
      <c r="B2156" s="115" t="s">
        <v>128</v>
      </c>
      <c r="C2156" s="115" t="s">
        <v>5103</v>
      </c>
      <c r="D2156" s="115">
        <v>1</v>
      </c>
      <c r="E2156" s="115">
        <v>31</v>
      </c>
      <c r="F2156" s="115">
        <v>31</v>
      </c>
      <c r="G2156" s="115">
        <v>31</v>
      </c>
      <c r="H2156" s="115">
        <v>31</v>
      </c>
    </row>
    <row r="2157" spans="1:8" ht="45" x14ac:dyDescent="0.25">
      <c r="A2157" s="115">
        <v>5693</v>
      </c>
      <c r="B2157" s="115" t="s">
        <v>128</v>
      </c>
      <c r="C2157" s="115" t="s">
        <v>5104</v>
      </c>
      <c r="D2157" s="115">
        <v>1</v>
      </c>
      <c r="E2157" s="115">
        <v>394.775830896</v>
      </c>
      <c r="F2157" s="115">
        <v>394.775830896</v>
      </c>
      <c r="G2157" s="115">
        <v>394.775830896</v>
      </c>
      <c r="H2157" s="115">
        <v>394.775830896</v>
      </c>
    </row>
    <row r="2158" spans="1:8" ht="30" x14ac:dyDescent="0.25">
      <c r="A2158" s="115">
        <v>5692</v>
      </c>
      <c r="B2158" s="115" t="s">
        <v>128</v>
      </c>
      <c r="C2158" s="115" t="s">
        <v>5105</v>
      </c>
      <c r="D2158" s="115">
        <v>1</v>
      </c>
      <c r="E2158" s="115">
        <v>2.5963505563</v>
      </c>
      <c r="F2158" s="115">
        <v>2.5963505563</v>
      </c>
      <c r="G2158" s="115">
        <v>2.5963505563</v>
      </c>
      <c r="H2158" s="115">
        <v>2.5963505563</v>
      </c>
    </row>
    <row r="2159" spans="1:8" ht="45" x14ac:dyDescent="0.25">
      <c r="A2159" s="115">
        <v>5691</v>
      </c>
      <c r="B2159" s="115" t="s">
        <v>128</v>
      </c>
      <c r="C2159" s="115" t="s">
        <v>5106</v>
      </c>
      <c r="D2159" s="115">
        <v>1</v>
      </c>
      <c r="E2159" s="115" t="s">
        <v>4852</v>
      </c>
      <c r="F2159" s="115" t="s">
        <v>4852</v>
      </c>
      <c r="G2159" s="115" t="s">
        <v>4852</v>
      </c>
      <c r="H2159" s="115" t="s">
        <v>4852</v>
      </c>
    </row>
    <row r="2160" spans="1:8" ht="45" x14ac:dyDescent="0.25">
      <c r="A2160" s="115">
        <v>5690</v>
      </c>
      <c r="B2160" s="115" t="s">
        <v>128</v>
      </c>
      <c r="C2160" s="115" t="s">
        <v>5107</v>
      </c>
      <c r="D2160" s="115">
        <v>1</v>
      </c>
      <c r="E2160" s="115" t="s">
        <v>519</v>
      </c>
      <c r="F2160" s="115" t="s">
        <v>520</v>
      </c>
      <c r="G2160" s="115" t="s">
        <v>521</v>
      </c>
      <c r="H2160" s="115" t="s">
        <v>522</v>
      </c>
    </row>
    <row r="2161" spans="1:8" ht="30" x14ac:dyDescent="0.25">
      <c r="A2161" s="115">
        <v>5689</v>
      </c>
      <c r="B2161" s="115" t="s">
        <v>128</v>
      </c>
      <c r="C2161" s="115" t="s">
        <v>5108</v>
      </c>
      <c r="D2161" s="115">
        <v>1</v>
      </c>
      <c r="E2161" s="115">
        <v>31</v>
      </c>
      <c r="F2161" s="115">
        <v>31</v>
      </c>
      <c r="G2161" s="115">
        <v>31</v>
      </c>
      <c r="H2161" s="115">
        <v>31</v>
      </c>
    </row>
    <row r="2162" spans="1:8" ht="45" x14ac:dyDescent="0.25">
      <c r="A2162" s="115">
        <v>5688</v>
      </c>
      <c r="B2162" s="115" t="s">
        <v>128</v>
      </c>
      <c r="C2162" s="115" t="s">
        <v>5109</v>
      </c>
      <c r="D2162" s="115">
        <v>1</v>
      </c>
      <c r="E2162" s="115">
        <v>1144</v>
      </c>
      <c r="F2162" s="115">
        <v>1144</v>
      </c>
      <c r="G2162" s="115">
        <v>1144</v>
      </c>
      <c r="H2162" s="115">
        <v>1144</v>
      </c>
    </row>
    <row r="2163" spans="1:8" ht="30" x14ac:dyDescent="0.25">
      <c r="A2163" s="115">
        <v>5687</v>
      </c>
      <c r="B2163" s="115" t="s">
        <v>128</v>
      </c>
      <c r="C2163" s="115" t="s">
        <v>5110</v>
      </c>
      <c r="D2163" s="115">
        <v>1</v>
      </c>
      <c r="E2163" s="115">
        <v>3.0584260245000001</v>
      </c>
      <c r="F2163" s="115">
        <v>3.0584260245000001</v>
      </c>
      <c r="G2163" s="115">
        <v>3.0584260245000001</v>
      </c>
      <c r="H2163" s="115">
        <v>3.0584260245000001</v>
      </c>
    </row>
    <row r="2164" spans="1:8" ht="45" x14ac:dyDescent="0.25">
      <c r="A2164" s="115">
        <v>5686</v>
      </c>
      <c r="B2164" s="115" t="s">
        <v>128</v>
      </c>
      <c r="C2164" s="115" t="s">
        <v>5111</v>
      </c>
      <c r="D2164" s="115">
        <v>1</v>
      </c>
      <c r="E2164" s="115" t="s">
        <v>2103</v>
      </c>
      <c r="F2164" s="115" t="s">
        <v>2103</v>
      </c>
      <c r="G2164" s="115" t="s">
        <v>2103</v>
      </c>
      <c r="H2164" s="115" t="s">
        <v>2103</v>
      </c>
    </row>
    <row r="2165" spans="1:8" ht="45" x14ac:dyDescent="0.25">
      <c r="A2165" s="115">
        <v>5685</v>
      </c>
      <c r="B2165" s="115" t="s">
        <v>128</v>
      </c>
      <c r="C2165" s="115" t="s">
        <v>5112</v>
      </c>
      <c r="D2165" s="115">
        <v>1</v>
      </c>
      <c r="E2165" s="115" t="s">
        <v>2921</v>
      </c>
      <c r="F2165" s="115" t="s">
        <v>553</v>
      </c>
      <c r="G2165" s="115" t="s">
        <v>554</v>
      </c>
      <c r="H2165" s="115" t="s">
        <v>555</v>
      </c>
    </row>
    <row r="2166" spans="1:8" ht="30" x14ac:dyDescent="0.25">
      <c r="A2166" s="115">
        <v>5684</v>
      </c>
      <c r="B2166" s="115" t="s">
        <v>128</v>
      </c>
      <c r="C2166" s="115" t="s">
        <v>5113</v>
      </c>
      <c r="D2166" s="115">
        <v>1</v>
      </c>
      <c r="E2166" s="115">
        <v>72</v>
      </c>
      <c r="F2166" s="115">
        <v>72</v>
      </c>
      <c r="G2166" s="115">
        <v>72</v>
      </c>
      <c r="H2166" s="115">
        <v>72</v>
      </c>
    </row>
    <row r="2167" spans="1:8" ht="45" x14ac:dyDescent="0.25">
      <c r="A2167" s="115">
        <v>5683</v>
      </c>
      <c r="B2167" s="115" t="s">
        <v>128</v>
      </c>
      <c r="C2167" s="115" t="s">
        <v>5114</v>
      </c>
      <c r="D2167" s="115">
        <v>1</v>
      </c>
      <c r="E2167" s="115">
        <v>1068.3893101576</v>
      </c>
      <c r="F2167" s="115">
        <v>1068.3893101576</v>
      </c>
      <c r="G2167" s="115">
        <v>1068.3893101576</v>
      </c>
      <c r="H2167" s="115">
        <v>1068.3893101576</v>
      </c>
    </row>
    <row r="2168" spans="1:8" ht="30" x14ac:dyDescent="0.25">
      <c r="A2168" s="115">
        <v>5682</v>
      </c>
      <c r="B2168" s="115" t="s">
        <v>128</v>
      </c>
      <c r="C2168" s="115" t="s">
        <v>5115</v>
      </c>
      <c r="D2168" s="115">
        <v>1</v>
      </c>
      <c r="E2168" s="115">
        <v>3.028729534</v>
      </c>
      <c r="F2168" s="115">
        <v>3.028729534</v>
      </c>
      <c r="G2168" s="115">
        <v>3.028729534</v>
      </c>
      <c r="H2168" s="115">
        <v>3.028729534</v>
      </c>
    </row>
    <row r="2169" spans="1:8" ht="45" x14ac:dyDescent="0.25">
      <c r="A2169" s="115">
        <v>5681</v>
      </c>
      <c r="B2169" s="115" t="s">
        <v>128</v>
      </c>
      <c r="C2169" s="115" t="s">
        <v>5116</v>
      </c>
      <c r="D2169" s="115">
        <v>1</v>
      </c>
      <c r="E2169" s="115" t="s">
        <v>2103</v>
      </c>
      <c r="F2169" s="115" t="s">
        <v>2103</v>
      </c>
      <c r="G2169" s="115" t="s">
        <v>2103</v>
      </c>
      <c r="H2169" s="115" t="s">
        <v>2103</v>
      </c>
    </row>
    <row r="2170" spans="1:8" ht="45" x14ac:dyDescent="0.25">
      <c r="A2170" s="115">
        <v>5680</v>
      </c>
      <c r="B2170" s="115" t="s">
        <v>128</v>
      </c>
      <c r="C2170" s="115" t="s">
        <v>5117</v>
      </c>
      <c r="D2170" s="115">
        <v>1</v>
      </c>
      <c r="E2170" s="115" t="s">
        <v>2921</v>
      </c>
      <c r="F2170" s="115" t="s">
        <v>553</v>
      </c>
      <c r="G2170" s="115" t="s">
        <v>554</v>
      </c>
      <c r="H2170" s="115" t="s">
        <v>555</v>
      </c>
    </row>
    <row r="2171" spans="1:8" ht="30" x14ac:dyDescent="0.25">
      <c r="A2171" s="115">
        <v>5679</v>
      </c>
      <c r="B2171" s="115" t="s">
        <v>128</v>
      </c>
      <c r="C2171" s="115" t="s">
        <v>5118</v>
      </c>
      <c r="D2171" s="115">
        <v>1</v>
      </c>
      <c r="E2171" s="115">
        <v>63</v>
      </c>
      <c r="F2171" s="115">
        <v>63</v>
      </c>
      <c r="G2171" s="115">
        <v>63</v>
      </c>
      <c r="H2171" s="115">
        <v>63</v>
      </c>
    </row>
    <row r="2172" spans="1:8" ht="45" x14ac:dyDescent="0.25">
      <c r="A2172" s="115">
        <v>5678</v>
      </c>
      <c r="B2172" s="115" t="s">
        <v>128</v>
      </c>
      <c r="C2172" s="115" t="s">
        <v>5119</v>
      </c>
      <c r="D2172" s="115">
        <v>1</v>
      </c>
      <c r="E2172" s="115">
        <v>1023.2943547429001</v>
      </c>
      <c r="F2172" s="115">
        <v>1023.2943547429001</v>
      </c>
      <c r="G2172" s="115">
        <v>1023.2943547429001</v>
      </c>
      <c r="H2172" s="115">
        <v>1023.2943547429001</v>
      </c>
    </row>
    <row r="2173" spans="1:8" ht="30" x14ac:dyDescent="0.25">
      <c r="A2173" s="115">
        <v>5677</v>
      </c>
      <c r="B2173" s="115" t="s">
        <v>128</v>
      </c>
      <c r="C2173" s="115" t="s">
        <v>5120</v>
      </c>
      <c r="D2173" s="115">
        <v>1</v>
      </c>
      <c r="E2173" s="115">
        <v>3.0100005782000001</v>
      </c>
      <c r="F2173" s="115">
        <v>3.0100005782000001</v>
      </c>
      <c r="G2173" s="115">
        <v>3.0100005782000001</v>
      </c>
      <c r="H2173" s="115">
        <v>3.0100005782000001</v>
      </c>
    </row>
    <row r="2174" spans="1:8" ht="45" x14ac:dyDescent="0.25">
      <c r="A2174" s="115">
        <v>5676</v>
      </c>
      <c r="B2174" s="115" t="s">
        <v>128</v>
      </c>
      <c r="C2174" s="115" t="s">
        <v>5121</v>
      </c>
      <c r="D2174" s="115">
        <v>1</v>
      </c>
      <c r="E2174" s="115" t="s">
        <v>4852</v>
      </c>
      <c r="F2174" s="115" t="s">
        <v>4852</v>
      </c>
      <c r="G2174" s="115" t="s">
        <v>4852</v>
      </c>
      <c r="H2174" s="115" t="s">
        <v>4852</v>
      </c>
    </row>
    <row r="2175" spans="1:8" ht="45" x14ac:dyDescent="0.25">
      <c r="A2175" s="115">
        <v>5675</v>
      </c>
      <c r="B2175" s="115" t="s">
        <v>128</v>
      </c>
      <c r="C2175" s="115" t="s">
        <v>5122</v>
      </c>
      <c r="D2175" s="115">
        <v>1</v>
      </c>
      <c r="E2175" s="115" t="s">
        <v>519</v>
      </c>
      <c r="F2175" s="115" t="s">
        <v>520</v>
      </c>
      <c r="G2175" s="115" t="s">
        <v>521</v>
      </c>
      <c r="H2175" s="115" t="s">
        <v>522</v>
      </c>
    </row>
    <row r="2176" spans="1:8" ht="30" x14ac:dyDescent="0.25">
      <c r="A2176" s="115">
        <v>5674</v>
      </c>
      <c r="B2176" s="115" t="s">
        <v>128</v>
      </c>
      <c r="C2176" s="115" t="s">
        <v>5123</v>
      </c>
      <c r="D2176" s="115">
        <v>1</v>
      </c>
      <c r="E2176" s="115">
        <v>47</v>
      </c>
      <c r="F2176" s="115">
        <v>47</v>
      </c>
      <c r="G2176" s="115">
        <v>47</v>
      </c>
      <c r="H2176" s="115">
        <v>47</v>
      </c>
    </row>
    <row r="2177" spans="1:8" ht="45" x14ac:dyDescent="0.25">
      <c r="A2177" s="115">
        <v>5673</v>
      </c>
      <c r="B2177" s="115" t="s">
        <v>128</v>
      </c>
      <c r="C2177" s="115" t="s">
        <v>5124</v>
      </c>
      <c r="D2177" s="115">
        <v>1</v>
      </c>
      <c r="E2177" s="115">
        <v>870.54210662000003</v>
      </c>
      <c r="F2177" s="115">
        <v>870.54210662000003</v>
      </c>
      <c r="G2177" s="115">
        <v>870.54210662000003</v>
      </c>
      <c r="H2177" s="115">
        <v>870.54210662000003</v>
      </c>
    </row>
    <row r="2178" spans="1:8" ht="30" x14ac:dyDescent="0.25">
      <c r="A2178" s="115">
        <v>5672</v>
      </c>
      <c r="B2178" s="115" t="s">
        <v>128</v>
      </c>
      <c r="C2178" s="115" t="s">
        <v>5125</v>
      </c>
      <c r="D2178" s="115">
        <v>1</v>
      </c>
      <c r="E2178" s="115">
        <v>2.9397897820000001</v>
      </c>
      <c r="F2178" s="115">
        <v>2.9397897820000001</v>
      </c>
      <c r="G2178" s="115">
        <v>2.9397897820000001</v>
      </c>
      <c r="H2178" s="115">
        <v>2.9397897820000001</v>
      </c>
    </row>
    <row r="2179" spans="1:8" ht="45" x14ac:dyDescent="0.25">
      <c r="A2179" s="115">
        <v>5671</v>
      </c>
      <c r="B2179" s="115" t="s">
        <v>128</v>
      </c>
      <c r="C2179" s="115" t="s">
        <v>5126</v>
      </c>
      <c r="D2179" s="115">
        <v>1</v>
      </c>
      <c r="E2179" s="115" t="s">
        <v>4843</v>
      </c>
      <c r="F2179" s="115" t="s">
        <v>4843</v>
      </c>
      <c r="G2179" s="115" t="s">
        <v>4843</v>
      </c>
      <c r="H2179" s="115" t="s">
        <v>4843</v>
      </c>
    </row>
    <row r="2180" spans="1:8" ht="45" x14ac:dyDescent="0.25">
      <c r="A2180" s="115">
        <v>5670</v>
      </c>
      <c r="B2180" s="115" t="s">
        <v>128</v>
      </c>
      <c r="C2180" s="115" t="s">
        <v>5127</v>
      </c>
      <c r="D2180" s="115">
        <v>1</v>
      </c>
      <c r="E2180" s="115" t="s">
        <v>536</v>
      </c>
      <c r="F2180" s="115" t="s">
        <v>536</v>
      </c>
      <c r="G2180" s="115" t="s">
        <v>537</v>
      </c>
      <c r="H2180" s="115" t="s">
        <v>538</v>
      </c>
    </row>
    <row r="2181" spans="1:8" ht="30" x14ac:dyDescent="0.25">
      <c r="A2181" s="115">
        <v>5669</v>
      </c>
      <c r="B2181" s="115" t="s">
        <v>128</v>
      </c>
      <c r="C2181" s="115" t="s">
        <v>5128</v>
      </c>
      <c r="D2181" s="115">
        <v>1</v>
      </c>
      <c r="E2181" s="115">
        <v>30</v>
      </c>
      <c r="F2181" s="115">
        <v>30</v>
      </c>
      <c r="G2181" s="115">
        <v>30</v>
      </c>
      <c r="H2181" s="115">
        <v>30</v>
      </c>
    </row>
    <row r="2182" spans="1:8" ht="45" x14ac:dyDescent="0.25">
      <c r="A2182" s="115">
        <v>5668</v>
      </c>
      <c r="B2182" s="115" t="s">
        <v>128</v>
      </c>
      <c r="C2182" s="115" t="s">
        <v>5129</v>
      </c>
      <c r="D2182" s="115">
        <v>1</v>
      </c>
      <c r="E2182" s="115">
        <v>752.15605251379998</v>
      </c>
      <c r="F2182" s="115">
        <v>752.15605251379998</v>
      </c>
      <c r="G2182" s="115">
        <v>752.15605251379998</v>
      </c>
      <c r="H2182" s="115">
        <v>752.15605251379998</v>
      </c>
    </row>
    <row r="2183" spans="1:8" ht="30" x14ac:dyDescent="0.25">
      <c r="A2183" s="115">
        <v>5667</v>
      </c>
      <c r="B2183" s="115" t="s">
        <v>128</v>
      </c>
      <c r="C2183" s="115" t="s">
        <v>5130</v>
      </c>
      <c r="D2183" s="115">
        <v>1</v>
      </c>
      <c r="E2183" s="115">
        <v>2.8763079546000001</v>
      </c>
      <c r="F2183" s="115">
        <v>2.8763079546000001</v>
      </c>
      <c r="G2183" s="115">
        <v>2.8763079546000001</v>
      </c>
      <c r="H2183" s="115">
        <v>2.8763079546000001</v>
      </c>
    </row>
    <row r="2184" spans="1:8" ht="45" x14ac:dyDescent="0.25">
      <c r="A2184" s="115">
        <v>5666</v>
      </c>
      <c r="B2184" s="115" t="s">
        <v>128</v>
      </c>
      <c r="C2184" s="115" t="s">
        <v>5131</v>
      </c>
      <c r="D2184" s="115">
        <v>1</v>
      </c>
      <c r="E2184" s="115" t="s">
        <v>2103</v>
      </c>
      <c r="F2184" s="115" t="s">
        <v>2103</v>
      </c>
      <c r="G2184" s="115" t="s">
        <v>2103</v>
      </c>
      <c r="H2184" s="115" t="s">
        <v>2103</v>
      </c>
    </row>
    <row r="2185" spans="1:8" ht="45" x14ac:dyDescent="0.25">
      <c r="A2185" s="115">
        <v>5665</v>
      </c>
      <c r="B2185" s="115" t="s">
        <v>128</v>
      </c>
      <c r="C2185" s="115" t="s">
        <v>5132</v>
      </c>
      <c r="D2185" s="115">
        <v>1</v>
      </c>
      <c r="E2185" s="115" t="s">
        <v>2921</v>
      </c>
      <c r="F2185" s="115" t="s">
        <v>553</v>
      </c>
      <c r="G2185" s="115" t="s">
        <v>554</v>
      </c>
      <c r="H2185" s="115" t="s">
        <v>555</v>
      </c>
    </row>
    <row r="2186" spans="1:8" ht="30" x14ac:dyDescent="0.25">
      <c r="A2186" s="115">
        <v>5664</v>
      </c>
      <c r="B2186" s="115" t="s">
        <v>128</v>
      </c>
      <c r="C2186" s="115" t="s">
        <v>5133</v>
      </c>
      <c r="D2186" s="115">
        <v>1</v>
      </c>
      <c r="E2186" s="115">
        <v>33</v>
      </c>
      <c r="F2186" s="115">
        <v>33</v>
      </c>
      <c r="G2186" s="115">
        <v>33</v>
      </c>
      <c r="H2186" s="115">
        <v>33</v>
      </c>
    </row>
    <row r="2187" spans="1:8" ht="45" x14ac:dyDescent="0.25">
      <c r="A2187" s="115">
        <v>5663</v>
      </c>
      <c r="B2187" s="115" t="s">
        <v>128</v>
      </c>
      <c r="C2187" s="115" t="s">
        <v>5134</v>
      </c>
      <c r="D2187" s="115">
        <v>1</v>
      </c>
      <c r="E2187" s="115">
        <v>751.91631679080001</v>
      </c>
      <c r="F2187" s="115">
        <v>751.91631679080001</v>
      </c>
      <c r="G2187" s="115">
        <v>751.91631679080001</v>
      </c>
      <c r="H2187" s="115">
        <v>751.91631679080001</v>
      </c>
    </row>
    <row r="2188" spans="1:8" ht="30" x14ac:dyDescent="0.25">
      <c r="A2188" s="115">
        <v>5662</v>
      </c>
      <c r="B2188" s="115" t="s">
        <v>128</v>
      </c>
      <c r="C2188" s="115" t="s">
        <v>5135</v>
      </c>
      <c r="D2188" s="115">
        <v>1</v>
      </c>
      <c r="E2188" s="115">
        <v>2.8761695091999999</v>
      </c>
      <c r="F2188" s="115">
        <v>2.8761695091999999</v>
      </c>
      <c r="G2188" s="115">
        <v>2.8761695091999999</v>
      </c>
      <c r="H2188" s="115">
        <v>2.8761695091999999</v>
      </c>
    </row>
    <row r="2189" spans="1:8" ht="45" x14ac:dyDescent="0.25">
      <c r="A2189" s="115">
        <v>5661</v>
      </c>
      <c r="B2189" s="115" t="s">
        <v>128</v>
      </c>
      <c r="C2189" s="115" t="s">
        <v>5136</v>
      </c>
      <c r="D2189" s="115">
        <v>1</v>
      </c>
      <c r="E2189" s="115" t="s">
        <v>4852</v>
      </c>
      <c r="F2189" s="115" t="s">
        <v>4852</v>
      </c>
      <c r="G2189" s="115" t="s">
        <v>4852</v>
      </c>
      <c r="H2189" s="115" t="s">
        <v>4852</v>
      </c>
    </row>
    <row r="2190" spans="1:8" ht="45" x14ac:dyDescent="0.25">
      <c r="A2190" s="115">
        <v>5660</v>
      </c>
      <c r="B2190" s="115" t="s">
        <v>128</v>
      </c>
      <c r="C2190" s="115" t="s">
        <v>5137</v>
      </c>
      <c r="D2190" s="115">
        <v>1</v>
      </c>
      <c r="E2190" s="115" t="s">
        <v>519</v>
      </c>
      <c r="F2190" s="115" t="s">
        <v>520</v>
      </c>
      <c r="G2190" s="115" t="s">
        <v>521</v>
      </c>
      <c r="H2190" s="115" t="s">
        <v>522</v>
      </c>
    </row>
    <row r="2191" spans="1:8" ht="30" x14ac:dyDescent="0.25">
      <c r="A2191" s="115">
        <v>5659</v>
      </c>
      <c r="B2191" s="115" t="s">
        <v>128</v>
      </c>
      <c r="C2191" s="115" t="s">
        <v>5138</v>
      </c>
      <c r="D2191" s="115">
        <v>1</v>
      </c>
      <c r="E2191" s="115">
        <v>69</v>
      </c>
      <c r="F2191" s="115">
        <v>69</v>
      </c>
      <c r="G2191" s="115">
        <v>69</v>
      </c>
      <c r="H2191" s="115">
        <v>69</v>
      </c>
    </row>
    <row r="2192" spans="1:8" ht="45" x14ac:dyDescent="0.25">
      <c r="A2192" s="115">
        <v>5658</v>
      </c>
      <c r="B2192" s="115" t="s">
        <v>128</v>
      </c>
      <c r="C2192" s="115" t="s">
        <v>5139</v>
      </c>
      <c r="D2192" s="115">
        <v>1</v>
      </c>
      <c r="E2192" s="115">
        <v>693.98436119940004</v>
      </c>
      <c r="F2192" s="115">
        <v>693.98436119940004</v>
      </c>
      <c r="G2192" s="115">
        <v>693.98436119940004</v>
      </c>
      <c r="H2192" s="115">
        <v>693.98436119940004</v>
      </c>
    </row>
    <row r="2193" spans="1:8" ht="30" x14ac:dyDescent="0.25">
      <c r="A2193" s="115">
        <v>5657</v>
      </c>
      <c r="B2193" s="115" t="s">
        <v>128</v>
      </c>
      <c r="C2193" s="115" t="s">
        <v>5140</v>
      </c>
      <c r="D2193" s="115">
        <v>1</v>
      </c>
      <c r="E2193" s="115">
        <v>2.8413496837999999</v>
      </c>
      <c r="F2193" s="115">
        <v>2.8413496837999999</v>
      </c>
      <c r="G2193" s="115">
        <v>2.8413496837999999</v>
      </c>
      <c r="H2193" s="115">
        <v>2.8413496837999999</v>
      </c>
    </row>
    <row r="2194" spans="1:8" ht="45" x14ac:dyDescent="0.25">
      <c r="A2194" s="115">
        <v>5656</v>
      </c>
      <c r="B2194" s="115" t="s">
        <v>128</v>
      </c>
      <c r="C2194" s="115" t="s">
        <v>5141</v>
      </c>
      <c r="D2194" s="115">
        <v>1</v>
      </c>
      <c r="E2194" s="115" t="s">
        <v>4852</v>
      </c>
      <c r="F2194" s="115" t="s">
        <v>4852</v>
      </c>
      <c r="G2194" s="115" t="s">
        <v>4852</v>
      </c>
      <c r="H2194" s="115" t="s">
        <v>4852</v>
      </c>
    </row>
    <row r="2195" spans="1:8" ht="45" x14ac:dyDescent="0.25">
      <c r="A2195" s="115">
        <v>5655</v>
      </c>
      <c r="B2195" s="115" t="s">
        <v>128</v>
      </c>
      <c r="C2195" s="115" t="s">
        <v>5142</v>
      </c>
      <c r="D2195" s="115">
        <v>1</v>
      </c>
      <c r="E2195" s="115" t="s">
        <v>519</v>
      </c>
      <c r="F2195" s="115" t="s">
        <v>520</v>
      </c>
      <c r="G2195" s="115" t="s">
        <v>521</v>
      </c>
      <c r="H2195" s="115" t="s">
        <v>522</v>
      </c>
    </row>
    <row r="2196" spans="1:8" ht="30" x14ac:dyDescent="0.25">
      <c r="A2196" s="115">
        <v>5654</v>
      </c>
      <c r="B2196" s="115" t="s">
        <v>128</v>
      </c>
      <c r="C2196" s="115" t="s">
        <v>5143</v>
      </c>
      <c r="D2196" s="115">
        <v>1</v>
      </c>
      <c r="E2196" s="115">
        <v>60</v>
      </c>
      <c r="F2196" s="115">
        <v>60</v>
      </c>
      <c r="G2196" s="115">
        <v>60</v>
      </c>
      <c r="H2196" s="115">
        <v>60</v>
      </c>
    </row>
    <row r="2197" spans="1:8" ht="45" x14ac:dyDescent="0.25">
      <c r="A2197" s="115">
        <v>5653</v>
      </c>
      <c r="B2197" s="115" t="s">
        <v>128</v>
      </c>
      <c r="C2197" s="115" t="s">
        <v>5144</v>
      </c>
      <c r="D2197" s="115">
        <v>1</v>
      </c>
      <c r="E2197" s="115">
        <v>690.20538529270004</v>
      </c>
      <c r="F2197" s="115">
        <v>690.20538529270004</v>
      </c>
      <c r="G2197" s="115">
        <v>690.20538529270004</v>
      </c>
      <c r="H2197" s="115">
        <v>690.20538529270004</v>
      </c>
    </row>
    <row r="2198" spans="1:8" ht="30" x14ac:dyDescent="0.25">
      <c r="A2198" s="115">
        <v>5652</v>
      </c>
      <c r="B2198" s="115" t="s">
        <v>128</v>
      </c>
      <c r="C2198" s="115" t="s">
        <v>5145</v>
      </c>
      <c r="D2198" s="115">
        <v>1</v>
      </c>
      <c r="E2198" s="115">
        <v>2.8389783435</v>
      </c>
      <c r="F2198" s="115">
        <v>2.8389783435</v>
      </c>
      <c r="G2198" s="115">
        <v>2.8389783435</v>
      </c>
      <c r="H2198" s="115">
        <v>2.8389783435</v>
      </c>
    </row>
    <row r="2199" spans="1:8" ht="45" x14ac:dyDescent="0.25">
      <c r="A2199" s="115">
        <v>5651</v>
      </c>
      <c r="B2199" s="115" t="s">
        <v>128</v>
      </c>
      <c r="C2199" s="115" t="s">
        <v>5146</v>
      </c>
      <c r="D2199" s="115">
        <v>1</v>
      </c>
      <c r="E2199" s="115" t="s">
        <v>2103</v>
      </c>
      <c r="F2199" s="115" t="s">
        <v>2103</v>
      </c>
      <c r="G2199" s="115" t="s">
        <v>2103</v>
      </c>
      <c r="H2199" s="115" t="s">
        <v>2103</v>
      </c>
    </row>
    <row r="2200" spans="1:8" ht="45" x14ac:dyDescent="0.25">
      <c r="A2200" s="115">
        <v>5650</v>
      </c>
      <c r="B2200" s="115" t="s">
        <v>128</v>
      </c>
      <c r="C2200" s="115" t="s">
        <v>5147</v>
      </c>
      <c r="D2200" s="115">
        <v>1</v>
      </c>
      <c r="E2200" s="115" t="s">
        <v>2921</v>
      </c>
      <c r="F2200" s="115" t="s">
        <v>553</v>
      </c>
      <c r="G2200" s="115" t="s">
        <v>554</v>
      </c>
      <c r="H2200" s="115" t="s">
        <v>555</v>
      </c>
    </row>
    <row r="2201" spans="1:8" ht="30" x14ac:dyDescent="0.25">
      <c r="A2201" s="115">
        <v>5649</v>
      </c>
      <c r="B2201" s="115" t="s">
        <v>128</v>
      </c>
      <c r="C2201" s="115" t="s">
        <v>5148</v>
      </c>
      <c r="D2201" s="115">
        <v>1</v>
      </c>
      <c r="E2201" s="115">
        <v>42</v>
      </c>
      <c r="F2201" s="115">
        <v>42</v>
      </c>
      <c r="G2201" s="115">
        <v>42</v>
      </c>
      <c r="H2201" s="115">
        <v>42</v>
      </c>
    </row>
    <row r="2202" spans="1:8" ht="45" x14ac:dyDescent="0.25">
      <c r="A2202" s="115">
        <v>5648</v>
      </c>
      <c r="B2202" s="115" t="s">
        <v>128</v>
      </c>
      <c r="C2202" s="115" t="s">
        <v>5149</v>
      </c>
      <c r="D2202" s="115">
        <v>1</v>
      </c>
      <c r="E2202" s="115">
        <v>687.24547498269999</v>
      </c>
      <c r="F2202" s="115">
        <v>687.24547498269999</v>
      </c>
      <c r="G2202" s="115">
        <v>687.24547498269999</v>
      </c>
      <c r="H2202" s="115">
        <v>687.24547498269999</v>
      </c>
    </row>
    <row r="2203" spans="1:8" ht="30" x14ac:dyDescent="0.25">
      <c r="A2203" s="115">
        <v>5647</v>
      </c>
      <c r="B2203" s="115" t="s">
        <v>128</v>
      </c>
      <c r="C2203" s="115" t="s">
        <v>5150</v>
      </c>
      <c r="D2203" s="115">
        <v>1</v>
      </c>
      <c r="E2203" s="115">
        <v>2.837111889</v>
      </c>
      <c r="F2203" s="115">
        <v>2.837111889</v>
      </c>
      <c r="G2203" s="115">
        <v>2.837111889</v>
      </c>
      <c r="H2203" s="115">
        <v>2.837111889</v>
      </c>
    </row>
    <row r="2204" spans="1:8" ht="45" x14ac:dyDescent="0.25">
      <c r="A2204" s="115">
        <v>5646</v>
      </c>
      <c r="B2204" s="115" t="s">
        <v>128</v>
      </c>
      <c r="C2204" s="115" t="s">
        <v>5151</v>
      </c>
      <c r="D2204" s="115">
        <v>1</v>
      </c>
      <c r="E2204" s="115" t="s">
        <v>2103</v>
      </c>
      <c r="F2204" s="115" t="s">
        <v>2103</v>
      </c>
      <c r="G2204" s="115" t="s">
        <v>2103</v>
      </c>
      <c r="H2204" s="115" t="s">
        <v>2103</v>
      </c>
    </row>
    <row r="2205" spans="1:8" ht="45" x14ac:dyDescent="0.25">
      <c r="A2205" s="115">
        <v>5645</v>
      </c>
      <c r="B2205" s="115" t="s">
        <v>128</v>
      </c>
      <c r="C2205" s="115" t="s">
        <v>5152</v>
      </c>
      <c r="D2205" s="115">
        <v>1</v>
      </c>
      <c r="E2205" s="115" t="s">
        <v>2921</v>
      </c>
      <c r="F2205" s="115" t="s">
        <v>553</v>
      </c>
      <c r="G2205" s="115" t="s">
        <v>554</v>
      </c>
      <c r="H2205" s="115" t="s">
        <v>555</v>
      </c>
    </row>
    <row r="2206" spans="1:8" ht="30" x14ac:dyDescent="0.25">
      <c r="A2206" s="115">
        <v>5644</v>
      </c>
      <c r="B2206" s="115" t="s">
        <v>128</v>
      </c>
      <c r="C2206" s="115" t="s">
        <v>5153</v>
      </c>
      <c r="D2206" s="115">
        <v>1</v>
      </c>
      <c r="E2206" s="115">
        <v>59</v>
      </c>
      <c r="F2206" s="115">
        <v>59</v>
      </c>
      <c r="G2206" s="115">
        <v>59</v>
      </c>
      <c r="H2206" s="115">
        <v>59</v>
      </c>
    </row>
    <row r="2207" spans="1:8" ht="45" x14ac:dyDescent="0.25">
      <c r="A2207" s="115">
        <v>5643</v>
      </c>
      <c r="B2207" s="115" t="s">
        <v>128</v>
      </c>
      <c r="C2207" s="115" t="s">
        <v>5154</v>
      </c>
      <c r="D2207" s="115">
        <v>1</v>
      </c>
      <c r="E2207" s="115">
        <v>634.32097459579995</v>
      </c>
      <c r="F2207" s="115">
        <v>634.32097459579995</v>
      </c>
      <c r="G2207" s="115">
        <v>634.32097459579995</v>
      </c>
      <c r="H2207" s="115">
        <v>634.32097459579995</v>
      </c>
    </row>
    <row r="2208" spans="1:8" ht="30" x14ac:dyDescent="0.25">
      <c r="A2208" s="115">
        <v>5642</v>
      </c>
      <c r="B2208" s="115" t="s">
        <v>128</v>
      </c>
      <c r="C2208" s="115" t="s">
        <v>5155</v>
      </c>
      <c r="D2208" s="115">
        <v>1</v>
      </c>
      <c r="E2208" s="115">
        <v>2.8023090720999999</v>
      </c>
      <c r="F2208" s="115">
        <v>2.8023090720999999</v>
      </c>
      <c r="G2208" s="115">
        <v>2.8023090720999999</v>
      </c>
      <c r="H2208" s="115">
        <v>2.8023090720999999</v>
      </c>
    </row>
    <row r="2209" spans="1:8" ht="45" x14ac:dyDescent="0.25">
      <c r="A2209" s="115">
        <v>5641</v>
      </c>
      <c r="B2209" s="115" t="s">
        <v>128</v>
      </c>
      <c r="C2209" s="115" t="s">
        <v>5156</v>
      </c>
      <c r="D2209" s="115">
        <v>1</v>
      </c>
      <c r="E2209" s="115" t="s">
        <v>4852</v>
      </c>
      <c r="F2209" s="115" t="s">
        <v>4852</v>
      </c>
      <c r="G2209" s="115" t="s">
        <v>4852</v>
      </c>
      <c r="H2209" s="115" t="s">
        <v>4852</v>
      </c>
    </row>
    <row r="2210" spans="1:8" ht="45" x14ac:dyDescent="0.25">
      <c r="A2210" s="115">
        <v>5640</v>
      </c>
      <c r="B2210" s="115" t="s">
        <v>128</v>
      </c>
      <c r="C2210" s="115" t="s">
        <v>5157</v>
      </c>
      <c r="D2210" s="115">
        <v>1</v>
      </c>
      <c r="E2210" s="115" t="s">
        <v>519</v>
      </c>
      <c r="F2210" s="115" t="s">
        <v>520</v>
      </c>
      <c r="G2210" s="115" t="s">
        <v>521</v>
      </c>
      <c r="H2210" s="115" t="s">
        <v>522</v>
      </c>
    </row>
    <row r="2211" spans="1:8" ht="30" x14ac:dyDescent="0.25">
      <c r="A2211" s="115">
        <v>5639</v>
      </c>
      <c r="B2211" s="115" t="s">
        <v>128</v>
      </c>
      <c r="C2211" s="115" t="s">
        <v>5158</v>
      </c>
      <c r="D2211" s="115">
        <v>1</v>
      </c>
      <c r="E2211" s="115">
        <v>39</v>
      </c>
      <c r="F2211" s="115">
        <v>39</v>
      </c>
      <c r="G2211" s="115">
        <v>39</v>
      </c>
      <c r="H2211" s="115">
        <v>39</v>
      </c>
    </row>
    <row r="2212" spans="1:8" ht="45" x14ac:dyDescent="0.25">
      <c r="A2212" s="115">
        <v>5638</v>
      </c>
      <c r="B2212" s="115" t="s">
        <v>128</v>
      </c>
      <c r="C2212" s="115" t="s">
        <v>5159</v>
      </c>
      <c r="D2212" s="115">
        <v>1</v>
      </c>
      <c r="E2212" s="115">
        <v>268.05391134550001</v>
      </c>
      <c r="F2212" s="115">
        <v>268.05391134550001</v>
      </c>
      <c r="G2212" s="115">
        <v>268.05391134550001</v>
      </c>
      <c r="H2212" s="115">
        <v>268.05391134550001</v>
      </c>
    </row>
    <row r="2213" spans="1:8" ht="30" x14ac:dyDescent="0.25">
      <c r="A2213" s="115">
        <v>5637</v>
      </c>
      <c r="B2213" s="115" t="s">
        <v>128</v>
      </c>
      <c r="C2213" s="115" t="s">
        <v>5160</v>
      </c>
      <c r="D2213" s="115">
        <v>1</v>
      </c>
      <c r="E2213" s="115">
        <v>2.4282221487000002</v>
      </c>
      <c r="F2213" s="115">
        <v>2.4282221487000002</v>
      </c>
      <c r="G2213" s="115">
        <v>2.4282221487000002</v>
      </c>
      <c r="H2213" s="115">
        <v>2.4282221487000002</v>
      </c>
    </row>
    <row r="2214" spans="1:8" ht="45" x14ac:dyDescent="0.25">
      <c r="A2214" s="115">
        <v>5636</v>
      </c>
      <c r="B2214" s="115" t="s">
        <v>128</v>
      </c>
      <c r="C2214" s="115" t="s">
        <v>5161</v>
      </c>
      <c r="D2214" s="115">
        <v>1</v>
      </c>
      <c r="E2214" s="115" t="s">
        <v>4852</v>
      </c>
      <c r="F2214" s="115" t="s">
        <v>4852</v>
      </c>
      <c r="G2214" s="115" t="s">
        <v>4852</v>
      </c>
      <c r="H2214" s="115" t="s">
        <v>4852</v>
      </c>
    </row>
    <row r="2215" spans="1:8" ht="45" x14ac:dyDescent="0.25">
      <c r="A2215" s="115">
        <v>5635</v>
      </c>
      <c r="B2215" s="115" t="s">
        <v>128</v>
      </c>
      <c r="C2215" s="115" t="s">
        <v>5162</v>
      </c>
      <c r="D2215" s="115">
        <v>1</v>
      </c>
      <c r="E2215" s="115" t="s">
        <v>519</v>
      </c>
      <c r="F2215" s="115" t="s">
        <v>520</v>
      </c>
      <c r="G2215" s="115" t="s">
        <v>521</v>
      </c>
      <c r="H2215" s="115" t="s">
        <v>522</v>
      </c>
    </row>
    <row r="2216" spans="1:8" ht="30" x14ac:dyDescent="0.25">
      <c r="A2216" s="115">
        <v>5634</v>
      </c>
      <c r="B2216" s="115" t="s">
        <v>128</v>
      </c>
      <c r="C2216" s="115" t="s">
        <v>5163</v>
      </c>
      <c r="D2216" s="115">
        <v>1</v>
      </c>
      <c r="E2216" s="115">
        <v>94</v>
      </c>
      <c r="F2216" s="115">
        <v>94</v>
      </c>
      <c r="G2216" s="115">
        <v>94</v>
      </c>
      <c r="H2216" s="115">
        <v>94</v>
      </c>
    </row>
    <row r="2217" spans="1:8" ht="45" x14ac:dyDescent="0.25">
      <c r="A2217" s="115">
        <v>5633</v>
      </c>
      <c r="B2217" s="115" t="s">
        <v>128</v>
      </c>
      <c r="C2217" s="115" t="s">
        <v>5164</v>
      </c>
      <c r="D2217" s="115">
        <v>1</v>
      </c>
      <c r="E2217" s="115">
        <v>251.01452298379999</v>
      </c>
      <c r="F2217" s="115">
        <v>251.01452298379999</v>
      </c>
      <c r="G2217" s="115">
        <v>251.01452298379999</v>
      </c>
      <c r="H2217" s="115">
        <v>251.01452298379999</v>
      </c>
    </row>
    <row r="2218" spans="1:8" ht="30" x14ac:dyDescent="0.25">
      <c r="A2218" s="115">
        <v>5632</v>
      </c>
      <c r="B2218" s="115" t="s">
        <v>128</v>
      </c>
      <c r="C2218" s="115" t="s">
        <v>5165</v>
      </c>
      <c r="D2218" s="115">
        <v>1</v>
      </c>
      <c r="E2218" s="115">
        <v>2.3996988492</v>
      </c>
      <c r="F2218" s="115">
        <v>2.3996988492</v>
      </c>
      <c r="G2218" s="115">
        <v>2.3996988492</v>
      </c>
      <c r="H2218" s="115">
        <v>2.3996988492</v>
      </c>
    </row>
    <row r="2219" spans="1:8" ht="45" x14ac:dyDescent="0.25">
      <c r="A2219" s="115">
        <v>5631</v>
      </c>
      <c r="B2219" s="115" t="s">
        <v>128</v>
      </c>
      <c r="C2219" s="115" t="s">
        <v>5166</v>
      </c>
      <c r="D2219" s="115">
        <v>1</v>
      </c>
      <c r="E2219" s="115" t="s">
        <v>4852</v>
      </c>
      <c r="F2219" s="115" t="s">
        <v>4852</v>
      </c>
      <c r="G2219" s="115" t="s">
        <v>4852</v>
      </c>
      <c r="H2219" s="115" t="s">
        <v>4852</v>
      </c>
    </row>
    <row r="2220" spans="1:8" ht="45" x14ac:dyDescent="0.25">
      <c r="A2220" s="115">
        <v>5630</v>
      </c>
      <c r="B2220" s="115" t="s">
        <v>128</v>
      </c>
      <c r="C2220" s="115" t="s">
        <v>5167</v>
      </c>
      <c r="D2220" s="115">
        <v>1</v>
      </c>
      <c r="E2220" s="115" t="s">
        <v>519</v>
      </c>
      <c r="F2220" s="115" t="s">
        <v>520</v>
      </c>
      <c r="G2220" s="115" t="s">
        <v>521</v>
      </c>
      <c r="H2220" s="115" t="s">
        <v>522</v>
      </c>
    </row>
    <row r="2221" spans="1:8" ht="30" x14ac:dyDescent="0.25">
      <c r="A2221" s="115">
        <v>5629</v>
      </c>
      <c r="B2221" s="115" t="s">
        <v>128</v>
      </c>
      <c r="C2221" s="115" t="s">
        <v>5168</v>
      </c>
      <c r="D2221" s="115">
        <v>1</v>
      </c>
      <c r="E2221" s="115" t="s">
        <v>5169</v>
      </c>
      <c r="F2221" s="115" t="s">
        <v>5170</v>
      </c>
      <c r="G2221" s="115" t="s">
        <v>5171</v>
      </c>
      <c r="H2221" s="115" t="s">
        <v>5172</v>
      </c>
    </row>
    <row r="2222" spans="1:8" ht="105" x14ac:dyDescent="0.25">
      <c r="A2222" s="115">
        <v>5628</v>
      </c>
      <c r="B2222" s="115" t="s">
        <v>128</v>
      </c>
      <c r="C2222" s="115" t="s">
        <v>5173</v>
      </c>
      <c r="D2222" s="115">
        <v>1</v>
      </c>
      <c r="E2222" s="115" t="s">
        <v>5174</v>
      </c>
      <c r="F2222" s="115" t="s">
        <v>5175</v>
      </c>
      <c r="G2222" s="115" t="s">
        <v>5176</v>
      </c>
      <c r="H2222" s="115" t="s">
        <v>5177</v>
      </c>
    </row>
    <row r="2223" spans="1:8" ht="30" x14ac:dyDescent="0.25">
      <c r="A2223" s="115">
        <v>5627</v>
      </c>
      <c r="B2223" s="115" t="s">
        <v>128</v>
      </c>
      <c r="C2223" s="115" t="s">
        <v>5178</v>
      </c>
      <c r="D2223" s="115">
        <v>1</v>
      </c>
      <c r="E2223" s="115" t="s">
        <v>764</v>
      </c>
      <c r="F2223" s="115" t="s">
        <v>765</v>
      </c>
      <c r="G2223" s="115" t="s">
        <v>766</v>
      </c>
      <c r="H2223" s="115" t="s">
        <v>764</v>
      </c>
    </row>
    <row r="2224" spans="1:8" ht="45" x14ac:dyDescent="0.25">
      <c r="A2224" s="115">
        <v>5626</v>
      </c>
      <c r="B2224" s="115" t="s">
        <v>128</v>
      </c>
      <c r="C2224" s="115" t="s">
        <v>5179</v>
      </c>
      <c r="D2224" s="115">
        <v>1</v>
      </c>
      <c r="E2224" s="115" t="s">
        <v>5180</v>
      </c>
      <c r="F2224" s="115" t="s">
        <v>5181</v>
      </c>
      <c r="G2224" s="115" t="s">
        <v>5182</v>
      </c>
      <c r="H2224" s="115" t="s">
        <v>5183</v>
      </c>
    </row>
    <row r="2225" spans="1:8" ht="30" x14ac:dyDescent="0.25">
      <c r="A2225" s="115">
        <v>5625</v>
      </c>
      <c r="B2225" s="115" t="s">
        <v>128</v>
      </c>
      <c r="C2225" s="115" t="s">
        <v>5184</v>
      </c>
      <c r="D2225" s="115">
        <v>1</v>
      </c>
      <c r="E2225" s="115" t="s">
        <v>5185</v>
      </c>
      <c r="F2225" s="115" t="s">
        <v>5186</v>
      </c>
      <c r="G2225" s="115" t="s">
        <v>5187</v>
      </c>
      <c r="H2225" s="115" t="s">
        <v>5188</v>
      </c>
    </row>
    <row r="2226" spans="1:8" ht="30" x14ac:dyDescent="0.25">
      <c r="A2226" s="115">
        <v>5624</v>
      </c>
      <c r="B2226" s="115" t="s">
        <v>128</v>
      </c>
      <c r="C2226" s="115" t="s">
        <v>5189</v>
      </c>
      <c r="D2226" s="115">
        <v>1</v>
      </c>
      <c r="E2226" s="115" t="s">
        <v>5190</v>
      </c>
      <c r="F2226" s="115" t="s">
        <v>5191</v>
      </c>
      <c r="G2226" s="115" t="s">
        <v>5192</v>
      </c>
      <c r="H2226" s="115" t="s">
        <v>5193</v>
      </c>
    </row>
    <row r="2227" spans="1:8" ht="45" x14ac:dyDescent="0.25">
      <c r="A2227" s="115">
        <v>5623</v>
      </c>
      <c r="B2227" s="115" t="s">
        <v>128</v>
      </c>
      <c r="C2227" s="115" t="s">
        <v>5194</v>
      </c>
      <c r="D2227" s="115">
        <v>1</v>
      </c>
      <c r="E2227" s="115" t="s">
        <v>5195</v>
      </c>
      <c r="F2227" s="115" t="s">
        <v>5196</v>
      </c>
      <c r="G2227" s="115" t="s">
        <v>5197</v>
      </c>
      <c r="H2227" s="115" t="s">
        <v>5198</v>
      </c>
    </row>
    <row r="2228" spans="1:8" ht="105" x14ac:dyDescent="0.25">
      <c r="A2228" s="115">
        <v>5622</v>
      </c>
      <c r="B2228" s="115" t="s">
        <v>128</v>
      </c>
      <c r="C2228" s="115" t="s">
        <v>5199</v>
      </c>
      <c r="D2228" s="115">
        <v>1</v>
      </c>
      <c r="E2228" s="115" t="s">
        <v>5200</v>
      </c>
      <c r="F2228" s="115" t="s">
        <v>5201</v>
      </c>
      <c r="G2228" s="115" t="s">
        <v>5202</v>
      </c>
      <c r="H2228" s="115" t="s">
        <v>5203</v>
      </c>
    </row>
    <row r="2229" spans="1:8" ht="30" x14ac:dyDescent="0.25">
      <c r="A2229" s="115">
        <v>5621</v>
      </c>
      <c r="B2229" s="115" t="s">
        <v>128</v>
      </c>
      <c r="C2229" s="115" t="s">
        <v>5204</v>
      </c>
      <c r="D2229" s="115">
        <v>1</v>
      </c>
      <c r="E2229" s="115" t="s">
        <v>5205</v>
      </c>
      <c r="F2229" s="115" t="s">
        <v>5205</v>
      </c>
      <c r="G2229" s="115" t="s">
        <v>5205</v>
      </c>
      <c r="H2229" s="115" t="s">
        <v>5206</v>
      </c>
    </row>
    <row r="2230" spans="1:8" ht="75" x14ac:dyDescent="0.25">
      <c r="A2230" s="115">
        <v>5620</v>
      </c>
      <c r="B2230" s="115" t="s">
        <v>128</v>
      </c>
      <c r="C2230" s="115" t="s">
        <v>5207</v>
      </c>
      <c r="D2230" s="115">
        <v>1</v>
      </c>
      <c r="E2230" s="115" t="s">
        <v>5208</v>
      </c>
      <c r="F2230" s="115" t="s">
        <v>5209</v>
      </c>
      <c r="G2230" s="115" t="s">
        <v>5210</v>
      </c>
      <c r="H2230" s="115" t="s">
        <v>5211</v>
      </c>
    </row>
    <row r="2231" spans="1:8" ht="105" x14ac:dyDescent="0.25">
      <c r="A2231" s="115">
        <v>5619</v>
      </c>
      <c r="B2231" s="115" t="s">
        <v>128</v>
      </c>
      <c r="C2231" s="115" t="s">
        <v>5212</v>
      </c>
      <c r="D2231" s="115">
        <v>1</v>
      </c>
      <c r="E2231" s="115" t="s">
        <v>5213</v>
      </c>
      <c r="F2231" s="115" t="s">
        <v>5214</v>
      </c>
      <c r="G2231" s="115" t="s">
        <v>5215</v>
      </c>
      <c r="H2231" s="115" t="s">
        <v>5216</v>
      </c>
    </row>
    <row r="2232" spans="1:8" ht="30" x14ac:dyDescent="0.25">
      <c r="A2232" s="115">
        <v>5618</v>
      </c>
      <c r="B2232" s="115" t="s">
        <v>128</v>
      </c>
      <c r="C2232" s="115" t="s">
        <v>5217</v>
      </c>
      <c r="D2232" s="115">
        <v>1</v>
      </c>
      <c r="E2232" s="115" t="s">
        <v>5218</v>
      </c>
      <c r="F2232" s="115" t="s">
        <v>5218</v>
      </c>
      <c r="G2232" s="115" t="s">
        <v>5218</v>
      </c>
      <c r="H2232" s="115" t="s">
        <v>5219</v>
      </c>
    </row>
    <row r="2233" spans="1:8" ht="30" x14ac:dyDescent="0.25">
      <c r="A2233" s="115">
        <v>5617</v>
      </c>
      <c r="B2233" s="115" t="s">
        <v>128</v>
      </c>
      <c r="C2233" s="115" t="s">
        <v>5220</v>
      </c>
      <c r="D2233" s="115">
        <v>1</v>
      </c>
      <c r="E2233" s="115" t="s">
        <v>5221</v>
      </c>
      <c r="F2233" s="115" t="s">
        <v>5222</v>
      </c>
      <c r="G2233" s="115" t="s">
        <v>5223</v>
      </c>
      <c r="H2233" s="115" t="s">
        <v>5224</v>
      </c>
    </row>
    <row r="2234" spans="1:8" ht="105" x14ac:dyDescent="0.25">
      <c r="A2234" s="115">
        <v>5616</v>
      </c>
      <c r="B2234" s="115" t="s">
        <v>128</v>
      </c>
      <c r="C2234" s="115" t="s">
        <v>5225</v>
      </c>
      <c r="D2234" s="115">
        <v>1</v>
      </c>
      <c r="E2234" s="115" t="s">
        <v>5226</v>
      </c>
      <c r="F2234" s="115" t="s">
        <v>5227</v>
      </c>
      <c r="G2234" s="115" t="s">
        <v>5228</v>
      </c>
      <c r="H2234" s="115" t="s">
        <v>5229</v>
      </c>
    </row>
    <row r="2235" spans="1:8" ht="75" x14ac:dyDescent="0.25">
      <c r="A2235" s="115">
        <v>5615</v>
      </c>
      <c r="B2235" s="115" t="s">
        <v>128</v>
      </c>
      <c r="C2235" s="115" t="s">
        <v>5230</v>
      </c>
      <c r="D2235" s="115">
        <v>1</v>
      </c>
      <c r="E2235" s="115" t="s">
        <v>5231</v>
      </c>
      <c r="F2235" s="115" t="s">
        <v>5232</v>
      </c>
      <c r="G2235" s="115" t="s">
        <v>5233</v>
      </c>
      <c r="H2235" s="115" t="s">
        <v>5234</v>
      </c>
    </row>
    <row r="2236" spans="1:8" ht="30" x14ac:dyDescent="0.25">
      <c r="A2236" s="115">
        <v>5614</v>
      </c>
      <c r="B2236" s="115" t="s">
        <v>128</v>
      </c>
      <c r="C2236" s="115" t="s">
        <v>5235</v>
      </c>
      <c r="D2236" s="115">
        <v>1</v>
      </c>
      <c r="E2236" s="115" t="s">
        <v>5236</v>
      </c>
      <c r="F2236" s="115" t="s">
        <v>5236</v>
      </c>
      <c r="G2236" s="115" t="s">
        <v>5236</v>
      </c>
      <c r="H2236" s="115" t="s">
        <v>5237</v>
      </c>
    </row>
    <row r="2237" spans="1:8" ht="120" x14ac:dyDescent="0.25">
      <c r="A2237" s="115">
        <v>5613</v>
      </c>
      <c r="B2237" s="115" t="s">
        <v>128</v>
      </c>
      <c r="C2237" s="115" t="s">
        <v>5238</v>
      </c>
      <c r="D2237" s="115">
        <v>1</v>
      </c>
      <c r="E2237" s="115" t="s">
        <v>5239</v>
      </c>
      <c r="F2237" s="115" t="s">
        <v>5240</v>
      </c>
      <c r="G2237" s="115" t="s">
        <v>5241</v>
      </c>
      <c r="H2237" s="115" t="s">
        <v>5242</v>
      </c>
    </row>
    <row r="2238" spans="1:8" ht="60" x14ac:dyDescent="0.25">
      <c r="A2238" s="115">
        <v>5612</v>
      </c>
      <c r="B2238" s="115" t="s">
        <v>128</v>
      </c>
      <c r="C2238" s="115" t="s">
        <v>5243</v>
      </c>
      <c r="D2238" s="115">
        <v>1</v>
      </c>
      <c r="E2238" s="115" t="s">
        <v>5244</v>
      </c>
      <c r="F2238" s="115" t="s">
        <v>5245</v>
      </c>
      <c r="G2238" s="115" t="s">
        <v>5246</v>
      </c>
      <c r="H2238" s="115" t="s">
        <v>5247</v>
      </c>
    </row>
    <row r="2239" spans="1:8" ht="30" x14ac:dyDescent="0.25">
      <c r="A2239" s="115">
        <v>5611</v>
      </c>
      <c r="B2239" s="115" t="s">
        <v>128</v>
      </c>
      <c r="C2239" s="115" t="s">
        <v>5248</v>
      </c>
      <c r="D2239" s="115">
        <v>1</v>
      </c>
      <c r="E2239" s="115" t="s">
        <v>5249</v>
      </c>
      <c r="F2239" s="115" t="s">
        <v>5249</v>
      </c>
      <c r="G2239" s="115" t="s">
        <v>5249</v>
      </c>
      <c r="H2239" s="115" t="s">
        <v>5250</v>
      </c>
    </row>
    <row r="2240" spans="1:8" ht="30" x14ac:dyDescent="0.25">
      <c r="A2240" s="115">
        <v>5610</v>
      </c>
      <c r="B2240" s="115" t="s">
        <v>128</v>
      </c>
      <c r="C2240" s="115" t="s">
        <v>5251</v>
      </c>
      <c r="D2240" s="115">
        <v>1</v>
      </c>
      <c r="E2240" s="115" t="s">
        <v>5252</v>
      </c>
      <c r="F2240" s="115" t="s">
        <v>5253</v>
      </c>
      <c r="G2240" s="115" t="s">
        <v>5254</v>
      </c>
      <c r="H2240" s="115" t="s">
        <v>5255</v>
      </c>
    </row>
    <row r="2241" spans="1:8" ht="30" x14ac:dyDescent="0.25">
      <c r="A2241" s="115">
        <v>5609</v>
      </c>
      <c r="B2241" s="115" t="s">
        <v>128</v>
      </c>
      <c r="C2241" s="115" t="s">
        <v>5256</v>
      </c>
      <c r="D2241" s="115">
        <v>1</v>
      </c>
      <c r="E2241" s="115" t="s">
        <v>5252</v>
      </c>
      <c r="F2241" s="115" t="s">
        <v>5253</v>
      </c>
      <c r="G2241" s="115" t="s">
        <v>5254</v>
      </c>
      <c r="H2241" s="115" t="s">
        <v>5255</v>
      </c>
    </row>
    <row r="2242" spans="1:8" ht="30" x14ac:dyDescent="0.25">
      <c r="A2242" s="115">
        <v>5608</v>
      </c>
      <c r="B2242" s="115" t="s">
        <v>128</v>
      </c>
      <c r="C2242" s="115" t="s">
        <v>5257</v>
      </c>
      <c r="D2242" s="115">
        <v>1</v>
      </c>
      <c r="E2242" s="115" t="s">
        <v>5258</v>
      </c>
      <c r="F2242" s="115" t="s">
        <v>5258</v>
      </c>
      <c r="G2242" s="115" t="s">
        <v>5258</v>
      </c>
      <c r="H2242" s="115" t="s">
        <v>5259</v>
      </c>
    </row>
    <row r="2243" spans="1:8" ht="30" x14ac:dyDescent="0.25">
      <c r="A2243" s="115">
        <v>5607</v>
      </c>
      <c r="B2243" s="115" t="s">
        <v>128</v>
      </c>
      <c r="C2243" s="115" t="s">
        <v>5260</v>
      </c>
      <c r="D2243" s="115">
        <v>1</v>
      </c>
      <c r="E2243" s="115" t="s">
        <v>5169</v>
      </c>
      <c r="F2243" s="115" t="s">
        <v>5170</v>
      </c>
      <c r="G2243" s="115" t="s">
        <v>5171</v>
      </c>
      <c r="H2243" s="115" t="s">
        <v>5172</v>
      </c>
    </row>
    <row r="2244" spans="1:8" ht="180" x14ac:dyDescent="0.25">
      <c r="A2244" s="115">
        <v>5606</v>
      </c>
      <c r="B2244" s="115" t="s">
        <v>128</v>
      </c>
      <c r="C2244" s="115" t="s">
        <v>5261</v>
      </c>
      <c r="D2244" s="115">
        <v>1</v>
      </c>
      <c r="E2244" s="115" t="s">
        <v>5262</v>
      </c>
      <c r="F2244" s="115" t="s">
        <v>5263</v>
      </c>
      <c r="G2244" s="115" t="s">
        <v>5264</v>
      </c>
      <c r="H2244" s="115" t="s">
        <v>5265</v>
      </c>
    </row>
    <row r="2245" spans="1:8" ht="195" x14ac:dyDescent="0.25">
      <c r="A2245" s="115">
        <v>5605</v>
      </c>
      <c r="B2245" s="115" t="s">
        <v>128</v>
      </c>
      <c r="C2245" s="115" t="s">
        <v>5266</v>
      </c>
      <c r="D2245" s="115">
        <v>1</v>
      </c>
      <c r="E2245" s="115" t="s">
        <v>5267</v>
      </c>
      <c r="F2245" s="115" t="s">
        <v>5268</v>
      </c>
      <c r="G2245" s="115" t="s">
        <v>5269</v>
      </c>
      <c r="H2245" s="115" t="s">
        <v>5270</v>
      </c>
    </row>
    <row r="2246" spans="1:8" ht="30" x14ac:dyDescent="0.25">
      <c r="A2246" s="115">
        <v>5604</v>
      </c>
      <c r="B2246" s="115" t="s">
        <v>128</v>
      </c>
      <c r="C2246" s="115" t="s">
        <v>5271</v>
      </c>
      <c r="D2246" s="115">
        <v>1</v>
      </c>
      <c r="E2246" s="115" t="s">
        <v>5272</v>
      </c>
      <c r="F2246" s="115" t="s">
        <v>5273</v>
      </c>
      <c r="G2246" s="115" t="s">
        <v>5274</v>
      </c>
      <c r="H2246" s="115" t="s">
        <v>5275</v>
      </c>
    </row>
    <row r="2247" spans="1:8" ht="30" x14ac:dyDescent="0.25">
      <c r="A2247" s="115">
        <v>5603</v>
      </c>
      <c r="B2247" s="115" t="s">
        <v>128</v>
      </c>
      <c r="C2247" s="115" t="s">
        <v>5276</v>
      </c>
      <c r="D2247" s="115">
        <v>1</v>
      </c>
      <c r="E2247" s="115" t="s">
        <v>5169</v>
      </c>
      <c r="F2247" s="115" t="s">
        <v>5277</v>
      </c>
      <c r="G2247" s="115" t="s">
        <v>5171</v>
      </c>
      <c r="H2247" s="115" t="s">
        <v>5172</v>
      </c>
    </row>
    <row r="2248" spans="1:8" ht="75" x14ac:dyDescent="0.25">
      <c r="A2248" s="115">
        <v>5602</v>
      </c>
      <c r="B2248" s="115" t="s">
        <v>128</v>
      </c>
      <c r="C2248" s="115" t="s">
        <v>5278</v>
      </c>
      <c r="D2248" s="115">
        <v>1</v>
      </c>
      <c r="E2248" s="115" t="s">
        <v>5279</v>
      </c>
      <c r="F2248" s="115" t="s">
        <v>5280</v>
      </c>
      <c r="G2248" s="115" t="s">
        <v>5281</v>
      </c>
      <c r="H2248" s="115" t="s">
        <v>5282</v>
      </c>
    </row>
    <row r="2249" spans="1:8" ht="60" x14ac:dyDescent="0.25">
      <c r="A2249" s="115">
        <v>5601</v>
      </c>
      <c r="B2249" s="115" t="s">
        <v>128</v>
      </c>
      <c r="C2249" s="115" t="s">
        <v>5283</v>
      </c>
      <c r="D2249" s="115">
        <v>1</v>
      </c>
      <c r="E2249" s="115" t="s">
        <v>4493</v>
      </c>
      <c r="F2249" s="115" t="s">
        <v>4494</v>
      </c>
      <c r="G2249" s="115" t="s">
        <v>4495</v>
      </c>
      <c r="H2249" s="115" t="s">
        <v>4496</v>
      </c>
    </row>
    <row r="2250" spans="1:8" ht="30" x14ac:dyDescent="0.25">
      <c r="A2250" s="115">
        <v>5600</v>
      </c>
      <c r="B2250" s="115" t="s">
        <v>128</v>
      </c>
      <c r="C2250" s="115" t="s">
        <v>5284</v>
      </c>
      <c r="D2250" s="115">
        <v>1</v>
      </c>
      <c r="E2250" s="115" t="s">
        <v>4488</v>
      </c>
      <c r="F2250" s="115" t="s">
        <v>4489</v>
      </c>
      <c r="G2250" s="115" t="s">
        <v>4490</v>
      </c>
      <c r="H2250" s="115" t="s">
        <v>4491</v>
      </c>
    </row>
    <row r="2251" spans="1:8" ht="30" x14ac:dyDescent="0.25">
      <c r="A2251" s="115">
        <v>5599</v>
      </c>
      <c r="B2251" s="115" t="s">
        <v>128</v>
      </c>
      <c r="C2251" s="115" t="s">
        <v>5285</v>
      </c>
      <c r="D2251" s="115">
        <v>1</v>
      </c>
      <c r="E2251" s="115" t="s">
        <v>4498</v>
      </c>
      <c r="F2251" s="115" t="s">
        <v>4498</v>
      </c>
      <c r="G2251" s="115" t="s">
        <v>4498</v>
      </c>
      <c r="H2251" s="115" t="s">
        <v>4498</v>
      </c>
    </row>
    <row r="2252" spans="1:8" ht="30" x14ac:dyDescent="0.25">
      <c r="A2252" s="115">
        <v>5598</v>
      </c>
      <c r="B2252" s="115" t="s">
        <v>128</v>
      </c>
      <c r="C2252" s="115" t="s">
        <v>5286</v>
      </c>
      <c r="D2252" s="115">
        <v>1</v>
      </c>
      <c r="E2252" s="115" t="s">
        <v>1338</v>
      </c>
      <c r="F2252" s="115" t="s">
        <v>1339</v>
      </c>
      <c r="G2252" s="115" t="s">
        <v>1340</v>
      </c>
      <c r="H2252" s="115" t="s">
        <v>1338</v>
      </c>
    </row>
    <row r="2253" spans="1:8" ht="30" x14ac:dyDescent="0.25">
      <c r="A2253" s="115">
        <v>5597</v>
      </c>
      <c r="B2253" s="115" t="s">
        <v>128</v>
      </c>
      <c r="C2253" s="115" t="s">
        <v>5287</v>
      </c>
      <c r="D2253" s="115">
        <v>1</v>
      </c>
      <c r="E2253" s="115">
        <v>8</v>
      </c>
      <c r="F2253" s="115">
        <v>8</v>
      </c>
      <c r="G2253" s="115">
        <v>8</v>
      </c>
      <c r="H2253" s="115">
        <v>8</v>
      </c>
    </row>
    <row r="2254" spans="1:8" ht="150" x14ac:dyDescent="0.25">
      <c r="A2254" s="115">
        <v>5596</v>
      </c>
      <c r="B2254" s="115" t="s">
        <v>128</v>
      </c>
      <c r="C2254" s="115" t="s">
        <v>5288</v>
      </c>
      <c r="D2254" s="115">
        <v>1</v>
      </c>
      <c r="E2254" s="115" t="s">
        <v>5289</v>
      </c>
      <c r="F2254" s="115" t="s">
        <v>5268</v>
      </c>
      <c r="G2254" s="115" t="s">
        <v>5290</v>
      </c>
      <c r="H2254" s="115" t="s">
        <v>5291</v>
      </c>
    </row>
    <row r="2255" spans="1:8" ht="30" x14ac:dyDescent="0.25">
      <c r="A2255" s="115">
        <v>5595</v>
      </c>
      <c r="B2255" s="115" t="s">
        <v>128</v>
      </c>
      <c r="C2255" s="115" t="s">
        <v>5292</v>
      </c>
      <c r="D2255" s="115">
        <v>1</v>
      </c>
      <c r="E2255" s="115">
        <v>7</v>
      </c>
      <c r="F2255" s="115">
        <v>7</v>
      </c>
      <c r="G2255" s="115">
        <v>7</v>
      </c>
      <c r="H2255" s="115">
        <v>7</v>
      </c>
    </row>
    <row r="2256" spans="1:8" ht="30" x14ac:dyDescent="0.25">
      <c r="A2256" s="115">
        <v>5594</v>
      </c>
      <c r="B2256" s="115" t="s">
        <v>128</v>
      </c>
      <c r="C2256" s="115" t="s">
        <v>5293</v>
      </c>
      <c r="D2256" s="115">
        <v>1</v>
      </c>
      <c r="E2256" s="115" t="s">
        <v>5294</v>
      </c>
      <c r="F2256" s="115" t="s">
        <v>5295</v>
      </c>
      <c r="G2256" s="115" t="s">
        <v>5296</v>
      </c>
      <c r="H2256" s="115" t="s">
        <v>5297</v>
      </c>
    </row>
    <row r="2257" spans="1:8" x14ac:dyDescent="0.25">
      <c r="A2257" s="115">
        <v>5593</v>
      </c>
      <c r="B2257" s="115" t="s">
        <v>128</v>
      </c>
      <c r="C2257" s="115" t="s">
        <v>5298</v>
      </c>
      <c r="D2257" s="115">
        <v>1</v>
      </c>
      <c r="E2257" s="115" t="s">
        <v>5299</v>
      </c>
      <c r="F2257" s="115" t="s">
        <v>5299</v>
      </c>
      <c r="G2257" s="115" t="s">
        <v>5299</v>
      </c>
      <c r="H2257" s="115" t="s">
        <v>5299</v>
      </c>
    </row>
    <row r="2258" spans="1:8" x14ac:dyDescent="0.25">
      <c r="A2258" s="115">
        <v>5592</v>
      </c>
      <c r="B2258" s="115" t="s">
        <v>128</v>
      </c>
      <c r="C2258" s="115" t="s">
        <v>5300</v>
      </c>
      <c r="D2258" s="115">
        <v>1</v>
      </c>
      <c r="E2258" s="115" t="s">
        <v>5301</v>
      </c>
      <c r="F2258" s="115" t="s">
        <v>5302</v>
      </c>
      <c r="G2258" s="115" t="s">
        <v>5303</v>
      </c>
      <c r="H2258" s="115" t="s">
        <v>5304</v>
      </c>
    </row>
    <row r="2259" spans="1:8" x14ac:dyDescent="0.25">
      <c r="A2259" s="115">
        <v>5591</v>
      </c>
      <c r="B2259" s="115" t="s">
        <v>128</v>
      </c>
      <c r="C2259" s="115" t="s">
        <v>5305</v>
      </c>
      <c r="D2259" s="115">
        <v>1</v>
      </c>
      <c r="E2259" s="115" t="s">
        <v>5306</v>
      </c>
      <c r="F2259" s="115" t="s">
        <v>5307</v>
      </c>
      <c r="G2259" s="115" t="s">
        <v>5308</v>
      </c>
      <c r="H2259" s="115" t="s">
        <v>5309</v>
      </c>
    </row>
    <row r="2260" spans="1:8" x14ac:dyDescent="0.25">
      <c r="A2260" s="115">
        <v>5590</v>
      </c>
      <c r="B2260" s="115" t="s">
        <v>128</v>
      </c>
      <c r="C2260" s="115" t="s">
        <v>5310</v>
      </c>
      <c r="D2260" s="115">
        <v>1</v>
      </c>
    </row>
    <row r="2261" spans="1:8" x14ac:dyDescent="0.25">
      <c r="A2261" s="115">
        <v>5589</v>
      </c>
      <c r="B2261" s="115" t="s">
        <v>128</v>
      </c>
      <c r="C2261" s="115" t="s">
        <v>5311</v>
      </c>
      <c r="D2261" s="115">
        <v>1</v>
      </c>
      <c r="E2261" s="115" t="s">
        <v>5312</v>
      </c>
      <c r="F2261" s="115" t="s">
        <v>5313</v>
      </c>
      <c r="G2261" s="115" t="s">
        <v>5314</v>
      </c>
      <c r="H2261" s="115" t="s">
        <v>5315</v>
      </c>
    </row>
    <row r="2262" spans="1:8" x14ac:dyDescent="0.25">
      <c r="A2262" s="115">
        <v>5588</v>
      </c>
      <c r="B2262" s="115" t="s">
        <v>128</v>
      </c>
      <c r="C2262" s="115" t="s">
        <v>5316</v>
      </c>
      <c r="D2262" s="115">
        <v>1</v>
      </c>
      <c r="E2262" s="115">
        <v>2019</v>
      </c>
      <c r="F2262" s="115">
        <v>2019</v>
      </c>
      <c r="G2262" s="115">
        <v>2019</v>
      </c>
      <c r="H2262" s="115">
        <v>2019</v>
      </c>
    </row>
    <row r="2263" spans="1:8" x14ac:dyDescent="0.25">
      <c r="A2263" s="115">
        <v>5587</v>
      </c>
      <c r="B2263" s="115" t="s">
        <v>128</v>
      </c>
      <c r="C2263" s="115" t="s">
        <v>5317</v>
      </c>
      <c r="D2263" s="115">
        <v>1</v>
      </c>
      <c r="E2263" s="115" t="s">
        <v>5318</v>
      </c>
      <c r="F2263" s="115" t="s">
        <v>5319</v>
      </c>
      <c r="G2263" s="115" t="s">
        <v>5320</v>
      </c>
      <c r="H2263" s="115" t="s">
        <v>5318</v>
      </c>
    </row>
    <row r="2264" spans="1:8" x14ac:dyDescent="0.25">
      <c r="A2264" s="115">
        <v>5586</v>
      </c>
      <c r="B2264" s="115" t="s">
        <v>128</v>
      </c>
      <c r="C2264" s="115" t="s">
        <v>5321</v>
      </c>
      <c r="D2264" s="115">
        <v>1</v>
      </c>
      <c r="E2264" s="115" t="s">
        <v>5322</v>
      </c>
      <c r="F2264" s="115" t="s">
        <v>5323</v>
      </c>
      <c r="G2264" s="115" t="s">
        <v>5324</v>
      </c>
      <c r="H2264" s="115" t="s">
        <v>5322</v>
      </c>
    </row>
    <row r="2265" spans="1:8" ht="30" x14ac:dyDescent="0.25">
      <c r="A2265" s="115">
        <v>5585</v>
      </c>
      <c r="B2265" s="115" t="s">
        <v>128</v>
      </c>
      <c r="C2265" s="115" t="s">
        <v>5325</v>
      </c>
      <c r="D2265" s="115">
        <v>1</v>
      </c>
      <c r="E2265" s="115" t="s">
        <v>5326</v>
      </c>
      <c r="F2265" s="115" t="s">
        <v>5327</v>
      </c>
      <c r="G2265" s="115" t="s">
        <v>5328</v>
      </c>
      <c r="H2265" s="115" t="s">
        <v>5329</v>
      </c>
    </row>
    <row r="2266" spans="1:8" ht="30" x14ac:dyDescent="0.25">
      <c r="A2266" s="115">
        <v>5584</v>
      </c>
      <c r="B2266" s="115" t="s">
        <v>128</v>
      </c>
      <c r="C2266" s="115" t="s">
        <v>5330</v>
      </c>
      <c r="D2266" s="115">
        <v>1</v>
      </c>
      <c r="E2266" s="115" t="s">
        <v>1682</v>
      </c>
      <c r="F2266" s="115" t="s">
        <v>5331</v>
      </c>
      <c r="G2266" s="115" t="s">
        <v>5332</v>
      </c>
      <c r="H2266" s="115" t="s">
        <v>1683</v>
      </c>
    </row>
    <row r="2267" spans="1:8" ht="30" x14ac:dyDescent="0.25">
      <c r="A2267" s="115">
        <v>5583</v>
      </c>
      <c r="B2267" s="115" t="s">
        <v>128</v>
      </c>
      <c r="C2267" s="115" t="s">
        <v>5333</v>
      </c>
      <c r="D2267" s="115">
        <v>1</v>
      </c>
      <c r="E2267" s="115" t="s">
        <v>5334</v>
      </c>
      <c r="F2267" s="115" t="s">
        <v>5334</v>
      </c>
      <c r="G2267" s="115" t="s">
        <v>5334</v>
      </c>
      <c r="H2267" s="115" t="s">
        <v>5335</v>
      </c>
    </row>
    <row r="2268" spans="1:8" ht="30" x14ac:dyDescent="0.25">
      <c r="A2268" s="115">
        <v>5582</v>
      </c>
      <c r="B2268" s="115" t="s">
        <v>128</v>
      </c>
      <c r="C2268" s="115" t="s">
        <v>5336</v>
      </c>
      <c r="D2268" s="115">
        <v>1</v>
      </c>
      <c r="E2268" s="115" t="s">
        <v>5337</v>
      </c>
      <c r="F2268" s="115" t="s">
        <v>5338</v>
      </c>
      <c r="G2268" s="115" t="s">
        <v>5339</v>
      </c>
      <c r="H2268" s="115" t="s">
        <v>5340</v>
      </c>
    </row>
    <row r="2269" spans="1:8" ht="30" x14ac:dyDescent="0.25">
      <c r="A2269" s="115">
        <v>5581</v>
      </c>
      <c r="B2269" s="115" t="s">
        <v>128</v>
      </c>
      <c r="C2269" s="115" t="s">
        <v>5341</v>
      </c>
      <c r="D2269" s="115">
        <v>1</v>
      </c>
      <c r="E2269" s="115" t="s">
        <v>5342</v>
      </c>
      <c r="F2269" s="115" t="s">
        <v>5342</v>
      </c>
      <c r="G2269" s="115" t="s">
        <v>5342</v>
      </c>
      <c r="H2269" s="115" t="s">
        <v>5343</v>
      </c>
    </row>
    <row r="2270" spans="1:8" ht="30" x14ac:dyDescent="0.25">
      <c r="A2270" s="115">
        <v>5580</v>
      </c>
      <c r="B2270" s="115" t="s">
        <v>128</v>
      </c>
      <c r="C2270" s="115" t="s">
        <v>5344</v>
      </c>
      <c r="D2270" s="115">
        <v>1</v>
      </c>
      <c r="E2270" s="115" t="s">
        <v>5345</v>
      </c>
      <c r="F2270" s="115" t="s">
        <v>5345</v>
      </c>
      <c r="G2270" s="115" t="s">
        <v>5346</v>
      </c>
      <c r="H2270" s="115" t="s">
        <v>5347</v>
      </c>
    </row>
    <row r="2271" spans="1:8" ht="30" x14ac:dyDescent="0.25">
      <c r="A2271" s="115">
        <v>5579</v>
      </c>
      <c r="B2271" s="115" t="s">
        <v>128</v>
      </c>
      <c r="C2271" s="115" t="s">
        <v>5348</v>
      </c>
      <c r="D2271" s="115">
        <v>1</v>
      </c>
      <c r="E2271" s="115" t="s">
        <v>5349</v>
      </c>
      <c r="F2271" s="115" t="s">
        <v>5349</v>
      </c>
      <c r="G2271" s="115" t="s">
        <v>5350</v>
      </c>
      <c r="H2271" s="115" t="s">
        <v>5351</v>
      </c>
    </row>
    <row r="2272" spans="1:8" ht="30" x14ac:dyDescent="0.25">
      <c r="A2272" s="115">
        <v>5578</v>
      </c>
      <c r="B2272" s="115" t="s">
        <v>128</v>
      </c>
      <c r="C2272" s="115" t="s">
        <v>5352</v>
      </c>
      <c r="D2272" s="115">
        <v>1</v>
      </c>
      <c r="E2272" s="115" t="s">
        <v>5353</v>
      </c>
      <c r="F2272" s="115" t="s">
        <v>5354</v>
      </c>
      <c r="G2272" s="115" t="s">
        <v>5355</v>
      </c>
      <c r="H2272" s="115" t="s">
        <v>5356</v>
      </c>
    </row>
    <row r="2273" spans="1:8" ht="30" x14ac:dyDescent="0.25">
      <c r="A2273" s="115">
        <v>5577</v>
      </c>
      <c r="B2273" s="115" t="s">
        <v>128</v>
      </c>
      <c r="C2273" s="115" t="s">
        <v>5357</v>
      </c>
      <c r="D2273" s="115">
        <v>1</v>
      </c>
      <c r="E2273" s="115" t="s">
        <v>768</v>
      </c>
      <c r="F2273" s="115" t="s">
        <v>1603</v>
      </c>
      <c r="G2273" s="115" t="s">
        <v>770</v>
      </c>
      <c r="H2273" s="115" t="s">
        <v>771</v>
      </c>
    </row>
    <row r="2274" spans="1:8" ht="30" x14ac:dyDescent="0.25">
      <c r="A2274" s="115">
        <v>5576</v>
      </c>
      <c r="B2274" s="115" t="s">
        <v>128</v>
      </c>
      <c r="C2274" s="115" t="s">
        <v>5358</v>
      </c>
      <c r="D2274" s="115">
        <v>1</v>
      </c>
      <c r="E2274" s="115">
        <v>190</v>
      </c>
      <c r="F2274" s="115">
        <v>190</v>
      </c>
      <c r="G2274" s="115">
        <v>190</v>
      </c>
      <c r="H2274" s="118">
        <v>190</v>
      </c>
    </row>
    <row r="2275" spans="1:8" ht="135" x14ac:dyDescent="0.25">
      <c r="A2275" s="115">
        <v>5575</v>
      </c>
      <c r="B2275" s="115" t="s">
        <v>128</v>
      </c>
      <c r="C2275" s="115" t="s">
        <v>5359</v>
      </c>
      <c r="D2275" s="115">
        <v>1</v>
      </c>
      <c r="E2275" s="115" t="s">
        <v>4482</v>
      </c>
      <c r="F2275" s="115" t="s">
        <v>5360</v>
      </c>
      <c r="G2275" s="115" t="s">
        <v>4484</v>
      </c>
      <c r="H2275" s="115" t="s">
        <v>5361</v>
      </c>
    </row>
    <row r="2276" spans="1:8" ht="30" x14ac:dyDescent="0.25">
      <c r="A2276" s="115">
        <v>5574</v>
      </c>
      <c r="B2276" s="115" t="s">
        <v>128</v>
      </c>
      <c r="C2276" s="115" t="s">
        <v>5362</v>
      </c>
      <c r="D2276" s="115">
        <v>1</v>
      </c>
      <c r="E2276" s="115" t="s">
        <v>5363</v>
      </c>
      <c r="F2276" s="115" t="s">
        <v>5363</v>
      </c>
      <c r="G2276" s="115" t="s">
        <v>5364</v>
      </c>
      <c r="H2276" s="115" t="s">
        <v>5365</v>
      </c>
    </row>
    <row r="2277" spans="1:8" ht="105" x14ac:dyDescent="0.25">
      <c r="A2277" s="115">
        <v>5573</v>
      </c>
      <c r="B2277" s="115" t="s">
        <v>128</v>
      </c>
      <c r="C2277" s="115" t="s">
        <v>5366</v>
      </c>
      <c r="D2277" s="115">
        <v>1</v>
      </c>
      <c r="E2277" s="115" t="s">
        <v>5367</v>
      </c>
      <c r="F2277" s="115" t="s">
        <v>5368</v>
      </c>
      <c r="G2277" s="115" t="s">
        <v>5281</v>
      </c>
      <c r="H2277" s="115" t="s">
        <v>1441</v>
      </c>
    </row>
    <row r="2278" spans="1:8" ht="30" x14ac:dyDescent="0.25">
      <c r="A2278" s="115">
        <v>5572</v>
      </c>
      <c r="B2278" s="115" t="s">
        <v>128</v>
      </c>
      <c r="C2278" s="115" t="s">
        <v>5369</v>
      </c>
      <c r="D2278" s="115">
        <v>1</v>
      </c>
      <c r="E2278" s="115" t="s">
        <v>5326</v>
      </c>
      <c r="F2278" s="115" t="s">
        <v>5327</v>
      </c>
      <c r="G2278" s="115" t="s">
        <v>5328</v>
      </c>
      <c r="H2278" s="115" t="s">
        <v>5329</v>
      </c>
    </row>
    <row r="2279" spans="1:8" ht="60" x14ac:dyDescent="0.25">
      <c r="A2279" s="115">
        <v>5571</v>
      </c>
      <c r="B2279" s="115" t="s">
        <v>128</v>
      </c>
      <c r="C2279" s="115" t="s">
        <v>5370</v>
      </c>
      <c r="D2279" s="115">
        <v>1</v>
      </c>
      <c r="E2279" s="115" t="s">
        <v>5371</v>
      </c>
      <c r="F2279" s="115" t="s">
        <v>5372</v>
      </c>
      <c r="G2279" s="115" t="s">
        <v>5373</v>
      </c>
      <c r="H2279" s="115" t="s">
        <v>5374</v>
      </c>
    </row>
    <row r="2280" spans="1:8" ht="30" x14ac:dyDescent="0.25">
      <c r="A2280" s="115">
        <v>5570</v>
      </c>
      <c r="B2280" s="115" t="s">
        <v>128</v>
      </c>
      <c r="C2280" s="115" t="s">
        <v>5375</v>
      </c>
      <c r="D2280" s="115">
        <v>1</v>
      </c>
      <c r="E2280" s="115" t="s">
        <v>5376</v>
      </c>
      <c r="F2280" s="115" t="s">
        <v>5376</v>
      </c>
      <c r="G2280" s="115" t="s">
        <v>5376</v>
      </c>
      <c r="H2280" s="115" t="s">
        <v>5377</v>
      </c>
    </row>
    <row r="2281" spans="1:8" ht="90" x14ac:dyDescent="0.25">
      <c r="A2281" s="115">
        <v>5569</v>
      </c>
      <c r="B2281" s="115" t="s">
        <v>128</v>
      </c>
      <c r="C2281" s="115" t="s">
        <v>5378</v>
      </c>
      <c r="D2281" s="115">
        <v>1</v>
      </c>
      <c r="E2281" s="115" t="s">
        <v>3768</v>
      </c>
      <c r="F2281" s="115" t="s">
        <v>5379</v>
      </c>
      <c r="G2281" s="115" t="s">
        <v>5380</v>
      </c>
      <c r="H2281" s="115" t="s">
        <v>5381</v>
      </c>
    </row>
    <row r="2282" spans="1:8" ht="30" x14ac:dyDescent="0.25">
      <c r="A2282" s="115">
        <v>5568</v>
      </c>
      <c r="B2282" s="115" t="s">
        <v>128</v>
      </c>
      <c r="C2282" s="115" t="s">
        <v>5382</v>
      </c>
      <c r="D2282" s="115">
        <v>1</v>
      </c>
      <c r="E2282" s="115" t="s">
        <v>5383</v>
      </c>
      <c r="F2282" s="115" t="s">
        <v>5383</v>
      </c>
      <c r="G2282" s="115" t="s">
        <v>5384</v>
      </c>
      <c r="H2282" s="115" t="s">
        <v>5385</v>
      </c>
    </row>
    <row r="2283" spans="1:8" ht="150" x14ac:dyDescent="0.25">
      <c r="A2283" s="115">
        <v>5567</v>
      </c>
      <c r="B2283" s="115" t="s">
        <v>128</v>
      </c>
      <c r="C2283" s="115" t="s">
        <v>5386</v>
      </c>
      <c r="D2283" s="115">
        <v>1</v>
      </c>
      <c r="E2283" s="115" t="s">
        <v>5387</v>
      </c>
      <c r="F2283" s="115" t="s">
        <v>5388</v>
      </c>
      <c r="G2283" s="115" t="s">
        <v>5389</v>
      </c>
      <c r="H2283" s="115" t="s">
        <v>5390</v>
      </c>
    </row>
    <row r="2284" spans="1:8" ht="30" x14ac:dyDescent="0.25">
      <c r="A2284" s="115">
        <v>5566</v>
      </c>
      <c r="B2284" s="115" t="s">
        <v>128</v>
      </c>
      <c r="C2284" s="115" t="s">
        <v>5391</v>
      </c>
      <c r="D2284" s="115">
        <v>1</v>
      </c>
      <c r="E2284" s="115" t="s">
        <v>1331</v>
      </c>
      <c r="F2284" s="115" t="s">
        <v>1332</v>
      </c>
      <c r="G2284" s="115" t="s">
        <v>1333</v>
      </c>
      <c r="H2284" s="115" t="s">
        <v>1334</v>
      </c>
    </row>
    <row r="2285" spans="1:8" ht="30" x14ac:dyDescent="0.25">
      <c r="A2285" s="115">
        <v>5565</v>
      </c>
      <c r="B2285" s="115" t="s">
        <v>128</v>
      </c>
      <c r="C2285" s="115" t="s">
        <v>5392</v>
      </c>
      <c r="D2285" s="115">
        <v>1</v>
      </c>
      <c r="E2285" s="115" t="s">
        <v>5393</v>
      </c>
      <c r="F2285" s="115" t="s">
        <v>5394</v>
      </c>
      <c r="G2285" s="115" t="s">
        <v>5395</v>
      </c>
      <c r="H2285" s="115" t="s">
        <v>5396</v>
      </c>
    </row>
    <row r="2286" spans="1:8" ht="30" x14ac:dyDescent="0.25">
      <c r="A2286" s="115">
        <v>5564</v>
      </c>
      <c r="B2286" s="115" t="s">
        <v>128</v>
      </c>
      <c r="C2286" s="115" t="s">
        <v>5397</v>
      </c>
      <c r="D2286" s="115">
        <v>1</v>
      </c>
      <c r="E2286" s="115" t="s">
        <v>5398</v>
      </c>
      <c r="F2286" s="115" t="s">
        <v>5398</v>
      </c>
      <c r="G2286" s="115" t="s">
        <v>5398</v>
      </c>
      <c r="H2286" s="115" t="s">
        <v>5399</v>
      </c>
    </row>
    <row r="2287" spans="1:8" ht="75" x14ac:dyDescent="0.25">
      <c r="A2287" s="115">
        <v>5563</v>
      </c>
      <c r="B2287" s="115" t="s">
        <v>128</v>
      </c>
      <c r="C2287" s="115" t="s">
        <v>5400</v>
      </c>
      <c r="D2287" s="115">
        <v>1</v>
      </c>
      <c r="E2287" s="115" t="s">
        <v>5401</v>
      </c>
      <c r="F2287" s="115" t="s">
        <v>3924</v>
      </c>
      <c r="G2287" s="115" t="s">
        <v>3925</v>
      </c>
      <c r="H2287" s="115" t="s">
        <v>3926</v>
      </c>
    </row>
    <row r="2288" spans="1:8" ht="30" x14ac:dyDescent="0.25">
      <c r="A2288" s="115">
        <v>5562</v>
      </c>
      <c r="B2288" s="115" t="s">
        <v>128</v>
      </c>
      <c r="C2288" s="115" t="s">
        <v>5402</v>
      </c>
      <c r="D2288" s="115">
        <v>1</v>
      </c>
      <c r="E2288" s="115" t="s">
        <v>5403</v>
      </c>
      <c r="F2288" s="115" t="s">
        <v>5403</v>
      </c>
      <c r="G2288" s="115" t="s">
        <v>5404</v>
      </c>
      <c r="H2288" s="115" t="s">
        <v>5405</v>
      </c>
    </row>
    <row r="2289" spans="1:8" ht="90" x14ac:dyDescent="0.25">
      <c r="A2289" s="115">
        <v>5561</v>
      </c>
      <c r="B2289" s="115" t="s">
        <v>128</v>
      </c>
      <c r="C2289" s="115" t="s">
        <v>5406</v>
      </c>
      <c r="D2289" s="115">
        <v>1</v>
      </c>
      <c r="E2289" s="115" t="s">
        <v>5387</v>
      </c>
      <c r="F2289" s="115" t="s">
        <v>5407</v>
      </c>
      <c r="G2289" s="115" t="s">
        <v>1346</v>
      </c>
      <c r="H2289" s="115" t="s">
        <v>5390</v>
      </c>
    </row>
    <row r="2290" spans="1:8" ht="30" x14ac:dyDescent="0.25">
      <c r="A2290" s="115">
        <v>5560</v>
      </c>
      <c r="B2290" s="115" t="s">
        <v>128</v>
      </c>
      <c r="C2290" s="115" t="s">
        <v>5408</v>
      </c>
      <c r="D2290" s="115">
        <v>1</v>
      </c>
      <c r="E2290" s="115" t="s">
        <v>5349</v>
      </c>
      <c r="F2290" s="115" t="s">
        <v>5349</v>
      </c>
      <c r="G2290" s="115" t="s">
        <v>5350</v>
      </c>
      <c r="H2290" s="115" t="s">
        <v>5351</v>
      </c>
    </row>
    <row r="2291" spans="1:8" ht="30" x14ac:dyDescent="0.25">
      <c r="A2291" s="115">
        <v>5559</v>
      </c>
      <c r="B2291" s="115" t="s">
        <v>128</v>
      </c>
      <c r="C2291" s="115" t="s">
        <v>5409</v>
      </c>
      <c r="D2291" s="115">
        <v>1</v>
      </c>
      <c r="E2291" s="115" t="s">
        <v>5363</v>
      </c>
      <c r="F2291" s="115" t="s">
        <v>5363</v>
      </c>
      <c r="G2291" s="115" t="s">
        <v>5364</v>
      </c>
      <c r="H2291" s="115" t="s">
        <v>5365</v>
      </c>
    </row>
    <row r="2292" spans="1:8" ht="30" x14ac:dyDescent="0.25">
      <c r="A2292" s="115">
        <v>5558</v>
      </c>
      <c r="B2292" s="115" t="s">
        <v>128</v>
      </c>
      <c r="C2292" s="115" t="s">
        <v>5410</v>
      </c>
      <c r="D2292" s="115">
        <v>1</v>
      </c>
      <c r="E2292" s="115" t="s">
        <v>5383</v>
      </c>
      <c r="F2292" s="115" t="s">
        <v>5383</v>
      </c>
      <c r="G2292" s="115" t="s">
        <v>5384</v>
      </c>
      <c r="H2292" s="115" t="s">
        <v>5385</v>
      </c>
    </row>
    <row r="2293" spans="1:8" ht="30" x14ac:dyDescent="0.25">
      <c r="A2293" s="115">
        <v>5557</v>
      </c>
      <c r="B2293" s="115" t="s">
        <v>128</v>
      </c>
      <c r="C2293" s="115" t="s">
        <v>5411</v>
      </c>
      <c r="D2293" s="115">
        <v>1</v>
      </c>
      <c r="E2293" s="115" t="s">
        <v>5403</v>
      </c>
      <c r="F2293" s="115" t="s">
        <v>5403</v>
      </c>
      <c r="G2293" s="115" t="s">
        <v>5404</v>
      </c>
      <c r="H2293" s="115" t="s">
        <v>5405</v>
      </c>
    </row>
    <row r="2294" spans="1:8" ht="30" x14ac:dyDescent="0.25">
      <c r="A2294" s="115">
        <v>5556</v>
      </c>
      <c r="B2294" s="115" t="s">
        <v>128</v>
      </c>
      <c r="C2294" s="115" t="s">
        <v>5412</v>
      </c>
      <c r="D2294" s="115">
        <v>1</v>
      </c>
      <c r="E2294" s="115" t="s">
        <v>1331</v>
      </c>
      <c r="F2294" s="115" t="s">
        <v>1332</v>
      </c>
      <c r="G2294" s="115" t="s">
        <v>1333</v>
      </c>
      <c r="H2294" s="115" t="s">
        <v>1334</v>
      </c>
    </row>
    <row r="2295" spans="1:8" ht="150" x14ac:dyDescent="0.25">
      <c r="A2295" s="115">
        <v>5555</v>
      </c>
      <c r="B2295" s="115" t="s">
        <v>128</v>
      </c>
      <c r="C2295" s="115" t="s">
        <v>5413</v>
      </c>
      <c r="D2295" s="115">
        <v>1</v>
      </c>
      <c r="E2295" s="115" t="s">
        <v>5414</v>
      </c>
      <c r="F2295" s="115" t="s">
        <v>5415</v>
      </c>
      <c r="G2295" s="115" t="s">
        <v>5416</v>
      </c>
      <c r="H2295" s="115" t="s">
        <v>5417</v>
      </c>
    </row>
    <row r="2296" spans="1:8" ht="135" x14ac:dyDescent="0.25">
      <c r="A2296" s="115">
        <v>5554</v>
      </c>
      <c r="B2296" s="115" t="s">
        <v>128</v>
      </c>
      <c r="C2296" s="115" t="s">
        <v>5418</v>
      </c>
      <c r="D2296" s="115">
        <v>1</v>
      </c>
      <c r="E2296" s="115" t="s">
        <v>5419</v>
      </c>
      <c r="F2296" s="115" t="s">
        <v>5420</v>
      </c>
      <c r="G2296" s="115" t="s">
        <v>5421</v>
      </c>
      <c r="H2296" s="115" t="s">
        <v>5422</v>
      </c>
    </row>
    <row r="2297" spans="1:8" ht="30" x14ac:dyDescent="0.25">
      <c r="A2297" s="115">
        <v>5553</v>
      </c>
      <c r="B2297" s="115" t="s">
        <v>128</v>
      </c>
      <c r="C2297" s="115" t="s">
        <v>5423</v>
      </c>
      <c r="D2297" s="115">
        <v>1</v>
      </c>
      <c r="E2297" s="115" t="s">
        <v>5353</v>
      </c>
      <c r="F2297" s="115" t="s">
        <v>5354</v>
      </c>
      <c r="G2297" s="115" t="s">
        <v>5355</v>
      </c>
      <c r="H2297" s="115" t="s">
        <v>5356</v>
      </c>
    </row>
    <row r="2298" spans="1:8" ht="30" x14ac:dyDescent="0.25">
      <c r="A2298" s="115">
        <v>5552</v>
      </c>
      <c r="B2298" s="115" t="s">
        <v>128</v>
      </c>
      <c r="C2298" s="115" t="s">
        <v>5424</v>
      </c>
      <c r="D2298" s="115">
        <v>1</v>
      </c>
    </row>
    <row r="2299" spans="1:8" ht="30" x14ac:dyDescent="0.25">
      <c r="A2299" s="115">
        <v>5551</v>
      </c>
      <c r="B2299" s="115" t="s">
        <v>128</v>
      </c>
      <c r="C2299" s="115" t="s">
        <v>5425</v>
      </c>
      <c r="D2299" s="115">
        <v>1</v>
      </c>
    </row>
    <row r="2300" spans="1:8" ht="30" x14ac:dyDescent="0.25">
      <c r="A2300" s="115">
        <v>5550</v>
      </c>
      <c r="B2300" s="115" t="s">
        <v>128</v>
      </c>
      <c r="C2300" s="115" t="s">
        <v>5426</v>
      </c>
      <c r="D2300" s="115">
        <v>1</v>
      </c>
      <c r="E2300" s="115" t="s">
        <v>5427</v>
      </c>
      <c r="F2300" s="115" t="s">
        <v>5428</v>
      </c>
      <c r="G2300" s="115" t="s">
        <v>5428</v>
      </c>
      <c r="H2300" s="115" t="s">
        <v>5428</v>
      </c>
    </row>
    <row r="2301" spans="1:8" ht="30" x14ac:dyDescent="0.25">
      <c r="A2301" s="115">
        <v>5549</v>
      </c>
      <c r="B2301" s="115" t="s">
        <v>128</v>
      </c>
      <c r="C2301" s="115" t="s">
        <v>5429</v>
      </c>
      <c r="D2301" s="115">
        <v>1</v>
      </c>
      <c r="E2301" s="115" t="s">
        <v>5430</v>
      </c>
      <c r="F2301" s="115" t="s">
        <v>5431</v>
      </c>
      <c r="G2301" s="115" t="s">
        <v>5432</v>
      </c>
      <c r="H2301" s="115" t="s">
        <v>5433</v>
      </c>
    </row>
    <row r="2302" spans="1:8" ht="30" x14ac:dyDescent="0.25">
      <c r="A2302" s="115">
        <v>5548</v>
      </c>
      <c r="B2302" s="115" t="s">
        <v>128</v>
      </c>
      <c r="C2302" s="115" t="s">
        <v>5434</v>
      </c>
      <c r="D2302" s="115">
        <v>1</v>
      </c>
      <c r="E2302" s="115" t="s">
        <v>5435</v>
      </c>
      <c r="F2302" s="115" t="s">
        <v>5436</v>
      </c>
      <c r="G2302" s="115" t="s">
        <v>5437</v>
      </c>
      <c r="H2302" s="115" t="s">
        <v>5438</v>
      </c>
    </row>
    <row r="2303" spans="1:8" ht="30" x14ac:dyDescent="0.25">
      <c r="A2303" s="115">
        <v>5547</v>
      </c>
      <c r="B2303" s="115" t="s">
        <v>128</v>
      </c>
      <c r="C2303" s="115" t="s">
        <v>5439</v>
      </c>
      <c r="D2303" s="115">
        <v>1</v>
      </c>
      <c r="E2303" s="115" t="s">
        <v>5440</v>
      </c>
      <c r="F2303" s="115" t="s">
        <v>5441</v>
      </c>
      <c r="G2303" s="115" t="s">
        <v>5442</v>
      </c>
      <c r="H2303" s="115" t="s">
        <v>5443</v>
      </c>
    </row>
    <row r="2304" spans="1:8" ht="30" x14ac:dyDescent="0.25">
      <c r="A2304" s="115">
        <v>5546</v>
      </c>
      <c r="B2304" s="115" t="s">
        <v>128</v>
      </c>
      <c r="C2304" s="115" t="s">
        <v>5444</v>
      </c>
      <c r="D2304" s="115">
        <v>1</v>
      </c>
      <c r="E2304" s="115" t="s">
        <v>5445</v>
      </c>
      <c r="F2304" s="115" t="s">
        <v>5446</v>
      </c>
      <c r="G2304" s="115" t="s">
        <v>5447</v>
      </c>
      <c r="H2304" s="115" t="s">
        <v>5448</v>
      </c>
    </row>
    <row r="2305" spans="1:8" ht="30" x14ac:dyDescent="0.25">
      <c r="A2305" s="115">
        <v>5545</v>
      </c>
      <c r="B2305" s="115" t="s">
        <v>128</v>
      </c>
      <c r="C2305" s="115" t="s">
        <v>5449</v>
      </c>
      <c r="D2305" s="115">
        <v>1</v>
      </c>
      <c r="E2305" s="115" t="s">
        <v>5450</v>
      </c>
      <c r="F2305" s="115" t="s">
        <v>5451</v>
      </c>
      <c r="G2305" s="115" t="s">
        <v>5452</v>
      </c>
      <c r="H2305" s="115" t="s">
        <v>5453</v>
      </c>
    </row>
    <row r="2306" spans="1:8" ht="90" x14ac:dyDescent="0.25">
      <c r="A2306" s="115">
        <v>5544</v>
      </c>
      <c r="B2306" s="115" t="s">
        <v>128</v>
      </c>
      <c r="C2306" s="115" t="s">
        <v>5454</v>
      </c>
      <c r="D2306" s="115">
        <v>1</v>
      </c>
      <c r="E2306" s="115" t="s">
        <v>5455</v>
      </c>
      <c r="F2306" s="115" t="s">
        <v>5456</v>
      </c>
      <c r="G2306" s="115" t="s">
        <v>5457</v>
      </c>
      <c r="H2306" s="115" t="s">
        <v>5458</v>
      </c>
    </row>
    <row r="2307" spans="1:8" x14ac:dyDescent="0.25">
      <c r="A2307" s="115">
        <v>5543</v>
      </c>
      <c r="B2307" s="115" t="s">
        <v>128</v>
      </c>
      <c r="C2307" s="115" t="s">
        <v>5459</v>
      </c>
      <c r="D2307" s="115">
        <v>1</v>
      </c>
      <c r="E2307" s="115" t="s">
        <v>5460</v>
      </c>
      <c r="F2307" s="115" t="s">
        <v>5461</v>
      </c>
      <c r="G2307" s="115" t="s">
        <v>5462</v>
      </c>
      <c r="H2307" s="115" t="s">
        <v>5463</v>
      </c>
    </row>
    <row r="2308" spans="1:8" ht="60" x14ac:dyDescent="0.25">
      <c r="A2308" s="115">
        <v>5542</v>
      </c>
      <c r="B2308" s="115" t="s">
        <v>128</v>
      </c>
      <c r="C2308" s="115" t="s">
        <v>5464</v>
      </c>
      <c r="D2308" s="115">
        <v>1</v>
      </c>
      <c r="E2308" s="115" t="s">
        <v>5465</v>
      </c>
      <c r="F2308" s="115" t="s">
        <v>5465</v>
      </c>
      <c r="G2308" s="115" t="s">
        <v>5466</v>
      </c>
      <c r="H2308" s="115" t="s">
        <v>5467</v>
      </c>
    </row>
    <row r="2309" spans="1:8" ht="30" x14ac:dyDescent="0.25">
      <c r="A2309" s="115">
        <v>5541</v>
      </c>
      <c r="B2309" s="115" t="s">
        <v>128</v>
      </c>
      <c r="C2309" s="115" t="s">
        <v>5468</v>
      </c>
      <c r="D2309" s="115">
        <v>1</v>
      </c>
      <c r="E2309" s="115" t="s">
        <v>4468</v>
      </c>
      <c r="F2309" s="115" t="s">
        <v>5469</v>
      </c>
      <c r="G2309" s="115" t="s">
        <v>4470</v>
      </c>
      <c r="H2309" s="115" t="s">
        <v>5470</v>
      </c>
    </row>
    <row r="2310" spans="1:8" ht="30" x14ac:dyDescent="0.25">
      <c r="A2310" s="115">
        <v>5540</v>
      </c>
      <c r="B2310" s="115" t="s">
        <v>128</v>
      </c>
      <c r="C2310" s="115" t="s">
        <v>5471</v>
      </c>
      <c r="D2310" s="115">
        <v>1</v>
      </c>
      <c r="E2310" s="115" t="s">
        <v>5472</v>
      </c>
      <c r="F2310" s="115" t="s">
        <v>5473</v>
      </c>
      <c r="G2310" s="115" t="s">
        <v>5472</v>
      </c>
      <c r="H2310" s="115" t="s">
        <v>5474</v>
      </c>
    </row>
    <row r="2311" spans="1:8" ht="30" x14ac:dyDescent="0.25">
      <c r="A2311" s="115">
        <v>5539</v>
      </c>
      <c r="B2311" s="115" t="s">
        <v>128</v>
      </c>
      <c r="C2311" s="115" t="s">
        <v>5475</v>
      </c>
      <c r="D2311" s="115">
        <v>1</v>
      </c>
      <c r="E2311" s="115" t="s">
        <v>5476</v>
      </c>
      <c r="F2311" s="115" t="s">
        <v>5469</v>
      </c>
      <c r="G2311" s="115" t="s">
        <v>4470</v>
      </c>
      <c r="H2311" s="115" t="s">
        <v>5470</v>
      </c>
    </row>
    <row r="2312" spans="1:8" ht="30" x14ac:dyDescent="0.25">
      <c r="A2312" s="115">
        <v>5538</v>
      </c>
      <c r="B2312" s="115" t="s">
        <v>128</v>
      </c>
      <c r="C2312" s="115" t="s">
        <v>5477</v>
      </c>
      <c r="D2312" s="115">
        <v>1</v>
      </c>
      <c r="E2312" s="115" t="s">
        <v>5478</v>
      </c>
      <c r="F2312" s="115" t="s">
        <v>5479</v>
      </c>
      <c r="G2312" s="115" t="s">
        <v>5480</v>
      </c>
      <c r="H2312" s="115" t="s">
        <v>5481</v>
      </c>
    </row>
    <row r="2313" spans="1:8" ht="30" x14ac:dyDescent="0.25">
      <c r="A2313" s="115">
        <v>5537</v>
      </c>
      <c r="B2313" s="115" t="s">
        <v>128</v>
      </c>
      <c r="C2313" s="115" t="s">
        <v>5482</v>
      </c>
      <c r="D2313" s="115">
        <v>1</v>
      </c>
      <c r="E2313" s="115" t="s">
        <v>5483</v>
      </c>
      <c r="F2313" s="115" t="s">
        <v>5484</v>
      </c>
      <c r="G2313" s="115" t="s">
        <v>5485</v>
      </c>
      <c r="H2313" s="115" t="s">
        <v>5486</v>
      </c>
    </row>
    <row r="2314" spans="1:8" ht="30" x14ac:dyDescent="0.25">
      <c r="A2314" s="115">
        <v>5536</v>
      </c>
      <c r="B2314" s="115" t="s">
        <v>128</v>
      </c>
      <c r="C2314" s="115" t="s">
        <v>5487</v>
      </c>
      <c r="D2314" s="115">
        <v>1</v>
      </c>
      <c r="E2314" s="115" t="s">
        <v>3947</v>
      </c>
      <c r="F2314" s="115" t="s">
        <v>5488</v>
      </c>
      <c r="G2314" s="115" t="s">
        <v>3949</v>
      </c>
      <c r="H2314" s="115" t="s">
        <v>3950</v>
      </c>
    </row>
    <row r="2315" spans="1:8" ht="30" x14ac:dyDescent="0.25">
      <c r="A2315" s="115">
        <v>5535</v>
      </c>
      <c r="B2315" s="115" t="s">
        <v>128</v>
      </c>
      <c r="C2315" s="115" t="s">
        <v>5489</v>
      </c>
      <c r="D2315" s="115">
        <v>1</v>
      </c>
      <c r="E2315" s="115" t="s">
        <v>3942</v>
      </c>
      <c r="F2315" s="115" t="s">
        <v>3943</v>
      </c>
      <c r="G2315" s="115" t="s">
        <v>3944</v>
      </c>
      <c r="H2315" s="115" t="s">
        <v>3945</v>
      </c>
    </row>
    <row r="2316" spans="1:8" ht="60" x14ac:dyDescent="0.25">
      <c r="A2316" s="115">
        <v>5534</v>
      </c>
      <c r="B2316" s="115" t="s">
        <v>128</v>
      </c>
      <c r="C2316" s="115" t="s">
        <v>5490</v>
      </c>
      <c r="D2316" s="115">
        <v>1</v>
      </c>
      <c r="E2316" s="115" t="s">
        <v>4493</v>
      </c>
      <c r="F2316" s="115" t="s">
        <v>5491</v>
      </c>
      <c r="G2316" s="115" t="s">
        <v>4495</v>
      </c>
      <c r="H2316" s="115" t="s">
        <v>4496</v>
      </c>
    </row>
    <row r="2317" spans="1:8" ht="30" x14ac:dyDescent="0.25">
      <c r="A2317" s="115">
        <v>5533</v>
      </c>
      <c r="B2317" s="115" t="s">
        <v>128</v>
      </c>
      <c r="C2317" s="115" t="s">
        <v>5492</v>
      </c>
      <c r="D2317" s="115">
        <v>1</v>
      </c>
      <c r="E2317" s="115" t="s">
        <v>4488</v>
      </c>
      <c r="F2317" s="115" t="s">
        <v>4489</v>
      </c>
      <c r="G2317" s="115" t="s">
        <v>4490</v>
      </c>
      <c r="H2317" s="115" t="s">
        <v>4491</v>
      </c>
    </row>
    <row r="2318" spans="1:8" ht="45" x14ac:dyDescent="0.25">
      <c r="A2318" s="115">
        <v>5532</v>
      </c>
      <c r="B2318" s="115" t="s">
        <v>128</v>
      </c>
      <c r="C2318" s="115" t="s">
        <v>5493</v>
      </c>
      <c r="D2318" s="115">
        <v>1</v>
      </c>
      <c r="E2318" s="115" t="s">
        <v>2245</v>
      </c>
      <c r="F2318" s="115" t="s">
        <v>5494</v>
      </c>
      <c r="G2318" s="115" t="s">
        <v>2247</v>
      </c>
      <c r="H2318" s="115" t="s">
        <v>2248</v>
      </c>
    </row>
    <row r="2319" spans="1:8" ht="30" x14ac:dyDescent="0.25">
      <c r="A2319" s="115">
        <v>5531</v>
      </c>
      <c r="B2319" s="115" t="s">
        <v>128</v>
      </c>
      <c r="C2319" s="115" t="s">
        <v>5495</v>
      </c>
      <c r="D2319" s="115">
        <v>1</v>
      </c>
      <c r="E2319" s="115" t="s">
        <v>2250</v>
      </c>
      <c r="F2319" s="115" t="s">
        <v>2251</v>
      </c>
      <c r="G2319" s="115" t="s">
        <v>5496</v>
      </c>
      <c r="H2319" s="115" t="s">
        <v>2253</v>
      </c>
    </row>
    <row r="2320" spans="1:8" ht="45" x14ac:dyDescent="0.25">
      <c r="A2320" s="115">
        <v>5530</v>
      </c>
      <c r="B2320" s="115" t="s">
        <v>128</v>
      </c>
      <c r="C2320" s="115" t="s">
        <v>5497</v>
      </c>
      <c r="D2320" s="115">
        <v>1</v>
      </c>
      <c r="E2320" s="115" t="s">
        <v>1804</v>
      </c>
      <c r="F2320" s="115" t="s">
        <v>5498</v>
      </c>
      <c r="G2320" s="115" t="s">
        <v>1806</v>
      </c>
      <c r="H2320" s="115" t="s">
        <v>1807</v>
      </c>
    </row>
    <row r="2321" spans="1:8" ht="30" x14ac:dyDescent="0.25">
      <c r="A2321" s="115">
        <v>5529</v>
      </c>
      <c r="B2321" s="115" t="s">
        <v>128</v>
      </c>
      <c r="C2321" s="115" t="s">
        <v>5499</v>
      </c>
      <c r="D2321" s="115">
        <v>1</v>
      </c>
      <c r="E2321" s="115" t="s">
        <v>1799</v>
      </c>
      <c r="F2321" s="115" t="s">
        <v>1800</v>
      </c>
      <c r="G2321" s="115" t="s">
        <v>1801</v>
      </c>
      <c r="H2321" s="115" t="s">
        <v>1802</v>
      </c>
    </row>
    <row r="2322" spans="1:8" ht="30" x14ac:dyDescent="0.25">
      <c r="A2322" s="115">
        <v>5528</v>
      </c>
      <c r="B2322" s="115" t="s">
        <v>128</v>
      </c>
      <c r="C2322" s="115" t="s">
        <v>5500</v>
      </c>
      <c r="D2322" s="115">
        <v>1</v>
      </c>
      <c r="E2322" s="115" t="s">
        <v>2270</v>
      </c>
      <c r="F2322" s="115" t="s">
        <v>1409</v>
      </c>
      <c r="G2322" s="115" t="s">
        <v>2271</v>
      </c>
      <c r="H2322" s="115" t="s">
        <v>2272</v>
      </c>
    </row>
    <row r="2323" spans="1:8" ht="30" x14ac:dyDescent="0.25">
      <c r="A2323" s="115">
        <v>5527</v>
      </c>
      <c r="B2323" s="115" t="s">
        <v>128</v>
      </c>
      <c r="C2323" s="115" t="s">
        <v>5501</v>
      </c>
      <c r="D2323" s="115">
        <v>1</v>
      </c>
      <c r="E2323" s="115" t="s">
        <v>2265</v>
      </c>
      <c r="F2323" s="115" t="s">
        <v>2266</v>
      </c>
      <c r="G2323" s="115" t="s">
        <v>2267</v>
      </c>
      <c r="H2323" s="115" t="s">
        <v>2268</v>
      </c>
    </row>
    <row r="2324" spans="1:8" ht="60" x14ac:dyDescent="0.25">
      <c r="A2324" s="115">
        <v>5526</v>
      </c>
      <c r="B2324" s="115" t="s">
        <v>128</v>
      </c>
      <c r="C2324" s="115" t="s">
        <v>5502</v>
      </c>
      <c r="D2324" s="115">
        <v>1</v>
      </c>
      <c r="E2324" s="115" t="s">
        <v>2991</v>
      </c>
      <c r="F2324" s="115" t="s">
        <v>5503</v>
      </c>
      <c r="G2324" s="115" t="s">
        <v>2993</v>
      </c>
      <c r="H2324" s="115" t="s">
        <v>2994</v>
      </c>
    </row>
    <row r="2325" spans="1:8" ht="30" x14ac:dyDescent="0.25">
      <c r="A2325" s="115">
        <v>5525</v>
      </c>
      <c r="B2325" s="115" t="s">
        <v>128</v>
      </c>
      <c r="C2325" s="115" t="s">
        <v>5504</v>
      </c>
      <c r="D2325" s="115">
        <v>1</v>
      </c>
      <c r="E2325" s="115" t="s">
        <v>2986</v>
      </c>
      <c r="F2325" s="115" t="s">
        <v>2987</v>
      </c>
      <c r="G2325" s="115" t="s">
        <v>2988</v>
      </c>
      <c r="H2325" s="115" t="s">
        <v>2989</v>
      </c>
    </row>
    <row r="2326" spans="1:8" ht="30" x14ac:dyDescent="0.25">
      <c r="A2326" s="115">
        <v>5524</v>
      </c>
      <c r="B2326" s="115" t="s">
        <v>128</v>
      </c>
      <c r="C2326" s="115" t="s">
        <v>5505</v>
      </c>
      <c r="D2326" s="115">
        <v>1</v>
      </c>
      <c r="E2326" s="115" t="s">
        <v>1423</v>
      </c>
      <c r="F2326" s="115" t="s">
        <v>1424</v>
      </c>
      <c r="G2326" s="115" t="s">
        <v>1425</v>
      </c>
      <c r="H2326" s="115" t="s">
        <v>1426</v>
      </c>
    </row>
    <row r="2327" spans="1:8" ht="30" x14ac:dyDescent="0.25">
      <c r="A2327" s="115">
        <v>5523</v>
      </c>
      <c r="B2327" s="115" t="s">
        <v>128</v>
      </c>
      <c r="C2327" s="115" t="s">
        <v>5506</v>
      </c>
      <c r="D2327" s="115">
        <v>1</v>
      </c>
      <c r="E2327" s="115" t="s">
        <v>1326</v>
      </c>
      <c r="F2327" s="115" t="s">
        <v>1327</v>
      </c>
      <c r="G2327" s="115" t="s">
        <v>5507</v>
      </c>
      <c r="H2327" s="115" t="s">
        <v>1329</v>
      </c>
    </row>
    <row r="2328" spans="1:8" ht="30" x14ac:dyDescent="0.25">
      <c r="A2328" s="115">
        <v>5522</v>
      </c>
      <c r="B2328" s="115" t="s">
        <v>128</v>
      </c>
      <c r="C2328" s="115" t="s">
        <v>5508</v>
      </c>
      <c r="D2328" s="115">
        <v>1</v>
      </c>
      <c r="E2328" s="115" t="s">
        <v>460</v>
      </c>
      <c r="F2328" s="115" t="s">
        <v>461</v>
      </c>
      <c r="G2328" s="115" t="s">
        <v>462</v>
      </c>
      <c r="H2328" s="115" t="s">
        <v>463</v>
      </c>
    </row>
    <row r="2329" spans="1:8" ht="30" x14ac:dyDescent="0.25">
      <c r="A2329" s="115">
        <v>5521</v>
      </c>
      <c r="B2329" s="115" t="s">
        <v>128</v>
      </c>
      <c r="C2329" s="115" t="s">
        <v>5509</v>
      </c>
      <c r="D2329" s="115">
        <v>1</v>
      </c>
      <c r="E2329" s="115" t="s">
        <v>5510</v>
      </c>
      <c r="F2329" s="115" t="s">
        <v>5511</v>
      </c>
      <c r="G2329" s="115" t="s">
        <v>5512</v>
      </c>
      <c r="H2329" s="115" t="s">
        <v>5513</v>
      </c>
    </row>
    <row r="2330" spans="1:8" x14ac:dyDescent="0.25">
      <c r="A2330" s="115">
        <v>5520</v>
      </c>
      <c r="B2330" s="115" t="s">
        <v>128</v>
      </c>
      <c r="C2330" s="115" t="s">
        <v>5514</v>
      </c>
      <c r="D2330" s="115">
        <v>1</v>
      </c>
      <c r="E2330" s="115" t="s">
        <v>5515</v>
      </c>
      <c r="F2330" s="115" t="s">
        <v>5516</v>
      </c>
      <c r="G2330" s="115" t="s">
        <v>5515</v>
      </c>
      <c r="H2330" s="115" t="s">
        <v>5515</v>
      </c>
    </row>
    <row r="2331" spans="1:8" x14ac:dyDescent="0.25">
      <c r="A2331" s="115">
        <v>5519</v>
      </c>
      <c r="B2331" s="115" t="s">
        <v>128</v>
      </c>
      <c r="C2331" s="115" t="s">
        <v>5517</v>
      </c>
      <c r="D2331" s="115">
        <v>1</v>
      </c>
      <c r="E2331" s="115" t="s">
        <v>5337</v>
      </c>
      <c r="F2331" s="115" t="s">
        <v>5337</v>
      </c>
      <c r="G2331" s="115" t="s">
        <v>5337</v>
      </c>
      <c r="H2331" s="115" t="s">
        <v>5518</v>
      </c>
    </row>
    <row r="2332" spans="1:8" x14ac:dyDescent="0.25">
      <c r="A2332" s="115">
        <v>5518</v>
      </c>
      <c r="B2332" s="115" t="s">
        <v>128</v>
      </c>
      <c r="C2332" s="115" t="s">
        <v>5519</v>
      </c>
      <c r="D2332" s="115">
        <v>1</v>
      </c>
      <c r="E2332" s="115" t="s">
        <v>5520</v>
      </c>
      <c r="F2332" s="115" t="s">
        <v>5521</v>
      </c>
      <c r="G2332" s="115" t="s">
        <v>5522</v>
      </c>
      <c r="H2332" s="115" t="s">
        <v>5523</v>
      </c>
    </row>
    <row r="2333" spans="1:8" x14ac:dyDescent="0.25">
      <c r="A2333" s="115">
        <v>5517</v>
      </c>
      <c r="B2333" s="115" t="s">
        <v>128</v>
      </c>
      <c r="C2333" s="115" t="s">
        <v>5524</v>
      </c>
      <c r="D2333" s="115">
        <v>1</v>
      </c>
      <c r="E2333" s="115" t="s">
        <v>5520</v>
      </c>
      <c r="F2333" s="115" t="s">
        <v>5521</v>
      </c>
      <c r="G2333" s="115" t="s">
        <v>5522</v>
      </c>
      <c r="H2333" s="115" t="s">
        <v>5523</v>
      </c>
    </row>
    <row r="2334" spans="1:8" ht="30" x14ac:dyDescent="0.25">
      <c r="A2334" s="115">
        <v>5516</v>
      </c>
      <c r="B2334" s="115" t="s">
        <v>128</v>
      </c>
      <c r="C2334" s="115" t="s">
        <v>5525</v>
      </c>
      <c r="D2334" s="115">
        <v>1</v>
      </c>
      <c r="E2334" s="115" t="s">
        <v>5526</v>
      </c>
      <c r="F2334" s="115" t="s">
        <v>5526</v>
      </c>
      <c r="G2334" s="115" t="s">
        <v>5527</v>
      </c>
      <c r="H2334" s="115" t="s">
        <v>5528</v>
      </c>
    </row>
    <row r="2335" spans="1:8" ht="30" x14ac:dyDescent="0.25">
      <c r="A2335" s="115">
        <v>5515</v>
      </c>
      <c r="B2335" s="115" t="s">
        <v>128</v>
      </c>
      <c r="C2335" s="115" t="s">
        <v>5529</v>
      </c>
      <c r="D2335" s="115">
        <v>1</v>
      </c>
      <c r="E2335" s="115" t="s">
        <v>5530</v>
      </c>
      <c r="F2335" s="115" t="s">
        <v>5531</v>
      </c>
      <c r="G2335" s="115" t="s">
        <v>5532</v>
      </c>
      <c r="H2335" s="115" t="s">
        <v>5533</v>
      </c>
    </row>
    <row r="2336" spans="1:8" ht="30" x14ac:dyDescent="0.25">
      <c r="A2336" s="115">
        <v>5514</v>
      </c>
      <c r="B2336" s="115" t="s">
        <v>128</v>
      </c>
      <c r="C2336" s="115" t="s">
        <v>5534</v>
      </c>
      <c r="D2336" s="115">
        <v>1</v>
      </c>
      <c r="E2336" s="115" t="s">
        <v>5535</v>
      </c>
      <c r="F2336" s="115" t="s">
        <v>5536</v>
      </c>
      <c r="G2336" s="115" t="s">
        <v>5537</v>
      </c>
      <c r="H2336" s="115" t="s">
        <v>5538</v>
      </c>
    </row>
    <row r="2337" spans="1:8" ht="30" x14ac:dyDescent="0.25">
      <c r="A2337" s="115">
        <v>5513</v>
      </c>
      <c r="B2337" s="115" t="s">
        <v>128</v>
      </c>
      <c r="C2337" s="115" t="s">
        <v>5539</v>
      </c>
      <c r="D2337" s="115">
        <v>1</v>
      </c>
      <c r="E2337" s="115" t="s">
        <v>5540</v>
      </c>
      <c r="F2337" s="115" t="s">
        <v>5541</v>
      </c>
      <c r="G2337" s="115" t="s">
        <v>5542</v>
      </c>
      <c r="H2337" s="115" t="s">
        <v>5543</v>
      </c>
    </row>
    <row r="2338" spans="1:8" ht="30" x14ac:dyDescent="0.25">
      <c r="A2338" s="115">
        <v>5512</v>
      </c>
      <c r="B2338" s="115" t="s">
        <v>128</v>
      </c>
      <c r="C2338" s="115" t="s">
        <v>5544</v>
      </c>
      <c r="D2338" s="115">
        <v>1</v>
      </c>
      <c r="E2338" s="115" t="s">
        <v>5545</v>
      </c>
      <c r="F2338" s="115" t="s">
        <v>5546</v>
      </c>
      <c r="G2338" s="115" t="s">
        <v>5547</v>
      </c>
      <c r="H2338" s="115" t="s">
        <v>5548</v>
      </c>
    </row>
    <row r="2339" spans="1:8" ht="30" x14ac:dyDescent="0.25">
      <c r="A2339" s="115">
        <v>5511</v>
      </c>
      <c r="B2339" s="115" t="s">
        <v>128</v>
      </c>
      <c r="C2339" s="115" t="s">
        <v>5549</v>
      </c>
      <c r="D2339" s="115">
        <v>1</v>
      </c>
      <c r="E2339" s="115" t="s">
        <v>5550</v>
      </c>
      <c r="F2339" s="115" t="s">
        <v>5551</v>
      </c>
      <c r="G2339" s="115" t="s">
        <v>5552</v>
      </c>
      <c r="H2339" s="115" t="s">
        <v>5553</v>
      </c>
    </row>
    <row r="2340" spans="1:8" ht="30" x14ac:dyDescent="0.25">
      <c r="A2340" s="115">
        <v>5510</v>
      </c>
      <c r="B2340" s="115" t="s">
        <v>128</v>
      </c>
      <c r="C2340" s="115" t="s">
        <v>5554</v>
      </c>
      <c r="D2340" s="115">
        <v>1</v>
      </c>
      <c r="E2340" s="115" t="s">
        <v>5555</v>
      </c>
      <c r="F2340" s="115" t="s">
        <v>5556</v>
      </c>
      <c r="G2340" s="115" t="s">
        <v>5557</v>
      </c>
      <c r="H2340" s="115" t="s">
        <v>5558</v>
      </c>
    </row>
    <row r="2341" spans="1:8" ht="30" x14ac:dyDescent="0.25">
      <c r="A2341" s="115">
        <v>5509</v>
      </c>
      <c r="B2341" s="115" t="s">
        <v>128</v>
      </c>
      <c r="C2341" s="115" t="s">
        <v>5559</v>
      </c>
      <c r="D2341" s="115">
        <v>1</v>
      </c>
      <c r="E2341" s="115" t="s">
        <v>5560</v>
      </c>
      <c r="F2341" s="115" t="s">
        <v>5561</v>
      </c>
      <c r="G2341" s="115" t="s">
        <v>5562</v>
      </c>
      <c r="H2341" s="115" t="s">
        <v>5563</v>
      </c>
    </row>
    <row r="2342" spans="1:8" ht="30" x14ac:dyDescent="0.25">
      <c r="A2342" s="115">
        <v>5508</v>
      </c>
      <c r="B2342" s="115" t="s">
        <v>128</v>
      </c>
      <c r="C2342" s="115" t="s">
        <v>5564</v>
      </c>
      <c r="D2342" s="115">
        <v>1</v>
      </c>
      <c r="E2342" s="115" t="s">
        <v>1811</v>
      </c>
      <c r="F2342" s="115" t="s">
        <v>5565</v>
      </c>
      <c r="G2342" s="115" t="s">
        <v>1813</v>
      </c>
      <c r="H2342" s="115" t="s">
        <v>1814</v>
      </c>
    </row>
    <row r="2343" spans="1:8" ht="30" x14ac:dyDescent="0.25">
      <c r="A2343" s="115">
        <v>5507</v>
      </c>
      <c r="B2343" s="115" t="s">
        <v>128</v>
      </c>
      <c r="C2343" s="115" t="s">
        <v>5566</v>
      </c>
      <c r="D2343" s="115">
        <v>1</v>
      </c>
      <c r="E2343" s="115" t="s">
        <v>5567</v>
      </c>
      <c r="F2343" s="115" t="s">
        <v>5568</v>
      </c>
      <c r="G2343" s="115" t="s">
        <v>5569</v>
      </c>
      <c r="H2343" s="115" t="s">
        <v>5570</v>
      </c>
    </row>
    <row r="2344" spans="1:8" ht="30" x14ac:dyDescent="0.25">
      <c r="A2344" s="115">
        <v>5506</v>
      </c>
      <c r="B2344" s="115" t="s">
        <v>128</v>
      </c>
      <c r="C2344" s="115" t="s">
        <v>5571</v>
      </c>
      <c r="D2344" s="115">
        <v>1</v>
      </c>
      <c r="E2344" s="115" t="s">
        <v>5572</v>
      </c>
      <c r="F2344" s="115" t="s">
        <v>5573</v>
      </c>
      <c r="G2344" s="115" t="s">
        <v>5574</v>
      </c>
      <c r="H2344" s="115" t="s">
        <v>5575</v>
      </c>
    </row>
    <row r="2345" spans="1:8" ht="30" x14ac:dyDescent="0.25">
      <c r="A2345" s="115">
        <v>5505</v>
      </c>
      <c r="B2345" s="115" t="s">
        <v>128</v>
      </c>
      <c r="C2345" s="115" t="s">
        <v>5576</v>
      </c>
      <c r="D2345" s="115">
        <v>1</v>
      </c>
      <c r="E2345" s="115" t="s">
        <v>5577</v>
      </c>
      <c r="F2345" s="115" t="s">
        <v>5578</v>
      </c>
      <c r="G2345" s="115" t="s">
        <v>5579</v>
      </c>
      <c r="H2345" s="115" t="s">
        <v>5580</v>
      </c>
    </row>
    <row r="2346" spans="1:8" ht="30" x14ac:dyDescent="0.25">
      <c r="A2346" s="115">
        <v>5504</v>
      </c>
      <c r="B2346" s="115" t="s">
        <v>128</v>
      </c>
      <c r="C2346" s="115" t="s">
        <v>5581</v>
      </c>
      <c r="D2346" s="115">
        <v>1</v>
      </c>
      <c r="E2346" s="115" t="s">
        <v>5582</v>
      </c>
      <c r="F2346" s="115" t="s">
        <v>5583</v>
      </c>
      <c r="G2346" s="115" t="s">
        <v>5584</v>
      </c>
      <c r="H2346" s="115" t="s">
        <v>5585</v>
      </c>
    </row>
    <row r="2347" spans="1:8" ht="45" x14ac:dyDescent="0.25">
      <c r="A2347" s="115">
        <v>5503</v>
      </c>
      <c r="B2347" s="115" t="s">
        <v>128</v>
      </c>
      <c r="C2347" s="115" t="s">
        <v>5586</v>
      </c>
      <c r="D2347" s="115">
        <v>1</v>
      </c>
      <c r="E2347" s="115" t="s">
        <v>5587</v>
      </c>
      <c r="F2347" s="115" t="s">
        <v>5588</v>
      </c>
      <c r="G2347" s="115" t="s">
        <v>5589</v>
      </c>
      <c r="H2347" s="115" t="s">
        <v>5590</v>
      </c>
    </row>
    <row r="2348" spans="1:8" ht="30" x14ac:dyDescent="0.25">
      <c r="A2348" s="115">
        <v>5502</v>
      </c>
      <c r="B2348" s="115" t="s">
        <v>128</v>
      </c>
      <c r="C2348" s="115" t="s">
        <v>5591</v>
      </c>
      <c r="D2348" s="115">
        <v>1</v>
      </c>
      <c r="E2348" s="115" t="s">
        <v>360</v>
      </c>
      <c r="F2348" s="115" t="s">
        <v>5592</v>
      </c>
      <c r="G2348" s="115" t="s">
        <v>5593</v>
      </c>
      <c r="H2348" s="115" t="s">
        <v>5594</v>
      </c>
    </row>
    <row r="2349" spans="1:8" ht="30" x14ac:dyDescent="0.25">
      <c r="A2349" s="115">
        <v>5501</v>
      </c>
      <c r="B2349" s="115" t="s">
        <v>128</v>
      </c>
      <c r="C2349" s="115" t="s">
        <v>5595</v>
      </c>
      <c r="D2349" s="115">
        <v>1</v>
      </c>
      <c r="E2349" s="115" t="s">
        <v>5596</v>
      </c>
      <c r="F2349" s="115" t="s">
        <v>5597</v>
      </c>
      <c r="G2349" s="115" t="s">
        <v>5598</v>
      </c>
      <c r="H2349" s="115" t="s">
        <v>5596</v>
      </c>
    </row>
    <row r="2350" spans="1:8" x14ac:dyDescent="0.25">
      <c r="A2350" s="115">
        <v>5500</v>
      </c>
      <c r="B2350" s="115" t="s">
        <v>128</v>
      </c>
      <c r="C2350" s="115" t="s">
        <v>5599</v>
      </c>
      <c r="D2350" s="115">
        <v>1</v>
      </c>
      <c r="E2350" s="115" t="s">
        <v>5600</v>
      </c>
      <c r="F2350" s="115" t="s">
        <v>5601</v>
      </c>
      <c r="G2350" s="115" t="s">
        <v>5602</v>
      </c>
      <c r="H2350" s="115" t="s">
        <v>5600</v>
      </c>
    </row>
    <row r="2351" spans="1:8" x14ac:dyDescent="0.25">
      <c r="A2351" s="115">
        <v>5499</v>
      </c>
      <c r="B2351" s="115" t="s">
        <v>128</v>
      </c>
      <c r="C2351" s="115" t="s">
        <v>5603</v>
      </c>
      <c r="D2351" s="115">
        <v>1</v>
      </c>
      <c r="E2351" s="115" t="s">
        <v>5604</v>
      </c>
      <c r="F2351" s="115" t="s">
        <v>5605</v>
      </c>
      <c r="G2351" s="115" t="s">
        <v>5606</v>
      </c>
      <c r="H2351" s="115" t="s">
        <v>5604</v>
      </c>
    </row>
    <row r="2352" spans="1:8" ht="90" x14ac:dyDescent="0.25">
      <c r="A2352" s="115">
        <v>5498</v>
      </c>
      <c r="B2352" s="115" t="s">
        <v>128</v>
      </c>
      <c r="C2352" s="115" t="s">
        <v>5607</v>
      </c>
      <c r="D2352" s="115">
        <v>1</v>
      </c>
      <c r="E2352" s="115" t="s">
        <v>5608</v>
      </c>
      <c r="F2352" s="115" t="s">
        <v>5609</v>
      </c>
      <c r="G2352" s="115" t="s">
        <v>5610</v>
      </c>
      <c r="H2352" s="115" t="s">
        <v>5611</v>
      </c>
    </row>
    <row r="2353" spans="1:8" ht="30" x14ac:dyDescent="0.25">
      <c r="A2353" s="115">
        <v>5497</v>
      </c>
      <c r="B2353" s="115" t="s">
        <v>128</v>
      </c>
      <c r="C2353" s="115" t="s">
        <v>5612</v>
      </c>
      <c r="D2353" s="115">
        <v>1</v>
      </c>
      <c r="E2353" s="115" t="s">
        <v>5613</v>
      </c>
      <c r="F2353" s="115" t="s">
        <v>5614</v>
      </c>
      <c r="G2353" s="115" t="s">
        <v>5615</v>
      </c>
      <c r="H2353" s="115" t="s">
        <v>5616</v>
      </c>
    </row>
    <row r="2354" spans="1:8" ht="75" x14ac:dyDescent="0.25">
      <c r="A2354" s="115">
        <v>5496</v>
      </c>
      <c r="B2354" s="115" t="s">
        <v>128</v>
      </c>
      <c r="C2354" s="115" t="s">
        <v>5617</v>
      </c>
      <c r="D2354" s="115">
        <v>1</v>
      </c>
      <c r="E2354" s="115" t="s">
        <v>5618</v>
      </c>
      <c r="F2354" s="115" t="s">
        <v>5619</v>
      </c>
      <c r="G2354" s="115" t="s">
        <v>5620</v>
      </c>
      <c r="H2354" s="115" t="s">
        <v>5621</v>
      </c>
    </row>
    <row r="2355" spans="1:8" ht="30" x14ac:dyDescent="0.25">
      <c r="A2355" s="115">
        <v>5495</v>
      </c>
      <c r="B2355" s="115" t="s">
        <v>128</v>
      </c>
      <c r="C2355" s="115" t="s">
        <v>5622</v>
      </c>
      <c r="D2355" s="115">
        <v>1</v>
      </c>
      <c r="E2355" s="115" t="s">
        <v>5623</v>
      </c>
      <c r="F2355" s="115" t="s">
        <v>5624</v>
      </c>
      <c r="G2355" s="115" t="s">
        <v>5625</v>
      </c>
      <c r="H2355" s="115" t="s">
        <v>5626</v>
      </c>
    </row>
    <row r="2356" spans="1:8" ht="105" x14ac:dyDescent="0.25">
      <c r="A2356" s="115">
        <v>5494</v>
      </c>
      <c r="B2356" s="115" t="s">
        <v>128</v>
      </c>
      <c r="C2356" s="115" t="s">
        <v>5627</v>
      </c>
      <c r="D2356" s="115">
        <v>1</v>
      </c>
      <c r="E2356" s="115" t="s">
        <v>5628</v>
      </c>
      <c r="F2356" s="115" t="s">
        <v>5629</v>
      </c>
      <c r="G2356" s="115" t="s">
        <v>5630</v>
      </c>
      <c r="H2356" s="115" t="s">
        <v>5631</v>
      </c>
    </row>
    <row r="2357" spans="1:8" ht="60" x14ac:dyDescent="0.25">
      <c r="A2357" s="115">
        <v>5493</v>
      </c>
      <c r="B2357" s="115" t="s">
        <v>128</v>
      </c>
      <c r="C2357" s="115" t="s">
        <v>5632</v>
      </c>
      <c r="D2357" s="115">
        <v>1</v>
      </c>
      <c r="E2357" s="115" t="s">
        <v>5633</v>
      </c>
      <c r="F2357" s="115" t="s">
        <v>5634</v>
      </c>
      <c r="G2357" s="115" t="s">
        <v>5635</v>
      </c>
      <c r="H2357" s="115" t="s">
        <v>5636</v>
      </c>
    </row>
    <row r="2358" spans="1:8" ht="30" x14ac:dyDescent="0.25">
      <c r="A2358" s="115">
        <v>5492</v>
      </c>
      <c r="B2358" s="115" t="s">
        <v>128</v>
      </c>
      <c r="C2358" s="115" t="s">
        <v>5637</v>
      </c>
      <c r="D2358" s="115">
        <v>1</v>
      </c>
      <c r="E2358" s="115" t="s">
        <v>5638</v>
      </c>
      <c r="F2358" s="115" t="s">
        <v>5638</v>
      </c>
      <c r="G2358" s="115" t="s">
        <v>5638</v>
      </c>
      <c r="H2358" s="115" t="s">
        <v>5639</v>
      </c>
    </row>
    <row r="2359" spans="1:8" x14ac:dyDescent="0.25">
      <c r="A2359" s="115">
        <v>5491</v>
      </c>
      <c r="B2359" s="115" t="s">
        <v>128</v>
      </c>
      <c r="C2359" s="115" t="s">
        <v>5640</v>
      </c>
      <c r="D2359" s="115">
        <v>1</v>
      </c>
      <c r="E2359" s="115" t="s">
        <v>5641</v>
      </c>
      <c r="F2359" s="115" t="s">
        <v>5642</v>
      </c>
      <c r="G2359" s="115" t="s">
        <v>5643</v>
      </c>
      <c r="H2359" s="115" t="s">
        <v>5644</v>
      </c>
    </row>
    <row r="2360" spans="1:8" ht="120" x14ac:dyDescent="0.25">
      <c r="A2360" s="115">
        <v>5490</v>
      </c>
      <c r="B2360" s="115" t="s">
        <v>128</v>
      </c>
      <c r="C2360" s="115" t="s">
        <v>5645</v>
      </c>
      <c r="D2360" s="115">
        <v>1</v>
      </c>
      <c r="E2360" s="115" t="s">
        <v>5646</v>
      </c>
      <c r="F2360" s="115" t="s">
        <v>5647</v>
      </c>
      <c r="G2360" s="115" t="s">
        <v>5648</v>
      </c>
      <c r="H2360" s="115" t="s">
        <v>5649</v>
      </c>
    </row>
    <row r="2361" spans="1:8" ht="30" x14ac:dyDescent="0.25">
      <c r="A2361" s="115">
        <v>5489</v>
      </c>
      <c r="B2361" s="115" t="s">
        <v>128</v>
      </c>
      <c r="C2361" s="115" t="s">
        <v>5650</v>
      </c>
      <c r="D2361" s="115">
        <v>1</v>
      </c>
      <c r="E2361" s="115" t="s">
        <v>1773</v>
      </c>
      <c r="F2361" s="115" t="s">
        <v>1774</v>
      </c>
      <c r="G2361" s="115" t="s">
        <v>1775</v>
      </c>
      <c r="H2361" s="115" t="s">
        <v>1776</v>
      </c>
    </row>
    <row r="2362" spans="1:8" ht="45" x14ac:dyDescent="0.25">
      <c r="A2362" s="115">
        <v>5488</v>
      </c>
      <c r="B2362" s="115" t="s">
        <v>128</v>
      </c>
      <c r="C2362" s="115" t="s">
        <v>5651</v>
      </c>
      <c r="D2362" s="115">
        <v>1</v>
      </c>
      <c r="E2362" s="115" t="s">
        <v>5652</v>
      </c>
      <c r="F2362" s="115" t="s">
        <v>5653</v>
      </c>
      <c r="G2362" s="115" t="s">
        <v>5654</v>
      </c>
      <c r="H2362" s="115" t="s">
        <v>5655</v>
      </c>
    </row>
    <row r="2363" spans="1:8" x14ac:dyDescent="0.25">
      <c r="A2363" s="115">
        <v>5487</v>
      </c>
      <c r="B2363" s="115" t="s">
        <v>128</v>
      </c>
      <c r="C2363" s="115" t="s">
        <v>5656</v>
      </c>
      <c r="D2363" s="115">
        <v>1</v>
      </c>
      <c r="E2363" s="115" t="s">
        <v>1560</v>
      </c>
      <c r="F2363" s="115" t="s">
        <v>1570</v>
      </c>
      <c r="G2363" s="115" t="s">
        <v>1560</v>
      </c>
      <c r="H2363" s="115" t="s">
        <v>771</v>
      </c>
    </row>
    <row r="2364" spans="1:8" x14ac:dyDescent="0.25">
      <c r="A2364" s="115">
        <v>5486</v>
      </c>
      <c r="B2364" s="115" t="s">
        <v>128</v>
      </c>
      <c r="C2364" s="115" t="s">
        <v>5657</v>
      </c>
      <c r="D2364" s="115">
        <v>1</v>
      </c>
      <c r="E2364" s="115" t="s">
        <v>418</v>
      </c>
      <c r="F2364" s="115" t="s">
        <v>417</v>
      </c>
      <c r="G2364" s="115" t="s">
        <v>418</v>
      </c>
      <c r="H2364" s="115" t="s">
        <v>1563</v>
      </c>
    </row>
    <row r="2365" spans="1:8" x14ac:dyDescent="0.25">
      <c r="A2365" s="115">
        <v>5485</v>
      </c>
      <c r="B2365" s="115" t="s">
        <v>128</v>
      </c>
      <c r="C2365" s="115" t="s">
        <v>5658</v>
      </c>
      <c r="D2365" s="115">
        <v>1</v>
      </c>
      <c r="E2365" s="115" t="s">
        <v>1573</v>
      </c>
      <c r="F2365" s="115" t="s">
        <v>1332</v>
      </c>
      <c r="G2365" s="115" t="s">
        <v>1573</v>
      </c>
      <c r="H2365" s="115" t="s">
        <v>1334</v>
      </c>
    </row>
    <row r="2366" spans="1:8" x14ac:dyDescent="0.25">
      <c r="A2366" s="115">
        <v>5484</v>
      </c>
      <c r="B2366" s="115" t="s">
        <v>128</v>
      </c>
      <c r="C2366" s="115" t="s">
        <v>5659</v>
      </c>
      <c r="D2366" s="115">
        <v>1</v>
      </c>
      <c r="E2366" s="115" t="s">
        <v>1575</v>
      </c>
      <c r="F2366" s="115" t="s">
        <v>1576</v>
      </c>
      <c r="G2366" s="115" t="s">
        <v>1575</v>
      </c>
      <c r="H2366" s="115" t="s">
        <v>1577</v>
      </c>
    </row>
    <row r="2367" spans="1:8" x14ac:dyDescent="0.25">
      <c r="A2367" s="115">
        <v>5483</v>
      </c>
      <c r="B2367" s="115" t="s">
        <v>128</v>
      </c>
      <c r="C2367" s="115" t="s">
        <v>5660</v>
      </c>
      <c r="D2367" s="115">
        <v>1</v>
      </c>
      <c r="E2367" s="115" t="s">
        <v>5661</v>
      </c>
      <c r="F2367" s="115" t="s">
        <v>5662</v>
      </c>
      <c r="G2367" s="115" t="s">
        <v>5663</v>
      </c>
      <c r="H2367" s="115" t="s">
        <v>5664</v>
      </c>
    </row>
    <row r="2368" spans="1:8" x14ac:dyDescent="0.25">
      <c r="A2368" s="115">
        <v>5482</v>
      </c>
      <c r="B2368" s="115" t="s">
        <v>128</v>
      </c>
      <c r="C2368" s="115" t="s">
        <v>5665</v>
      </c>
      <c r="D2368" s="115">
        <v>1</v>
      </c>
      <c r="E2368" s="115" t="s">
        <v>5666</v>
      </c>
      <c r="F2368" s="115" t="s">
        <v>5667</v>
      </c>
      <c r="G2368" s="115" t="s">
        <v>5668</v>
      </c>
      <c r="H2368" s="115" t="s">
        <v>5669</v>
      </c>
    </row>
    <row r="2369" spans="1:8" x14ac:dyDescent="0.25">
      <c r="A2369" s="115">
        <v>5481</v>
      </c>
      <c r="B2369" s="115" t="s">
        <v>128</v>
      </c>
      <c r="C2369" s="115" t="s">
        <v>5670</v>
      </c>
      <c r="D2369" s="115">
        <v>1</v>
      </c>
      <c r="E2369" s="115" t="s">
        <v>5671</v>
      </c>
      <c r="F2369" s="115" t="s">
        <v>5672</v>
      </c>
      <c r="G2369" s="115" t="s">
        <v>5673</v>
      </c>
      <c r="H2369" s="115" t="s">
        <v>419</v>
      </c>
    </row>
    <row r="2370" spans="1:8" x14ac:dyDescent="0.25">
      <c r="A2370" s="115">
        <v>5480</v>
      </c>
      <c r="B2370" s="115" t="s">
        <v>128</v>
      </c>
      <c r="C2370" s="115" t="s">
        <v>5674</v>
      </c>
      <c r="D2370" s="115">
        <v>1</v>
      </c>
      <c r="E2370" s="115" t="s">
        <v>5675</v>
      </c>
      <c r="F2370" s="115" t="s">
        <v>5676</v>
      </c>
      <c r="G2370" s="115" t="s">
        <v>5677</v>
      </c>
      <c r="H2370" s="115" t="s">
        <v>5678</v>
      </c>
    </row>
    <row r="2371" spans="1:8" x14ac:dyDescent="0.25">
      <c r="A2371" s="115">
        <v>5479</v>
      </c>
      <c r="B2371" s="115" t="s">
        <v>128</v>
      </c>
      <c r="C2371" s="115" t="s">
        <v>5679</v>
      </c>
      <c r="D2371" s="115">
        <v>1</v>
      </c>
      <c r="E2371" s="115" t="s">
        <v>5680</v>
      </c>
      <c r="F2371" s="115" t="s">
        <v>5681</v>
      </c>
      <c r="G2371" s="115" t="s">
        <v>5682</v>
      </c>
      <c r="H2371" s="115" t="s">
        <v>824</v>
      </c>
    </row>
    <row r="2372" spans="1:8" x14ac:dyDescent="0.25">
      <c r="A2372" s="115">
        <v>5478</v>
      </c>
      <c r="B2372" s="115" t="s">
        <v>128</v>
      </c>
      <c r="C2372" s="115" t="s">
        <v>5683</v>
      </c>
      <c r="D2372" s="115">
        <v>1</v>
      </c>
      <c r="E2372" s="115" t="s">
        <v>5684</v>
      </c>
      <c r="F2372" s="115" t="s">
        <v>5685</v>
      </c>
      <c r="G2372" s="115" t="s">
        <v>5686</v>
      </c>
      <c r="H2372" s="115" t="s">
        <v>5687</v>
      </c>
    </row>
    <row r="2373" spans="1:8" x14ac:dyDescent="0.25">
      <c r="A2373" s="115">
        <v>5477</v>
      </c>
      <c r="B2373" s="115" t="s">
        <v>128</v>
      </c>
      <c r="C2373" s="115" t="s">
        <v>5688</v>
      </c>
      <c r="D2373" s="115">
        <v>1</v>
      </c>
      <c r="E2373" s="115" t="s">
        <v>5689</v>
      </c>
      <c r="F2373" s="115" t="s">
        <v>5690</v>
      </c>
      <c r="G2373" s="115" t="s">
        <v>5691</v>
      </c>
      <c r="H2373" s="115" t="s">
        <v>5692</v>
      </c>
    </row>
    <row r="2374" spans="1:8" ht="30" x14ac:dyDescent="0.25">
      <c r="A2374" s="115">
        <v>5476</v>
      </c>
      <c r="B2374" s="115" t="s">
        <v>128</v>
      </c>
      <c r="C2374" s="115" t="s">
        <v>5693</v>
      </c>
      <c r="D2374" s="115">
        <v>1</v>
      </c>
      <c r="E2374" s="115" t="s">
        <v>5694</v>
      </c>
      <c r="F2374" s="115" t="s">
        <v>5695</v>
      </c>
      <c r="G2374" s="115" t="s">
        <v>5696</v>
      </c>
      <c r="H2374" s="115" t="s">
        <v>5697</v>
      </c>
    </row>
    <row r="2375" spans="1:8" ht="30" x14ac:dyDescent="0.25">
      <c r="A2375" s="115">
        <v>5475</v>
      </c>
      <c r="B2375" s="115" t="s">
        <v>128</v>
      </c>
      <c r="C2375" s="115" t="s">
        <v>5698</v>
      </c>
      <c r="D2375" s="115">
        <v>1</v>
      </c>
      <c r="E2375" s="115" t="s">
        <v>5699</v>
      </c>
      <c r="F2375" s="115" t="s">
        <v>5700</v>
      </c>
      <c r="G2375" s="115" t="s">
        <v>5701</v>
      </c>
      <c r="H2375" s="115" t="s">
        <v>5699</v>
      </c>
    </row>
    <row r="2376" spans="1:8" ht="195" x14ac:dyDescent="0.25">
      <c r="A2376" s="115">
        <v>5474</v>
      </c>
      <c r="B2376" s="115" t="s">
        <v>128</v>
      </c>
      <c r="C2376" s="115" t="s">
        <v>5702</v>
      </c>
      <c r="D2376" s="115">
        <v>1</v>
      </c>
      <c r="E2376" s="115" t="s">
        <v>5703</v>
      </c>
      <c r="F2376" s="115" t="s">
        <v>5704</v>
      </c>
      <c r="G2376" s="115" t="s">
        <v>5705</v>
      </c>
      <c r="H2376" s="115" t="s">
        <v>5703</v>
      </c>
    </row>
    <row r="2377" spans="1:8" x14ac:dyDescent="0.25">
      <c r="A2377" s="115">
        <v>5473</v>
      </c>
      <c r="B2377" s="115" t="s">
        <v>128</v>
      </c>
      <c r="C2377" s="115" t="s">
        <v>5706</v>
      </c>
      <c r="D2377" s="115">
        <v>1</v>
      </c>
      <c r="E2377" s="115" t="s">
        <v>5707</v>
      </c>
      <c r="F2377" s="115" t="s">
        <v>5708</v>
      </c>
      <c r="G2377" s="115" t="s">
        <v>5709</v>
      </c>
      <c r="H2377" s="115" t="s">
        <v>5707</v>
      </c>
    </row>
    <row r="2378" spans="1:8" ht="120" x14ac:dyDescent="0.25">
      <c r="A2378" s="115">
        <v>5472</v>
      </c>
      <c r="B2378" s="115" t="s">
        <v>128</v>
      </c>
      <c r="C2378" s="115" t="s">
        <v>5710</v>
      </c>
      <c r="D2378" s="115">
        <v>1</v>
      </c>
      <c r="E2378" s="115" t="s">
        <v>5711</v>
      </c>
      <c r="F2378" s="115" t="s">
        <v>5712</v>
      </c>
      <c r="G2378" s="115" t="s">
        <v>5713</v>
      </c>
      <c r="H2378" s="115" t="s">
        <v>5711</v>
      </c>
    </row>
    <row r="2379" spans="1:8" x14ac:dyDescent="0.25">
      <c r="A2379" s="115">
        <v>5471</v>
      </c>
      <c r="B2379" s="115" t="s">
        <v>128</v>
      </c>
      <c r="C2379" s="115" t="s">
        <v>5714</v>
      </c>
      <c r="D2379" s="115">
        <v>1</v>
      </c>
      <c r="E2379" s="115" t="s">
        <v>5715</v>
      </c>
      <c r="F2379" s="115" t="s">
        <v>5716</v>
      </c>
      <c r="G2379" s="115" t="s">
        <v>5717</v>
      </c>
      <c r="H2379" s="115" t="s">
        <v>5715</v>
      </c>
    </row>
    <row r="2380" spans="1:8" x14ac:dyDescent="0.25">
      <c r="A2380" s="115">
        <v>5470</v>
      </c>
      <c r="B2380" s="115" t="s">
        <v>128</v>
      </c>
      <c r="C2380" s="115" t="s">
        <v>5718</v>
      </c>
      <c r="D2380" s="115">
        <v>1</v>
      </c>
      <c r="E2380" s="115" t="s">
        <v>121</v>
      </c>
      <c r="F2380" s="115" t="s">
        <v>5719</v>
      </c>
      <c r="G2380" s="115" t="s">
        <v>883</v>
      </c>
      <c r="H2380" s="115" t="s">
        <v>5720</v>
      </c>
    </row>
    <row r="2381" spans="1:8" x14ac:dyDescent="0.25">
      <c r="A2381" s="115">
        <v>5469</v>
      </c>
      <c r="B2381" s="115" t="s">
        <v>128</v>
      </c>
      <c r="C2381" s="115" t="s">
        <v>120</v>
      </c>
      <c r="D2381" s="115">
        <v>1</v>
      </c>
      <c r="E2381" s="115" t="s">
        <v>121</v>
      </c>
      <c r="F2381" s="115" t="s">
        <v>5719</v>
      </c>
      <c r="G2381" s="115" t="s">
        <v>883</v>
      </c>
      <c r="H2381" s="115" t="s">
        <v>5720</v>
      </c>
    </row>
    <row r="2382" spans="1:8" x14ac:dyDescent="0.25">
      <c r="A2382" s="115">
        <v>5468</v>
      </c>
      <c r="B2382" s="115" t="s">
        <v>128</v>
      </c>
      <c r="C2382" s="115" t="s">
        <v>5721</v>
      </c>
      <c r="D2382" s="115">
        <v>1</v>
      </c>
      <c r="E2382" s="115" t="s">
        <v>5722</v>
      </c>
      <c r="F2382" s="115" t="s">
        <v>5723</v>
      </c>
      <c r="G2382" s="115" t="s">
        <v>5722</v>
      </c>
      <c r="H2382" s="115" t="s">
        <v>5724</v>
      </c>
    </row>
    <row r="2383" spans="1:8" x14ac:dyDescent="0.25">
      <c r="A2383" s="115">
        <v>5467</v>
      </c>
      <c r="B2383" s="115" t="s">
        <v>128</v>
      </c>
      <c r="C2383" s="115" t="s">
        <v>5725</v>
      </c>
      <c r="D2383" s="115">
        <v>1</v>
      </c>
      <c r="E2383" s="115" t="s">
        <v>5726</v>
      </c>
      <c r="F2383" s="115" t="s">
        <v>5727</v>
      </c>
      <c r="G2383" s="115" t="s">
        <v>5726</v>
      </c>
      <c r="H2383" s="115" t="s">
        <v>5727</v>
      </c>
    </row>
    <row r="2384" spans="1:8" x14ac:dyDescent="0.25">
      <c r="A2384" s="115">
        <v>5466</v>
      </c>
      <c r="B2384" s="115" t="s">
        <v>128</v>
      </c>
      <c r="C2384" s="115" t="s">
        <v>5728</v>
      </c>
      <c r="D2384" s="115">
        <v>1</v>
      </c>
      <c r="E2384" s="115" t="s">
        <v>5729</v>
      </c>
      <c r="F2384" s="115" t="s">
        <v>5730</v>
      </c>
      <c r="G2384" s="115" t="s">
        <v>5731</v>
      </c>
      <c r="H2384" s="115" t="s">
        <v>5729</v>
      </c>
    </row>
    <row r="2385" spans="1:8" x14ac:dyDescent="0.25">
      <c r="A2385" s="115">
        <v>5465</v>
      </c>
      <c r="B2385" s="115" t="s">
        <v>128</v>
      </c>
      <c r="C2385" s="115" t="s">
        <v>5732</v>
      </c>
      <c r="D2385" s="115">
        <v>1</v>
      </c>
      <c r="E2385" s="115" t="s">
        <v>5733</v>
      </c>
      <c r="F2385" s="115" t="s">
        <v>5734</v>
      </c>
      <c r="G2385" s="115" t="s">
        <v>5735</v>
      </c>
      <c r="H2385" s="115" t="s">
        <v>5733</v>
      </c>
    </row>
    <row r="2386" spans="1:8" ht="120" x14ac:dyDescent="0.25">
      <c r="A2386" s="115">
        <v>5464</v>
      </c>
      <c r="B2386" s="115" t="s">
        <v>128</v>
      </c>
      <c r="C2386" s="115" t="s">
        <v>5736</v>
      </c>
      <c r="D2386" s="115">
        <v>1</v>
      </c>
      <c r="E2386" s="115" t="s">
        <v>5737</v>
      </c>
      <c r="F2386" s="115" t="s">
        <v>5738</v>
      </c>
      <c r="G2386" s="115" t="s">
        <v>5739</v>
      </c>
      <c r="H2386" s="115" t="s">
        <v>5737</v>
      </c>
    </row>
    <row r="2387" spans="1:8" x14ac:dyDescent="0.25">
      <c r="A2387" s="115">
        <v>5463</v>
      </c>
      <c r="B2387" s="115" t="s">
        <v>128</v>
      </c>
      <c r="C2387" s="115" t="s">
        <v>5740</v>
      </c>
      <c r="D2387" s="115">
        <v>1</v>
      </c>
      <c r="E2387" s="115" t="s">
        <v>5741</v>
      </c>
      <c r="F2387" s="115" t="s">
        <v>5742</v>
      </c>
      <c r="G2387" s="115" t="s">
        <v>5743</v>
      </c>
      <c r="H2387" s="115" t="s">
        <v>5744</v>
      </c>
    </row>
    <row r="2388" spans="1:8" x14ac:dyDescent="0.25">
      <c r="A2388" s="115">
        <v>5462</v>
      </c>
      <c r="B2388" s="115" t="s">
        <v>128</v>
      </c>
      <c r="C2388" s="115" t="s">
        <v>5745</v>
      </c>
      <c r="D2388" s="115">
        <v>1</v>
      </c>
      <c r="E2388" s="115" t="s">
        <v>5746</v>
      </c>
      <c r="F2388" s="115" t="s">
        <v>5747</v>
      </c>
      <c r="G2388" s="115" t="s">
        <v>5748</v>
      </c>
      <c r="H2388" s="115" t="s">
        <v>5749</v>
      </c>
    </row>
    <row r="2389" spans="1:8" x14ac:dyDescent="0.25">
      <c r="A2389" s="115">
        <v>5461</v>
      </c>
      <c r="B2389" s="115" t="s">
        <v>128</v>
      </c>
      <c r="C2389" s="115" t="s">
        <v>5750</v>
      </c>
      <c r="D2389" s="115">
        <v>1</v>
      </c>
      <c r="E2389" s="115" t="s">
        <v>5751</v>
      </c>
      <c r="F2389" s="115" t="s">
        <v>5752</v>
      </c>
      <c r="G2389" s="115" t="s">
        <v>5753</v>
      </c>
      <c r="H2389" s="115" t="s">
        <v>5754</v>
      </c>
    </row>
    <row r="2390" spans="1:8" x14ac:dyDescent="0.25">
      <c r="A2390" s="115">
        <v>5460</v>
      </c>
      <c r="B2390" s="115" t="s">
        <v>128</v>
      </c>
      <c r="C2390" s="115" t="s">
        <v>5755</v>
      </c>
      <c r="D2390" s="115">
        <v>1</v>
      </c>
      <c r="E2390" s="115" t="s">
        <v>5756</v>
      </c>
      <c r="F2390" s="115" t="s">
        <v>5757</v>
      </c>
      <c r="G2390" s="115" t="s">
        <v>5758</v>
      </c>
      <c r="H2390" s="115" t="s">
        <v>5759</v>
      </c>
    </row>
    <row r="2391" spans="1:8" x14ac:dyDescent="0.25">
      <c r="A2391" s="115">
        <v>5459</v>
      </c>
      <c r="B2391" s="115" t="s">
        <v>128</v>
      </c>
      <c r="C2391" s="115" t="s">
        <v>5760</v>
      </c>
      <c r="D2391" s="115">
        <v>1</v>
      </c>
      <c r="E2391" s="115" t="s">
        <v>5761</v>
      </c>
      <c r="F2391" s="115" t="s">
        <v>5762</v>
      </c>
      <c r="G2391" s="115" t="s">
        <v>5763</v>
      </c>
      <c r="H2391" s="115" t="s">
        <v>5764</v>
      </c>
    </row>
    <row r="2392" spans="1:8" x14ac:dyDescent="0.25">
      <c r="A2392" s="115">
        <v>5458</v>
      </c>
      <c r="B2392" s="115" t="s">
        <v>128</v>
      </c>
      <c r="C2392" s="115" t="s">
        <v>5765</v>
      </c>
      <c r="D2392" s="115">
        <v>1</v>
      </c>
      <c r="E2392" s="115" t="s">
        <v>5766</v>
      </c>
      <c r="F2392" s="115" t="s">
        <v>5767</v>
      </c>
      <c r="G2392" s="115" t="s">
        <v>5768</v>
      </c>
      <c r="H2392" s="115" t="s">
        <v>5769</v>
      </c>
    </row>
    <row r="2393" spans="1:8" ht="300" x14ac:dyDescent="0.25">
      <c r="A2393" s="115">
        <v>5457</v>
      </c>
      <c r="B2393" s="115" t="s">
        <v>128</v>
      </c>
      <c r="C2393" s="115" t="s">
        <v>5770</v>
      </c>
      <c r="D2393" s="115">
        <v>1</v>
      </c>
      <c r="E2393" s="115" t="s">
        <v>5771</v>
      </c>
      <c r="F2393" s="115" t="s">
        <v>5772</v>
      </c>
      <c r="G2393" s="115" t="s">
        <v>5773</v>
      </c>
      <c r="H2393" s="115" t="s">
        <v>5774</v>
      </c>
    </row>
    <row r="2394" spans="1:8" x14ac:dyDescent="0.25">
      <c r="A2394" s="115">
        <v>5456</v>
      </c>
      <c r="B2394" s="115" t="s">
        <v>128</v>
      </c>
      <c r="C2394" s="115" t="s">
        <v>5775</v>
      </c>
      <c r="D2394" s="115">
        <v>1</v>
      </c>
      <c r="E2394" s="115" t="s">
        <v>5776</v>
      </c>
      <c r="F2394" s="115" t="s">
        <v>5776</v>
      </c>
      <c r="G2394" s="115" t="s">
        <v>5776</v>
      </c>
      <c r="H2394" s="115" t="s">
        <v>5776</v>
      </c>
    </row>
    <row r="2395" spans="1:8" ht="30" x14ac:dyDescent="0.25">
      <c r="A2395" s="115">
        <v>5455</v>
      </c>
      <c r="B2395" s="115" t="s">
        <v>128</v>
      </c>
      <c r="C2395" s="115" t="s">
        <v>5777</v>
      </c>
      <c r="D2395" s="115">
        <v>1</v>
      </c>
      <c r="E2395" s="115" t="s">
        <v>5778</v>
      </c>
      <c r="F2395" s="115" t="s">
        <v>5778</v>
      </c>
      <c r="G2395" s="115" t="s">
        <v>5778</v>
      </c>
      <c r="H2395" s="115" t="s">
        <v>5778</v>
      </c>
    </row>
    <row r="2396" spans="1:8" ht="30" x14ac:dyDescent="0.25">
      <c r="A2396" s="115">
        <v>5454</v>
      </c>
      <c r="B2396" s="115" t="s">
        <v>128</v>
      </c>
      <c r="C2396" s="115" t="s">
        <v>5779</v>
      </c>
      <c r="D2396" s="115">
        <v>1</v>
      </c>
      <c r="E2396" s="115" t="s">
        <v>5780</v>
      </c>
      <c r="F2396" s="115" t="s">
        <v>5780</v>
      </c>
      <c r="G2396" s="115" t="s">
        <v>5780</v>
      </c>
      <c r="H2396" s="115" t="s">
        <v>5780</v>
      </c>
    </row>
    <row r="2397" spans="1:8" x14ac:dyDescent="0.25">
      <c r="A2397" s="115">
        <v>5453</v>
      </c>
      <c r="B2397" s="115" t="s">
        <v>128</v>
      </c>
      <c r="C2397" s="115" t="s">
        <v>5781</v>
      </c>
      <c r="D2397" s="115">
        <v>1</v>
      </c>
      <c r="E2397" s="115" t="s">
        <v>5782</v>
      </c>
      <c r="F2397" s="115" t="s">
        <v>5782</v>
      </c>
      <c r="G2397" s="115" t="s">
        <v>5782</v>
      </c>
      <c r="H2397" s="115" t="s">
        <v>5782</v>
      </c>
    </row>
    <row r="2398" spans="1:8" ht="90" x14ac:dyDescent="0.25">
      <c r="A2398" s="115">
        <v>5452</v>
      </c>
      <c r="B2398" s="115" t="s">
        <v>128</v>
      </c>
      <c r="C2398" s="115" t="s">
        <v>5783</v>
      </c>
      <c r="D2398" s="115">
        <v>1</v>
      </c>
      <c r="E2398" s="115" t="s">
        <v>5784</v>
      </c>
      <c r="F2398" s="115" t="s">
        <v>5784</v>
      </c>
      <c r="G2398" s="115" t="s">
        <v>5784</v>
      </c>
      <c r="H2398" s="115" t="s">
        <v>5784</v>
      </c>
    </row>
    <row r="2399" spans="1:8" ht="105" x14ac:dyDescent="0.25">
      <c r="A2399" s="115">
        <v>5451</v>
      </c>
      <c r="B2399" s="115" t="s">
        <v>128</v>
      </c>
      <c r="C2399" s="115" t="s">
        <v>5785</v>
      </c>
      <c r="D2399" s="115">
        <v>1</v>
      </c>
      <c r="E2399" s="115" t="s">
        <v>5786</v>
      </c>
      <c r="F2399" s="115" t="s">
        <v>5786</v>
      </c>
      <c r="G2399" s="115" t="s">
        <v>5786</v>
      </c>
      <c r="H2399" s="115" t="s">
        <v>5786</v>
      </c>
    </row>
    <row r="2400" spans="1:8" ht="210" x14ac:dyDescent="0.25">
      <c r="A2400" s="115">
        <v>5450</v>
      </c>
      <c r="B2400" s="115" t="s">
        <v>128</v>
      </c>
      <c r="C2400" s="115" t="s">
        <v>5787</v>
      </c>
      <c r="D2400" s="115">
        <v>1</v>
      </c>
      <c r="E2400" s="115" t="s">
        <v>5788</v>
      </c>
      <c r="F2400" s="115" t="s">
        <v>5788</v>
      </c>
      <c r="G2400" s="115" t="s">
        <v>5788</v>
      </c>
      <c r="H2400" s="115" t="s">
        <v>5788</v>
      </c>
    </row>
    <row r="2401" spans="1:8" ht="180" x14ac:dyDescent="0.25">
      <c r="A2401" s="115">
        <v>5449</v>
      </c>
      <c r="B2401" s="115" t="s">
        <v>128</v>
      </c>
      <c r="C2401" s="115" t="s">
        <v>5789</v>
      </c>
      <c r="D2401" s="115">
        <v>1</v>
      </c>
      <c r="E2401" s="115" t="s">
        <v>5790</v>
      </c>
      <c r="F2401" s="115" t="s">
        <v>5790</v>
      </c>
      <c r="G2401" s="115" t="s">
        <v>5790</v>
      </c>
      <c r="H2401" s="115" t="s">
        <v>5790</v>
      </c>
    </row>
    <row r="2402" spans="1:8" ht="60" x14ac:dyDescent="0.25">
      <c r="A2402" s="115">
        <v>5448</v>
      </c>
      <c r="B2402" s="115" t="s">
        <v>128</v>
      </c>
      <c r="C2402" s="115" t="s">
        <v>5791</v>
      </c>
      <c r="D2402" s="115">
        <v>1</v>
      </c>
      <c r="E2402" s="115" t="s">
        <v>5792</v>
      </c>
      <c r="F2402" s="115" t="s">
        <v>5792</v>
      </c>
      <c r="G2402" s="115" t="s">
        <v>5792</v>
      </c>
      <c r="H2402" s="115" t="s">
        <v>5792</v>
      </c>
    </row>
    <row r="2403" spans="1:8" ht="60" x14ac:dyDescent="0.25">
      <c r="A2403" s="115">
        <v>5447</v>
      </c>
      <c r="B2403" s="115" t="s">
        <v>128</v>
      </c>
      <c r="C2403" s="115" t="s">
        <v>5793</v>
      </c>
      <c r="D2403" s="115">
        <v>1</v>
      </c>
      <c r="E2403" s="115" t="s">
        <v>5794</v>
      </c>
      <c r="F2403" s="115" t="s">
        <v>5794</v>
      </c>
      <c r="G2403" s="115" t="s">
        <v>5794</v>
      </c>
      <c r="H2403" s="115" t="s">
        <v>5794</v>
      </c>
    </row>
    <row r="2404" spans="1:8" ht="75" x14ac:dyDescent="0.25">
      <c r="A2404" s="115">
        <v>5446</v>
      </c>
      <c r="B2404" s="115" t="s">
        <v>128</v>
      </c>
      <c r="C2404" s="115" t="s">
        <v>5795</v>
      </c>
      <c r="D2404" s="115">
        <v>1</v>
      </c>
      <c r="E2404" s="115" t="s">
        <v>5796</v>
      </c>
      <c r="F2404" s="115" t="s">
        <v>5796</v>
      </c>
      <c r="G2404" s="115" t="s">
        <v>5796</v>
      </c>
      <c r="H2404" s="115" t="s">
        <v>5796</v>
      </c>
    </row>
    <row r="2405" spans="1:8" ht="135" x14ac:dyDescent="0.25">
      <c r="A2405" s="115">
        <v>5445</v>
      </c>
      <c r="B2405" s="115" t="s">
        <v>128</v>
      </c>
      <c r="C2405" s="115" t="s">
        <v>5797</v>
      </c>
      <c r="D2405" s="115">
        <v>1</v>
      </c>
      <c r="E2405" s="115" t="s">
        <v>5798</v>
      </c>
      <c r="F2405" s="115" t="s">
        <v>5798</v>
      </c>
      <c r="G2405" s="115" t="s">
        <v>5798</v>
      </c>
      <c r="H2405" s="115" t="s">
        <v>5798</v>
      </c>
    </row>
    <row r="2406" spans="1:8" ht="135" x14ac:dyDescent="0.25">
      <c r="A2406" s="115">
        <v>5444</v>
      </c>
      <c r="B2406" s="115" t="s">
        <v>128</v>
      </c>
      <c r="C2406" s="115" t="s">
        <v>5799</v>
      </c>
      <c r="D2406" s="115">
        <v>1</v>
      </c>
      <c r="E2406" s="115" t="s">
        <v>5800</v>
      </c>
      <c r="F2406" s="115" t="s">
        <v>5800</v>
      </c>
      <c r="G2406" s="115" t="s">
        <v>5800</v>
      </c>
      <c r="H2406" s="115" t="s">
        <v>5800</v>
      </c>
    </row>
    <row r="2407" spans="1:8" ht="90" x14ac:dyDescent="0.25">
      <c r="A2407" s="115">
        <v>5443</v>
      </c>
      <c r="B2407" s="115" t="s">
        <v>128</v>
      </c>
      <c r="C2407" s="115" t="s">
        <v>5801</v>
      </c>
      <c r="D2407" s="115">
        <v>1</v>
      </c>
      <c r="E2407" s="115" t="s">
        <v>5802</v>
      </c>
      <c r="F2407" s="115" t="s">
        <v>5802</v>
      </c>
      <c r="G2407" s="115" t="s">
        <v>5802</v>
      </c>
      <c r="H2407" s="115" t="s">
        <v>5802</v>
      </c>
    </row>
    <row r="2408" spans="1:8" ht="75" x14ac:dyDescent="0.25">
      <c r="A2408" s="115">
        <v>5442</v>
      </c>
      <c r="B2408" s="115" t="s">
        <v>128</v>
      </c>
      <c r="C2408" s="115" t="s">
        <v>5803</v>
      </c>
      <c r="D2408" s="115">
        <v>1</v>
      </c>
      <c r="E2408" s="115" t="s">
        <v>5804</v>
      </c>
      <c r="F2408" s="115" t="s">
        <v>5804</v>
      </c>
      <c r="G2408" s="115" t="s">
        <v>5804</v>
      </c>
      <c r="H2408" s="115" t="s">
        <v>5804</v>
      </c>
    </row>
    <row r="2409" spans="1:8" ht="90" x14ac:dyDescent="0.25">
      <c r="A2409" s="115">
        <v>5441</v>
      </c>
      <c r="B2409" s="115" t="s">
        <v>128</v>
      </c>
      <c r="C2409" s="115" t="s">
        <v>5805</v>
      </c>
      <c r="D2409" s="115">
        <v>1</v>
      </c>
      <c r="E2409" s="115" t="s">
        <v>5806</v>
      </c>
      <c r="F2409" s="115" t="s">
        <v>5806</v>
      </c>
      <c r="G2409" s="115" t="s">
        <v>5806</v>
      </c>
      <c r="H2409" s="115" t="s">
        <v>5806</v>
      </c>
    </row>
    <row r="2410" spans="1:8" ht="90" x14ac:dyDescent="0.25">
      <c r="A2410" s="115">
        <v>5440</v>
      </c>
      <c r="B2410" s="115" t="s">
        <v>128</v>
      </c>
      <c r="C2410" s="115" t="s">
        <v>5807</v>
      </c>
      <c r="D2410" s="115">
        <v>1</v>
      </c>
      <c r="E2410" s="115" t="s">
        <v>5808</v>
      </c>
      <c r="F2410" s="115" t="s">
        <v>5808</v>
      </c>
      <c r="G2410" s="115" t="s">
        <v>5808</v>
      </c>
      <c r="H2410" s="115" t="s">
        <v>5808</v>
      </c>
    </row>
    <row r="2411" spans="1:8" ht="90" x14ac:dyDescent="0.25">
      <c r="A2411" s="115">
        <v>5439</v>
      </c>
      <c r="B2411" s="115" t="s">
        <v>128</v>
      </c>
      <c r="C2411" s="115" t="s">
        <v>5809</v>
      </c>
      <c r="D2411" s="115">
        <v>1</v>
      </c>
      <c r="E2411" s="115" t="s">
        <v>5810</v>
      </c>
      <c r="F2411" s="115" t="s">
        <v>5810</v>
      </c>
      <c r="G2411" s="115" t="s">
        <v>5810</v>
      </c>
      <c r="H2411" s="115" t="s">
        <v>5810</v>
      </c>
    </row>
    <row r="2412" spans="1:8" ht="75" x14ac:dyDescent="0.25">
      <c r="A2412" s="115">
        <v>5438</v>
      </c>
      <c r="B2412" s="115" t="s">
        <v>128</v>
      </c>
      <c r="C2412" s="115" t="s">
        <v>5811</v>
      </c>
      <c r="D2412" s="115">
        <v>1</v>
      </c>
      <c r="E2412" s="115" t="s">
        <v>5812</v>
      </c>
      <c r="F2412" s="115" t="s">
        <v>5812</v>
      </c>
      <c r="G2412" s="115" t="s">
        <v>5812</v>
      </c>
      <c r="H2412" s="115" t="s">
        <v>5812</v>
      </c>
    </row>
    <row r="2413" spans="1:8" ht="75" x14ac:dyDescent="0.25">
      <c r="A2413" s="115">
        <v>5437</v>
      </c>
      <c r="B2413" s="115" t="s">
        <v>128</v>
      </c>
      <c r="C2413" s="115" t="s">
        <v>5813</v>
      </c>
      <c r="D2413" s="115">
        <v>1</v>
      </c>
      <c r="E2413" s="115" t="s">
        <v>5814</v>
      </c>
      <c r="F2413" s="115" t="s">
        <v>5814</v>
      </c>
      <c r="G2413" s="115" t="s">
        <v>5814</v>
      </c>
      <c r="H2413" s="115" t="s">
        <v>5814</v>
      </c>
    </row>
    <row r="2414" spans="1:8" ht="75" x14ac:dyDescent="0.25">
      <c r="A2414" s="115">
        <v>5436</v>
      </c>
      <c r="B2414" s="115" t="s">
        <v>128</v>
      </c>
      <c r="C2414" s="115" t="s">
        <v>5815</v>
      </c>
      <c r="D2414" s="115">
        <v>1</v>
      </c>
      <c r="E2414" s="115" t="s">
        <v>5816</v>
      </c>
      <c r="F2414" s="115" t="s">
        <v>5816</v>
      </c>
      <c r="G2414" s="115" t="s">
        <v>5816</v>
      </c>
      <c r="H2414" s="115" t="s">
        <v>5816</v>
      </c>
    </row>
    <row r="2415" spans="1:8" ht="225" x14ac:dyDescent="0.25">
      <c r="A2415" s="115">
        <v>5435</v>
      </c>
      <c r="B2415" s="115" t="s">
        <v>128</v>
      </c>
      <c r="C2415" s="115" t="s">
        <v>5817</v>
      </c>
      <c r="D2415" s="115">
        <v>1</v>
      </c>
      <c r="E2415" s="115" t="s">
        <v>5818</v>
      </c>
      <c r="F2415" s="115" t="s">
        <v>5818</v>
      </c>
      <c r="G2415" s="115" t="s">
        <v>5818</v>
      </c>
      <c r="H2415" s="115" t="s">
        <v>5818</v>
      </c>
    </row>
    <row r="2416" spans="1:8" ht="75" x14ac:dyDescent="0.25">
      <c r="A2416" s="115">
        <v>5434</v>
      </c>
      <c r="B2416" s="115" t="s">
        <v>128</v>
      </c>
      <c r="C2416" s="115" t="s">
        <v>5819</v>
      </c>
      <c r="D2416" s="115">
        <v>1</v>
      </c>
      <c r="E2416" s="115" t="s">
        <v>5820</v>
      </c>
      <c r="F2416" s="115" t="s">
        <v>5821</v>
      </c>
      <c r="G2416" s="115" t="s">
        <v>5820</v>
      </c>
      <c r="H2416" s="115" t="s">
        <v>5820</v>
      </c>
    </row>
    <row r="2417" spans="1:8" ht="90" x14ac:dyDescent="0.25">
      <c r="A2417" s="115">
        <v>5433</v>
      </c>
      <c r="B2417" s="115" t="s">
        <v>128</v>
      </c>
      <c r="C2417" s="115" t="s">
        <v>5822</v>
      </c>
      <c r="D2417" s="115">
        <v>1</v>
      </c>
      <c r="E2417" s="115" t="s">
        <v>5823</v>
      </c>
      <c r="F2417" s="115" t="s">
        <v>5823</v>
      </c>
      <c r="G2417" s="115" t="s">
        <v>5823</v>
      </c>
      <c r="H2417" s="115" t="s">
        <v>5823</v>
      </c>
    </row>
    <row r="2418" spans="1:8" ht="105" x14ac:dyDescent="0.25">
      <c r="A2418" s="115">
        <v>5432</v>
      </c>
      <c r="B2418" s="115" t="s">
        <v>128</v>
      </c>
      <c r="C2418" s="115" t="s">
        <v>5824</v>
      </c>
      <c r="D2418" s="115">
        <v>1</v>
      </c>
      <c r="E2418" s="115" t="s">
        <v>5825</v>
      </c>
      <c r="F2418" s="115" t="s">
        <v>5825</v>
      </c>
      <c r="G2418" s="115" t="s">
        <v>5825</v>
      </c>
      <c r="H2418" s="115" t="s">
        <v>5825</v>
      </c>
    </row>
    <row r="2419" spans="1:8" ht="75" x14ac:dyDescent="0.25">
      <c r="A2419" s="115">
        <v>5431</v>
      </c>
      <c r="B2419" s="115" t="s">
        <v>128</v>
      </c>
      <c r="C2419" s="115" t="s">
        <v>5826</v>
      </c>
      <c r="D2419" s="115">
        <v>1</v>
      </c>
      <c r="E2419" s="115" t="s">
        <v>5827</v>
      </c>
      <c r="F2419" s="115" t="s">
        <v>5827</v>
      </c>
      <c r="G2419" s="115" t="s">
        <v>5827</v>
      </c>
      <c r="H2419" s="115" t="s">
        <v>5827</v>
      </c>
    </row>
    <row r="2420" spans="1:8" x14ac:dyDescent="0.25">
      <c r="A2420" s="115">
        <v>5430</v>
      </c>
      <c r="B2420" s="115" t="s">
        <v>128</v>
      </c>
      <c r="C2420" s="115" t="s">
        <v>5828</v>
      </c>
      <c r="D2420" s="115">
        <v>1</v>
      </c>
      <c r="E2420" s="115" t="s">
        <v>5829</v>
      </c>
      <c r="F2420" s="115" t="s">
        <v>5830</v>
      </c>
      <c r="G2420" s="115" t="s">
        <v>5831</v>
      </c>
      <c r="H2420" s="115" t="s">
        <v>5829</v>
      </c>
    </row>
    <row r="2421" spans="1:8" x14ac:dyDescent="0.25">
      <c r="A2421" s="115">
        <v>5429</v>
      </c>
      <c r="B2421" s="115" t="s">
        <v>128</v>
      </c>
      <c r="C2421" s="115" t="s">
        <v>5832</v>
      </c>
      <c r="D2421" s="115">
        <v>1</v>
      </c>
      <c r="E2421" s="115" t="s">
        <v>5833</v>
      </c>
      <c r="F2421" s="115" t="s">
        <v>5834</v>
      </c>
      <c r="G2421" s="115" t="s">
        <v>5835</v>
      </c>
      <c r="H2421" s="115" t="s">
        <v>5833</v>
      </c>
    </row>
    <row r="2422" spans="1:8" x14ac:dyDescent="0.25">
      <c r="A2422" s="115">
        <v>5428</v>
      </c>
      <c r="B2422" s="115" t="s">
        <v>128</v>
      </c>
      <c r="C2422" s="115" t="s">
        <v>5836</v>
      </c>
      <c r="D2422" s="115">
        <v>1</v>
      </c>
      <c r="E2422" s="115" t="s">
        <v>5837</v>
      </c>
      <c r="F2422" s="115" t="s">
        <v>5838</v>
      </c>
      <c r="G2422" s="115" t="s">
        <v>5839</v>
      </c>
      <c r="H2422" s="115" t="s">
        <v>5837</v>
      </c>
    </row>
    <row r="2423" spans="1:8" ht="30" x14ac:dyDescent="0.25">
      <c r="A2423" s="115">
        <v>5427</v>
      </c>
      <c r="B2423" s="115" t="s">
        <v>128</v>
      </c>
      <c r="C2423" s="115" t="s">
        <v>5840</v>
      </c>
      <c r="D2423" s="115">
        <v>1</v>
      </c>
      <c r="E2423" s="115" t="s">
        <v>5841</v>
      </c>
      <c r="F2423" s="115" t="s">
        <v>5842</v>
      </c>
      <c r="G2423" s="115" t="s">
        <v>5843</v>
      </c>
      <c r="H2423" s="115" t="s">
        <v>5841</v>
      </c>
    </row>
    <row r="2424" spans="1:8" x14ac:dyDescent="0.25">
      <c r="A2424" s="115">
        <v>5426</v>
      </c>
      <c r="B2424" s="115" t="s">
        <v>128</v>
      </c>
      <c r="C2424" s="115" t="s">
        <v>5844</v>
      </c>
      <c r="D2424" s="115">
        <v>1</v>
      </c>
      <c r="E2424" s="115" t="s">
        <v>5845</v>
      </c>
      <c r="F2424" s="115" t="s">
        <v>5846</v>
      </c>
      <c r="G2424" s="115" t="s">
        <v>5847</v>
      </c>
      <c r="H2424" s="115" t="s">
        <v>5845</v>
      </c>
    </row>
    <row r="2425" spans="1:8" ht="30" x14ac:dyDescent="0.25">
      <c r="A2425" s="115">
        <v>5425</v>
      </c>
      <c r="B2425" s="115" t="s">
        <v>128</v>
      </c>
      <c r="C2425" s="115" t="s">
        <v>5848</v>
      </c>
      <c r="D2425" s="115">
        <v>1</v>
      </c>
      <c r="E2425" s="115" t="s">
        <v>5849</v>
      </c>
      <c r="F2425" s="115" t="s">
        <v>5850</v>
      </c>
      <c r="G2425" s="115" t="s">
        <v>5851</v>
      </c>
      <c r="H2425" s="115" t="s">
        <v>5852</v>
      </c>
    </row>
    <row r="2426" spans="1:8" ht="30" x14ac:dyDescent="0.25">
      <c r="A2426" s="115">
        <v>5424</v>
      </c>
      <c r="B2426" s="115" t="s">
        <v>128</v>
      </c>
      <c r="C2426" s="115" t="s">
        <v>5853</v>
      </c>
      <c r="D2426" s="115">
        <v>1</v>
      </c>
      <c r="E2426" s="115" t="s">
        <v>5849</v>
      </c>
      <c r="F2426" s="115" t="s">
        <v>5850</v>
      </c>
      <c r="G2426" s="115" t="s">
        <v>5851</v>
      </c>
      <c r="H2426" s="115" t="s">
        <v>5852</v>
      </c>
    </row>
    <row r="2427" spans="1:8" ht="30" x14ac:dyDescent="0.25">
      <c r="A2427" s="115">
        <v>5423</v>
      </c>
      <c r="B2427" s="115" t="s">
        <v>128</v>
      </c>
      <c r="C2427" s="115" t="s">
        <v>5854</v>
      </c>
      <c r="D2427" s="115">
        <v>1</v>
      </c>
      <c r="E2427" s="115" t="s">
        <v>1492</v>
      </c>
      <c r="F2427" s="115" t="s">
        <v>1493</v>
      </c>
      <c r="G2427" s="115" t="s">
        <v>1494</v>
      </c>
      <c r="H2427" s="115" t="s">
        <v>1492</v>
      </c>
    </row>
    <row r="2428" spans="1:8" ht="90" x14ac:dyDescent="0.25">
      <c r="A2428" s="115">
        <v>5422</v>
      </c>
      <c r="B2428" s="115" t="s">
        <v>128</v>
      </c>
      <c r="C2428" s="115" t="s">
        <v>5855</v>
      </c>
      <c r="D2428" s="115">
        <v>1</v>
      </c>
      <c r="E2428" s="115" t="s">
        <v>5856</v>
      </c>
      <c r="F2428" s="115" t="s">
        <v>5857</v>
      </c>
      <c r="G2428" s="115" t="s">
        <v>5858</v>
      </c>
      <c r="H2428" s="115" t="s">
        <v>5856</v>
      </c>
    </row>
    <row r="2429" spans="1:8" ht="30" x14ac:dyDescent="0.25">
      <c r="A2429" s="115">
        <v>5421</v>
      </c>
      <c r="B2429" s="115" t="s">
        <v>128</v>
      </c>
      <c r="C2429" s="115" t="s">
        <v>5859</v>
      </c>
      <c r="D2429" s="115">
        <v>1</v>
      </c>
      <c r="E2429" s="115" t="s">
        <v>1508</v>
      </c>
      <c r="F2429" s="115" t="s">
        <v>1509</v>
      </c>
      <c r="G2429" s="115" t="s">
        <v>1510</v>
      </c>
      <c r="H2429" s="115" t="s">
        <v>1508</v>
      </c>
    </row>
    <row r="2430" spans="1:8" ht="45" x14ac:dyDescent="0.25">
      <c r="A2430" s="115">
        <v>5420</v>
      </c>
      <c r="B2430" s="115" t="s">
        <v>128</v>
      </c>
      <c r="C2430" s="115" t="s">
        <v>5860</v>
      </c>
      <c r="D2430" s="115">
        <v>1</v>
      </c>
      <c r="E2430" s="115" t="s">
        <v>5861</v>
      </c>
      <c r="F2430" s="115" t="s">
        <v>5862</v>
      </c>
      <c r="G2430" s="115" t="s">
        <v>5863</v>
      </c>
      <c r="H2430" s="115" t="s">
        <v>5864</v>
      </c>
    </row>
    <row r="2431" spans="1:8" ht="30" x14ac:dyDescent="0.25">
      <c r="A2431" s="115">
        <v>5419</v>
      </c>
      <c r="B2431" s="115" t="s">
        <v>128</v>
      </c>
      <c r="C2431" s="115" t="s">
        <v>5865</v>
      </c>
      <c r="D2431" s="115">
        <v>1</v>
      </c>
      <c r="E2431" s="115" t="s">
        <v>1512</v>
      </c>
      <c r="F2431" s="115" t="s">
        <v>1513</v>
      </c>
      <c r="G2431" s="115" t="s">
        <v>1514</v>
      </c>
      <c r="H2431" s="115" t="s">
        <v>1512</v>
      </c>
    </row>
    <row r="2432" spans="1:8" x14ac:dyDescent="0.25">
      <c r="A2432" s="115">
        <v>5418</v>
      </c>
      <c r="B2432" s="115" t="s">
        <v>128</v>
      </c>
      <c r="C2432" s="115" t="s">
        <v>5866</v>
      </c>
      <c r="D2432" s="115">
        <v>1</v>
      </c>
      <c r="E2432" s="115" t="s">
        <v>5867</v>
      </c>
      <c r="F2432" s="115" t="s">
        <v>5868</v>
      </c>
      <c r="G2432" s="115" t="s">
        <v>5869</v>
      </c>
      <c r="H2432" s="115" t="s">
        <v>5870</v>
      </c>
    </row>
    <row r="2433" spans="1:8" x14ac:dyDescent="0.25">
      <c r="A2433" s="115">
        <v>5417</v>
      </c>
      <c r="B2433" s="115" t="s">
        <v>128</v>
      </c>
      <c r="C2433" s="115" t="s">
        <v>5871</v>
      </c>
      <c r="D2433" s="115">
        <v>1</v>
      </c>
      <c r="E2433" s="115" t="s">
        <v>5872</v>
      </c>
      <c r="F2433" s="115" t="s">
        <v>5873</v>
      </c>
      <c r="G2433" s="115" t="s">
        <v>5874</v>
      </c>
      <c r="H2433" s="115" t="s">
        <v>5875</v>
      </c>
    </row>
    <row r="2434" spans="1:8" x14ac:dyDescent="0.25">
      <c r="A2434" s="115">
        <v>5416</v>
      </c>
      <c r="B2434" s="115" t="s">
        <v>128</v>
      </c>
      <c r="C2434" s="115" t="s">
        <v>5876</v>
      </c>
      <c r="D2434" s="115">
        <v>1</v>
      </c>
      <c r="E2434" s="115" t="s">
        <v>5877</v>
      </c>
      <c r="F2434" s="115" t="s">
        <v>5878</v>
      </c>
      <c r="G2434" s="115" t="s">
        <v>5879</v>
      </c>
      <c r="H2434" s="115" t="s">
        <v>5880</v>
      </c>
    </row>
    <row r="2435" spans="1:8" x14ac:dyDescent="0.25">
      <c r="A2435" s="115">
        <v>5415</v>
      </c>
      <c r="B2435" s="115" t="s">
        <v>128</v>
      </c>
      <c r="C2435" s="115" t="s">
        <v>5881</v>
      </c>
      <c r="D2435" s="115">
        <v>1</v>
      </c>
      <c r="E2435" s="115" t="s">
        <v>5882</v>
      </c>
      <c r="F2435" s="115" t="s">
        <v>5883</v>
      </c>
      <c r="G2435" s="115" t="s">
        <v>5884</v>
      </c>
      <c r="H2435" s="115" t="s">
        <v>5885</v>
      </c>
    </row>
    <row r="2436" spans="1:8" x14ac:dyDescent="0.25">
      <c r="A2436" s="115">
        <v>5414</v>
      </c>
      <c r="B2436" s="115" t="s">
        <v>128</v>
      </c>
      <c r="C2436" s="115" t="s">
        <v>5886</v>
      </c>
      <c r="D2436" s="115">
        <v>1</v>
      </c>
      <c r="E2436" s="115" t="s">
        <v>5887</v>
      </c>
      <c r="F2436" s="115" t="s">
        <v>5888</v>
      </c>
      <c r="G2436" s="115" t="s">
        <v>5889</v>
      </c>
      <c r="H2436" s="115" t="s">
        <v>5890</v>
      </c>
    </row>
    <row r="2437" spans="1:8" x14ac:dyDescent="0.25">
      <c r="A2437" s="115">
        <v>5413</v>
      </c>
      <c r="B2437" s="115" t="s">
        <v>128</v>
      </c>
      <c r="C2437" s="115" t="s">
        <v>5891</v>
      </c>
      <c r="D2437" s="115">
        <v>1</v>
      </c>
      <c r="E2437" s="115" t="s">
        <v>5892</v>
      </c>
      <c r="F2437" s="115" t="s">
        <v>5893</v>
      </c>
      <c r="G2437" s="115" t="s">
        <v>5894</v>
      </c>
      <c r="H2437" s="115" t="s">
        <v>5895</v>
      </c>
    </row>
    <row r="2438" spans="1:8" x14ac:dyDescent="0.25">
      <c r="A2438" s="115">
        <v>5412</v>
      </c>
      <c r="B2438" s="115" t="s">
        <v>128</v>
      </c>
      <c r="C2438" s="115" t="s">
        <v>5896</v>
      </c>
      <c r="D2438" s="115">
        <v>1</v>
      </c>
      <c r="E2438" s="115" t="s">
        <v>749</v>
      </c>
      <c r="F2438" s="115" t="s">
        <v>750</v>
      </c>
      <c r="G2438" s="115" t="s">
        <v>5897</v>
      </c>
      <c r="H2438" s="115" t="s">
        <v>751</v>
      </c>
    </row>
    <row r="2439" spans="1:8" x14ac:dyDescent="0.25">
      <c r="A2439" s="115">
        <v>5411</v>
      </c>
      <c r="B2439" s="115" t="s">
        <v>128</v>
      </c>
      <c r="C2439" s="115" t="s">
        <v>5898</v>
      </c>
      <c r="D2439" s="115">
        <v>1</v>
      </c>
      <c r="E2439" s="115" t="s">
        <v>5899</v>
      </c>
      <c r="F2439" s="115" t="s">
        <v>5900</v>
      </c>
      <c r="G2439" s="115" t="s">
        <v>5901</v>
      </c>
      <c r="H2439" s="115" t="s">
        <v>5902</v>
      </c>
    </row>
    <row r="2440" spans="1:8" ht="30" x14ac:dyDescent="0.25">
      <c r="A2440" s="115">
        <v>5410</v>
      </c>
      <c r="B2440" s="115" t="s">
        <v>128</v>
      </c>
      <c r="C2440" s="115" t="s">
        <v>5903</v>
      </c>
      <c r="D2440" s="115">
        <v>1</v>
      </c>
      <c r="E2440" s="115" t="s">
        <v>5904</v>
      </c>
      <c r="F2440" s="115" t="s">
        <v>5905</v>
      </c>
      <c r="G2440" s="115" t="s">
        <v>5906</v>
      </c>
      <c r="H2440" s="115" t="s">
        <v>5907</v>
      </c>
    </row>
    <row r="2441" spans="1:8" ht="30" x14ac:dyDescent="0.25">
      <c r="A2441" s="115">
        <v>5409</v>
      </c>
      <c r="B2441" s="115" t="s">
        <v>128</v>
      </c>
      <c r="C2441" s="115" t="s">
        <v>5908</v>
      </c>
      <c r="D2441" s="115">
        <v>1</v>
      </c>
      <c r="E2441" s="115" t="s">
        <v>5909</v>
      </c>
      <c r="F2441" s="115" t="s">
        <v>5910</v>
      </c>
      <c r="G2441" s="115" t="s">
        <v>5911</v>
      </c>
      <c r="H2441" s="115" t="s">
        <v>5912</v>
      </c>
    </row>
    <row r="2442" spans="1:8" x14ac:dyDescent="0.25">
      <c r="A2442" s="115">
        <v>5408</v>
      </c>
      <c r="B2442" s="115" t="s">
        <v>128</v>
      </c>
      <c r="C2442" s="115" t="s">
        <v>5913</v>
      </c>
      <c r="D2442" s="115">
        <v>1</v>
      </c>
      <c r="E2442" s="115" t="s">
        <v>5914</v>
      </c>
      <c r="F2442" s="115" t="s">
        <v>5915</v>
      </c>
      <c r="G2442" s="115" t="s">
        <v>5916</v>
      </c>
      <c r="H2442" s="115" t="s">
        <v>5917</v>
      </c>
    </row>
    <row r="2443" spans="1:8" x14ac:dyDescent="0.25">
      <c r="A2443" s="115">
        <v>5407</v>
      </c>
      <c r="B2443" s="115" t="s">
        <v>128</v>
      </c>
      <c r="C2443" s="115" t="s">
        <v>5918</v>
      </c>
      <c r="D2443" s="115">
        <v>1</v>
      </c>
      <c r="E2443" s="115" t="s">
        <v>985</v>
      </c>
      <c r="F2443" s="115" t="s">
        <v>516</v>
      </c>
      <c r="G2443" s="115" t="s">
        <v>4037</v>
      </c>
      <c r="H2443" s="115" t="s">
        <v>517</v>
      </c>
    </row>
    <row r="2444" spans="1:8" x14ac:dyDescent="0.25">
      <c r="A2444" s="115">
        <v>5406</v>
      </c>
      <c r="B2444" s="115" t="s">
        <v>128</v>
      </c>
      <c r="C2444" s="115" t="s">
        <v>5919</v>
      </c>
      <c r="D2444" s="115">
        <v>1</v>
      </c>
      <c r="E2444" s="115" t="s">
        <v>5920</v>
      </c>
      <c r="F2444" s="115" t="s">
        <v>5921</v>
      </c>
      <c r="G2444" s="115" t="s">
        <v>5922</v>
      </c>
      <c r="H2444" s="115" t="s">
        <v>5923</v>
      </c>
    </row>
    <row r="2445" spans="1:8" x14ac:dyDescent="0.25">
      <c r="A2445" s="115">
        <v>5405</v>
      </c>
      <c r="B2445" s="115" t="s">
        <v>128</v>
      </c>
      <c r="C2445" s="115" t="s">
        <v>5924</v>
      </c>
      <c r="D2445" s="115">
        <v>1</v>
      </c>
      <c r="E2445" s="115" t="s">
        <v>5925</v>
      </c>
      <c r="F2445" s="115" t="s">
        <v>5926</v>
      </c>
      <c r="G2445" s="115" t="s">
        <v>5927</v>
      </c>
      <c r="H2445" s="115" t="s">
        <v>5928</v>
      </c>
    </row>
    <row r="2446" spans="1:8" x14ac:dyDescent="0.25">
      <c r="A2446" s="115">
        <v>5404</v>
      </c>
      <c r="B2446" s="115" t="s">
        <v>128</v>
      </c>
      <c r="C2446" s="115" t="s">
        <v>5929</v>
      </c>
      <c r="D2446" s="115">
        <v>1</v>
      </c>
      <c r="E2446" s="115" t="s">
        <v>5930</v>
      </c>
      <c r="F2446" s="115" t="s">
        <v>5931</v>
      </c>
      <c r="G2446" s="115" t="s">
        <v>5932</v>
      </c>
      <c r="H2446" s="115" t="s">
        <v>5933</v>
      </c>
    </row>
    <row r="2447" spans="1:8" x14ac:dyDescent="0.25">
      <c r="A2447" s="115">
        <v>5403</v>
      </c>
      <c r="B2447" s="115" t="s">
        <v>128</v>
      </c>
      <c r="C2447" s="115" t="s">
        <v>5934</v>
      </c>
      <c r="D2447" s="115">
        <v>1</v>
      </c>
      <c r="E2447" s="115" t="s">
        <v>5935</v>
      </c>
      <c r="F2447" s="115" t="s">
        <v>5936</v>
      </c>
      <c r="G2447" s="115" t="s">
        <v>5937</v>
      </c>
      <c r="H2447" s="115" t="s">
        <v>5938</v>
      </c>
    </row>
    <row r="2448" spans="1:8" x14ac:dyDescent="0.25">
      <c r="A2448" s="115">
        <v>5402</v>
      </c>
      <c r="B2448" s="115" t="s">
        <v>128</v>
      </c>
      <c r="C2448" s="115" t="s">
        <v>5939</v>
      </c>
      <c r="D2448" s="115">
        <v>1</v>
      </c>
      <c r="E2448" s="115" t="s">
        <v>5940</v>
      </c>
      <c r="F2448" s="115" t="s">
        <v>5941</v>
      </c>
      <c r="G2448" s="115" t="s">
        <v>5942</v>
      </c>
      <c r="H2448" s="115" t="s">
        <v>5943</v>
      </c>
    </row>
    <row r="2449" spans="1:8" x14ac:dyDescent="0.25">
      <c r="A2449" s="115">
        <v>5401</v>
      </c>
      <c r="B2449" s="115" t="s">
        <v>128</v>
      </c>
      <c r="C2449" s="115" t="s">
        <v>5944</v>
      </c>
      <c r="D2449" s="115">
        <v>1</v>
      </c>
      <c r="E2449" s="115" t="s">
        <v>5945</v>
      </c>
      <c r="F2449" s="115" t="s">
        <v>2356</v>
      </c>
      <c r="G2449" s="115" t="s">
        <v>5946</v>
      </c>
      <c r="H2449" s="115" t="s">
        <v>2357</v>
      </c>
    </row>
    <row r="2450" spans="1:8" x14ac:dyDescent="0.25">
      <c r="A2450" s="115">
        <v>5400</v>
      </c>
      <c r="B2450" s="115" t="s">
        <v>128</v>
      </c>
      <c r="C2450" s="115" t="s">
        <v>5947</v>
      </c>
      <c r="D2450" s="115">
        <v>1</v>
      </c>
      <c r="E2450" s="115" t="s">
        <v>5948</v>
      </c>
      <c r="F2450" s="115" t="s">
        <v>5949</v>
      </c>
      <c r="G2450" s="115" t="s">
        <v>5950</v>
      </c>
      <c r="H2450" s="115" t="s">
        <v>5951</v>
      </c>
    </row>
    <row r="2451" spans="1:8" x14ac:dyDescent="0.25">
      <c r="A2451" s="115">
        <v>5399</v>
      </c>
      <c r="B2451" s="115" t="s">
        <v>128</v>
      </c>
      <c r="C2451" s="115" t="s">
        <v>5952</v>
      </c>
      <c r="D2451" s="115">
        <v>1</v>
      </c>
      <c r="E2451" s="115" t="s">
        <v>5953</v>
      </c>
      <c r="F2451" s="115" t="s">
        <v>5954</v>
      </c>
      <c r="G2451" s="115" t="s">
        <v>5955</v>
      </c>
      <c r="H2451" s="115" t="s">
        <v>5956</v>
      </c>
    </row>
    <row r="2452" spans="1:8" ht="30" x14ac:dyDescent="0.25">
      <c r="A2452" s="115">
        <v>5398</v>
      </c>
      <c r="B2452" s="115" t="s">
        <v>128</v>
      </c>
      <c r="C2452" s="115" t="s">
        <v>5957</v>
      </c>
      <c r="D2452" s="115">
        <v>1</v>
      </c>
      <c r="E2452" s="115" t="s">
        <v>5958</v>
      </c>
      <c r="F2452" s="115" t="s">
        <v>5959</v>
      </c>
      <c r="G2452" s="115" t="s">
        <v>5960</v>
      </c>
      <c r="H2452" s="115" t="s">
        <v>5961</v>
      </c>
    </row>
    <row r="2453" spans="1:8" x14ac:dyDescent="0.25">
      <c r="A2453" s="115">
        <v>5397</v>
      </c>
      <c r="B2453" s="115" t="s">
        <v>128</v>
      </c>
      <c r="C2453" s="115" t="s">
        <v>5962</v>
      </c>
      <c r="D2453" s="115">
        <v>1</v>
      </c>
      <c r="E2453" s="115" t="s">
        <v>5963</v>
      </c>
      <c r="F2453" s="115" t="s">
        <v>5964</v>
      </c>
      <c r="G2453" s="115" t="s">
        <v>5965</v>
      </c>
      <c r="H2453" s="115" t="s">
        <v>5966</v>
      </c>
    </row>
    <row r="2454" spans="1:8" ht="30" x14ac:dyDescent="0.25">
      <c r="A2454" s="115">
        <v>5396</v>
      </c>
      <c r="B2454" s="115" t="s">
        <v>128</v>
      </c>
      <c r="C2454" s="115" t="s">
        <v>5967</v>
      </c>
      <c r="D2454" s="115">
        <v>1</v>
      </c>
      <c r="E2454" s="115" t="s">
        <v>5968</v>
      </c>
      <c r="F2454" s="115" t="s">
        <v>5969</v>
      </c>
      <c r="G2454" s="115" t="s">
        <v>5970</v>
      </c>
      <c r="H2454" s="115" t="s">
        <v>5971</v>
      </c>
    </row>
    <row r="2455" spans="1:8" x14ac:dyDescent="0.25">
      <c r="A2455" s="115">
        <v>5395</v>
      </c>
      <c r="B2455" s="115" t="s">
        <v>128</v>
      </c>
      <c r="C2455" s="115" t="s">
        <v>5972</v>
      </c>
      <c r="D2455" s="115">
        <v>1</v>
      </c>
      <c r="E2455" s="115" t="s">
        <v>5973</v>
      </c>
      <c r="F2455" s="115" t="s">
        <v>5974</v>
      </c>
      <c r="G2455" s="115" t="s">
        <v>5975</v>
      </c>
      <c r="H2455" s="115" t="s">
        <v>5976</v>
      </c>
    </row>
    <row r="2456" spans="1:8" x14ac:dyDescent="0.25">
      <c r="A2456" s="115">
        <v>5394</v>
      </c>
      <c r="B2456" s="115" t="s">
        <v>128</v>
      </c>
      <c r="C2456" s="115" t="s">
        <v>5977</v>
      </c>
      <c r="D2456" s="115">
        <v>1</v>
      </c>
      <c r="E2456" s="115" t="s">
        <v>5978</v>
      </c>
      <c r="F2456" s="115" t="s">
        <v>5979</v>
      </c>
      <c r="G2456" s="115" t="s">
        <v>5980</v>
      </c>
      <c r="H2456" s="115" t="s">
        <v>5981</v>
      </c>
    </row>
    <row r="2457" spans="1:8" x14ac:dyDescent="0.25">
      <c r="A2457" s="115">
        <v>5393</v>
      </c>
      <c r="B2457" s="115" t="s">
        <v>128</v>
      </c>
      <c r="C2457" s="115" t="s">
        <v>5982</v>
      </c>
      <c r="D2457" s="115">
        <v>1</v>
      </c>
      <c r="E2457" s="115" t="s">
        <v>5983</v>
      </c>
      <c r="F2457" s="115" t="s">
        <v>5984</v>
      </c>
      <c r="G2457" s="115" t="s">
        <v>5985</v>
      </c>
      <c r="H2457" s="115" t="s">
        <v>5986</v>
      </c>
    </row>
    <row r="2458" spans="1:8" x14ac:dyDescent="0.25">
      <c r="A2458" s="115">
        <v>5392</v>
      </c>
      <c r="B2458" s="115" t="s">
        <v>128</v>
      </c>
      <c r="C2458" s="115" t="s">
        <v>5987</v>
      </c>
      <c r="D2458" s="115">
        <v>1</v>
      </c>
      <c r="E2458" s="115" t="s">
        <v>5988</v>
      </c>
      <c r="F2458" s="115" t="s">
        <v>5989</v>
      </c>
      <c r="G2458" s="115" t="s">
        <v>5990</v>
      </c>
      <c r="H2458" s="115" t="s">
        <v>5991</v>
      </c>
    </row>
    <row r="2459" spans="1:8" x14ac:dyDescent="0.25">
      <c r="A2459" s="115">
        <v>5391</v>
      </c>
      <c r="B2459" s="115" t="s">
        <v>128</v>
      </c>
      <c r="C2459" s="115" t="s">
        <v>5992</v>
      </c>
      <c r="D2459" s="115">
        <v>1</v>
      </c>
      <c r="E2459" s="115" t="s">
        <v>5993</v>
      </c>
      <c r="F2459" s="115" t="s">
        <v>5994</v>
      </c>
      <c r="G2459" s="115" t="s">
        <v>5995</v>
      </c>
      <c r="H2459" s="115" t="s">
        <v>5996</v>
      </c>
    </row>
    <row r="2460" spans="1:8" x14ac:dyDescent="0.25">
      <c r="A2460" s="115">
        <v>5390</v>
      </c>
      <c r="B2460" s="115" t="s">
        <v>128</v>
      </c>
      <c r="C2460" s="115" t="s">
        <v>5997</v>
      </c>
      <c r="D2460" s="115">
        <v>1</v>
      </c>
      <c r="E2460" s="115" t="s">
        <v>3988</v>
      </c>
      <c r="F2460" s="115" t="s">
        <v>3989</v>
      </c>
      <c r="G2460" s="115" t="s">
        <v>3990</v>
      </c>
      <c r="H2460" s="115" t="s">
        <v>5998</v>
      </c>
    </row>
    <row r="2461" spans="1:8" ht="30" x14ac:dyDescent="0.25">
      <c r="A2461" s="115">
        <v>5389</v>
      </c>
      <c r="B2461" s="115" t="s">
        <v>128</v>
      </c>
      <c r="C2461" s="115" t="s">
        <v>5999</v>
      </c>
      <c r="D2461" s="115">
        <v>1</v>
      </c>
      <c r="E2461" s="115" t="s">
        <v>6000</v>
      </c>
      <c r="F2461" s="115" t="s">
        <v>6001</v>
      </c>
      <c r="G2461" s="115" t="s">
        <v>6002</v>
      </c>
      <c r="H2461" s="115" t="s">
        <v>6003</v>
      </c>
    </row>
    <row r="2462" spans="1:8" x14ac:dyDescent="0.25">
      <c r="A2462" s="115">
        <v>5388</v>
      </c>
      <c r="B2462" s="115" t="s">
        <v>128</v>
      </c>
      <c r="C2462" s="115" t="s">
        <v>6004</v>
      </c>
      <c r="D2462" s="115">
        <v>1</v>
      </c>
      <c r="E2462" s="115" t="s">
        <v>6005</v>
      </c>
      <c r="F2462" s="115" t="s">
        <v>6006</v>
      </c>
      <c r="G2462" s="115" t="s">
        <v>6007</v>
      </c>
      <c r="H2462" s="115" t="s">
        <v>6008</v>
      </c>
    </row>
    <row r="2463" spans="1:8" x14ac:dyDescent="0.25">
      <c r="A2463" s="115">
        <v>5387</v>
      </c>
      <c r="B2463" s="115" t="s">
        <v>128</v>
      </c>
      <c r="C2463" s="115" t="s">
        <v>6009</v>
      </c>
      <c r="D2463" s="115">
        <v>1</v>
      </c>
      <c r="E2463" s="115" t="s">
        <v>6010</v>
      </c>
      <c r="F2463" s="115" t="s">
        <v>6011</v>
      </c>
      <c r="G2463" s="115" t="s">
        <v>6012</v>
      </c>
      <c r="H2463" s="115" t="s">
        <v>6013</v>
      </c>
    </row>
    <row r="2464" spans="1:8" x14ac:dyDescent="0.25">
      <c r="A2464" s="115">
        <v>5386</v>
      </c>
      <c r="B2464" s="115" t="s">
        <v>128</v>
      </c>
      <c r="C2464" s="115" t="s">
        <v>6014</v>
      </c>
      <c r="D2464" s="115">
        <v>1</v>
      </c>
      <c r="E2464" s="115" t="s">
        <v>6015</v>
      </c>
      <c r="F2464" s="115" t="s">
        <v>6016</v>
      </c>
      <c r="G2464" s="115" t="s">
        <v>6017</v>
      </c>
      <c r="H2464" s="115" t="s">
        <v>6018</v>
      </c>
    </row>
    <row r="2465" spans="1:8" x14ac:dyDescent="0.25">
      <c r="A2465" s="115">
        <v>5385</v>
      </c>
      <c r="B2465" s="115" t="s">
        <v>128</v>
      </c>
      <c r="C2465" s="115" t="s">
        <v>6019</v>
      </c>
      <c r="D2465" s="115">
        <v>1</v>
      </c>
      <c r="E2465" s="115" t="s">
        <v>6020</v>
      </c>
      <c r="F2465" s="115" t="s">
        <v>6021</v>
      </c>
      <c r="G2465" s="115" t="s">
        <v>6022</v>
      </c>
      <c r="H2465" s="115" t="s">
        <v>6023</v>
      </c>
    </row>
    <row r="2466" spans="1:8" ht="30" x14ac:dyDescent="0.25">
      <c r="A2466" s="115">
        <v>5384</v>
      </c>
      <c r="B2466" s="115" t="s">
        <v>128</v>
      </c>
      <c r="C2466" s="115" t="s">
        <v>6024</v>
      </c>
      <c r="D2466" s="115">
        <v>1</v>
      </c>
      <c r="E2466" s="115" t="s">
        <v>6025</v>
      </c>
      <c r="F2466" s="115" t="s">
        <v>6026</v>
      </c>
      <c r="G2466" s="115" t="s">
        <v>6027</v>
      </c>
      <c r="H2466" s="115" t="s">
        <v>6028</v>
      </c>
    </row>
    <row r="2467" spans="1:8" x14ac:dyDescent="0.25">
      <c r="A2467" s="115">
        <v>5383</v>
      </c>
      <c r="B2467" s="115" t="s">
        <v>128</v>
      </c>
      <c r="C2467" s="115" t="s">
        <v>6029</v>
      </c>
      <c r="D2467" s="115">
        <v>1</v>
      </c>
      <c r="E2467" s="115" t="s">
        <v>6030</v>
      </c>
      <c r="F2467" s="115" t="s">
        <v>6031</v>
      </c>
      <c r="G2467" s="115" t="s">
        <v>6032</v>
      </c>
      <c r="H2467" s="115" t="s">
        <v>6033</v>
      </c>
    </row>
    <row r="2468" spans="1:8" x14ac:dyDescent="0.25">
      <c r="A2468" s="115">
        <v>5382</v>
      </c>
      <c r="B2468" s="115" t="s">
        <v>128</v>
      </c>
      <c r="C2468" s="115" t="s">
        <v>6034</v>
      </c>
      <c r="D2468" s="115">
        <v>1</v>
      </c>
      <c r="E2468" s="115" t="s">
        <v>6035</v>
      </c>
      <c r="F2468" s="115" t="s">
        <v>6036</v>
      </c>
      <c r="G2468" s="115" t="s">
        <v>6037</v>
      </c>
      <c r="H2468" s="115" t="s">
        <v>6038</v>
      </c>
    </row>
    <row r="2469" spans="1:8" x14ac:dyDescent="0.25">
      <c r="A2469" s="115">
        <v>5381</v>
      </c>
      <c r="B2469" s="115" t="s">
        <v>128</v>
      </c>
      <c r="C2469" s="115" t="s">
        <v>6039</v>
      </c>
      <c r="D2469" s="115">
        <v>1</v>
      </c>
      <c r="E2469" s="115" t="s">
        <v>6040</v>
      </c>
      <c r="F2469" s="115" t="s">
        <v>6041</v>
      </c>
      <c r="G2469" s="115" t="s">
        <v>6042</v>
      </c>
      <c r="H2469" s="115" t="s">
        <v>6043</v>
      </c>
    </row>
    <row r="2470" spans="1:8" ht="30" x14ac:dyDescent="0.25">
      <c r="A2470" s="115">
        <v>5380</v>
      </c>
      <c r="B2470" s="115" t="s">
        <v>128</v>
      </c>
      <c r="C2470" s="115" t="s">
        <v>6044</v>
      </c>
      <c r="D2470" s="115">
        <v>1</v>
      </c>
      <c r="E2470" s="115" t="s">
        <v>6045</v>
      </c>
      <c r="F2470" s="115" t="s">
        <v>6046</v>
      </c>
      <c r="G2470" s="115" t="s">
        <v>6047</v>
      </c>
      <c r="H2470" s="115" t="s">
        <v>6048</v>
      </c>
    </row>
    <row r="2471" spans="1:8" x14ac:dyDescent="0.25">
      <c r="A2471" s="115">
        <v>5379</v>
      </c>
      <c r="B2471" s="115" t="s">
        <v>128</v>
      </c>
      <c r="C2471" s="115" t="s">
        <v>6049</v>
      </c>
      <c r="D2471" s="115">
        <v>1</v>
      </c>
      <c r="E2471" s="115" t="s">
        <v>1065</v>
      </c>
      <c r="F2471" s="115" t="s">
        <v>6050</v>
      </c>
      <c r="G2471" s="115" t="s">
        <v>6051</v>
      </c>
      <c r="H2471" s="115" t="s">
        <v>1067</v>
      </c>
    </row>
    <row r="2472" spans="1:8" x14ac:dyDescent="0.25">
      <c r="A2472" s="115">
        <v>5378</v>
      </c>
      <c r="B2472" s="115" t="s">
        <v>128</v>
      </c>
      <c r="C2472" s="115" t="s">
        <v>6052</v>
      </c>
      <c r="D2472" s="115">
        <v>1</v>
      </c>
      <c r="E2472" s="115" t="s">
        <v>6053</v>
      </c>
      <c r="F2472" s="115" t="s">
        <v>6054</v>
      </c>
      <c r="G2472" s="115" t="s">
        <v>6055</v>
      </c>
      <c r="H2472" s="115" t="s">
        <v>6056</v>
      </c>
    </row>
    <row r="2473" spans="1:8" x14ac:dyDescent="0.25">
      <c r="A2473" s="115">
        <v>5377</v>
      </c>
      <c r="B2473" s="115" t="s">
        <v>128</v>
      </c>
      <c r="C2473" s="115" t="s">
        <v>6057</v>
      </c>
      <c r="D2473" s="115">
        <v>1</v>
      </c>
      <c r="E2473" s="115" t="s">
        <v>6058</v>
      </c>
      <c r="F2473" s="115" t="s">
        <v>6059</v>
      </c>
      <c r="G2473" s="115" t="s">
        <v>6060</v>
      </c>
      <c r="H2473" s="115" t="s">
        <v>6061</v>
      </c>
    </row>
    <row r="2474" spans="1:8" x14ac:dyDescent="0.25">
      <c r="A2474" s="115">
        <v>5376</v>
      </c>
      <c r="B2474" s="115" t="s">
        <v>128</v>
      </c>
      <c r="C2474" s="115" t="s">
        <v>6062</v>
      </c>
      <c r="D2474" s="115">
        <v>1</v>
      </c>
      <c r="E2474" s="115" t="s">
        <v>6063</v>
      </c>
      <c r="F2474" s="115" t="s">
        <v>6064</v>
      </c>
      <c r="G2474" s="115" t="s">
        <v>6065</v>
      </c>
      <c r="H2474" s="115" t="s">
        <v>6066</v>
      </c>
    </row>
    <row r="2475" spans="1:8" ht="30" x14ac:dyDescent="0.25">
      <c r="A2475" s="115">
        <v>5375</v>
      </c>
      <c r="B2475" s="115" t="s">
        <v>128</v>
      </c>
      <c r="C2475" s="115" t="s">
        <v>6067</v>
      </c>
      <c r="D2475" s="115">
        <v>1</v>
      </c>
      <c r="E2475" s="115" t="s">
        <v>6068</v>
      </c>
      <c r="F2475" s="115" t="s">
        <v>6069</v>
      </c>
      <c r="G2475" s="115" t="s">
        <v>6070</v>
      </c>
      <c r="H2475" s="115" t="s">
        <v>6071</v>
      </c>
    </row>
    <row r="2476" spans="1:8" x14ac:dyDescent="0.25">
      <c r="A2476" s="115">
        <v>5374</v>
      </c>
      <c r="B2476" s="115" t="s">
        <v>128</v>
      </c>
      <c r="C2476" s="115" t="s">
        <v>6072</v>
      </c>
      <c r="D2476" s="115">
        <v>1</v>
      </c>
      <c r="E2476" s="115" t="s">
        <v>6073</v>
      </c>
      <c r="F2476" s="115" t="s">
        <v>6074</v>
      </c>
      <c r="G2476" s="115" t="s">
        <v>6075</v>
      </c>
      <c r="H2476" s="115" t="s">
        <v>6076</v>
      </c>
    </row>
    <row r="2477" spans="1:8" ht="30" x14ac:dyDescent="0.25">
      <c r="A2477" s="115">
        <v>5373</v>
      </c>
      <c r="B2477" s="115" t="s">
        <v>128</v>
      </c>
      <c r="C2477" s="115" t="s">
        <v>6077</v>
      </c>
      <c r="D2477" s="115">
        <v>1</v>
      </c>
      <c r="E2477" s="115" t="s">
        <v>6078</v>
      </c>
      <c r="F2477" s="115" t="s">
        <v>6079</v>
      </c>
      <c r="G2477" s="115" t="s">
        <v>6080</v>
      </c>
      <c r="H2477" s="115" t="s">
        <v>6081</v>
      </c>
    </row>
    <row r="2478" spans="1:8" x14ac:dyDescent="0.25">
      <c r="A2478" s="115">
        <v>5372</v>
      </c>
      <c r="B2478" s="115" t="s">
        <v>128</v>
      </c>
      <c r="C2478" s="115" t="s">
        <v>6082</v>
      </c>
      <c r="D2478" s="115">
        <v>1</v>
      </c>
      <c r="E2478" s="115" t="s">
        <v>6083</v>
      </c>
      <c r="F2478" s="115" t="s">
        <v>6084</v>
      </c>
      <c r="G2478" s="115" t="s">
        <v>6085</v>
      </c>
      <c r="H2478" s="115" t="s">
        <v>6086</v>
      </c>
    </row>
    <row r="2479" spans="1:8" x14ac:dyDescent="0.25">
      <c r="A2479" s="115">
        <v>5371</v>
      </c>
      <c r="B2479" s="115" t="s">
        <v>128</v>
      </c>
      <c r="C2479" s="115" t="s">
        <v>6087</v>
      </c>
      <c r="D2479" s="115">
        <v>1</v>
      </c>
      <c r="E2479" s="115" t="s">
        <v>6088</v>
      </c>
      <c r="F2479" s="115" t="s">
        <v>6089</v>
      </c>
      <c r="G2479" s="115" t="s">
        <v>6090</v>
      </c>
      <c r="H2479" s="115" t="s">
        <v>6091</v>
      </c>
    </row>
    <row r="2480" spans="1:8" x14ac:dyDescent="0.25">
      <c r="A2480" s="115">
        <v>5370</v>
      </c>
      <c r="B2480" s="115" t="s">
        <v>128</v>
      </c>
      <c r="C2480" s="115" t="s">
        <v>6092</v>
      </c>
      <c r="D2480" s="115">
        <v>1</v>
      </c>
      <c r="E2480" s="115" t="s">
        <v>6093</v>
      </c>
      <c r="F2480" s="115" t="s">
        <v>6094</v>
      </c>
      <c r="G2480" s="115" t="s">
        <v>6095</v>
      </c>
      <c r="H2480" s="115" t="s">
        <v>6096</v>
      </c>
    </row>
    <row r="2481" spans="1:8" x14ac:dyDescent="0.25">
      <c r="A2481" s="115">
        <v>5369</v>
      </c>
      <c r="B2481" s="115" t="s">
        <v>128</v>
      </c>
      <c r="C2481" s="115" t="s">
        <v>6097</v>
      </c>
      <c r="D2481" s="115">
        <v>1</v>
      </c>
      <c r="E2481" s="115" t="s">
        <v>6098</v>
      </c>
      <c r="F2481" s="115" t="s">
        <v>6099</v>
      </c>
      <c r="G2481" s="115" t="s">
        <v>6100</v>
      </c>
      <c r="H2481" s="115" t="s">
        <v>6101</v>
      </c>
    </row>
    <row r="2482" spans="1:8" x14ac:dyDescent="0.25">
      <c r="A2482" s="115">
        <v>5368</v>
      </c>
      <c r="B2482" s="115" t="s">
        <v>128</v>
      </c>
      <c r="C2482" s="115" t="s">
        <v>6102</v>
      </c>
      <c r="D2482" s="115">
        <v>1</v>
      </c>
      <c r="E2482" s="115" t="s">
        <v>6103</v>
      </c>
      <c r="F2482" s="115" t="s">
        <v>6104</v>
      </c>
      <c r="G2482" s="115" t="s">
        <v>6105</v>
      </c>
      <c r="H2482" s="115" t="s">
        <v>6106</v>
      </c>
    </row>
    <row r="2483" spans="1:8" ht="30" x14ac:dyDescent="0.25">
      <c r="A2483" s="115">
        <v>5367</v>
      </c>
      <c r="B2483" s="115" t="s">
        <v>128</v>
      </c>
      <c r="C2483" s="115" t="s">
        <v>6107</v>
      </c>
      <c r="D2483" s="115">
        <v>1</v>
      </c>
      <c r="E2483" s="115" t="s">
        <v>6108</v>
      </c>
      <c r="F2483" s="115" t="s">
        <v>6109</v>
      </c>
      <c r="G2483" s="115" t="s">
        <v>6110</v>
      </c>
      <c r="H2483" s="115" t="s">
        <v>6111</v>
      </c>
    </row>
    <row r="2484" spans="1:8" x14ac:dyDescent="0.25">
      <c r="A2484" s="115">
        <v>5366</v>
      </c>
      <c r="B2484" s="115" t="s">
        <v>128</v>
      </c>
      <c r="C2484" s="115" t="s">
        <v>6112</v>
      </c>
      <c r="D2484" s="115">
        <v>1</v>
      </c>
      <c r="E2484" s="115" t="s">
        <v>6113</v>
      </c>
      <c r="F2484" s="115" t="s">
        <v>6114</v>
      </c>
      <c r="G2484" s="115" t="s">
        <v>6115</v>
      </c>
      <c r="H2484" s="115" t="s">
        <v>6116</v>
      </c>
    </row>
    <row r="2485" spans="1:8" x14ac:dyDescent="0.25">
      <c r="A2485" s="115">
        <v>5365</v>
      </c>
      <c r="B2485" s="115" t="s">
        <v>128</v>
      </c>
      <c r="C2485" s="115" t="s">
        <v>6117</v>
      </c>
      <c r="D2485" s="115">
        <v>1</v>
      </c>
      <c r="E2485" s="115" t="s">
        <v>6118</v>
      </c>
      <c r="F2485" s="115" t="s">
        <v>6119</v>
      </c>
      <c r="G2485" s="115" t="s">
        <v>6120</v>
      </c>
      <c r="H2485" s="115" t="s">
        <v>6121</v>
      </c>
    </row>
    <row r="2486" spans="1:8" x14ac:dyDescent="0.25">
      <c r="A2486" s="115">
        <v>5364</v>
      </c>
      <c r="B2486" s="115" t="s">
        <v>128</v>
      </c>
      <c r="C2486" s="115" t="s">
        <v>6122</v>
      </c>
      <c r="D2486" s="115">
        <v>1</v>
      </c>
      <c r="E2486" s="115" t="s">
        <v>6123</v>
      </c>
      <c r="F2486" s="115" t="s">
        <v>6124</v>
      </c>
      <c r="G2486" s="115" t="s">
        <v>6125</v>
      </c>
      <c r="H2486" s="115" t="s">
        <v>6126</v>
      </c>
    </row>
    <row r="2487" spans="1:8" ht="30" x14ac:dyDescent="0.25">
      <c r="A2487" s="115">
        <v>5363</v>
      </c>
      <c r="B2487" s="115" t="s">
        <v>128</v>
      </c>
      <c r="C2487" s="115" t="s">
        <v>6127</v>
      </c>
      <c r="D2487" s="115">
        <v>1</v>
      </c>
      <c r="E2487" s="115" t="s">
        <v>6128</v>
      </c>
      <c r="F2487" s="115" t="s">
        <v>6129</v>
      </c>
      <c r="G2487" s="115" t="s">
        <v>6130</v>
      </c>
      <c r="H2487" s="115" t="s">
        <v>6131</v>
      </c>
    </row>
    <row r="2488" spans="1:8" x14ac:dyDescent="0.25">
      <c r="A2488" s="115">
        <v>5362</v>
      </c>
      <c r="B2488" s="115" t="s">
        <v>128</v>
      </c>
      <c r="C2488" s="115" t="s">
        <v>6132</v>
      </c>
      <c r="D2488" s="115">
        <v>1</v>
      </c>
      <c r="E2488" s="115" t="s">
        <v>6133</v>
      </c>
      <c r="F2488" s="115" t="s">
        <v>6134</v>
      </c>
      <c r="G2488" s="115" t="s">
        <v>6135</v>
      </c>
      <c r="H2488" s="115" t="s">
        <v>6136</v>
      </c>
    </row>
    <row r="2489" spans="1:8" x14ac:dyDescent="0.25">
      <c r="A2489" s="115">
        <v>5361</v>
      </c>
      <c r="B2489" s="115" t="s">
        <v>128</v>
      </c>
      <c r="C2489" s="115" t="s">
        <v>6137</v>
      </c>
      <c r="D2489" s="115">
        <v>1</v>
      </c>
      <c r="E2489" s="115" t="s">
        <v>6138</v>
      </c>
      <c r="F2489" s="115" t="s">
        <v>6139</v>
      </c>
      <c r="G2489" s="115" t="s">
        <v>6140</v>
      </c>
      <c r="H2489" s="115" t="s">
        <v>6141</v>
      </c>
    </row>
    <row r="2490" spans="1:8" x14ac:dyDescent="0.25">
      <c r="A2490" s="115">
        <v>5360</v>
      </c>
      <c r="B2490" s="115" t="s">
        <v>128</v>
      </c>
      <c r="C2490" s="115" t="s">
        <v>6142</v>
      </c>
      <c r="D2490" s="115">
        <v>1</v>
      </c>
      <c r="E2490" s="115" t="s">
        <v>6143</v>
      </c>
      <c r="F2490" s="115" t="s">
        <v>6144</v>
      </c>
      <c r="G2490" s="115" t="s">
        <v>6145</v>
      </c>
      <c r="H2490" s="115" t="s">
        <v>6146</v>
      </c>
    </row>
    <row r="2491" spans="1:8" x14ac:dyDescent="0.25">
      <c r="A2491" s="115">
        <v>5359</v>
      </c>
      <c r="B2491" s="115" t="s">
        <v>128</v>
      </c>
      <c r="C2491" s="115" t="s">
        <v>6147</v>
      </c>
      <c r="D2491" s="115">
        <v>1</v>
      </c>
      <c r="E2491" s="115" t="s">
        <v>6148</v>
      </c>
      <c r="F2491" s="115" t="s">
        <v>6149</v>
      </c>
      <c r="G2491" s="115" t="s">
        <v>6150</v>
      </c>
      <c r="H2491" s="115" t="s">
        <v>6151</v>
      </c>
    </row>
    <row r="2492" spans="1:8" x14ac:dyDescent="0.25">
      <c r="A2492" s="115">
        <v>5358</v>
      </c>
      <c r="B2492" s="115" t="s">
        <v>128</v>
      </c>
      <c r="C2492" s="115" t="s">
        <v>6152</v>
      </c>
      <c r="D2492" s="115">
        <v>1</v>
      </c>
      <c r="E2492" s="115" t="s">
        <v>991</v>
      </c>
      <c r="F2492" s="115" t="s">
        <v>6153</v>
      </c>
      <c r="G2492" s="115" t="s">
        <v>6154</v>
      </c>
      <c r="H2492" s="115" t="s">
        <v>993</v>
      </c>
    </row>
    <row r="2493" spans="1:8" x14ac:dyDescent="0.25">
      <c r="A2493" s="115">
        <v>5357</v>
      </c>
      <c r="B2493" s="115" t="s">
        <v>128</v>
      </c>
      <c r="C2493" s="115" t="s">
        <v>6155</v>
      </c>
      <c r="D2493" s="115">
        <v>1</v>
      </c>
      <c r="E2493" s="115" t="s">
        <v>4047</v>
      </c>
      <c r="F2493" s="115" t="s">
        <v>4048</v>
      </c>
      <c r="G2493" s="115" t="s">
        <v>4049</v>
      </c>
      <c r="H2493" s="115" t="s">
        <v>980</v>
      </c>
    </row>
    <row r="2494" spans="1:8" ht="30" x14ac:dyDescent="0.25">
      <c r="A2494" s="115">
        <v>5356</v>
      </c>
      <c r="B2494" s="115" t="s">
        <v>128</v>
      </c>
      <c r="C2494" s="115" t="s">
        <v>6156</v>
      </c>
      <c r="D2494" s="115">
        <v>1</v>
      </c>
      <c r="E2494" s="115" t="s">
        <v>6157</v>
      </c>
      <c r="F2494" s="115" t="s">
        <v>6158</v>
      </c>
      <c r="G2494" s="115" t="s">
        <v>6158</v>
      </c>
      <c r="H2494" s="115" t="s">
        <v>6159</v>
      </c>
    </row>
    <row r="2495" spans="1:8" x14ac:dyDescent="0.25">
      <c r="A2495" s="115">
        <v>5355</v>
      </c>
      <c r="B2495" s="115" t="s">
        <v>128</v>
      </c>
      <c r="C2495" s="115" t="s">
        <v>6160</v>
      </c>
      <c r="D2495" s="115">
        <v>1</v>
      </c>
      <c r="E2495" s="115" t="s">
        <v>6161</v>
      </c>
      <c r="F2495" s="115" t="s">
        <v>6162</v>
      </c>
      <c r="G2495" s="115" t="s">
        <v>6163</v>
      </c>
      <c r="H2495" s="115" t="s">
        <v>6164</v>
      </c>
    </row>
    <row r="2496" spans="1:8" x14ac:dyDescent="0.25">
      <c r="A2496" s="115">
        <v>5354</v>
      </c>
      <c r="B2496" s="115" t="s">
        <v>128</v>
      </c>
      <c r="C2496" s="115" t="s">
        <v>6165</v>
      </c>
      <c r="D2496" s="115">
        <v>1</v>
      </c>
      <c r="E2496" s="115" t="s">
        <v>6166</v>
      </c>
      <c r="F2496" s="115" t="s">
        <v>6167</v>
      </c>
      <c r="G2496" s="115" t="s">
        <v>6168</v>
      </c>
      <c r="H2496" s="115" t="s">
        <v>6169</v>
      </c>
    </row>
    <row r="2497" spans="1:8" x14ac:dyDescent="0.25">
      <c r="A2497" s="115">
        <v>5353</v>
      </c>
      <c r="B2497" s="115" t="s">
        <v>128</v>
      </c>
      <c r="C2497" s="115" t="s">
        <v>6170</v>
      </c>
      <c r="D2497" s="115">
        <v>1</v>
      </c>
      <c r="E2497" s="115" t="s">
        <v>6171</v>
      </c>
      <c r="F2497" s="115" t="s">
        <v>6172</v>
      </c>
      <c r="G2497" s="115" t="s">
        <v>6173</v>
      </c>
      <c r="H2497" s="115" t="s">
        <v>6174</v>
      </c>
    </row>
    <row r="2498" spans="1:8" x14ac:dyDescent="0.25">
      <c r="A2498" s="115">
        <v>5352</v>
      </c>
      <c r="B2498" s="115" t="s">
        <v>128</v>
      </c>
      <c r="C2498" s="115" t="s">
        <v>6175</v>
      </c>
      <c r="D2498" s="115">
        <v>1</v>
      </c>
      <c r="E2498" s="115" t="s">
        <v>6176</v>
      </c>
      <c r="F2498" s="115" t="s">
        <v>6177</v>
      </c>
      <c r="G2498" s="115" t="s">
        <v>6178</v>
      </c>
      <c r="H2498" s="115" t="s">
        <v>6179</v>
      </c>
    </row>
    <row r="2499" spans="1:8" x14ac:dyDescent="0.25">
      <c r="A2499" s="115">
        <v>5351</v>
      </c>
      <c r="B2499" s="115" t="s">
        <v>128</v>
      </c>
      <c r="C2499" s="115" t="s">
        <v>6180</v>
      </c>
      <c r="D2499" s="115">
        <v>1</v>
      </c>
      <c r="E2499" s="115" t="s">
        <v>6181</v>
      </c>
      <c r="F2499" s="115" t="s">
        <v>6182</v>
      </c>
      <c r="G2499" s="115" t="s">
        <v>6183</v>
      </c>
      <c r="H2499" s="115" t="s">
        <v>6184</v>
      </c>
    </row>
    <row r="2500" spans="1:8" x14ac:dyDescent="0.25">
      <c r="A2500" s="115">
        <v>5350</v>
      </c>
      <c r="B2500" s="115" t="s">
        <v>128</v>
      </c>
      <c r="C2500" s="115" t="s">
        <v>6185</v>
      </c>
      <c r="D2500" s="115">
        <v>1</v>
      </c>
      <c r="E2500" s="115" t="s">
        <v>6186</v>
      </c>
      <c r="F2500" s="115" t="s">
        <v>6187</v>
      </c>
      <c r="G2500" s="115" t="s">
        <v>6188</v>
      </c>
      <c r="H2500" s="115" t="s">
        <v>6189</v>
      </c>
    </row>
    <row r="2501" spans="1:8" x14ac:dyDescent="0.25">
      <c r="A2501" s="115">
        <v>5349</v>
      </c>
      <c r="B2501" s="115" t="s">
        <v>128</v>
      </c>
      <c r="C2501" s="115" t="s">
        <v>6190</v>
      </c>
      <c r="D2501" s="115">
        <v>1</v>
      </c>
      <c r="E2501" s="115" t="s">
        <v>6191</v>
      </c>
      <c r="F2501" s="115" t="s">
        <v>6192</v>
      </c>
      <c r="G2501" s="115" t="s">
        <v>6193</v>
      </c>
      <c r="H2501" s="115" t="s">
        <v>6194</v>
      </c>
    </row>
    <row r="2502" spans="1:8" x14ac:dyDescent="0.25">
      <c r="A2502" s="115">
        <v>5348</v>
      </c>
      <c r="B2502" s="115" t="s">
        <v>128</v>
      </c>
      <c r="C2502" s="115" t="s">
        <v>6195</v>
      </c>
      <c r="D2502" s="115">
        <v>1</v>
      </c>
      <c r="E2502" s="115" t="s">
        <v>6196</v>
      </c>
      <c r="F2502" s="115" t="s">
        <v>6197</v>
      </c>
      <c r="G2502" s="115" t="s">
        <v>6198</v>
      </c>
      <c r="H2502" s="115" t="s">
        <v>6199</v>
      </c>
    </row>
    <row r="2503" spans="1:8" x14ac:dyDescent="0.25">
      <c r="A2503" s="115">
        <v>5347</v>
      </c>
      <c r="B2503" s="115" t="s">
        <v>128</v>
      </c>
      <c r="C2503" s="115" t="s">
        <v>6200</v>
      </c>
      <c r="D2503" s="115">
        <v>1</v>
      </c>
      <c r="E2503" s="115" t="s">
        <v>6201</v>
      </c>
      <c r="F2503" s="115" t="s">
        <v>6202</v>
      </c>
      <c r="G2503" s="115" t="s">
        <v>6203</v>
      </c>
      <c r="H2503" s="115" t="s">
        <v>6204</v>
      </c>
    </row>
    <row r="2504" spans="1:8" x14ac:dyDescent="0.25">
      <c r="A2504" s="115">
        <v>5346</v>
      </c>
      <c r="B2504" s="115" t="s">
        <v>128</v>
      </c>
      <c r="C2504" s="115" t="s">
        <v>6205</v>
      </c>
      <c r="D2504" s="115">
        <v>1</v>
      </c>
      <c r="E2504" s="115" t="s">
        <v>6206</v>
      </c>
      <c r="F2504" s="115" t="s">
        <v>6207</v>
      </c>
      <c r="G2504" s="115" t="s">
        <v>6208</v>
      </c>
      <c r="H2504" s="115" t="s">
        <v>6209</v>
      </c>
    </row>
    <row r="2505" spans="1:8" x14ac:dyDescent="0.25">
      <c r="A2505" s="115">
        <v>5345</v>
      </c>
      <c r="B2505" s="115" t="s">
        <v>128</v>
      </c>
      <c r="C2505" s="115" t="s">
        <v>6210</v>
      </c>
      <c r="D2505" s="115">
        <v>1</v>
      </c>
      <c r="E2505" s="115" t="s">
        <v>6211</v>
      </c>
      <c r="F2505" s="115" t="s">
        <v>6212</v>
      </c>
      <c r="G2505" s="115" t="s">
        <v>6213</v>
      </c>
      <c r="H2505" s="115" t="s">
        <v>6214</v>
      </c>
    </row>
    <row r="2506" spans="1:8" x14ac:dyDescent="0.25">
      <c r="A2506" s="115">
        <v>5344</v>
      </c>
      <c r="B2506" s="115" t="s">
        <v>128</v>
      </c>
      <c r="C2506" s="115" t="s">
        <v>6215</v>
      </c>
      <c r="D2506" s="115">
        <v>1</v>
      </c>
      <c r="E2506" s="115" t="s">
        <v>6216</v>
      </c>
      <c r="F2506" s="115" t="s">
        <v>6217</v>
      </c>
      <c r="G2506" s="115" t="s">
        <v>6218</v>
      </c>
      <c r="H2506" s="115" t="s">
        <v>6219</v>
      </c>
    </row>
    <row r="2507" spans="1:8" x14ac:dyDescent="0.25">
      <c r="A2507" s="115">
        <v>5343</v>
      </c>
      <c r="B2507" s="115" t="s">
        <v>128</v>
      </c>
      <c r="C2507" s="115" t="s">
        <v>6220</v>
      </c>
      <c r="D2507" s="115">
        <v>1</v>
      </c>
      <c r="E2507" s="115" t="s">
        <v>6221</v>
      </c>
      <c r="F2507" s="115" t="s">
        <v>6222</v>
      </c>
      <c r="G2507" s="115" t="s">
        <v>6223</v>
      </c>
      <c r="H2507" s="115" t="s">
        <v>6224</v>
      </c>
    </row>
    <row r="2508" spans="1:8" x14ac:dyDescent="0.25">
      <c r="A2508" s="115">
        <v>5342</v>
      </c>
      <c r="B2508" s="115" t="s">
        <v>128</v>
      </c>
      <c r="C2508" s="115" t="s">
        <v>6225</v>
      </c>
      <c r="D2508" s="115">
        <v>1</v>
      </c>
      <c r="E2508" s="115" t="s">
        <v>2931</v>
      </c>
      <c r="F2508" s="115" t="s">
        <v>2932</v>
      </c>
      <c r="G2508" s="115" t="s">
        <v>6226</v>
      </c>
      <c r="H2508" s="115" t="s">
        <v>2933</v>
      </c>
    </row>
    <row r="2509" spans="1:8" ht="30" x14ac:dyDescent="0.25">
      <c r="A2509" s="115">
        <v>5341</v>
      </c>
      <c r="B2509" s="115" t="s">
        <v>128</v>
      </c>
      <c r="C2509" s="115" t="s">
        <v>6227</v>
      </c>
      <c r="D2509" s="115">
        <v>1</v>
      </c>
      <c r="E2509" s="115" t="s">
        <v>6228</v>
      </c>
      <c r="F2509" s="115" t="s">
        <v>6229</v>
      </c>
      <c r="G2509" s="115" t="s">
        <v>6230</v>
      </c>
      <c r="H2509" s="115" t="s">
        <v>6231</v>
      </c>
    </row>
    <row r="2510" spans="1:8" ht="30" x14ac:dyDescent="0.25">
      <c r="A2510" s="115">
        <v>5340</v>
      </c>
      <c r="B2510" s="115" t="s">
        <v>128</v>
      </c>
      <c r="C2510" s="115" t="s">
        <v>6232</v>
      </c>
      <c r="D2510" s="115">
        <v>1</v>
      </c>
      <c r="E2510" s="115" t="s">
        <v>6233</v>
      </c>
      <c r="F2510" s="115" t="s">
        <v>6234</v>
      </c>
      <c r="G2510" s="115" t="s">
        <v>6235</v>
      </c>
      <c r="H2510" s="115" t="s">
        <v>6236</v>
      </c>
    </row>
    <row r="2511" spans="1:8" x14ac:dyDescent="0.25">
      <c r="A2511" s="115">
        <v>5339</v>
      </c>
      <c r="B2511" s="115" t="s">
        <v>128</v>
      </c>
      <c r="C2511" s="115" t="s">
        <v>6237</v>
      </c>
      <c r="D2511" s="115">
        <v>1</v>
      </c>
      <c r="E2511" s="115" t="s">
        <v>733</v>
      </c>
      <c r="F2511" s="115" t="s">
        <v>734</v>
      </c>
      <c r="G2511" s="115" t="s">
        <v>6238</v>
      </c>
      <c r="H2511" s="115" t="s">
        <v>6239</v>
      </c>
    </row>
    <row r="2512" spans="1:8" x14ac:dyDescent="0.25">
      <c r="A2512" s="115">
        <v>5338</v>
      </c>
      <c r="B2512" s="115" t="s">
        <v>128</v>
      </c>
      <c r="C2512" s="115" t="s">
        <v>6240</v>
      </c>
      <c r="D2512" s="115">
        <v>1</v>
      </c>
      <c r="E2512" s="115" t="s">
        <v>6241</v>
      </c>
      <c r="F2512" s="115" t="s">
        <v>6242</v>
      </c>
      <c r="G2512" s="115" t="s">
        <v>6243</v>
      </c>
      <c r="H2512" s="115" t="s">
        <v>6244</v>
      </c>
    </row>
    <row r="2513" spans="1:8" ht="30" x14ac:dyDescent="0.25">
      <c r="A2513" s="115">
        <v>5337</v>
      </c>
      <c r="B2513" s="115" t="s">
        <v>128</v>
      </c>
      <c r="C2513" s="115" t="s">
        <v>6245</v>
      </c>
      <c r="D2513" s="115">
        <v>1</v>
      </c>
      <c r="E2513" s="115" t="s">
        <v>6246</v>
      </c>
      <c r="F2513" s="115" t="s">
        <v>6247</v>
      </c>
      <c r="G2513" s="115" t="s">
        <v>6248</v>
      </c>
      <c r="H2513" s="115" t="s">
        <v>6249</v>
      </c>
    </row>
    <row r="2514" spans="1:8" x14ac:dyDescent="0.25">
      <c r="A2514" s="115">
        <v>5336</v>
      </c>
      <c r="B2514" s="115" t="s">
        <v>128</v>
      </c>
      <c r="C2514" s="115" t="s">
        <v>6250</v>
      </c>
      <c r="D2514" s="115">
        <v>1</v>
      </c>
      <c r="E2514" s="115" t="s">
        <v>6251</v>
      </c>
      <c r="F2514" s="115" t="s">
        <v>6252</v>
      </c>
      <c r="G2514" s="115" t="s">
        <v>6253</v>
      </c>
      <c r="H2514" s="115" t="s">
        <v>6254</v>
      </c>
    </row>
    <row r="2515" spans="1:8" x14ac:dyDescent="0.25">
      <c r="A2515" s="115">
        <v>5335</v>
      </c>
      <c r="B2515" s="115" t="s">
        <v>128</v>
      </c>
      <c r="C2515" s="115" t="s">
        <v>6255</v>
      </c>
      <c r="D2515" s="115">
        <v>1</v>
      </c>
      <c r="E2515" s="115" t="s">
        <v>6256</v>
      </c>
      <c r="F2515" s="115" t="s">
        <v>6257</v>
      </c>
      <c r="G2515" s="115" t="s">
        <v>6258</v>
      </c>
      <c r="H2515" s="115" t="s">
        <v>6259</v>
      </c>
    </row>
    <row r="2516" spans="1:8" x14ac:dyDescent="0.25">
      <c r="A2516" s="115">
        <v>5334</v>
      </c>
      <c r="B2516" s="115" t="s">
        <v>128</v>
      </c>
      <c r="C2516" s="115" t="s">
        <v>6260</v>
      </c>
      <c r="D2516" s="115">
        <v>1</v>
      </c>
      <c r="E2516" s="115" t="s">
        <v>6261</v>
      </c>
      <c r="F2516" s="115" t="s">
        <v>6262</v>
      </c>
      <c r="G2516" s="115" t="s">
        <v>6263</v>
      </c>
      <c r="H2516" s="115" t="s">
        <v>6264</v>
      </c>
    </row>
    <row r="2517" spans="1:8" x14ac:dyDescent="0.25">
      <c r="A2517" s="115">
        <v>5333</v>
      </c>
      <c r="B2517" s="115" t="s">
        <v>128</v>
      </c>
      <c r="C2517" s="115" t="s">
        <v>6265</v>
      </c>
      <c r="D2517" s="115">
        <v>1</v>
      </c>
      <c r="E2517" s="115" t="s">
        <v>6266</v>
      </c>
      <c r="F2517" s="115" t="s">
        <v>6267</v>
      </c>
      <c r="G2517" s="115" t="s">
        <v>6268</v>
      </c>
      <c r="H2517" s="115" t="s">
        <v>6269</v>
      </c>
    </row>
    <row r="2518" spans="1:8" x14ac:dyDescent="0.25">
      <c r="A2518" s="115">
        <v>5332</v>
      </c>
      <c r="B2518" s="115" t="s">
        <v>128</v>
      </c>
      <c r="C2518" s="115" t="s">
        <v>6270</v>
      </c>
      <c r="D2518" s="115">
        <v>1</v>
      </c>
      <c r="E2518" s="115" t="s">
        <v>6271</v>
      </c>
      <c r="F2518" s="115" t="s">
        <v>6272</v>
      </c>
      <c r="G2518" s="115" t="s">
        <v>6273</v>
      </c>
      <c r="H2518" s="115" t="s">
        <v>6274</v>
      </c>
    </row>
    <row r="2519" spans="1:8" x14ac:dyDescent="0.25">
      <c r="A2519" s="115">
        <v>5331</v>
      </c>
      <c r="B2519" s="115" t="s">
        <v>128</v>
      </c>
      <c r="C2519" s="115" t="s">
        <v>6275</v>
      </c>
      <c r="D2519" s="115">
        <v>1</v>
      </c>
      <c r="E2519" s="115" t="s">
        <v>6276</v>
      </c>
      <c r="F2519" s="115" t="s">
        <v>6277</v>
      </c>
      <c r="G2519" s="115" t="s">
        <v>6278</v>
      </c>
      <c r="H2519" s="115" t="s">
        <v>6279</v>
      </c>
    </row>
    <row r="2520" spans="1:8" x14ac:dyDescent="0.25">
      <c r="A2520" s="115">
        <v>5330</v>
      </c>
      <c r="B2520" s="115" t="s">
        <v>128</v>
      </c>
      <c r="C2520" s="115" t="s">
        <v>6280</v>
      </c>
      <c r="D2520" s="115">
        <v>1</v>
      </c>
      <c r="E2520" s="115" t="s">
        <v>6281</v>
      </c>
      <c r="F2520" s="115" t="s">
        <v>6282</v>
      </c>
      <c r="G2520" s="115" t="s">
        <v>6283</v>
      </c>
      <c r="H2520" s="115" t="s">
        <v>6284</v>
      </c>
    </row>
    <row r="2521" spans="1:8" x14ac:dyDescent="0.25">
      <c r="A2521" s="115">
        <v>5329</v>
      </c>
      <c r="B2521" s="115" t="s">
        <v>128</v>
      </c>
      <c r="C2521" s="115" t="s">
        <v>6285</v>
      </c>
      <c r="D2521" s="115">
        <v>1</v>
      </c>
      <c r="E2521" s="115" t="s">
        <v>6286</v>
      </c>
      <c r="F2521" s="115" t="s">
        <v>6287</v>
      </c>
      <c r="G2521" s="115" t="s">
        <v>6288</v>
      </c>
      <c r="H2521" s="115" t="s">
        <v>6289</v>
      </c>
    </row>
    <row r="2522" spans="1:8" x14ac:dyDescent="0.25">
      <c r="A2522" s="115">
        <v>5328</v>
      </c>
      <c r="B2522" s="115" t="s">
        <v>128</v>
      </c>
      <c r="C2522" s="115" t="s">
        <v>6290</v>
      </c>
      <c r="D2522" s="115">
        <v>1</v>
      </c>
      <c r="E2522" s="115" t="s">
        <v>6291</v>
      </c>
      <c r="F2522" s="115" t="s">
        <v>6292</v>
      </c>
      <c r="G2522" s="115" t="s">
        <v>6293</v>
      </c>
      <c r="H2522" s="115" t="s">
        <v>6294</v>
      </c>
    </row>
    <row r="2523" spans="1:8" x14ac:dyDescent="0.25">
      <c r="A2523" s="115">
        <v>5327</v>
      </c>
      <c r="B2523" s="115" t="s">
        <v>128</v>
      </c>
      <c r="C2523" s="115" t="s">
        <v>6295</v>
      </c>
      <c r="D2523" s="115">
        <v>1</v>
      </c>
      <c r="E2523" s="115" t="s">
        <v>6296</v>
      </c>
      <c r="F2523" s="115" t="s">
        <v>6297</v>
      </c>
      <c r="G2523" s="115" t="s">
        <v>6298</v>
      </c>
      <c r="H2523" s="115" t="s">
        <v>6299</v>
      </c>
    </row>
    <row r="2524" spans="1:8" x14ac:dyDescent="0.25">
      <c r="A2524" s="115">
        <v>5326</v>
      </c>
      <c r="B2524" s="115" t="s">
        <v>128</v>
      </c>
      <c r="C2524" s="115" t="s">
        <v>6300</v>
      </c>
      <c r="D2524" s="115">
        <v>1</v>
      </c>
      <c r="E2524" s="115" t="s">
        <v>6301</v>
      </c>
      <c r="F2524" s="115" t="s">
        <v>6302</v>
      </c>
      <c r="G2524" s="115" t="s">
        <v>6303</v>
      </c>
      <c r="H2524" s="115" t="s">
        <v>6304</v>
      </c>
    </row>
    <row r="2525" spans="1:8" x14ac:dyDescent="0.25">
      <c r="A2525" s="115">
        <v>5325</v>
      </c>
      <c r="B2525" s="115" t="s">
        <v>128</v>
      </c>
      <c r="C2525" s="115" t="s">
        <v>6305</v>
      </c>
      <c r="D2525" s="115">
        <v>1</v>
      </c>
      <c r="E2525" s="115" t="s">
        <v>6306</v>
      </c>
      <c r="F2525" s="115" t="s">
        <v>6307</v>
      </c>
      <c r="G2525" s="115" t="s">
        <v>6308</v>
      </c>
      <c r="H2525" s="115" t="s">
        <v>6309</v>
      </c>
    </row>
    <row r="2526" spans="1:8" x14ac:dyDescent="0.25">
      <c r="A2526" s="115">
        <v>5324</v>
      </c>
      <c r="B2526" s="115" t="s">
        <v>128</v>
      </c>
      <c r="C2526" s="115" t="s">
        <v>6310</v>
      </c>
      <c r="D2526" s="115">
        <v>1</v>
      </c>
      <c r="E2526" s="115" t="s">
        <v>6311</v>
      </c>
      <c r="F2526" s="115" t="s">
        <v>6312</v>
      </c>
      <c r="G2526" s="115" t="s">
        <v>6313</v>
      </c>
      <c r="H2526" s="115" t="s">
        <v>6314</v>
      </c>
    </row>
    <row r="2527" spans="1:8" x14ac:dyDescent="0.25">
      <c r="A2527" s="115">
        <v>5323</v>
      </c>
      <c r="B2527" s="115" t="s">
        <v>128</v>
      </c>
      <c r="C2527" s="115" t="s">
        <v>6315</v>
      </c>
      <c r="D2527" s="115">
        <v>1</v>
      </c>
      <c r="E2527" s="115" t="s">
        <v>6316</v>
      </c>
      <c r="F2527" s="115" t="s">
        <v>6317</v>
      </c>
      <c r="G2527" s="115" t="s">
        <v>6318</v>
      </c>
      <c r="H2527" s="115" t="s">
        <v>6319</v>
      </c>
    </row>
    <row r="2528" spans="1:8" x14ac:dyDescent="0.25">
      <c r="A2528" s="115">
        <v>5322</v>
      </c>
      <c r="B2528" s="115" t="s">
        <v>128</v>
      </c>
      <c r="C2528" s="115" t="s">
        <v>6320</v>
      </c>
      <c r="D2528" s="115">
        <v>1</v>
      </c>
      <c r="E2528" s="115" t="s">
        <v>6321</v>
      </c>
      <c r="F2528" s="115" t="s">
        <v>6322</v>
      </c>
      <c r="G2528" s="115" t="s">
        <v>6323</v>
      </c>
      <c r="H2528" s="115" t="s">
        <v>6324</v>
      </c>
    </row>
    <row r="2529" spans="1:8" ht="30" x14ac:dyDescent="0.25">
      <c r="A2529" s="115">
        <v>5321</v>
      </c>
      <c r="B2529" s="115" t="s">
        <v>128</v>
      </c>
      <c r="C2529" s="115" t="s">
        <v>6325</v>
      </c>
      <c r="D2529" s="115">
        <v>1</v>
      </c>
      <c r="E2529" s="115" t="s">
        <v>2365</v>
      </c>
      <c r="F2529" s="115" t="s">
        <v>2366</v>
      </c>
      <c r="G2529" s="115" t="s">
        <v>6326</v>
      </c>
      <c r="H2529" s="115" t="s">
        <v>2367</v>
      </c>
    </row>
    <row r="2530" spans="1:8" ht="45" x14ac:dyDescent="0.25">
      <c r="A2530" s="115">
        <v>5320</v>
      </c>
      <c r="B2530" s="115" t="s">
        <v>128</v>
      </c>
      <c r="C2530" s="115" t="s">
        <v>6327</v>
      </c>
      <c r="D2530" s="115">
        <v>1</v>
      </c>
      <c r="E2530" s="115" t="s">
        <v>6328</v>
      </c>
      <c r="F2530" s="115" t="s">
        <v>6329</v>
      </c>
      <c r="G2530" s="115" t="s">
        <v>6330</v>
      </c>
      <c r="H2530" s="115" t="s">
        <v>6331</v>
      </c>
    </row>
    <row r="2531" spans="1:8" x14ac:dyDescent="0.25">
      <c r="A2531" s="115">
        <v>5319</v>
      </c>
      <c r="B2531" s="115" t="s">
        <v>128</v>
      </c>
      <c r="C2531" s="115" t="s">
        <v>6332</v>
      </c>
      <c r="D2531" s="115">
        <v>1</v>
      </c>
      <c r="E2531" s="115" t="s">
        <v>6333</v>
      </c>
      <c r="F2531" s="115" t="s">
        <v>6334</v>
      </c>
      <c r="G2531" s="115" t="s">
        <v>6335</v>
      </c>
      <c r="H2531" s="115" t="s">
        <v>6336</v>
      </c>
    </row>
    <row r="2532" spans="1:8" x14ac:dyDescent="0.25">
      <c r="A2532" s="115">
        <v>5318</v>
      </c>
      <c r="B2532" s="115" t="s">
        <v>128</v>
      </c>
      <c r="C2532" s="115" t="s">
        <v>6337</v>
      </c>
      <c r="D2532" s="115">
        <v>1</v>
      </c>
      <c r="E2532" s="115" t="s">
        <v>6338</v>
      </c>
      <c r="F2532" s="115" t="s">
        <v>6339</v>
      </c>
      <c r="G2532" s="115" t="s">
        <v>6340</v>
      </c>
      <c r="H2532" s="115" t="s">
        <v>6341</v>
      </c>
    </row>
    <row r="2533" spans="1:8" x14ac:dyDescent="0.25">
      <c r="A2533" s="115">
        <v>5317</v>
      </c>
      <c r="B2533" s="115" t="s">
        <v>128</v>
      </c>
      <c r="C2533" s="115" t="s">
        <v>6342</v>
      </c>
      <c r="D2533" s="115">
        <v>1</v>
      </c>
      <c r="E2533" s="115" t="s">
        <v>6343</v>
      </c>
      <c r="F2533" s="115" t="s">
        <v>6344</v>
      </c>
      <c r="G2533" s="115" t="s">
        <v>6345</v>
      </c>
      <c r="H2533" s="115" t="s">
        <v>6346</v>
      </c>
    </row>
    <row r="2534" spans="1:8" x14ac:dyDescent="0.25">
      <c r="A2534" s="115">
        <v>5316</v>
      </c>
      <c r="B2534" s="115" t="s">
        <v>128</v>
      </c>
      <c r="C2534" s="115" t="s">
        <v>6347</v>
      </c>
      <c r="D2534" s="115">
        <v>1</v>
      </c>
      <c r="E2534" s="115" t="s">
        <v>6348</v>
      </c>
      <c r="F2534" s="115" t="s">
        <v>6349</v>
      </c>
      <c r="G2534" s="115" t="s">
        <v>6350</v>
      </c>
      <c r="H2534" s="115" t="s">
        <v>6351</v>
      </c>
    </row>
    <row r="2535" spans="1:8" ht="30" x14ac:dyDescent="0.25">
      <c r="A2535" s="115">
        <v>5315</v>
      </c>
      <c r="B2535" s="115" t="s">
        <v>128</v>
      </c>
      <c r="C2535" s="115" t="s">
        <v>6352</v>
      </c>
      <c r="D2535" s="115">
        <v>1</v>
      </c>
      <c r="E2535" s="115" t="s">
        <v>6353</v>
      </c>
      <c r="F2535" s="115" t="s">
        <v>6354</v>
      </c>
      <c r="G2535" s="115" t="s">
        <v>6355</v>
      </c>
      <c r="H2535" s="115" t="s">
        <v>6356</v>
      </c>
    </row>
    <row r="2536" spans="1:8" x14ac:dyDescent="0.25">
      <c r="A2536" s="115">
        <v>5314</v>
      </c>
      <c r="B2536" s="115" t="s">
        <v>128</v>
      </c>
      <c r="C2536" s="115" t="s">
        <v>6357</v>
      </c>
      <c r="D2536" s="115">
        <v>1</v>
      </c>
      <c r="E2536" s="115" t="s">
        <v>6358</v>
      </c>
      <c r="F2536" s="115" t="s">
        <v>2928</v>
      </c>
      <c r="G2536" s="115" t="s">
        <v>6359</v>
      </c>
      <c r="H2536" s="115" t="s">
        <v>6360</v>
      </c>
    </row>
    <row r="2537" spans="1:8" x14ac:dyDescent="0.25">
      <c r="A2537" s="115">
        <v>5313</v>
      </c>
      <c r="B2537" s="115" t="s">
        <v>128</v>
      </c>
      <c r="C2537" s="115" t="s">
        <v>6361</v>
      </c>
      <c r="D2537" s="115">
        <v>1</v>
      </c>
      <c r="E2537" s="115" t="s">
        <v>548</v>
      </c>
      <c r="F2537" s="115" t="s">
        <v>549</v>
      </c>
      <c r="G2537" s="115" t="s">
        <v>6362</v>
      </c>
      <c r="H2537" s="115" t="s">
        <v>6363</v>
      </c>
    </row>
    <row r="2538" spans="1:8" x14ac:dyDescent="0.25">
      <c r="A2538" s="115">
        <v>5312</v>
      </c>
      <c r="B2538" s="115" t="s">
        <v>128</v>
      </c>
      <c r="C2538" s="115" t="s">
        <v>6364</v>
      </c>
      <c r="D2538" s="115">
        <v>1</v>
      </c>
      <c r="E2538" s="115" t="s">
        <v>6365</v>
      </c>
      <c r="F2538" s="115" t="s">
        <v>6366</v>
      </c>
      <c r="G2538" s="115" t="s">
        <v>6367</v>
      </c>
      <c r="H2538" s="115" t="s">
        <v>6368</v>
      </c>
    </row>
    <row r="2539" spans="1:8" x14ac:dyDescent="0.25">
      <c r="A2539" s="115">
        <v>5311</v>
      </c>
      <c r="B2539" s="115" t="s">
        <v>128</v>
      </c>
      <c r="C2539" s="115" t="s">
        <v>6369</v>
      </c>
      <c r="D2539" s="115">
        <v>1</v>
      </c>
      <c r="E2539" s="115" t="s">
        <v>6370</v>
      </c>
      <c r="F2539" s="115" t="s">
        <v>6371</v>
      </c>
      <c r="G2539" s="115" t="s">
        <v>6372</v>
      </c>
      <c r="H2539" s="115" t="s">
        <v>6373</v>
      </c>
    </row>
    <row r="2540" spans="1:8" x14ac:dyDescent="0.25">
      <c r="A2540" s="115">
        <v>5310</v>
      </c>
      <c r="B2540" s="115" t="s">
        <v>128</v>
      </c>
      <c r="C2540" s="115" t="s">
        <v>6374</v>
      </c>
      <c r="D2540" s="115">
        <v>1</v>
      </c>
      <c r="E2540" s="115" t="s">
        <v>6375</v>
      </c>
      <c r="F2540" s="115" t="s">
        <v>6376</v>
      </c>
      <c r="G2540" s="115" t="s">
        <v>6377</v>
      </c>
      <c r="H2540" s="115" t="s">
        <v>6378</v>
      </c>
    </row>
    <row r="2541" spans="1:8" x14ac:dyDescent="0.25">
      <c r="A2541" s="115">
        <v>5309</v>
      </c>
      <c r="B2541" s="115" t="s">
        <v>128</v>
      </c>
      <c r="C2541" s="115" t="s">
        <v>6379</v>
      </c>
      <c r="D2541" s="115">
        <v>1</v>
      </c>
      <c r="E2541" s="115" t="s">
        <v>6380</v>
      </c>
      <c r="F2541" s="115" t="s">
        <v>6381</v>
      </c>
      <c r="G2541" s="115" t="s">
        <v>6382</v>
      </c>
      <c r="H2541" s="115" t="s">
        <v>6383</v>
      </c>
    </row>
    <row r="2542" spans="1:8" ht="30" x14ac:dyDescent="0.25">
      <c r="A2542" s="115">
        <v>5308</v>
      </c>
      <c r="B2542" s="115" t="s">
        <v>128</v>
      </c>
      <c r="C2542" s="115" t="s">
        <v>6384</v>
      </c>
      <c r="D2542" s="115">
        <v>1</v>
      </c>
      <c r="E2542" s="115" t="s">
        <v>693</v>
      </c>
      <c r="F2542" s="115" t="s">
        <v>694</v>
      </c>
      <c r="G2542" s="115" t="s">
        <v>6385</v>
      </c>
      <c r="H2542" s="115" t="s">
        <v>6386</v>
      </c>
    </row>
    <row r="2543" spans="1:8" x14ac:dyDescent="0.25">
      <c r="A2543" s="115">
        <v>5307</v>
      </c>
      <c r="B2543" s="115" t="s">
        <v>128</v>
      </c>
      <c r="C2543" s="115" t="s">
        <v>6387</v>
      </c>
      <c r="D2543" s="115">
        <v>1</v>
      </c>
      <c r="E2543" s="115" t="s">
        <v>6388</v>
      </c>
      <c r="F2543" s="115" t="s">
        <v>6389</v>
      </c>
      <c r="G2543" s="115" t="s">
        <v>6390</v>
      </c>
      <c r="H2543" s="115" t="s">
        <v>6391</v>
      </c>
    </row>
    <row r="2544" spans="1:8" x14ac:dyDescent="0.25">
      <c r="A2544" s="115">
        <v>5306</v>
      </c>
      <c r="B2544" s="115" t="s">
        <v>128</v>
      </c>
      <c r="C2544" s="115" t="s">
        <v>6392</v>
      </c>
      <c r="D2544" s="115">
        <v>1</v>
      </c>
      <c r="E2544" s="115" t="s">
        <v>6393</v>
      </c>
      <c r="F2544" s="115" t="s">
        <v>704</v>
      </c>
      <c r="G2544" s="115" t="s">
        <v>6394</v>
      </c>
      <c r="H2544" s="115" t="s">
        <v>6395</v>
      </c>
    </row>
    <row r="2545" spans="1:8" x14ac:dyDescent="0.25">
      <c r="A2545" s="115">
        <v>5305</v>
      </c>
      <c r="B2545" s="115" t="s">
        <v>128</v>
      </c>
      <c r="C2545" s="115" t="s">
        <v>6396</v>
      </c>
      <c r="D2545" s="115">
        <v>1</v>
      </c>
      <c r="E2545" s="115" t="s">
        <v>6397</v>
      </c>
      <c r="F2545" s="115" t="s">
        <v>6398</v>
      </c>
      <c r="G2545" s="115" t="s">
        <v>6399</v>
      </c>
      <c r="H2545" s="115" t="s">
        <v>6400</v>
      </c>
    </row>
    <row r="2546" spans="1:8" x14ac:dyDescent="0.25">
      <c r="A2546" s="115">
        <v>5304</v>
      </c>
      <c r="B2546" s="115" t="s">
        <v>128</v>
      </c>
      <c r="C2546" s="115" t="s">
        <v>6401</v>
      </c>
      <c r="D2546" s="115">
        <v>1</v>
      </c>
      <c r="E2546" s="115" t="s">
        <v>6402</v>
      </c>
      <c r="F2546" s="115" t="s">
        <v>6403</v>
      </c>
      <c r="G2546" s="115" t="s">
        <v>6404</v>
      </c>
      <c r="H2546" s="115" t="s">
        <v>6405</v>
      </c>
    </row>
    <row r="2547" spans="1:8" x14ac:dyDescent="0.25">
      <c r="A2547" s="115">
        <v>5303</v>
      </c>
      <c r="B2547" s="115" t="s">
        <v>128</v>
      </c>
      <c r="C2547" s="115" t="s">
        <v>6406</v>
      </c>
      <c r="D2547" s="115">
        <v>1</v>
      </c>
      <c r="E2547" s="115" t="s">
        <v>6407</v>
      </c>
      <c r="F2547" s="115" t="s">
        <v>6408</v>
      </c>
      <c r="G2547" s="115" t="s">
        <v>6409</v>
      </c>
      <c r="H2547" s="115" t="s">
        <v>6410</v>
      </c>
    </row>
    <row r="2548" spans="1:8" x14ac:dyDescent="0.25">
      <c r="A2548" s="115">
        <v>5302</v>
      </c>
      <c r="B2548" s="115" t="s">
        <v>128</v>
      </c>
      <c r="C2548" s="115" t="s">
        <v>6411</v>
      </c>
      <c r="D2548" s="115">
        <v>1</v>
      </c>
      <c r="E2548" s="115" t="s">
        <v>6412</v>
      </c>
      <c r="F2548" s="115" t="s">
        <v>6413</v>
      </c>
      <c r="G2548" s="115" t="s">
        <v>6414</v>
      </c>
      <c r="H2548" s="115" t="s">
        <v>6415</v>
      </c>
    </row>
    <row r="2549" spans="1:8" x14ac:dyDescent="0.25">
      <c r="A2549" s="115">
        <v>5301</v>
      </c>
      <c r="B2549" s="115" t="s">
        <v>128</v>
      </c>
      <c r="C2549" s="115" t="s">
        <v>6416</v>
      </c>
      <c r="D2549" s="115">
        <v>1</v>
      </c>
      <c r="E2549" s="115" t="s">
        <v>6417</v>
      </c>
      <c r="F2549" s="115" t="s">
        <v>6418</v>
      </c>
      <c r="G2549" s="115" t="s">
        <v>6419</v>
      </c>
      <c r="H2549" s="115" t="s">
        <v>6420</v>
      </c>
    </row>
    <row r="2550" spans="1:8" x14ac:dyDescent="0.25">
      <c r="A2550" s="115">
        <v>5300</v>
      </c>
      <c r="B2550" s="115" t="s">
        <v>128</v>
      </c>
      <c r="C2550" s="115" t="s">
        <v>6421</v>
      </c>
      <c r="D2550" s="115">
        <v>1</v>
      </c>
      <c r="E2550" s="115" t="s">
        <v>6422</v>
      </c>
      <c r="F2550" s="115" t="s">
        <v>6423</v>
      </c>
      <c r="G2550" s="115" t="s">
        <v>6424</v>
      </c>
      <c r="H2550" s="115" t="s">
        <v>6425</v>
      </c>
    </row>
    <row r="2551" spans="1:8" x14ac:dyDescent="0.25">
      <c r="A2551" s="115">
        <v>5299</v>
      </c>
      <c r="B2551" s="115" t="s">
        <v>128</v>
      </c>
      <c r="C2551" s="115" t="s">
        <v>6426</v>
      </c>
      <c r="D2551" s="115">
        <v>1</v>
      </c>
      <c r="E2551" s="115" t="s">
        <v>6427</v>
      </c>
      <c r="F2551" s="115" t="s">
        <v>6428</v>
      </c>
      <c r="G2551" s="115" t="s">
        <v>6429</v>
      </c>
      <c r="H2551" s="115" t="s">
        <v>6430</v>
      </c>
    </row>
    <row r="2552" spans="1:8" x14ac:dyDescent="0.25">
      <c r="A2552" s="115">
        <v>5298</v>
      </c>
      <c r="B2552" s="115" t="s">
        <v>128</v>
      </c>
      <c r="C2552" s="115" t="s">
        <v>6431</v>
      </c>
      <c r="D2552" s="115">
        <v>1</v>
      </c>
      <c r="E2552" s="115" t="s">
        <v>6432</v>
      </c>
      <c r="F2552" s="115" t="s">
        <v>6433</v>
      </c>
      <c r="G2552" s="115" t="s">
        <v>6434</v>
      </c>
      <c r="H2552" s="115" t="s">
        <v>6435</v>
      </c>
    </row>
    <row r="2553" spans="1:8" x14ac:dyDescent="0.25">
      <c r="A2553" s="115">
        <v>5297</v>
      </c>
      <c r="B2553" s="115" t="s">
        <v>128</v>
      </c>
      <c r="C2553" s="115" t="s">
        <v>6436</v>
      </c>
      <c r="D2553" s="115">
        <v>1</v>
      </c>
      <c r="E2553" s="115" t="s">
        <v>6437</v>
      </c>
      <c r="F2553" s="115" t="s">
        <v>6438</v>
      </c>
      <c r="G2553" s="115" t="s">
        <v>6439</v>
      </c>
      <c r="H2553" s="115" t="s">
        <v>6440</v>
      </c>
    </row>
    <row r="2554" spans="1:8" x14ac:dyDescent="0.25">
      <c r="A2554" s="115">
        <v>5296</v>
      </c>
      <c r="B2554" s="115" t="s">
        <v>128</v>
      </c>
      <c r="C2554" s="115" t="s">
        <v>6441</v>
      </c>
      <c r="D2554" s="115">
        <v>1</v>
      </c>
      <c r="E2554" s="115" t="s">
        <v>6442</v>
      </c>
      <c r="F2554" s="115" t="s">
        <v>6443</v>
      </c>
      <c r="G2554" s="115" t="s">
        <v>6444</v>
      </c>
      <c r="H2554" s="115" t="s">
        <v>6445</v>
      </c>
    </row>
    <row r="2555" spans="1:8" x14ac:dyDescent="0.25">
      <c r="A2555" s="115">
        <v>5295</v>
      </c>
      <c r="B2555" s="115" t="s">
        <v>128</v>
      </c>
      <c r="C2555" s="115" t="s">
        <v>6446</v>
      </c>
      <c r="D2555" s="115">
        <v>1</v>
      </c>
      <c r="E2555" s="115" t="s">
        <v>6447</v>
      </c>
      <c r="F2555" s="115" t="s">
        <v>6448</v>
      </c>
      <c r="G2555" s="115" t="s">
        <v>6449</v>
      </c>
      <c r="H2555" s="115" t="s">
        <v>6450</v>
      </c>
    </row>
    <row r="2556" spans="1:8" x14ac:dyDescent="0.25">
      <c r="A2556" s="115">
        <v>5294</v>
      </c>
      <c r="B2556" s="115" t="s">
        <v>128</v>
      </c>
      <c r="C2556" s="115" t="s">
        <v>6451</v>
      </c>
      <c r="D2556" s="115">
        <v>1</v>
      </c>
      <c r="E2556" s="115" t="s">
        <v>6452</v>
      </c>
      <c r="F2556" s="115" t="s">
        <v>6453</v>
      </c>
      <c r="G2556" s="115" t="s">
        <v>6454</v>
      </c>
      <c r="H2556" s="115" t="s">
        <v>6455</v>
      </c>
    </row>
    <row r="2557" spans="1:8" x14ac:dyDescent="0.25">
      <c r="A2557" s="115">
        <v>5293</v>
      </c>
      <c r="B2557" s="115" t="s">
        <v>128</v>
      </c>
      <c r="C2557" s="115" t="s">
        <v>6456</v>
      </c>
      <c r="D2557" s="115">
        <v>1</v>
      </c>
      <c r="E2557" s="115" t="s">
        <v>6457</v>
      </c>
      <c r="F2557" s="115" t="s">
        <v>6458</v>
      </c>
      <c r="G2557" s="115" t="s">
        <v>6459</v>
      </c>
      <c r="H2557" s="115" t="s">
        <v>6460</v>
      </c>
    </row>
    <row r="2558" spans="1:8" x14ac:dyDescent="0.25">
      <c r="A2558" s="115">
        <v>5292</v>
      </c>
      <c r="B2558" s="115" t="s">
        <v>128</v>
      </c>
      <c r="C2558" s="115" t="s">
        <v>6461</v>
      </c>
      <c r="D2558" s="115">
        <v>1</v>
      </c>
      <c r="E2558" s="115" t="s">
        <v>6462</v>
      </c>
      <c r="F2558" s="115" t="s">
        <v>6463</v>
      </c>
      <c r="G2558" s="115" t="s">
        <v>6464</v>
      </c>
      <c r="H2558" s="115" t="s">
        <v>6465</v>
      </c>
    </row>
    <row r="2559" spans="1:8" x14ac:dyDescent="0.25">
      <c r="A2559" s="115">
        <v>5291</v>
      </c>
      <c r="B2559" s="115" t="s">
        <v>128</v>
      </c>
      <c r="C2559" s="115" t="s">
        <v>6466</v>
      </c>
      <c r="D2559" s="115">
        <v>1</v>
      </c>
      <c r="E2559" s="115" t="s">
        <v>6467</v>
      </c>
      <c r="F2559" s="115" t="s">
        <v>6468</v>
      </c>
      <c r="G2559" s="115" t="s">
        <v>6469</v>
      </c>
      <c r="H2559" s="115" t="s">
        <v>6470</v>
      </c>
    </row>
    <row r="2560" spans="1:8" ht="30" x14ac:dyDescent="0.25">
      <c r="A2560" s="115">
        <v>5290</v>
      </c>
      <c r="B2560" s="115" t="s">
        <v>128</v>
      </c>
      <c r="C2560" s="115" t="s">
        <v>6471</v>
      </c>
      <c r="D2560" s="115">
        <v>1</v>
      </c>
      <c r="E2560" s="115" t="s">
        <v>6472</v>
      </c>
      <c r="F2560" s="115" t="s">
        <v>6473</v>
      </c>
      <c r="G2560" s="115" t="s">
        <v>6474</v>
      </c>
      <c r="H2560" s="115" t="s">
        <v>6475</v>
      </c>
    </row>
    <row r="2561" spans="1:8" x14ac:dyDescent="0.25">
      <c r="A2561" s="115">
        <v>5289</v>
      </c>
      <c r="B2561" s="115" t="s">
        <v>128</v>
      </c>
      <c r="C2561" s="115" t="s">
        <v>6476</v>
      </c>
      <c r="D2561" s="115">
        <v>1</v>
      </c>
      <c r="E2561" s="115" t="s">
        <v>6477</v>
      </c>
      <c r="F2561" s="115" t="s">
        <v>6478</v>
      </c>
      <c r="G2561" s="115" t="s">
        <v>6479</v>
      </c>
      <c r="H2561" s="115" t="s">
        <v>6480</v>
      </c>
    </row>
    <row r="2562" spans="1:8" x14ac:dyDescent="0.25">
      <c r="A2562" s="115">
        <v>5288</v>
      </c>
      <c r="B2562" s="115" t="s">
        <v>128</v>
      </c>
      <c r="C2562" s="115" t="s">
        <v>6481</v>
      </c>
      <c r="D2562" s="115">
        <v>1</v>
      </c>
      <c r="E2562" s="115" t="s">
        <v>998</v>
      </c>
      <c r="F2562" s="115" t="s">
        <v>999</v>
      </c>
      <c r="G2562" s="115" t="s">
        <v>6482</v>
      </c>
      <c r="H2562" s="115" t="s">
        <v>1000</v>
      </c>
    </row>
    <row r="2563" spans="1:8" x14ac:dyDescent="0.25">
      <c r="A2563" s="115">
        <v>5287</v>
      </c>
      <c r="B2563" s="115" t="s">
        <v>128</v>
      </c>
      <c r="C2563" s="115" t="s">
        <v>6483</v>
      </c>
      <c r="D2563" s="115">
        <v>1</v>
      </c>
      <c r="E2563" s="115" t="s">
        <v>6484</v>
      </c>
      <c r="F2563" s="115" t="s">
        <v>6485</v>
      </c>
      <c r="G2563" s="115" t="s">
        <v>6486</v>
      </c>
      <c r="H2563" s="115" t="s">
        <v>6487</v>
      </c>
    </row>
    <row r="2564" spans="1:8" x14ac:dyDescent="0.25">
      <c r="A2564" s="115">
        <v>5286</v>
      </c>
      <c r="B2564" s="115" t="s">
        <v>128</v>
      </c>
      <c r="C2564" s="115" t="s">
        <v>6488</v>
      </c>
      <c r="D2564" s="115">
        <v>1</v>
      </c>
      <c r="E2564" s="115" t="s">
        <v>528</v>
      </c>
      <c r="F2564" s="115" t="s">
        <v>529</v>
      </c>
      <c r="G2564" s="115" t="s">
        <v>4027</v>
      </c>
      <c r="H2564" s="115" t="s">
        <v>530</v>
      </c>
    </row>
    <row r="2565" spans="1:8" x14ac:dyDescent="0.25">
      <c r="A2565" s="115">
        <v>5285</v>
      </c>
      <c r="B2565" s="115" t="s">
        <v>128</v>
      </c>
      <c r="C2565" s="115" t="s">
        <v>6489</v>
      </c>
      <c r="D2565" s="115">
        <v>1</v>
      </c>
      <c r="E2565" s="115" t="s">
        <v>6490</v>
      </c>
      <c r="F2565" s="115" t="s">
        <v>6491</v>
      </c>
      <c r="G2565" s="115" t="s">
        <v>6492</v>
      </c>
      <c r="H2565" s="115" t="s">
        <v>6493</v>
      </c>
    </row>
    <row r="2566" spans="1:8" x14ac:dyDescent="0.25">
      <c r="A2566" s="115">
        <v>5284</v>
      </c>
      <c r="B2566" s="115" t="s">
        <v>128</v>
      </c>
      <c r="C2566" s="115" t="s">
        <v>6494</v>
      </c>
      <c r="D2566" s="115">
        <v>1</v>
      </c>
      <c r="E2566" s="115" t="s">
        <v>6495</v>
      </c>
      <c r="F2566" s="115" t="s">
        <v>6496</v>
      </c>
      <c r="G2566" s="115" t="s">
        <v>6497</v>
      </c>
      <c r="H2566" s="115" t="s">
        <v>6498</v>
      </c>
    </row>
    <row r="2567" spans="1:8" x14ac:dyDescent="0.25">
      <c r="A2567" s="115">
        <v>5283</v>
      </c>
      <c r="B2567" s="115" t="s">
        <v>128</v>
      </c>
      <c r="C2567" s="115" t="s">
        <v>6499</v>
      </c>
      <c r="D2567" s="115">
        <v>1</v>
      </c>
      <c r="E2567" s="115" t="s">
        <v>966</v>
      </c>
      <c r="F2567" s="115" t="s">
        <v>967</v>
      </c>
      <c r="G2567" s="115" t="s">
        <v>6500</v>
      </c>
      <c r="H2567" s="115" t="s">
        <v>968</v>
      </c>
    </row>
    <row r="2568" spans="1:8" x14ac:dyDescent="0.25">
      <c r="A2568" s="115">
        <v>5282</v>
      </c>
      <c r="B2568" s="115" t="s">
        <v>128</v>
      </c>
      <c r="C2568" s="115" t="s">
        <v>6501</v>
      </c>
      <c r="D2568" s="115">
        <v>1</v>
      </c>
      <c r="E2568" s="115" t="s">
        <v>6502</v>
      </c>
      <c r="F2568" s="115" t="s">
        <v>6503</v>
      </c>
      <c r="G2568" s="115" t="s">
        <v>6504</v>
      </c>
      <c r="H2568" s="115" t="s">
        <v>6505</v>
      </c>
    </row>
    <row r="2569" spans="1:8" x14ac:dyDescent="0.25">
      <c r="A2569" s="115">
        <v>5281</v>
      </c>
      <c r="B2569" s="115" t="s">
        <v>128</v>
      </c>
      <c r="C2569" s="115" t="s">
        <v>6506</v>
      </c>
      <c r="D2569" s="115">
        <v>1</v>
      </c>
      <c r="E2569" s="115" t="s">
        <v>4014</v>
      </c>
      <c r="F2569" s="115" t="s">
        <v>4015</v>
      </c>
      <c r="G2569" s="115" t="s">
        <v>4016</v>
      </c>
      <c r="H2569" s="115" t="s">
        <v>6507</v>
      </c>
    </row>
    <row r="2570" spans="1:8" ht="30" x14ac:dyDescent="0.25">
      <c r="A2570" s="115">
        <v>5280</v>
      </c>
      <c r="B2570" s="115" t="s">
        <v>128</v>
      </c>
      <c r="C2570" s="115" t="s">
        <v>6508</v>
      </c>
      <c r="D2570" s="115">
        <v>1</v>
      </c>
      <c r="E2570" s="115" t="s">
        <v>6509</v>
      </c>
      <c r="F2570" s="115" t="s">
        <v>6510</v>
      </c>
      <c r="G2570" s="115" t="s">
        <v>6511</v>
      </c>
      <c r="H2570" s="115" t="s">
        <v>6512</v>
      </c>
    </row>
    <row r="2571" spans="1:8" x14ac:dyDescent="0.25">
      <c r="A2571" s="115">
        <v>5279</v>
      </c>
      <c r="B2571" s="115" t="s">
        <v>128</v>
      </c>
      <c r="C2571" s="115" t="s">
        <v>6513</v>
      </c>
      <c r="D2571" s="115">
        <v>1</v>
      </c>
      <c r="E2571" s="115" t="s">
        <v>6514</v>
      </c>
      <c r="F2571" s="115" t="s">
        <v>6515</v>
      </c>
      <c r="G2571" s="115" t="s">
        <v>6516</v>
      </c>
      <c r="H2571" s="115" t="s">
        <v>6517</v>
      </c>
    </row>
    <row r="2572" spans="1:8" x14ac:dyDescent="0.25">
      <c r="A2572" s="115">
        <v>5278</v>
      </c>
      <c r="B2572" s="115" t="s">
        <v>128</v>
      </c>
      <c r="C2572" s="115" t="s">
        <v>6518</v>
      </c>
      <c r="D2572" s="115">
        <v>1</v>
      </c>
      <c r="E2572" s="115" t="s">
        <v>4072</v>
      </c>
      <c r="F2572" s="115" t="s">
        <v>4073</v>
      </c>
      <c r="G2572" s="115" t="s">
        <v>4074</v>
      </c>
      <c r="H2572" s="115" t="s">
        <v>4075</v>
      </c>
    </row>
    <row r="2573" spans="1:8" x14ac:dyDescent="0.25">
      <c r="A2573" s="115">
        <v>5277</v>
      </c>
      <c r="B2573" s="115" t="s">
        <v>128</v>
      </c>
      <c r="C2573" s="115" t="s">
        <v>6519</v>
      </c>
      <c r="D2573" s="115">
        <v>1</v>
      </c>
      <c r="E2573" s="115" t="s">
        <v>6520</v>
      </c>
      <c r="F2573" s="115" t="s">
        <v>6521</v>
      </c>
      <c r="G2573" s="115" t="s">
        <v>6522</v>
      </c>
      <c r="H2573" s="115" t="s">
        <v>6523</v>
      </c>
    </row>
    <row r="2574" spans="1:8" x14ac:dyDescent="0.25">
      <c r="A2574" s="115">
        <v>5276</v>
      </c>
      <c r="B2574" s="115" t="s">
        <v>128</v>
      </c>
      <c r="C2574" s="115" t="s">
        <v>6524</v>
      </c>
      <c r="D2574" s="115">
        <v>1</v>
      </c>
      <c r="E2574" s="115" t="s">
        <v>6525</v>
      </c>
      <c r="F2574" s="115" t="s">
        <v>6526</v>
      </c>
      <c r="G2574" s="115" t="s">
        <v>6527</v>
      </c>
      <c r="H2574" s="115" t="s">
        <v>6528</v>
      </c>
    </row>
    <row r="2575" spans="1:8" ht="30" x14ac:dyDescent="0.25">
      <c r="A2575" s="115">
        <v>5275</v>
      </c>
      <c r="B2575" s="115" t="s">
        <v>128</v>
      </c>
      <c r="C2575" s="115" t="s">
        <v>6529</v>
      </c>
      <c r="D2575" s="115">
        <v>1</v>
      </c>
      <c r="E2575" s="115" t="s">
        <v>6530</v>
      </c>
      <c r="F2575" s="115" t="s">
        <v>6531</v>
      </c>
      <c r="G2575" s="115" t="s">
        <v>6532</v>
      </c>
      <c r="H2575" s="115" t="s">
        <v>6533</v>
      </c>
    </row>
    <row r="2576" spans="1:8" x14ac:dyDescent="0.25">
      <c r="A2576" s="115">
        <v>5274</v>
      </c>
      <c r="B2576" s="115" t="s">
        <v>128</v>
      </c>
      <c r="C2576" s="115" t="s">
        <v>6534</v>
      </c>
      <c r="D2576" s="115">
        <v>1</v>
      </c>
      <c r="E2576" s="115" t="s">
        <v>1033</v>
      </c>
      <c r="F2576" s="115" t="s">
        <v>1034</v>
      </c>
      <c r="G2576" s="115" t="s">
        <v>3977</v>
      </c>
      <c r="H2576" s="115" t="s">
        <v>1035</v>
      </c>
    </row>
    <row r="2577" spans="1:8" ht="30" x14ac:dyDescent="0.25">
      <c r="A2577" s="115">
        <v>5273</v>
      </c>
      <c r="B2577" s="115" t="s">
        <v>128</v>
      </c>
      <c r="C2577" s="115" t="s">
        <v>6535</v>
      </c>
      <c r="D2577" s="115">
        <v>1</v>
      </c>
      <c r="E2577" s="115" t="s">
        <v>6536</v>
      </c>
      <c r="F2577" s="115" t="s">
        <v>6537</v>
      </c>
      <c r="G2577" s="115" t="s">
        <v>6538</v>
      </c>
      <c r="H2577" s="115" t="s">
        <v>6539</v>
      </c>
    </row>
    <row r="2578" spans="1:8" x14ac:dyDescent="0.25">
      <c r="A2578" s="115">
        <v>5272</v>
      </c>
      <c r="B2578" s="115" t="s">
        <v>128</v>
      </c>
      <c r="C2578" s="115" t="s">
        <v>6540</v>
      </c>
      <c r="D2578" s="115">
        <v>1</v>
      </c>
      <c r="E2578" s="115" t="s">
        <v>532</v>
      </c>
      <c r="F2578" s="115" t="s">
        <v>533</v>
      </c>
      <c r="G2578" s="115" t="s">
        <v>6541</v>
      </c>
      <c r="H2578" s="115" t="s">
        <v>534</v>
      </c>
    </row>
    <row r="2579" spans="1:8" x14ac:dyDescent="0.25">
      <c r="A2579" s="115">
        <v>5271</v>
      </c>
      <c r="B2579" s="115" t="s">
        <v>128</v>
      </c>
      <c r="C2579" s="115" t="s">
        <v>6542</v>
      </c>
      <c r="D2579" s="115">
        <v>1</v>
      </c>
      <c r="E2579" s="115" t="s">
        <v>6543</v>
      </c>
      <c r="F2579" s="115" t="s">
        <v>6544</v>
      </c>
      <c r="G2579" s="115" t="s">
        <v>6545</v>
      </c>
      <c r="H2579" s="115" t="s">
        <v>6546</v>
      </c>
    </row>
    <row r="2580" spans="1:8" x14ac:dyDescent="0.25">
      <c r="A2580" s="115">
        <v>5270</v>
      </c>
      <c r="B2580" s="115" t="s">
        <v>128</v>
      </c>
      <c r="C2580" s="115" t="s">
        <v>6547</v>
      </c>
      <c r="D2580" s="115">
        <v>1</v>
      </c>
      <c r="E2580" s="115" t="s">
        <v>6548</v>
      </c>
      <c r="F2580" s="115" t="s">
        <v>6549</v>
      </c>
      <c r="G2580" s="115" t="s">
        <v>6550</v>
      </c>
      <c r="H2580" s="115" t="s">
        <v>6551</v>
      </c>
    </row>
    <row r="2581" spans="1:8" x14ac:dyDescent="0.25">
      <c r="A2581" s="115">
        <v>5269</v>
      </c>
      <c r="B2581" s="115" t="s">
        <v>128</v>
      </c>
      <c r="C2581" s="115" t="s">
        <v>6552</v>
      </c>
      <c r="D2581" s="115">
        <v>1</v>
      </c>
      <c r="E2581" s="115" t="s">
        <v>6553</v>
      </c>
      <c r="F2581" s="115" t="s">
        <v>6554</v>
      </c>
      <c r="G2581" s="115" t="s">
        <v>6555</v>
      </c>
      <c r="H2581" s="115" t="s">
        <v>6556</v>
      </c>
    </row>
    <row r="2582" spans="1:8" x14ac:dyDescent="0.25">
      <c r="A2582" s="115">
        <v>5268</v>
      </c>
      <c r="B2582" s="115" t="s">
        <v>128</v>
      </c>
      <c r="C2582" s="115" t="s">
        <v>6557</v>
      </c>
      <c r="D2582" s="115">
        <v>1</v>
      </c>
      <c r="E2582" s="115" t="s">
        <v>6558</v>
      </c>
      <c r="F2582" s="115" t="s">
        <v>6559</v>
      </c>
      <c r="G2582" s="115" t="s">
        <v>6560</v>
      </c>
      <c r="H2582" s="115" t="s">
        <v>6561</v>
      </c>
    </row>
    <row r="2583" spans="1:8" x14ac:dyDescent="0.25">
      <c r="A2583" s="115">
        <v>5267</v>
      </c>
      <c r="B2583" s="115" t="s">
        <v>128</v>
      </c>
      <c r="C2583" s="115" t="s">
        <v>6562</v>
      </c>
      <c r="D2583" s="115">
        <v>1</v>
      </c>
      <c r="E2583" s="115" t="s">
        <v>6563</v>
      </c>
      <c r="F2583" s="115" t="s">
        <v>6564</v>
      </c>
      <c r="G2583" s="115" t="s">
        <v>6565</v>
      </c>
      <c r="H2583" s="115" t="s">
        <v>6566</v>
      </c>
    </row>
    <row r="2584" spans="1:8" x14ac:dyDescent="0.25">
      <c r="A2584" s="115">
        <v>5266</v>
      </c>
      <c r="B2584" s="115" t="s">
        <v>128</v>
      </c>
      <c r="C2584" s="115" t="s">
        <v>6567</v>
      </c>
      <c r="D2584" s="115">
        <v>1</v>
      </c>
      <c r="E2584" s="115" t="s">
        <v>4001</v>
      </c>
      <c r="F2584" s="115" t="s">
        <v>4002</v>
      </c>
      <c r="G2584" s="115" t="s">
        <v>4003</v>
      </c>
      <c r="H2584" s="115" t="s">
        <v>6568</v>
      </c>
    </row>
    <row r="2585" spans="1:8" ht="30" x14ac:dyDescent="0.25">
      <c r="A2585" s="115">
        <v>5265</v>
      </c>
      <c r="B2585" s="115" t="s">
        <v>128</v>
      </c>
      <c r="C2585" s="115" t="s">
        <v>6569</v>
      </c>
      <c r="D2585" s="115">
        <v>1</v>
      </c>
      <c r="E2585" s="115" t="s">
        <v>6570</v>
      </c>
      <c r="F2585" s="115" t="s">
        <v>6571</v>
      </c>
      <c r="G2585" s="115" t="s">
        <v>6572</v>
      </c>
      <c r="H2585" s="115" t="s">
        <v>6573</v>
      </c>
    </row>
    <row r="2586" spans="1:8" x14ac:dyDescent="0.25">
      <c r="A2586" s="115">
        <v>5264</v>
      </c>
      <c r="B2586" s="115" t="s">
        <v>128</v>
      </c>
      <c r="C2586" s="115" t="s">
        <v>6574</v>
      </c>
      <c r="D2586" s="115">
        <v>1</v>
      </c>
      <c r="E2586" s="115" t="s">
        <v>753</v>
      </c>
      <c r="F2586" s="115" t="s">
        <v>645</v>
      </c>
      <c r="G2586" s="115" t="s">
        <v>6575</v>
      </c>
      <c r="H2586" s="115" t="s">
        <v>6576</v>
      </c>
    </row>
    <row r="2587" spans="1:8" x14ac:dyDescent="0.25">
      <c r="A2587" s="115">
        <v>5263</v>
      </c>
      <c r="B2587" s="115" t="s">
        <v>128</v>
      </c>
      <c r="C2587" s="115" t="s">
        <v>6577</v>
      </c>
      <c r="D2587" s="115">
        <v>1</v>
      </c>
      <c r="E2587" s="115" t="s">
        <v>6578</v>
      </c>
      <c r="F2587" s="115" t="s">
        <v>6579</v>
      </c>
      <c r="G2587" s="115" t="s">
        <v>6580</v>
      </c>
      <c r="H2587" s="115" t="s">
        <v>6581</v>
      </c>
    </row>
    <row r="2588" spans="1:8" x14ac:dyDescent="0.25">
      <c r="A2588" s="115">
        <v>5262</v>
      </c>
      <c r="B2588" s="115" t="s">
        <v>128</v>
      </c>
      <c r="C2588" s="115" t="s">
        <v>6582</v>
      </c>
      <c r="D2588" s="115">
        <v>1</v>
      </c>
      <c r="E2588" s="115" t="s">
        <v>6583</v>
      </c>
      <c r="F2588" s="115" t="s">
        <v>6584</v>
      </c>
      <c r="G2588" s="115" t="s">
        <v>6585</v>
      </c>
      <c r="H2588" s="115" t="s">
        <v>6586</v>
      </c>
    </row>
    <row r="2589" spans="1:8" ht="30" x14ac:dyDescent="0.25">
      <c r="A2589" s="115">
        <v>5261</v>
      </c>
      <c r="B2589" s="115" t="s">
        <v>128</v>
      </c>
      <c r="C2589" s="115" t="s">
        <v>6587</v>
      </c>
      <c r="D2589" s="115">
        <v>1</v>
      </c>
      <c r="E2589" s="115" t="s">
        <v>6588</v>
      </c>
      <c r="F2589" s="115" t="s">
        <v>6589</v>
      </c>
      <c r="G2589" s="115" t="s">
        <v>6590</v>
      </c>
      <c r="H2589" s="115" t="s">
        <v>6591</v>
      </c>
    </row>
    <row r="2590" spans="1:8" x14ac:dyDescent="0.25">
      <c r="A2590" s="115">
        <v>5260</v>
      </c>
      <c r="B2590" s="115" t="s">
        <v>128</v>
      </c>
      <c r="C2590" s="115" t="s">
        <v>6592</v>
      </c>
      <c r="D2590" s="115">
        <v>1</v>
      </c>
      <c r="E2590" s="115" t="s">
        <v>6593</v>
      </c>
      <c r="F2590" s="115" t="s">
        <v>6594</v>
      </c>
      <c r="G2590" s="115" t="s">
        <v>6595</v>
      </c>
      <c r="H2590" s="115" t="s">
        <v>6596</v>
      </c>
    </row>
    <row r="2591" spans="1:8" x14ac:dyDescent="0.25">
      <c r="A2591" s="115">
        <v>5259</v>
      </c>
      <c r="B2591" s="115" t="s">
        <v>128</v>
      </c>
      <c r="C2591" s="115" t="s">
        <v>6597</v>
      </c>
      <c r="D2591" s="115">
        <v>1</v>
      </c>
      <c r="E2591" s="115" t="s">
        <v>1026</v>
      </c>
      <c r="F2591" s="115" t="s">
        <v>1027</v>
      </c>
      <c r="G2591" s="115" t="s">
        <v>6598</v>
      </c>
      <c r="H2591" s="115" t="s">
        <v>1028</v>
      </c>
    </row>
    <row r="2592" spans="1:8" x14ac:dyDescent="0.25">
      <c r="A2592" s="115">
        <v>5258</v>
      </c>
      <c r="B2592" s="115" t="s">
        <v>128</v>
      </c>
      <c r="C2592" s="115" t="s">
        <v>6599</v>
      </c>
      <c r="D2592" s="115">
        <v>1</v>
      </c>
      <c r="E2592" s="115" t="s">
        <v>6600</v>
      </c>
      <c r="F2592" s="115" t="s">
        <v>6601</v>
      </c>
      <c r="G2592" s="115" t="s">
        <v>6602</v>
      </c>
      <c r="H2592" s="115" t="s">
        <v>6603</v>
      </c>
    </row>
    <row r="2593" spans="1:8" ht="30" x14ac:dyDescent="0.25">
      <c r="A2593" s="115">
        <v>5257</v>
      </c>
      <c r="B2593" s="115" t="s">
        <v>128</v>
      </c>
      <c r="C2593" s="115" t="s">
        <v>6604</v>
      </c>
      <c r="D2593" s="115">
        <v>1</v>
      </c>
      <c r="E2593" s="115" t="s">
        <v>6605</v>
      </c>
      <c r="F2593" s="115" t="s">
        <v>6606</v>
      </c>
      <c r="G2593" s="115" t="s">
        <v>6607</v>
      </c>
      <c r="H2593" s="115" t="s">
        <v>6608</v>
      </c>
    </row>
    <row r="2594" spans="1:8" ht="30" x14ac:dyDescent="0.25">
      <c r="A2594" s="115">
        <v>5256</v>
      </c>
      <c r="B2594" s="115" t="s">
        <v>128</v>
      </c>
      <c r="C2594" s="115" t="s">
        <v>6609</v>
      </c>
      <c r="D2594" s="115">
        <v>1</v>
      </c>
      <c r="E2594" s="115" t="s">
        <v>6610</v>
      </c>
      <c r="F2594" s="115" t="s">
        <v>6611</v>
      </c>
      <c r="G2594" s="115" t="s">
        <v>6612</v>
      </c>
      <c r="H2594" s="115" t="s">
        <v>6613</v>
      </c>
    </row>
    <row r="2595" spans="1:8" ht="30" x14ac:dyDescent="0.25">
      <c r="A2595" s="115">
        <v>5255</v>
      </c>
      <c r="B2595" s="115" t="s">
        <v>128</v>
      </c>
      <c r="C2595" s="115" t="s">
        <v>6614</v>
      </c>
      <c r="D2595" s="115">
        <v>1</v>
      </c>
      <c r="E2595" s="115" t="s">
        <v>6615</v>
      </c>
      <c r="F2595" s="115" t="s">
        <v>2940</v>
      </c>
      <c r="G2595" s="115" t="s">
        <v>6616</v>
      </c>
      <c r="H2595" s="115" t="s">
        <v>1060</v>
      </c>
    </row>
    <row r="2596" spans="1:8" x14ac:dyDescent="0.25">
      <c r="A2596" s="115">
        <v>5254</v>
      </c>
      <c r="B2596" s="115" t="s">
        <v>128</v>
      </c>
      <c r="C2596" s="115" t="s">
        <v>6617</v>
      </c>
      <c r="D2596" s="115">
        <v>1</v>
      </c>
      <c r="E2596" s="115" t="s">
        <v>6618</v>
      </c>
      <c r="F2596" s="115" t="s">
        <v>6619</v>
      </c>
      <c r="G2596" s="115" t="s">
        <v>6620</v>
      </c>
      <c r="H2596" s="115" t="s">
        <v>6621</v>
      </c>
    </row>
    <row r="2597" spans="1:8" x14ac:dyDescent="0.25">
      <c r="A2597" s="115">
        <v>5253</v>
      </c>
      <c r="B2597" s="115" t="s">
        <v>128</v>
      </c>
      <c r="C2597" s="115" t="s">
        <v>6622</v>
      </c>
      <c r="D2597" s="115">
        <v>1</v>
      </c>
      <c r="E2597" s="115" t="s">
        <v>6623</v>
      </c>
      <c r="F2597" s="115" t="s">
        <v>6624</v>
      </c>
      <c r="G2597" s="115" t="s">
        <v>6625</v>
      </c>
      <c r="H2597" s="115" t="s">
        <v>6626</v>
      </c>
    </row>
    <row r="2598" spans="1:8" ht="30" x14ac:dyDescent="0.25">
      <c r="A2598" s="115">
        <v>5252</v>
      </c>
      <c r="B2598" s="115" t="s">
        <v>128</v>
      </c>
      <c r="C2598" s="115" t="s">
        <v>6627</v>
      </c>
      <c r="D2598" s="115">
        <v>1</v>
      </c>
      <c r="E2598" s="115" t="s">
        <v>6628</v>
      </c>
      <c r="F2598" s="115" t="s">
        <v>6629</v>
      </c>
      <c r="G2598" s="115" t="s">
        <v>6630</v>
      </c>
      <c r="H2598" s="115" t="s">
        <v>6631</v>
      </c>
    </row>
    <row r="2599" spans="1:8" x14ac:dyDescent="0.25">
      <c r="A2599" s="115">
        <v>5251</v>
      </c>
      <c r="B2599" s="115" t="s">
        <v>128</v>
      </c>
      <c r="C2599" s="115" t="s">
        <v>6632</v>
      </c>
      <c r="D2599" s="115">
        <v>1</v>
      </c>
      <c r="E2599" s="115" t="s">
        <v>6633</v>
      </c>
      <c r="F2599" s="115" t="s">
        <v>6634</v>
      </c>
      <c r="G2599" s="115" t="s">
        <v>6635</v>
      </c>
      <c r="H2599" s="115" t="s">
        <v>6636</v>
      </c>
    </row>
    <row r="2600" spans="1:8" x14ac:dyDescent="0.25">
      <c r="A2600" s="115">
        <v>5250</v>
      </c>
      <c r="B2600" s="115" t="s">
        <v>128</v>
      </c>
      <c r="C2600" s="115" t="s">
        <v>6637</v>
      </c>
      <c r="D2600" s="115">
        <v>1</v>
      </c>
      <c r="E2600" s="115" t="s">
        <v>6638</v>
      </c>
      <c r="F2600" s="115" t="s">
        <v>6639</v>
      </c>
      <c r="G2600" s="115" t="s">
        <v>6640</v>
      </c>
      <c r="H2600" s="115" t="s">
        <v>6641</v>
      </c>
    </row>
    <row r="2601" spans="1:8" x14ac:dyDescent="0.25">
      <c r="A2601" s="115">
        <v>5249</v>
      </c>
      <c r="B2601" s="115" t="s">
        <v>128</v>
      </c>
      <c r="C2601" s="115" t="s">
        <v>6642</v>
      </c>
      <c r="D2601" s="115">
        <v>1</v>
      </c>
      <c r="E2601" s="115" t="s">
        <v>6643</v>
      </c>
      <c r="F2601" s="115" t="s">
        <v>6644</v>
      </c>
      <c r="G2601" s="115" t="s">
        <v>6645</v>
      </c>
      <c r="H2601" s="115" t="s">
        <v>6646</v>
      </c>
    </row>
    <row r="2602" spans="1:8" x14ac:dyDescent="0.25">
      <c r="A2602" s="115">
        <v>5248</v>
      </c>
      <c r="B2602" s="115" t="s">
        <v>128</v>
      </c>
      <c r="C2602" s="115" t="s">
        <v>6647</v>
      </c>
      <c r="D2602" s="115">
        <v>1</v>
      </c>
      <c r="E2602" s="115" t="s">
        <v>6648</v>
      </c>
      <c r="F2602" s="115" t="s">
        <v>6649</v>
      </c>
      <c r="G2602" s="115" t="s">
        <v>6650</v>
      </c>
      <c r="H2602" s="115" t="s">
        <v>6651</v>
      </c>
    </row>
    <row r="2603" spans="1:8" x14ac:dyDescent="0.25">
      <c r="A2603" s="115">
        <v>5247</v>
      </c>
      <c r="B2603" s="115" t="s">
        <v>128</v>
      </c>
      <c r="C2603" s="115" t="s">
        <v>6652</v>
      </c>
      <c r="D2603" s="115">
        <v>1</v>
      </c>
      <c r="E2603" s="115" t="s">
        <v>6653</v>
      </c>
      <c r="F2603" s="115" t="s">
        <v>6654</v>
      </c>
      <c r="G2603" s="115" t="s">
        <v>6655</v>
      </c>
      <c r="H2603" s="115" t="s">
        <v>6656</v>
      </c>
    </row>
    <row r="2604" spans="1:8" x14ac:dyDescent="0.25">
      <c r="A2604" s="115">
        <v>5246</v>
      </c>
      <c r="B2604" s="115" t="s">
        <v>128</v>
      </c>
      <c r="C2604" s="115" t="s">
        <v>6657</v>
      </c>
      <c r="D2604" s="115">
        <v>1</v>
      </c>
      <c r="E2604" s="115" t="s">
        <v>6658</v>
      </c>
      <c r="F2604" s="115" t="s">
        <v>6659</v>
      </c>
      <c r="G2604" s="115" t="s">
        <v>6660</v>
      </c>
      <c r="H2604" s="115" t="s">
        <v>6661</v>
      </c>
    </row>
    <row r="2605" spans="1:8" x14ac:dyDescent="0.25">
      <c r="A2605" s="115">
        <v>5245</v>
      </c>
      <c r="B2605" s="115" t="s">
        <v>128</v>
      </c>
      <c r="C2605" s="115" t="s">
        <v>6662</v>
      </c>
      <c r="D2605" s="115">
        <v>1</v>
      </c>
      <c r="E2605" s="115" t="s">
        <v>6663</v>
      </c>
      <c r="F2605" s="115" t="s">
        <v>6664</v>
      </c>
      <c r="G2605" s="115" t="s">
        <v>6665</v>
      </c>
      <c r="H2605" s="115" t="s">
        <v>6666</v>
      </c>
    </row>
    <row r="2606" spans="1:8" ht="30" x14ac:dyDescent="0.25">
      <c r="A2606" s="115">
        <v>5244</v>
      </c>
      <c r="B2606" s="115" t="s">
        <v>128</v>
      </c>
      <c r="C2606" s="115" t="s">
        <v>6667</v>
      </c>
      <c r="D2606" s="115">
        <v>1</v>
      </c>
      <c r="E2606" s="115" t="s">
        <v>6668</v>
      </c>
      <c r="F2606" s="115" t="s">
        <v>6669</v>
      </c>
      <c r="G2606" s="115" t="s">
        <v>6670</v>
      </c>
      <c r="H2606" s="115" t="s">
        <v>6671</v>
      </c>
    </row>
    <row r="2607" spans="1:8" x14ac:dyDescent="0.25">
      <c r="A2607" s="115">
        <v>5243</v>
      </c>
      <c r="B2607" s="115" t="s">
        <v>128</v>
      </c>
      <c r="C2607" s="115" t="s">
        <v>6672</v>
      </c>
      <c r="D2607" s="115">
        <v>1</v>
      </c>
      <c r="E2607" s="115" t="s">
        <v>6673</v>
      </c>
      <c r="F2607" s="115" t="s">
        <v>6674</v>
      </c>
      <c r="G2607" s="115" t="s">
        <v>6675</v>
      </c>
      <c r="H2607" s="115" t="s">
        <v>6676</v>
      </c>
    </row>
    <row r="2608" spans="1:8" x14ac:dyDescent="0.25">
      <c r="A2608" s="115">
        <v>5242</v>
      </c>
      <c r="B2608" s="115" t="s">
        <v>128</v>
      </c>
      <c r="C2608" s="115" t="s">
        <v>6677</v>
      </c>
      <c r="D2608" s="115">
        <v>1</v>
      </c>
      <c r="E2608" s="115" t="s">
        <v>6678</v>
      </c>
      <c r="F2608" s="115" t="s">
        <v>6679</v>
      </c>
      <c r="G2608" s="115" t="s">
        <v>6680</v>
      </c>
      <c r="H2608" s="115" t="s">
        <v>6681</v>
      </c>
    </row>
    <row r="2609" spans="1:8" x14ac:dyDescent="0.25">
      <c r="A2609" s="115">
        <v>5241</v>
      </c>
      <c r="B2609" s="115" t="s">
        <v>128</v>
      </c>
      <c r="C2609" s="115" t="s">
        <v>6682</v>
      </c>
      <c r="D2609" s="115">
        <v>1</v>
      </c>
      <c r="E2609" s="115" t="s">
        <v>4096</v>
      </c>
      <c r="F2609" s="115" t="s">
        <v>4097</v>
      </c>
      <c r="G2609" s="115" t="s">
        <v>4098</v>
      </c>
      <c r="H2609" s="115" t="s">
        <v>4099</v>
      </c>
    </row>
    <row r="2610" spans="1:8" x14ac:dyDescent="0.25">
      <c r="A2610" s="115">
        <v>5240</v>
      </c>
      <c r="B2610" s="115" t="s">
        <v>128</v>
      </c>
      <c r="C2610" s="115" t="s">
        <v>6683</v>
      </c>
      <c r="D2610" s="115">
        <v>1</v>
      </c>
      <c r="E2610" s="115" t="s">
        <v>6684</v>
      </c>
      <c r="F2610" s="115" t="s">
        <v>6685</v>
      </c>
      <c r="G2610" s="115" t="s">
        <v>6686</v>
      </c>
      <c r="H2610" s="115" t="s">
        <v>6687</v>
      </c>
    </row>
    <row r="2611" spans="1:8" x14ac:dyDescent="0.25">
      <c r="A2611" s="115">
        <v>5239</v>
      </c>
      <c r="B2611" s="115" t="s">
        <v>128</v>
      </c>
      <c r="C2611" s="115" t="s">
        <v>6688</v>
      </c>
      <c r="D2611" s="115">
        <v>1</v>
      </c>
      <c r="E2611" s="115" t="s">
        <v>4109</v>
      </c>
      <c r="F2611" s="115" t="s">
        <v>4110</v>
      </c>
      <c r="G2611" s="115" t="s">
        <v>4111</v>
      </c>
      <c r="H2611" s="115" t="s">
        <v>6689</v>
      </c>
    </row>
    <row r="2612" spans="1:8" ht="30" x14ac:dyDescent="0.25">
      <c r="A2612" s="115">
        <v>5238</v>
      </c>
      <c r="B2612" s="115" t="s">
        <v>128</v>
      </c>
      <c r="C2612" s="115" t="s">
        <v>6690</v>
      </c>
      <c r="D2612" s="115">
        <v>1</v>
      </c>
      <c r="E2612" s="115" t="s">
        <v>6691</v>
      </c>
      <c r="F2612" s="115" t="s">
        <v>6692</v>
      </c>
      <c r="G2612" s="115" t="s">
        <v>6693</v>
      </c>
      <c r="H2612" s="115" t="s">
        <v>6694</v>
      </c>
    </row>
    <row r="2613" spans="1:8" ht="30" x14ac:dyDescent="0.25">
      <c r="A2613" s="115">
        <v>5237</v>
      </c>
      <c r="B2613" s="115" t="s">
        <v>128</v>
      </c>
      <c r="C2613" s="115" t="s">
        <v>6695</v>
      </c>
      <c r="D2613" s="115">
        <v>1</v>
      </c>
      <c r="E2613" s="115" t="s">
        <v>6696</v>
      </c>
      <c r="F2613" s="115" t="s">
        <v>6697</v>
      </c>
      <c r="G2613" s="115" t="s">
        <v>6698</v>
      </c>
      <c r="H2613" s="115" t="s">
        <v>6699</v>
      </c>
    </row>
    <row r="2614" spans="1:8" x14ac:dyDescent="0.25">
      <c r="A2614" s="115">
        <v>5236</v>
      </c>
      <c r="B2614" s="115" t="s">
        <v>128</v>
      </c>
      <c r="C2614" s="115" t="s">
        <v>6700</v>
      </c>
      <c r="D2614" s="115">
        <v>1</v>
      </c>
      <c r="E2614" s="115" t="s">
        <v>544</v>
      </c>
      <c r="F2614" s="115" t="s">
        <v>545</v>
      </c>
      <c r="G2614" s="115" t="s">
        <v>6701</v>
      </c>
      <c r="H2614" s="115" t="s">
        <v>546</v>
      </c>
    </row>
    <row r="2615" spans="1:8" x14ac:dyDescent="0.25">
      <c r="A2615" s="115">
        <v>5235</v>
      </c>
      <c r="B2615" s="115" t="s">
        <v>128</v>
      </c>
      <c r="C2615" s="115" t="s">
        <v>6702</v>
      </c>
      <c r="D2615" s="115">
        <v>1</v>
      </c>
      <c r="E2615" s="115" t="s">
        <v>6703</v>
      </c>
      <c r="F2615" s="115" t="s">
        <v>6704</v>
      </c>
      <c r="G2615" s="115" t="s">
        <v>6705</v>
      </c>
      <c r="H2615" s="115" t="s">
        <v>6706</v>
      </c>
    </row>
    <row r="2616" spans="1:8" x14ac:dyDescent="0.25">
      <c r="A2616" s="115">
        <v>5234</v>
      </c>
      <c r="B2616" s="115" t="s">
        <v>128</v>
      </c>
      <c r="C2616" s="115" t="s">
        <v>6707</v>
      </c>
      <c r="D2616" s="115">
        <v>1</v>
      </c>
      <c r="E2616" s="115" t="s">
        <v>2942</v>
      </c>
      <c r="F2616" s="115" t="s">
        <v>2943</v>
      </c>
      <c r="G2616" s="115" t="s">
        <v>6708</v>
      </c>
      <c r="H2616" s="115" t="s">
        <v>2944</v>
      </c>
    </row>
    <row r="2617" spans="1:8" x14ac:dyDescent="0.25">
      <c r="A2617" s="115">
        <v>5233</v>
      </c>
      <c r="B2617" s="115" t="s">
        <v>128</v>
      </c>
      <c r="C2617" s="115" t="s">
        <v>6709</v>
      </c>
      <c r="D2617" s="115">
        <v>1</v>
      </c>
      <c r="E2617" s="115" t="s">
        <v>6710</v>
      </c>
      <c r="F2617" s="115" t="s">
        <v>6711</v>
      </c>
      <c r="G2617" s="115" t="s">
        <v>6712</v>
      </c>
      <c r="H2617" s="115" t="s">
        <v>6713</v>
      </c>
    </row>
    <row r="2618" spans="1:8" ht="30" x14ac:dyDescent="0.25">
      <c r="A2618" s="115">
        <v>5232</v>
      </c>
      <c r="B2618" s="115" t="s">
        <v>128</v>
      </c>
      <c r="C2618" s="115" t="s">
        <v>6714</v>
      </c>
      <c r="D2618" s="115">
        <v>1</v>
      </c>
      <c r="E2618" s="115" t="s">
        <v>6715</v>
      </c>
      <c r="F2618" s="115" t="s">
        <v>6716</v>
      </c>
      <c r="G2618" s="115" t="s">
        <v>6717</v>
      </c>
      <c r="H2618" s="115" t="s">
        <v>6718</v>
      </c>
    </row>
    <row r="2619" spans="1:8" x14ac:dyDescent="0.25">
      <c r="A2619" s="115">
        <v>5231</v>
      </c>
      <c r="B2619" s="115" t="s">
        <v>128</v>
      </c>
      <c r="C2619" s="115" t="s">
        <v>6719</v>
      </c>
      <c r="D2619" s="115">
        <v>1</v>
      </c>
      <c r="E2619" s="115" t="s">
        <v>6720</v>
      </c>
      <c r="F2619" s="115" t="s">
        <v>6721</v>
      </c>
      <c r="G2619" s="115" t="s">
        <v>6722</v>
      </c>
      <c r="H2619" s="115" t="s">
        <v>6723</v>
      </c>
    </row>
    <row r="2620" spans="1:8" x14ac:dyDescent="0.25">
      <c r="A2620" s="115">
        <v>5230</v>
      </c>
      <c r="B2620" s="115" t="s">
        <v>128</v>
      </c>
      <c r="C2620" s="115" t="s">
        <v>6724</v>
      </c>
      <c r="D2620" s="115">
        <v>1</v>
      </c>
      <c r="E2620" s="115" t="s">
        <v>6725</v>
      </c>
      <c r="F2620" s="115" t="s">
        <v>6726</v>
      </c>
      <c r="G2620" s="115" t="s">
        <v>6727</v>
      </c>
      <c r="H2620" s="115" t="s">
        <v>6728</v>
      </c>
    </row>
    <row r="2621" spans="1:8" x14ac:dyDescent="0.25">
      <c r="A2621" s="115">
        <v>5229</v>
      </c>
      <c r="B2621" s="115" t="s">
        <v>128</v>
      </c>
      <c r="C2621" s="115" t="s">
        <v>6729</v>
      </c>
      <c r="D2621" s="115">
        <v>1</v>
      </c>
      <c r="E2621" s="115" t="s">
        <v>6730</v>
      </c>
      <c r="F2621" s="115" t="s">
        <v>6731</v>
      </c>
      <c r="G2621" s="115" t="s">
        <v>6732</v>
      </c>
      <c r="H2621" s="115" t="s">
        <v>6733</v>
      </c>
    </row>
    <row r="2622" spans="1:8" ht="30" x14ac:dyDescent="0.25">
      <c r="A2622" s="115">
        <v>5228</v>
      </c>
      <c r="B2622" s="115" t="s">
        <v>128</v>
      </c>
      <c r="C2622" s="115" t="s">
        <v>6734</v>
      </c>
      <c r="D2622" s="115">
        <v>1</v>
      </c>
      <c r="E2622" s="115" t="s">
        <v>6735</v>
      </c>
      <c r="F2622" s="115" t="s">
        <v>6736</v>
      </c>
      <c r="G2622" s="115" t="s">
        <v>6737</v>
      </c>
      <c r="H2622" s="115" t="s">
        <v>6738</v>
      </c>
    </row>
    <row r="2623" spans="1:8" x14ac:dyDescent="0.25">
      <c r="A2623" s="115">
        <v>5227</v>
      </c>
      <c r="B2623" s="115" t="s">
        <v>128</v>
      </c>
      <c r="C2623" s="115" t="s">
        <v>6739</v>
      </c>
      <c r="D2623" s="115">
        <v>1</v>
      </c>
      <c r="E2623" s="115" t="s">
        <v>6740</v>
      </c>
      <c r="F2623" s="115" t="s">
        <v>6741</v>
      </c>
      <c r="G2623" s="115" t="s">
        <v>6742</v>
      </c>
      <c r="H2623" s="115" t="s">
        <v>6743</v>
      </c>
    </row>
    <row r="2624" spans="1:8" x14ac:dyDescent="0.25">
      <c r="A2624" s="115">
        <v>5226</v>
      </c>
      <c r="B2624" s="115" t="s">
        <v>128</v>
      </c>
      <c r="C2624" s="115" t="s">
        <v>6744</v>
      </c>
      <c r="D2624" s="115">
        <v>1</v>
      </c>
      <c r="E2624" s="115" t="s">
        <v>6745</v>
      </c>
      <c r="F2624" s="115" t="s">
        <v>6746</v>
      </c>
      <c r="G2624" s="115" t="s">
        <v>6745</v>
      </c>
      <c r="H2624" s="115" t="s">
        <v>6747</v>
      </c>
    </row>
    <row r="2625" spans="1:8" x14ac:dyDescent="0.25">
      <c r="A2625" s="115">
        <v>5225</v>
      </c>
      <c r="B2625" s="115" t="s">
        <v>128</v>
      </c>
      <c r="C2625" s="115" t="s">
        <v>6748</v>
      </c>
      <c r="D2625" s="115">
        <v>1</v>
      </c>
      <c r="E2625" s="115" t="s">
        <v>6749</v>
      </c>
      <c r="F2625" s="115" t="s">
        <v>6750</v>
      </c>
      <c r="G2625" s="115" t="s">
        <v>6749</v>
      </c>
      <c r="H2625" s="115" t="s">
        <v>185</v>
      </c>
    </row>
    <row r="2626" spans="1:8" ht="30" x14ac:dyDescent="0.25">
      <c r="A2626" s="115">
        <v>5224</v>
      </c>
      <c r="B2626" s="115" t="s">
        <v>128</v>
      </c>
      <c r="C2626" s="115" t="s">
        <v>6751</v>
      </c>
      <c r="D2626" s="115">
        <v>1</v>
      </c>
      <c r="E2626" s="115" t="s">
        <v>6752</v>
      </c>
      <c r="F2626" s="115" t="s">
        <v>6753</v>
      </c>
      <c r="G2626" s="115" t="s">
        <v>6754</v>
      </c>
      <c r="H2626" s="115" t="s">
        <v>6752</v>
      </c>
    </row>
    <row r="2627" spans="1:8" x14ac:dyDescent="0.25">
      <c r="A2627" s="115">
        <v>5223</v>
      </c>
      <c r="B2627" s="115" t="s">
        <v>128</v>
      </c>
      <c r="C2627" s="115" t="s">
        <v>6755</v>
      </c>
      <c r="D2627" s="115">
        <v>1</v>
      </c>
      <c r="E2627" s="115" t="s">
        <v>505</v>
      </c>
      <c r="F2627" s="115" t="s">
        <v>506</v>
      </c>
      <c r="G2627" s="115" t="s">
        <v>507</v>
      </c>
      <c r="H2627" s="115" t="s">
        <v>505</v>
      </c>
    </row>
    <row r="2628" spans="1:8" x14ac:dyDescent="0.25">
      <c r="A2628" s="115">
        <v>5222</v>
      </c>
      <c r="B2628" s="115" t="s">
        <v>128</v>
      </c>
      <c r="C2628" s="115" t="s">
        <v>6756</v>
      </c>
      <c r="D2628" s="115">
        <v>1</v>
      </c>
      <c r="E2628" s="115" t="s">
        <v>4473</v>
      </c>
      <c r="F2628" s="115" t="s">
        <v>6757</v>
      </c>
      <c r="G2628" s="115" t="s">
        <v>6758</v>
      </c>
      <c r="H2628" s="115" t="s">
        <v>4475</v>
      </c>
    </row>
    <row r="2629" spans="1:8" ht="45" x14ac:dyDescent="0.25">
      <c r="A2629" s="115">
        <v>5221</v>
      </c>
      <c r="B2629" s="115" t="s">
        <v>128</v>
      </c>
      <c r="C2629" s="115" t="s">
        <v>6759</v>
      </c>
      <c r="D2629" s="115">
        <v>1</v>
      </c>
      <c r="E2629" s="115" t="s">
        <v>6760</v>
      </c>
      <c r="F2629" s="115" t="s">
        <v>6761</v>
      </c>
      <c r="G2629" s="115" t="s">
        <v>6762</v>
      </c>
      <c r="H2629" s="115" t="s">
        <v>6763</v>
      </c>
    </row>
    <row r="2630" spans="1:8" x14ac:dyDescent="0.25">
      <c r="A2630" s="115">
        <v>5220</v>
      </c>
      <c r="B2630" s="115" t="s">
        <v>128</v>
      </c>
      <c r="C2630" s="115" t="s">
        <v>6764</v>
      </c>
      <c r="D2630" s="115">
        <v>1</v>
      </c>
      <c r="E2630" s="115" t="s">
        <v>416</v>
      </c>
      <c r="F2630" s="115" t="s">
        <v>417</v>
      </c>
      <c r="G2630" s="115" t="s">
        <v>418</v>
      </c>
      <c r="H2630" s="115" t="s">
        <v>419</v>
      </c>
    </row>
    <row r="2631" spans="1:8" x14ac:dyDescent="0.25">
      <c r="A2631" s="115">
        <v>5219</v>
      </c>
      <c r="B2631" s="115" t="s">
        <v>128</v>
      </c>
      <c r="C2631" s="115" t="s">
        <v>6765</v>
      </c>
      <c r="D2631" s="115">
        <v>1</v>
      </c>
      <c r="E2631" s="115" t="s">
        <v>6766</v>
      </c>
      <c r="F2631" s="115" t="s">
        <v>6767</v>
      </c>
      <c r="G2631" s="115" t="s">
        <v>6768</v>
      </c>
      <c r="H2631" s="115" t="s">
        <v>6769</v>
      </c>
    </row>
    <row r="2632" spans="1:8" ht="30" x14ac:dyDescent="0.25">
      <c r="A2632" s="115">
        <v>5218</v>
      </c>
      <c r="B2632" s="115" t="s">
        <v>128</v>
      </c>
      <c r="C2632" s="115" t="s">
        <v>6770</v>
      </c>
      <c r="D2632" s="115">
        <v>1</v>
      </c>
      <c r="E2632" s="115" t="s">
        <v>6771</v>
      </c>
      <c r="F2632" s="115" t="s">
        <v>6772</v>
      </c>
      <c r="G2632" s="115" t="s">
        <v>6773</v>
      </c>
      <c r="H2632" s="115" t="s">
        <v>6774</v>
      </c>
    </row>
    <row r="2633" spans="1:8" x14ac:dyDescent="0.25">
      <c r="A2633" s="115">
        <v>5217</v>
      </c>
      <c r="B2633" s="115" t="s">
        <v>128</v>
      </c>
      <c r="C2633" s="115" t="s">
        <v>6775</v>
      </c>
      <c r="D2633" s="115">
        <v>1</v>
      </c>
      <c r="E2633" s="115" t="s">
        <v>6776</v>
      </c>
      <c r="F2633" s="115" t="s">
        <v>6777</v>
      </c>
      <c r="G2633" s="115" t="s">
        <v>6778</v>
      </c>
      <c r="H2633" s="115" t="s">
        <v>6779</v>
      </c>
    </row>
    <row r="2634" spans="1:8" x14ac:dyDescent="0.25">
      <c r="A2634" s="115">
        <v>5216</v>
      </c>
      <c r="B2634" s="115" t="s">
        <v>128</v>
      </c>
      <c r="C2634" s="115" t="s">
        <v>6780</v>
      </c>
      <c r="D2634" s="115">
        <v>1</v>
      </c>
      <c r="E2634" s="115" t="s">
        <v>1102</v>
      </c>
      <c r="F2634" s="115" t="s">
        <v>6781</v>
      </c>
      <c r="G2634" s="115" t="s">
        <v>6782</v>
      </c>
      <c r="H2634" s="115" t="s">
        <v>1102</v>
      </c>
    </row>
    <row r="2635" spans="1:8" ht="30" x14ac:dyDescent="0.25">
      <c r="A2635" s="115">
        <v>5215</v>
      </c>
      <c r="B2635" s="115" t="s">
        <v>128</v>
      </c>
      <c r="C2635" s="115" t="s">
        <v>6783</v>
      </c>
      <c r="D2635" s="115">
        <v>1</v>
      </c>
      <c r="E2635" s="115" t="s">
        <v>6784</v>
      </c>
      <c r="F2635" s="115" t="s">
        <v>6785</v>
      </c>
      <c r="G2635" s="115" t="s">
        <v>6786</v>
      </c>
      <c r="H2635" s="115" t="s">
        <v>6784</v>
      </c>
    </row>
    <row r="2636" spans="1:8" ht="45" x14ac:dyDescent="0.25">
      <c r="A2636" s="115">
        <v>5214</v>
      </c>
      <c r="B2636" s="115" t="s">
        <v>128</v>
      </c>
      <c r="C2636" s="115" t="s">
        <v>6787</v>
      </c>
      <c r="D2636" s="115">
        <v>1</v>
      </c>
      <c r="E2636" s="115" t="s">
        <v>6788</v>
      </c>
      <c r="F2636" s="115" t="s">
        <v>6789</v>
      </c>
      <c r="G2636" s="115" t="s">
        <v>6790</v>
      </c>
      <c r="H2636" s="115" t="s">
        <v>6791</v>
      </c>
    </row>
    <row r="2637" spans="1:8" x14ac:dyDescent="0.25">
      <c r="A2637" s="115">
        <v>5213</v>
      </c>
      <c r="B2637" s="115" t="s">
        <v>128</v>
      </c>
      <c r="C2637" s="115" t="s">
        <v>6792</v>
      </c>
      <c r="D2637" s="115">
        <v>1</v>
      </c>
      <c r="E2637" s="115" t="s">
        <v>6793</v>
      </c>
      <c r="F2637" s="115" t="s">
        <v>1559</v>
      </c>
      <c r="G2637" s="115" t="s">
        <v>6794</v>
      </c>
      <c r="H2637" s="115" t="s">
        <v>6795</v>
      </c>
    </row>
    <row r="2638" spans="1:8" x14ac:dyDescent="0.25">
      <c r="A2638" s="115">
        <v>5212</v>
      </c>
      <c r="B2638" s="115" t="s">
        <v>128</v>
      </c>
      <c r="C2638" s="115" t="s">
        <v>6796</v>
      </c>
      <c r="D2638" s="115">
        <v>1</v>
      </c>
      <c r="E2638" s="115" t="s">
        <v>6797</v>
      </c>
      <c r="F2638" s="115" t="s">
        <v>1562</v>
      </c>
      <c r="G2638" s="115" t="s">
        <v>1562</v>
      </c>
      <c r="H2638" s="115" t="s">
        <v>1577</v>
      </c>
    </row>
    <row r="2639" spans="1:8" x14ac:dyDescent="0.25">
      <c r="A2639" s="115">
        <v>5211</v>
      </c>
      <c r="B2639" s="115" t="s">
        <v>128</v>
      </c>
      <c r="C2639" s="115" t="s">
        <v>6798</v>
      </c>
      <c r="D2639" s="115">
        <v>1</v>
      </c>
      <c r="E2639" s="115" t="s">
        <v>6799</v>
      </c>
      <c r="F2639" s="115" t="s">
        <v>6800</v>
      </c>
      <c r="G2639" s="115" t="s">
        <v>6801</v>
      </c>
      <c r="H2639" s="115" t="s">
        <v>6802</v>
      </c>
    </row>
    <row r="2640" spans="1:8" x14ac:dyDescent="0.25">
      <c r="A2640" s="115">
        <v>5210</v>
      </c>
      <c r="B2640" s="115" t="s">
        <v>128</v>
      </c>
      <c r="C2640" s="115" t="s">
        <v>6803</v>
      </c>
      <c r="D2640" s="115">
        <v>1</v>
      </c>
      <c r="E2640" s="115" t="s">
        <v>6804</v>
      </c>
      <c r="F2640" s="115" t="s">
        <v>6805</v>
      </c>
      <c r="G2640" s="115" t="s">
        <v>6806</v>
      </c>
      <c r="H2640" s="115" t="s">
        <v>6807</v>
      </c>
    </row>
    <row r="2641" spans="1:8" ht="75" x14ac:dyDescent="0.25">
      <c r="A2641" s="115">
        <v>5209</v>
      </c>
      <c r="B2641" s="115" t="s">
        <v>128</v>
      </c>
      <c r="C2641" s="115" t="s">
        <v>6808</v>
      </c>
      <c r="D2641" s="115">
        <v>1</v>
      </c>
      <c r="E2641" s="115" t="s">
        <v>6809</v>
      </c>
      <c r="F2641" s="115" t="s">
        <v>6810</v>
      </c>
      <c r="G2641" s="115" t="s">
        <v>6811</v>
      </c>
      <c r="H2641" s="115" t="s">
        <v>6809</v>
      </c>
    </row>
    <row r="2642" spans="1:8" ht="45" x14ac:dyDescent="0.25">
      <c r="A2642" s="115">
        <v>5208</v>
      </c>
      <c r="B2642" s="115" t="s">
        <v>128</v>
      </c>
      <c r="C2642" s="115" t="s">
        <v>6812</v>
      </c>
      <c r="D2642" s="115">
        <v>1</v>
      </c>
      <c r="E2642" s="115" t="s">
        <v>6813</v>
      </c>
      <c r="F2642" s="115" t="s">
        <v>6814</v>
      </c>
      <c r="G2642" s="115" t="s">
        <v>6815</v>
      </c>
      <c r="H2642" s="115" t="s">
        <v>6816</v>
      </c>
    </row>
    <row r="2643" spans="1:8" ht="90" x14ac:dyDescent="0.25">
      <c r="A2643" s="115">
        <v>5207</v>
      </c>
      <c r="B2643" s="115" t="s">
        <v>128</v>
      </c>
      <c r="C2643" s="115" t="s">
        <v>6817</v>
      </c>
      <c r="D2643" s="115">
        <v>1</v>
      </c>
      <c r="E2643" s="115" t="s">
        <v>6818</v>
      </c>
      <c r="F2643" s="115" t="s">
        <v>6819</v>
      </c>
      <c r="G2643" s="115" t="s">
        <v>6820</v>
      </c>
      <c r="H2643" s="115" t="s">
        <v>6821</v>
      </c>
    </row>
    <row r="2644" spans="1:8" ht="30" x14ac:dyDescent="0.25">
      <c r="A2644" s="115">
        <v>5206</v>
      </c>
      <c r="B2644" s="115" t="s">
        <v>128</v>
      </c>
      <c r="C2644" s="115" t="s">
        <v>6822</v>
      </c>
      <c r="D2644" s="115">
        <v>1</v>
      </c>
      <c r="E2644" s="115" t="s">
        <v>6823</v>
      </c>
      <c r="F2644" s="115" t="s">
        <v>6824</v>
      </c>
      <c r="G2644" s="115" t="s">
        <v>6825</v>
      </c>
      <c r="H2644" s="115" t="s">
        <v>6823</v>
      </c>
    </row>
    <row r="2645" spans="1:8" ht="30" x14ac:dyDescent="0.25">
      <c r="A2645" s="115">
        <v>5205</v>
      </c>
      <c r="B2645" s="115" t="s">
        <v>128</v>
      </c>
      <c r="C2645" s="115" t="s">
        <v>6826</v>
      </c>
      <c r="D2645" s="115">
        <v>1</v>
      </c>
      <c r="E2645" s="115" t="s">
        <v>6827</v>
      </c>
      <c r="F2645" s="115" t="s">
        <v>6828</v>
      </c>
      <c r="G2645" s="115" t="s">
        <v>6829</v>
      </c>
      <c r="H2645" s="115" t="s">
        <v>6827</v>
      </c>
    </row>
    <row r="2646" spans="1:8" ht="30" x14ac:dyDescent="0.25">
      <c r="A2646" s="115">
        <v>5204</v>
      </c>
      <c r="B2646" s="115" t="s">
        <v>128</v>
      </c>
      <c r="C2646" s="115" t="s">
        <v>6830</v>
      </c>
      <c r="D2646" s="115">
        <v>1</v>
      </c>
      <c r="E2646" s="115" t="s">
        <v>6831</v>
      </c>
      <c r="F2646" s="115" t="s">
        <v>6832</v>
      </c>
      <c r="G2646" s="115" t="s">
        <v>6833</v>
      </c>
      <c r="H2646" s="115" t="s">
        <v>6831</v>
      </c>
    </row>
    <row r="2647" spans="1:8" ht="75" x14ac:dyDescent="0.25">
      <c r="A2647" s="115">
        <v>5203</v>
      </c>
      <c r="B2647" s="115" t="s">
        <v>128</v>
      </c>
      <c r="C2647" s="115" t="s">
        <v>6834</v>
      </c>
      <c r="D2647" s="115">
        <v>1</v>
      </c>
      <c r="E2647" s="115" t="s">
        <v>6809</v>
      </c>
      <c r="F2647" s="115" t="s">
        <v>6810</v>
      </c>
      <c r="G2647" s="115" t="s">
        <v>6811</v>
      </c>
      <c r="H2647" s="115" t="s">
        <v>6809</v>
      </c>
    </row>
    <row r="2648" spans="1:8" ht="45" x14ac:dyDescent="0.25">
      <c r="A2648" s="115">
        <v>5202</v>
      </c>
      <c r="B2648" s="115" t="s">
        <v>128</v>
      </c>
      <c r="C2648" s="115" t="s">
        <v>6835</v>
      </c>
      <c r="D2648" s="115">
        <v>1</v>
      </c>
      <c r="E2648" s="115" t="s">
        <v>6836</v>
      </c>
      <c r="F2648" s="115" t="s">
        <v>6837</v>
      </c>
      <c r="G2648" s="115" t="s">
        <v>6838</v>
      </c>
      <c r="H2648" s="115" t="s">
        <v>6839</v>
      </c>
    </row>
    <row r="2649" spans="1:8" ht="90" x14ac:dyDescent="0.25">
      <c r="A2649" s="115">
        <v>5201</v>
      </c>
      <c r="B2649" s="115" t="s">
        <v>128</v>
      </c>
      <c r="C2649" s="115" t="s">
        <v>6840</v>
      </c>
      <c r="D2649" s="115">
        <v>1</v>
      </c>
      <c r="E2649" s="115" t="s">
        <v>6841</v>
      </c>
      <c r="F2649" s="115" t="s">
        <v>6842</v>
      </c>
      <c r="G2649" s="115" t="s">
        <v>6843</v>
      </c>
      <c r="H2649" s="115" t="s">
        <v>6844</v>
      </c>
    </row>
    <row r="2650" spans="1:8" ht="30" x14ac:dyDescent="0.25">
      <c r="A2650" s="115">
        <v>5200</v>
      </c>
      <c r="B2650" s="115" t="s">
        <v>128</v>
      </c>
      <c r="C2650" s="115" t="s">
        <v>6845</v>
      </c>
      <c r="D2650" s="115">
        <v>1</v>
      </c>
      <c r="E2650" s="115" t="s">
        <v>6846</v>
      </c>
      <c r="F2650" s="115" t="s">
        <v>6847</v>
      </c>
      <c r="G2650" s="115" t="s">
        <v>6848</v>
      </c>
      <c r="H2650" s="115" t="s">
        <v>6846</v>
      </c>
    </row>
    <row r="2651" spans="1:8" ht="30" x14ac:dyDescent="0.25">
      <c r="A2651" s="115">
        <v>5199</v>
      </c>
      <c r="B2651" s="115" t="s">
        <v>128</v>
      </c>
      <c r="C2651" s="115" t="s">
        <v>6849</v>
      </c>
      <c r="D2651" s="115">
        <v>1</v>
      </c>
      <c r="E2651" s="115" t="s">
        <v>6827</v>
      </c>
      <c r="F2651" s="115" t="s">
        <v>6828</v>
      </c>
      <c r="G2651" s="115" t="s">
        <v>6829</v>
      </c>
      <c r="H2651" s="115" t="s">
        <v>6827</v>
      </c>
    </row>
    <row r="2652" spans="1:8" ht="30" x14ac:dyDescent="0.25">
      <c r="A2652" s="115">
        <v>5198</v>
      </c>
      <c r="B2652" s="115" t="s">
        <v>128</v>
      </c>
      <c r="C2652" s="115" t="s">
        <v>6850</v>
      </c>
      <c r="D2652" s="115">
        <v>1</v>
      </c>
      <c r="E2652" s="115" t="s">
        <v>6831</v>
      </c>
      <c r="F2652" s="115" t="s">
        <v>6832</v>
      </c>
      <c r="G2652" s="115" t="s">
        <v>6833</v>
      </c>
      <c r="H2652" s="115" t="s">
        <v>6831</v>
      </c>
    </row>
    <row r="2653" spans="1:8" ht="45" x14ac:dyDescent="0.25">
      <c r="A2653" s="115">
        <v>5197</v>
      </c>
      <c r="B2653" s="115" t="s">
        <v>128</v>
      </c>
      <c r="C2653" s="115" t="s">
        <v>6851</v>
      </c>
      <c r="D2653" s="115">
        <v>1</v>
      </c>
      <c r="E2653" s="115" t="s">
        <v>6852</v>
      </c>
      <c r="F2653" s="115" t="s">
        <v>6853</v>
      </c>
      <c r="G2653" s="115" t="s">
        <v>6854</v>
      </c>
      <c r="H2653" s="115" t="s">
        <v>6855</v>
      </c>
    </row>
    <row r="2654" spans="1:8" ht="60" x14ac:dyDescent="0.25">
      <c r="A2654" s="115">
        <v>5196</v>
      </c>
      <c r="B2654" s="115" t="s">
        <v>128</v>
      </c>
      <c r="C2654" s="115" t="s">
        <v>6856</v>
      </c>
      <c r="D2654" s="115">
        <v>1</v>
      </c>
      <c r="E2654" s="115" t="s">
        <v>6857</v>
      </c>
      <c r="F2654" s="115" t="s">
        <v>6858</v>
      </c>
      <c r="G2654" s="115" t="s">
        <v>6859</v>
      </c>
      <c r="H2654" s="115" t="s">
        <v>6860</v>
      </c>
    </row>
    <row r="2655" spans="1:8" ht="30" x14ac:dyDescent="0.25">
      <c r="A2655" s="115">
        <v>5195</v>
      </c>
      <c r="B2655" s="115" t="s">
        <v>128</v>
      </c>
      <c r="C2655" s="115" t="s">
        <v>6861</v>
      </c>
      <c r="D2655" s="115">
        <v>1</v>
      </c>
      <c r="E2655" s="115" t="s">
        <v>6862</v>
      </c>
      <c r="F2655" s="115" t="s">
        <v>6863</v>
      </c>
      <c r="G2655" s="115" t="s">
        <v>6864</v>
      </c>
      <c r="H2655" s="115" t="s">
        <v>6865</v>
      </c>
    </row>
    <row r="2656" spans="1:8" ht="45" x14ac:dyDescent="0.25">
      <c r="A2656" s="115">
        <v>5194</v>
      </c>
      <c r="B2656" s="115" t="s">
        <v>128</v>
      </c>
      <c r="C2656" s="115" t="s">
        <v>6866</v>
      </c>
      <c r="D2656" s="115">
        <v>1</v>
      </c>
      <c r="E2656" s="115" t="s">
        <v>6867</v>
      </c>
      <c r="F2656" s="115" t="s">
        <v>6868</v>
      </c>
      <c r="G2656" s="115" t="s">
        <v>6869</v>
      </c>
      <c r="H2656" s="115" t="s">
        <v>6870</v>
      </c>
    </row>
    <row r="2657" spans="1:8" x14ac:dyDescent="0.25">
      <c r="A2657" s="115">
        <v>5193</v>
      </c>
      <c r="B2657" s="115" t="s">
        <v>128</v>
      </c>
      <c r="C2657" s="115" t="s">
        <v>6871</v>
      </c>
      <c r="D2657" s="115">
        <v>1</v>
      </c>
      <c r="E2657" s="115" t="s">
        <v>6872</v>
      </c>
      <c r="F2657" s="115" t="s">
        <v>6873</v>
      </c>
      <c r="G2657" s="115" t="s">
        <v>6874</v>
      </c>
      <c r="H2657" s="115" t="s">
        <v>6872</v>
      </c>
    </row>
    <row r="2658" spans="1:8" ht="90" x14ac:dyDescent="0.25">
      <c r="A2658" s="115">
        <v>5192</v>
      </c>
      <c r="B2658" s="115" t="s">
        <v>128</v>
      </c>
      <c r="C2658" s="115" t="s">
        <v>6875</v>
      </c>
      <c r="D2658" s="115">
        <v>1</v>
      </c>
      <c r="E2658" s="115" t="s">
        <v>6876</v>
      </c>
      <c r="F2658" s="115" t="s">
        <v>6877</v>
      </c>
      <c r="G2658" s="115" t="s">
        <v>6878</v>
      </c>
      <c r="H2658" s="115" t="s">
        <v>6879</v>
      </c>
    </row>
    <row r="2659" spans="1:8" ht="30" x14ac:dyDescent="0.25">
      <c r="A2659" s="115">
        <v>5191</v>
      </c>
      <c r="B2659" s="115" t="s">
        <v>128</v>
      </c>
      <c r="C2659" s="115" t="s">
        <v>6880</v>
      </c>
      <c r="D2659" s="115">
        <v>1</v>
      </c>
      <c r="E2659" s="115" t="s">
        <v>6881</v>
      </c>
      <c r="F2659" s="115" t="s">
        <v>6882</v>
      </c>
      <c r="G2659" s="115" t="s">
        <v>6883</v>
      </c>
      <c r="H2659" s="115" t="s">
        <v>6884</v>
      </c>
    </row>
    <row r="2660" spans="1:8" ht="30" x14ac:dyDescent="0.25">
      <c r="A2660" s="115">
        <v>5190</v>
      </c>
      <c r="B2660" s="115" t="s">
        <v>128</v>
      </c>
      <c r="C2660" s="115" t="s">
        <v>6885</v>
      </c>
      <c r="D2660" s="115">
        <v>1</v>
      </c>
      <c r="E2660" s="115" t="s">
        <v>6886</v>
      </c>
      <c r="F2660" s="115" t="s">
        <v>6887</v>
      </c>
      <c r="G2660" s="115" t="s">
        <v>6888</v>
      </c>
      <c r="H2660" s="115" t="s">
        <v>6889</v>
      </c>
    </row>
    <row r="2661" spans="1:8" ht="30" x14ac:dyDescent="0.25">
      <c r="A2661" s="115">
        <v>5189</v>
      </c>
      <c r="B2661" s="115" t="s">
        <v>128</v>
      </c>
      <c r="C2661" s="115" t="s">
        <v>6890</v>
      </c>
      <c r="D2661" s="115">
        <v>1</v>
      </c>
      <c r="E2661" s="115" t="s">
        <v>6891</v>
      </c>
      <c r="F2661" s="115" t="s">
        <v>6892</v>
      </c>
      <c r="G2661" s="115" t="s">
        <v>6893</v>
      </c>
      <c r="H2661" s="115" t="s">
        <v>6894</v>
      </c>
    </row>
    <row r="2662" spans="1:8" ht="30" x14ac:dyDescent="0.25">
      <c r="A2662" s="115">
        <v>5188</v>
      </c>
      <c r="B2662" s="115" t="s">
        <v>128</v>
      </c>
      <c r="C2662" s="115" t="s">
        <v>6895</v>
      </c>
      <c r="D2662" s="115">
        <v>1</v>
      </c>
      <c r="E2662" s="115" t="s">
        <v>6896</v>
      </c>
      <c r="F2662" s="115" t="s">
        <v>6897</v>
      </c>
      <c r="G2662" s="115" t="s">
        <v>6898</v>
      </c>
      <c r="H2662" s="115" t="s">
        <v>6899</v>
      </c>
    </row>
    <row r="2663" spans="1:8" ht="30" x14ac:dyDescent="0.25">
      <c r="A2663" s="115">
        <v>5187</v>
      </c>
      <c r="B2663" s="115" t="s">
        <v>128</v>
      </c>
      <c r="C2663" s="115" t="s">
        <v>6900</v>
      </c>
      <c r="D2663" s="115">
        <v>1</v>
      </c>
      <c r="E2663" s="115" t="s">
        <v>6901</v>
      </c>
      <c r="F2663" s="115" t="s">
        <v>6902</v>
      </c>
      <c r="G2663" s="115" t="s">
        <v>6903</v>
      </c>
      <c r="H2663" s="115" t="s">
        <v>6904</v>
      </c>
    </row>
    <row r="2664" spans="1:8" ht="30" x14ac:dyDescent="0.25">
      <c r="A2664" s="115">
        <v>5186</v>
      </c>
      <c r="B2664" s="115" t="s">
        <v>128</v>
      </c>
      <c r="C2664" s="115" t="s">
        <v>6905</v>
      </c>
      <c r="D2664" s="115">
        <v>1</v>
      </c>
      <c r="E2664" s="115" t="s">
        <v>6906</v>
      </c>
      <c r="F2664" s="115" t="s">
        <v>6907</v>
      </c>
      <c r="G2664" s="115" t="s">
        <v>6908</v>
      </c>
      <c r="H2664" s="115" t="s">
        <v>6909</v>
      </c>
    </row>
    <row r="2665" spans="1:8" ht="45" x14ac:dyDescent="0.25">
      <c r="A2665" s="115">
        <v>5185</v>
      </c>
      <c r="B2665" s="115" t="s">
        <v>128</v>
      </c>
      <c r="C2665" s="115" t="s">
        <v>6910</v>
      </c>
      <c r="D2665" s="115">
        <v>1</v>
      </c>
      <c r="E2665" s="115" t="s">
        <v>6911</v>
      </c>
      <c r="F2665" s="115" t="s">
        <v>6912</v>
      </c>
      <c r="G2665" s="115" t="s">
        <v>6913</v>
      </c>
      <c r="H2665" s="115" t="s">
        <v>6914</v>
      </c>
    </row>
    <row r="2666" spans="1:8" ht="30" x14ac:dyDescent="0.25">
      <c r="A2666" s="115">
        <v>5184</v>
      </c>
      <c r="B2666" s="115" t="s">
        <v>128</v>
      </c>
      <c r="C2666" s="115" t="s">
        <v>6915</v>
      </c>
      <c r="D2666" s="115">
        <v>1</v>
      </c>
      <c r="E2666" s="115" t="s">
        <v>6916</v>
      </c>
      <c r="F2666" s="115" t="s">
        <v>6917</v>
      </c>
      <c r="G2666" s="115" t="s">
        <v>6918</v>
      </c>
      <c r="H2666" s="115" t="s">
        <v>6919</v>
      </c>
    </row>
    <row r="2667" spans="1:8" ht="45" x14ac:dyDescent="0.25">
      <c r="A2667" s="115">
        <v>5183</v>
      </c>
      <c r="B2667" s="115" t="s">
        <v>128</v>
      </c>
      <c r="C2667" s="115" t="s">
        <v>6920</v>
      </c>
      <c r="D2667" s="115">
        <v>1</v>
      </c>
      <c r="E2667" s="115" t="s">
        <v>6921</v>
      </c>
      <c r="F2667" s="115" t="s">
        <v>6922</v>
      </c>
      <c r="G2667" s="115" t="s">
        <v>6923</v>
      </c>
      <c r="H2667" s="115" t="s">
        <v>6924</v>
      </c>
    </row>
    <row r="2668" spans="1:8" ht="75" x14ac:dyDescent="0.25">
      <c r="A2668" s="115">
        <v>5182</v>
      </c>
      <c r="B2668" s="115" t="s">
        <v>128</v>
      </c>
      <c r="C2668" s="115" t="s">
        <v>6925</v>
      </c>
      <c r="D2668" s="115">
        <v>1</v>
      </c>
      <c r="E2668" s="115" t="s">
        <v>6926</v>
      </c>
      <c r="F2668" s="115" t="s">
        <v>6927</v>
      </c>
      <c r="G2668" s="115" t="s">
        <v>6928</v>
      </c>
      <c r="H2668" s="115" t="s">
        <v>6929</v>
      </c>
    </row>
    <row r="2669" spans="1:8" ht="45" x14ac:dyDescent="0.25">
      <c r="A2669" s="115">
        <v>5181</v>
      </c>
      <c r="B2669" s="115" t="s">
        <v>128</v>
      </c>
      <c r="C2669" s="115" t="s">
        <v>6930</v>
      </c>
      <c r="D2669" s="115">
        <v>1</v>
      </c>
      <c r="E2669" s="115" t="s">
        <v>6931</v>
      </c>
      <c r="F2669" s="115" t="s">
        <v>6932</v>
      </c>
      <c r="G2669" s="115" t="s">
        <v>6933</v>
      </c>
      <c r="H2669" s="115" t="s">
        <v>6934</v>
      </c>
    </row>
    <row r="2670" spans="1:8" ht="30" x14ac:dyDescent="0.25">
      <c r="A2670" s="115">
        <v>5180</v>
      </c>
      <c r="B2670" s="115" t="s">
        <v>128</v>
      </c>
      <c r="C2670" s="115" t="s">
        <v>6935</v>
      </c>
      <c r="D2670" s="115">
        <v>1</v>
      </c>
      <c r="E2670" s="115" t="s">
        <v>6936</v>
      </c>
      <c r="F2670" s="115" t="s">
        <v>6937</v>
      </c>
      <c r="G2670" s="115" t="s">
        <v>6938</v>
      </c>
      <c r="H2670" s="115" t="s">
        <v>6936</v>
      </c>
    </row>
    <row r="2671" spans="1:8" ht="45" x14ac:dyDescent="0.25">
      <c r="A2671" s="115">
        <v>5179</v>
      </c>
      <c r="B2671" s="115" t="s">
        <v>128</v>
      </c>
      <c r="C2671" s="115" t="s">
        <v>6939</v>
      </c>
      <c r="D2671" s="115">
        <v>1</v>
      </c>
      <c r="E2671" s="115" t="s">
        <v>6940</v>
      </c>
      <c r="F2671" s="115" t="s">
        <v>6941</v>
      </c>
      <c r="G2671" s="115" t="s">
        <v>6942</v>
      </c>
      <c r="H2671" s="115" t="s">
        <v>6940</v>
      </c>
    </row>
    <row r="2672" spans="1:8" ht="60" x14ac:dyDescent="0.25">
      <c r="A2672" s="115">
        <v>5178</v>
      </c>
      <c r="B2672" s="115" t="s">
        <v>128</v>
      </c>
      <c r="C2672" s="115" t="s">
        <v>6943</v>
      </c>
      <c r="D2672" s="115">
        <v>1</v>
      </c>
      <c r="E2672" s="115" t="s">
        <v>6944</v>
      </c>
      <c r="F2672" s="115" t="s">
        <v>6945</v>
      </c>
      <c r="G2672" s="115" t="s">
        <v>6946</v>
      </c>
      <c r="H2672" s="115" t="s">
        <v>6944</v>
      </c>
    </row>
    <row r="2673" spans="1:8" ht="30" x14ac:dyDescent="0.25">
      <c r="A2673" s="115">
        <v>5177</v>
      </c>
      <c r="B2673" s="115" t="s">
        <v>128</v>
      </c>
      <c r="C2673" s="115" t="s">
        <v>6947</v>
      </c>
      <c r="D2673" s="115">
        <v>1</v>
      </c>
      <c r="E2673" s="115" t="s">
        <v>6948</v>
      </c>
      <c r="F2673" s="115" t="s">
        <v>6949</v>
      </c>
      <c r="G2673" s="115" t="s">
        <v>6950</v>
      </c>
      <c r="H2673" s="115" t="s">
        <v>6948</v>
      </c>
    </row>
    <row r="2674" spans="1:8" ht="30" x14ac:dyDescent="0.25">
      <c r="A2674" s="115">
        <v>5176</v>
      </c>
      <c r="B2674" s="115" t="s">
        <v>128</v>
      </c>
      <c r="C2674" s="115" t="s">
        <v>6951</v>
      </c>
      <c r="D2674" s="115">
        <v>1</v>
      </c>
      <c r="E2674" s="115" t="s">
        <v>6952</v>
      </c>
      <c r="F2674" s="115" t="s">
        <v>6953</v>
      </c>
      <c r="G2674" s="115" t="s">
        <v>6954</v>
      </c>
      <c r="H2674" s="115" t="s">
        <v>6952</v>
      </c>
    </row>
    <row r="2675" spans="1:8" ht="45" x14ac:dyDescent="0.25">
      <c r="A2675" s="115">
        <v>5175</v>
      </c>
      <c r="B2675" s="115" t="s">
        <v>128</v>
      </c>
      <c r="C2675" s="115" t="s">
        <v>6955</v>
      </c>
      <c r="D2675" s="115">
        <v>1</v>
      </c>
      <c r="E2675" s="115" t="s">
        <v>6956</v>
      </c>
      <c r="F2675" s="115" t="s">
        <v>6957</v>
      </c>
      <c r="G2675" s="115" t="s">
        <v>6958</v>
      </c>
      <c r="H2675" s="115" t="s">
        <v>6956</v>
      </c>
    </row>
    <row r="2676" spans="1:8" ht="45" x14ac:dyDescent="0.25">
      <c r="A2676" s="115">
        <v>5174</v>
      </c>
      <c r="B2676" s="115" t="s">
        <v>128</v>
      </c>
      <c r="C2676" s="115" t="s">
        <v>6959</v>
      </c>
      <c r="D2676" s="115">
        <v>1</v>
      </c>
      <c r="E2676" s="115" t="s">
        <v>6960</v>
      </c>
      <c r="F2676" s="115" t="s">
        <v>6961</v>
      </c>
      <c r="G2676" s="115" t="s">
        <v>6962</v>
      </c>
      <c r="H2676" s="115" t="s">
        <v>6960</v>
      </c>
    </row>
    <row r="2677" spans="1:8" ht="30" x14ac:dyDescent="0.25">
      <c r="A2677" s="115">
        <v>5173</v>
      </c>
      <c r="B2677" s="115" t="s">
        <v>128</v>
      </c>
      <c r="C2677" s="115" t="s">
        <v>6963</v>
      </c>
      <c r="D2677" s="115">
        <v>1</v>
      </c>
      <c r="E2677" s="115" t="s">
        <v>6964</v>
      </c>
      <c r="F2677" s="115" t="s">
        <v>6965</v>
      </c>
      <c r="G2677" s="115" t="s">
        <v>6966</v>
      </c>
      <c r="H2677" s="115" t="s">
        <v>6964</v>
      </c>
    </row>
    <row r="2678" spans="1:8" ht="45" x14ac:dyDescent="0.25">
      <c r="A2678" s="115">
        <v>5172</v>
      </c>
      <c r="B2678" s="115" t="s">
        <v>128</v>
      </c>
      <c r="C2678" s="115" t="s">
        <v>6967</v>
      </c>
      <c r="D2678" s="115">
        <v>1</v>
      </c>
      <c r="E2678" s="115" t="s">
        <v>6968</v>
      </c>
      <c r="F2678" s="115" t="s">
        <v>6969</v>
      </c>
      <c r="G2678" s="115" t="s">
        <v>6970</v>
      </c>
      <c r="H2678" s="115" t="s">
        <v>6968</v>
      </c>
    </row>
    <row r="2679" spans="1:8" ht="60" x14ac:dyDescent="0.25">
      <c r="A2679" s="115">
        <v>5171</v>
      </c>
      <c r="B2679" s="115" t="s">
        <v>128</v>
      </c>
      <c r="C2679" s="115" t="s">
        <v>6971</v>
      </c>
      <c r="D2679" s="115">
        <v>1</v>
      </c>
      <c r="E2679" s="115" t="s">
        <v>5371</v>
      </c>
      <c r="F2679" s="115" t="s">
        <v>6972</v>
      </c>
      <c r="G2679" s="115" t="s">
        <v>6973</v>
      </c>
      <c r="H2679" s="115" t="s">
        <v>5371</v>
      </c>
    </row>
    <row r="2680" spans="1:8" ht="45" x14ac:dyDescent="0.25">
      <c r="A2680" s="115">
        <v>5170</v>
      </c>
      <c r="B2680" s="115" t="s">
        <v>128</v>
      </c>
      <c r="C2680" s="115" t="s">
        <v>6974</v>
      </c>
      <c r="D2680" s="115">
        <v>1</v>
      </c>
      <c r="E2680" s="115" t="s">
        <v>6975</v>
      </c>
      <c r="F2680" s="115" t="s">
        <v>6976</v>
      </c>
      <c r="G2680" s="115" t="s">
        <v>6977</v>
      </c>
      <c r="H2680" s="115" t="s">
        <v>6975</v>
      </c>
    </row>
    <row r="2681" spans="1:8" x14ac:dyDescent="0.25">
      <c r="A2681" s="115">
        <v>5169</v>
      </c>
      <c r="B2681" s="115" t="s">
        <v>128</v>
      </c>
      <c r="C2681" s="115" t="s">
        <v>6978</v>
      </c>
      <c r="D2681" s="115">
        <v>1</v>
      </c>
      <c r="E2681" s="115" t="s">
        <v>2961</v>
      </c>
      <c r="F2681" s="115" t="s">
        <v>6979</v>
      </c>
      <c r="G2681" s="115" t="s">
        <v>1590</v>
      </c>
      <c r="H2681" s="115" t="s">
        <v>2961</v>
      </c>
    </row>
    <row r="2682" spans="1:8" x14ac:dyDescent="0.25">
      <c r="A2682" s="115">
        <v>5168</v>
      </c>
      <c r="B2682" s="115" t="s">
        <v>128</v>
      </c>
      <c r="C2682" s="115" t="s">
        <v>6980</v>
      </c>
      <c r="D2682" s="115">
        <v>1</v>
      </c>
      <c r="E2682" s="115" t="s">
        <v>6981</v>
      </c>
      <c r="F2682" s="115" t="s">
        <v>6982</v>
      </c>
      <c r="G2682" s="115" t="s">
        <v>6983</v>
      </c>
      <c r="H2682" s="115" t="s">
        <v>6981</v>
      </c>
    </row>
    <row r="2683" spans="1:8" x14ac:dyDescent="0.25">
      <c r="A2683" s="115">
        <v>5167</v>
      </c>
      <c r="B2683" s="115" t="s">
        <v>128</v>
      </c>
      <c r="C2683" s="115" t="s">
        <v>6984</v>
      </c>
      <c r="D2683" s="115">
        <v>1</v>
      </c>
      <c r="E2683" s="115" t="s">
        <v>661</v>
      </c>
      <c r="F2683" s="115" t="s">
        <v>662</v>
      </c>
      <c r="G2683" s="115" t="s">
        <v>663</v>
      </c>
      <c r="H2683" s="115" t="s">
        <v>6985</v>
      </c>
    </row>
    <row r="2684" spans="1:8" x14ac:dyDescent="0.25">
      <c r="A2684" s="115">
        <v>5166</v>
      </c>
      <c r="B2684" s="115" t="s">
        <v>128</v>
      </c>
      <c r="C2684" s="115" t="s">
        <v>6986</v>
      </c>
      <c r="D2684" s="115">
        <v>1</v>
      </c>
      <c r="E2684" s="115" t="s">
        <v>711</v>
      </c>
      <c r="F2684" s="115" t="s">
        <v>6987</v>
      </c>
      <c r="G2684" s="115" t="s">
        <v>713</v>
      </c>
      <c r="H2684" s="115" t="s">
        <v>711</v>
      </c>
    </row>
    <row r="2685" spans="1:8" ht="30" x14ac:dyDescent="0.25">
      <c r="A2685" s="115">
        <v>5165</v>
      </c>
      <c r="B2685" s="115" t="s">
        <v>128</v>
      </c>
      <c r="C2685" s="115" t="s">
        <v>6988</v>
      </c>
      <c r="D2685" s="115">
        <v>1</v>
      </c>
      <c r="E2685" s="115" t="s">
        <v>6989</v>
      </c>
      <c r="F2685" s="115" t="s">
        <v>6989</v>
      </c>
      <c r="G2685" s="115" t="s">
        <v>6989</v>
      </c>
      <c r="H2685" s="115" t="s">
        <v>6989</v>
      </c>
    </row>
    <row r="2686" spans="1:8" ht="30" x14ac:dyDescent="0.25">
      <c r="A2686" s="115">
        <v>5164</v>
      </c>
      <c r="B2686" s="115" t="s">
        <v>128</v>
      </c>
      <c r="C2686" s="115" t="s">
        <v>6990</v>
      </c>
      <c r="D2686" s="115">
        <v>1</v>
      </c>
      <c r="E2686" s="115" t="s">
        <v>6989</v>
      </c>
      <c r="F2686" s="115" t="s">
        <v>6989</v>
      </c>
      <c r="G2686" s="115" t="s">
        <v>6989</v>
      </c>
      <c r="H2686" s="115" t="s">
        <v>6989</v>
      </c>
    </row>
    <row r="2687" spans="1:8" x14ac:dyDescent="0.25">
      <c r="A2687" s="115">
        <v>5163</v>
      </c>
      <c r="B2687" s="115" t="s">
        <v>128</v>
      </c>
      <c r="C2687" s="115" t="s">
        <v>6991</v>
      </c>
      <c r="D2687" s="115">
        <v>1</v>
      </c>
      <c r="E2687" s="115" t="s">
        <v>563</v>
      </c>
      <c r="F2687" s="115" t="s">
        <v>6992</v>
      </c>
      <c r="G2687" s="115" t="s">
        <v>565</v>
      </c>
      <c r="H2687" s="115" t="s">
        <v>563</v>
      </c>
    </row>
    <row r="2688" spans="1:8" ht="30" x14ac:dyDescent="0.25">
      <c r="A2688" s="115">
        <v>5162</v>
      </c>
      <c r="B2688" s="115" t="s">
        <v>128</v>
      </c>
      <c r="C2688" s="115" t="s">
        <v>6993</v>
      </c>
      <c r="D2688" s="115">
        <v>1</v>
      </c>
      <c r="E2688" s="115" t="s">
        <v>6989</v>
      </c>
      <c r="F2688" s="115" t="s">
        <v>6989</v>
      </c>
      <c r="G2688" s="115" t="s">
        <v>6989</v>
      </c>
      <c r="H2688" s="115" t="s">
        <v>6989</v>
      </c>
    </row>
    <row r="2689" spans="1:8" ht="30" x14ac:dyDescent="0.25">
      <c r="A2689" s="115">
        <v>5161</v>
      </c>
      <c r="B2689" s="115" t="s">
        <v>128</v>
      </c>
      <c r="C2689" s="115" t="s">
        <v>6994</v>
      </c>
      <c r="D2689" s="115">
        <v>1</v>
      </c>
      <c r="E2689" s="115" t="s">
        <v>6989</v>
      </c>
      <c r="F2689" s="115" t="s">
        <v>6989</v>
      </c>
      <c r="G2689" s="115" t="s">
        <v>6989</v>
      </c>
      <c r="H2689" s="115" t="s">
        <v>6989</v>
      </c>
    </row>
    <row r="2690" spans="1:8" x14ac:dyDescent="0.25">
      <c r="A2690" s="115">
        <v>5160</v>
      </c>
      <c r="B2690" s="115" t="s">
        <v>128</v>
      </c>
      <c r="C2690" s="115" t="s">
        <v>6995</v>
      </c>
      <c r="D2690" s="115">
        <v>1</v>
      </c>
      <c r="E2690" s="115" t="s">
        <v>563</v>
      </c>
      <c r="H2690" s="115" t="s">
        <v>563</v>
      </c>
    </row>
    <row r="2691" spans="1:8" x14ac:dyDescent="0.25">
      <c r="A2691" s="115">
        <v>5159</v>
      </c>
      <c r="B2691" s="115" t="s">
        <v>128</v>
      </c>
      <c r="C2691" s="115" t="s">
        <v>6996</v>
      </c>
      <c r="D2691" s="115">
        <v>1</v>
      </c>
      <c r="E2691" s="115" t="s">
        <v>6997</v>
      </c>
      <c r="F2691" s="115" t="s">
        <v>6998</v>
      </c>
      <c r="G2691" s="115" t="s">
        <v>6999</v>
      </c>
      <c r="H2691" s="115" t="s">
        <v>7000</v>
      </c>
    </row>
    <row r="2692" spans="1:8" x14ac:dyDescent="0.25">
      <c r="A2692" s="115">
        <v>5158</v>
      </c>
      <c r="B2692" s="115" t="s">
        <v>128</v>
      </c>
      <c r="C2692" s="115" t="s">
        <v>7001</v>
      </c>
      <c r="D2692" s="115">
        <v>1</v>
      </c>
      <c r="E2692" s="115" t="s">
        <v>6997</v>
      </c>
      <c r="F2692" s="115" t="s">
        <v>6998</v>
      </c>
      <c r="G2692" s="115" t="s">
        <v>6999</v>
      </c>
      <c r="H2692" s="115" t="s">
        <v>7000</v>
      </c>
    </row>
    <row r="2693" spans="1:8" x14ac:dyDescent="0.25">
      <c r="A2693" s="115">
        <v>5157</v>
      </c>
      <c r="B2693" s="115" t="s">
        <v>128</v>
      </c>
      <c r="C2693" s="115" t="s">
        <v>7002</v>
      </c>
      <c r="D2693" s="115">
        <v>1</v>
      </c>
      <c r="E2693" s="115" t="s">
        <v>7003</v>
      </c>
      <c r="F2693" s="115" t="s">
        <v>7003</v>
      </c>
      <c r="G2693" s="115" t="s">
        <v>7003</v>
      </c>
      <c r="H2693" s="115" t="s">
        <v>7003</v>
      </c>
    </row>
    <row r="2694" spans="1:8" x14ac:dyDescent="0.25">
      <c r="A2694" s="115">
        <v>5156</v>
      </c>
      <c r="B2694" s="115" t="s">
        <v>128</v>
      </c>
      <c r="C2694" s="115" t="s">
        <v>7004</v>
      </c>
      <c r="D2694" s="115">
        <v>1</v>
      </c>
      <c r="E2694" s="115" t="s">
        <v>7005</v>
      </c>
      <c r="F2694" s="115" t="s">
        <v>778</v>
      </c>
      <c r="G2694" s="115" t="s">
        <v>486</v>
      </c>
      <c r="H2694" s="115" t="s">
        <v>7005</v>
      </c>
    </row>
    <row r="2695" spans="1:8" x14ac:dyDescent="0.25">
      <c r="A2695" s="115">
        <v>5155</v>
      </c>
      <c r="B2695" s="115" t="s">
        <v>128</v>
      </c>
      <c r="C2695" s="115" t="s">
        <v>7006</v>
      </c>
      <c r="D2695" s="115">
        <v>1</v>
      </c>
      <c r="E2695" s="115" t="s">
        <v>7005</v>
      </c>
      <c r="H2695" s="115" t="s">
        <v>7005</v>
      </c>
    </row>
    <row r="2696" spans="1:8" x14ac:dyDescent="0.25">
      <c r="A2696" s="115">
        <v>5154</v>
      </c>
      <c r="B2696" s="115" t="s">
        <v>128</v>
      </c>
      <c r="C2696" s="115" t="s">
        <v>7007</v>
      </c>
      <c r="D2696" s="115">
        <v>1</v>
      </c>
      <c r="E2696" s="115" t="s">
        <v>7008</v>
      </c>
      <c r="F2696" s="115" t="s">
        <v>7009</v>
      </c>
      <c r="G2696" s="115" t="s">
        <v>7010</v>
      </c>
      <c r="H2696" s="115" t="s">
        <v>7008</v>
      </c>
    </row>
    <row r="2697" spans="1:8" x14ac:dyDescent="0.25">
      <c r="A2697" s="115">
        <v>5153</v>
      </c>
      <c r="B2697" s="115" t="s">
        <v>128</v>
      </c>
      <c r="C2697" s="115" t="s">
        <v>7011</v>
      </c>
      <c r="D2697" s="115">
        <v>1</v>
      </c>
      <c r="E2697" s="115" t="s">
        <v>7012</v>
      </c>
      <c r="F2697" s="115" t="s">
        <v>7013</v>
      </c>
      <c r="G2697" s="115" t="s">
        <v>7014</v>
      </c>
      <c r="H2697" s="115" t="s">
        <v>7012</v>
      </c>
    </row>
    <row r="2698" spans="1:8" x14ac:dyDescent="0.25">
      <c r="A2698" s="115">
        <v>5152</v>
      </c>
      <c r="B2698" s="115" t="s">
        <v>128</v>
      </c>
      <c r="C2698" s="115" t="s">
        <v>7015</v>
      </c>
      <c r="D2698" s="115">
        <v>1</v>
      </c>
      <c r="E2698" s="115" t="s">
        <v>7016</v>
      </c>
      <c r="F2698" s="115" t="s">
        <v>7017</v>
      </c>
      <c r="G2698" s="115" t="s">
        <v>7018</v>
      </c>
      <c r="H2698" s="115" t="s">
        <v>7016</v>
      </c>
    </row>
    <row r="2699" spans="1:8" x14ac:dyDescent="0.25">
      <c r="A2699" s="115">
        <v>5151</v>
      </c>
      <c r="B2699" s="115" t="s">
        <v>128</v>
      </c>
      <c r="C2699" s="115" t="s">
        <v>7019</v>
      </c>
      <c r="D2699" s="115">
        <v>1</v>
      </c>
      <c r="E2699" s="115" t="s">
        <v>7020</v>
      </c>
      <c r="F2699" s="115" t="s">
        <v>7021</v>
      </c>
      <c r="G2699" s="115" t="s">
        <v>7022</v>
      </c>
      <c r="H2699" s="115" t="s">
        <v>7023</v>
      </c>
    </row>
    <row r="2700" spans="1:8" x14ac:dyDescent="0.25">
      <c r="A2700" s="115">
        <v>5150</v>
      </c>
      <c r="B2700" s="115" t="s">
        <v>128</v>
      </c>
      <c r="C2700" s="115" t="s">
        <v>7024</v>
      </c>
      <c r="D2700" s="115">
        <v>1</v>
      </c>
      <c r="E2700" s="115" t="s">
        <v>7020</v>
      </c>
      <c r="F2700" s="115" t="s">
        <v>7021</v>
      </c>
      <c r="G2700" s="115" t="s">
        <v>7022</v>
      </c>
      <c r="H2700" s="115" t="s">
        <v>7023</v>
      </c>
    </row>
    <row r="2701" spans="1:8" x14ac:dyDescent="0.25">
      <c r="A2701" s="115">
        <v>5149</v>
      </c>
      <c r="B2701" s="115" t="s">
        <v>128</v>
      </c>
      <c r="C2701" s="115" t="s">
        <v>7025</v>
      </c>
      <c r="D2701" s="115">
        <v>1</v>
      </c>
      <c r="E2701" s="115" t="s">
        <v>7026</v>
      </c>
      <c r="F2701" s="115" t="s">
        <v>7027</v>
      </c>
      <c r="G2701" s="115" t="s">
        <v>7028</v>
      </c>
      <c r="H2701" s="115" t="s">
        <v>7026</v>
      </c>
    </row>
    <row r="2702" spans="1:8" x14ac:dyDescent="0.25">
      <c r="A2702" s="115">
        <v>5148</v>
      </c>
      <c r="B2702" s="115" t="s">
        <v>128</v>
      </c>
      <c r="C2702" s="115" t="s">
        <v>7029</v>
      </c>
      <c r="D2702" s="115">
        <v>1</v>
      </c>
      <c r="E2702" s="115" t="s">
        <v>7030</v>
      </c>
      <c r="F2702" s="115" t="s">
        <v>7031</v>
      </c>
      <c r="G2702" s="115" t="s">
        <v>7032</v>
      </c>
      <c r="H2702" s="115" t="s">
        <v>7030</v>
      </c>
    </row>
    <row r="2703" spans="1:8" ht="30" x14ac:dyDescent="0.25">
      <c r="A2703" s="115">
        <v>5147</v>
      </c>
      <c r="B2703" s="115" t="s">
        <v>128</v>
      </c>
      <c r="C2703" s="115" t="s">
        <v>7033</v>
      </c>
      <c r="D2703" s="115">
        <v>1</v>
      </c>
      <c r="E2703" s="115" t="s">
        <v>7034</v>
      </c>
      <c r="F2703" s="115" t="s">
        <v>7035</v>
      </c>
      <c r="G2703" s="115" t="s">
        <v>7036</v>
      </c>
      <c r="H2703" s="115" t="s">
        <v>7034</v>
      </c>
    </row>
    <row r="2704" spans="1:8" ht="60" x14ac:dyDescent="0.25">
      <c r="A2704" s="115">
        <v>5146</v>
      </c>
      <c r="B2704" s="115" t="s">
        <v>128</v>
      </c>
      <c r="C2704" s="115" t="s">
        <v>7037</v>
      </c>
      <c r="D2704" s="115">
        <v>1</v>
      </c>
      <c r="E2704" s="115" t="s">
        <v>7038</v>
      </c>
      <c r="F2704" s="115" t="s">
        <v>7039</v>
      </c>
      <c r="G2704" s="115" t="s">
        <v>7040</v>
      </c>
      <c r="H2704" s="115" t="s">
        <v>7038</v>
      </c>
    </row>
    <row r="2705" spans="1:8" x14ac:dyDescent="0.25">
      <c r="A2705" s="115">
        <v>5145</v>
      </c>
      <c r="B2705" s="115" t="s">
        <v>128</v>
      </c>
      <c r="C2705" s="115" t="s">
        <v>7041</v>
      </c>
      <c r="D2705" s="115">
        <v>1</v>
      </c>
      <c r="E2705" s="115" t="s">
        <v>7042</v>
      </c>
      <c r="F2705" s="115" t="s">
        <v>7043</v>
      </c>
      <c r="G2705" s="115" t="s">
        <v>7044</v>
      </c>
      <c r="H2705" s="115" t="s">
        <v>7045</v>
      </c>
    </row>
    <row r="2706" spans="1:8" x14ac:dyDescent="0.25">
      <c r="A2706" s="115">
        <v>5144</v>
      </c>
      <c r="B2706" s="115" t="s">
        <v>128</v>
      </c>
      <c r="C2706" s="115" t="s">
        <v>7046</v>
      </c>
      <c r="D2706" s="115">
        <v>1</v>
      </c>
      <c r="E2706" s="115" t="s">
        <v>7042</v>
      </c>
      <c r="F2706" s="115" t="s">
        <v>7043</v>
      </c>
      <c r="G2706" s="115" t="s">
        <v>7044</v>
      </c>
      <c r="H2706" s="115" t="s">
        <v>7045</v>
      </c>
    </row>
    <row r="2707" spans="1:8" ht="30" x14ac:dyDescent="0.25">
      <c r="A2707" s="115">
        <v>5143</v>
      </c>
      <c r="B2707" s="115" t="s">
        <v>128</v>
      </c>
      <c r="C2707" s="115" t="s">
        <v>7047</v>
      </c>
      <c r="D2707" s="115">
        <v>1</v>
      </c>
      <c r="E2707" s="115" t="s">
        <v>7048</v>
      </c>
      <c r="F2707" s="115" t="s">
        <v>7049</v>
      </c>
      <c r="G2707" s="115" t="s">
        <v>776</v>
      </c>
      <c r="H2707" s="115" t="s">
        <v>7050</v>
      </c>
    </row>
    <row r="2708" spans="1:8" ht="30" x14ac:dyDescent="0.25">
      <c r="A2708" s="115">
        <v>5142</v>
      </c>
      <c r="B2708" s="115" t="s">
        <v>128</v>
      </c>
      <c r="C2708" s="115" t="s">
        <v>7051</v>
      </c>
      <c r="D2708" s="115">
        <v>1</v>
      </c>
      <c r="E2708" s="115" t="s">
        <v>7052</v>
      </c>
      <c r="F2708" s="115" t="s">
        <v>1489</v>
      </c>
      <c r="G2708" s="115" t="s">
        <v>1490</v>
      </c>
      <c r="H2708" s="115" t="s">
        <v>7052</v>
      </c>
    </row>
    <row r="2709" spans="1:8" ht="75" x14ac:dyDescent="0.25">
      <c r="A2709" s="115">
        <v>5141</v>
      </c>
      <c r="B2709" s="115" t="s">
        <v>128</v>
      </c>
      <c r="C2709" s="115" t="s">
        <v>7053</v>
      </c>
      <c r="D2709" s="115">
        <v>1</v>
      </c>
      <c r="E2709" s="115" t="s">
        <v>7054</v>
      </c>
      <c r="F2709" s="115" t="s">
        <v>7055</v>
      </c>
      <c r="G2709" s="115" t="s">
        <v>7056</v>
      </c>
      <c r="H2709" s="115" t="s">
        <v>7054</v>
      </c>
    </row>
    <row r="2710" spans="1:8" ht="30" x14ac:dyDescent="0.25">
      <c r="A2710" s="115">
        <v>5140</v>
      </c>
      <c r="B2710" s="115" t="s">
        <v>128</v>
      </c>
      <c r="C2710" s="115" t="s">
        <v>7057</v>
      </c>
      <c r="D2710" s="115">
        <v>1</v>
      </c>
      <c r="E2710" s="115" t="s">
        <v>7058</v>
      </c>
      <c r="F2710" s="115" t="s">
        <v>7059</v>
      </c>
      <c r="G2710" s="115" t="s">
        <v>7060</v>
      </c>
      <c r="H2710" s="115" t="s">
        <v>7058</v>
      </c>
    </row>
    <row r="2711" spans="1:8" ht="30" x14ac:dyDescent="0.25">
      <c r="A2711" s="115">
        <v>5139</v>
      </c>
      <c r="B2711" s="115" t="s">
        <v>128</v>
      </c>
      <c r="C2711" s="115" t="s">
        <v>7061</v>
      </c>
      <c r="D2711" s="115">
        <v>1</v>
      </c>
      <c r="E2711" s="115" t="s">
        <v>7062</v>
      </c>
      <c r="F2711" s="115" t="s">
        <v>7063</v>
      </c>
      <c r="G2711" s="115" t="s">
        <v>7064</v>
      </c>
      <c r="H2711" s="115" t="s">
        <v>7062</v>
      </c>
    </row>
    <row r="2712" spans="1:8" ht="30" x14ac:dyDescent="0.25">
      <c r="A2712" s="115">
        <v>5138</v>
      </c>
      <c r="B2712" s="115" t="s">
        <v>128</v>
      </c>
      <c r="C2712" s="115" t="s">
        <v>7065</v>
      </c>
      <c r="D2712" s="115">
        <v>1</v>
      </c>
      <c r="E2712" s="115" t="s">
        <v>7066</v>
      </c>
      <c r="F2712" s="115" t="s">
        <v>7067</v>
      </c>
      <c r="G2712" s="115" t="s">
        <v>7068</v>
      </c>
      <c r="H2712" s="115" t="s">
        <v>7066</v>
      </c>
    </row>
    <row r="2713" spans="1:8" ht="30" x14ac:dyDescent="0.25">
      <c r="A2713" s="115">
        <v>5137</v>
      </c>
      <c r="B2713" s="115" t="s">
        <v>128</v>
      </c>
      <c r="C2713" s="115" t="s">
        <v>7069</v>
      </c>
      <c r="D2713" s="115">
        <v>1</v>
      </c>
      <c r="E2713" s="115" t="s">
        <v>1516</v>
      </c>
      <c r="F2713" s="115" t="s">
        <v>1517</v>
      </c>
      <c r="G2713" s="115" t="s">
        <v>1518</v>
      </c>
      <c r="H2713" s="115" t="s">
        <v>1516</v>
      </c>
    </row>
    <row r="2714" spans="1:8" ht="30" x14ac:dyDescent="0.25">
      <c r="A2714" s="115">
        <v>5136</v>
      </c>
      <c r="B2714" s="115" t="s">
        <v>128</v>
      </c>
      <c r="C2714" s="115" t="s">
        <v>7070</v>
      </c>
      <c r="D2714" s="115">
        <v>1</v>
      </c>
      <c r="E2714" s="115" t="s">
        <v>7071</v>
      </c>
      <c r="F2714" s="115" t="s">
        <v>7072</v>
      </c>
      <c r="G2714" s="115" t="s">
        <v>7073</v>
      </c>
      <c r="H2714" s="115" t="s">
        <v>7074</v>
      </c>
    </row>
    <row r="2715" spans="1:8" ht="30" x14ac:dyDescent="0.25">
      <c r="A2715" s="115">
        <v>5135</v>
      </c>
      <c r="B2715" s="115" t="s">
        <v>128</v>
      </c>
      <c r="C2715" s="115" t="s">
        <v>7075</v>
      </c>
      <c r="D2715" s="115">
        <v>1</v>
      </c>
      <c r="E2715" s="115" t="s">
        <v>7076</v>
      </c>
      <c r="F2715" s="115" t="s">
        <v>7077</v>
      </c>
      <c r="G2715" s="115" t="s">
        <v>7078</v>
      </c>
      <c r="H2715" s="115" t="s">
        <v>7079</v>
      </c>
    </row>
    <row r="2716" spans="1:8" ht="30" x14ac:dyDescent="0.25">
      <c r="A2716" s="115">
        <v>5134</v>
      </c>
      <c r="B2716" s="115" t="s">
        <v>128</v>
      </c>
      <c r="C2716" s="115" t="s">
        <v>7080</v>
      </c>
      <c r="D2716" s="115">
        <v>1</v>
      </c>
      <c r="E2716" s="115" t="s">
        <v>7081</v>
      </c>
      <c r="F2716" s="115" t="s">
        <v>7082</v>
      </c>
      <c r="G2716" s="115" t="s">
        <v>7083</v>
      </c>
      <c r="H2716" s="115" t="s">
        <v>7084</v>
      </c>
    </row>
    <row r="2717" spans="1:8" ht="30" x14ac:dyDescent="0.25">
      <c r="A2717" s="115">
        <v>5133</v>
      </c>
      <c r="B2717" s="115" t="s">
        <v>128</v>
      </c>
      <c r="C2717" s="115" t="s">
        <v>7085</v>
      </c>
      <c r="D2717" s="115">
        <v>1</v>
      </c>
      <c r="E2717" s="115" t="s">
        <v>7086</v>
      </c>
      <c r="F2717" s="115" t="s">
        <v>7087</v>
      </c>
      <c r="G2717" s="115" t="s">
        <v>7088</v>
      </c>
      <c r="H2717" s="115" t="s">
        <v>7089</v>
      </c>
    </row>
    <row r="2718" spans="1:8" ht="90" x14ac:dyDescent="0.25">
      <c r="A2718" s="115">
        <v>5132</v>
      </c>
      <c r="B2718" s="115" t="s">
        <v>128</v>
      </c>
      <c r="C2718" s="115" t="s">
        <v>7090</v>
      </c>
      <c r="D2718" s="115">
        <v>1</v>
      </c>
      <c r="E2718" s="115" t="s">
        <v>7091</v>
      </c>
      <c r="F2718" s="115" t="s">
        <v>7092</v>
      </c>
      <c r="G2718" s="115" t="s">
        <v>7093</v>
      </c>
      <c r="H2718" s="115" t="s">
        <v>7094</v>
      </c>
    </row>
    <row r="2719" spans="1:8" ht="30" x14ac:dyDescent="0.25">
      <c r="A2719" s="115">
        <v>5131</v>
      </c>
      <c r="B2719" s="115" t="s">
        <v>128</v>
      </c>
      <c r="C2719" s="115" t="s">
        <v>7095</v>
      </c>
      <c r="D2719" s="115">
        <v>1</v>
      </c>
      <c r="E2719" s="115" t="s">
        <v>1540</v>
      </c>
      <c r="F2719" s="115" t="s">
        <v>1541</v>
      </c>
      <c r="G2719" s="115" t="s">
        <v>1542</v>
      </c>
      <c r="H2719" s="115" t="s">
        <v>1540</v>
      </c>
    </row>
    <row r="2720" spans="1:8" ht="60" x14ac:dyDescent="0.25">
      <c r="A2720" s="115">
        <v>5130</v>
      </c>
      <c r="B2720" s="115" t="s">
        <v>128</v>
      </c>
      <c r="C2720" s="115" t="s">
        <v>7096</v>
      </c>
      <c r="D2720" s="115">
        <v>1</v>
      </c>
      <c r="E2720" s="115" t="s">
        <v>7097</v>
      </c>
      <c r="F2720" s="115" t="s">
        <v>7098</v>
      </c>
      <c r="G2720" s="115" t="s">
        <v>7099</v>
      </c>
      <c r="H2720" s="115" t="s">
        <v>7097</v>
      </c>
    </row>
    <row r="2721" spans="1:8" x14ac:dyDescent="0.25">
      <c r="A2721" s="115">
        <v>5129</v>
      </c>
      <c r="B2721" s="115" t="s">
        <v>128</v>
      </c>
      <c r="C2721" s="115" t="s">
        <v>7100</v>
      </c>
      <c r="D2721" s="115">
        <v>1</v>
      </c>
      <c r="E2721" s="115" t="s">
        <v>7101</v>
      </c>
      <c r="F2721" s="115" t="s">
        <v>7102</v>
      </c>
      <c r="G2721" s="115" t="s">
        <v>7103</v>
      </c>
      <c r="H2721" s="115" t="s">
        <v>7101</v>
      </c>
    </row>
    <row r="2722" spans="1:8" x14ac:dyDescent="0.25">
      <c r="A2722" s="115">
        <v>5128</v>
      </c>
      <c r="B2722" s="115" t="s">
        <v>128</v>
      </c>
      <c r="C2722" s="115" t="s">
        <v>7104</v>
      </c>
      <c r="D2722" s="115">
        <v>1</v>
      </c>
      <c r="E2722" s="115" t="s">
        <v>6797</v>
      </c>
      <c r="F2722" s="115" t="s">
        <v>7105</v>
      </c>
      <c r="G2722" s="115" t="s">
        <v>7106</v>
      </c>
      <c r="H2722" s="115" t="s">
        <v>1577</v>
      </c>
    </row>
    <row r="2723" spans="1:8" x14ac:dyDescent="0.25">
      <c r="A2723" s="115">
        <v>5127</v>
      </c>
      <c r="B2723" s="115" t="s">
        <v>128</v>
      </c>
      <c r="C2723" s="115" t="s">
        <v>7107</v>
      </c>
      <c r="D2723" s="115">
        <v>1</v>
      </c>
      <c r="E2723" s="115" t="s">
        <v>6797</v>
      </c>
      <c r="F2723" s="115" t="s">
        <v>7105</v>
      </c>
      <c r="G2723" s="115" t="s">
        <v>7106</v>
      </c>
      <c r="H2723" s="115" t="s">
        <v>1577</v>
      </c>
    </row>
    <row r="2724" spans="1:8" x14ac:dyDescent="0.25">
      <c r="A2724" s="115">
        <v>5126</v>
      </c>
      <c r="B2724" s="115" t="s">
        <v>128</v>
      </c>
      <c r="C2724" s="115" t="s">
        <v>7108</v>
      </c>
      <c r="D2724" s="115">
        <v>1</v>
      </c>
      <c r="E2724" s="115" t="s">
        <v>7109</v>
      </c>
      <c r="F2724" s="115" t="s">
        <v>7110</v>
      </c>
      <c r="G2724" s="115" t="s">
        <v>7110</v>
      </c>
      <c r="H2724" s="115" t="s">
        <v>7111</v>
      </c>
    </row>
    <row r="2725" spans="1:8" x14ac:dyDescent="0.25">
      <c r="A2725" s="115">
        <v>5125</v>
      </c>
      <c r="B2725" s="115" t="s">
        <v>128</v>
      </c>
      <c r="C2725" s="115" t="s">
        <v>7112</v>
      </c>
      <c r="D2725" s="115">
        <v>1</v>
      </c>
      <c r="E2725" s="115" t="s">
        <v>7109</v>
      </c>
      <c r="F2725" s="115" t="s">
        <v>7110</v>
      </c>
      <c r="G2725" s="115" t="s">
        <v>7113</v>
      </c>
      <c r="H2725" s="115" t="s">
        <v>7111</v>
      </c>
    </row>
    <row r="2726" spans="1:8" ht="120" x14ac:dyDescent="0.25">
      <c r="A2726" s="115">
        <v>5124</v>
      </c>
      <c r="B2726" s="115" t="s">
        <v>128</v>
      </c>
      <c r="C2726" s="115" t="s">
        <v>7114</v>
      </c>
      <c r="D2726" s="115">
        <v>1</v>
      </c>
      <c r="E2726" s="115" t="s">
        <v>7115</v>
      </c>
      <c r="F2726" s="115" t="s">
        <v>7116</v>
      </c>
      <c r="G2726" s="115" t="s">
        <v>7117</v>
      </c>
      <c r="H2726" s="115" t="s">
        <v>7115</v>
      </c>
    </row>
    <row r="2727" spans="1:8" x14ac:dyDescent="0.25">
      <c r="A2727" s="115">
        <v>5123</v>
      </c>
      <c r="B2727" s="115" t="s">
        <v>128</v>
      </c>
      <c r="C2727" s="115" t="s">
        <v>7118</v>
      </c>
      <c r="D2727" s="115">
        <v>1</v>
      </c>
      <c r="E2727" s="115" t="s">
        <v>7119</v>
      </c>
      <c r="F2727" s="115" t="s">
        <v>7119</v>
      </c>
      <c r="G2727" s="115" t="s">
        <v>7120</v>
      </c>
      <c r="H2727" s="115" t="s">
        <v>7121</v>
      </c>
    </row>
    <row r="2728" spans="1:8" x14ac:dyDescent="0.25">
      <c r="A2728" s="115">
        <v>5122</v>
      </c>
      <c r="B2728" s="115" t="s">
        <v>128</v>
      </c>
      <c r="C2728" s="115" t="s">
        <v>7122</v>
      </c>
      <c r="D2728" s="115">
        <v>1</v>
      </c>
      <c r="E2728" s="115" t="s">
        <v>1565</v>
      </c>
      <c r="F2728" s="115" t="s">
        <v>7123</v>
      </c>
      <c r="G2728" s="115" t="s">
        <v>1567</v>
      </c>
      <c r="H2728" s="115" t="s">
        <v>1568</v>
      </c>
    </row>
    <row r="2729" spans="1:8" x14ac:dyDescent="0.25">
      <c r="A2729" s="115">
        <v>5121</v>
      </c>
      <c r="B2729" s="115" t="s">
        <v>128</v>
      </c>
      <c r="C2729" s="115" t="s">
        <v>7124</v>
      </c>
      <c r="D2729" s="115">
        <v>1</v>
      </c>
      <c r="E2729" s="115" t="s">
        <v>7125</v>
      </c>
      <c r="F2729" s="115" t="s">
        <v>7126</v>
      </c>
      <c r="G2729" s="115" t="s">
        <v>7127</v>
      </c>
      <c r="H2729" s="115" t="s">
        <v>7128</v>
      </c>
    </row>
    <row r="2730" spans="1:8" ht="75" x14ac:dyDescent="0.25">
      <c r="A2730" s="115">
        <v>5120</v>
      </c>
      <c r="B2730" s="115" t="s">
        <v>128</v>
      </c>
      <c r="C2730" s="115" t="s">
        <v>7129</v>
      </c>
      <c r="D2730" s="115">
        <v>1</v>
      </c>
      <c r="E2730" s="115" t="s">
        <v>7130</v>
      </c>
      <c r="F2730" s="115" t="s">
        <v>7131</v>
      </c>
      <c r="G2730" s="115" t="s">
        <v>7132</v>
      </c>
      <c r="H2730" s="115" t="s">
        <v>7133</v>
      </c>
    </row>
    <row r="2731" spans="1:8" ht="30" x14ac:dyDescent="0.25">
      <c r="A2731" s="115">
        <v>5119</v>
      </c>
      <c r="B2731" s="115" t="s">
        <v>128</v>
      </c>
      <c r="C2731" s="115" t="s">
        <v>7134</v>
      </c>
      <c r="D2731" s="115">
        <v>1</v>
      </c>
      <c r="E2731" s="115" t="s">
        <v>7135</v>
      </c>
      <c r="F2731" s="115" t="s">
        <v>7136</v>
      </c>
      <c r="G2731" s="115" t="s">
        <v>7137</v>
      </c>
      <c r="H2731" s="115" t="s">
        <v>7138</v>
      </c>
    </row>
    <row r="2732" spans="1:8" ht="45" x14ac:dyDescent="0.25">
      <c r="A2732" s="115">
        <v>5118</v>
      </c>
      <c r="B2732" s="115" t="s">
        <v>128</v>
      </c>
      <c r="C2732" s="115" t="s">
        <v>7139</v>
      </c>
      <c r="D2732" s="115">
        <v>1</v>
      </c>
      <c r="E2732" s="115" t="s">
        <v>5652</v>
      </c>
      <c r="F2732" s="115" t="s">
        <v>5653</v>
      </c>
      <c r="G2732" s="115" t="s">
        <v>5654</v>
      </c>
      <c r="H2732" s="115" t="s">
        <v>5655</v>
      </c>
    </row>
    <row r="2733" spans="1:8" x14ac:dyDescent="0.25">
      <c r="A2733" s="115">
        <v>5117</v>
      </c>
      <c r="B2733" s="115" t="s">
        <v>128</v>
      </c>
      <c r="C2733" s="115" t="s">
        <v>7140</v>
      </c>
      <c r="D2733" s="115">
        <v>1</v>
      </c>
      <c r="E2733" s="115" t="s">
        <v>7141</v>
      </c>
      <c r="F2733" s="115" t="s">
        <v>1332</v>
      </c>
      <c r="G2733" s="115" t="s">
        <v>1333</v>
      </c>
      <c r="H2733" s="115" t="s">
        <v>1334</v>
      </c>
    </row>
    <row r="2734" spans="1:8" ht="45" x14ac:dyDescent="0.25">
      <c r="A2734" s="115">
        <v>5116</v>
      </c>
      <c r="B2734" s="115" t="s">
        <v>128</v>
      </c>
      <c r="C2734" s="115" t="s">
        <v>7142</v>
      </c>
      <c r="D2734" s="115">
        <v>1</v>
      </c>
      <c r="E2734" s="115" t="s">
        <v>7143</v>
      </c>
      <c r="F2734" s="115" t="s">
        <v>7144</v>
      </c>
      <c r="G2734" s="115" t="s">
        <v>7145</v>
      </c>
      <c r="H2734" s="115" t="s">
        <v>7146</v>
      </c>
    </row>
    <row r="2735" spans="1:8" ht="30" x14ac:dyDescent="0.25">
      <c r="A2735" s="115">
        <v>5115</v>
      </c>
      <c r="B2735" s="115" t="s">
        <v>128</v>
      </c>
      <c r="C2735" s="115" t="s">
        <v>7147</v>
      </c>
      <c r="D2735" s="115">
        <v>1</v>
      </c>
      <c r="E2735" s="115" t="s">
        <v>7148</v>
      </c>
      <c r="F2735" s="115" t="s">
        <v>7149</v>
      </c>
      <c r="G2735" s="115" t="s">
        <v>7150</v>
      </c>
      <c r="H2735" s="115" t="s">
        <v>7151</v>
      </c>
    </row>
    <row r="2736" spans="1:8" x14ac:dyDescent="0.25">
      <c r="A2736" s="115">
        <v>5114</v>
      </c>
      <c r="B2736" s="115" t="s">
        <v>128</v>
      </c>
      <c r="C2736" s="115" t="s">
        <v>7152</v>
      </c>
      <c r="D2736" s="115">
        <v>1</v>
      </c>
      <c r="E2736" s="115" t="s">
        <v>7153</v>
      </c>
      <c r="F2736" s="115" t="s">
        <v>7154</v>
      </c>
      <c r="G2736" s="115" t="s">
        <v>7155</v>
      </c>
      <c r="H2736" s="115" t="s">
        <v>7156</v>
      </c>
    </row>
    <row r="2737" spans="1:8" x14ac:dyDescent="0.25">
      <c r="A2737" s="115">
        <v>5113</v>
      </c>
      <c r="B2737" s="115" t="s">
        <v>128</v>
      </c>
      <c r="C2737" s="115" t="s">
        <v>7157</v>
      </c>
      <c r="D2737" s="115">
        <v>1</v>
      </c>
      <c r="E2737" s="115" t="s">
        <v>257</v>
      </c>
      <c r="F2737" s="115" t="s">
        <v>7158</v>
      </c>
      <c r="G2737" s="115" t="s">
        <v>7159</v>
      </c>
      <c r="H2737" s="115" t="s">
        <v>7160</v>
      </c>
    </row>
    <row r="2738" spans="1:8" ht="75" x14ac:dyDescent="0.25">
      <c r="A2738" s="115">
        <v>5112</v>
      </c>
      <c r="B2738" s="115" t="s">
        <v>128</v>
      </c>
      <c r="C2738" s="115" t="s">
        <v>7161</v>
      </c>
      <c r="D2738" s="115">
        <v>1</v>
      </c>
      <c r="E2738" s="115" t="s">
        <v>7162</v>
      </c>
      <c r="F2738" s="115" t="s">
        <v>7163</v>
      </c>
      <c r="G2738" s="115" t="s">
        <v>7164</v>
      </c>
      <c r="H2738" s="115" t="s">
        <v>7165</v>
      </c>
    </row>
    <row r="2739" spans="1:8" ht="30" x14ac:dyDescent="0.25">
      <c r="A2739" s="115">
        <v>5111</v>
      </c>
      <c r="B2739" s="115" t="s">
        <v>128</v>
      </c>
      <c r="C2739" s="115" t="s">
        <v>7166</v>
      </c>
      <c r="D2739" s="115">
        <v>1</v>
      </c>
      <c r="E2739" s="115" t="s">
        <v>7167</v>
      </c>
      <c r="F2739" s="115" t="s">
        <v>7168</v>
      </c>
      <c r="G2739" s="115" t="s">
        <v>7169</v>
      </c>
      <c r="H2739" s="115" t="s">
        <v>7170</v>
      </c>
    </row>
    <row r="2740" spans="1:8" ht="30" x14ac:dyDescent="0.25">
      <c r="A2740" s="115">
        <v>5110</v>
      </c>
      <c r="B2740" s="115" t="s">
        <v>128</v>
      </c>
      <c r="C2740" s="115" t="s">
        <v>7171</v>
      </c>
      <c r="D2740" s="115">
        <v>1</v>
      </c>
      <c r="E2740" s="115" t="s">
        <v>7172</v>
      </c>
      <c r="F2740" s="115" t="s">
        <v>7173</v>
      </c>
      <c r="G2740" s="115" t="s">
        <v>7174</v>
      </c>
      <c r="H2740" s="115" t="s">
        <v>7175</v>
      </c>
    </row>
    <row r="2741" spans="1:8" x14ac:dyDescent="0.25">
      <c r="A2741" s="115">
        <v>5109</v>
      </c>
      <c r="B2741" s="115" t="s">
        <v>128</v>
      </c>
      <c r="C2741" s="115" t="s">
        <v>7176</v>
      </c>
      <c r="D2741" s="115">
        <v>1</v>
      </c>
      <c r="E2741" s="115" t="s">
        <v>7177</v>
      </c>
      <c r="F2741" s="115" t="s">
        <v>7178</v>
      </c>
      <c r="G2741" s="115" t="s">
        <v>7179</v>
      </c>
      <c r="H2741" s="115" t="s">
        <v>7180</v>
      </c>
    </row>
    <row r="2742" spans="1:8" ht="45" x14ac:dyDescent="0.25">
      <c r="A2742" s="115">
        <v>5108</v>
      </c>
      <c r="B2742" s="115" t="s">
        <v>128</v>
      </c>
      <c r="C2742" s="115" t="s">
        <v>7181</v>
      </c>
      <c r="D2742" s="115">
        <v>1</v>
      </c>
      <c r="E2742" s="115" t="s">
        <v>6852</v>
      </c>
      <c r="F2742" s="115" t="s">
        <v>6853</v>
      </c>
      <c r="G2742" s="115" t="s">
        <v>6854</v>
      </c>
      <c r="H2742" s="115" t="s">
        <v>7182</v>
      </c>
    </row>
    <row r="2743" spans="1:8" ht="90" x14ac:dyDescent="0.25">
      <c r="A2743" s="115">
        <v>5107</v>
      </c>
      <c r="B2743" s="115" t="s">
        <v>128</v>
      </c>
      <c r="C2743" s="115" t="s">
        <v>7183</v>
      </c>
      <c r="D2743" s="115">
        <v>1</v>
      </c>
      <c r="E2743" s="115" t="s">
        <v>7184</v>
      </c>
      <c r="F2743" s="115" t="s">
        <v>7185</v>
      </c>
      <c r="G2743" s="115" t="s">
        <v>7186</v>
      </c>
      <c r="H2743" s="115" t="s">
        <v>7187</v>
      </c>
    </row>
    <row r="2744" spans="1:8" x14ac:dyDescent="0.25">
      <c r="A2744" s="115">
        <v>5106</v>
      </c>
      <c r="B2744" s="115" t="s">
        <v>128</v>
      </c>
      <c r="C2744" s="115" t="s">
        <v>7188</v>
      </c>
      <c r="D2744" s="115">
        <v>1</v>
      </c>
      <c r="E2744" s="115" t="s">
        <v>7189</v>
      </c>
      <c r="F2744" s="115" t="s">
        <v>7190</v>
      </c>
      <c r="G2744" s="115" t="s">
        <v>7191</v>
      </c>
      <c r="H2744" s="115" t="s">
        <v>7192</v>
      </c>
    </row>
    <row r="2745" spans="1:8" x14ac:dyDescent="0.25">
      <c r="A2745" s="115">
        <v>5105</v>
      </c>
      <c r="B2745" s="115" t="s">
        <v>128</v>
      </c>
      <c r="C2745" s="115" t="s">
        <v>7193</v>
      </c>
      <c r="D2745" s="115">
        <v>1</v>
      </c>
      <c r="E2745" s="115" t="s">
        <v>7194</v>
      </c>
      <c r="F2745" s="115" t="s">
        <v>7195</v>
      </c>
      <c r="G2745" s="115" t="s">
        <v>7196</v>
      </c>
      <c r="H2745" s="115" t="s">
        <v>7197</v>
      </c>
    </row>
    <row r="2746" spans="1:8" x14ac:dyDescent="0.25">
      <c r="A2746" s="115">
        <v>5104</v>
      </c>
      <c r="B2746" s="115" t="s">
        <v>128</v>
      </c>
      <c r="C2746" s="115" t="s">
        <v>7198</v>
      </c>
      <c r="D2746" s="115">
        <v>1</v>
      </c>
      <c r="E2746" s="115" t="s">
        <v>7199</v>
      </c>
      <c r="F2746" s="115" t="s">
        <v>7200</v>
      </c>
      <c r="G2746" s="115" t="s">
        <v>7201</v>
      </c>
      <c r="H2746" s="115" t="s">
        <v>7199</v>
      </c>
    </row>
    <row r="2747" spans="1:8" ht="105" x14ac:dyDescent="0.25">
      <c r="A2747" s="115">
        <v>5103</v>
      </c>
      <c r="B2747" s="115" t="s">
        <v>128</v>
      </c>
      <c r="C2747" s="115" t="s">
        <v>7202</v>
      </c>
      <c r="D2747" s="115">
        <v>1</v>
      </c>
      <c r="E2747" s="115" t="s">
        <v>7203</v>
      </c>
      <c r="F2747" s="115" t="s">
        <v>7204</v>
      </c>
      <c r="G2747" s="115" t="s">
        <v>7205</v>
      </c>
      <c r="H2747" s="115" t="s">
        <v>7206</v>
      </c>
    </row>
    <row r="2748" spans="1:8" x14ac:dyDescent="0.25">
      <c r="A2748" s="115">
        <v>5102</v>
      </c>
      <c r="B2748" s="115" t="s">
        <v>128</v>
      </c>
      <c r="C2748" s="115" t="s">
        <v>7207</v>
      </c>
      <c r="D2748" s="115">
        <v>1</v>
      </c>
      <c r="E2748" s="115" t="s">
        <v>4468</v>
      </c>
      <c r="F2748" s="115" t="s">
        <v>5469</v>
      </c>
      <c r="G2748" s="115" t="s">
        <v>4470</v>
      </c>
      <c r="H2748" s="115" t="s">
        <v>7208</v>
      </c>
    </row>
    <row r="2749" spans="1:8" x14ac:dyDescent="0.25">
      <c r="A2749" s="115">
        <v>5101</v>
      </c>
      <c r="B2749" s="115" t="s">
        <v>128</v>
      </c>
      <c r="C2749" s="115" t="s">
        <v>7209</v>
      </c>
      <c r="D2749" s="115">
        <v>1</v>
      </c>
      <c r="E2749" s="115" t="s">
        <v>7210</v>
      </c>
      <c r="F2749" s="115" t="s">
        <v>7211</v>
      </c>
      <c r="G2749" s="115" t="s">
        <v>7212</v>
      </c>
      <c r="H2749" s="115" t="s">
        <v>7210</v>
      </c>
    </row>
    <row r="2750" spans="1:8" x14ac:dyDescent="0.25">
      <c r="A2750" s="115">
        <v>5100</v>
      </c>
      <c r="B2750" s="115" t="s">
        <v>128</v>
      </c>
      <c r="C2750" s="115" t="s">
        <v>7213</v>
      </c>
      <c r="D2750" s="115">
        <v>1</v>
      </c>
      <c r="E2750" s="115" t="s">
        <v>7214</v>
      </c>
      <c r="F2750" s="115" t="s">
        <v>7215</v>
      </c>
      <c r="G2750" s="115" t="s">
        <v>7216</v>
      </c>
      <c r="H2750" s="115" t="s">
        <v>7217</v>
      </c>
    </row>
    <row r="2751" spans="1:8" x14ac:dyDescent="0.25">
      <c r="A2751" s="115">
        <v>5099</v>
      </c>
      <c r="B2751" s="115" t="s">
        <v>128</v>
      </c>
      <c r="C2751" s="115" t="s">
        <v>7218</v>
      </c>
      <c r="D2751" s="115">
        <v>1</v>
      </c>
      <c r="E2751" s="115" t="s">
        <v>7214</v>
      </c>
      <c r="F2751" s="115" t="s">
        <v>7219</v>
      </c>
      <c r="G2751" s="115" t="s">
        <v>7216</v>
      </c>
      <c r="H2751" s="115" t="s">
        <v>7217</v>
      </c>
    </row>
    <row r="2752" spans="1:8" x14ac:dyDescent="0.25">
      <c r="A2752" s="115">
        <v>5098</v>
      </c>
      <c r="B2752" s="115" t="s">
        <v>128</v>
      </c>
      <c r="C2752" s="115" t="s">
        <v>7220</v>
      </c>
      <c r="D2752" s="115">
        <v>1</v>
      </c>
      <c r="E2752" s="115" t="s">
        <v>7221</v>
      </c>
      <c r="F2752" s="115" t="s">
        <v>7222</v>
      </c>
      <c r="G2752" s="115" t="s">
        <v>7223</v>
      </c>
      <c r="H2752" s="115" t="s">
        <v>7221</v>
      </c>
    </row>
    <row r="2753" spans="1:8" x14ac:dyDescent="0.25">
      <c r="A2753" s="115">
        <v>5097</v>
      </c>
      <c r="B2753" s="115" t="s">
        <v>128</v>
      </c>
      <c r="C2753" s="115" t="s">
        <v>7224</v>
      </c>
      <c r="D2753" s="115">
        <v>1</v>
      </c>
      <c r="E2753" s="115" t="s">
        <v>7225</v>
      </c>
      <c r="F2753" s="115" t="s">
        <v>7226</v>
      </c>
      <c r="G2753" s="115" t="s">
        <v>7227</v>
      </c>
      <c r="H2753" s="115" t="s">
        <v>7225</v>
      </c>
    </row>
    <row r="2754" spans="1:8" x14ac:dyDescent="0.25">
      <c r="A2754" s="115">
        <v>5096</v>
      </c>
      <c r="B2754" s="115" t="s">
        <v>128</v>
      </c>
      <c r="C2754" s="115" t="s">
        <v>7228</v>
      </c>
      <c r="D2754" s="115">
        <v>1</v>
      </c>
      <c r="E2754" s="115" t="s">
        <v>7229</v>
      </c>
      <c r="F2754" s="115" t="s">
        <v>7230</v>
      </c>
      <c r="G2754" s="115" t="s">
        <v>7231</v>
      </c>
      <c r="H2754" s="115" t="s">
        <v>7229</v>
      </c>
    </row>
    <row r="2755" spans="1:8" x14ac:dyDescent="0.25">
      <c r="A2755" s="115">
        <v>5095</v>
      </c>
      <c r="B2755" s="115" t="s">
        <v>128</v>
      </c>
      <c r="C2755" s="115" t="s">
        <v>7232</v>
      </c>
      <c r="D2755" s="115">
        <v>1</v>
      </c>
      <c r="E2755" s="115" t="s">
        <v>7233</v>
      </c>
      <c r="F2755" s="115" t="s">
        <v>7233</v>
      </c>
      <c r="G2755" s="115" t="s">
        <v>7233</v>
      </c>
      <c r="H2755" s="115" t="s">
        <v>7233</v>
      </c>
    </row>
    <row r="2756" spans="1:8" x14ac:dyDescent="0.25">
      <c r="A2756" s="115">
        <v>5094</v>
      </c>
      <c r="B2756" s="115" t="s">
        <v>128</v>
      </c>
      <c r="C2756" s="115" t="s">
        <v>7234</v>
      </c>
      <c r="D2756" s="115">
        <v>1</v>
      </c>
      <c r="E2756" s="115" t="s">
        <v>7235</v>
      </c>
      <c r="F2756" s="115" t="s">
        <v>7235</v>
      </c>
      <c r="G2756" s="115" t="s">
        <v>7235</v>
      </c>
      <c r="H2756" s="115" t="s">
        <v>7235</v>
      </c>
    </row>
    <row r="2757" spans="1:8" ht="30" x14ac:dyDescent="0.25">
      <c r="A2757" s="115">
        <v>5093</v>
      </c>
      <c r="B2757" s="115" t="s">
        <v>128</v>
      </c>
      <c r="C2757" s="115" t="s">
        <v>7236</v>
      </c>
      <c r="D2757" s="115">
        <v>1</v>
      </c>
      <c r="E2757" s="115" t="s">
        <v>7237</v>
      </c>
      <c r="F2757" s="115" t="s">
        <v>7238</v>
      </c>
      <c r="G2757" s="115" t="s">
        <v>7239</v>
      </c>
      <c r="H2757" s="115" t="s">
        <v>7237</v>
      </c>
    </row>
    <row r="2758" spans="1:8" x14ac:dyDescent="0.25">
      <c r="A2758" s="115">
        <v>5092</v>
      </c>
      <c r="B2758" s="115" t="s">
        <v>128</v>
      </c>
      <c r="C2758" s="115" t="s">
        <v>7240</v>
      </c>
      <c r="D2758" s="115">
        <v>1</v>
      </c>
      <c r="E2758" s="115" t="s">
        <v>7241</v>
      </c>
      <c r="F2758" s="115" t="s">
        <v>7241</v>
      </c>
      <c r="G2758" s="115" t="s">
        <v>7241</v>
      </c>
      <c r="H2758" s="115" t="s">
        <v>7241</v>
      </c>
    </row>
    <row r="2759" spans="1:8" ht="135" x14ac:dyDescent="0.25">
      <c r="A2759" s="115">
        <v>5091</v>
      </c>
      <c r="B2759" s="115" t="s">
        <v>128</v>
      </c>
      <c r="C2759" s="115" t="s">
        <v>7242</v>
      </c>
      <c r="D2759" s="115">
        <v>1</v>
      </c>
      <c r="E2759" s="115" t="s">
        <v>7243</v>
      </c>
      <c r="F2759" s="115" t="s">
        <v>7244</v>
      </c>
      <c r="G2759" s="115" t="s">
        <v>7245</v>
      </c>
      <c r="H2759" s="115" t="s">
        <v>7243</v>
      </c>
    </row>
    <row r="2760" spans="1:8" ht="225" x14ac:dyDescent="0.25">
      <c r="A2760" s="115">
        <v>5090</v>
      </c>
      <c r="B2760" s="115" t="s">
        <v>128</v>
      </c>
      <c r="C2760" s="115" t="s">
        <v>7246</v>
      </c>
      <c r="D2760" s="115">
        <v>1</v>
      </c>
      <c r="E2760" s="115" t="s">
        <v>7244</v>
      </c>
      <c r="F2760" s="115" t="s">
        <v>7247</v>
      </c>
      <c r="G2760" s="115" t="s">
        <v>7248</v>
      </c>
      <c r="H2760" s="115" t="s">
        <v>7244</v>
      </c>
    </row>
    <row r="2761" spans="1:8" ht="150" x14ac:dyDescent="0.25">
      <c r="A2761" s="115">
        <v>5089</v>
      </c>
      <c r="B2761" s="115" t="s">
        <v>128</v>
      </c>
      <c r="C2761" s="115" t="s">
        <v>7249</v>
      </c>
      <c r="D2761" s="115">
        <v>1</v>
      </c>
      <c r="E2761" s="115" t="s">
        <v>7250</v>
      </c>
      <c r="F2761" s="115" t="s">
        <v>7251</v>
      </c>
      <c r="G2761" s="115" t="s">
        <v>7252</v>
      </c>
      <c r="H2761" s="115" t="s">
        <v>7253</v>
      </c>
    </row>
    <row r="2762" spans="1:8" x14ac:dyDescent="0.25">
      <c r="A2762" s="115">
        <v>5088</v>
      </c>
      <c r="B2762" s="115" t="s">
        <v>128</v>
      </c>
      <c r="C2762" s="115" t="s">
        <v>7254</v>
      </c>
      <c r="D2762" s="115">
        <v>1</v>
      </c>
      <c r="E2762" s="115" t="s">
        <v>7255</v>
      </c>
      <c r="F2762" s="115" t="s">
        <v>7256</v>
      </c>
      <c r="G2762" s="115" t="s">
        <v>7257</v>
      </c>
      <c r="H2762" s="115" t="s">
        <v>7255</v>
      </c>
    </row>
    <row r="2763" spans="1:8" x14ac:dyDescent="0.25">
      <c r="A2763" s="115">
        <v>5087</v>
      </c>
      <c r="B2763" s="115" t="s">
        <v>128</v>
      </c>
      <c r="C2763" s="115" t="s">
        <v>7258</v>
      </c>
      <c r="D2763" s="115">
        <v>1</v>
      </c>
      <c r="E2763" s="115" t="s">
        <v>7259</v>
      </c>
      <c r="F2763" s="115" t="s">
        <v>7260</v>
      </c>
      <c r="G2763" s="115" t="s">
        <v>7261</v>
      </c>
      <c r="H2763" s="115" t="s">
        <v>7262</v>
      </c>
    </row>
    <row r="2764" spans="1:8" x14ac:dyDescent="0.25">
      <c r="A2764" s="115">
        <v>5086</v>
      </c>
      <c r="B2764" s="115" t="s">
        <v>128</v>
      </c>
      <c r="C2764" s="115" t="s">
        <v>7263</v>
      </c>
      <c r="D2764" s="115">
        <v>1</v>
      </c>
      <c r="E2764" s="115" t="s">
        <v>7259</v>
      </c>
      <c r="F2764" s="115" t="s">
        <v>7260</v>
      </c>
      <c r="G2764" s="115" t="s">
        <v>7261</v>
      </c>
      <c r="H2764" s="115" t="s">
        <v>7262</v>
      </c>
    </row>
    <row r="2765" spans="1:8" ht="30" x14ac:dyDescent="0.25">
      <c r="A2765" s="115">
        <v>5085</v>
      </c>
      <c r="B2765" s="115" t="s">
        <v>128</v>
      </c>
      <c r="C2765" s="115" t="s">
        <v>7264</v>
      </c>
      <c r="D2765" s="115">
        <v>1</v>
      </c>
      <c r="E2765" s="115" t="s">
        <v>7265</v>
      </c>
      <c r="F2765" s="115" t="s">
        <v>7266</v>
      </c>
      <c r="G2765" s="115" t="s">
        <v>7267</v>
      </c>
      <c r="H2765" s="115" t="s">
        <v>7265</v>
      </c>
    </row>
    <row r="2766" spans="1:8" x14ac:dyDescent="0.25">
      <c r="A2766" s="115">
        <v>5084</v>
      </c>
      <c r="B2766" s="115" t="s">
        <v>128</v>
      </c>
      <c r="C2766" s="115" t="s">
        <v>1605</v>
      </c>
      <c r="D2766" s="115">
        <v>1</v>
      </c>
      <c r="E2766" s="115" t="s">
        <v>1111</v>
      </c>
      <c r="F2766" s="115" t="s">
        <v>7268</v>
      </c>
      <c r="G2766" s="115" t="s">
        <v>7269</v>
      </c>
      <c r="H2766" s="115" t="s">
        <v>1111</v>
      </c>
    </row>
    <row r="2767" spans="1:8" x14ac:dyDescent="0.25">
      <c r="A2767" s="115">
        <v>5083</v>
      </c>
      <c r="B2767" s="115" t="s">
        <v>128</v>
      </c>
      <c r="C2767" s="115" t="s">
        <v>7270</v>
      </c>
      <c r="D2767" s="115">
        <v>1</v>
      </c>
      <c r="E2767" s="115" t="s">
        <v>7271</v>
      </c>
      <c r="F2767" s="115" t="s">
        <v>7271</v>
      </c>
      <c r="G2767" s="115" t="s">
        <v>7271</v>
      </c>
      <c r="H2767" s="115" t="s">
        <v>7271</v>
      </c>
    </row>
    <row r="2768" spans="1:8" ht="45" x14ac:dyDescent="0.25">
      <c r="A2768" s="115">
        <v>5082</v>
      </c>
      <c r="B2768" s="115" t="s">
        <v>128</v>
      </c>
      <c r="C2768" s="115" t="s">
        <v>7272</v>
      </c>
      <c r="D2768" s="115">
        <v>1</v>
      </c>
      <c r="E2768" s="115" t="s">
        <v>7273</v>
      </c>
      <c r="F2768" s="115" t="s">
        <v>7273</v>
      </c>
      <c r="G2768" s="115" t="s">
        <v>7273</v>
      </c>
      <c r="H2768" s="115" t="s">
        <v>7273</v>
      </c>
    </row>
    <row r="2769" spans="1:8" ht="75" x14ac:dyDescent="0.25">
      <c r="A2769" s="115">
        <v>5081</v>
      </c>
      <c r="B2769" s="115" t="s">
        <v>128</v>
      </c>
      <c r="C2769" s="115" t="s">
        <v>7274</v>
      </c>
      <c r="D2769" s="115">
        <v>1</v>
      </c>
      <c r="E2769" s="115" t="s">
        <v>7275</v>
      </c>
      <c r="F2769" s="115" t="s">
        <v>7275</v>
      </c>
      <c r="G2769" s="115" t="s">
        <v>7275</v>
      </c>
      <c r="H2769" s="115" t="s">
        <v>7275</v>
      </c>
    </row>
    <row r="2770" spans="1:8" ht="45" x14ac:dyDescent="0.25">
      <c r="A2770" s="115">
        <v>5080</v>
      </c>
      <c r="B2770" s="115" t="s">
        <v>128</v>
      </c>
      <c r="C2770" s="115" t="s">
        <v>7276</v>
      </c>
      <c r="D2770" s="115">
        <v>1</v>
      </c>
      <c r="E2770" s="115" t="s">
        <v>7277</v>
      </c>
      <c r="F2770" s="115" t="s">
        <v>7277</v>
      </c>
      <c r="G2770" s="115" t="s">
        <v>7277</v>
      </c>
      <c r="H2770" s="115" t="s">
        <v>7277</v>
      </c>
    </row>
    <row r="2771" spans="1:8" ht="135" x14ac:dyDescent="0.25">
      <c r="A2771" s="115">
        <v>5079</v>
      </c>
      <c r="B2771" s="115" t="s">
        <v>128</v>
      </c>
      <c r="C2771" s="115" t="s">
        <v>7278</v>
      </c>
      <c r="D2771" s="115">
        <v>1</v>
      </c>
      <c r="E2771" s="115" t="s">
        <v>7279</v>
      </c>
      <c r="F2771" s="115" t="s">
        <v>7279</v>
      </c>
      <c r="G2771" s="115" t="s">
        <v>7279</v>
      </c>
      <c r="H2771" s="115" t="s">
        <v>7279</v>
      </c>
    </row>
    <row r="2772" spans="1:8" ht="30" x14ac:dyDescent="0.25">
      <c r="A2772" s="115">
        <v>5078</v>
      </c>
      <c r="B2772" s="115" t="s">
        <v>128</v>
      </c>
      <c r="C2772" s="115" t="s">
        <v>7280</v>
      </c>
      <c r="D2772" s="115">
        <v>1</v>
      </c>
      <c r="E2772" s="115" t="s">
        <v>7281</v>
      </c>
      <c r="F2772" s="115" t="s">
        <v>7281</v>
      </c>
      <c r="G2772" s="115" t="s">
        <v>7281</v>
      </c>
      <c r="H2772" s="115" t="s">
        <v>7281</v>
      </c>
    </row>
    <row r="2773" spans="1:8" ht="210" x14ac:dyDescent="0.25">
      <c r="A2773" s="115">
        <v>5077</v>
      </c>
      <c r="B2773" s="115" t="s">
        <v>128</v>
      </c>
      <c r="C2773" s="115" t="s">
        <v>7282</v>
      </c>
      <c r="D2773" s="115">
        <v>1</v>
      </c>
      <c r="E2773" s="115" t="s">
        <v>7283</v>
      </c>
      <c r="F2773" s="115" t="s">
        <v>7283</v>
      </c>
      <c r="G2773" s="115" t="s">
        <v>7283</v>
      </c>
      <c r="H2773" s="115" t="s">
        <v>7283</v>
      </c>
    </row>
    <row r="2774" spans="1:8" ht="30" x14ac:dyDescent="0.25">
      <c r="A2774" s="115">
        <v>5076</v>
      </c>
      <c r="B2774" s="115" t="s">
        <v>128</v>
      </c>
      <c r="C2774" s="115" t="s">
        <v>7284</v>
      </c>
      <c r="D2774" s="115">
        <v>1</v>
      </c>
      <c r="E2774" s="115" t="s">
        <v>7285</v>
      </c>
      <c r="F2774" s="115" t="s">
        <v>7285</v>
      </c>
      <c r="G2774" s="115" t="s">
        <v>7285</v>
      </c>
      <c r="H2774" s="115" t="s">
        <v>7285</v>
      </c>
    </row>
    <row r="2775" spans="1:8" ht="45" x14ac:dyDescent="0.25">
      <c r="A2775" s="115">
        <v>5075</v>
      </c>
      <c r="B2775" s="115" t="s">
        <v>128</v>
      </c>
      <c r="C2775" s="115" t="s">
        <v>7286</v>
      </c>
      <c r="D2775" s="115">
        <v>1</v>
      </c>
      <c r="E2775" s="115" t="s">
        <v>7287</v>
      </c>
      <c r="F2775" s="115" t="s">
        <v>7287</v>
      </c>
      <c r="G2775" s="115" t="s">
        <v>7287</v>
      </c>
      <c r="H2775" s="115" t="s">
        <v>7287</v>
      </c>
    </row>
    <row r="2776" spans="1:8" ht="60" x14ac:dyDescent="0.25">
      <c r="A2776" s="115">
        <v>5074</v>
      </c>
      <c r="B2776" s="115" t="s">
        <v>128</v>
      </c>
      <c r="C2776" s="115" t="s">
        <v>7288</v>
      </c>
      <c r="D2776" s="115">
        <v>1</v>
      </c>
      <c r="E2776" s="115" t="s">
        <v>7289</v>
      </c>
      <c r="F2776" s="115" t="s">
        <v>7289</v>
      </c>
      <c r="G2776" s="115" t="s">
        <v>7289</v>
      </c>
      <c r="H2776" s="115" t="s">
        <v>7289</v>
      </c>
    </row>
    <row r="2777" spans="1:8" ht="60" x14ac:dyDescent="0.25">
      <c r="A2777" s="115">
        <v>5073</v>
      </c>
      <c r="B2777" s="115" t="s">
        <v>128</v>
      </c>
      <c r="C2777" s="115" t="s">
        <v>7290</v>
      </c>
      <c r="D2777" s="115">
        <v>1</v>
      </c>
      <c r="E2777" s="115" t="s">
        <v>7291</v>
      </c>
      <c r="F2777" s="115" t="s">
        <v>7291</v>
      </c>
      <c r="G2777" s="115" t="s">
        <v>7291</v>
      </c>
      <c r="H2777" s="115" t="s">
        <v>7291</v>
      </c>
    </row>
    <row r="2778" spans="1:8" ht="30" x14ac:dyDescent="0.25">
      <c r="A2778" s="115">
        <v>5072</v>
      </c>
      <c r="B2778" s="115" t="s">
        <v>128</v>
      </c>
      <c r="C2778" s="115" t="s">
        <v>7292</v>
      </c>
      <c r="D2778" s="115">
        <v>1</v>
      </c>
      <c r="E2778" s="115" t="s">
        <v>7293</v>
      </c>
      <c r="F2778" s="115" t="s">
        <v>7293</v>
      </c>
      <c r="G2778" s="115" t="s">
        <v>7293</v>
      </c>
      <c r="H2778" s="115" t="s">
        <v>7293</v>
      </c>
    </row>
    <row r="2779" spans="1:8" x14ac:dyDescent="0.25">
      <c r="A2779" s="115">
        <v>5071</v>
      </c>
      <c r="B2779" s="115" t="s">
        <v>128</v>
      </c>
      <c r="C2779" s="115" t="s">
        <v>7294</v>
      </c>
      <c r="D2779" s="115">
        <v>1</v>
      </c>
      <c r="E2779" s="115" t="s">
        <v>7295</v>
      </c>
      <c r="F2779" s="115" t="s">
        <v>7295</v>
      </c>
      <c r="G2779" s="115" t="s">
        <v>7295</v>
      </c>
      <c r="H2779" s="115" t="s">
        <v>7295</v>
      </c>
    </row>
    <row r="2780" spans="1:8" ht="165" x14ac:dyDescent="0.25">
      <c r="A2780" s="115">
        <v>5070</v>
      </c>
      <c r="B2780" s="115" t="s">
        <v>128</v>
      </c>
      <c r="C2780" s="115" t="s">
        <v>7296</v>
      </c>
      <c r="D2780" s="115">
        <v>1</v>
      </c>
      <c r="E2780" s="115" t="s">
        <v>7297</v>
      </c>
      <c r="F2780" s="115" t="s">
        <v>7297</v>
      </c>
      <c r="G2780" s="115" t="s">
        <v>7297</v>
      </c>
      <c r="H2780" s="115" t="s">
        <v>7297</v>
      </c>
    </row>
    <row r="2781" spans="1:8" x14ac:dyDescent="0.25">
      <c r="A2781" s="115">
        <v>5069</v>
      </c>
      <c r="B2781" s="115" t="s">
        <v>128</v>
      </c>
      <c r="C2781" s="115" t="s">
        <v>7298</v>
      </c>
      <c r="D2781" s="115">
        <v>1</v>
      </c>
      <c r="E2781" s="115" t="s">
        <v>7299</v>
      </c>
      <c r="F2781" s="115" t="s">
        <v>7299</v>
      </c>
      <c r="G2781" s="115" t="s">
        <v>7299</v>
      </c>
      <c r="H2781" s="115" t="s">
        <v>7299</v>
      </c>
    </row>
    <row r="2782" spans="1:8" ht="30" x14ac:dyDescent="0.25">
      <c r="A2782" s="115">
        <v>5068</v>
      </c>
      <c r="B2782" s="115" t="s">
        <v>128</v>
      </c>
      <c r="C2782" s="115" t="s">
        <v>7300</v>
      </c>
      <c r="D2782" s="115">
        <v>1</v>
      </c>
      <c r="E2782" s="115" t="s">
        <v>7301</v>
      </c>
      <c r="F2782" s="115" t="s">
        <v>7301</v>
      </c>
      <c r="G2782" s="115" t="s">
        <v>7301</v>
      </c>
      <c r="H2782" s="115" t="s">
        <v>7301</v>
      </c>
    </row>
    <row r="2783" spans="1:8" ht="75" x14ac:dyDescent="0.25">
      <c r="A2783" s="115">
        <v>5067</v>
      </c>
      <c r="B2783" s="115" t="s">
        <v>128</v>
      </c>
      <c r="C2783" s="115" t="s">
        <v>7302</v>
      </c>
      <c r="D2783" s="115">
        <v>1</v>
      </c>
      <c r="E2783" s="115" t="s">
        <v>7303</v>
      </c>
      <c r="F2783" s="115" t="s">
        <v>7303</v>
      </c>
      <c r="G2783" s="115" t="s">
        <v>7303</v>
      </c>
      <c r="H2783" s="115" t="s">
        <v>7303</v>
      </c>
    </row>
    <row r="2784" spans="1:8" ht="75" x14ac:dyDescent="0.25">
      <c r="A2784" s="115">
        <v>5066</v>
      </c>
      <c r="B2784" s="115" t="s">
        <v>128</v>
      </c>
      <c r="C2784" s="115" t="s">
        <v>7304</v>
      </c>
      <c r="D2784" s="115">
        <v>1</v>
      </c>
      <c r="E2784" s="115" t="s">
        <v>7305</v>
      </c>
      <c r="F2784" s="115" t="s">
        <v>7305</v>
      </c>
      <c r="G2784" s="115" t="s">
        <v>7305</v>
      </c>
      <c r="H2784" s="115" t="s">
        <v>7305</v>
      </c>
    </row>
    <row r="2785" spans="1:8" ht="75" x14ac:dyDescent="0.25">
      <c r="A2785" s="115">
        <v>5065</v>
      </c>
      <c r="B2785" s="115" t="s">
        <v>128</v>
      </c>
      <c r="C2785" s="115" t="s">
        <v>7306</v>
      </c>
      <c r="D2785" s="115">
        <v>1</v>
      </c>
      <c r="E2785" s="115" t="s">
        <v>7307</v>
      </c>
      <c r="F2785" s="115" t="s">
        <v>7307</v>
      </c>
      <c r="G2785" s="115" t="s">
        <v>7307</v>
      </c>
      <c r="H2785" s="115" t="s">
        <v>7307</v>
      </c>
    </row>
    <row r="2786" spans="1:8" ht="105" x14ac:dyDescent="0.25">
      <c r="A2786" s="115">
        <v>5064</v>
      </c>
      <c r="B2786" s="115" t="s">
        <v>128</v>
      </c>
      <c r="C2786" s="115" t="s">
        <v>7308</v>
      </c>
      <c r="D2786" s="115">
        <v>1</v>
      </c>
      <c r="E2786" s="115" t="s">
        <v>7309</v>
      </c>
      <c r="F2786" s="115" t="s">
        <v>7309</v>
      </c>
      <c r="G2786" s="115" t="s">
        <v>7309</v>
      </c>
      <c r="H2786" s="115" t="s">
        <v>7309</v>
      </c>
    </row>
    <row r="2787" spans="1:8" ht="105" x14ac:dyDescent="0.25">
      <c r="A2787" s="115">
        <v>5063</v>
      </c>
      <c r="B2787" s="115" t="s">
        <v>128</v>
      </c>
      <c r="C2787" s="115" t="s">
        <v>7310</v>
      </c>
      <c r="D2787" s="115">
        <v>1</v>
      </c>
      <c r="E2787" s="115" t="s">
        <v>7311</v>
      </c>
      <c r="F2787" s="115" t="s">
        <v>7311</v>
      </c>
      <c r="G2787" s="115" t="s">
        <v>7311</v>
      </c>
      <c r="H2787" s="115" t="s">
        <v>7311</v>
      </c>
    </row>
    <row r="2788" spans="1:8" ht="60" x14ac:dyDescent="0.25">
      <c r="A2788" s="115">
        <v>5062</v>
      </c>
      <c r="B2788" s="115" t="s">
        <v>128</v>
      </c>
      <c r="C2788" s="115" t="s">
        <v>7312</v>
      </c>
      <c r="D2788" s="115">
        <v>1</v>
      </c>
      <c r="E2788" s="115" t="s">
        <v>7313</v>
      </c>
      <c r="F2788" s="115" t="s">
        <v>7313</v>
      </c>
      <c r="G2788" s="115" t="s">
        <v>7313</v>
      </c>
      <c r="H2788" s="115" t="s">
        <v>7313</v>
      </c>
    </row>
    <row r="2789" spans="1:8" ht="30" x14ac:dyDescent="0.25">
      <c r="A2789" s="115">
        <v>5061</v>
      </c>
      <c r="B2789" s="115" t="s">
        <v>128</v>
      </c>
      <c r="C2789" s="115" t="s">
        <v>7314</v>
      </c>
      <c r="D2789" s="115">
        <v>1</v>
      </c>
      <c r="E2789" s="115" t="s">
        <v>7315</v>
      </c>
      <c r="F2789" s="115" t="s">
        <v>7315</v>
      </c>
      <c r="G2789" s="115" t="s">
        <v>7315</v>
      </c>
      <c r="H2789" s="115" t="s">
        <v>7315</v>
      </c>
    </row>
    <row r="2790" spans="1:8" ht="225" x14ac:dyDescent="0.25">
      <c r="A2790" s="115">
        <v>5060</v>
      </c>
      <c r="B2790" s="115" t="s">
        <v>128</v>
      </c>
      <c r="C2790" s="115" t="s">
        <v>7316</v>
      </c>
      <c r="D2790" s="115">
        <v>1</v>
      </c>
      <c r="E2790" s="115" t="s">
        <v>7317</v>
      </c>
      <c r="F2790" s="115" t="s">
        <v>7317</v>
      </c>
      <c r="G2790" s="115" t="s">
        <v>7317</v>
      </c>
      <c r="H2790" s="115" t="s">
        <v>7317</v>
      </c>
    </row>
    <row r="2791" spans="1:8" ht="75" x14ac:dyDescent="0.25">
      <c r="A2791" s="115">
        <v>5059</v>
      </c>
      <c r="B2791" s="115" t="s">
        <v>128</v>
      </c>
      <c r="C2791" s="115" t="s">
        <v>7318</v>
      </c>
      <c r="D2791" s="115">
        <v>1</v>
      </c>
      <c r="E2791" s="115" t="s">
        <v>7319</v>
      </c>
      <c r="F2791" s="115" t="s">
        <v>7319</v>
      </c>
      <c r="G2791" s="115" t="s">
        <v>7319</v>
      </c>
      <c r="H2791" s="115" t="s">
        <v>7319</v>
      </c>
    </row>
    <row r="2792" spans="1:8" x14ac:dyDescent="0.25">
      <c r="A2792" s="115">
        <v>5058</v>
      </c>
      <c r="B2792" s="115" t="s">
        <v>128</v>
      </c>
      <c r="C2792" s="115" t="s">
        <v>7320</v>
      </c>
      <c r="D2792" s="115">
        <v>1</v>
      </c>
      <c r="E2792" s="115" t="s">
        <v>7321</v>
      </c>
      <c r="F2792" s="115" t="s">
        <v>7322</v>
      </c>
      <c r="G2792" s="115" t="s">
        <v>7323</v>
      </c>
      <c r="H2792" s="115" t="s">
        <v>7324</v>
      </c>
    </row>
    <row r="2793" spans="1:8" x14ac:dyDescent="0.25">
      <c r="A2793" s="115">
        <v>5057</v>
      </c>
      <c r="B2793" s="115" t="s">
        <v>128</v>
      </c>
      <c r="C2793" s="115" t="s">
        <v>7325</v>
      </c>
      <c r="D2793" s="115">
        <v>1</v>
      </c>
      <c r="E2793" s="115" t="s">
        <v>7321</v>
      </c>
      <c r="F2793" s="115" t="s">
        <v>7322</v>
      </c>
      <c r="G2793" s="115" t="s">
        <v>7323</v>
      </c>
      <c r="H2793" s="115" t="s">
        <v>7324</v>
      </c>
    </row>
    <row r="2794" spans="1:8" x14ac:dyDescent="0.25">
      <c r="A2794" s="115">
        <v>5056</v>
      </c>
      <c r="B2794" s="115" t="s">
        <v>128</v>
      </c>
      <c r="C2794" s="115" t="s">
        <v>7326</v>
      </c>
      <c r="D2794" s="115">
        <v>1</v>
      </c>
      <c r="E2794" s="115" t="s">
        <v>7327</v>
      </c>
      <c r="F2794" s="115" t="s">
        <v>7328</v>
      </c>
      <c r="G2794" s="115" t="s">
        <v>7329</v>
      </c>
      <c r="H2794" s="115" t="s">
        <v>7327</v>
      </c>
    </row>
    <row r="2795" spans="1:8" ht="30" x14ac:dyDescent="0.25">
      <c r="A2795" s="115">
        <v>5055</v>
      </c>
      <c r="B2795" s="115" t="s">
        <v>128</v>
      </c>
      <c r="C2795" s="115" t="s">
        <v>7330</v>
      </c>
      <c r="D2795" s="115">
        <v>1</v>
      </c>
      <c r="E2795" s="115" t="s">
        <v>1534</v>
      </c>
      <c r="F2795" s="115" t="s">
        <v>1534</v>
      </c>
      <c r="G2795" s="115" t="s">
        <v>1534</v>
      </c>
      <c r="H2795" s="115" t="s">
        <v>1534</v>
      </c>
    </row>
    <row r="2796" spans="1:8" ht="60" x14ac:dyDescent="0.25">
      <c r="A2796" s="115">
        <v>5054</v>
      </c>
      <c r="B2796" s="115" t="s">
        <v>128</v>
      </c>
      <c r="C2796" s="115" t="s">
        <v>7331</v>
      </c>
      <c r="D2796" s="115">
        <v>1</v>
      </c>
      <c r="E2796" s="115" t="s">
        <v>7332</v>
      </c>
      <c r="F2796" s="115" t="s">
        <v>7332</v>
      </c>
      <c r="G2796" s="115" t="s">
        <v>7332</v>
      </c>
      <c r="H2796" s="115" t="s">
        <v>7332</v>
      </c>
    </row>
    <row r="2797" spans="1:8" ht="30" x14ac:dyDescent="0.25">
      <c r="A2797" s="115">
        <v>5053</v>
      </c>
      <c r="B2797" s="115" t="s">
        <v>128</v>
      </c>
      <c r="C2797" s="115" t="s">
        <v>7333</v>
      </c>
      <c r="D2797" s="115">
        <v>1</v>
      </c>
      <c r="E2797" s="115" t="s">
        <v>1534</v>
      </c>
      <c r="F2797" s="115" t="s">
        <v>7334</v>
      </c>
      <c r="G2797" s="115" t="s">
        <v>1536</v>
      </c>
      <c r="H2797" s="115" t="s">
        <v>1534</v>
      </c>
    </row>
    <row r="2798" spans="1:8" ht="45" x14ac:dyDescent="0.25">
      <c r="A2798" s="115">
        <v>5052</v>
      </c>
      <c r="B2798" s="115" t="s">
        <v>128</v>
      </c>
      <c r="C2798" s="115" t="s">
        <v>7335</v>
      </c>
      <c r="D2798" s="115">
        <v>1</v>
      </c>
      <c r="E2798" s="115" t="s">
        <v>7336</v>
      </c>
      <c r="F2798" s="115" t="s">
        <v>7337</v>
      </c>
      <c r="G2798" s="115" t="s">
        <v>7338</v>
      </c>
      <c r="H2798" s="115" t="s">
        <v>7339</v>
      </c>
    </row>
    <row r="2799" spans="1:8" ht="30" x14ac:dyDescent="0.25">
      <c r="A2799" s="115">
        <v>5051</v>
      </c>
      <c r="B2799" s="115" t="s">
        <v>128</v>
      </c>
      <c r="C2799" s="115" t="s">
        <v>7340</v>
      </c>
      <c r="D2799" s="115">
        <v>1</v>
      </c>
      <c r="E2799" s="115" t="s">
        <v>7341</v>
      </c>
      <c r="F2799" s="115" t="s">
        <v>7342</v>
      </c>
      <c r="G2799" s="115" t="s">
        <v>7343</v>
      </c>
      <c r="H2799" s="115" t="s">
        <v>7341</v>
      </c>
    </row>
    <row r="2800" spans="1:8" ht="30" x14ac:dyDescent="0.25">
      <c r="A2800" s="115">
        <v>5050</v>
      </c>
      <c r="B2800" s="115" t="s">
        <v>128</v>
      </c>
      <c r="C2800" s="115" t="s">
        <v>7344</v>
      </c>
      <c r="D2800" s="115">
        <v>1</v>
      </c>
      <c r="E2800" s="115" t="s">
        <v>7345</v>
      </c>
      <c r="F2800" s="115" t="s">
        <v>7346</v>
      </c>
      <c r="G2800" s="115" t="s">
        <v>7347</v>
      </c>
      <c r="H2800" s="115" t="s">
        <v>7345</v>
      </c>
    </row>
    <row r="2801" spans="1:8" ht="30" x14ac:dyDescent="0.25">
      <c r="A2801" s="115">
        <v>5049</v>
      </c>
      <c r="B2801" s="115" t="s">
        <v>128</v>
      </c>
      <c r="C2801" s="115" t="s">
        <v>7348</v>
      </c>
      <c r="D2801" s="115">
        <v>1</v>
      </c>
      <c r="E2801" s="115" t="s">
        <v>7349</v>
      </c>
      <c r="F2801" s="115" t="s">
        <v>7350</v>
      </c>
      <c r="G2801" s="115" t="s">
        <v>7351</v>
      </c>
      <c r="H2801" s="115" t="s">
        <v>7349</v>
      </c>
    </row>
    <row r="2802" spans="1:8" ht="30" x14ac:dyDescent="0.25">
      <c r="A2802" s="115">
        <v>5048</v>
      </c>
      <c r="B2802" s="115" t="s">
        <v>128</v>
      </c>
      <c r="C2802" s="115" t="s">
        <v>7352</v>
      </c>
      <c r="D2802" s="115">
        <v>1</v>
      </c>
      <c r="E2802" s="115" t="s">
        <v>1500</v>
      </c>
      <c r="F2802" s="115" t="s">
        <v>1501</v>
      </c>
      <c r="G2802" s="115" t="s">
        <v>1502</v>
      </c>
      <c r="H2802" s="115" t="s">
        <v>1500</v>
      </c>
    </row>
    <row r="2803" spans="1:8" ht="75" x14ac:dyDescent="0.25">
      <c r="A2803" s="115">
        <v>5047</v>
      </c>
      <c r="B2803" s="115" t="s">
        <v>128</v>
      </c>
      <c r="C2803" s="115" t="s">
        <v>7353</v>
      </c>
      <c r="D2803" s="115">
        <v>1</v>
      </c>
      <c r="E2803" s="115" t="s">
        <v>7354</v>
      </c>
      <c r="F2803" s="115" t="s">
        <v>7355</v>
      </c>
      <c r="G2803" s="115" t="s">
        <v>7356</v>
      </c>
      <c r="H2803" s="115" t="s">
        <v>7354</v>
      </c>
    </row>
    <row r="2804" spans="1:8" ht="45" x14ac:dyDescent="0.25">
      <c r="A2804" s="115">
        <v>5046</v>
      </c>
      <c r="B2804" s="115" t="s">
        <v>128</v>
      </c>
      <c r="C2804" s="115" t="s">
        <v>7357</v>
      </c>
      <c r="D2804" s="115">
        <v>1</v>
      </c>
      <c r="E2804" s="115" t="s">
        <v>7358</v>
      </c>
      <c r="F2804" s="115" t="s">
        <v>7359</v>
      </c>
      <c r="G2804" s="115" t="s">
        <v>7360</v>
      </c>
      <c r="H2804" s="115" t="s">
        <v>7358</v>
      </c>
    </row>
    <row r="2805" spans="1:8" ht="45" x14ac:dyDescent="0.25">
      <c r="A2805" s="115">
        <v>5045</v>
      </c>
      <c r="B2805" s="115" t="s">
        <v>128</v>
      </c>
      <c r="C2805" s="115" t="s">
        <v>7361</v>
      </c>
      <c r="D2805" s="115">
        <v>1</v>
      </c>
      <c r="E2805" s="115" t="s">
        <v>7362</v>
      </c>
      <c r="F2805" s="115" t="s">
        <v>7363</v>
      </c>
      <c r="G2805" s="115" t="s">
        <v>7364</v>
      </c>
      <c r="H2805" s="115" t="s">
        <v>7362</v>
      </c>
    </row>
    <row r="2806" spans="1:8" ht="45" x14ac:dyDescent="0.25">
      <c r="A2806" s="115">
        <v>5044</v>
      </c>
      <c r="B2806" s="115" t="s">
        <v>128</v>
      </c>
      <c r="C2806" s="115" t="s">
        <v>7365</v>
      </c>
      <c r="D2806" s="115">
        <v>1</v>
      </c>
      <c r="E2806" s="115" t="s">
        <v>7366</v>
      </c>
      <c r="F2806" s="115" t="s">
        <v>7367</v>
      </c>
      <c r="G2806" s="115" t="s">
        <v>7368</v>
      </c>
      <c r="H2806" s="115" t="s">
        <v>7366</v>
      </c>
    </row>
    <row r="2807" spans="1:8" ht="30" x14ac:dyDescent="0.25">
      <c r="A2807" s="115">
        <v>5043</v>
      </c>
      <c r="B2807" s="115" t="s">
        <v>128</v>
      </c>
      <c r="C2807" s="115" t="s">
        <v>7369</v>
      </c>
      <c r="D2807" s="115">
        <v>1</v>
      </c>
      <c r="E2807" s="115" t="s">
        <v>7370</v>
      </c>
      <c r="F2807" s="115" t="s">
        <v>7371</v>
      </c>
      <c r="G2807" s="115" t="s">
        <v>7372</v>
      </c>
      <c r="H2807" s="115" t="s">
        <v>7370</v>
      </c>
    </row>
    <row r="2808" spans="1:8" ht="30" x14ac:dyDescent="0.25">
      <c r="A2808" s="115">
        <v>5042</v>
      </c>
      <c r="B2808" s="115" t="s">
        <v>128</v>
      </c>
      <c r="C2808" s="115" t="s">
        <v>7373</v>
      </c>
      <c r="D2808" s="115">
        <v>1</v>
      </c>
      <c r="E2808" s="115" t="s">
        <v>7374</v>
      </c>
      <c r="F2808" s="115" t="s">
        <v>1531</v>
      </c>
      <c r="G2808" s="115" t="s">
        <v>7375</v>
      </c>
      <c r="H2808" s="115" t="s">
        <v>7374</v>
      </c>
    </row>
    <row r="2809" spans="1:8" ht="30" x14ac:dyDescent="0.25">
      <c r="A2809" s="115">
        <v>5041</v>
      </c>
      <c r="B2809" s="115" t="s">
        <v>128</v>
      </c>
      <c r="C2809" s="115" t="s">
        <v>7376</v>
      </c>
      <c r="D2809" s="115">
        <v>1</v>
      </c>
      <c r="E2809" s="115" t="s">
        <v>7377</v>
      </c>
      <c r="F2809" s="115" t="s">
        <v>7378</v>
      </c>
      <c r="G2809" s="115" t="s">
        <v>7379</v>
      </c>
      <c r="H2809" s="115" t="s">
        <v>7380</v>
      </c>
    </row>
    <row r="2810" spans="1:8" ht="45" x14ac:dyDescent="0.25">
      <c r="A2810" s="115">
        <v>5040</v>
      </c>
      <c r="B2810" s="115" t="s">
        <v>128</v>
      </c>
      <c r="C2810" s="115" t="s">
        <v>7381</v>
      </c>
      <c r="D2810" s="115">
        <v>1</v>
      </c>
      <c r="E2810" s="115" t="s">
        <v>7382</v>
      </c>
      <c r="F2810" s="115" t="s">
        <v>7383</v>
      </c>
      <c r="G2810" s="115" t="s">
        <v>7384</v>
      </c>
      <c r="H2810" s="115" t="s">
        <v>7382</v>
      </c>
    </row>
    <row r="2811" spans="1:8" x14ac:dyDescent="0.25">
      <c r="A2811" s="115">
        <v>5039</v>
      </c>
      <c r="B2811" s="115" t="s">
        <v>128</v>
      </c>
      <c r="C2811" s="115" t="s">
        <v>7385</v>
      </c>
      <c r="D2811" s="115">
        <v>1</v>
      </c>
      <c r="E2811" s="115" t="s">
        <v>1538</v>
      </c>
      <c r="F2811" s="115" t="s">
        <v>5313</v>
      </c>
      <c r="G2811" s="115" t="s">
        <v>7386</v>
      </c>
      <c r="H2811" s="115" t="s">
        <v>1538</v>
      </c>
    </row>
    <row r="2812" spans="1:8" x14ac:dyDescent="0.25">
      <c r="A2812" s="115">
        <v>5038</v>
      </c>
      <c r="B2812" s="115" t="s">
        <v>128</v>
      </c>
      <c r="C2812" s="115" t="s">
        <v>7387</v>
      </c>
      <c r="D2812" s="115">
        <v>1</v>
      </c>
      <c r="E2812" s="115" t="s">
        <v>7388</v>
      </c>
      <c r="F2812" s="115" t="s">
        <v>7389</v>
      </c>
      <c r="G2812" s="115" t="s">
        <v>7390</v>
      </c>
      <c r="H2812" s="115" t="s">
        <v>7388</v>
      </c>
    </row>
    <row r="2813" spans="1:8" x14ac:dyDescent="0.25">
      <c r="A2813" s="115">
        <v>5037</v>
      </c>
      <c r="B2813" s="115" t="s">
        <v>128</v>
      </c>
      <c r="C2813" s="115" t="s">
        <v>7391</v>
      </c>
      <c r="D2813" s="115">
        <v>1</v>
      </c>
      <c r="E2813" s="115" t="s">
        <v>7392</v>
      </c>
      <c r="F2813" s="115" t="s">
        <v>7393</v>
      </c>
      <c r="G2813" s="115" t="s">
        <v>7394</v>
      </c>
      <c r="H2813" s="115" t="s">
        <v>7392</v>
      </c>
    </row>
    <row r="2814" spans="1:8" x14ac:dyDescent="0.25">
      <c r="A2814" s="115">
        <v>5036</v>
      </c>
      <c r="B2814" s="115" t="s">
        <v>128</v>
      </c>
      <c r="C2814" s="115" t="s">
        <v>7395</v>
      </c>
      <c r="D2814" s="115">
        <v>1</v>
      </c>
      <c r="E2814" s="115" t="s">
        <v>7396</v>
      </c>
      <c r="F2814" s="115" t="s">
        <v>7397</v>
      </c>
      <c r="G2814" s="115" t="s">
        <v>7398</v>
      </c>
      <c r="H2814" s="115" t="s">
        <v>7396</v>
      </c>
    </row>
    <row r="2815" spans="1:8" ht="30" x14ac:dyDescent="0.25">
      <c r="A2815" s="115">
        <v>5035</v>
      </c>
      <c r="B2815" s="115" t="s">
        <v>128</v>
      </c>
      <c r="C2815" s="115" t="s">
        <v>7399</v>
      </c>
      <c r="D2815" s="115">
        <v>1</v>
      </c>
      <c r="E2815" s="115" t="s">
        <v>7400</v>
      </c>
      <c r="F2815" s="115" t="s">
        <v>7401</v>
      </c>
      <c r="G2815" s="115" t="s">
        <v>7402</v>
      </c>
      <c r="H2815" s="115" t="s">
        <v>7400</v>
      </c>
    </row>
    <row r="2816" spans="1:8" x14ac:dyDescent="0.25">
      <c r="A2816" s="115">
        <v>5034</v>
      </c>
      <c r="B2816" s="115" t="s">
        <v>128</v>
      </c>
      <c r="C2816" s="115" t="s">
        <v>7403</v>
      </c>
      <c r="D2816" s="115">
        <v>1</v>
      </c>
      <c r="E2816" s="115" t="s">
        <v>7404</v>
      </c>
      <c r="F2816" s="115" t="s">
        <v>7405</v>
      </c>
      <c r="G2816" s="115" t="s">
        <v>7406</v>
      </c>
      <c r="H2816" s="115" t="s">
        <v>7404</v>
      </c>
    </row>
    <row r="2817" spans="1:8" x14ac:dyDescent="0.25">
      <c r="A2817" s="115">
        <v>5033</v>
      </c>
      <c r="B2817" s="115" t="s">
        <v>128</v>
      </c>
      <c r="C2817" s="115" t="s">
        <v>7407</v>
      </c>
      <c r="D2817" s="115">
        <v>1</v>
      </c>
      <c r="E2817" s="115" t="s">
        <v>7408</v>
      </c>
      <c r="F2817" s="115" t="s">
        <v>7409</v>
      </c>
      <c r="G2817" s="115" t="s">
        <v>7410</v>
      </c>
      <c r="H2817" s="115" t="s">
        <v>7408</v>
      </c>
    </row>
    <row r="2818" spans="1:8" x14ac:dyDescent="0.25">
      <c r="A2818" s="115">
        <v>5032</v>
      </c>
      <c r="B2818" s="115" t="s">
        <v>128</v>
      </c>
      <c r="C2818" s="115" t="s">
        <v>7411</v>
      </c>
      <c r="D2818" s="115">
        <v>1</v>
      </c>
      <c r="E2818" s="115" t="s">
        <v>1546</v>
      </c>
      <c r="F2818" s="115" t="s">
        <v>7412</v>
      </c>
      <c r="G2818" s="115" t="s">
        <v>1548</v>
      </c>
      <c r="H2818" s="115" t="s">
        <v>7413</v>
      </c>
    </row>
    <row r="2819" spans="1:8" ht="45" x14ac:dyDescent="0.25">
      <c r="A2819" s="115">
        <v>5031</v>
      </c>
      <c r="B2819" s="115" t="s">
        <v>128</v>
      </c>
      <c r="C2819" s="115" t="s">
        <v>7414</v>
      </c>
      <c r="D2819" s="115">
        <v>1</v>
      </c>
      <c r="E2819" s="115" t="s">
        <v>7415</v>
      </c>
      <c r="F2819" s="115" t="s">
        <v>7412</v>
      </c>
      <c r="G2819" s="115" t="s">
        <v>7416</v>
      </c>
      <c r="H2819" s="115" t="s">
        <v>7417</v>
      </c>
    </row>
    <row r="2820" spans="1:8" x14ac:dyDescent="0.25">
      <c r="A2820" s="115">
        <v>5030</v>
      </c>
      <c r="B2820" s="115" t="s">
        <v>128</v>
      </c>
      <c r="C2820" s="115" t="s">
        <v>7418</v>
      </c>
      <c r="D2820" s="115">
        <v>1</v>
      </c>
      <c r="E2820" s="115" t="s">
        <v>1787</v>
      </c>
      <c r="F2820" s="115" t="s">
        <v>1788</v>
      </c>
      <c r="G2820" s="115" t="s">
        <v>7419</v>
      </c>
      <c r="H2820" s="115" t="s">
        <v>7420</v>
      </c>
    </row>
    <row r="2821" spans="1:8" x14ac:dyDescent="0.25">
      <c r="A2821" s="115">
        <v>5029</v>
      </c>
      <c r="B2821" s="115" t="s">
        <v>128</v>
      </c>
      <c r="C2821" s="115" t="s">
        <v>7421</v>
      </c>
      <c r="D2821" s="115">
        <v>1</v>
      </c>
      <c r="E2821" s="115" t="s">
        <v>1791</v>
      </c>
      <c r="F2821" s="115" t="s">
        <v>1792</v>
      </c>
      <c r="G2821" s="115" t="s">
        <v>1793</v>
      </c>
      <c r="H2821" s="115" t="s">
        <v>7422</v>
      </c>
    </row>
    <row r="2822" spans="1:8" x14ac:dyDescent="0.25">
      <c r="A2822" s="115">
        <v>5028</v>
      </c>
      <c r="B2822" s="115" t="s">
        <v>128</v>
      </c>
      <c r="C2822" s="115" t="s">
        <v>7423</v>
      </c>
      <c r="D2822" s="115">
        <v>1</v>
      </c>
      <c r="E2822" s="115" t="s">
        <v>7424</v>
      </c>
      <c r="F2822" s="115" t="s">
        <v>7424</v>
      </c>
      <c r="G2822" s="115" t="s">
        <v>7424</v>
      </c>
      <c r="H2822" s="115" t="s">
        <v>7424</v>
      </c>
    </row>
    <row r="2823" spans="1:8" x14ac:dyDescent="0.25">
      <c r="A2823" s="115">
        <v>5027</v>
      </c>
      <c r="B2823" s="115" t="s">
        <v>128</v>
      </c>
      <c r="C2823" s="115" t="s">
        <v>7425</v>
      </c>
      <c r="D2823" s="115">
        <v>1</v>
      </c>
      <c r="E2823" s="115" t="s">
        <v>7426</v>
      </c>
      <c r="F2823" s="115" t="s">
        <v>7427</v>
      </c>
      <c r="G2823" s="115" t="s">
        <v>7426</v>
      </c>
      <c r="H2823" s="115" t="s">
        <v>7426</v>
      </c>
    </row>
    <row r="2824" spans="1:8" x14ac:dyDescent="0.25">
      <c r="A2824" s="115">
        <v>5026</v>
      </c>
      <c r="B2824" s="115" t="s">
        <v>128</v>
      </c>
      <c r="C2824" s="115" t="s">
        <v>7428</v>
      </c>
      <c r="D2824" s="115">
        <v>1</v>
      </c>
      <c r="E2824" s="115" t="s">
        <v>7429</v>
      </c>
      <c r="F2824" s="115" t="s">
        <v>7430</v>
      </c>
      <c r="G2824" s="115" t="s">
        <v>7429</v>
      </c>
      <c r="H2824" s="115" t="s">
        <v>7429</v>
      </c>
    </row>
    <row r="2825" spans="1:8" x14ac:dyDescent="0.25">
      <c r="A2825" s="115">
        <v>5025</v>
      </c>
      <c r="B2825" s="115" t="s">
        <v>128</v>
      </c>
      <c r="C2825" s="115" t="s">
        <v>7431</v>
      </c>
      <c r="D2825" s="115">
        <v>1</v>
      </c>
      <c r="E2825" s="115" t="s">
        <v>7432</v>
      </c>
      <c r="F2825" s="115" t="s">
        <v>7432</v>
      </c>
      <c r="G2825" s="115" t="s">
        <v>7432</v>
      </c>
      <c r="H2825" s="115" t="s">
        <v>7432</v>
      </c>
    </row>
    <row r="2826" spans="1:8" x14ac:dyDescent="0.25">
      <c r="A2826" s="115">
        <v>5024</v>
      </c>
      <c r="B2826" s="115" t="s">
        <v>128</v>
      </c>
      <c r="C2826" s="115" t="s">
        <v>7433</v>
      </c>
      <c r="D2826" s="115">
        <v>1</v>
      </c>
      <c r="E2826" s="115" t="s">
        <v>3138</v>
      </c>
      <c r="F2826" s="115" t="s">
        <v>7434</v>
      </c>
      <c r="G2826" s="115" t="s">
        <v>3138</v>
      </c>
      <c r="H2826" s="115" t="s">
        <v>3138</v>
      </c>
    </row>
    <row r="2827" spans="1:8" x14ac:dyDescent="0.25">
      <c r="A2827" s="115">
        <v>5023</v>
      </c>
      <c r="B2827" s="115" t="s">
        <v>128</v>
      </c>
      <c r="C2827" s="115" t="s">
        <v>7435</v>
      </c>
      <c r="D2827" s="115">
        <v>1</v>
      </c>
      <c r="E2827" s="115" t="s">
        <v>7436</v>
      </c>
      <c r="F2827" s="115" t="s">
        <v>7436</v>
      </c>
      <c r="G2827" s="115" t="s">
        <v>7436</v>
      </c>
      <c r="H2827" s="115" t="s">
        <v>7436</v>
      </c>
    </row>
    <row r="2828" spans="1:8" x14ac:dyDescent="0.25">
      <c r="A2828" s="115">
        <v>5022</v>
      </c>
      <c r="B2828" s="115" t="s">
        <v>128</v>
      </c>
      <c r="C2828" s="115" t="s">
        <v>7437</v>
      </c>
      <c r="D2828" s="115">
        <v>1</v>
      </c>
      <c r="E2828" s="115" t="s">
        <v>7438</v>
      </c>
      <c r="F2828" s="115" t="s">
        <v>7439</v>
      </c>
      <c r="G2828" s="115" t="s">
        <v>7438</v>
      </c>
      <c r="H2828" s="115" t="s">
        <v>7438</v>
      </c>
    </row>
    <row r="2829" spans="1:8" x14ac:dyDescent="0.25">
      <c r="A2829" s="115">
        <v>5021</v>
      </c>
      <c r="B2829" s="115" t="s">
        <v>128</v>
      </c>
      <c r="C2829" s="115" t="s">
        <v>7440</v>
      </c>
      <c r="D2829" s="115">
        <v>1</v>
      </c>
      <c r="E2829" s="115" t="s">
        <v>7441</v>
      </c>
      <c r="F2829" s="115" t="s">
        <v>7441</v>
      </c>
      <c r="G2829" s="115" t="s">
        <v>7441</v>
      </c>
      <c r="H2829" s="115" t="s">
        <v>7441</v>
      </c>
    </row>
    <row r="2830" spans="1:8" x14ac:dyDescent="0.25">
      <c r="A2830" s="115">
        <v>5020</v>
      </c>
      <c r="B2830" s="115" t="s">
        <v>128</v>
      </c>
      <c r="C2830" s="115" t="s">
        <v>7442</v>
      </c>
      <c r="D2830" s="115">
        <v>1</v>
      </c>
      <c r="E2830" s="115" t="s">
        <v>7443</v>
      </c>
      <c r="F2830" s="115" t="s">
        <v>7444</v>
      </c>
      <c r="G2830" s="115" t="s">
        <v>7443</v>
      </c>
      <c r="H2830" s="115" t="s">
        <v>7443</v>
      </c>
    </row>
    <row r="2831" spans="1:8" x14ac:dyDescent="0.25">
      <c r="A2831" s="115">
        <v>5019</v>
      </c>
      <c r="B2831" s="115" t="s">
        <v>128</v>
      </c>
      <c r="C2831" s="115" t="s">
        <v>7445</v>
      </c>
      <c r="D2831" s="115">
        <v>1</v>
      </c>
      <c r="E2831" s="115" t="s">
        <v>7446</v>
      </c>
      <c r="F2831" s="115" t="s">
        <v>7447</v>
      </c>
      <c r="G2831" s="115" t="s">
        <v>7446</v>
      </c>
      <c r="H2831" s="115" t="s">
        <v>7446</v>
      </c>
    </row>
    <row r="2832" spans="1:8" x14ac:dyDescent="0.25">
      <c r="A2832" s="115">
        <v>5018</v>
      </c>
      <c r="B2832" s="115" t="s">
        <v>128</v>
      </c>
      <c r="C2832" s="115" t="s">
        <v>7448</v>
      </c>
      <c r="D2832" s="115">
        <v>1</v>
      </c>
      <c r="E2832" s="115" t="s">
        <v>7449</v>
      </c>
      <c r="F2832" s="115" t="s">
        <v>7450</v>
      </c>
      <c r="G2832" s="115" t="s">
        <v>7449</v>
      </c>
      <c r="H2832" s="115" t="s">
        <v>7449</v>
      </c>
    </row>
    <row r="2833" spans="1:8" ht="30" x14ac:dyDescent="0.25">
      <c r="A2833" s="115">
        <v>5017</v>
      </c>
      <c r="B2833" s="115" t="s">
        <v>128</v>
      </c>
      <c r="C2833" s="115" t="s">
        <v>7451</v>
      </c>
      <c r="D2833" s="115">
        <v>1</v>
      </c>
      <c r="E2833" s="115" t="s">
        <v>7452</v>
      </c>
      <c r="F2833" s="115" t="s">
        <v>7453</v>
      </c>
      <c r="G2833" s="115" t="s">
        <v>7452</v>
      </c>
      <c r="H2833" s="115" t="s">
        <v>7452</v>
      </c>
    </row>
    <row r="2834" spans="1:8" ht="30" x14ac:dyDescent="0.25">
      <c r="A2834" s="115">
        <v>5016</v>
      </c>
      <c r="B2834" s="115" t="s">
        <v>128</v>
      </c>
      <c r="C2834" s="115" t="s">
        <v>7454</v>
      </c>
      <c r="D2834" s="115">
        <v>1</v>
      </c>
      <c r="E2834" s="115" t="s">
        <v>7455</v>
      </c>
      <c r="F2834" s="115" t="s">
        <v>7456</v>
      </c>
      <c r="G2834" s="115" t="s">
        <v>7455</v>
      </c>
      <c r="H2834" s="115" t="s">
        <v>7455</v>
      </c>
    </row>
    <row r="2835" spans="1:8" ht="30" x14ac:dyDescent="0.25">
      <c r="A2835" s="115">
        <v>5015</v>
      </c>
      <c r="B2835" s="115" t="s">
        <v>128</v>
      </c>
      <c r="C2835" s="115" t="s">
        <v>7457</v>
      </c>
      <c r="D2835" s="115">
        <v>1</v>
      </c>
      <c r="E2835" s="115" t="s">
        <v>7458</v>
      </c>
      <c r="F2835" s="115" t="s">
        <v>7459</v>
      </c>
      <c r="G2835" s="115" t="s">
        <v>7458</v>
      </c>
      <c r="H2835" s="115" t="s">
        <v>7458</v>
      </c>
    </row>
    <row r="2836" spans="1:8" x14ac:dyDescent="0.25">
      <c r="A2836" s="115">
        <v>5014</v>
      </c>
      <c r="B2836" s="115" t="s">
        <v>128</v>
      </c>
      <c r="C2836" s="115" t="s">
        <v>7460</v>
      </c>
      <c r="D2836" s="115">
        <v>1</v>
      </c>
      <c r="E2836" s="115" t="s">
        <v>7461</v>
      </c>
      <c r="F2836" s="115" t="s">
        <v>7462</v>
      </c>
      <c r="G2836" s="115" t="s">
        <v>7461</v>
      </c>
      <c r="H2836" s="115" t="s">
        <v>7461</v>
      </c>
    </row>
    <row r="2837" spans="1:8" x14ac:dyDescent="0.25">
      <c r="A2837" s="115">
        <v>5013</v>
      </c>
      <c r="B2837" s="115" t="s">
        <v>128</v>
      </c>
      <c r="C2837" s="115" t="s">
        <v>7463</v>
      </c>
      <c r="D2837" s="115">
        <v>1</v>
      </c>
      <c r="E2837" s="115" t="s">
        <v>7464</v>
      </c>
      <c r="F2837" s="115" t="s">
        <v>7464</v>
      </c>
      <c r="G2837" s="115" t="s">
        <v>7464</v>
      </c>
      <c r="H2837" s="115" t="s">
        <v>7464</v>
      </c>
    </row>
    <row r="2838" spans="1:8" x14ac:dyDescent="0.25">
      <c r="A2838" s="115">
        <v>5012</v>
      </c>
      <c r="B2838" s="115" t="s">
        <v>128</v>
      </c>
      <c r="C2838" s="115" t="s">
        <v>7465</v>
      </c>
      <c r="D2838" s="115">
        <v>1</v>
      </c>
      <c r="E2838" s="115" t="s">
        <v>7466</v>
      </c>
      <c r="F2838" s="115" t="s">
        <v>7466</v>
      </c>
      <c r="G2838" s="115" t="s">
        <v>7466</v>
      </c>
      <c r="H2838" s="115" t="s">
        <v>7466</v>
      </c>
    </row>
    <row r="2839" spans="1:8" ht="30" x14ac:dyDescent="0.25">
      <c r="A2839" s="115">
        <v>5011</v>
      </c>
      <c r="B2839" s="115" t="s">
        <v>128</v>
      </c>
      <c r="C2839" s="115" t="s">
        <v>7467</v>
      </c>
      <c r="D2839" s="115">
        <v>1</v>
      </c>
      <c r="E2839" s="115" t="s">
        <v>7468</v>
      </c>
      <c r="F2839" s="115" t="s">
        <v>7469</v>
      </c>
      <c r="G2839" s="115" t="s">
        <v>7468</v>
      </c>
      <c r="H2839" s="115" t="s">
        <v>7468</v>
      </c>
    </row>
    <row r="2840" spans="1:8" x14ac:dyDescent="0.25">
      <c r="A2840" s="115">
        <v>5010</v>
      </c>
      <c r="B2840" s="115" t="s">
        <v>128</v>
      </c>
      <c r="C2840" s="115" t="s">
        <v>7470</v>
      </c>
      <c r="D2840" s="115">
        <v>1</v>
      </c>
      <c r="E2840" s="115" t="s">
        <v>7471</v>
      </c>
      <c r="F2840" s="115" t="s">
        <v>7472</v>
      </c>
      <c r="G2840" s="115" t="s">
        <v>7471</v>
      </c>
      <c r="H2840" s="115" t="s">
        <v>7471</v>
      </c>
    </row>
    <row r="2841" spans="1:8" x14ac:dyDescent="0.25">
      <c r="A2841" s="115">
        <v>5009</v>
      </c>
      <c r="B2841" s="115" t="s">
        <v>128</v>
      </c>
      <c r="C2841" s="115" t="s">
        <v>7473</v>
      </c>
      <c r="D2841" s="115">
        <v>1</v>
      </c>
      <c r="E2841" s="115" t="s">
        <v>3147</v>
      </c>
      <c r="F2841" s="115" t="s">
        <v>3147</v>
      </c>
      <c r="G2841" s="115" t="s">
        <v>3147</v>
      </c>
      <c r="H2841" s="115" t="s">
        <v>3147</v>
      </c>
    </row>
    <row r="2842" spans="1:8" x14ac:dyDescent="0.25">
      <c r="A2842" s="115">
        <v>5008</v>
      </c>
      <c r="B2842" s="115" t="s">
        <v>128</v>
      </c>
      <c r="C2842" s="115" t="s">
        <v>7474</v>
      </c>
      <c r="D2842" s="115">
        <v>1</v>
      </c>
      <c r="E2842" s="115" t="s">
        <v>7475</v>
      </c>
      <c r="F2842" s="115" t="s">
        <v>7476</v>
      </c>
      <c r="G2842" s="115" t="s">
        <v>7475</v>
      </c>
      <c r="H2842" s="115" t="s">
        <v>7475</v>
      </c>
    </row>
    <row r="2843" spans="1:8" ht="30" x14ac:dyDescent="0.25">
      <c r="A2843" s="115">
        <v>5007</v>
      </c>
      <c r="B2843" s="115" t="s">
        <v>128</v>
      </c>
      <c r="C2843" s="115" t="s">
        <v>7477</v>
      </c>
      <c r="D2843" s="115">
        <v>1</v>
      </c>
      <c r="E2843" s="115" t="s">
        <v>7478</v>
      </c>
      <c r="F2843" s="115" t="s">
        <v>7479</v>
      </c>
      <c r="G2843" s="115" t="s">
        <v>7478</v>
      </c>
      <c r="H2843" s="115" t="s">
        <v>7478</v>
      </c>
    </row>
    <row r="2844" spans="1:8" x14ac:dyDescent="0.25">
      <c r="A2844" s="115">
        <v>5006</v>
      </c>
      <c r="B2844" s="115" t="s">
        <v>128</v>
      </c>
      <c r="C2844" s="115" t="s">
        <v>7480</v>
      </c>
      <c r="D2844" s="115">
        <v>1</v>
      </c>
      <c r="E2844" s="115" t="s">
        <v>7481</v>
      </c>
      <c r="F2844" s="115" t="s">
        <v>7481</v>
      </c>
      <c r="G2844" s="115" t="s">
        <v>7481</v>
      </c>
      <c r="H2844" s="115" t="s">
        <v>7481</v>
      </c>
    </row>
    <row r="2845" spans="1:8" x14ac:dyDescent="0.25">
      <c r="A2845" s="115">
        <v>5005</v>
      </c>
      <c r="B2845" s="115" t="s">
        <v>128</v>
      </c>
      <c r="C2845" s="115" t="s">
        <v>7482</v>
      </c>
      <c r="D2845" s="115">
        <v>1</v>
      </c>
      <c r="E2845" s="115" t="s">
        <v>7483</v>
      </c>
      <c r="F2845" s="115" t="s">
        <v>7484</v>
      </c>
      <c r="G2845" s="115" t="s">
        <v>7483</v>
      </c>
      <c r="H2845" s="115" t="s">
        <v>7483</v>
      </c>
    </row>
    <row r="2846" spans="1:8" x14ac:dyDescent="0.25">
      <c r="A2846" s="115">
        <v>5004</v>
      </c>
      <c r="B2846" s="115" t="s">
        <v>128</v>
      </c>
      <c r="C2846" s="115" t="s">
        <v>7485</v>
      </c>
      <c r="D2846" s="115">
        <v>1</v>
      </c>
      <c r="E2846" s="115" t="s">
        <v>842</v>
      </c>
      <c r="F2846" s="115" t="s">
        <v>843</v>
      </c>
      <c r="G2846" s="115" t="s">
        <v>842</v>
      </c>
      <c r="H2846" s="115" t="s">
        <v>842</v>
      </c>
    </row>
    <row r="2847" spans="1:8" x14ac:dyDescent="0.25">
      <c r="A2847" s="115">
        <v>5003</v>
      </c>
      <c r="B2847" s="115" t="s">
        <v>128</v>
      </c>
      <c r="C2847" s="115" t="s">
        <v>7486</v>
      </c>
      <c r="D2847" s="115">
        <v>1</v>
      </c>
      <c r="E2847" s="115" t="s">
        <v>7487</v>
      </c>
      <c r="F2847" s="115" t="s">
        <v>7487</v>
      </c>
      <c r="G2847" s="115" t="s">
        <v>7487</v>
      </c>
      <c r="H2847" s="115" t="s">
        <v>7487</v>
      </c>
    </row>
    <row r="2848" spans="1:8" x14ac:dyDescent="0.25">
      <c r="A2848" s="115">
        <v>5002</v>
      </c>
      <c r="B2848" s="115" t="s">
        <v>128</v>
      </c>
      <c r="C2848" s="115" t="s">
        <v>7488</v>
      </c>
      <c r="D2848" s="115">
        <v>1</v>
      </c>
      <c r="E2848" s="115" t="s">
        <v>7489</v>
      </c>
      <c r="F2848" s="115" t="s">
        <v>7490</v>
      </c>
      <c r="G2848" s="115" t="s">
        <v>7489</v>
      </c>
      <c r="H2848" s="115" t="s">
        <v>7489</v>
      </c>
    </row>
    <row r="2849" spans="1:8" x14ac:dyDescent="0.25">
      <c r="A2849" s="115">
        <v>5001</v>
      </c>
      <c r="B2849" s="115" t="s">
        <v>128</v>
      </c>
      <c r="C2849" s="115" t="s">
        <v>7491</v>
      </c>
      <c r="D2849" s="115">
        <v>1</v>
      </c>
      <c r="E2849" s="115" t="s">
        <v>7492</v>
      </c>
      <c r="F2849" s="115" t="s">
        <v>7493</v>
      </c>
      <c r="G2849" s="115" t="s">
        <v>7492</v>
      </c>
      <c r="H2849" s="115" t="s">
        <v>7492</v>
      </c>
    </row>
    <row r="2850" spans="1:8" x14ac:dyDescent="0.25">
      <c r="A2850" s="115">
        <v>5000</v>
      </c>
      <c r="B2850" s="115" t="s">
        <v>128</v>
      </c>
      <c r="C2850" s="115" t="s">
        <v>7494</v>
      </c>
      <c r="D2850" s="115">
        <v>1</v>
      </c>
      <c r="E2850" s="115" t="s">
        <v>7495</v>
      </c>
      <c r="F2850" s="115" t="s">
        <v>7496</v>
      </c>
      <c r="G2850" s="115" t="s">
        <v>7495</v>
      </c>
      <c r="H2850" s="115" t="s">
        <v>7495</v>
      </c>
    </row>
    <row r="2851" spans="1:8" x14ac:dyDescent="0.25">
      <c r="A2851" s="115">
        <v>4999</v>
      </c>
      <c r="B2851" s="115" t="s">
        <v>128</v>
      </c>
      <c r="C2851" s="115" t="s">
        <v>7497</v>
      </c>
      <c r="D2851" s="115">
        <v>1</v>
      </c>
      <c r="E2851" s="115" t="s">
        <v>7498</v>
      </c>
      <c r="F2851" s="115" t="s">
        <v>7498</v>
      </c>
      <c r="G2851" s="115" t="s">
        <v>7498</v>
      </c>
      <c r="H2851" s="115" t="s">
        <v>7498</v>
      </c>
    </row>
    <row r="2852" spans="1:8" x14ac:dyDescent="0.25">
      <c r="A2852" s="115">
        <v>4998</v>
      </c>
      <c r="B2852" s="115" t="s">
        <v>128</v>
      </c>
      <c r="C2852" s="115" t="s">
        <v>7499</v>
      </c>
      <c r="D2852" s="115">
        <v>1</v>
      </c>
      <c r="E2852" s="115" t="s">
        <v>7500</v>
      </c>
      <c r="F2852" s="115" t="s">
        <v>7501</v>
      </c>
      <c r="G2852" s="115" t="s">
        <v>7500</v>
      </c>
      <c r="H2852" s="115" t="s">
        <v>7500</v>
      </c>
    </row>
    <row r="2853" spans="1:8" x14ac:dyDescent="0.25">
      <c r="A2853" s="115">
        <v>4997</v>
      </c>
      <c r="B2853" s="115" t="s">
        <v>128</v>
      </c>
      <c r="C2853" s="115" t="s">
        <v>7502</v>
      </c>
      <c r="D2853" s="115">
        <v>1</v>
      </c>
      <c r="E2853" s="115" t="s">
        <v>7503</v>
      </c>
      <c r="F2853" s="115" t="s">
        <v>7504</v>
      </c>
      <c r="G2853" s="115" t="s">
        <v>7503</v>
      </c>
      <c r="H2853" s="115" t="s">
        <v>7503</v>
      </c>
    </row>
    <row r="2854" spans="1:8" x14ac:dyDescent="0.25">
      <c r="A2854" s="115">
        <v>4996</v>
      </c>
      <c r="B2854" s="115" t="s">
        <v>128</v>
      </c>
      <c r="C2854" s="115" t="s">
        <v>7505</v>
      </c>
      <c r="D2854" s="115">
        <v>1</v>
      </c>
      <c r="E2854" s="115" t="s">
        <v>7506</v>
      </c>
      <c r="F2854" s="115" t="s">
        <v>7506</v>
      </c>
      <c r="G2854" s="115" t="s">
        <v>7506</v>
      </c>
      <c r="H2854" s="115" t="s">
        <v>7506</v>
      </c>
    </row>
    <row r="2855" spans="1:8" ht="30" x14ac:dyDescent="0.25">
      <c r="A2855" s="115">
        <v>4995</v>
      </c>
      <c r="B2855" s="115" t="s">
        <v>128</v>
      </c>
      <c r="C2855" s="115" t="s">
        <v>7507</v>
      </c>
      <c r="D2855" s="115">
        <v>1</v>
      </c>
      <c r="E2855" s="115" t="s">
        <v>7508</v>
      </c>
      <c r="F2855" s="115" t="s">
        <v>7509</v>
      </c>
      <c r="G2855" s="115" t="s">
        <v>7508</v>
      </c>
      <c r="H2855" s="115" t="s">
        <v>7508</v>
      </c>
    </row>
    <row r="2856" spans="1:8" x14ac:dyDescent="0.25">
      <c r="A2856" s="115">
        <v>4994</v>
      </c>
      <c r="B2856" s="115" t="s">
        <v>128</v>
      </c>
      <c r="C2856" s="115" t="s">
        <v>7510</v>
      </c>
      <c r="D2856" s="115">
        <v>1</v>
      </c>
      <c r="E2856" s="115" t="s">
        <v>3508</v>
      </c>
      <c r="F2856" s="115" t="s">
        <v>3509</v>
      </c>
      <c r="G2856" s="115" t="s">
        <v>3508</v>
      </c>
      <c r="H2856" s="115" t="s">
        <v>3508</v>
      </c>
    </row>
    <row r="2857" spans="1:8" x14ac:dyDescent="0.25">
      <c r="A2857" s="115">
        <v>4993</v>
      </c>
      <c r="B2857" s="115" t="s">
        <v>128</v>
      </c>
      <c r="C2857" s="115" t="s">
        <v>7511</v>
      </c>
      <c r="D2857" s="115">
        <v>1</v>
      </c>
      <c r="E2857" s="115" t="s">
        <v>7512</v>
      </c>
      <c r="F2857" s="115" t="s">
        <v>7513</v>
      </c>
      <c r="G2857" s="115" t="s">
        <v>7512</v>
      </c>
      <c r="H2857" s="115" t="s">
        <v>7512</v>
      </c>
    </row>
    <row r="2858" spans="1:8" x14ac:dyDescent="0.25">
      <c r="A2858" s="115">
        <v>4992</v>
      </c>
      <c r="B2858" s="115" t="s">
        <v>128</v>
      </c>
      <c r="C2858" s="115" t="s">
        <v>7514</v>
      </c>
      <c r="D2858" s="115">
        <v>1</v>
      </c>
      <c r="E2858" s="115" t="s">
        <v>7515</v>
      </c>
      <c r="F2858" s="115" t="s">
        <v>7515</v>
      </c>
      <c r="G2858" s="115" t="s">
        <v>7515</v>
      </c>
      <c r="H2858" s="115" t="s">
        <v>7515</v>
      </c>
    </row>
    <row r="2859" spans="1:8" x14ac:dyDescent="0.25">
      <c r="A2859" s="115">
        <v>4991</v>
      </c>
      <c r="B2859" s="115" t="s">
        <v>128</v>
      </c>
      <c r="C2859" s="115" t="s">
        <v>7516</v>
      </c>
      <c r="D2859" s="115">
        <v>1</v>
      </c>
      <c r="E2859" s="115" t="s">
        <v>7517</v>
      </c>
      <c r="F2859" s="115" t="s">
        <v>868</v>
      </c>
      <c r="G2859" s="115" t="s">
        <v>7517</v>
      </c>
      <c r="H2859" s="115" t="s">
        <v>7517</v>
      </c>
    </row>
    <row r="2860" spans="1:8" x14ac:dyDescent="0.25">
      <c r="A2860" s="115">
        <v>4990</v>
      </c>
      <c r="B2860" s="115" t="s">
        <v>128</v>
      </c>
      <c r="C2860" s="115" t="s">
        <v>7518</v>
      </c>
      <c r="D2860" s="115">
        <v>1</v>
      </c>
      <c r="E2860" s="115" t="s">
        <v>7519</v>
      </c>
      <c r="F2860" s="115" t="s">
        <v>7520</v>
      </c>
      <c r="G2860" s="115" t="s">
        <v>7519</v>
      </c>
      <c r="H2860" s="115" t="s">
        <v>7519</v>
      </c>
    </row>
    <row r="2861" spans="1:8" x14ac:dyDescent="0.25">
      <c r="A2861" s="115">
        <v>4989</v>
      </c>
      <c r="B2861" s="115" t="s">
        <v>128</v>
      </c>
      <c r="C2861" s="115" t="s">
        <v>7521</v>
      </c>
      <c r="D2861" s="115">
        <v>1</v>
      </c>
      <c r="E2861" s="115" t="s">
        <v>7522</v>
      </c>
      <c r="F2861" s="115" t="s">
        <v>7523</v>
      </c>
      <c r="G2861" s="115" t="s">
        <v>7522</v>
      </c>
      <c r="H2861" s="115" t="s">
        <v>7522</v>
      </c>
    </row>
    <row r="2862" spans="1:8" x14ac:dyDescent="0.25">
      <c r="A2862" s="115">
        <v>4988</v>
      </c>
      <c r="B2862" s="115" t="s">
        <v>128</v>
      </c>
      <c r="C2862" s="115" t="s">
        <v>7524</v>
      </c>
      <c r="D2862" s="115">
        <v>1</v>
      </c>
      <c r="E2862" s="115" t="s">
        <v>7525</v>
      </c>
      <c r="F2862" s="115" t="s">
        <v>7526</v>
      </c>
      <c r="G2862" s="115" t="s">
        <v>7525</v>
      </c>
      <c r="H2862" s="115" t="s">
        <v>7525</v>
      </c>
    </row>
    <row r="2863" spans="1:8" x14ac:dyDescent="0.25">
      <c r="A2863" s="115">
        <v>4987</v>
      </c>
      <c r="B2863" s="115" t="s">
        <v>128</v>
      </c>
      <c r="C2863" s="115" t="s">
        <v>7527</v>
      </c>
      <c r="D2863" s="115">
        <v>1</v>
      </c>
      <c r="E2863" s="115" t="s">
        <v>3163</v>
      </c>
      <c r="F2863" s="115" t="s">
        <v>7528</v>
      </c>
      <c r="G2863" s="115" t="s">
        <v>3163</v>
      </c>
      <c r="H2863" s="115" t="s">
        <v>3163</v>
      </c>
    </row>
    <row r="2864" spans="1:8" x14ac:dyDescent="0.25">
      <c r="A2864" s="115">
        <v>4986</v>
      </c>
      <c r="B2864" s="115" t="s">
        <v>128</v>
      </c>
      <c r="C2864" s="115" t="s">
        <v>7529</v>
      </c>
      <c r="D2864" s="115">
        <v>1</v>
      </c>
      <c r="E2864" s="115" t="s">
        <v>7530</v>
      </c>
      <c r="F2864" s="115" t="s">
        <v>7530</v>
      </c>
      <c r="G2864" s="115" t="s">
        <v>7530</v>
      </c>
      <c r="H2864" s="115" t="s">
        <v>7530</v>
      </c>
    </row>
    <row r="2865" spans="1:8" x14ac:dyDescent="0.25">
      <c r="A2865" s="115">
        <v>4985</v>
      </c>
      <c r="B2865" s="115" t="s">
        <v>128</v>
      </c>
      <c r="C2865" s="115" t="s">
        <v>7531</v>
      </c>
      <c r="D2865" s="115">
        <v>1</v>
      </c>
      <c r="E2865" s="115" t="s">
        <v>903</v>
      </c>
      <c r="F2865" s="115" t="s">
        <v>904</v>
      </c>
      <c r="G2865" s="115" t="s">
        <v>903</v>
      </c>
      <c r="H2865" s="115" t="s">
        <v>903</v>
      </c>
    </row>
    <row r="2866" spans="1:8" x14ac:dyDescent="0.25">
      <c r="A2866" s="115">
        <v>4984</v>
      </c>
      <c r="B2866" s="115" t="s">
        <v>128</v>
      </c>
      <c r="C2866" s="115" t="s">
        <v>7532</v>
      </c>
      <c r="D2866" s="115">
        <v>1</v>
      </c>
      <c r="E2866" s="115" t="s">
        <v>7533</v>
      </c>
      <c r="F2866" s="115" t="s">
        <v>7534</v>
      </c>
      <c r="G2866" s="115" t="s">
        <v>7533</v>
      </c>
      <c r="H2866" s="115" t="s">
        <v>7533</v>
      </c>
    </row>
    <row r="2867" spans="1:8" x14ac:dyDescent="0.25">
      <c r="A2867" s="115">
        <v>4983</v>
      </c>
      <c r="B2867" s="115" t="s">
        <v>128</v>
      </c>
      <c r="C2867" s="115" t="s">
        <v>7535</v>
      </c>
      <c r="D2867" s="115">
        <v>1</v>
      </c>
      <c r="E2867" s="115" t="s">
        <v>7536</v>
      </c>
      <c r="F2867" s="115" t="s">
        <v>7537</v>
      </c>
      <c r="G2867" s="115" t="s">
        <v>7536</v>
      </c>
      <c r="H2867" s="115" t="s">
        <v>7536</v>
      </c>
    </row>
    <row r="2868" spans="1:8" x14ac:dyDescent="0.25">
      <c r="A2868" s="115">
        <v>4982</v>
      </c>
      <c r="B2868" s="115" t="s">
        <v>128</v>
      </c>
      <c r="C2868" s="115" t="s">
        <v>7538</v>
      </c>
      <c r="D2868" s="115">
        <v>1</v>
      </c>
      <c r="E2868" s="115" t="s">
        <v>861</v>
      </c>
      <c r="F2868" s="115" t="s">
        <v>861</v>
      </c>
      <c r="G2868" s="115" t="s">
        <v>861</v>
      </c>
      <c r="H2868" s="115" t="s">
        <v>861</v>
      </c>
    </row>
    <row r="2869" spans="1:8" x14ac:dyDescent="0.25">
      <c r="A2869" s="115">
        <v>4981</v>
      </c>
      <c r="B2869" s="115" t="s">
        <v>128</v>
      </c>
      <c r="C2869" s="115" t="s">
        <v>7539</v>
      </c>
      <c r="D2869" s="115">
        <v>1</v>
      </c>
      <c r="E2869" s="115" t="s">
        <v>7540</v>
      </c>
      <c r="F2869" s="115" t="s">
        <v>7541</v>
      </c>
      <c r="G2869" s="115" t="s">
        <v>7540</v>
      </c>
      <c r="H2869" s="115" t="s">
        <v>7540</v>
      </c>
    </row>
    <row r="2870" spans="1:8" x14ac:dyDescent="0.25">
      <c r="A2870" s="115">
        <v>4980</v>
      </c>
      <c r="B2870" s="115" t="s">
        <v>128</v>
      </c>
      <c r="C2870" s="115" t="s">
        <v>7542</v>
      </c>
      <c r="D2870" s="115">
        <v>1</v>
      </c>
      <c r="E2870" s="115" t="s">
        <v>7543</v>
      </c>
      <c r="F2870" s="115" t="s">
        <v>7544</v>
      </c>
      <c r="G2870" s="115" t="s">
        <v>7543</v>
      </c>
      <c r="H2870" s="115" t="s">
        <v>7543</v>
      </c>
    </row>
    <row r="2871" spans="1:8" x14ac:dyDescent="0.25">
      <c r="A2871" s="115">
        <v>4979</v>
      </c>
      <c r="B2871" s="115" t="s">
        <v>128</v>
      </c>
      <c r="C2871" s="115" t="s">
        <v>7545</v>
      </c>
      <c r="D2871" s="115">
        <v>1</v>
      </c>
      <c r="E2871" s="115" t="s">
        <v>7546</v>
      </c>
      <c r="F2871" s="115" t="s">
        <v>7547</v>
      </c>
      <c r="G2871" s="115" t="s">
        <v>7546</v>
      </c>
      <c r="H2871" s="115" t="s">
        <v>7546</v>
      </c>
    </row>
    <row r="2872" spans="1:8" ht="30" x14ac:dyDescent="0.25">
      <c r="A2872" s="115">
        <v>4978</v>
      </c>
      <c r="B2872" s="115" t="s">
        <v>128</v>
      </c>
      <c r="C2872" s="115" t="s">
        <v>7548</v>
      </c>
      <c r="D2872" s="115">
        <v>1</v>
      </c>
      <c r="E2872" s="115" t="s">
        <v>7549</v>
      </c>
      <c r="F2872" s="115" t="s">
        <v>7550</v>
      </c>
      <c r="G2872" s="115" t="s">
        <v>7549</v>
      </c>
      <c r="H2872" s="115" t="s">
        <v>7549</v>
      </c>
    </row>
    <row r="2873" spans="1:8" x14ac:dyDescent="0.25">
      <c r="A2873" s="115">
        <v>4977</v>
      </c>
      <c r="B2873" s="115" t="s">
        <v>128</v>
      </c>
      <c r="C2873" s="115" t="s">
        <v>7551</v>
      </c>
      <c r="D2873" s="115">
        <v>1</v>
      </c>
      <c r="E2873" s="115" t="s">
        <v>7552</v>
      </c>
      <c r="F2873" s="115" t="s">
        <v>7553</v>
      </c>
      <c r="G2873" s="115" t="s">
        <v>7552</v>
      </c>
      <c r="H2873" s="115" t="s">
        <v>7552</v>
      </c>
    </row>
    <row r="2874" spans="1:8" x14ac:dyDescent="0.25">
      <c r="A2874" s="115">
        <v>4976</v>
      </c>
      <c r="B2874" s="115" t="s">
        <v>128</v>
      </c>
      <c r="C2874" s="115" t="s">
        <v>7554</v>
      </c>
      <c r="D2874" s="115">
        <v>1</v>
      </c>
      <c r="E2874" s="115" t="s">
        <v>7555</v>
      </c>
      <c r="F2874" s="115" t="s">
        <v>7556</v>
      </c>
      <c r="G2874" s="115" t="s">
        <v>7555</v>
      </c>
      <c r="H2874" s="115" t="s">
        <v>7555</v>
      </c>
    </row>
    <row r="2875" spans="1:8" x14ac:dyDescent="0.25">
      <c r="A2875" s="115">
        <v>4975</v>
      </c>
      <c r="B2875" s="115" t="s">
        <v>128</v>
      </c>
      <c r="C2875" s="115" t="s">
        <v>7557</v>
      </c>
      <c r="D2875" s="115">
        <v>1</v>
      </c>
      <c r="E2875" s="115" t="s">
        <v>910</v>
      </c>
      <c r="F2875" s="115" t="s">
        <v>911</v>
      </c>
      <c r="G2875" s="115" t="s">
        <v>910</v>
      </c>
      <c r="H2875" s="115" t="s">
        <v>910</v>
      </c>
    </row>
    <row r="2876" spans="1:8" x14ac:dyDescent="0.25">
      <c r="A2876" s="115">
        <v>4974</v>
      </c>
      <c r="B2876" s="115" t="s">
        <v>128</v>
      </c>
      <c r="C2876" s="115" t="s">
        <v>7558</v>
      </c>
      <c r="D2876" s="115">
        <v>1</v>
      </c>
      <c r="E2876" s="115" t="s">
        <v>7559</v>
      </c>
      <c r="F2876" s="115" t="s">
        <v>7559</v>
      </c>
      <c r="G2876" s="115" t="s">
        <v>7559</v>
      </c>
      <c r="H2876" s="115" t="s">
        <v>7559</v>
      </c>
    </row>
    <row r="2877" spans="1:8" x14ac:dyDescent="0.25">
      <c r="A2877" s="115">
        <v>4973</v>
      </c>
      <c r="B2877" s="115" t="s">
        <v>128</v>
      </c>
      <c r="C2877" s="115" t="s">
        <v>7560</v>
      </c>
      <c r="D2877" s="115">
        <v>1</v>
      </c>
      <c r="E2877" s="115" t="s">
        <v>7561</v>
      </c>
      <c r="F2877" s="115" t="s">
        <v>7562</v>
      </c>
      <c r="G2877" s="115" t="s">
        <v>7561</v>
      </c>
      <c r="H2877" s="115" t="s">
        <v>7561</v>
      </c>
    </row>
    <row r="2878" spans="1:8" x14ac:dyDescent="0.25">
      <c r="A2878" s="115">
        <v>4972</v>
      </c>
      <c r="B2878" s="115" t="s">
        <v>128</v>
      </c>
      <c r="C2878" s="115" t="s">
        <v>7563</v>
      </c>
      <c r="D2878" s="115">
        <v>1</v>
      </c>
      <c r="E2878" s="115" t="s">
        <v>7564</v>
      </c>
      <c r="F2878" s="115" t="s">
        <v>7565</v>
      </c>
      <c r="G2878" s="115" t="s">
        <v>7564</v>
      </c>
      <c r="H2878" s="115" t="s">
        <v>7564</v>
      </c>
    </row>
    <row r="2879" spans="1:8" x14ac:dyDescent="0.25">
      <c r="A2879" s="115">
        <v>4971</v>
      </c>
      <c r="B2879" s="115" t="s">
        <v>128</v>
      </c>
      <c r="C2879" s="115" t="s">
        <v>7566</v>
      </c>
      <c r="D2879" s="115">
        <v>1</v>
      </c>
      <c r="E2879" s="115" t="s">
        <v>7567</v>
      </c>
      <c r="F2879" s="115" t="s">
        <v>7567</v>
      </c>
      <c r="G2879" s="115" t="s">
        <v>7567</v>
      </c>
      <c r="H2879" s="115" t="s">
        <v>7567</v>
      </c>
    </row>
    <row r="2880" spans="1:8" x14ac:dyDescent="0.25">
      <c r="A2880" s="115">
        <v>4970</v>
      </c>
      <c r="B2880" s="115" t="s">
        <v>128</v>
      </c>
      <c r="C2880" s="115" t="s">
        <v>7568</v>
      </c>
      <c r="D2880" s="115">
        <v>1</v>
      </c>
      <c r="E2880" s="115" t="s">
        <v>7569</v>
      </c>
      <c r="F2880" s="115" t="s">
        <v>7570</v>
      </c>
      <c r="G2880" s="115" t="s">
        <v>7569</v>
      </c>
      <c r="H2880" s="115" t="s">
        <v>7569</v>
      </c>
    </row>
    <row r="2881" spans="1:8" x14ac:dyDescent="0.25">
      <c r="A2881" s="115">
        <v>4969</v>
      </c>
      <c r="B2881" s="115" t="s">
        <v>128</v>
      </c>
      <c r="C2881" s="115" t="s">
        <v>7571</v>
      </c>
      <c r="D2881" s="115">
        <v>1</v>
      </c>
      <c r="E2881" s="115" t="s">
        <v>7572</v>
      </c>
      <c r="F2881" s="115" t="s">
        <v>7573</v>
      </c>
      <c r="G2881" s="115" t="s">
        <v>7572</v>
      </c>
      <c r="H2881" s="115" t="s">
        <v>7572</v>
      </c>
    </row>
    <row r="2882" spans="1:8" x14ac:dyDescent="0.25">
      <c r="A2882" s="115">
        <v>4968</v>
      </c>
      <c r="B2882" s="115" t="s">
        <v>128</v>
      </c>
      <c r="C2882" s="115" t="s">
        <v>7574</v>
      </c>
      <c r="D2882" s="115">
        <v>1</v>
      </c>
      <c r="E2882" s="115" t="s">
        <v>7575</v>
      </c>
      <c r="F2882" s="115" t="s">
        <v>7576</v>
      </c>
      <c r="G2882" s="115" t="s">
        <v>7575</v>
      </c>
      <c r="H2882" s="115" t="s">
        <v>7575</v>
      </c>
    </row>
    <row r="2883" spans="1:8" x14ac:dyDescent="0.25">
      <c r="A2883" s="115">
        <v>4967</v>
      </c>
      <c r="B2883" s="115" t="s">
        <v>128</v>
      </c>
      <c r="C2883" s="115" t="s">
        <v>7577</v>
      </c>
      <c r="D2883" s="115">
        <v>1</v>
      </c>
      <c r="E2883" s="115" t="s">
        <v>7578</v>
      </c>
      <c r="F2883" s="115" t="s">
        <v>7578</v>
      </c>
      <c r="G2883" s="115" t="s">
        <v>7578</v>
      </c>
      <c r="H2883" s="115" t="s">
        <v>7578</v>
      </c>
    </row>
    <row r="2884" spans="1:8" x14ac:dyDescent="0.25">
      <c r="A2884" s="115">
        <v>4966</v>
      </c>
      <c r="B2884" s="115" t="s">
        <v>128</v>
      </c>
      <c r="C2884" s="115" t="s">
        <v>7579</v>
      </c>
      <c r="D2884" s="115">
        <v>1</v>
      </c>
      <c r="E2884" s="115" t="s">
        <v>7580</v>
      </c>
      <c r="F2884" s="115" t="s">
        <v>7580</v>
      </c>
      <c r="G2884" s="115" t="s">
        <v>7580</v>
      </c>
      <c r="H2884" s="115" t="s">
        <v>7580</v>
      </c>
    </row>
    <row r="2885" spans="1:8" x14ac:dyDescent="0.25">
      <c r="A2885" s="115">
        <v>4965</v>
      </c>
      <c r="B2885" s="115" t="s">
        <v>128</v>
      </c>
      <c r="C2885" s="115" t="s">
        <v>7581</v>
      </c>
      <c r="D2885" s="115">
        <v>1</v>
      </c>
      <c r="E2885" s="115" t="s">
        <v>7582</v>
      </c>
      <c r="F2885" s="115" t="s">
        <v>7582</v>
      </c>
      <c r="G2885" s="115" t="s">
        <v>7582</v>
      </c>
      <c r="H2885" s="115" t="s">
        <v>7582</v>
      </c>
    </row>
    <row r="2886" spans="1:8" x14ac:dyDescent="0.25">
      <c r="A2886" s="115">
        <v>4964</v>
      </c>
      <c r="B2886" s="115" t="s">
        <v>128</v>
      </c>
      <c r="C2886" s="115" t="s">
        <v>7583</v>
      </c>
      <c r="D2886" s="115">
        <v>1</v>
      </c>
      <c r="E2886" s="115" t="s">
        <v>7584</v>
      </c>
      <c r="F2886" s="115" t="s">
        <v>7585</v>
      </c>
      <c r="G2886" s="115" t="s">
        <v>7584</v>
      </c>
      <c r="H2886" s="115" t="s">
        <v>7584</v>
      </c>
    </row>
    <row r="2887" spans="1:8" x14ac:dyDescent="0.25">
      <c r="A2887" s="115">
        <v>4963</v>
      </c>
      <c r="B2887" s="115" t="s">
        <v>128</v>
      </c>
      <c r="C2887" s="115" t="s">
        <v>7586</v>
      </c>
      <c r="D2887" s="115">
        <v>1</v>
      </c>
      <c r="E2887" s="115" t="s">
        <v>7587</v>
      </c>
      <c r="F2887" s="115" t="s">
        <v>7587</v>
      </c>
      <c r="G2887" s="115" t="s">
        <v>7587</v>
      </c>
      <c r="H2887" s="115" t="s">
        <v>7587</v>
      </c>
    </row>
    <row r="2888" spans="1:8" x14ac:dyDescent="0.25">
      <c r="A2888" s="115">
        <v>4962</v>
      </c>
      <c r="B2888" s="115" t="s">
        <v>128</v>
      </c>
      <c r="C2888" s="115" t="s">
        <v>7588</v>
      </c>
      <c r="D2888" s="115">
        <v>1</v>
      </c>
      <c r="E2888" s="115" t="s">
        <v>7589</v>
      </c>
      <c r="F2888" s="115" t="s">
        <v>7590</v>
      </c>
      <c r="G2888" s="115" t="s">
        <v>7589</v>
      </c>
      <c r="H2888" s="115" t="s">
        <v>7589</v>
      </c>
    </row>
    <row r="2889" spans="1:8" x14ac:dyDescent="0.25">
      <c r="A2889" s="115">
        <v>4961</v>
      </c>
      <c r="B2889" s="115" t="s">
        <v>128</v>
      </c>
      <c r="C2889" s="115" t="s">
        <v>7591</v>
      </c>
      <c r="D2889" s="115">
        <v>1</v>
      </c>
      <c r="E2889" s="115" t="s">
        <v>7592</v>
      </c>
      <c r="F2889" s="115" t="s">
        <v>7592</v>
      </c>
      <c r="G2889" s="115" t="s">
        <v>7592</v>
      </c>
      <c r="H2889" s="115" t="s">
        <v>7592</v>
      </c>
    </row>
    <row r="2890" spans="1:8" x14ac:dyDescent="0.25">
      <c r="A2890" s="115">
        <v>4960</v>
      </c>
      <c r="B2890" s="115" t="s">
        <v>128</v>
      </c>
      <c r="C2890" s="115" t="s">
        <v>7593</v>
      </c>
      <c r="D2890" s="115">
        <v>1</v>
      </c>
      <c r="E2890" s="115" t="s">
        <v>7594</v>
      </c>
      <c r="F2890" s="115" t="s">
        <v>7595</v>
      </c>
      <c r="G2890" s="115" t="s">
        <v>7594</v>
      </c>
      <c r="H2890" s="115" t="s">
        <v>7594</v>
      </c>
    </row>
    <row r="2891" spans="1:8" x14ac:dyDescent="0.25">
      <c r="A2891" s="115">
        <v>4959</v>
      </c>
      <c r="B2891" s="115" t="s">
        <v>128</v>
      </c>
      <c r="C2891" s="115" t="s">
        <v>7596</v>
      </c>
      <c r="D2891" s="115">
        <v>1</v>
      </c>
      <c r="E2891" s="115" t="s">
        <v>7597</v>
      </c>
      <c r="F2891" s="115" t="s">
        <v>7598</v>
      </c>
      <c r="G2891" s="115" t="s">
        <v>7597</v>
      </c>
      <c r="H2891" s="115" t="s">
        <v>7597</v>
      </c>
    </row>
    <row r="2892" spans="1:8" x14ac:dyDescent="0.25">
      <c r="A2892" s="115">
        <v>4958</v>
      </c>
      <c r="B2892" s="115" t="s">
        <v>128</v>
      </c>
      <c r="C2892" s="115" t="s">
        <v>7599</v>
      </c>
      <c r="D2892" s="115">
        <v>1</v>
      </c>
      <c r="E2892" s="115" t="s">
        <v>7600</v>
      </c>
      <c r="F2892" s="115" t="s">
        <v>7601</v>
      </c>
      <c r="G2892" s="115" t="s">
        <v>7600</v>
      </c>
      <c r="H2892" s="115" t="s">
        <v>7600</v>
      </c>
    </row>
    <row r="2893" spans="1:8" x14ac:dyDescent="0.25">
      <c r="A2893" s="115">
        <v>4957</v>
      </c>
      <c r="B2893" s="115" t="s">
        <v>128</v>
      </c>
      <c r="C2893" s="115" t="s">
        <v>7602</v>
      </c>
      <c r="D2893" s="115">
        <v>1</v>
      </c>
      <c r="E2893" s="115" t="s">
        <v>874</v>
      </c>
      <c r="F2893" s="115" t="s">
        <v>874</v>
      </c>
      <c r="G2893" s="115" t="s">
        <v>874</v>
      </c>
      <c r="H2893" s="115" t="s">
        <v>874</v>
      </c>
    </row>
    <row r="2894" spans="1:8" x14ac:dyDescent="0.25">
      <c r="A2894" s="115">
        <v>4956</v>
      </c>
      <c r="B2894" s="115" t="s">
        <v>128</v>
      </c>
      <c r="C2894" s="115" t="s">
        <v>7603</v>
      </c>
      <c r="D2894" s="115">
        <v>1</v>
      </c>
      <c r="E2894" s="115" t="s">
        <v>931</v>
      </c>
      <c r="F2894" s="115" t="s">
        <v>931</v>
      </c>
      <c r="G2894" s="115" t="s">
        <v>931</v>
      </c>
      <c r="H2894" s="115" t="s">
        <v>931</v>
      </c>
    </row>
    <row r="2895" spans="1:8" x14ac:dyDescent="0.25">
      <c r="A2895" s="115">
        <v>4955</v>
      </c>
      <c r="B2895" s="115" t="s">
        <v>128</v>
      </c>
      <c r="C2895" s="115" t="s">
        <v>7604</v>
      </c>
      <c r="D2895" s="115">
        <v>1</v>
      </c>
      <c r="E2895" s="115" t="s">
        <v>7605</v>
      </c>
      <c r="F2895" s="115" t="s">
        <v>7606</v>
      </c>
      <c r="G2895" s="115" t="s">
        <v>7605</v>
      </c>
      <c r="H2895" s="115" t="s">
        <v>7605</v>
      </c>
    </row>
    <row r="2896" spans="1:8" x14ac:dyDescent="0.25">
      <c r="A2896" s="115">
        <v>4954</v>
      </c>
      <c r="B2896" s="115" t="s">
        <v>128</v>
      </c>
      <c r="C2896" s="115" t="s">
        <v>7607</v>
      </c>
      <c r="D2896" s="115">
        <v>1</v>
      </c>
      <c r="E2896" s="115" t="s">
        <v>7608</v>
      </c>
      <c r="F2896" s="115" t="s">
        <v>7609</v>
      </c>
      <c r="G2896" s="115" t="s">
        <v>7608</v>
      </c>
      <c r="H2896" s="115" t="s">
        <v>7608</v>
      </c>
    </row>
    <row r="2897" spans="1:8" x14ac:dyDescent="0.25">
      <c r="A2897" s="115">
        <v>4953</v>
      </c>
      <c r="B2897" s="115" t="s">
        <v>128</v>
      </c>
      <c r="C2897" s="115" t="s">
        <v>7610</v>
      </c>
      <c r="D2897" s="115">
        <v>1</v>
      </c>
      <c r="E2897" s="115" t="s">
        <v>4598</v>
      </c>
      <c r="F2897" s="115" t="s">
        <v>4599</v>
      </c>
      <c r="G2897" s="115" t="s">
        <v>4598</v>
      </c>
      <c r="H2897" s="115" t="s">
        <v>4598</v>
      </c>
    </row>
    <row r="2898" spans="1:8" x14ac:dyDescent="0.25">
      <c r="A2898" s="115">
        <v>4952</v>
      </c>
      <c r="B2898" s="115" t="s">
        <v>128</v>
      </c>
      <c r="C2898" s="115" t="s">
        <v>7611</v>
      </c>
      <c r="D2898" s="115">
        <v>1</v>
      </c>
      <c r="E2898" s="115" t="s">
        <v>7612</v>
      </c>
      <c r="F2898" s="115" t="s">
        <v>7612</v>
      </c>
      <c r="G2898" s="115" t="s">
        <v>7612</v>
      </c>
      <c r="H2898" s="115" t="s">
        <v>7612</v>
      </c>
    </row>
    <row r="2899" spans="1:8" x14ac:dyDescent="0.25">
      <c r="A2899" s="115">
        <v>4951</v>
      </c>
      <c r="B2899" s="115" t="s">
        <v>128</v>
      </c>
      <c r="C2899" s="115" t="s">
        <v>7613</v>
      </c>
      <c r="D2899" s="115">
        <v>1</v>
      </c>
      <c r="E2899" s="115" t="s">
        <v>7614</v>
      </c>
      <c r="F2899" s="115" t="s">
        <v>7614</v>
      </c>
      <c r="G2899" s="115" t="s">
        <v>7614</v>
      </c>
      <c r="H2899" s="115" t="s">
        <v>7614</v>
      </c>
    </row>
    <row r="2900" spans="1:8" x14ac:dyDescent="0.25">
      <c r="A2900" s="115">
        <v>4950</v>
      </c>
      <c r="B2900" s="115" t="s">
        <v>128</v>
      </c>
      <c r="C2900" s="115" t="s">
        <v>7615</v>
      </c>
      <c r="D2900" s="115">
        <v>1</v>
      </c>
      <c r="E2900" s="115" t="s">
        <v>7616</v>
      </c>
      <c r="F2900" s="115" t="s">
        <v>7617</v>
      </c>
      <c r="G2900" s="115" t="s">
        <v>7616</v>
      </c>
      <c r="H2900" s="115" t="s">
        <v>7616</v>
      </c>
    </row>
    <row r="2901" spans="1:8" x14ac:dyDescent="0.25">
      <c r="A2901" s="115">
        <v>4949</v>
      </c>
      <c r="B2901" s="115" t="s">
        <v>128</v>
      </c>
      <c r="C2901" s="115" t="s">
        <v>7618</v>
      </c>
      <c r="D2901" s="115">
        <v>1</v>
      </c>
      <c r="E2901" s="115" t="s">
        <v>7619</v>
      </c>
      <c r="F2901" s="115" t="s">
        <v>7619</v>
      </c>
      <c r="G2901" s="115" t="s">
        <v>7619</v>
      </c>
      <c r="H2901" s="115" t="s">
        <v>7619</v>
      </c>
    </row>
    <row r="2902" spans="1:8" x14ac:dyDescent="0.25">
      <c r="A2902" s="115">
        <v>4948</v>
      </c>
      <c r="B2902" s="115" t="s">
        <v>128</v>
      </c>
      <c r="C2902" s="115" t="s">
        <v>7620</v>
      </c>
      <c r="D2902" s="115">
        <v>1</v>
      </c>
      <c r="E2902" s="115" t="s">
        <v>7621</v>
      </c>
      <c r="F2902" s="115" t="s">
        <v>7621</v>
      </c>
      <c r="G2902" s="115" t="s">
        <v>7621</v>
      </c>
      <c r="H2902" s="115" t="s">
        <v>7621</v>
      </c>
    </row>
    <row r="2903" spans="1:8" x14ac:dyDescent="0.25">
      <c r="A2903" s="115">
        <v>4947</v>
      </c>
      <c r="B2903" s="115" t="s">
        <v>128</v>
      </c>
      <c r="C2903" s="115" t="s">
        <v>7622</v>
      </c>
      <c r="D2903" s="115">
        <v>1</v>
      </c>
      <c r="E2903" s="115" t="s">
        <v>7623</v>
      </c>
      <c r="F2903" s="115" t="s">
        <v>7624</v>
      </c>
      <c r="G2903" s="115" t="s">
        <v>7623</v>
      </c>
      <c r="H2903" s="115" t="s">
        <v>7623</v>
      </c>
    </row>
    <row r="2904" spans="1:8" x14ac:dyDescent="0.25">
      <c r="A2904" s="115">
        <v>4946</v>
      </c>
      <c r="B2904" s="115" t="s">
        <v>128</v>
      </c>
      <c r="C2904" s="115" t="s">
        <v>7625</v>
      </c>
      <c r="D2904" s="115">
        <v>1</v>
      </c>
      <c r="E2904" s="115" t="s">
        <v>7626</v>
      </c>
      <c r="F2904" s="115" t="s">
        <v>7627</v>
      </c>
      <c r="G2904" s="115" t="s">
        <v>7626</v>
      </c>
      <c r="H2904" s="115" t="s">
        <v>7626</v>
      </c>
    </row>
    <row r="2905" spans="1:8" x14ac:dyDescent="0.25">
      <c r="A2905" s="115">
        <v>4945</v>
      </c>
      <c r="B2905" s="115" t="s">
        <v>128</v>
      </c>
      <c r="C2905" s="115" t="s">
        <v>7628</v>
      </c>
      <c r="D2905" s="115">
        <v>1</v>
      </c>
      <c r="E2905" s="115" t="s">
        <v>7629</v>
      </c>
      <c r="F2905" s="115" t="s">
        <v>7630</v>
      </c>
      <c r="G2905" s="115" t="s">
        <v>7629</v>
      </c>
      <c r="H2905" s="115" t="s">
        <v>7629</v>
      </c>
    </row>
    <row r="2906" spans="1:8" x14ac:dyDescent="0.25">
      <c r="A2906" s="115">
        <v>4944</v>
      </c>
      <c r="B2906" s="115" t="s">
        <v>128</v>
      </c>
      <c r="C2906" s="115" t="s">
        <v>7631</v>
      </c>
      <c r="D2906" s="115">
        <v>1</v>
      </c>
      <c r="E2906" s="115" t="s">
        <v>7632</v>
      </c>
      <c r="F2906" s="115" t="s">
        <v>7632</v>
      </c>
      <c r="G2906" s="115" t="s">
        <v>7632</v>
      </c>
      <c r="H2906" s="115" t="s">
        <v>7632</v>
      </c>
    </row>
    <row r="2907" spans="1:8" x14ac:dyDescent="0.25">
      <c r="A2907" s="115">
        <v>4943</v>
      </c>
      <c r="B2907" s="115" t="s">
        <v>128</v>
      </c>
      <c r="C2907" s="115" t="s">
        <v>7633</v>
      </c>
      <c r="D2907" s="115">
        <v>1</v>
      </c>
      <c r="E2907" s="115" t="s">
        <v>683</v>
      </c>
      <c r="F2907" s="115" t="s">
        <v>683</v>
      </c>
      <c r="G2907" s="115" t="s">
        <v>683</v>
      </c>
      <c r="H2907" s="115" t="s">
        <v>683</v>
      </c>
    </row>
    <row r="2908" spans="1:8" x14ac:dyDescent="0.25">
      <c r="A2908" s="115">
        <v>4942</v>
      </c>
      <c r="B2908" s="115" t="s">
        <v>128</v>
      </c>
      <c r="C2908" s="115" t="s">
        <v>7634</v>
      </c>
      <c r="D2908" s="115">
        <v>1</v>
      </c>
      <c r="E2908" s="115" t="s">
        <v>7635</v>
      </c>
      <c r="F2908" s="115" t="s">
        <v>7636</v>
      </c>
      <c r="G2908" s="115" t="s">
        <v>7635</v>
      </c>
      <c r="H2908" s="115" t="s">
        <v>7635</v>
      </c>
    </row>
    <row r="2909" spans="1:8" x14ac:dyDescent="0.25">
      <c r="A2909" s="115">
        <v>4941</v>
      </c>
      <c r="B2909" s="115" t="s">
        <v>128</v>
      </c>
      <c r="C2909" s="115" t="s">
        <v>7637</v>
      </c>
      <c r="D2909" s="115">
        <v>1</v>
      </c>
      <c r="E2909" s="115" t="s">
        <v>3513</v>
      </c>
      <c r="F2909" s="115" t="s">
        <v>3513</v>
      </c>
      <c r="G2909" s="115" t="s">
        <v>3513</v>
      </c>
      <c r="H2909" s="115" t="s">
        <v>3513</v>
      </c>
    </row>
    <row r="2910" spans="1:8" x14ac:dyDescent="0.25">
      <c r="A2910" s="115">
        <v>4940</v>
      </c>
      <c r="B2910" s="115" t="s">
        <v>128</v>
      </c>
      <c r="C2910" s="115" t="s">
        <v>7638</v>
      </c>
      <c r="D2910" s="115">
        <v>1</v>
      </c>
      <c r="E2910" s="115" t="s">
        <v>7639</v>
      </c>
      <c r="F2910" s="115" t="s">
        <v>7640</v>
      </c>
      <c r="G2910" s="115" t="s">
        <v>7639</v>
      </c>
      <c r="H2910" s="115" t="s">
        <v>7639</v>
      </c>
    </row>
    <row r="2911" spans="1:8" x14ac:dyDescent="0.25">
      <c r="A2911" s="115">
        <v>4939</v>
      </c>
      <c r="B2911" s="115" t="s">
        <v>128</v>
      </c>
      <c r="C2911" s="115" t="s">
        <v>7641</v>
      </c>
      <c r="D2911" s="115">
        <v>1</v>
      </c>
      <c r="E2911" s="115" t="s">
        <v>7642</v>
      </c>
      <c r="F2911" s="115" t="s">
        <v>7643</v>
      </c>
      <c r="G2911" s="115" t="s">
        <v>7642</v>
      </c>
      <c r="H2911" s="115" t="s">
        <v>7642</v>
      </c>
    </row>
    <row r="2912" spans="1:8" x14ac:dyDescent="0.25">
      <c r="A2912" s="115">
        <v>4938</v>
      </c>
      <c r="B2912" s="115" t="s">
        <v>128</v>
      </c>
      <c r="C2912" s="115" t="s">
        <v>7644</v>
      </c>
      <c r="D2912" s="115">
        <v>1</v>
      </c>
      <c r="E2912" s="115" t="s">
        <v>7645</v>
      </c>
      <c r="F2912" s="115" t="s">
        <v>7645</v>
      </c>
      <c r="G2912" s="115" t="s">
        <v>7645</v>
      </c>
      <c r="H2912" s="115" t="s">
        <v>7645</v>
      </c>
    </row>
    <row r="2913" spans="1:8" x14ac:dyDescent="0.25">
      <c r="A2913" s="115">
        <v>4937</v>
      </c>
      <c r="B2913" s="115" t="s">
        <v>128</v>
      </c>
      <c r="C2913" s="115" t="s">
        <v>7646</v>
      </c>
      <c r="D2913" s="115">
        <v>1</v>
      </c>
      <c r="E2913" s="115" t="s">
        <v>7647</v>
      </c>
      <c r="F2913" s="115" t="s">
        <v>7648</v>
      </c>
      <c r="G2913" s="115" t="s">
        <v>7647</v>
      </c>
      <c r="H2913" s="115" t="s">
        <v>7647</v>
      </c>
    </row>
    <row r="2914" spans="1:8" x14ac:dyDescent="0.25">
      <c r="A2914" s="115">
        <v>4936</v>
      </c>
      <c r="B2914" s="115" t="s">
        <v>128</v>
      </c>
      <c r="C2914" s="115" t="s">
        <v>7649</v>
      </c>
      <c r="D2914" s="115">
        <v>1</v>
      </c>
      <c r="E2914" s="115" t="s">
        <v>7650</v>
      </c>
      <c r="F2914" s="115" t="s">
        <v>7651</v>
      </c>
      <c r="G2914" s="115" t="s">
        <v>7650</v>
      </c>
      <c r="H2914" s="115" t="s">
        <v>7650</v>
      </c>
    </row>
    <row r="2915" spans="1:8" x14ac:dyDescent="0.25">
      <c r="A2915" s="115">
        <v>4935</v>
      </c>
      <c r="B2915" s="115" t="s">
        <v>128</v>
      </c>
      <c r="C2915" s="115" t="s">
        <v>7652</v>
      </c>
      <c r="D2915" s="115">
        <v>1</v>
      </c>
      <c r="E2915" s="115" t="s">
        <v>7653</v>
      </c>
      <c r="F2915" s="115" t="s">
        <v>7653</v>
      </c>
      <c r="G2915" s="115" t="s">
        <v>7653</v>
      </c>
      <c r="H2915" s="115" t="s">
        <v>7653</v>
      </c>
    </row>
    <row r="2916" spans="1:8" x14ac:dyDescent="0.25">
      <c r="A2916" s="115">
        <v>4934</v>
      </c>
      <c r="B2916" s="115" t="s">
        <v>128</v>
      </c>
      <c r="C2916" s="115" t="s">
        <v>7654</v>
      </c>
      <c r="D2916" s="115">
        <v>1</v>
      </c>
      <c r="E2916" s="115" t="s">
        <v>7655</v>
      </c>
      <c r="F2916" s="115" t="s">
        <v>7655</v>
      </c>
      <c r="G2916" s="115" t="s">
        <v>7655</v>
      </c>
      <c r="H2916" s="115" t="s">
        <v>7655</v>
      </c>
    </row>
    <row r="2917" spans="1:8" x14ac:dyDescent="0.25">
      <c r="A2917" s="115">
        <v>4933</v>
      </c>
      <c r="B2917" s="115" t="s">
        <v>128</v>
      </c>
      <c r="C2917" s="115" t="s">
        <v>7656</v>
      </c>
      <c r="D2917" s="115">
        <v>1</v>
      </c>
      <c r="E2917" s="115" t="s">
        <v>7657</v>
      </c>
      <c r="F2917" s="115" t="s">
        <v>7658</v>
      </c>
      <c r="G2917" s="115" t="s">
        <v>7657</v>
      </c>
      <c r="H2917" s="115" t="s">
        <v>7657</v>
      </c>
    </row>
    <row r="2918" spans="1:8" x14ac:dyDescent="0.25">
      <c r="A2918" s="115">
        <v>4932</v>
      </c>
      <c r="B2918" s="115" t="s">
        <v>128</v>
      </c>
      <c r="C2918" s="115" t="s">
        <v>7659</v>
      </c>
      <c r="D2918" s="115">
        <v>1</v>
      </c>
      <c r="E2918" s="115" t="s">
        <v>7660</v>
      </c>
      <c r="F2918" s="115" t="s">
        <v>7660</v>
      </c>
      <c r="G2918" s="115" t="s">
        <v>7660</v>
      </c>
      <c r="H2918" s="115" t="s">
        <v>7660</v>
      </c>
    </row>
    <row r="2919" spans="1:8" x14ac:dyDescent="0.25">
      <c r="A2919" s="115">
        <v>4931</v>
      </c>
      <c r="B2919" s="115" t="s">
        <v>128</v>
      </c>
      <c r="C2919" s="115" t="s">
        <v>7661</v>
      </c>
      <c r="D2919" s="115">
        <v>1</v>
      </c>
      <c r="E2919" s="115" t="s">
        <v>7662</v>
      </c>
      <c r="F2919" s="115" t="s">
        <v>7662</v>
      </c>
      <c r="G2919" s="115" t="s">
        <v>7662</v>
      </c>
      <c r="H2919" s="115" t="s">
        <v>7662</v>
      </c>
    </row>
    <row r="2920" spans="1:8" x14ac:dyDescent="0.25">
      <c r="A2920" s="115">
        <v>4930</v>
      </c>
      <c r="B2920" s="115" t="s">
        <v>128</v>
      </c>
      <c r="C2920" s="115" t="s">
        <v>7663</v>
      </c>
      <c r="D2920" s="115">
        <v>1</v>
      </c>
      <c r="E2920" s="115" t="s">
        <v>7664</v>
      </c>
      <c r="F2920" s="115" t="s">
        <v>7665</v>
      </c>
      <c r="G2920" s="115" t="s">
        <v>7664</v>
      </c>
      <c r="H2920" s="115" t="s">
        <v>7664</v>
      </c>
    </row>
    <row r="2921" spans="1:8" x14ac:dyDescent="0.25">
      <c r="A2921" s="115">
        <v>4929</v>
      </c>
      <c r="B2921" s="115" t="s">
        <v>128</v>
      </c>
      <c r="C2921" s="115" t="s">
        <v>7666</v>
      </c>
      <c r="D2921" s="115">
        <v>1</v>
      </c>
      <c r="E2921" s="115" t="s">
        <v>7667</v>
      </c>
      <c r="F2921" s="115" t="s">
        <v>7667</v>
      </c>
      <c r="G2921" s="115" t="s">
        <v>7667</v>
      </c>
      <c r="H2921" s="115" t="s">
        <v>7667</v>
      </c>
    </row>
    <row r="2922" spans="1:8" x14ac:dyDescent="0.25">
      <c r="A2922" s="115">
        <v>4928</v>
      </c>
      <c r="B2922" s="115" t="s">
        <v>128</v>
      </c>
      <c r="C2922" s="115" t="s">
        <v>7668</v>
      </c>
      <c r="D2922" s="115">
        <v>1</v>
      </c>
      <c r="E2922" s="115" t="s">
        <v>7669</v>
      </c>
      <c r="F2922" s="115" t="s">
        <v>7670</v>
      </c>
      <c r="G2922" s="115" t="s">
        <v>7669</v>
      </c>
      <c r="H2922" s="115" t="s">
        <v>7669</v>
      </c>
    </row>
    <row r="2923" spans="1:8" x14ac:dyDescent="0.25">
      <c r="A2923" s="115">
        <v>4927</v>
      </c>
      <c r="B2923" s="115" t="s">
        <v>128</v>
      </c>
      <c r="C2923" s="115" t="s">
        <v>7671</v>
      </c>
      <c r="D2923" s="115">
        <v>1</v>
      </c>
      <c r="E2923" s="115" t="s">
        <v>7672</v>
      </c>
      <c r="F2923" s="115" t="s">
        <v>7672</v>
      </c>
      <c r="G2923" s="115" t="s">
        <v>7672</v>
      </c>
      <c r="H2923" s="115" t="s">
        <v>7672</v>
      </c>
    </row>
    <row r="2924" spans="1:8" x14ac:dyDescent="0.25">
      <c r="A2924" s="115">
        <v>4926</v>
      </c>
      <c r="B2924" s="115" t="s">
        <v>128</v>
      </c>
      <c r="C2924" s="115" t="s">
        <v>7673</v>
      </c>
      <c r="D2924" s="115">
        <v>1</v>
      </c>
      <c r="E2924" s="115" t="s">
        <v>7674</v>
      </c>
      <c r="F2924" s="115" t="s">
        <v>7675</v>
      </c>
      <c r="G2924" s="115" t="s">
        <v>7674</v>
      </c>
      <c r="H2924" s="115" t="s">
        <v>7674</v>
      </c>
    </row>
    <row r="2925" spans="1:8" x14ac:dyDescent="0.25">
      <c r="A2925" s="115">
        <v>4925</v>
      </c>
      <c r="B2925" s="115" t="s">
        <v>128</v>
      </c>
      <c r="C2925" s="115" t="s">
        <v>7676</v>
      </c>
      <c r="D2925" s="115">
        <v>1</v>
      </c>
      <c r="E2925" s="115" t="s">
        <v>3195</v>
      </c>
      <c r="F2925" s="115" t="s">
        <v>7677</v>
      </c>
      <c r="G2925" s="115" t="s">
        <v>3195</v>
      </c>
      <c r="H2925" s="115" t="s">
        <v>3195</v>
      </c>
    </row>
    <row r="2926" spans="1:8" x14ac:dyDescent="0.25">
      <c r="A2926" s="115">
        <v>4924</v>
      </c>
      <c r="B2926" s="115" t="s">
        <v>128</v>
      </c>
      <c r="C2926" s="115" t="s">
        <v>7678</v>
      </c>
      <c r="D2926" s="115">
        <v>1</v>
      </c>
      <c r="E2926" s="115" t="s">
        <v>3204</v>
      </c>
      <c r="F2926" s="115" t="s">
        <v>3204</v>
      </c>
      <c r="G2926" s="115" t="s">
        <v>3204</v>
      </c>
      <c r="H2926" s="115" t="s">
        <v>3204</v>
      </c>
    </row>
    <row r="2927" spans="1:8" ht="30" x14ac:dyDescent="0.25">
      <c r="A2927" s="115">
        <v>4923</v>
      </c>
      <c r="B2927" s="115" t="s">
        <v>128</v>
      </c>
      <c r="C2927" s="115" t="s">
        <v>7679</v>
      </c>
      <c r="D2927" s="115">
        <v>1</v>
      </c>
      <c r="E2927" s="115" t="s">
        <v>7680</v>
      </c>
      <c r="F2927" s="115" t="s">
        <v>7681</v>
      </c>
      <c r="G2927" s="115" t="s">
        <v>7680</v>
      </c>
      <c r="H2927" s="115" t="s">
        <v>7680</v>
      </c>
    </row>
    <row r="2928" spans="1:8" x14ac:dyDescent="0.25">
      <c r="A2928" s="115">
        <v>4922</v>
      </c>
      <c r="B2928" s="115" t="s">
        <v>128</v>
      </c>
      <c r="C2928" s="115" t="s">
        <v>7682</v>
      </c>
      <c r="D2928" s="115">
        <v>1</v>
      </c>
      <c r="E2928" s="115" t="s">
        <v>7683</v>
      </c>
      <c r="F2928" s="115" t="s">
        <v>7684</v>
      </c>
      <c r="G2928" s="115" t="s">
        <v>7683</v>
      </c>
      <c r="H2928" s="115" t="s">
        <v>7683</v>
      </c>
    </row>
    <row r="2929" spans="1:8" x14ac:dyDescent="0.25">
      <c r="A2929" s="115">
        <v>4921</v>
      </c>
      <c r="B2929" s="115" t="s">
        <v>128</v>
      </c>
      <c r="C2929" s="115" t="s">
        <v>7685</v>
      </c>
      <c r="D2929" s="115">
        <v>1</v>
      </c>
      <c r="E2929" s="115" t="s">
        <v>7686</v>
      </c>
      <c r="F2929" s="115" t="s">
        <v>7686</v>
      </c>
      <c r="G2929" s="115" t="s">
        <v>7686</v>
      </c>
      <c r="H2929" s="115" t="s">
        <v>7686</v>
      </c>
    </row>
    <row r="2930" spans="1:8" x14ac:dyDescent="0.25">
      <c r="A2930" s="115">
        <v>4920</v>
      </c>
      <c r="B2930" s="115" t="s">
        <v>128</v>
      </c>
      <c r="C2930" s="115" t="s">
        <v>7687</v>
      </c>
      <c r="D2930" s="115">
        <v>1</v>
      </c>
      <c r="E2930" s="115" t="s">
        <v>7688</v>
      </c>
      <c r="F2930" s="115" t="s">
        <v>7689</v>
      </c>
      <c r="G2930" s="115" t="s">
        <v>7688</v>
      </c>
      <c r="H2930" s="115" t="s">
        <v>7688</v>
      </c>
    </row>
    <row r="2931" spans="1:8" x14ac:dyDescent="0.25">
      <c r="A2931" s="115">
        <v>4919</v>
      </c>
      <c r="B2931" s="115" t="s">
        <v>128</v>
      </c>
      <c r="C2931" s="115" t="s">
        <v>7690</v>
      </c>
      <c r="D2931" s="115">
        <v>1</v>
      </c>
      <c r="E2931" s="115" t="s">
        <v>7691</v>
      </c>
      <c r="F2931" s="115" t="s">
        <v>7692</v>
      </c>
      <c r="G2931" s="115" t="s">
        <v>7691</v>
      </c>
      <c r="H2931" s="115" t="s">
        <v>7691</v>
      </c>
    </row>
    <row r="2932" spans="1:8" x14ac:dyDescent="0.25">
      <c r="A2932" s="115">
        <v>4918</v>
      </c>
      <c r="B2932" s="115" t="s">
        <v>128</v>
      </c>
      <c r="C2932" s="115" t="s">
        <v>7693</v>
      </c>
      <c r="D2932" s="115">
        <v>1</v>
      </c>
      <c r="E2932" s="115" t="s">
        <v>7694</v>
      </c>
      <c r="F2932" s="115" t="s">
        <v>7695</v>
      </c>
      <c r="G2932" s="115" t="s">
        <v>7694</v>
      </c>
      <c r="H2932" s="115" t="s">
        <v>7694</v>
      </c>
    </row>
    <row r="2933" spans="1:8" x14ac:dyDescent="0.25">
      <c r="A2933" s="115">
        <v>4917</v>
      </c>
      <c r="B2933" s="115" t="s">
        <v>128</v>
      </c>
      <c r="C2933" s="115" t="s">
        <v>7696</v>
      </c>
      <c r="D2933" s="115">
        <v>1</v>
      </c>
      <c r="E2933" s="115" t="s">
        <v>7697</v>
      </c>
      <c r="F2933" s="115" t="s">
        <v>7697</v>
      </c>
      <c r="G2933" s="115" t="s">
        <v>7697</v>
      </c>
      <c r="H2933" s="115" t="s">
        <v>7697</v>
      </c>
    </row>
    <row r="2934" spans="1:8" x14ac:dyDescent="0.25">
      <c r="A2934" s="115">
        <v>4916</v>
      </c>
      <c r="B2934" s="115" t="s">
        <v>128</v>
      </c>
      <c r="C2934" s="115" t="s">
        <v>7698</v>
      </c>
      <c r="D2934" s="115">
        <v>1</v>
      </c>
      <c r="E2934" s="115" t="s">
        <v>7699</v>
      </c>
      <c r="F2934" s="115" t="s">
        <v>7700</v>
      </c>
      <c r="G2934" s="115" t="s">
        <v>7699</v>
      </c>
      <c r="H2934" s="115" t="s">
        <v>7699</v>
      </c>
    </row>
    <row r="2935" spans="1:8" x14ac:dyDescent="0.25">
      <c r="A2935" s="115">
        <v>4915</v>
      </c>
      <c r="B2935" s="115" t="s">
        <v>128</v>
      </c>
      <c r="C2935" s="115" t="s">
        <v>7701</v>
      </c>
      <c r="D2935" s="115">
        <v>1</v>
      </c>
      <c r="E2935" s="115" t="s">
        <v>7702</v>
      </c>
      <c r="F2935" s="115" t="s">
        <v>7703</v>
      </c>
      <c r="G2935" s="115" t="s">
        <v>7702</v>
      </c>
      <c r="H2935" s="115" t="s">
        <v>7702</v>
      </c>
    </row>
    <row r="2936" spans="1:8" x14ac:dyDescent="0.25">
      <c r="A2936" s="115">
        <v>4914</v>
      </c>
      <c r="B2936" s="115" t="s">
        <v>128</v>
      </c>
      <c r="C2936" s="115" t="s">
        <v>7704</v>
      </c>
      <c r="D2936" s="115">
        <v>1</v>
      </c>
      <c r="E2936" s="115" t="s">
        <v>7705</v>
      </c>
      <c r="F2936" s="115" t="s">
        <v>7706</v>
      </c>
      <c r="G2936" s="115" t="s">
        <v>7705</v>
      </c>
      <c r="H2936" s="115" t="s">
        <v>7705</v>
      </c>
    </row>
    <row r="2937" spans="1:8" x14ac:dyDescent="0.25">
      <c r="A2937" s="115">
        <v>4913</v>
      </c>
      <c r="B2937" s="115" t="s">
        <v>128</v>
      </c>
      <c r="C2937" s="115" t="s">
        <v>7707</v>
      </c>
      <c r="D2937" s="115">
        <v>1</v>
      </c>
      <c r="E2937" s="115" t="s">
        <v>7708</v>
      </c>
      <c r="F2937" s="115" t="s">
        <v>7708</v>
      </c>
      <c r="G2937" s="115" t="s">
        <v>7708</v>
      </c>
      <c r="H2937" s="115" t="s">
        <v>7708</v>
      </c>
    </row>
    <row r="2938" spans="1:8" x14ac:dyDescent="0.25">
      <c r="A2938" s="115">
        <v>4912</v>
      </c>
      <c r="B2938" s="115" t="s">
        <v>128</v>
      </c>
      <c r="C2938" s="115" t="s">
        <v>7709</v>
      </c>
      <c r="D2938" s="115">
        <v>1</v>
      </c>
      <c r="E2938" s="115" t="s">
        <v>7710</v>
      </c>
      <c r="F2938" s="115" t="s">
        <v>7711</v>
      </c>
      <c r="G2938" s="115" t="s">
        <v>7710</v>
      </c>
      <c r="H2938" s="115" t="s">
        <v>7710</v>
      </c>
    </row>
    <row r="2939" spans="1:8" x14ac:dyDescent="0.25">
      <c r="A2939" s="115">
        <v>4911</v>
      </c>
      <c r="B2939" s="115" t="s">
        <v>128</v>
      </c>
      <c r="C2939" s="115" t="s">
        <v>7712</v>
      </c>
      <c r="D2939" s="115">
        <v>1</v>
      </c>
      <c r="E2939" s="115" t="s">
        <v>7713</v>
      </c>
      <c r="F2939" s="115" t="s">
        <v>7713</v>
      </c>
      <c r="G2939" s="115" t="s">
        <v>7713</v>
      </c>
      <c r="H2939" s="115" t="s">
        <v>7713</v>
      </c>
    </row>
    <row r="2940" spans="1:8" x14ac:dyDescent="0.25">
      <c r="A2940" s="115">
        <v>4910</v>
      </c>
      <c r="B2940" s="115" t="s">
        <v>128</v>
      </c>
      <c r="C2940" s="115" t="s">
        <v>7714</v>
      </c>
      <c r="D2940" s="115">
        <v>1</v>
      </c>
      <c r="E2940" s="115" t="s">
        <v>924</v>
      </c>
      <c r="F2940" s="115" t="s">
        <v>924</v>
      </c>
      <c r="G2940" s="115" t="s">
        <v>924</v>
      </c>
      <c r="H2940" s="115" t="s">
        <v>924</v>
      </c>
    </row>
    <row r="2941" spans="1:8" x14ac:dyDescent="0.25">
      <c r="A2941" s="115">
        <v>4909</v>
      </c>
      <c r="B2941" s="115" t="s">
        <v>128</v>
      </c>
      <c r="C2941" s="115" t="s">
        <v>7715</v>
      </c>
      <c r="D2941" s="115">
        <v>1</v>
      </c>
      <c r="E2941" s="115" t="s">
        <v>829</v>
      </c>
      <c r="F2941" s="115" t="s">
        <v>829</v>
      </c>
      <c r="G2941" s="115" t="s">
        <v>829</v>
      </c>
      <c r="H2941" s="115" t="s">
        <v>829</v>
      </c>
    </row>
    <row r="2942" spans="1:8" x14ac:dyDescent="0.25">
      <c r="A2942" s="115">
        <v>4908</v>
      </c>
      <c r="B2942" s="115" t="s">
        <v>128</v>
      </c>
      <c r="C2942" s="115" t="s">
        <v>7716</v>
      </c>
      <c r="D2942" s="115">
        <v>1</v>
      </c>
      <c r="E2942" s="115" t="s">
        <v>7717</v>
      </c>
      <c r="F2942" s="115" t="s">
        <v>7717</v>
      </c>
      <c r="G2942" s="115" t="s">
        <v>7717</v>
      </c>
      <c r="H2942" s="115" t="s">
        <v>7717</v>
      </c>
    </row>
    <row r="2943" spans="1:8" x14ac:dyDescent="0.25">
      <c r="A2943" s="115">
        <v>4907</v>
      </c>
      <c r="B2943" s="115" t="s">
        <v>128</v>
      </c>
      <c r="C2943" s="115" t="s">
        <v>7718</v>
      </c>
      <c r="D2943" s="115">
        <v>1</v>
      </c>
      <c r="E2943" s="115" t="s">
        <v>7719</v>
      </c>
      <c r="F2943" s="115" t="s">
        <v>7720</v>
      </c>
      <c r="G2943" s="115" t="s">
        <v>7719</v>
      </c>
      <c r="H2943" s="115" t="s">
        <v>7719</v>
      </c>
    </row>
    <row r="2944" spans="1:8" x14ac:dyDescent="0.25">
      <c r="A2944" s="115">
        <v>4906</v>
      </c>
      <c r="B2944" s="115" t="s">
        <v>128</v>
      </c>
      <c r="C2944" s="115" t="s">
        <v>7721</v>
      </c>
      <c r="D2944" s="115">
        <v>1</v>
      </c>
      <c r="E2944" s="115" t="s">
        <v>7722</v>
      </c>
      <c r="F2944" s="115" t="s">
        <v>7723</v>
      </c>
      <c r="G2944" s="115" t="s">
        <v>7722</v>
      </c>
      <c r="H2944" s="115" t="s">
        <v>7722</v>
      </c>
    </row>
    <row r="2945" spans="1:8" ht="30" x14ac:dyDescent="0.25">
      <c r="A2945" s="115">
        <v>4905</v>
      </c>
      <c r="B2945" s="115" t="s">
        <v>128</v>
      </c>
      <c r="C2945" s="115" t="s">
        <v>7724</v>
      </c>
      <c r="D2945" s="115">
        <v>1</v>
      </c>
      <c r="E2945" s="115" t="s">
        <v>7725</v>
      </c>
      <c r="F2945" s="115" t="s">
        <v>7726</v>
      </c>
      <c r="G2945" s="115" t="s">
        <v>7725</v>
      </c>
      <c r="H2945" s="115" t="s">
        <v>7725</v>
      </c>
    </row>
    <row r="2946" spans="1:8" x14ac:dyDescent="0.25">
      <c r="A2946" s="115">
        <v>4904</v>
      </c>
      <c r="B2946" s="115" t="s">
        <v>128</v>
      </c>
      <c r="C2946" s="115" t="s">
        <v>7727</v>
      </c>
      <c r="D2946" s="115">
        <v>1</v>
      </c>
      <c r="E2946" s="115" t="s">
        <v>7728</v>
      </c>
      <c r="F2946" s="115" t="s">
        <v>7728</v>
      </c>
      <c r="G2946" s="115" t="s">
        <v>7728</v>
      </c>
      <c r="H2946" s="115" t="s">
        <v>7728</v>
      </c>
    </row>
    <row r="2947" spans="1:8" x14ac:dyDescent="0.25">
      <c r="A2947" s="115">
        <v>4903</v>
      </c>
      <c r="B2947" s="115" t="s">
        <v>128</v>
      </c>
      <c r="C2947" s="115" t="s">
        <v>7729</v>
      </c>
      <c r="D2947" s="115">
        <v>1</v>
      </c>
      <c r="E2947" s="115" t="s">
        <v>7730</v>
      </c>
      <c r="F2947" s="115" t="s">
        <v>7730</v>
      </c>
      <c r="G2947" s="115" t="s">
        <v>7730</v>
      </c>
      <c r="H2947" s="115" t="s">
        <v>7730</v>
      </c>
    </row>
    <row r="2948" spans="1:8" x14ac:dyDescent="0.25">
      <c r="A2948" s="115">
        <v>4902</v>
      </c>
      <c r="B2948" s="115" t="s">
        <v>128</v>
      </c>
      <c r="C2948" s="115" t="s">
        <v>7731</v>
      </c>
      <c r="D2948" s="115">
        <v>1</v>
      </c>
      <c r="E2948" s="115" t="s">
        <v>7732</v>
      </c>
      <c r="F2948" s="115" t="s">
        <v>7733</v>
      </c>
      <c r="G2948" s="115" t="s">
        <v>7732</v>
      </c>
      <c r="H2948" s="115" t="s">
        <v>7732</v>
      </c>
    </row>
    <row r="2949" spans="1:8" x14ac:dyDescent="0.25">
      <c r="A2949" s="115">
        <v>4901</v>
      </c>
      <c r="B2949" s="115" t="s">
        <v>128</v>
      </c>
      <c r="C2949" s="115" t="s">
        <v>7734</v>
      </c>
      <c r="D2949" s="115">
        <v>1</v>
      </c>
      <c r="E2949" s="115" t="s">
        <v>7735</v>
      </c>
      <c r="F2949" s="115" t="s">
        <v>7736</v>
      </c>
      <c r="G2949" s="115" t="s">
        <v>7735</v>
      </c>
      <c r="H2949" s="115" t="s">
        <v>7735</v>
      </c>
    </row>
    <row r="2950" spans="1:8" ht="30" x14ac:dyDescent="0.25">
      <c r="A2950" s="115">
        <v>4900</v>
      </c>
      <c r="B2950" s="115" t="s">
        <v>128</v>
      </c>
      <c r="C2950" s="115" t="s">
        <v>7737</v>
      </c>
      <c r="D2950" s="115">
        <v>1</v>
      </c>
      <c r="E2950" s="115" t="s">
        <v>7738</v>
      </c>
      <c r="F2950" s="115" t="s">
        <v>7739</v>
      </c>
      <c r="G2950" s="115" t="s">
        <v>7738</v>
      </c>
      <c r="H2950" s="115" t="s">
        <v>7738</v>
      </c>
    </row>
    <row r="2951" spans="1:8" x14ac:dyDescent="0.25">
      <c r="A2951" s="115">
        <v>4899</v>
      </c>
      <c r="B2951" s="115" t="s">
        <v>128</v>
      </c>
      <c r="C2951" s="115" t="s">
        <v>7740</v>
      </c>
      <c r="D2951" s="115">
        <v>1</v>
      </c>
      <c r="E2951" s="115" t="s">
        <v>7741</v>
      </c>
      <c r="F2951" s="115" t="s">
        <v>7742</v>
      </c>
      <c r="G2951" s="115" t="s">
        <v>7741</v>
      </c>
      <c r="H2951" s="115" t="s">
        <v>7741</v>
      </c>
    </row>
    <row r="2952" spans="1:8" x14ac:dyDescent="0.25">
      <c r="A2952" s="115">
        <v>4898</v>
      </c>
      <c r="B2952" s="115" t="s">
        <v>128</v>
      </c>
      <c r="C2952" s="115" t="s">
        <v>7743</v>
      </c>
      <c r="D2952" s="115">
        <v>1</v>
      </c>
      <c r="E2952" s="115" t="s">
        <v>7744</v>
      </c>
      <c r="F2952" s="115" t="s">
        <v>7745</v>
      </c>
      <c r="G2952" s="115" t="s">
        <v>7744</v>
      </c>
      <c r="H2952" s="115" t="s">
        <v>7744</v>
      </c>
    </row>
    <row r="2953" spans="1:8" x14ac:dyDescent="0.25">
      <c r="A2953" s="115">
        <v>4897</v>
      </c>
      <c r="B2953" s="115" t="s">
        <v>128</v>
      </c>
      <c r="C2953" s="115" t="s">
        <v>7746</v>
      </c>
      <c r="D2953" s="115">
        <v>1</v>
      </c>
      <c r="E2953" s="115" t="s">
        <v>7747</v>
      </c>
      <c r="F2953" s="115" t="s">
        <v>7747</v>
      </c>
      <c r="G2953" s="115" t="s">
        <v>7747</v>
      </c>
      <c r="H2953" s="115" t="s">
        <v>7747</v>
      </c>
    </row>
    <row r="2954" spans="1:8" x14ac:dyDescent="0.25">
      <c r="A2954" s="115">
        <v>4896</v>
      </c>
      <c r="B2954" s="115" t="s">
        <v>128</v>
      </c>
      <c r="C2954" s="115" t="s">
        <v>7748</v>
      </c>
      <c r="D2954" s="115">
        <v>1</v>
      </c>
      <c r="E2954" s="115" t="s">
        <v>7749</v>
      </c>
      <c r="F2954" s="115" t="s">
        <v>7749</v>
      </c>
      <c r="G2954" s="115" t="s">
        <v>7749</v>
      </c>
      <c r="H2954" s="115" t="s">
        <v>7749</v>
      </c>
    </row>
    <row r="2955" spans="1:8" x14ac:dyDescent="0.25">
      <c r="A2955" s="115">
        <v>4895</v>
      </c>
      <c r="B2955" s="115" t="s">
        <v>128</v>
      </c>
      <c r="C2955" s="115" t="s">
        <v>7750</v>
      </c>
      <c r="D2955" s="115">
        <v>1</v>
      </c>
      <c r="E2955" s="115" t="s">
        <v>7751</v>
      </c>
      <c r="F2955" s="115" t="s">
        <v>7752</v>
      </c>
      <c r="G2955" s="115" t="s">
        <v>7751</v>
      </c>
      <c r="H2955" s="115" t="s">
        <v>7751</v>
      </c>
    </row>
    <row r="2956" spans="1:8" x14ac:dyDescent="0.25">
      <c r="A2956" s="115">
        <v>4894</v>
      </c>
      <c r="B2956" s="115" t="s">
        <v>128</v>
      </c>
      <c r="C2956" s="115" t="s">
        <v>7753</v>
      </c>
      <c r="D2956" s="115">
        <v>1</v>
      </c>
      <c r="E2956" s="115" t="s">
        <v>855</v>
      </c>
      <c r="F2956" s="115" t="s">
        <v>855</v>
      </c>
      <c r="G2956" s="115" t="s">
        <v>855</v>
      </c>
      <c r="H2956" s="115" t="s">
        <v>855</v>
      </c>
    </row>
    <row r="2957" spans="1:8" x14ac:dyDescent="0.25">
      <c r="A2957" s="115">
        <v>4893</v>
      </c>
      <c r="B2957" s="115" t="s">
        <v>128</v>
      </c>
      <c r="C2957" s="115" t="s">
        <v>7754</v>
      </c>
      <c r="D2957" s="115">
        <v>1</v>
      </c>
      <c r="E2957" s="115" t="s">
        <v>7755</v>
      </c>
      <c r="F2957" s="115" t="s">
        <v>7756</v>
      </c>
      <c r="G2957" s="115" t="s">
        <v>7755</v>
      </c>
      <c r="H2957" s="115" t="s">
        <v>7755</v>
      </c>
    </row>
    <row r="2958" spans="1:8" x14ac:dyDescent="0.25">
      <c r="A2958" s="115">
        <v>4892</v>
      </c>
      <c r="B2958" s="115" t="s">
        <v>128</v>
      </c>
      <c r="C2958" s="115" t="s">
        <v>7757</v>
      </c>
      <c r="D2958" s="115">
        <v>1</v>
      </c>
      <c r="E2958" s="115" t="s">
        <v>7758</v>
      </c>
      <c r="F2958" s="115" t="s">
        <v>7759</v>
      </c>
      <c r="G2958" s="115" t="s">
        <v>7758</v>
      </c>
      <c r="H2958" s="115" t="s">
        <v>7758</v>
      </c>
    </row>
    <row r="2959" spans="1:8" x14ac:dyDescent="0.25">
      <c r="A2959" s="115">
        <v>4891</v>
      </c>
      <c r="B2959" s="115" t="s">
        <v>128</v>
      </c>
      <c r="C2959" s="115" t="s">
        <v>7760</v>
      </c>
      <c r="D2959" s="115">
        <v>1</v>
      </c>
      <c r="E2959" s="115" t="s">
        <v>4589</v>
      </c>
      <c r="F2959" s="115" t="s">
        <v>4590</v>
      </c>
      <c r="G2959" s="115" t="s">
        <v>4589</v>
      </c>
      <c r="H2959" s="115" t="s">
        <v>4589</v>
      </c>
    </row>
    <row r="2960" spans="1:8" x14ac:dyDescent="0.25">
      <c r="A2960" s="115">
        <v>4890</v>
      </c>
      <c r="B2960" s="115" t="s">
        <v>128</v>
      </c>
      <c r="C2960" s="115" t="s">
        <v>7761</v>
      </c>
      <c r="D2960" s="115">
        <v>1</v>
      </c>
      <c r="E2960" s="115" t="s">
        <v>7762</v>
      </c>
      <c r="F2960" s="115" t="s">
        <v>7762</v>
      </c>
      <c r="G2960" s="115" t="s">
        <v>7762</v>
      </c>
      <c r="H2960" s="115" t="s">
        <v>7762</v>
      </c>
    </row>
    <row r="2961" spans="1:8" x14ac:dyDescent="0.25">
      <c r="A2961" s="115">
        <v>4889</v>
      </c>
      <c r="B2961" s="115" t="s">
        <v>128</v>
      </c>
      <c r="C2961" s="115" t="s">
        <v>7763</v>
      </c>
      <c r="D2961" s="115">
        <v>1</v>
      </c>
      <c r="E2961" s="115" t="s">
        <v>7764</v>
      </c>
      <c r="F2961" s="115" t="s">
        <v>7765</v>
      </c>
      <c r="G2961" s="115" t="s">
        <v>7764</v>
      </c>
      <c r="H2961" s="115" t="s">
        <v>7764</v>
      </c>
    </row>
    <row r="2962" spans="1:8" x14ac:dyDescent="0.25">
      <c r="A2962" s="115">
        <v>4888</v>
      </c>
      <c r="B2962" s="115" t="s">
        <v>128</v>
      </c>
      <c r="C2962" s="115" t="s">
        <v>7766</v>
      </c>
      <c r="D2962" s="115">
        <v>1</v>
      </c>
      <c r="E2962" s="115" t="s">
        <v>7767</v>
      </c>
      <c r="F2962" s="115" t="s">
        <v>7768</v>
      </c>
      <c r="G2962" s="115" t="s">
        <v>7767</v>
      </c>
      <c r="H2962" s="115" t="s">
        <v>7767</v>
      </c>
    </row>
    <row r="2963" spans="1:8" x14ac:dyDescent="0.25">
      <c r="A2963" s="115">
        <v>4887</v>
      </c>
      <c r="B2963" s="115" t="s">
        <v>128</v>
      </c>
      <c r="C2963" s="115" t="s">
        <v>7769</v>
      </c>
      <c r="D2963" s="115">
        <v>1</v>
      </c>
      <c r="E2963" s="115" t="s">
        <v>7770</v>
      </c>
      <c r="F2963" s="115" t="s">
        <v>7771</v>
      </c>
      <c r="G2963" s="115" t="s">
        <v>7770</v>
      </c>
      <c r="H2963" s="115" t="s">
        <v>7770</v>
      </c>
    </row>
    <row r="2964" spans="1:8" x14ac:dyDescent="0.25">
      <c r="A2964" s="115">
        <v>4886</v>
      </c>
      <c r="B2964" s="115" t="s">
        <v>128</v>
      </c>
      <c r="C2964" s="115" t="s">
        <v>7772</v>
      </c>
      <c r="D2964" s="115">
        <v>1</v>
      </c>
      <c r="E2964" s="115" t="s">
        <v>3213</v>
      </c>
      <c r="F2964" s="115" t="s">
        <v>3213</v>
      </c>
      <c r="G2964" s="115" t="s">
        <v>3213</v>
      </c>
      <c r="H2964" s="115" t="s">
        <v>3213</v>
      </c>
    </row>
    <row r="2965" spans="1:8" ht="30" x14ac:dyDescent="0.25">
      <c r="A2965" s="115">
        <v>4885</v>
      </c>
      <c r="B2965" s="115" t="s">
        <v>128</v>
      </c>
      <c r="C2965" s="115" t="s">
        <v>7773</v>
      </c>
      <c r="D2965" s="115">
        <v>1</v>
      </c>
      <c r="E2965" s="115" t="s">
        <v>7774</v>
      </c>
      <c r="F2965" s="115" t="s">
        <v>7775</v>
      </c>
      <c r="G2965" s="115" t="s">
        <v>7774</v>
      </c>
      <c r="H2965" s="115" t="s">
        <v>7774</v>
      </c>
    </row>
    <row r="2966" spans="1:8" x14ac:dyDescent="0.25">
      <c r="A2966" s="115">
        <v>4884</v>
      </c>
      <c r="B2966" s="115" t="s">
        <v>128</v>
      </c>
      <c r="C2966" s="115" t="s">
        <v>7776</v>
      </c>
      <c r="D2966" s="115">
        <v>1</v>
      </c>
      <c r="E2966" s="115" t="s">
        <v>7777</v>
      </c>
      <c r="F2966" s="115" t="s">
        <v>7778</v>
      </c>
      <c r="G2966" s="115" t="s">
        <v>7777</v>
      </c>
      <c r="H2966" s="115" t="s">
        <v>7777</v>
      </c>
    </row>
    <row r="2967" spans="1:8" x14ac:dyDescent="0.25">
      <c r="A2967" s="115">
        <v>4883</v>
      </c>
      <c r="B2967" s="115" t="s">
        <v>128</v>
      </c>
      <c r="C2967" s="115" t="s">
        <v>7779</v>
      </c>
      <c r="D2967" s="115">
        <v>1</v>
      </c>
      <c r="E2967" s="115" t="s">
        <v>7780</v>
      </c>
      <c r="F2967" s="115" t="s">
        <v>7781</v>
      </c>
      <c r="G2967" s="115" t="s">
        <v>7780</v>
      </c>
      <c r="H2967" s="115" t="s">
        <v>7780</v>
      </c>
    </row>
    <row r="2968" spans="1:8" x14ac:dyDescent="0.25">
      <c r="A2968" s="115">
        <v>4882</v>
      </c>
      <c r="B2968" s="115" t="s">
        <v>128</v>
      </c>
      <c r="C2968" s="115" t="s">
        <v>7782</v>
      </c>
      <c r="D2968" s="115">
        <v>1</v>
      </c>
      <c r="E2968" s="115" t="s">
        <v>7783</v>
      </c>
      <c r="F2968" s="115" t="s">
        <v>7784</v>
      </c>
      <c r="G2968" s="115" t="s">
        <v>7783</v>
      </c>
      <c r="H2968" s="115" t="s">
        <v>7783</v>
      </c>
    </row>
    <row r="2969" spans="1:8" x14ac:dyDescent="0.25">
      <c r="A2969" s="115">
        <v>4881</v>
      </c>
      <c r="B2969" s="115" t="s">
        <v>128</v>
      </c>
      <c r="C2969" s="115" t="s">
        <v>7785</v>
      </c>
      <c r="D2969" s="115">
        <v>1</v>
      </c>
      <c r="E2969" s="115" t="s">
        <v>7786</v>
      </c>
      <c r="F2969" s="115" t="s">
        <v>7787</v>
      </c>
      <c r="G2969" s="115" t="s">
        <v>7786</v>
      </c>
      <c r="H2969" s="115" t="s">
        <v>7786</v>
      </c>
    </row>
    <row r="2970" spans="1:8" x14ac:dyDescent="0.25">
      <c r="A2970" s="115">
        <v>4880</v>
      </c>
      <c r="B2970" s="115" t="s">
        <v>128</v>
      </c>
      <c r="C2970" s="115" t="s">
        <v>7788</v>
      </c>
      <c r="D2970" s="115">
        <v>1</v>
      </c>
      <c r="E2970" s="115" t="s">
        <v>4570</v>
      </c>
      <c r="F2970" s="115" t="s">
        <v>4571</v>
      </c>
      <c r="G2970" s="115" t="s">
        <v>4570</v>
      </c>
      <c r="H2970" s="115" t="s">
        <v>4570</v>
      </c>
    </row>
    <row r="2971" spans="1:8" x14ac:dyDescent="0.25">
      <c r="A2971" s="115">
        <v>4879</v>
      </c>
      <c r="B2971" s="115" t="s">
        <v>128</v>
      </c>
      <c r="C2971" s="115" t="s">
        <v>7789</v>
      </c>
      <c r="D2971" s="115">
        <v>1</v>
      </c>
      <c r="E2971" s="115" t="s">
        <v>7790</v>
      </c>
      <c r="F2971" s="115" t="s">
        <v>7791</v>
      </c>
      <c r="G2971" s="115" t="s">
        <v>7790</v>
      </c>
      <c r="H2971" s="115" t="s">
        <v>7790</v>
      </c>
    </row>
    <row r="2972" spans="1:8" x14ac:dyDescent="0.25">
      <c r="A2972" s="115">
        <v>4878</v>
      </c>
      <c r="B2972" s="115" t="s">
        <v>128</v>
      </c>
      <c r="C2972" s="115" t="s">
        <v>7792</v>
      </c>
      <c r="D2972" s="115">
        <v>1</v>
      </c>
      <c r="E2972" s="115" t="s">
        <v>937</v>
      </c>
      <c r="F2972" s="115" t="s">
        <v>938</v>
      </c>
      <c r="G2972" s="115" t="s">
        <v>937</v>
      </c>
      <c r="H2972" s="115" t="s">
        <v>937</v>
      </c>
    </row>
    <row r="2973" spans="1:8" x14ac:dyDescent="0.25">
      <c r="A2973" s="115">
        <v>4877</v>
      </c>
      <c r="B2973" s="115" t="s">
        <v>128</v>
      </c>
      <c r="C2973" s="115" t="s">
        <v>7793</v>
      </c>
      <c r="D2973" s="115">
        <v>1</v>
      </c>
      <c r="E2973" s="115" t="s">
        <v>7794</v>
      </c>
      <c r="F2973" s="115" t="s">
        <v>7795</v>
      </c>
      <c r="G2973" s="115" t="s">
        <v>7794</v>
      </c>
      <c r="H2973" s="115" t="s">
        <v>7794</v>
      </c>
    </row>
    <row r="2974" spans="1:8" x14ac:dyDescent="0.25">
      <c r="A2974" s="115">
        <v>4876</v>
      </c>
      <c r="B2974" s="115" t="s">
        <v>128</v>
      </c>
      <c r="C2974" s="115" t="s">
        <v>7796</v>
      </c>
      <c r="D2974" s="115">
        <v>1</v>
      </c>
      <c r="E2974" s="115" t="s">
        <v>7797</v>
      </c>
      <c r="F2974" s="115" t="s">
        <v>7797</v>
      </c>
      <c r="G2974" s="115" t="s">
        <v>7797</v>
      </c>
      <c r="H2974" s="115" t="s">
        <v>7797</v>
      </c>
    </row>
    <row r="2975" spans="1:8" ht="30" x14ac:dyDescent="0.25">
      <c r="A2975" s="115">
        <v>4875</v>
      </c>
      <c r="B2975" s="115" t="s">
        <v>128</v>
      </c>
      <c r="C2975" s="115" t="s">
        <v>7798</v>
      </c>
      <c r="D2975" s="115">
        <v>1</v>
      </c>
      <c r="E2975" s="115" t="s">
        <v>7799</v>
      </c>
      <c r="F2975" s="115" t="s">
        <v>7800</v>
      </c>
      <c r="G2975" s="115" t="s">
        <v>7799</v>
      </c>
      <c r="H2975" s="115" t="s">
        <v>7799</v>
      </c>
    </row>
    <row r="2976" spans="1:8" x14ac:dyDescent="0.25">
      <c r="A2976" s="115">
        <v>4874</v>
      </c>
      <c r="B2976" s="115" t="s">
        <v>128</v>
      </c>
      <c r="C2976" s="115" t="s">
        <v>7801</v>
      </c>
      <c r="D2976" s="115">
        <v>1</v>
      </c>
      <c r="E2976" s="115" t="s">
        <v>7802</v>
      </c>
      <c r="F2976" s="115" t="s">
        <v>7802</v>
      </c>
      <c r="G2976" s="115" t="s">
        <v>7802</v>
      </c>
      <c r="H2976" s="115" t="s">
        <v>7802</v>
      </c>
    </row>
    <row r="2977" spans="1:8" x14ac:dyDescent="0.25">
      <c r="A2977" s="115">
        <v>4873</v>
      </c>
      <c r="B2977" s="115" t="s">
        <v>128</v>
      </c>
      <c r="C2977" s="115" t="s">
        <v>7803</v>
      </c>
      <c r="D2977" s="115">
        <v>1</v>
      </c>
      <c r="E2977" s="115" t="s">
        <v>7804</v>
      </c>
      <c r="F2977" s="115" t="s">
        <v>7804</v>
      </c>
      <c r="G2977" s="115" t="s">
        <v>7804</v>
      </c>
      <c r="H2977" s="115" t="s">
        <v>7804</v>
      </c>
    </row>
    <row r="2978" spans="1:8" x14ac:dyDescent="0.25">
      <c r="A2978" s="115">
        <v>4872</v>
      </c>
      <c r="B2978" s="115" t="s">
        <v>128</v>
      </c>
      <c r="C2978" s="115" t="s">
        <v>7805</v>
      </c>
      <c r="D2978" s="115">
        <v>1</v>
      </c>
      <c r="E2978" s="115" t="s">
        <v>7806</v>
      </c>
      <c r="F2978" s="115" t="s">
        <v>7807</v>
      </c>
      <c r="G2978" s="115" t="s">
        <v>7806</v>
      </c>
      <c r="H2978" s="115" t="s">
        <v>7806</v>
      </c>
    </row>
    <row r="2979" spans="1:8" x14ac:dyDescent="0.25">
      <c r="A2979" s="115">
        <v>4871</v>
      </c>
      <c r="B2979" s="115" t="s">
        <v>128</v>
      </c>
      <c r="C2979" s="115" t="s">
        <v>7808</v>
      </c>
      <c r="D2979" s="115">
        <v>1</v>
      </c>
      <c r="E2979" s="115" t="s">
        <v>7809</v>
      </c>
      <c r="F2979" s="115" t="s">
        <v>7809</v>
      </c>
      <c r="G2979" s="115" t="s">
        <v>7809</v>
      </c>
      <c r="H2979" s="115" t="s">
        <v>7809</v>
      </c>
    </row>
    <row r="2980" spans="1:8" x14ac:dyDescent="0.25">
      <c r="A2980" s="115">
        <v>4870</v>
      </c>
      <c r="B2980" s="115" t="s">
        <v>128</v>
      </c>
      <c r="C2980" s="115" t="s">
        <v>7810</v>
      </c>
      <c r="D2980" s="115">
        <v>1</v>
      </c>
      <c r="E2980" s="115" t="s">
        <v>7811</v>
      </c>
      <c r="F2980" s="115" t="s">
        <v>7811</v>
      </c>
      <c r="G2980" s="115" t="s">
        <v>7811</v>
      </c>
      <c r="H2980" s="115" t="s">
        <v>7811</v>
      </c>
    </row>
    <row r="2981" spans="1:8" ht="30" x14ac:dyDescent="0.25">
      <c r="A2981" s="115">
        <v>4869</v>
      </c>
      <c r="B2981" s="115" t="s">
        <v>128</v>
      </c>
      <c r="C2981" s="115" t="s">
        <v>7812</v>
      </c>
      <c r="D2981" s="115">
        <v>1</v>
      </c>
      <c r="E2981" s="115" t="s">
        <v>7813</v>
      </c>
      <c r="F2981" s="115" t="s">
        <v>7814</v>
      </c>
      <c r="G2981" s="115" t="s">
        <v>7813</v>
      </c>
      <c r="H2981" s="115" t="s">
        <v>7813</v>
      </c>
    </row>
    <row r="2982" spans="1:8" x14ac:dyDescent="0.25">
      <c r="A2982" s="115">
        <v>4868</v>
      </c>
      <c r="B2982" s="115" t="s">
        <v>128</v>
      </c>
      <c r="C2982" s="115" t="s">
        <v>7815</v>
      </c>
      <c r="D2982" s="115">
        <v>1</v>
      </c>
      <c r="E2982" s="115" t="s">
        <v>7816</v>
      </c>
      <c r="F2982" s="115" t="s">
        <v>7817</v>
      </c>
      <c r="G2982" s="115" t="s">
        <v>7816</v>
      </c>
      <c r="H2982" s="115" t="s">
        <v>7816</v>
      </c>
    </row>
    <row r="2983" spans="1:8" x14ac:dyDescent="0.25">
      <c r="A2983" s="115">
        <v>4867</v>
      </c>
      <c r="B2983" s="115" t="s">
        <v>128</v>
      </c>
      <c r="C2983" s="115" t="s">
        <v>7818</v>
      </c>
      <c r="D2983" s="115">
        <v>1</v>
      </c>
      <c r="E2983" s="115" t="s">
        <v>7819</v>
      </c>
      <c r="F2983" s="115" t="s">
        <v>7820</v>
      </c>
      <c r="G2983" s="115" t="s">
        <v>7819</v>
      </c>
      <c r="H2983" s="115" t="s">
        <v>7819</v>
      </c>
    </row>
    <row r="2984" spans="1:8" x14ac:dyDescent="0.25">
      <c r="A2984" s="115">
        <v>4866</v>
      </c>
      <c r="B2984" s="115" t="s">
        <v>128</v>
      </c>
      <c r="C2984" s="115" t="s">
        <v>7821</v>
      </c>
      <c r="D2984" s="115">
        <v>1</v>
      </c>
      <c r="E2984" s="115" t="s">
        <v>7822</v>
      </c>
      <c r="F2984" s="115" t="s">
        <v>7822</v>
      </c>
      <c r="G2984" s="115" t="s">
        <v>7822</v>
      </c>
      <c r="H2984" s="115" t="s">
        <v>7822</v>
      </c>
    </row>
    <row r="2985" spans="1:8" x14ac:dyDescent="0.25">
      <c r="A2985" s="115">
        <v>4865</v>
      </c>
      <c r="B2985" s="115" t="s">
        <v>128</v>
      </c>
      <c r="C2985" s="115" t="s">
        <v>7823</v>
      </c>
      <c r="D2985" s="115">
        <v>1</v>
      </c>
      <c r="E2985" s="115" t="s">
        <v>7824</v>
      </c>
      <c r="F2985" s="115" t="s">
        <v>7825</v>
      </c>
      <c r="G2985" s="115" t="s">
        <v>7824</v>
      </c>
      <c r="H2985" s="115" t="s">
        <v>7824</v>
      </c>
    </row>
    <row r="2986" spans="1:8" x14ac:dyDescent="0.25">
      <c r="A2986" s="115">
        <v>4864</v>
      </c>
      <c r="B2986" s="115" t="s">
        <v>128</v>
      </c>
      <c r="C2986" s="115" t="s">
        <v>7826</v>
      </c>
      <c r="D2986" s="115">
        <v>1</v>
      </c>
      <c r="E2986" s="115" t="s">
        <v>7827</v>
      </c>
      <c r="F2986" s="115" t="s">
        <v>7828</v>
      </c>
      <c r="G2986" s="115" t="s">
        <v>7827</v>
      </c>
      <c r="H2986" s="115" t="s">
        <v>7827</v>
      </c>
    </row>
    <row r="2987" spans="1:8" x14ac:dyDescent="0.25">
      <c r="A2987" s="115">
        <v>4863</v>
      </c>
      <c r="B2987" s="115" t="s">
        <v>128</v>
      </c>
      <c r="C2987" s="115" t="s">
        <v>7829</v>
      </c>
      <c r="D2987" s="115">
        <v>1</v>
      </c>
      <c r="E2987" s="115" t="s">
        <v>7830</v>
      </c>
      <c r="F2987" s="115" t="s">
        <v>7831</v>
      </c>
      <c r="G2987" s="115" t="s">
        <v>7830</v>
      </c>
      <c r="H2987" s="115" t="s">
        <v>7830</v>
      </c>
    </row>
    <row r="2988" spans="1:8" x14ac:dyDescent="0.25">
      <c r="A2988" s="115">
        <v>4862</v>
      </c>
      <c r="B2988" s="115" t="s">
        <v>128</v>
      </c>
      <c r="C2988" s="115" t="s">
        <v>7832</v>
      </c>
      <c r="D2988" s="115">
        <v>1</v>
      </c>
      <c r="E2988" s="115" t="s">
        <v>7833</v>
      </c>
      <c r="F2988" s="115" t="s">
        <v>7833</v>
      </c>
      <c r="G2988" s="115" t="s">
        <v>7833</v>
      </c>
      <c r="H2988" s="115" t="s">
        <v>7833</v>
      </c>
    </row>
    <row r="2989" spans="1:8" x14ac:dyDescent="0.25">
      <c r="A2989" s="115">
        <v>4861</v>
      </c>
      <c r="B2989" s="115" t="s">
        <v>128</v>
      </c>
      <c r="C2989" s="115" t="s">
        <v>7834</v>
      </c>
      <c r="D2989" s="115">
        <v>1</v>
      </c>
      <c r="E2989" s="115" t="s">
        <v>7835</v>
      </c>
      <c r="F2989" s="115" t="s">
        <v>7835</v>
      </c>
      <c r="G2989" s="115" t="s">
        <v>7835</v>
      </c>
      <c r="H2989" s="115" t="s">
        <v>7835</v>
      </c>
    </row>
    <row r="2990" spans="1:8" x14ac:dyDescent="0.25">
      <c r="A2990" s="115">
        <v>4860</v>
      </c>
      <c r="B2990" s="115" t="s">
        <v>128</v>
      </c>
      <c r="C2990" s="115" t="s">
        <v>7836</v>
      </c>
      <c r="D2990" s="115">
        <v>1</v>
      </c>
      <c r="E2990" s="115" t="s">
        <v>7837</v>
      </c>
      <c r="F2990" s="115" t="s">
        <v>7838</v>
      </c>
      <c r="G2990" s="115" t="s">
        <v>7837</v>
      </c>
      <c r="H2990" s="115" t="s">
        <v>7837</v>
      </c>
    </row>
    <row r="2991" spans="1:8" x14ac:dyDescent="0.25">
      <c r="A2991" s="115">
        <v>4859</v>
      </c>
      <c r="B2991" s="115" t="s">
        <v>128</v>
      </c>
      <c r="C2991" s="115" t="s">
        <v>7839</v>
      </c>
      <c r="D2991" s="115">
        <v>1</v>
      </c>
      <c r="E2991" s="115" t="s">
        <v>7840</v>
      </c>
      <c r="F2991" s="115" t="s">
        <v>7841</v>
      </c>
      <c r="G2991" s="115" t="s">
        <v>7840</v>
      </c>
      <c r="H2991" s="115" t="s">
        <v>7840</v>
      </c>
    </row>
    <row r="2992" spans="1:8" x14ac:dyDescent="0.25">
      <c r="A2992" s="115">
        <v>4858</v>
      </c>
      <c r="B2992" s="115" t="s">
        <v>128</v>
      </c>
      <c r="C2992" s="115" t="s">
        <v>7842</v>
      </c>
      <c r="D2992" s="115">
        <v>1</v>
      </c>
      <c r="E2992" s="115" t="s">
        <v>7843</v>
      </c>
      <c r="F2992" s="115" t="s">
        <v>7844</v>
      </c>
      <c r="G2992" s="115" t="s">
        <v>7843</v>
      </c>
      <c r="H2992" s="115" t="s">
        <v>7843</v>
      </c>
    </row>
    <row r="2993" spans="1:8" x14ac:dyDescent="0.25">
      <c r="A2993" s="115">
        <v>4857</v>
      </c>
      <c r="B2993" s="115" t="s">
        <v>128</v>
      </c>
      <c r="C2993" s="115" t="s">
        <v>7845</v>
      </c>
      <c r="D2993" s="115">
        <v>1</v>
      </c>
      <c r="E2993" s="115" t="s">
        <v>7846</v>
      </c>
      <c r="F2993" s="115" t="s">
        <v>7847</v>
      </c>
      <c r="G2993" s="115" t="s">
        <v>7846</v>
      </c>
      <c r="H2993" s="115" t="s">
        <v>7846</v>
      </c>
    </row>
    <row r="2994" spans="1:8" x14ac:dyDescent="0.25">
      <c r="A2994" s="115">
        <v>4856</v>
      </c>
      <c r="B2994" s="115" t="s">
        <v>128</v>
      </c>
      <c r="C2994" s="115" t="s">
        <v>7848</v>
      </c>
      <c r="D2994" s="115">
        <v>1</v>
      </c>
      <c r="E2994" s="115" t="s">
        <v>7849</v>
      </c>
      <c r="F2994" s="115" t="s">
        <v>7850</v>
      </c>
      <c r="G2994" s="115" t="s">
        <v>7849</v>
      </c>
      <c r="H2994" s="115" t="s">
        <v>7849</v>
      </c>
    </row>
    <row r="2995" spans="1:8" x14ac:dyDescent="0.25">
      <c r="A2995" s="115">
        <v>4855</v>
      </c>
      <c r="B2995" s="115" t="s">
        <v>128</v>
      </c>
      <c r="C2995" s="115" t="s">
        <v>7851</v>
      </c>
      <c r="D2995" s="115">
        <v>1</v>
      </c>
      <c r="E2995" s="115" t="s">
        <v>7852</v>
      </c>
      <c r="F2995" s="115" t="s">
        <v>7852</v>
      </c>
      <c r="G2995" s="115" t="s">
        <v>7852</v>
      </c>
      <c r="H2995" s="115" t="s">
        <v>7852</v>
      </c>
    </row>
    <row r="2996" spans="1:8" x14ac:dyDescent="0.25">
      <c r="A2996" s="115">
        <v>4854</v>
      </c>
      <c r="B2996" s="115" t="s">
        <v>128</v>
      </c>
      <c r="C2996" s="115" t="s">
        <v>7853</v>
      </c>
      <c r="D2996" s="115">
        <v>1</v>
      </c>
      <c r="E2996" s="115" t="s">
        <v>7854</v>
      </c>
      <c r="F2996" s="115" t="s">
        <v>7854</v>
      </c>
      <c r="G2996" s="115" t="s">
        <v>7854</v>
      </c>
      <c r="H2996" s="115" t="s">
        <v>7854</v>
      </c>
    </row>
    <row r="2997" spans="1:8" x14ac:dyDescent="0.25">
      <c r="A2997" s="115">
        <v>4853</v>
      </c>
      <c r="B2997" s="115" t="s">
        <v>128</v>
      </c>
      <c r="C2997" s="115" t="s">
        <v>7855</v>
      </c>
      <c r="D2997" s="115">
        <v>1</v>
      </c>
      <c r="E2997" s="115" t="s">
        <v>7856</v>
      </c>
      <c r="F2997" s="115" t="s">
        <v>7857</v>
      </c>
      <c r="G2997" s="115" t="s">
        <v>7856</v>
      </c>
      <c r="H2997" s="115" t="s">
        <v>7856</v>
      </c>
    </row>
    <row r="2998" spans="1:8" x14ac:dyDescent="0.25">
      <c r="A2998" s="115">
        <v>4852</v>
      </c>
      <c r="B2998" s="115" t="s">
        <v>128</v>
      </c>
      <c r="C2998" s="115" t="s">
        <v>7858</v>
      </c>
      <c r="D2998" s="115">
        <v>1</v>
      </c>
      <c r="E2998" s="115" t="s">
        <v>7859</v>
      </c>
      <c r="F2998" s="115" t="s">
        <v>7860</v>
      </c>
      <c r="G2998" s="115" t="s">
        <v>7859</v>
      </c>
      <c r="H2998" s="115" t="s">
        <v>7859</v>
      </c>
    </row>
    <row r="2999" spans="1:8" x14ac:dyDescent="0.25">
      <c r="A2999" s="115">
        <v>4851</v>
      </c>
      <c r="B2999" s="115" t="s">
        <v>128</v>
      </c>
      <c r="C2999" s="115" t="s">
        <v>7861</v>
      </c>
      <c r="D2999" s="115">
        <v>1</v>
      </c>
      <c r="E2999" s="115" t="s">
        <v>7862</v>
      </c>
      <c r="F2999" s="115" t="s">
        <v>7863</v>
      </c>
      <c r="G2999" s="115" t="s">
        <v>7862</v>
      </c>
      <c r="H2999" s="115" t="s">
        <v>7862</v>
      </c>
    </row>
    <row r="3000" spans="1:8" x14ac:dyDescent="0.25">
      <c r="A3000" s="115">
        <v>4850</v>
      </c>
      <c r="B3000" s="115" t="s">
        <v>128</v>
      </c>
      <c r="C3000" s="115" t="s">
        <v>7864</v>
      </c>
      <c r="D3000" s="115">
        <v>1</v>
      </c>
      <c r="E3000" s="115" t="s">
        <v>7865</v>
      </c>
      <c r="F3000" s="115" t="s">
        <v>7866</v>
      </c>
      <c r="G3000" s="115" t="s">
        <v>7865</v>
      </c>
      <c r="H3000" s="115" t="s">
        <v>7865</v>
      </c>
    </row>
    <row r="3001" spans="1:8" x14ac:dyDescent="0.25">
      <c r="A3001" s="115">
        <v>4849</v>
      </c>
      <c r="B3001" s="115" t="s">
        <v>128</v>
      </c>
      <c r="C3001" s="115" t="s">
        <v>7867</v>
      </c>
      <c r="D3001" s="115">
        <v>1</v>
      </c>
      <c r="E3001" s="115" t="s">
        <v>7868</v>
      </c>
      <c r="F3001" s="115" t="s">
        <v>7869</v>
      </c>
      <c r="G3001" s="115" t="s">
        <v>7868</v>
      </c>
      <c r="H3001" s="115" t="s">
        <v>7868</v>
      </c>
    </row>
    <row r="3002" spans="1:8" x14ac:dyDescent="0.25">
      <c r="A3002" s="115">
        <v>4848</v>
      </c>
      <c r="B3002" s="115" t="s">
        <v>128</v>
      </c>
      <c r="C3002" s="115" t="s">
        <v>7870</v>
      </c>
      <c r="D3002" s="115">
        <v>1</v>
      </c>
      <c r="E3002" s="115" t="s">
        <v>917</v>
      </c>
      <c r="F3002" s="115" t="s">
        <v>3222</v>
      </c>
      <c r="G3002" s="115" t="s">
        <v>917</v>
      </c>
      <c r="H3002" s="115" t="s">
        <v>917</v>
      </c>
    </row>
    <row r="3003" spans="1:8" x14ac:dyDescent="0.25">
      <c r="A3003" s="115">
        <v>4847</v>
      </c>
      <c r="B3003" s="115" t="s">
        <v>128</v>
      </c>
      <c r="C3003" s="115" t="s">
        <v>7871</v>
      </c>
      <c r="D3003" s="115">
        <v>1</v>
      </c>
      <c r="E3003" s="115" t="s">
        <v>2907</v>
      </c>
      <c r="F3003" s="115" t="s">
        <v>2908</v>
      </c>
      <c r="G3003" s="115" t="s">
        <v>2907</v>
      </c>
      <c r="H3003" s="115" t="s">
        <v>2907</v>
      </c>
    </row>
    <row r="3004" spans="1:8" x14ac:dyDescent="0.25">
      <c r="A3004" s="115">
        <v>4846</v>
      </c>
      <c r="B3004" s="115" t="s">
        <v>128</v>
      </c>
      <c r="C3004" s="115" t="s">
        <v>7872</v>
      </c>
      <c r="D3004" s="115">
        <v>1</v>
      </c>
      <c r="E3004" s="115" t="s">
        <v>7873</v>
      </c>
      <c r="F3004" s="115" t="s">
        <v>7874</v>
      </c>
      <c r="G3004" s="115" t="s">
        <v>7873</v>
      </c>
      <c r="H3004" s="115" t="s">
        <v>7873</v>
      </c>
    </row>
    <row r="3005" spans="1:8" ht="30" x14ac:dyDescent="0.25">
      <c r="A3005" s="115">
        <v>4845</v>
      </c>
      <c r="B3005" s="115" t="s">
        <v>128</v>
      </c>
      <c r="C3005" s="115" t="s">
        <v>7875</v>
      </c>
      <c r="D3005" s="115">
        <v>1</v>
      </c>
      <c r="E3005" s="115" t="s">
        <v>7876</v>
      </c>
      <c r="F3005" s="115" t="s">
        <v>7877</v>
      </c>
      <c r="G3005" s="115" t="s">
        <v>7876</v>
      </c>
      <c r="H3005" s="115" t="s">
        <v>7876</v>
      </c>
    </row>
    <row r="3006" spans="1:8" x14ac:dyDescent="0.25">
      <c r="A3006" s="115">
        <v>4844</v>
      </c>
      <c r="B3006" s="115" t="s">
        <v>128</v>
      </c>
      <c r="C3006" s="115" t="s">
        <v>7878</v>
      </c>
      <c r="D3006" s="115">
        <v>1</v>
      </c>
      <c r="E3006" s="115" t="s">
        <v>7879</v>
      </c>
      <c r="F3006" s="115" t="s">
        <v>7879</v>
      </c>
      <c r="G3006" s="115" t="s">
        <v>7879</v>
      </c>
      <c r="H3006" s="115" t="s">
        <v>7879</v>
      </c>
    </row>
    <row r="3007" spans="1:8" x14ac:dyDescent="0.25">
      <c r="A3007" s="115">
        <v>4843</v>
      </c>
      <c r="B3007" s="115" t="s">
        <v>128</v>
      </c>
      <c r="C3007" s="115" t="s">
        <v>7880</v>
      </c>
      <c r="D3007" s="115">
        <v>1</v>
      </c>
      <c r="E3007" s="115" t="s">
        <v>7881</v>
      </c>
      <c r="F3007" s="115" t="s">
        <v>7882</v>
      </c>
      <c r="G3007" s="115" t="s">
        <v>7881</v>
      </c>
      <c r="H3007" s="115" t="s">
        <v>7881</v>
      </c>
    </row>
    <row r="3008" spans="1:8" x14ac:dyDescent="0.25">
      <c r="A3008" s="115">
        <v>4842</v>
      </c>
      <c r="B3008" s="115" t="s">
        <v>128</v>
      </c>
      <c r="C3008" s="115" t="s">
        <v>7883</v>
      </c>
      <c r="D3008" s="115">
        <v>1</v>
      </c>
      <c r="E3008" s="115" t="s">
        <v>7884</v>
      </c>
      <c r="F3008" s="115" t="s">
        <v>7885</v>
      </c>
      <c r="G3008" s="115" t="s">
        <v>7884</v>
      </c>
      <c r="H3008" s="115" t="s">
        <v>7884</v>
      </c>
    </row>
    <row r="3009" spans="1:8" x14ac:dyDescent="0.25">
      <c r="A3009" s="115">
        <v>4841</v>
      </c>
      <c r="B3009" s="115" t="s">
        <v>128</v>
      </c>
      <c r="C3009" s="115" t="s">
        <v>7886</v>
      </c>
      <c r="D3009" s="115">
        <v>1</v>
      </c>
      <c r="E3009" s="115" t="s">
        <v>7887</v>
      </c>
      <c r="F3009" s="115" t="s">
        <v>7888</v>
      </c>
      <c r="G3009" s="115" t="s">
        <v>7887</v>
      </c>
      <c r="H3009" s="115" t="s">
        <v>7887</v>
      </c>
    </row>
    <row r="3010" spans="1:8" x14ac:dyDescent="0.25">
      <c r="A3010" s="115">
        <v>4840</v>
      </c>
      <c r="B3010" s="115" t="s">
        <v>128</v>
      </c>
      <c r="C3010" s="115" t="s">
        <v>7889</v>
      </c>
      <c r="D3010" s="115">
        <v>1</v>
      </c>
      <c r="E3010" s="115" t="s">
        <v>7890</v>
      </c>
      <c r="F3010" s="115" t="s">
        <v>7891</v>
      </c>
      <c r="G3010" s="115" t="s">
        <v>7890</v>
      </c>
      <c r="H3010" s="115" t="s">
        <v>7890</v>
      </c>
    </row>
    <row r="3011" spans="1:8" x14ac:dyDescent="0.25">
      <c r="A3011" s="115">
        <v>4839</v>
      </c>
      <c r="B3011" s="115" t="s">
        <v>128</v>
      </c>
      <c r="C3011" s="115" t="s">
        <v>7892</v>
      </c>
      <c r="D3011" s="115">
        <v>1</v>
      </c>
      <c r="E3011" s="115" t="s">
        <v>7893</v>
      </c>
      <c r="F3011" s="115" t="s">
        <v>7894</v>
      </c>
      <c r="G3011" s="115" t="s">
        <v>7893</v>
      </c>
      <c r="H3011" s="115" t="s">
        <v>7893</v>
      </c>
    </row>
    <row r="3012" spans="1:8" x14ac:dyDescent="0.25">
      <c r="A3012" s="115">
        <v>4838</v>
      </c>
      <c r="B3012" s="115" t="s">
        <v>128</v>
      </c>
      <c r="C3012" s="115" t="s">
        <v>7895</v>
      </c>
      <c r="D3012" s="115">
        <v>1</v>
      </c>
      <c r="E3012" s="115" t="s">
        <v>7896</v>
      </c>
      <c r="F3012" s="115" t="s">
        <v>7897</v>
      </c>
      <c r="G3012" s="115" t="s">
        <v>7896</v>
      </c>
      <c r="H3012" s="115" t="s">
        <v>7896</v>
      </c>
    </row>
    <row r="3013" spans="1:8" x14ac:dyDescent="0.25">
      <c r="A3013" s="115">
        <v>4837</v>
      </c>
      <c r="B3013" s="115" t="s">
        <v>128</v>
      </c>
      <c r="C3013" s="115" t="s">
        <v>7898</v>
      </c>
      <c r="D3013" s="115">
        <v>1</v>
      </c>
      <c r="E3013" s="115" t="s">
        <v>7899</v>
      </c>
      <c r="F3013" s="115" t="s">
        <v>7899</v>
      </c>
      <c r="G3013" s="115" t="s">
        <v>7899</v>
      </c>
      <c r="H3013" s="115" t="s">
        <v>7899</v>
      </c>
    </row>
    <row r="3014" spans="1:8" x14ac:dyDescent="0.25">
      <c r="A3014" s="115">
        <v>4836</v>
      </c>
      <c r="B3014" s="115" t="s">
        <v>128</v>
      </c>
      <c r="C3014" s="115" t="s">
        <v>7900</v>
      </c>
      <c r="D3014" s="115">
        <v>1</v>
      </c>
      <c r="E3014" s="115" t="s">
        <v>7901</v>
      </c>
      <c r="F3014" s="115" t="s">
        <v>7902</v>
      </c>
      <c r="G3014" s="115" t="s">
        <v>7901</v>
      </c>
      <c r="H3014" s="115" t="s">
        <v>7901</v>
      </c>
    </row>
    <row r="3015" spans="1:8" x14ac:dyDescent="0.25">
      <c r="A3015" s="115">
        <v>4835</v>
      </c>
      <c r="B3015" s="115" t="s">
        <v>128</v>
      </c>
      <c r="C3015" s="115" t="s">
        <v>7903</v>
      </c>
      <c r="D3015" s="115">
        <v>1</v>
      </c>
      <c r="E3015" s="115" t="s">
        <v>7904</v>
      </c>
      <c r="F3015" s="115" t="s">
        <v>7905</v>
      </c>
      <c r="G3015" s="115" t="s">
        <v>7904</v>
      </c>
      <c r="H3015" s="115" t="s">
        <v>7904</v>
      </c>
    </row>
    <row r="3016" spans="1:8" x14ac:dyDescent="0.25">
      <c r="A3016" s="115">
        <v>4834</v>
      </c>
      <c r="B3016" s="115" t="s">
        <v>128</v>
      </c>
      <c r="C3016" s="115" t="s">
        <v>7906</v>
      </c>
      <c r="D3016" s="115">
        <v>1</v>
      </c>
      <c r="E3016" s="115" t="s">
        <v>7907</v>
      </c>
      <c r="F3016" s="115" t="s">
        <v>7908</v>
      </c>
      <c r="G3016" s="115" t="s">
        <v>7907</v>
      </c>
      <c r="H3016" s="115" t="s">
        <v>7907</v>
      </c>
    </row>
    <row r="3017" spans="1:8" x14ac:dyDescent="0.25">
      <c r="A3017" s="115">
        <v>4833</v>
      </c>
      <c r="B3017" s="115" t="s">
        <v>128</v>
      </c>
      <c r="C3017" s="115" t="s">
        <v>7909</v>
      </c>
      <c r="D3017" s="115">
        <v>1</v>
      </c>
      <c r="E3017" s="115" t="s">
        <v>7910</v>
      </c>
      <c r="F3017" s="115" t="s">
        <v>7911</v>
      </c>
      <c r="G3017" s="115" t="s">
        <v>7910</v>
      </c>
      <c r="H3017" s="115" t="s">
        <v>7910</v>
      </c>
    </row>
    <row r="3018" spans="1:8" x14ac:dyDescent="0.25">
      <c r="A3018" s="115">
        <v>4832</v>
      </c>
      <c r="B3018" s="115" t="s">
        <v>128</v>
      </c>
      <c r="C3018" s="115" t="s">
        <v>7912</v>
      </c>
      <c r="D3018" s="115">
        <v>1</v>
      </c>
      <c r="E3018" s="115" t="s">
        <v>7913</v>
      </c>
      <c r="F3018" s="115" t="s">
        <v>7913</v>
      </c>
      <c r="G3018" s="115" t="s">
        <v>7913</v>
      </c>
      <c r="H3018" s="115" t="s">
        <v>7913</v>
      </c>
    </row>
    <row r="3019" spans="1:8" x14ac:dyDescent="0.25">
      <c r="A3019" s="115">
        <v>4831</v>
      </c>
      <c r="B3019" s="115" t="s">
        <v>128</v>
      </c>
      <c r="C3019" s="115" t="s">
        <v>7914</v>
      </c>
      <c r="D3019" s="115">
        <v>1</v>
      </c>
      <c r="E3019" s="115" t="s">
        <v>7915</v>
      </c>
      <c r="F3019" s="115" t="s">
        <v>7916</v>
      </c>
      <c r="G3019" s="115" t="s">
        <v>7915</v>
      </c>
      <c r="H3019" s="115" t="s">
        <v>7915</v>
      </c>
    </row>
    <row r="3020" spans="1:8" x14ac:dyDescent="0.25">
      <c r="A3020" s="115">
        <v>4830</v>
      </c>
      <c r="B3020" s="115" t="s">
        <v>128</v>
      </c>
      <c r="C3020" s="115" t="s">
        <v>7917</v>
      </c>
      <c r="D3020" s="115">
        <v>1</v>
      </c>
      <c r="E3020" s="115" t="s">
        <v>3468</v>
      </c>
      <c r="F3020" s="115" t="s">
        <v>3468</v>
      </c>
      <c r="G3020" s="115" t="s">
        <v>3468</v>
      </c>
      <c r="H3020" s="115" t="s">
        <v>3468</v>
      </c>
    </row>
    <row r="3021" spans="1:8" x14ac:dyDescent="0.25">
      <c r="A3021" s="115">
        <v>4829</v>
      </c>
      <c r="B3021" s="115" t="s">
        <v>128</v>
      </c>
      <c r="C3021" s="115" t="s">
        <v>7918</v>
      </c>
      <c r="D3021" s="115">
        <v>1</v>
      </c>
      <c r="E3021" s="115" t="s">
        <v>7919</v>
      </c>
      <c r="F3021" s="115" t="s">
        <v>7919</v>
      </c>
      <c r="G3021" s="115" t="s">
        <v>7919</v>
      </c>
      <c r="H3021" s="115" t="s">
        <v>7919</v>
      </c>
    </row>
    <row r="3022" spans="1:8" x14ac:dyDescent="0.25">
      <c r="A3022" s="115">
        <v>4828</v>
      </c>
      <c r="B3022" s="115" t="s">
        <v>128</v>
      </c>
      <c r="C3022" s="115" t="s">
        <v>7920</v>
      </c>
      <c r="D3022" s="115">
        <v>1</v>
      </c>
      <c r="E3022" s="115" t="s">
        <v>7921</v>
      </c>
      <c r="F3022" s="115" t="s">
        <v>7922</v>
      </c>
      <c r="G3022" s="115" t="s">
        <v>7921</v>
      </c>
      <c r="H3022" s="115" t="s">
        <v>7921</v>
      </c>
    </row>
    <row r="3023" spans="1:8" x14ac:dyDescent="0.25">
      <c r="A3023" s="115">
        <v>4827</v>
      </c>
      <c r="B3023" s="115" t="s">
        <v>128</v>
      </c>
      <c r="C3023" s="115" t="s">
        <v>7923</v>
      </c>
      <c r="D3023" s="115">
        <v>1</v>
      </c>
      <c r="E3023" s="115" t="s">
        <v>7924</v>
      </c>
      <c r="F3023" s="115" t="s">
        <v>7925</v>
      </c>
      <c r="G3023" s="115" t="s">
        <v>7924</v>
      </c>
      <c r="H3023" s="115" t="s">
        <v>7924</v>
      </c>
    </row>
    <row r="3024" spans="1:8" x14ac:dyDescent="0.25">
      <c r="A3024" s="115">
        <v>4826</v>
      </c>
      <c r="B3024" s="115" t="s">
        <v>128</v>
      </c>
      <c r="C3024" s="115" t="s">
        <v>7926</v>
      </c>
      <c r="D3024" s="115">
        <v>1</v>
      </c>
      <c r="E3024" s="115" t="s">
        <v>7927</v>
      </c>
      <c r="F3024" s="115" t="s">
        <v>7928</v>
      </c>
      <c r="G3024" s="115" t="s">
        <v>7927</v>
      </c>
      <c r="H3024" s="115" t="s">
        <v>7927</v>
      </c>
    </row>
    <row r="3025" spans="1:8" x14ac:dyDescent="0.25">
      <c r="A3025" s="115">
        <v>4825</v>
      </c>
      <c r="B3025" s="115" t="s">
        <v>128</v>
      </c>
      <c r="C3025" s="115" t="s">
        <v>7929</v>
      </c>
      <c r="D3025" s="115">
        <v>1</v>
      </c>
      <c r="E3025" s="115" t="s">
        <v>3483</v>
      </c>
      <c r="F3025" s="115" t="s">
        <v>3484</v>
      </c>
      <c r="G3025" s="115" t="s">
        <v>3483</v>
      </c>
      <c r="H3025" s="115" t="s">
        <v>3483</v>
      </c>
    </row>
    <row r="3026" spans="1:8" x14ac:dyDescent="0.25">
      <c r="A3026" s="115">
        <v>4824</v>
      </c>
      <c r="B3026" s="115" t="s">
        <v>128</v>
      </c>
      <c r="C3026" s="115" t="s">
        <v>7930</v>
      </c>
      <c r="D3026" s="115">
        <v>1</v>
      </c>
      <c r="E3026" s="115" t="s">
        <v>7931</v>
      </c>
      <c r="F3026" s="115" t="s">
        <v>7932</v>
      </c>
      <c r="G3026" s="115" t="s">
        <v>7931</v>
      </c>
      <c r="H3026" s="115" t="s">
        <v>7931</v>
      </c>
    </row>
    <row r="3027" spans="1:8" x14ac:dyDescent="0.25">
      <c r="A3027" s="115">
        <v>4823</v>
      </c>
      <c r="B3027" s="115" t="s">
        <v>128</v>
      </c>
      <c r="C3027" s="115" t="s">
        <v>7933</v>
      </c>
      <c r="D3027" s="115">
        <v>1</v>
      </c>
      <c r="E3027" s="115" t="s">
        <v>3527</v>
      </c>
      <c r="F3027" s="115" t="s">
        <v>3527</v>
      </c>
      <c r="G3027" s="115" t="s">
        <v>3527</v>
      </c>
      <c r="H3027" s="115" t="s">
        <v>3527</v>
      </c>
    </row>
    <row r="3028" spans="1:8" x14ac:dyDescent="0.25">
      <c r="A3028" s="115">
        <v>4822</v>
      </c>
      <c r="B3028" s="115" t="s">
        <v>128</v>
      </c>
      <c r="C3028" s="115" t="s">
        <v>7934</v>
      </c>
      <c r="D3028" s="115">
        <v>1</v>
      </c>
      <c r="E3028" s="115" t="s">
        <v>7935</v>
      </c>
      <c r="F3028" s="115" t="s">
        <v>7936</v>
      </c>
      <c r="G3028" s="115" t="s">
        <v>7935</v>
      </c>
      <c r="H3028" s="115" t="s">
        <v>7935</v>
      </c>
    </row>
    <row r="3029" spans="1:8" x14ac:dyDescent="0.25">
      <c r="A3029" s="115">
        <v>4821</v>
      </c>
      <c r="B3029" s="115" t="s">
        <v>128</v>
      </c>
      <c r="C3029" s="115" t="s">
        <v>7937</v>
      </c>
      <c r="D3029" s="115">
        <v>1</v>
      </c>
      <c r="E3029" s="115" t="s">
        <v>7938</v>
      </c>
      <c r="F3029" s="115" t="s">
        <v>3540</v>
      </c>
      <c r="G3029" s="115" t="s">
        <v>7938</v>
      </c>
      <c r="H3029" s="115" t="s">
        <v>7938</v>
      </c>
    </row>
    <row r="3030" spans="1:8" x14ac:dyDescent="0.25">
      <c r="A3030" s="115">
        <v>4820</v>
      </c>
      <c r="B3030" s="115" t="s">
        <v>128</v>
      </c>
      <c r="C3030" s="115" t="s">
        <v>7939</v>
      </c>
      <c r="D3030" s="115">
        <v>1</v>
      </c>
      <c r="E3030" s="115" t="s">
        <v>3240</v>
      </c>
      <c r="F3030" s="115" t="s">
        <v>7940</v>
      </c>
      <c r="G3030" s="115" t="s">
        <v>3240</v>
      </c>
      <c r="H3030" s="115" t="s">
        <v>3240</v>
      </c>
    </row>
    <row r="3031" spans="1:8" ht="30" x14ac:dyDescent="0.25">
      <c r="A3031" s="115">
        <v>4819</v>
      </c>
      <c r="B3031" s="115" t="s">
        <v>128</v>
      </c>
      <c r="C3031" s="115" t="s">
        <v>7941</v>
      </c>
      <c r="D3031" s="115">
        <v>1</v>
      </c>
      <c r="E3031" s="115" t="s">
        <v>7942</v>
      </c>
      <c r="F3031" s="115" t="s">
        <v>7943</v>
      </c>
      <c r="G3031" s="115" t="s">
        <v>7942</v>
      </c>
      <c r="H3031" s="115" t="s">
        <v>7942</v>
      </c>
    </row>
    <row r="3032" spans="1:8" x14ac:dyDescent="0.25">
      <c r="A3032" s="115">
        <v>4818</v>
      </c>
      <c r="B3032" s="115" t="s">
        <v>128</v>
      </c>
      <c r="C3032" s="115" t="s">
        <v>7944</v>
      </c>
      <c r="D3032" s="115">
        <v>1</v>
      </c>
      <c r="E3032" s="115" t="s">
        <v>7945</v>
      </c>
      <c r="F3032" s="115" t="s">
        <v>7946</v>
      </c>
      <c r="G3032" s="115" t="s">
        <v>7945</v>
      </c>
      <c r="H3032" s="115" t="s">
        <v>7945</v>
      </c>
    </row>
    <row r="3033" spans="1:8" x14ac:dyDescent="0.25">
      <c r="A3033" s="115">
        <v>4817</v>
      </c>
      <c r="B3033" s="115" t="s">
        <v>128</v>
      </c>
      <c r="C3033" s="115" t="s">
        <v>7947</v>
      </c>
      <c r="D3033" s="115">
        <v>1</v>
      </c>
      <c r="E3033" s="115" t="s">
        <v>7948</v>
      </c>
      <c r="F3033" s="115" t="s">
        <v>7948</v>
      </c>
      <c r="G3033" s="115" t="s">
        <v>7948</v>
      </c>
      <c r="H3033" s="115" t="s">
        <v>7948</v>
      </c>
    </row>
    <row r="3034" spans="1:8" x14ac:dyDescent="0.25">
      <c r="A3034" s="115">
        <v>4816</v>
      </c>
      <c r="B3034" s="115" t="s">
        <v>128</v>
      </c>
      <c r="C3034" s="115" t="s">
        <v>7949</v>
      </c>
      <c r="D3034" s="115">
        <v>1</v>
      </c>
      <c r="E3034" s="115" t="s">
        <v>7950</v>
      </c>
      <c r="F3034" s="115" t="s">
        <v>7950</v>
      </c>
      <c r="G3034" s="115" t="s">
        <v>7950</v>
      </c>
      <c r="H3034" s="115" t="s">
        <v>7950</v>
      </c>
    </row>
    <row r="3035" spans="1:8" x14ac:dyDescent="0.25">
      <c r="A3035" s="115">
        <v>4815</v>
      </c>
      <c r="B3035" s="115" t="s">
        <v>128</v>
      </c>
      <c r="C3035" s="115" t="s">
        <v>7951</v>
      </c>
      <c r="D3035" s="115">
        <v>1</v>
      </c>
      <c r="E3035" s="115" t="s">
        <v>7952</v>
      </c>
      <c r="F3035" s="115" t="s">
        <v>7953</v>
      </c>
      <c r="G3035" s="115" t="s">
        <v>7952</v>
      </c>
      <c r="H3035" s="115" t="s">
        <v>7952</v>
      </c>
    </row>
    <row r="3036" spans="1:8" x14ac:dyDescent="0.25">
      <c r="A3036" s="115">
        <v>4814</v>
      </c>
      <c r="B3036" s="115" t="s">
        <v>128</v>
      </c>
      <c r="C3036" s="115" t="s">
        <v>7954</v>
      </c>
      <c r="D3036" s="115">
        <v>1</v>
      </c>
      <c r="E3036" s="115" t="s">
        <v>7955</v>
      </c>
      <c r="F3036" s="115" t="s">
        <v>7955</v>
      </c>
      <c r="G3036" s="115" t="s">
        <v>7955</v>
      </c>
      <c r="H3036" s="115" t="s">
        <v>7955</v>
      </c>
    </row>
    <row r="3037" spans="1:8" x14ac:dyDescent="0.25">
      <c r="A3037" s="115">
        <v>4813</v>
      </c>
      <c r="B3037" s="115" t="s">
        <v>128</v>
      </c>
      <c r="C3037" s="115" t="s">
        <v>7956</v>
      </c>
      <c r="D3037" s="115">
        <v>1</v>
      </c>
      <c r="E3037" s="115" t="s">
        <v>7957</v>
      </c>
      <c r="F3037" s="115" t="s">
        <v>7958</v>
      </c>
      <c r="G3037" s="115" t="s">
        <v>7957</v>
      </c>
      <c r="H3037" s="115" t="s">
        <v>7957</v>
      </c>
    </row>
    <row r="3038" spans="1:8" x14ac:dyDescent="0.25">
      <c r="A3038" s="115">
        <v>4812</v>
      </c>
      <c r="B3038" s="115" t="s">
        <v>128</v>
      </c>
      <c r="C3038" s="115" t="s">
        <v>7959</v>
      </c>
      <c r="D3038" s="115">
        <v>1</v>
      </c>
      <c r="E3038" s="115" t="s">
        <v>7960</v>
      </c>
      <c r="F3038" s="115" t="s">
        <v>7961</v>
      </c>
      <c r="G3038" s="115" t="s">
        <v>7960</v>
      </c>
      <c r="H3038" s="115" t="s">
        <v>7960</v>
      </c>
    </row>
    <row r="3039" spans="1:8" x14ac:dyDescent="0.25">
      <c r="A3039" s="115">
        <v>4811</v>
      </c>
      <c r="B3039" s="115" t="s">
        <v>128</v>
      </c>
      <c r="C3039" s="115" t="s">
        <v>7962</v>
      </c>
      <c r="D3039" s="115">
        <v>1</v>
      </c>
      <c r="E3039" s="115" t="s">
        <v>7963</v>
      </c>
      <c r="F3039" s="115" t="s">
        <v>7963</v>
      </c>
      <c r="G3039" s="115" t="s">
        <v>7963</v>
      </c>
      <c r="H3039" s="115" t="s">
        <v>7963</v>
      </c>
    </row>
    <row r="3040" spans="1:8" x14ac:dyDescent="0.25">
      <c r="A3040" s="115">
        <v>4810</v>
      </c>
      <c r="B3040" s="115" t="s">
        <v>128</v>
      </c>
      <c r="C3040" s="115" t="s">
        <v>7964</v>
      </c>
      <c r="D3040" s="115">
        <v>1</v>
      </c>
      <c r="E3040" s="115" t="s">
        <v>7965</v>
      </c>
      <c r="F3040" s="115" t="s">
        <v>7966</v>
      </c>
      <c r="G3040" s="115" t="s">
        <v>7965</v>
      </c>
      <c r="H3040" s="115" t="s">
        <v>7965</v>
      </c>
    </row>
    <row r="3041" spans="1:8" x14ac:dyDescent="0.25">
      <c r="A3041" s="115">
        <v>4809</v>
      </c>
      <c r="B3041" s="115" t="s">
        <v>128</v>
      </c>
      <c r="C3041" s="115" t="s">
        <v>7967</v>
      </c>
      <c r="D3041" s="115">
        <v>1</v>
      </c>
      <c r="E3041" s="115" t="s">
        <v>7968</v>
      </c>
      <c r="F3041" s="115" t="s">
        <v>7969</v>
      </c>
      <c r="G3041" s="115" t="s">
        <v>7968</v>
      </c>
      <c r="H3041" s="115" t="s">
        <v>7968</v>
      </c>
    </row>
    <row r="3042" spans="1:8" x14ac:dyDescent="0.25">
      <c r="A3042" s="115">
        <v>4808</v>
      </c>
      <c r="B3042" s="115" t="s">
        <v>128</v>
      </c>
      <c r="C3042" s="115" t="s">
        <v>7970</v>
      </c>
      <c r="D3042" s="115">
        <v>1</v>
      </c>
      <c r="E3042" s="115" t="s">
        <v>7971</v>
      </c>
      <c r="F3042" s="115" t="s">
        <v>7972</v>
      </c>
      <c r="G3042" s="115" t="s">
        <v>7971</v>
      </c>
      <c r="H3042" s="115" t="s">
        <v>7971</v>
      </c>
    </row>
    <row r="3043" spans="1:8" x14ac:dyDescent="0.25">
      <c r="A3043" s="115">
        <v>4807</v>
      </c>
      <c r="B3043" s="115" t="s">
        <v>128</v>
      </c>
      <c r="C3043" s="115" t="s">
        <v>7973</v>
      </c>
      <c r="D3043" s="115">
        <v>1</v>
      </c>
      <c r="E3043" s="115" t="s">
        <v>7974</v>
      </c>
      <c r="F3043" s="115" t="s">
        <v>7975</v>
      </c>
      <c r="G3043" s="115" t="s">
        <v>7974</v>
      </c>
      <c r="H3043" s="115" t="s">
        <v>7974</v>
      </c>
    </row>
    <row r="3044" spans="1:8" x14ac:dyDescent="0.25">
      <c r="A3044" s="115">
        <v>4806</v>
      </c>
      <c r="B3044" s="115" t="s">
        <v>128</v>
      </c>
      <c r="C3044" s="115" t="s">
        <v>7976</v>
      </c>
      <c r="D3044" s="115">
        <v>1</v>
      </c>
      <c r="E3044" s="115" t="s">
        <v>7977</v>
      </c>
      <c r="F3044" s="115" t="s">
        <v>7978</v>
      </c>
      <c r="G3044" s="115" t="s">
        <v>7977</v>
      </c>
      <c r="H3044" s="115" t="s">
        <v>7977</v>
      </c>
    </row>
    <row r="3045" spans="1:8" x14ac:dyDescent="0.25">
      <c r="A3045" s="115">
        <v>4805</v>
      </c>
      <c r="B3045" s="115" t="s">
        <v>128</v>
      </c>
      <c r="C3045" s="115" t="s">
        <v>7979</v>
      </c>
      <c r="D3045" s="115">
        <v>1</v>
      </c>
      <c r="E3045" s="115" t="s">
        <v>7980</v>
      </c>
      <c r="F3045" s="115" t="s">
        <v>7980</v>
      </c>
      <c r="G3045" s="115" t="s">
        <v>7980</v>
      </c>
      <c r="H3045" s="115" t="s">
        <v>7980</v>
      </c>
    </row>
    <row r="3046" spans="1:8" x14ac:dyDescent="0.25">
      <c r="A3046" s="115">
        <v>4804</v>
      </c>
      <c r="B3046" s="115" t="s">
        <v>128</v>
      </c>
      <c r="C3046" s="115" t="s">
        <v>7981</v>
      </c>
      <c r="D3046" s="115">
        <v>1</v>
      </c>
      <c r="E3046" s="115" t="s">
        <v>7982</v>
      </c>
      <c r="F3046" s="115" t="s">
        <v>7983</v>
      </c>
      <c r="G3046" s="115" t="s">
        <v>7982</v>
      </c>
      <c r="H3046" s="115" t="s">
        <v>7982</v>
      </c>
    </row>
    <row r="3047" spans="1:8" x14ac:dyDescent="0.25">
      <c r="A3047" s="115">
        <v>4803</v>
      </c>
      <c r="B3047" s="115" t="s">
        <v>128</v>
      </c>
      <c r="C3047" s="115" t="s">
        <v>7984</v>
      </c>
      <c r="D3047" s="115">
        <v>1</v>
      </c>
      <c r="E3047" s="115" t="s">
        <v>7985</v>
      </c>
      <c r="F3047" s="115" t="s">
        <v>7985</v>
      </c>
      <c r="G3047" s="115" t="s">
        <v>7985</v>
      </c>
      <c r="H3047" s="115" t="s">
        <v>7985</v>
      </c>
    </row>
    <row r="3048" spans="1:8" x14ac:dyDescent="0.25">
      <c r="A3048" s="115">
        <v>4802</v>
      </c>
      <c r="B3048" s="115" t="s">
        <v>128</v>
      </c>
      <c r="C3048" s="115" t="s">
        <v>7986</v>
      </c>
      <c r="D3048" s="115">
        <v>1</v>
      </c>
      <c r="E3048" s="115" t="s">
        <v>7987</v>
      </c>
      <c r="F3048" s="115" t="s">
        <v>7988</v>
      </c>
      <c r="G3048" s="115" t="s">
        <v>7987</v>
      </c>
      <c r="H3048" s="115" t="s">
        <v>7987</v>
      </c>
    </row>
    <row r="3049" spans="1:8" x14ac:dyDescent="0.25">
      <c r="A3049" s="115">
        <v>4801</v>
      </c>
      <c r="B3049" s="115" t="s">
        <v>128</v>
      </c>
      <c r="C3049" s="115" t="s">
        <v>7989</v>
      </c>
      <c r="D3049" s="115">
        <v>1</v>
      </c>
      <c r="E3049" s="115" t="s">
        <v>7990</v>
      </c>
      <c r="F3049" s="115" t="s">
        <v>7991</v>
      </c>
      <c r="G3049" s="115" t="s">
        <v>7990</v>
      </c>
      <c r="H3049" s="115" t="s">
        <v>7990</v>
      </c>
    </row>
    <row r="3050" spans="1:8" x14ac:dyDescent="0.25">
      <c r="A3050" s="115">
        <v>4800</v>
      </c>
      <c r="B3050" s="115" t="s">
        <v>128</v>
      </c>
      <c r="C3050" s="115" t="s">
        <v>7992</v>
      </c>
      <c r="D3050" s="115">
        <v>1</v>
      </c>
      <c r="E3050" s="115" t="s">
        <v>3521</v>
      </c>
      <c r="F3050" s="115" t="s">
        <v>3521</v>
      </c>
      <c r="G3050" s="115" t="s">
        <v>3521</v>
      </c>
      <c r="H3050" s="115" t="s">
        <v>3521</v>
      </c>
    </row>
    <row r="3051" spans="1:8" x14ac:dyDescent="0.25">
      <c r="A3051" s="115">
        <v>4799</v>
      </c>
      <c r="B3051" s="115" t="s">
        <v>128</v>
      </c>
      <c r="C3051" s="115" t="s">
        <v>7993</v>
      </c>
      <c r="D3051" s="115">
        <v>1</v>
      </c>
      <c r="E3051" s="115" t="s">
        <v>7994</v>
      </c>
      <c r="F3051" s="115" t="s">
        <v>7995</v>
      </c>
      <c r="G3051" s="115" t="s">
        <v>7994</v>
      </c>
      <c r="H3051" s="115" t="s">
        <v>7994</v>
      </c>
    </row>
    <row r="3052" spans="1:8" x14ac:dyDescent="0.25">
      <c r="A3052" s="115">
        <v>4798</v>
      </c>
      <c r="B3052" s="115" t="s">
        <v>128</v>
      </c>
      <c r="C3052" s="115" t="s">
        <v>7996</v>
      </c>
      <c r="D3052" s="115">
        <v>1</v>
      </c>
      <c r="E3052" s="115" t="s">
        <v>897</v>
      </c>
      <c r="F3052" s="115" t="s">
        <v>897</v>
      </c>
      <c r="G3052" s="115" t="s">
        <v>897</v>
      </c>
      <c r="H3052" s="115" t="s">
        <v>897</v>
      </c>
    </row>
    <row r="3053" spans="1:8" x14ac:dyDescent="0.25">
      <c r="A3053" s="115">
        <v>4797</v>
      </c>
      <c r="B3053" s="115" t="s">
        <v>128</v>
      </c>
      <c r="C3053" s="115" t="s">
        <v>7997</v>
      </c>
      <c r="D3053" s="115">
        <v>1</v>
      </c>
      <c r="E3053" s="115" t="s">
        <v>7998</v>
      </c>
      <c r="F3053" s="115" t="s">
        <v>7998</v>
      </c>
      <c r="G3053" s="115" t="s">
        <v>7998</v>
      </c>
      <c r="H3053" s="115" t="s">
        <v>7998</v>
      </c>
    </row>
    <row r="3054" spans="1:8" x14ac:dyDescent="0.25">
      <c r="A3054" s="115">
        <v>4796</v>
      </c>
      <c r="B3054" s="115" t="s">
        <v>128</v>
      </c>
      <c r="C3054" s="115" t="s">
        <v>7999</v>
      </c>
      <c r="D3054" s="115">
        <v>1</v>
      </c>
      <c r="E3054" s="115" t="s">
        <v>8000</v>
      </c>
      <c r="F3054" s="115" t="s">
        <v>8001</v>
      </c>
      <c r="G3054" s="115" t="s">
        <v>8000</v>
      </c>
      <c r="H3054" s="115" t="s">
        <v>8000</v>
      </c>
    </row>
    <row r="3055" spans="1:8" x14ac:dyDescent="0.25">
      <c r="A3055" s="115">
        <v>4795</v>
      </c>
      <c r="B3055" s="115" t="s">
        <v>128</v>
      </c>
      <c r="C3055" s="115" t="s">
        <v>8002</v>
      </c>
      <c r="D3055" s="115">
        <v>1</v>
      </c>
      <c r="E3055" s="115" t="s">
        <v>8003</v>
      </c>
      <c r="F3055" s="115" t="s">
        <v>8004</v>
      </c>
      <c r="G3055" s="115" t="s">
        <v>8003</v>
      </c>
      <c r="H3055" s="115" t="s">
        <v>8003</v>
      </c>
    </row>
    <row r="3056" spans="1:8" x14ac:dyDescent="0.25">
      <c r="A3056" s="115">
        <v>4794</v>
      </c>
      <c r="B3056" s="115" t="s">
        <v>128</v>
      </c>
      <c r="C3056" s="115" t="s">
        <v>8005</v>
      </c>
      <c r="D3056" s="115">
        <v>1</v>
      </c>
      <c r="E3056" s="115" t="s">
        <v>8006</v>
      </c>
      <c r="F3056" s="115" t="s">
        <v>8006</v>
      </c>
      <c r="G3056" s="115" t="s">
        <v>8006</v>
      </c>
      <c r="H3056" s="115" t="s">
        <v>8006</v>
      </c>
    </row>
    <row r="3057" spans="1:8" x14ac:dyDescent="0.25">
      <c r="A3057" s="115">
        <v>4793</v>
      </c>
      <c r="B3057" s="115" t="s">
        <v>128</v>
      </c>
      <c r="C3057" s="115" t="s">
        <v>8007</v>
      </c>
      <c r="D3057" s="115">
        <v>1</v>
      </c>
      <c r="E3057" s="115" t="s">
        <v>8008</v>
      </c>
      <c r="F3057" s="115" t="s">
        <v>8008</v>
      </c>
      <c r="G3057" s="115" t="s">
        <v>8008</v>
      </c>
      <c r="H3057" s="115" t="s">
        <v>8008</v>
      </c>
    </row>
    <row r="3058" spans="1:8" x14ac:dyDescent="0.25">
      <c r="A3058" s="115">
        <v>4792</v>
      </c>
      <c r="B3058" s="115" t="s">
        <v>128</v>
      </c>
      <c r="C3058" s="115" t="s">
        <v>8009</v>
      </c>
      <c r="D3058" s="115">
        <v>1</v>
      </c>
      <c r="E3058" s="115" t="s">
        <v>8010</v>
      </c>
      <c r="F3058" s="115" t="s">
        <v>8011</v>
      </c>
      <c r="G3058" s="115" t="s">
        <v>8010</v>
      </c>
      <c r="H3058" s="115" t="s">
        <v>8010</v>
      </c>
    </row>
    <row r="3059" spans="1:8" x14ac:dyDescent="0.25">
      <c r="A3059" s="115">
        <v>4791</v>
      </c>
      <c r="B3059" s="115" t="s">
        <v>128</v>
      </c>
      <c r="C3059" s="115" t="s">
        <v>8012</v>
      </c>
      <c r="D3059" s="115">
        <v>1</v>
      </c>
      <c r="E3059" s="115" t="s">
        <v>4579</v>
      </c>
      <c r="F3059" s="115" t="s">
        <v>4580</v>
      </c>
      <c r="G3059" s="115" t="s">
        <v>4579</v>
      </c>
      <c r="H3059" s="115" t="s">
        <v>4579</v>
      </c>
    </row>
    <row r="3060" spans="1:8" x14ac:dyDescent="0.25">
      <c r="A3060" s="115">
        <v>4790</v>
      </c>
      <c r="B3060" s="115" t="s">
        <v>128</v>
      </c>
      <c r="C3060" s="115" t="s">
        <v>8013</v>
      </c>
      <c r="D3060" s="115">
        <v>1</v>
      </c>
      <c r="E3060" s="115" t="s">
        <v>8014</v>
      </c>
      <c r="F3060" s="115" t="s">
        <v>8015</v>
      </c>
      <c r="G3060" s="115" t="s">
        <v>8014</v>
      </c>
      <c r="H3060" s="115" t="s">
        <v>8014</v>
      </c>
    </row>
    <row r="3061" spans="1:8" x14ac:dyDescent="0.25">
      <c r="A3061" s="115">
        <v>4789</v>
      </c>
      <c r="B3061" s="115" t="s">
        <v>128</v>
      </c>
      <c r="C3061" s="115" t="s">
        <v>8016</v>
      </c>
      <c r="D3061" s="115">
        <v>1</v>
      </c>
      <c r="E3061" s="115" t="s">
        <v>8017</v>
      </c>
      <c r="F3061" s="115" t="s">
        <v>8018</v>
      </c>
      <c r="G3061" s="115" t="s">
        <v>8017</v>
      </c>
      <c r="H3061" s="115" t="s">
        <v>8017</v>
      </c>
    </row>
    <row r="3062" spans="1:8" x14ac:dyDescent="0.25">
      <c r="A3062" s="115">
        <v>4788</v>
      </c>
      <c r="B3062" s="115" t="s">
        <v>128</v>
      </c>
      <c r="C3062" s="115" t="s">
        <v>8019</v>
      </c>
      <c r="D3062" s="115">
        <v>1</v>
      </c>
      <c r="E3062" s="115" t="s">
        <v>8020</v>
      </c>
      <c r="F3062" s="115" t="s">
        <v>8021</v>
      </c>
      <c r="G3062" s="115" t="s">
        <v>8020</v>
      </c>
      <c r="H3062" s="115" t="s">
        <v>8020</v>
      </c>
    </row>
    <row r="3063" spans="1:8" x14ac:dyDescent="0.25">
      <c r="A3063" s="115">
        <v>4787</v>
      </c>
      <c r="B3063" s="115" t="s">
        <v>128</v>
      </c>
      <c r="C3063" s="115" t="s">
        <v>8022</v>
      </c>
      <c r="D3063" s="115">
        <v>1</v>
      </c>
      <c r="E3063" s="115" t="s">
        <v>3535</v>
      </c>
      <c r="F3063" s="115" t="s">
        <v>3535</v>
      </c>
      <c r="G3063" s="115" t="s">
        <v>3535</v>
      </c>
      <c r="H3063" s="115" t="s">
        <v>3535</v>
      </c>
    </row>
    <row r="3064" spans="1:8" x14ac:dyDescent="0.25">
      <c r="A3064" s="115">
        <v>4786</v>
      </c>
      <c r="B3064" s="115" t="s">
        <v>128</v>
      </c>
      <c r="C3064" s="115" t="s">
        <v>8023</v>
      </c>
      <c r="D3064" s="115">
        <v>1</v>
      </c>
      <c r="E3064" s="115" t="s">
        <v>8024</v>
      </c>
      <c r="F3064" s="115" t="s">
        <v>8025</v>
      </c>
      <c r="G3064" s="115" t="s">
        <v>8024</v>
      </c>
      <c r="H3064" s="115" t="s">
        <v>8024</v>
      </c>
    </row>
    <row r="3065" spans="1:8" x14ac:dyDescent="0.25">
      <c r="A3065" s="115">
        <v>4785</v>
      </c>
      <c r="B3065" s="115" t="s">
        <v>128</v>
      </c>
      <c r="C3065" s="115" t="s">
        <v>8026</v>
      </c>
      <c r="D3065" s="115">
        <v>1</v>
      </c>
      <c r="E3065" s="115" t="s">
        <v>8027</v>
      </c>
      <c r="F3065" s="115" t="s">
        <v>8028</v>
      </c>
      <c r="G3065" s="115" t="s">
        <v>8027</v>
      </c>
      <c r="H3065" s="115" t="s">
        <v>8027</v>
      </c>
    </row>
    <row r="3066" spans="1:8" x14ac:dyDescent="0.25">
      <c r="A3066" s="115">
        <v>4784</v>
      </c>
      <c r="B3066" s="115" t="s">
        <v>128</v>
      </c>
      <c r="C3066" s="115" t="s">
        <v>8029</v>
      </c>
      <c r="D3066" s="115">
        <v>1</v>
      </c>
      <c r="E3066" s="115" t="s">
        <v>8030</v>
      </c>
      <c r="F3066" s="115" t="s">
        <v>8030</v>
      </c>
      <c r="G3066" s="115" t="s">
        <v>8030</v>
      </c>
      <c r="H3066" s="115" t="s">
        <v>8030</v>
      </c>
    </row>
    <row r="3067" spans="1:8" x14ac:dyDescent="0.25">
      <c r="A3067" s="115">
        <v>4783</v>
      </c>
      <c r="B3067" s="115" t="s">
        <v>128</v>
      </c>
      <c r="C3067" s="115" t="s">
        <v>8031</v>
      </c>
      <c r="D3067" s="115">
        <v>1</v>
      </c>
      <c r="E3067" s="115" t="s">
        <v>8032</v>
      </c>
      <c r="F3067" s="115" t="s">
        <v>8033</v>
      </c>
      <c r="G3067" s="115" t="s">
        <v>8032</v>
      </c>
      <c r="H3067" s="115" t="s">
        <v>8032</v>
      </c>
    </row>
    <row r="3068" spans="1:8" x14ac:dyDescent="0.25">
      <c r="A3068" s="115">
        <v>4782</v>
      </c>
      <c r="B3068" s="115" t="s">
        <v>128</v>
      </c>
      <c r="C3068" s="115" t="s">
        <v>8034</v>
      </c>
      <c r="D3068" s="115">
        <v>1</v>
      </c>
      <c r="E3068" s="115" t="s">
        <v>849</v>
      </c>
      <c r="F3068" s="115" t="s">
        <v>849</v>
      </c>
      <c r="G3068" s="115" t="s">
        <v>849</v>
      </c>
      <c r="H3068" s="115" t="s">
        <v>849</v>
      </c>
    </row>
    <row r="3069" spans="1:8" x14ac:dyDescent="0.25">
      <c r="A3069" s="115">
        <v>4781</v>
      </c>
      <c r="B3069" s="115" t="s">
        <v>128</v>
      </c>
      <c r="C3069" s="115" t="s">
        <v>8035</v>
      </c>
      <c r="D3069" s="115">
        <v>1</v>
      </c>
      <c r="E3069" s="115" t="s">
        <v>8036</v>
      </c>
      <c r="F3069" s="115" t="s">
        <v>8037</v>
      </c>
      <c r="G3069" s="115" t="s">
        <v>8036</v>
      </c>
      <c r="H3069" s="115" t="s">
        <v>8036</v>
      </c>
    </row>
    <row r="3070" spans="1:8" x14ac:dyDescent="0.25">
      <c r="A3070" s="115">
        <v>4780</v>
      </c>
      <c r="B3070" s="115" t="s">
        <v>128</v>
      </c>
      <c r="C3070" s="115" t="s">
        <v>8038</v>
      </c>
      <c r="D3070" s="115">
        <v>1</v>
      </c>
      <c r="E3070" s="115" t="s">
        <v>8039</v>
      </c>
      <c r="F3070" s="115" t="s">
        <v>8040</v>
      </c>
      <c r="G3070" s="115" t="s">
        <v>8039</v>
      </c>
      <c r="H3070" s="115" t="s">
        <v>8039</v>
      </c>
    </row>
    <row r="3071" spans="1:8" x14ac:dyDescent="0.25">
      <c r="A3071" s="115">
        <v>4779</v>
      </c>
      <c r="B3071" s="115" t="s">
        <v>128</v>
      </c>
      <c r="C3071" s="115" t="s">
        <v>8041</v>
      </c>
      <c r="D3071" s="115">
        <v>1</v>
      </c>
      <c r="E3071" s="115" t="s">
        <v>8042</v>
      </c>
      <c r="F3071" s="115" t="s">
        <v>8043</v>
      </c>
      <c r="G3071" s="115" t="s">
        <v>8044</v>
      </c>
      <c r="H3071" s="115" t="s">
        <v>8045</v>
      </c>
    </row>
    <row r="3072" spans="1:8" x14ac:dyDescent="0.25">
      <c r="A3072" s="115">
        <v>4778</v>
      </c>
      <c r="B3072" s="115" t="s">
        <v>128</v>
      </c>
      <c r="C3072" s="115" t="s">
        <v>8046</v>
      </c>
      <c r="D3072" s="115">
        <v>1</v>
      </c>
      <c r="E3072" s="115" t="s">
        <v>8042</v>
      </c>
      <c r="F3072" s="115" t="s">
        <v>8043</v>
      </c>
      <c r="G3072" s="115" t="s">
        <v>8044</v>
      </c>
      <c r="H3072" s="115" t="s">
        <v>8045</v>
      </c>
    </row>
    <row r="3073" spans="1:8" x14ac:dyDescent="0.25">
      <c r="A3073" s="115">
        <v>4777</v>
      </c>
      <c r="B3073" s="115" t="s">
        <v>128</v>
      </c>
      <c r="C3073" s="115" t="s">
        <v>8047</v>
      </c>
      <c r="D3073" s="115">
        <v>1</v>
      </c>
      <c r="E3073" s="115" t="s">
        <v>8048</v>
      </c>
      <c r="F3073" s="115" t="s">
        <v>8049</v>
      </c>
      <c r="G3073" s="115" t="s">
        <v>8050</v>
      </c>
      <c r="H3073" s="115" t="s">
        <v>8048</v>
      </c>
    </row>
    <row r="3074" spans="1:8" ht="30" x14ac:dyDescent="0.25">
      <c r="A3074" s="115">
        <v>4776</v>
      </c>
      <c r="B3074" s="115" t="s">
        <v>128</v>
      </c>
      <c r="C3074" s="115" t="s">
        <v>8051</v>
      </c>
      <c r="D3074" s="115">
        <v>1</v>
      </c>
      <c r="E3074" s="115" t="s">
        <v>8052</v>
      </c>
      <c r="F3074" s="115" t="s">
        <v>8053</v>
      </c>
      <c r="G3074" s="115" t="s">
        <v>8054</v>
      </c>
      <c r="H3074" s="115" t="s">
        <v>8052</v>
      </c>
    </row>
    <row r="3075" spans="1:8" ht="30" x14ac:dyDescent="0.25">
      <c r="A3075" s="115">
        <v>4775</v>
      </c>
      <c r="B3075" s="115" t="s">
        <v>128</v>
      </c>
      <c r="C3075" s="115" t="s">
        <v>8055</v>
      </c>
      <c r="D3075" s="115">
        <v>1</v>
      </c>
      <c r="E3075" s="115" t="s">
        <v>8052</v>
      </c>
      <c r="F3075" s="115" t="s">
        <v>8056</v>
      </c>
      <c r="G3075" s="115" t="s">
        <v>8054</v>
      </c>
      <c r="H3075" s="115" t="s">
        <v>8052</v>
      </c>
    </row>
    <row r="3076" spans="1:8" x14ac:dyDescent="0.25">
      <c r="A3076" s="115">
        <v>4774</v>
      </c>
      <c r="B3076" s="115" t="s">
        <v>128</v>
      </c>
      <c r="C3076" s="115" t="s">
        <v>8057</v>
      </c>
      <c r="D3076" s="115">
        <v>1</v>
      </c>
      <c r="E3076" s="115" t="s">
        <v>8058</v>
      </c>
      <c r="F3076" s="115" t="s">
        <v>8059</v>
      </c>
      <c r="G3076" s="115" t="s">
        <v>8060</v>
      </c>
      <c r="H3076" s="115" t="s">
        <v>8058</v>
      </c>
    </row>
    <row r="3077" spans="1:8" x14ac:dyDescent="0.25">
      <c r="A3077" s="115">
        <v>4773</v>
      </c>
      <c r="B3077" s="115" t="s">
        <v>128</v>
      </c>
      <c r="C3077" s="115" t="s">
        <v>8061</v>
      </c>
      <c r="D3077" s="115">
        <v>1</v>
      </c>
      <c r="E3077" s="115" t="s">
        <v>8062</v>
      </c>
      <c r="F3077" s="115" t="s">
        <v>8063</v>
      </c>
      <c r="G3077" s="115" t="s">
        <v>8064</v>
      </c>
      <c r="H3077" s="115" t="s">
        <v>8062</v>
      </c>
    </row>
    <row r="3078" spans="1:8" x14ac:dyDescent="0.25">
      <c r="A3078" s="115">
        <v>4772</v>
      </c>
      <c r="B3078" s="115" t="s">
        <v>128</v>
      </c>
      <c r="C3078" s="115" t="s">
        <v>8065</v>
      </c>
      <c r="D3078" s="115">
        <v>1</v>
      </c>
      <c r="E3078" s="115" t="s">
        <v>8066</v>
      </c>
      <c r="F3078" s="115" t="s">
        <v>8067</v>
      </c>
      <c r="G3078" s="115" t="s">
        <v>8068</v>
      </c>
      <c r="H3078" s="115" t="s">
        <v>8069</v>
      </c>
    </row>
    <row r="3079" spans="1:8" x14ac:dyDescent="0.25">
      <c r="A3079" s="115">
        <v>4771</v>
      </c>
      <c r="B3079" s="115" t="s">
        <v>128</v>
      </c>
      <c r="C3079" s="115" t="s">
        <v>8070</v>
      </c>
      <c r="D3079" s="115">
        <v>1</v>
      </c>
      <c r="E3079" s="115" t="s">
        <v>8071</v>
      </c>
      <c r="F3079" s="115" t="s">
        <v>8072</v>
      </c>
      <c r="G3079" s="115" t="s">
        <v>8073</v>
      </c>
      <c r="H3079" s="115" t="s">
        <v>8074</v>
      </c>
    </row>
    <row r="3080" spans="1:8" ht="45" x14ac:dyDescent="0.25">
      <c r="A3080" s="115">
        <v>4770</v>
      </c>
      <c r="B3080" s="115" t="s">
        <v>128</v>
      </c>
      <c r="C3080" s="115" t="s">
        <v>8075</v>
      </c>
      <c r="D3080" s="115">
        <v>1</v>
      </c>
      <c r="E3080" s="115" t="s">
        <v>5652</v>
      </c>
      <c r="F3080" s="115" t="s">
        <v>5653</v>
      </c>
      <c r="G3080" s="115" t="s">
        <v>5654</v>
      </c>
      <c r="H3080" s="115" t="s">
        <v>5655</v>
      </c>
    </row>
    <row r="3081" spans="1:8" ht="60" x14ac:dyDescent="0.25">
      <c r="A3081" s="115">
        <v>4769</v>
      </c>
      <c r="B3081" s="115" t="s">
        <v>128</v>
      </c>
      <c r="C3081" s="115" t="s">
        <v>8076</v>
      </c>
      <c r="D3081" s="115">
        <v>1</v>
      </c>
      <c r="E3081" s="115" t="s">
        <v>8077</v>
      </c>
      <c r="F3081" s="115" t="s">
        <v>8078</v>
      </c>
      <c r="G3081" s="115" t="s">
        <v>8079</v>
      </c>
      <c r="H3081" s="115" t="s">
        <v>8080</v>
      </c>
    </row>
    <row r="3082" spans="1:8" ht="30" x14ac:dyDescent="0.25">
      <c r="A3082" s="115">
        <v>4768</v>
      </c>
      <c r="B3082" s="115" t="s">
        <v>128</v>
      </c>
      <c r="C3082" s="115" t="s">
        <v>8081</v>
      </c>
      <c r="D3082" s="115">
        <v>1</v>
      </c>
      <c r="E3082" s="115" t="s">
        <v>7148</v>
      </c>
      <c r="F3082" s="115" t="s">
        <v>7149</v>
      </c>
      <c r="G3082" s="115" t="s">
        <v>7150</v>
      </c>
      <c r="H3082" s="115" t="s">
        <v>7151</v>
      </c>
    </row>
    <row r="3083" spans="1:8" x14ac:dyDescent="0.25">
      <c r="A3083" s="115">
        <v>4767</v>
      </c>
      <c r="B3083" s="115" t="s">
        <v>128</v>
      </c>
      <c r="C3083" s="115" t="s">
        <v>8082</v>
      </c>
      <c r="D3083" s="115">
        <v>1</v>
      </c>
      <c r="E3083" s="115" t="s">
        <v>5510</v>
      </c>
      <c r="F3083" s="115" t="s">
        <v>5511</v>
      </c>
      <c r="G3083" s="115" t="s">
        <v>5512</v>
      </c>
      <c r="H3083" s="115" t="s">
        <v>5513</v>
      </c>
    </row>
    <row r="3084" spans="1:8" x14ac:dyDescent="0.25">
      <c r="A3084" s="115">
        <v>4766</v>
      </c>
      <c r="B3084" s="115" t="s">
        <v>128</v>
      </c>
      <c r="C3084" s="115" t="s">
        <v>8083</v>
      </c>
      <c r="D3084" s="115">
        <v>1</v>
      </c>
      <c r="E3084" s="115" t="s">
        <v>8084</v>
      </c>
      <c r="F3084" s="115" t="s">
        <v>8085</v>
      </c>
      <c r="G3084" s="115" t="s">
        <v>8086</v>
      </c>
      <c r="H3084" s="115" t="s">
        <v>463</v>
      </c>
    </row>
    <row r="3085" spans="1:8" x14ac:dyDescent="0.25">
      <c r="A3085" s="115">
        <v>4765</v>
      </c>
      <c r="B3085" s="115" t="s">
        <v>128</v>
      </c>
      <c r="C3085" s="115" t="s">
        <v>8087</v>
      </c>
      <c r="D3085" s="115">
        <v>1</v>
      </c>
      <c r="E3085" s="115" t="s">
        <v>7271</v>
      </c>
      <c r="F3085" s="115" t="s">
        <v>7271</v>
      </c>
      <c r="G3085" s="115" t="s">
        <v>7271</v>
      </c>
      <c r="H3085" s="115" t="s">
        <v>7413</v>
      </c>
    </row>
    <row r="3086" spans="1:8" x14ac:dyDescent="0.25">
      <c r="A3086" s="115">
        <v>4764</v>
      </c>
      <c r="B3086" s="115" t="s">
        <v>128</v>
      </c>
      <c r="C3086" s="115" t="s">
        <v>8088</v>
      </c>
      <c r="D3086" s="115">
        <v>1</v>
      </c>
      <c r="E3086" s="115" t="s">
        <v>7119</v>
      </c>
      <c r="F3086" s="115" t="s">
        <v>7119</v>
      </c>
      <c r="G3086" s="115" t="s">
        <v>7120</v>
      </c>
      <c r="H3086" s="115" t="s">
        <v>7121</v>
      </c>
    </row>
    <row r="3087" spans="1:8" ht="30" x14ac:dyDescent="0.25">
      <c r="A3087" s="115">
        <v>4763</v>
      </c>
      <c r="B3087" s="115" t="s">
        <v>128</v>
      </c>
      <c r="C3087" s="115" t="s">
        <v>8089</v>
      </c>
      <c r="D3087" s="115">
        <v>1</v>
      </c>
      <c r="E3087" s="115" t="s">
        <v>8090</v>
      </c>
      <c r="F3087" s="115" t="s">
        <v>7412</v>
      </c>
      <c r="G3087" s="115" t="s">
        <v>1548</v>
      </c>
      <c r="H3087" s="115" t="s">
        <v>8091</v>
      </c>
    </row>
    <row r="3088" spans="1:8" ht="30" x14ac:dyDescent="0.25">
      <c r="A3088" s="115">
        <v>4762</v>
      </c>
      <c r="B3088" s="115" t="s">
        <v>128</v>
      </c>
      <c r="C3088" s="115" t="s">
        <v>8092</v>
      </c>
      <c r="D3088" s="115">
        <v>1</v>
      </c>
      <c r="E3088" s="115" t="s">
        <v>1538</v>
      </c>
      <c r="F3088" s="115" t="s">
        <v>7154</v>
      </c>
      <c r="G3088" s="115" t="s">
        <v>7155</v>
      </c>
      <c r="H3088" s="115" t="s">
        <v>7156</v>
      </c>
    </row>
    <row r="3089" spans="1:8" ht="30" x14ac:dyDescent="0.25">
      <c r="A3089" s="115">
        <v>4761</v>
      </c>
      <c r="B3089" s="115" t="s">
        <v>128</v>
      </c>
      <c r="C3089" s="115" t="s">
        <v>8093</v>
      </c>
      <c r="D3089" s="115">
        <v>1</v>
      </c>
      <c r="E3089" s="115" t="s">
        <v>1565</v>
      </c>
      <c r="F3089" s="115" t="s">
        <v>7123</v>
      </c>
      <c r="G3089" s="115" t="s">
        <v>8094</v>
      </c>
      <c r="H3089" s="115" t="s">
        <v>1568</v>
      </c>
    </row>
    <row r="3090" spans="1:8" ht="30" x14ac:dyDescent="0.25">
      <c r="A3090" s="115">
        <v>4760</v>
      </c>
      <c r="B3090" s="115" t="s">
        <v>128</v>
      </c>
      <c r="C3090" s="115" t="s">
        <v>8095</v>
      </c>
      <c r="D3090" s="115">
        <v>1</v>
      </c>
      <c r="E3090" s="115" t="s">
        <v>5652</v>
      </c>
      <c r="F3090" s="115" t="s">
        <v>5653</v>
      </c>
      <c r="G3090" s="115" t="s">
        <v>8096</v>
      </c>
      <c r="H3090" s="115" t="s">
        <v>5655</v>
      </c>
    </row>
    <row r="3091" spans="1:8" ht="30" x14ac:dyDescent="0.25">
      <c r="A3091" s="115">
        <v>4759</v>
      </c>
      <c r="B3091" s="115" t="s">
        <v>128</v>
      </c>
      <c r="C3091" s="115" t="s">
        <v>8097</v>
      </c>
      <c r="D3091" s="115">
        <v>1</v>
      </c>
      <c r="E3091" s="115" t="s">
        <v>8098</v>
      </c>
      <c r="F3091" s="115" t="s">
        <v>7123</v>
      </c>
      <c r="G3091" s="115" t="s">
        <v>1567</v>
      </c>
      <c r="H3091" s="115" t="s">
        <v>1568</v>
      </c>
    </row>
    <row r="3092" spans="1:8" ht="30" x14ac:dyDescent="0.25">
      <c r="A3092" s="115">
        <v>4758</v>
      </c>
      <c r="B3092" s="115" t="s">
        <v>128</v>
      </c>
      <c r="C3092" s="115" t="s">
        <v>8099</v>
      </c>
      <c r="D3092" s="115">
        <v>1</v>
      </c>
      <c r="E3092" s="115" t="s">
        <v>8100</v>
      </c>
      <c r="F3092" s="115" t="s">
        <v>8101</v>
      </c>
      <c r="G3092" s="115" t="s">
        <v>8102</v>
      </c>
      <c r="H3092" s="115" t="s">
        <v>8103</v>
      </c>
    </row>
    <row r="3093" spans="1:8" ht="45" x14ac:dyDescent="0.25">
      <c r="A3093" s="115">
        <v>4757</v>
      </c>
      <c r="B3093" s="115" t="s">
        <v>128</v>
      </c>
      <c r="C3093" s="115" t="s">
        <v>8104</v>
      </c>
      <c r="D3093" s="115">
        <v>1</v>
      </c>
      <c r="E3093" s="115" t="s">
        <v>8105</v>
      </c>
      <c r="F3093" s="115" t="s">
        <v>8106</v>
      </c>
      <c r="G3093" s="115" t="s">
        <v>8107</v>
      </c>
      <c r="H3093" s="115" t="s">
        <v>8108</v>
      </c>
    </row>
    <row r="3094" spans="1:8" ht="30" x14ac:dyDescent="0.25">
      <c r="A3094" s="115">
        <v>4756</v>
      </c>
      <c r="B3094" s="115" t="s">
        <v>128</v>
      </c>
      <c r="C3094" s="115" t="s">
        <v>8109</v>
      </c>
      <c r="D3094" s="115">
        <v>1</v>
      </c>
      <c r="E3094" s="115" t="s">
        <v>8110</v>
      </c>
      <c r="F3094" s="115" t="s">
        <v>8111</v>
      </c>
      <c r="G3094" s="115" t="s">
        <v>8112</v>
      </c>
      <c r="H3094" s="115" t="s">
        <v>8113</v>
      </c>
    </row>
    <row r="3095" spans="1:8" x14ac:dyDescent="0.25">
      <c r="A3095" s="115">
        <v>4755</v>
      </c>
      <c r="B3095" s="115" t="s">
        <v>128</v>
      </c>
      <c r="C3095" s="115" t="s">
        <v>8114</v>
      </c>
      <c r="D3095" s="115">
        <v>1</v>
      </c>
      <c r="E3095" s="115" t="s">
        <v>7172</v>
      </c>
      <c r="F3095" s="115" t="s">
        <v>8115</v>
      </c>
      <c r="G3095" s="115" t="s">
        <v>8116</v>
      </c>
      <c r="H3095" s="115" t="s">
        <v>8117</v>
      </c>
    </row>
    <row r="3096" spans="1:8" x14ac:dyDescent="0.25">
      <c r="A3096" s="115">
        <v>4754</v>
      </c>
      <c r="B3096" s="115" t="s">
        <v>128</v>
      </c>
      <c r="C3096" s="115" t="s">
        <v>8118</v>
      </c>
      <c r="D3096" s="115">
        <v>1</v>
      </c>
      <c r="E3096" s="115" t="s">
        <v>8119</v>
      </c>
      <c r="F3096" s="115" t="s">
        <v>4474</v>
      </c>
      <c r="G3096" s="115" t="s">
        <v>8120</v>
      </c>
      <c r="H3096" s="115" t="s">
        <v>8121</v>
      </c>
    </row>
    <row r="3097" spans="1:8" x14ac:dyDescent="0.25">
      <c r="A3097" s="115">
        <v>4753</v>
      </c>
      <c r="B3097" s="115" t="s">
        <v>128</v>
      </c>
      <c r="C3097" s="115" t="s">
        <v>8122</v>
      </c>
      <c r="D3097" s="115">
        <v>1</v>
      </c>
      <c r="E3097" s="115" t="s">
        <v>8123</v>
      </c>
      <c r="F3097" s="115" t="s">
        <v>7178</v>
      </c>
      <c r="G3097" s="115" t="s">
        <v>7179</v>
      </c>
      <c r="H3097" s="115" t="s">
        <v>7180</v>
      </c>
    </row>
    <row r="3098" spans="1:8" ht="45" x14ac:dyDescent="0.25">
      <c r="A3098" s="115">
        <v>4752</v>
      </c>
      <c r="B3098" s="115" t="s">
        <v>128</v>
      </c>
      <c r="C3098" s="115" t="s">
        <v>8124</v>
      </c>
      <c r="D3098" s="115">
        <v>1</v>
      </c>
      <c r="E3098" s="115" t="s">
        <v>6852</v>
      </c>
      <c r="F3098" s="115" t="s">
        <v>6853</v>
      </c>
      <c r="G3098" s="115" t="s">
        <v>6854</v>
      </c>
      <c r="H3098" s="115" t="s">
        <v>7182</v>
      </c>
    </row>
    <row r="3099" spans="1:8" x14ac:dyDescent="0.25">
      <c r="A3099" s="115">
        <v>4751</v>
      </c>
      <c r="B3099" s="115" t="s">
        <v>128</v>
      </c>
      <c r="C3099" s="115" t="s">
        <v>8125</v>
      </c>
      <c r="D3099" s="115">
        <v>1</v>
      </c>
      <c r="E3099" s="115" t="s">
        <v>1737</v>
      </c>
      <c r="F3099" s="115" t="s">
        <v>8126</v>
      </c>
      <c r="G3099" s="115" t="s">
        <v>469</v>
      </c>
      <c r="H3099" s="115" t="s">
        <v>1739</v>
      </c>
    </row>
    <row r="3100" spans="1:8" ht="30" x14ac:dyDescent="0.25">
      <c r="A3100" s="115">
        <v>4750</v>
      </c>
      <c r="B3100" s="115" t="s">
        <v>128</v>
      </c>
      <c r="C3100" s="115" t="s">
        <v>8127</v>
      </c>
      <c r="D3100" s="115">
        <v>1</v>
      </c>
      <c r="E3100" s="115" t="s">
        <v>8128</v>
      </c>
      <c r="F3100" s="115" t="s">
        <v>8129</v>
      </c>
      <c r="G3100" s="115" t="s">
        <v>8128</v>
      </c>
      <c r="H3100" s="115" t="s">
        <v>8130</v>
      </c>
    </row>
    <row r="3101" spans="1:8" ht="30" x14ac:dyDescent="0.25">
      <c r="A3101" s="115">
        <v>4749</v>
      </c>
      <c r="B3101" s="115" t="s">
        <v>128</v>
      </c>
      <c r="C3101" s="115" t="s">
        <v>8131</v>
      </c>
      <c r="D3101" s="115">
        <v>1</v>
      </c>
      <c r="E3101" s="115" t="s">
        <v>7050</v>
      </c>
      <c r="F3101" s="115" t="s">
        <v>8132</v>
      </c>
      <c r="G3101" s="115" t="s">
        <v>8133</v>
      </c>
      <c r="H3101" s="115" t="s">
        <v>8134</v>
      </c>
    </row>
    <row r="3102" spans="1:8" ht="30" x14ac:dyDescent="0.25">
      <c r="A3102" s="115">
        <v>4748</v>
      </c>
      <c r="B3102" s="115" t="s">
        <v>128</v>
      </c>
      <c r="C3102" s="115" t="s">
        <v>8135</v>
      </c>
      <c r="D3102" s="115">
        <v>1</v>
      </c>
      <c r="E3102" s="115" t="s">
        <v>768</v>
      </c>
      <c r="F3102" s="115" t="s">
        <v>8136</v>
      </c>
      <c r="G3102" s="115" t="s">
        <v>770</v>
      </c>
      <c r="H3102" s="115" t="s">
        <v>771</v>
      </c>
    </row>
    <row r="3103" spans="1:8" ht="30" x14ac:dyDescent="0.25">
      <c r="A3103" s="115">
        <v>4747</v>
      </c>
      <c r="B3103" s="115" t="s">
        <v>128</v>
      </c>
      <c r="C3103" s="115" t="s">
        <v>8137</v>
      </c>
      <c r="D3103" s="115">
        <v>1</v>
      </c>
      <c r="E3103" s="115" t="s">
        <v>8138</v>
      </c>
      <c r="F3103" s="115" t="s">
        <v>7337</v>
      </c>
      <c r="G3103" s="115" t="s">
        <v>8139</v>
      </c>
      <c r="H3103" s="115" t="s">
        <v>8140</v>
      </c>
    </row>
    <row r="3104" spans="1:8" x14ac:dyDescent="0.25">
      <c r="A3104" s="115">
        <v>4746</v>
      </c>
      <c r="B3104" s="115" t="s">
        <v>128</v>
      </c>
      <c r="C3104" s="115" t="s">
        <v>8141</v>
      </c>
      <c r="D3104" s="115">
        <v>1</v>
      </c>
      <c r="E3104" s="115" t="s">
        <v>8142</v>
      </c>
      <c r="F3104" s="115" t="s">
        <v>8143</v>
      </c>
      <c r="G3104" s="115" t="s">
        <v>8144</v>
      </c>
      <c r="H3104" s="115" t="s">
        <v>8145</v>
      </c>
    </row>
    <row r="3105" spans="1:8" x14ac:dyDescent="0.25">
      <c r="A3105" s="115">
        <v>4745</v>
      </c>
      <c r="B3105" s="115" t="s">
        <v>128</v>
      </c>
      <c r="C3105" s="115" t="s">
        <v>8146</v>
      </c>
      <c r="D3105" s="115">
        <v>1</v>
      </c>
      <c r="E3105" s="115" t="s">
        <v>25</v>
      </c>
      <c r="F3105" s="115" t="s">
        <v>25</v>
      </c>
      <c r="G3105" s="115" t="s">
        <v>25</v>
      </c>
      <c r="H3105" s="115" t="s">
        <v>25</v>
      </c>
    </row>
    <row r="3106" spans="1:8" x14ac:dyDescent="0.25">
      <c r="A3106" s="115">
        <v>4744</v>
      </c>
      <c r="B3106" s="115" t="s">
        <v>128</v>
      </c>
      <c r="C3106" s="115" t="s">
        <v>8147</v>
      </c>
      <c r="D3106" s="115">
        <v>1</v>
      </c>
      <c r="E3106" s="115" t="s">
        <v>37</v>
      </c>
      <c r="F3106" s="115" t="s">
        <v>38</v>
      </c>
      <c r="G3106" s="115" t="s">
        <v>39</v>
      </c>
      <c r="H3106" s="115" t="s">
        <v>40</v>
      </c>
    </row>
    <row r="3107" spans="1:8" x14ac:dyDescent="0.25">
      <c r="A3107" s="115">
        <v>4743</v>
      </c>
      <c r="B3107" s="115" t="s">
        <v>128</v>
      </c>
      <c r="C3107" s="115" t="s">
        <v>8148</v>
      </c>
      <c r="D3107" s="115">
        <v>1</v>
      </c>
      <c r="E3107" s="115" t="s">
        <v>26</v>
      </c>
      <c r="F3107" s="115" t="s">
        <v>26</v>
      </c>
      <c r="G3107" s="115" t="s">
        <v>26</v>
      </c>
      <c r="H3107" s="115" t="s">
        <v>26</v>
      </c>
    </row>
    <row r="3108" spans="1:8" x14ac:dyDescent="0.25">
      <c r="A3108" s="115">
        <v>4742</v>
      </c>
      <c r="B3108" s="115" t="s">
        <v>128</v>
      </c>
      <c r="C3108" s="115" t="s">
        <v>8149</v>
      </c>
      <c r="D3108" s="115">
        <v>1</v>
      </c>
      <c r="E3108" s="115" t="s">
        <v>33</v>
      </c>
      <c r="F3108" s="115" t="s">
        <v>34</v>
      </c>
      <c r="G3108" s="115" t="s">
        <v>35</v>
      </c>
      <c r="H3108" s="115" t="s">
        <v>36</v>
      </c>
    </row>
    <row r="3109" spans="1:8" x14ac:dyDescent="0.25">
      <c r="A3109" s="115">
        <v>4741</v>
      </c>
      <c r="B3109" s="115" t="s">
        <v>128</v>
      </c>
      <c r="C3109" s="115" t="s">
        <v>8150</v>
      </c>
      <c r="D3109" s="115">
        <v>1</v>
      </c>
      <c r="E3109" s="115" t="s">
        <v>24</v>
      </c>
      <c r="F3109" s="115" t="s">
        <v>24</v>
      </c>
      <c r="G3109" s="115" t="s">
        <v>24</v>
      </c>
      <c r="H3109" s="115" t="s">
        <v>24</v>
      </c>
    </row>
    <row r="3110" spans="1:8" x14ac:dyDescent="0.25">
      <c r="A3110" s="115">
        <v>4740</v>
      </c>
      <c r="B3110" s="115" t="s">
        <v>128</v>
      </c>
      <c r="C3110" s="115" t="s">
        <v>8151</v>
      </c>
      <c r="D3110" s="115">
        <v>1</v>
      </c>
      <c r="E3110" s="115" t="s">
        <v>41</v>
      </c>
      <c r="F3110" s="115" t="s">
        <v>42</v>
      </c>
      <c r="G3110" s="115" t="s">
        <v>43</v>
      </c>
      <c r="H3110" s="115" t="s">
        <v>44</v>
      </c>
    </row>
    <row r="3111" spans="1:8" x14ac:dyDescent="0.25">
      <c r="A3111" s="115">
        <v>4739</v>
      </c>
      <c r="B3111" s="115" t="s">
        <v>128</v>
      </c>
      <c r="C3111" s="115" t="s">
        <v>8152</v>
      </c>
      <c r="D3111" s="115">
        <v>1</v>
      </c>
      <c r="E3111" s="115" t="s">
        <v>27</v>
      </c>
      <c r="F3111" s="115" t="s">
        <v>27</v>
      </c>
      <c r="G3111" s="115" t="s">
        <v>27</v>
      </c>
      <c r="H3111" s="115" t="s">
        <v>27</v>
      </c>
    </row>
    <row r="3112" spans="1:8" x14ac:dyDescent="0.25">
      <c r="A3112" s="115">
        <v>4738</v>
      </c>
      <c r="B3112" s="115" t="s">
        <v>128</v>
      </c>
      <c r="C3112" s="115" t="s">
        <v>8153</v>
      </c>
      <c r="D3112" s="115">
        <v>1</v>
      </c>
      <c r="E3112" s="115" t="s">
        <v>29</v>
      </c>
      <c r="F3112" s="115" t="s">
        <v>30</v>
      </c>
      <c r="G3112" s="115" t="s">
        <v>31</v>
      </c>
      <c r="H3112" s="115" t="s">
        <v>32</v>
      </c>
    </row>
    <row r="3113" spans="1:8" x14ac:dyDescent="0.25">
      <c r="A3113" s="115">
        <v>4737</v>
      </c>
      <c r="B3113" s="115" t="s">
        <v>128</v>
      </c>
      <c r="C3113" s="115" t="s">
        <v>8154</v>
      </c>
      <c r="D3113" s="115">
        <v>1</v>
      </c>
      <c r="E3113" s="115" t="s">
        <v>410</v>
      </c>
      <c r="F3113" s="115" t="s">
        <v>8155</v>
      </c>
      <c r="G3113" s="115" t="s">
        <v>8156</v>
      </c>
      <c r="H3113" s="115" t="s">
        <v>8157</v>
      </c>
    </row>
    <row r="3114" spans="1:8" ht="30" x14ac:dyDescent="0.25">
      <c r="A3114" s="115">
        <v>4736</v>
      </c>
      <c r="B3114" s="115" t="s">
        <v>128</v>
      </c>
      <c r="C3114" s="115" t="s">
        <v>8158</v>
      </c>
      <c r="D3114" s="115">
        <v>1</v>
      </c>
    </row>
    <row r="3115" spans="1:8" ht="135" x14ac:dyDescent="0.25">
      <c r="A3115" s="115">
        <v>4735</v>
      </c>
      <c r="B3115" s="115" t="s">
        <v>128</v>
      </c>
      <c r="C3115" s="115" t="s">
        <v>8159</v>
      </c>
      <c r="D3115" s="115">
        <v>1</v>
      </c>
      <c r="E3115" s="115" t="s">
        <v>8160</v>
      </c>
      <c r="F3115" s="115" t="s">
        <v>8161</v>
      </c>
      <c r="G3115" s="115" t="s">
        <v>8162</v>
      </c>
      <c r="H3115" s="115" t="s">
        <v>8160</v>
      </c>
    </row>
    <row r="3116" spans="1:8" ht="30" x14ac:dyDescent="0.25">
      <c r="A3116" s="115">
        <v>4734</v>
      </c>
      <c r="B3116" s="115" t="s">
        <v>128</v>
      </c>
      <c r="C3116" s="115" t="s">
        <v>8163</v>
      </c>
      <c r="D3116" s="115">
        <v>1</v>
      </c>
      <c r="E3116" s="115" t="s">
        <v>8164</v>
      </c>
      <c r="F3116" s="115" t="s">
        <v>8165</v>
      </c>
      <c r="G3116" s="115" t="s">
        <v>8166</v>
      </c>
      <c r="H3116" s="115" t="s">
        <v>8167</v>
      </c>
    </row>
    <row r="3117" spans="1:8" ht="135" x14ac:dyDescent="0.25">
      <c r="A3117" s="115">
        <v>4733</v>
      </c>
      <c r="B3117" s="115" t="s">
        <v>128</v>
      </c>
      <c r="C3117" s="115" t="s">
        <v>8168</v>
      </c>
      <c r="D3117" s="115">
        <v>1</v>
      </c>
      <c r="E3117" s="115" t="s">
        <v>8169</v>
      </c>
      <c r="F3117" s="115" t="s">
        <v>8170</v>
      </c>
      <c r="G3117" s="115" t="s">
        <v>8171</v>
      </c>
      <c r="H3117" s="115" t="s">
        <v>8169</v>
      </c>
    </row>
    <row r="3118" spans="1:8" ht="30" x14ac:dyDescent="0.25">
      <c r="A3118" s="115">
        <v>4732</v>
      </c>
      <c r="B3118" s="115" t="s">
        <v>128</v>
      </c>
      <c r="C3118" s="115" t="s">
        <v>8172</v>
      </c>
      <c r="D3118" s="115">
        <v>1</v>
      </c>
    </row>
    <row r="3119" spans="1:8" ht="225" x14ac:dyDescent="0.25">
      <c r="A3119" s="115">
        <v>4731</v>
      </c>
      <c r="B3119" s="115" t="s">
        <v>128</v>
      </c>
      <c r="C3119" s="115" t="s">
        <v>8173</v>
      </c>
      <c r="D3119" s="115">
        <v>1</v>
      </c>
      <c r="E3119" s="115" t="s">
        <v>8174</v>
      </c>
      <c r="F3119" s="115" t="s">
        <v>8175</v>
      </c>
      <c r="G3119" s="115" t="s">
        <v>8176</v>
      </c>
      <c r="H3119" s="115" t="s">
        <v>8174</v>
      </c>
    </row>
    <row r="3120" spans="1:8" ht="30" x14ac:dyDescent="0.25">
      <c r="A3120" s="115">
        <v>4730</v>
      </c>
      <c r="B3120" s="115" t="s">
        <v>128</v>
      </c>
      <c r="C3120" s="115" t="s">
        <v>8177</v>
      </c>
      <c r="D3120" s="115">
        <v>1</v>
      </c>
      <c r="E3120" s="115" t="s">
        <v>8178</v>
      </c>
      <c r="F3120" s="115" t="s">
        <v>8179</v>
      </c>
      <c r="G3120" s="115" t="s">
        <v>8180</v>
      </c>
      <c r="H3120" s="115" t="s">
        <v>8181</v>
      </c>
    </row>
    <row r="3121" spans="1:8" ht="105" x14ac:dyDescent="0.25">
      <c r="A3121" s="115">
        <v>4729</v>
      </c>
      <c r="B3121" s="115" t="s">
        <v>128</v>
      </c>
      <c r="C3121" s="115" t="s">
        <v>8182</v>
      </c>
      <c r="D3121" s="115">
        <v>1</v>
      </c>
      <c r="E3121" s="115" t="s">
        <v>8183</v>
      </c>
      <c r="F3121" s="115" t="s">
        <v>8184</v>
      </c>
      <c r="G3121" s="115" t="s">
        <v>8185</v>
      </c>
      <c r="H3121" s="115" t="s">
        <v>8183</v>
      </c>
    </row>
    <row r="3122" spans="1:8" ht="30" x14ac:dyDescent="0.25">
      <c r="A3122" s="115">
        <v>4728</v>
      </c>
      <c r="B3122" s="115" t="s">
        <v>128</v>
      </c>
      <c r="C3122" s="115" t="s">
        <v>8186</v>
      </c>
      <c r="D3122" s="115">
        <v>1</v>
      </c>
    </row>
    <row r="3123" spans="1:8" ht="30" x14ac:dyDescent="0.25">
      <c r="A3123" s="115">
        <v>4727</v>
      </c>
      <c r="B3123" s="115" t="s">
        <v>128</v>
      </c>
      <c r="C3123" s="115" t="s">
        <v>8187</v>
      </c>
      <c r="D3123" s="115">
        <v>1</v>
      </c>
      <c r="E3123" s="115" t="s">
        <v>8188</v>
      </c>
      <c r="F3123" s="115" t="s">
        <v>8188</v>
      </c>
      <c r="G3123" s="115" t="s">
        <v>8188</v>
      </c>
      <c r="H3123" s="115" t="s">
        <v>8188</v>
      </c>
    </row>
    <row r="3124" spans="1:8" ht="30" x14ac:dyDescent="0.25">
      <c r="A3124" s="115">
        <v>4726</v>
      </c>
      <c r="B3124" s="115" t="s">
        <v>128</v>
      </c>
      <c r="C3124" s="115" t="s">
        <v>8189</v>
      </c>
      <c r="D3124" s="115">
        <v>1</v>
      </c>
      <c r="E3124" s="115" t="s">
        <v>6936</v>
      </c>
      <c r="F3124" s="115" t="s">
        <v>8190</v>
      </c>
      <c r="G3124" s="115" t="s">
        <v>8191</v>
      </c>
      <c r="H3124" s="115" t="s">
        <v>8192</v>
      </c>
    </row>
    <row r="3125" spans="1:8" ht="75" x14ac:dyDescent="0.25">
      <c r="A3125" s="115">
        <v>4725</v>
      </c>
      <c r="B3125" s="115" t="s">
        <v>128</v>
      </c>
      <c r="C3125" s="115" t="s">
        <v>8193</v>
      </c>
      <c r="D3125" s="115">
        <v>1</v>
      </c>
      <c r="E3125" s="115" t="s">
        <v>8194</v>
      </c>
      <c r="F3125" s="115" t="s">
        <v>8195</v>
      </c>
      <c r="G3125" s="115" t="s">
        <v>8196</v>
      </c>
      <c r="H3125" s="115" t="s">
        <v>8197</v>
      </c>
    </row>
    <row r="3126" spans="1:8" ht="30" x14ac:dyDescent="0.25">
      <c r="A3126" s="115">
        <v>4724</v>
      </c>
      <c r="B3126" s="115" t="s">
        <v>128</v>
      </c>
      <c r="C3126" s="115" t="s">
        <v>8198</v>
      </c>
      <c r="D3126" s="115">
        <v>1</v>
      </c>
    </row>
    <row r="3127" spans="1:8" ht="30" x14ac:dyDescent="0.25">
      <c r="A3127" s="115">
        <v>4723</v>
      </c>
      <c r="B3127" s="115" t="s">
        <v>128</v>
      </c>
      <c r="C3127" s="115" t="s">
        <v>8199</v>
      </c>
      <c r="D3127" s="115">
        <v>1</v>
      </c>
      <c r="E3127" s="115" t="s">
        <v>8188</v>
      </c>
      <c r="F3127" s="115" t="s">
        <v>8188</v>
      </c>
      <c r="G3127" s="115" t="s">
        <v>8188</v>
      </c>
      <c r="H3127" s="115" t="s">
        <v>8188</v>
      </c>
    </row>
    <row r="3128" spans="1:8" ht="45" x14ac:dyDescent="0.25">
      <c r="A3128" s="115">
        <v>4722</v>
      </c>
      <c r="B3128" s="115" t="s">
        <v>128</v>
      </c>
      <c r="C3128" s="115" t="s">
        <v>8200</v>
      </c>
      <c r="D3128" s="115">
        <v>1</v>
      </c>
      <c r="E3128" s="115" t="s">
        <v>6940</v>
      </c>
      <c r="F3128" s="115" t="s">
        <v>8201</v>
      </c>
      <c r="G3128" s="115" t="s">
        <v>8202</v>
      </c>
      <c r="H3128" s="115" t="s">
        <v>8203</v>
      </c>
    </row>
    <row r="3129" spans="1:8" ht="30" x14ac:dyDescent="0.25">
      <c r="A3129" s="115">
        <v>4721</v>
      </c>
      <c r="B3129" s="115" t="s">
        <v>128</v>
      </c>
      <c r="C3129" s="115" t="s">
        <v>8204</v>
      </c>
      <c r="D3129" s="115">
        <v>1</v>
      </c>
    </row>
    <row r="3130" spans="1:8" ht="30" x14ac:dyDescent="0.25">
      <c r="A3130" s="115">
        <v>4720</v>
      </c>
      <c r="B3130" s="115" t="s">
        <v>128</v>
      </c>
      <c r="C3130" s="115" t="s">
        <v>8205</v>
      </c>
      <c r="D3130" s="115">
        <v>1</v>
      </c>
    </row>
    <row r="3131" spans="1:8" ht="30" x14ac:dyDescent="0.25">
      <c r="A3131" s="115">
        <v>4719</v>
      </c>
      <c r="B3131" s="115" t="s">
        <v>128</v>
      </c>
      <c r="C3131" s="115" t="s">
        <v>8206</v>
      </c>
      <c r="D3131" s="115">
        <v>1</v>
      </c>
      <c r="E3131" s="115" t="s">
        <v>8188</v>
      </c>
      <c r="F3131" s="115" t="s">
        <v>8188</v>
      </c>
      <c r="G3131" s="115" t="s">
        <v>8188</v>
      </c>
      <c r="H3131" s="115" t="s">
        <v>8188</v>
      </c>
    </row>
    <row r="3132" spans="1:8" ht="45" x14ac:dyDescent="0.25">
      <c r="A3132" s="115">
        <v>4718</v>
      </c>
      <c r="B3132" s="115" t="s">
        <v>128</v>
      </c>
      <c r="C3132" s="115" t="s">
        <v>8207</v>
      </c>
      <c r="D3132" s="115">
        <v>1</v>
      </c>
      <c r="E3132" s="115" t="s">
        <v>8208</v>
      </c>
      <c r="F3132" s="115" t="s">
        <v>8209</v>
      </c>
      <c r="G3132" s="115" t="s">
        <v>8210</v>
      </c>
      <c r="H3132" s="115" t="s">
        <v>8211</v>
      </c>
    </row>
    <row r="3133" spans="1:8" ht="30" x14ac:dyDescent="0.25">
      <c r="A3133" s="115">
        <v>4717</v>
      </c>
      <c r="B3133" s="115" t="s">
        <v>128</v>
      </c>
      <c r="C3133" s="115" t="s">
        <v>8212</v>
      </c>
      <c r="D3133" s="115">
        <v>1</v>
      </c>
    </row>
    <row r="3134" spans="1:8" ht="30" x14ac:dyDescent="0.25">
      <c r="A3134" s="115">
        <v>4716</v>
      </c>
      <c r="B3134" s="115" t="s">
        <v>128</v>
      </c>
      <c r="C3134" s="115" t="s">
        <v>8213</v>
      </c>
      <c r="D3134" s="115">
        <v>1</v>
      </c>
    </row>
    <row r="3135" spans="1:8" ht="30" x14ac:dyDescent="0.25">
      <c r="A3135" s="115">
        <v>4715</v>
      </c>
      <c r="B3135" s="115" t="s">
        <v>128</v>
      </c>
      <c r="C3135" s="115" t="s">
        <v>8214</v>
      </c>
      <c r="D3135" s="115">
        <v>1</v>
      </c>
      <c r="E3135" s="115" t="s">
        <v>8188</v>
      </c>
      <c r="F3135" s="115" t="s">
        <v>8188</v>
      </c>
      <c r="G3135" s="115" t="s">
        <v>8188</v>
      </c>
      <c r="H3135" s="115" t="s">
        <v>8188</v>
      </c>
    </row>
    <row r="3136" spans="1:8" ht="30" x14ac:dyDescent="0.25">
      <c r="A3136" s="115">
        <v>4714</v>
      </c>
      <c r="B3136" s="115" t="s">
        <v>128</v>
      </c>
      <c r="C3136" s="115" t="s">
        <v>8215</v>
      </c>
      <c r="D3136" s="115">
        <v>1</v>
      </c>
      <c r="E3136" s="115" t="s">
        <v>6948</v>
      </c>
      <c r="F3136" s="115" t="s">
        <v>8216</v>
      </c>
      <c r="G3136" s="115" t="s">
        <v>8217</v>
      </c>
      <c r="H3136" s="115" t="s">
        <v>8218</v>
      </c>
    </row>
    <row r="3137" spans="1:8" ht="30" x14ac:dyDescent="0.25">
      <c r="A3137" s="115">
        <v>4713</v>
      </c>
      <c r="B3137" s="115" t="s">
        <v>128</v>
      </c>
      <c r="C3137" s="115" t="s">
        <v>8219</v>
      </c>
      <c r="D3137" s="115">
        <v>1</v>
      </c>
    </row>
    <row r="3138" spans="1:8" ht="30" x14ac:dyDescent="0.25">
      <c r="A3138" s="115">
        <v>4712</v>
      </c>
      <c r="B3138" s="115" t="s">
        <v>128</v>
      </c>
      <c r="C3138" s="115" t="s">
        <v>8220</v>
      </c>
      <c r="D3138" s="115">
        <v>1</v>
      </c>
    </row>
    <row r="3139" spans="1:8" ht="30" x14ac:dyDescent="0.25">
      <c r="A3139" s="115">
        <v>4711</v>
      </c>
      <c r="B3139" s="115" t="s">
        <v>128</v>
      </c>
      <c r="C3139" s="115" t="s">
        <v>8221</v>
      </c>
      <c r="D3139" s="115">
        <v>1</v>
      </c>
      <c r="E3139" s="115" t="s">
        <v>8188</v>
      </c>
      <c r="F3139" s="115" t="s">
        <v>8188</v>
      </c>
      <c r="G3139" s="115" t="s">
        <v>8188</v>
      </c>
      <c r="H3139" s="115" t="s">
        <v>8188</v>
      </c>
    </row>
    <row r="3140" spans="1:8" ht="30" x14ac:dyDescent="0.25">
      <c r="A3140" s="115">
        <v>4710</v>
      </c>
      <c r="B3140" s="115" t="s">
        <v>128</v>
      </c>
      <c r="C3140" s="115" t="s">
        <v>8222</v>
      </c>
      <c r="D3140" s="115">
        <v>1</v>
      </c>
      <c r="E3140" s="115" t="s">
        <v>6952</v>
      </c>
      <c r="F3140" s="115" t="s">
        <v>8223</v>
      </c>
      <c r="G3140" s="115" t="s">
        <v>8224</v>
      </c>
      <c r="H3140" s="115" t="s">
        <v>8225</v>
      </c>
    </row>
    <row r="3141" spans="1:8" ht="30" x14ac:dyDescent="0.25">
      <c r="A3141" s="115">
        <v>4709</v>
      </c>
      <c r="B3141" s="115" t="s">
        <v>128</v>
      </c>
      <c r="C3141" s="115" t="s">
        <v>8226</v>
      </c>
      <c r="D3141" s="115">
        <v>1</v>
      </c>
    </row>
    <row r="3142" spans="1:8" ht="30" x14ac:dyDescent="0.25">
      <c r="A3142" s="115">
        <v>4708</v>
      </c>
      <c r="B3142" s="115" t="s">
        <v>128</v>
      </c>
      <c r="C3142" s="115" t="s">
        <v>8227</v>
      </c>
      <c r="D3142" s="115">
        <v>1</v>
      </c>
    </row>
    <row r="3143" spans="1:8" ht="30" x14ac:dyDescent="0.25">
      <c r="A3143" s="115">
        <v>4707</v>
      </c>
      <c r="B3143" s="115" t="s">
        <v>128</v>
      </c>
      <c r="C3143" s="115" t="s">
        <v>8228</v>
      </c>
      <c r="D3143" s="115">
        <v>1</v>
      </c>
      <c r="E3143" s="115" t="s">
        <v>8188</v>
      </c>
      <c r="F3143" s="115" t="s">
        <v>8188</v>
      </c>
      <c r="G3143" s="115" t="s">
        <v>8188</v>
      </c>
      <c r="H3143" s="115" t="s">
        <v>7182</v>
      </c>
    </row>
    <row r="3144" spans="1:8" ht="45" x14ac:dyDescent="0.25">
      <c r="A3144" s="115">
        <v>4706</v>
      </c>
      <c r="B3144" s="115" t="s">
        <v>128</v>
      </c>
      <c r="C3144" s="115" t="s">
        <v>8229</v>
      </c>
      <c r="D3144" s="115">
        <v>1</v>
      </c>
      <c r="E3144" s="115" t="s">
        <v>6956</v>
      </c>
      <c r="F3144" s="115" t="s">
        <v>8230</v>
      </c>
      <c r="G3144" s="115" t="s">
        <v>8231</v>
      </c>
      <c r="H3144" s="115" t="s">
        <v>8232</v>
      </c>
    </row>
    <row r="3145" spans="1:8" ht="90" x14ac:dyDescent="0.25">
      <c r="A3145" s="115">
        <v>4705</v>
      </c>
      <c r="B3145" s="115" t="s">
        <v>128</v>
      </c>
      <c r="C3145" s="115" t="s">
        <v>8233</v>
      </c>
      <c r="D3145" s="115">
        <v>1</v>
      </c>
      <c r="E3145" s="115" t="s">
        <v>8234</v>
      </c>
      <c r="G3145" s="115" t="s">
        <v>8235</v>
      </c>
      <c r="H3145" s="115" t="s">
        <v>8236</v>
      </c>
    </row>
    <row r="3146" spans="1:8" ht="30" x14ac:dyDescent="0.25">
      <c r="A3146" s="115">
        <v>4704</v>
      </c>
      <c r="B3146" s="115" t="s">
        <v>128</v>
      </c>
      <c r="C3146" s="115" t="s">
        <v>8237</v>
      </c>
      <c r="D3146" s="115">
        <v>1</v>
      </c>
      <c r="E3146" s="115" t="s">
        <v>6956</v>
      </c>
      <c r="G3146" s="115" t="s">
        <v>8231</v>
      </c>
      <c r="H3146" s="115" t="s">
        <v>8232</v>
      </c>
    </row>
    <row r="3147" spans="1:8" ht="30" x14ac:dyDescent="0.25">
      <c r="A3147" s="115">
        <v>4703</v>
      </c>
      <c r="B3147" s="115" t="s">
        <v>128</v>
      </c>
      <c r="C3147" s="115" t="s">
        <v>8238</v>
      </c>
      <c r="D3147" s="115">
        <v>1</v>
      </c>
    </row>
    <row r="3148" spans="1:8" ht="30" x14ac:dyDescent="0.25">
      <c r="A3148" s="115">
        <v>4702</v>
      </c>
      <c r="B3148" s="115" t="s">
        <v>128</v>
      </c>
      <c r="C3148" s="115" t="s">
        <v>8239</v>
      </c>
      <c r="D3148" s="115">
        <v>1</v>
      </c>
      <c r="E3148" s="115" t="s">
        <v>8188</v>
      </c>
      <c r="F3148" s="115" t="s">
        <v>8188</v>
      </c>
      <c r="G3148" s="115" t="s">
        <v>8188</v>
      </c>
      <c r="H3148" s="115" t="s">
        <v>8188</v>
      </c>
    </row>
    <row r="3149" spans="1:8" ht="45" x14ac:dyDescent="0.25">
      <c r="A3149" s="115">
        <v>4701</v>
      </c>
      <c r="B3149" s="115" t="s">
        <v>128</v>
      </c>
      <c r="C3149" s="115" t="s">
        <v>8240</v>
      </c>
      <c r="D3149" s="115">
        <v>1</v>
      </c>
      <c r="E3149" s="115" t="s">
        <v>6960</v>
      </c>
      <c r="F3149" s="115" t="s">
        <v>8241</v>
      </c>
      <c r="G3149" s="115" t="s">
        <v>8242</v>
      </c>
      <c r="H3149" s="115" t="s">
        <v>8243</v>
      </c>
    </row>
    <row r="3150" spans="1:8" ht="30" x14ac:dyDescent="0.25">
      <c r="A3150" s="115">
        <v>4700</v>
      </c>
      <c r="B3150" s="115" t="s">
        <v>128</v>
      </c>
      <c r="C3150" s="115" t="s">
        <v>8244</v>
      </c>
      <c r="D3150" s="115">
        <v>1</v>
      </c>
    </row>
    <row r="3151" spans="1:8" ht="30" x14ac:dyDescent="0.25">
      <c r="A3151" s="115">
        <v>4699</v>
      </c>
      <c r="B3151" s="115" t="s">
        <v>128</v>
      </c>
      <c r="C3151" s="115" t="s">
        <v>8245</v>
      </c>
      <c r="D3151" s="115">
        <v>1</v>
      </c>
    </row>
    <row r="3152" spans="1:8" ht="30" x14ac:dyDescent="0.25">
      <c r="A3152" s="115">
        <v>4698</v>
      </c>
      <c r="B3152" s="115" t="s">
        <v>128</v>
      </c>
      <c r="C3152" s="115" t="s">
        <v>8246</v>
      </c>
      <c r="D3152" s="115">
        <v>1</v>
      </c>
      <c r="E3152" s="115" t="s">
        <v>8188</v>
      </c>
      <c r="F3152" s="115" t="s">
        <v>8188</v>
      </c>
      <c r="G3152" s="115" t="s">
        <v>8188</v>
      </c>
      <c r="H3152" s="115" t="s">
        <v>8188</v>
      </c>
    </row>
    <row r="3153" spans="1:8" ht="30" x14ac:dyDescent="0.25">
      <c r="A3153" s="115">
        <v>4697</v>
      </c>
      <c r="B3153" s="115" t="s">
        <v>128</v>
      </c>
      <c r="C3153" s="115" t="s">
        <v>8247</v>
      </c>
      <c r="D3153" s="115">
        <v>1</v>
      </c>
      <c r="E3153" s="115" t="s">
        <v>6964</v>
      </c>
      <c r="F3153" s="115" t="s">
        <v>8248</v>
      </c>
      <c r="G3153" s="115" t="s">
        <v>8249</v>
      </c>
      <c r="H3153" s="115" t="s">
        <v>8250</v>
      </c>
    </row>
    <row r="3154" spans="1:8" ht="30" x14ac:dyDescent="0.25">
      <c r="A3154" s="115">
        <v>4696</v>
      </c>
      <c r="B3154" s="115" t="s">
        <v>128</v>
      </c>
      <c r="C3154" s="115" t="s">
        <v>8251</v>
      </c>
      <c r="D3154" s="115">
        <v>1</v>
      </c>
    </row>
    <row r="3155" spans="1:8" ht="30" x14ac:dyDescent="0.25">
      <c r="A3155" s="115">
        <v>4695</v>
      </c>
      <c r="B3155" s="115" t="s">
        <v>128</v>
      </c>
      <c r="C3155" s="115" t="s">
        <v>8252</v>
      </c>
      <c r="D3155" s="115">
        <v>1</v>
      </c>
    </row>
    <row r="3156" spans="1:8" ht="30" x14ac:dyDescent="0.25">
      <c r="A3156" s="115">
        <v>4694</v>
      </c>
      <c r="B3156" s="115" t="s">
        <v>128</v>
      </c>
      <c r="C3156" s="115" t="s">
        <v>8253</v>
      </c>
      <c r="D3156" s="115">
        <v>1</v>
      </c>
      <c r="E3156" s="115" t="s">
        <v>8188</v>
      </c>
      <c r="F3156" s="115" t="s">
        <v>8188</v>
      </c>
      <c r="G3156" s="115" t="s">
        <v>8188</v>
      </c>
      <c r="H3156" s="115" t="s">
        <v>8188</v>
      </c>
    </row>
    <row r="3157" spans="1:8" ht="45" x14ac:dyDescent="0.25">
      <c r="A3157" s="115">
        <v>4693</v>
      </c>
      <c r="B3157" s="115" t="s">
        <v>128</v>
      </c>
      <c r="C3157" s="115" t="s">
        <v>8254</v>
      </c>
      <c r="D3157" s="115">
        <v>1</v>
      </c>
      <c r="E3157" s="115" t="s">
        <v>6968</v>
      </c>
      <c r="F3157" s="115" t="s">
        <v>8255</v>
      </c>
      <c r="G3157" s="115" t="s">
        <v>8256</v>
      </c>
      <c r="H3157" s="115" t="s">
        <v>8257</v>
      </c>
    </row>
    <row r="3158" spans="1:8" ht="30" x14ac:dyDescent="0.25">
      <c r="A3158" s="115">
        <v>4692</v>
      </c>
      <c r="B3158" s="115" t="s">
        <v>128</v>
      </c>
      <c r="C3158" s="115" t="s">
        <v>8258</v>
      </c>
      <c r="D3158" s="115">
        <v>1</v>
      </c>
    </row>
    <row r="3159" spans="1:8" ht="30" x14ac:dyDescent="0.25">
      <c r="A3159" s="115">
        <v>4691</v>
      </c>
      <c r="B3159" s="115" t="s">
        <v>128</v>
      </c>
      <c r="C3159" s="115" t="s">
        <v>8259</v>
      </c>
      <c r="D3159" s="115">
        <v>1</v>
      </c>
    </row>
    <row r="3160" spans="1:8" ht="30" x14ac:dyDescent="0.25">
      <c r="A3160" s="115">
        <v>4690</v>
      </c>
      <c r="B3160" s="115" t="s">
        <v>128</v>
      </c>
      <c r="C3160" s="115" t="s">
        <v>8260</v>
      </c>
      <c r="D3160" s="115">
        <v>1</v>
      </c>
      <c r="E3160" s="115" t="s">
        <v>8188</v>
      </c>
      <c r="F3160" s="115" t="s">
        <v>8188</v>
      </c>
      <c r="G3160" s="115" t="s">
        <v>8188</v>
      </c>
      <c r="H3160" s="115" t="s">
        <v>7182</v>
      </c>
    </row>
    <row r="3161" spans="1:8" ht="60" x14ac:dyDescent="0.25">
      <c r="A3161" s="115">
        <v>4689</v>
      </c>
      <c r="B3161" s="115" t="s">
        <v>128</v>
      </c>
      <c r="C3161" s="115" t="s">
        <v>8261</v>
      </c>
      <c r="D3161" s="115">
        <v>1</v>
      </c>
      <c r="E3161" s="115" t="s">
        <v>5371</v>
      </c>
      <c r="F3161" s="115" t="s">
        <v>8262</v>
      </c>
      <c r="G3161" s="115" t="s">
        <v>8263</v>
      </c>
      <c r="H3161" s="115" t="s">
        <v>8264</v>
      </c>
    </row>
    <row r="3162" spans="1:8" ht="135" x14ac:dyDescent="0.25">
      <c r="A3162" s="115">
        <v>4688</v>
      </c>
      <c r="B3162" s="115" t="s">
        <v>128</v>
      </c>
      <c r="C3162" s="115" t="s">
        <v>8265</v>
      </c>
      <c r="D3162" s="115">
        <v>1</v>
      </c>
      <c r="E3162" s="115" t="s">
        <v>8266</v>
      </c>
      <c r="F3162" s="115" t="s">
        <v>8267</v>
      </c>
      <c r="G3162" s="115" t="s">
        <v>8268</v>
      </c>
      <c r="H3162" s="115" t="s">
        <v>8269</v>
      </c>
    </row>
    <row r="3163" spans="1:8" ht="60" x14ac:dyDescent="0.25">
      <c r="A3163" s="115">
        <v>4687</v>
      </c>
      <c r="B3163" s="115" t="s">
        <v>128</v>
      </c>
      <c r="C3163" s="115" t="s">
        <v>8270</v>
      </c>
      <c r="D3163" s="115">
        <v>1</v>
      </c>
      <c r="E3163" s="115" t="s">
        <v>5371</v>
      </c>
      <c r="F3163" s="115" t="s">
        <v>8262</v>
      </c>
      <c r="G3163" s="115" t="s">
        <v>8263</v>
      </c>
      <c r="H3163" s="115" t="s">
        <v>8264</v>
      </c>
    </row>
    <row r="3164" spans="1:8" ht="30" x14ac:dyDescent="0.25">
      <c r="A3164" s="115">
        <v>4686</v>
      </c>
      <c r="B3164" s="115" t="s">
        <v>128</v>
      </c>
      <c r="C3164" s="115" t="s">
        <v>8271</v>
      </c>
      <c r="D3164" s="115">
        <v>1</v>
      </c>
    </row>
    <row r="3165" spans="1:8" ht="30" x14ac:dyDescent="0.25">
      <c r="A3165" s="115">
        <v>4685</v>
      </c>
      <c r="B3165" s="115" t="s">
        <v>128</v>
      </c>
      <c r="C3165" s="115" t="s">
        <v>8272</v>
      </c>
      <c r="D3165" s="115">
        <v>1</v>
      </c>
      <c r="E3165" s="115" t="s">
        <v>8188</v>
      </c>
      <c r="F3165" s="115" t="s">
        <v>8188</v>
      </c>
      <c r="G3165" s="115" t="s">
        <v>8188</v>
      </c>
      <c r="H3165" s="115" t="s">
        <v>8188</v>
      </c>
    </row>
    <row r="3166" spans="1:8" ht="45" x14ac:dyDescent="0.25">
      <c r="A3166" s="115">
        <v>4684</v>
      </c>
      <c r="B3166" s="115" t="s">
        <v>128</v>
      </c>
      <c r="C3166" s="115" t="s">
        <v>8273</v>
      </c>
      <c r="D3166" s="115">
        <v>1</v>
      </c>
      <c r="E3166" s="115" t="s">
        <v>6975</v>
      </c>
      <c r="F3166" s="115" t="s">
        <v>8274</v>
      </c>
      <c r="G3166" s="115" t="s">
        <v>6977</v>
      </c>
      <c r="H3166" s="115" t="s">
        <v>8275</v>
      </c>
    </row>
    <row r="3167" spans="1:8" ht="30" x14ac:dyDescent="0.25">
      <c r="A3167" s="115">
        <v>4683</v>
      </c>
      <c r="B3167" s="115" t="s">
        <v>128</v>
      </c>
      <c r="C3167" s="115" t="s">
        <v>8276</v>
      </c>
      <c r="D3167" s="115">
        <v>1</v>
      </c>
    </row>
    <row r="3168" spans="1:8" ht="30" x14ac:dyDescent="0.25">
      <c r="A3168" s="115">
        <v>4682</v>
      </c>
      <c r="B3168" s="115" t="s">
        <v>128</v>
      </c>
      <c r="C3168" s="115" t="s">
        <v>8277</v>
      </c>
      <c r="D3168" s="115">
        <v>1</v>
      </c>
      <c r="E3168" s="115" t="s">
        <v>8278</v>
      </c>
      <c r="F3168" s="115" t="s">
        <v>8279</v>
      </c>
      <c r="G3168" s="115" t="s">
        <v>8278</v>
      </c>
      <c r="H3168" s="115" t="s">
        <v>8278</v>
      </c>
    </row>
    <row r="3169" spans="1:8" ht="30" x14ac:dyDescent="0.25">
      <c r="A3169" s="115">
        <v>4681</v>
      </c>
      <c r="B3169" s="115" t="s">
        <v>128</v>
      </c>
      <c r="C3169" s="115" t="s">
        <v>8280</v>
      </c>
      <c r="D3169" s="115">
        <v>1</v>
      </c>
      <c r="E3169" s="115" t="s">
        <v>8188</v>
      </c>
      <c r="F3169" s="115" t="s">
        <v>8188</v>
      </c>
      <c r="G3169" s="115" t="s">
        <v>8188</v>
      </c>
      <c r="H3169" s="115" t="s">
        <v>7182</v>
      </c>
    </row>
    <row r="3170" spans="1:8" ht="30" x14ac:dyDescent="0.25">
      <c r="A3170" s="115">
        <v>4680</v>
      </c>
      <c r="B3170" s="115" t="s">
        <v>128</v>
      </c>
      <c r="C3170" s="115" t="s">
        <v>8281</v>
      </c>
      <c r="D3170" s="115">
        <v>1</v>
      </c>
      <c r="E3170" s="115" t="s">
        <v>615</v>
      </c>
      <c r="F3170" s="115" t="s">
        <v>8282</v>
      </c>
      <c r="G3170" s="115" t="s">
        <v>8283</v>
      </c>
      <c r="H3170" s="115" t="s">
        <v>8284</v>
      </c>
    </row>
    <row r="3171" spans="1:8" ht="90" x14ac:dyDescent="0.25">
      <c r="A3171" s="115">
        <v>4679</v>
      </c>
      <c r="B3171" s="115" t="s">
        <v>128</v>
      </c>
      <c r="C3171" s="115" t="s">
        <v>8285</v>
      </c>
      <c r="D3171" s="115">
        <v>1</v>
      </c>
      <c r="E3171" s="115" t="s">
        <v>8286</v>
      </c>
      <c r="F3171" s="115" t="s">
        <v>8287</v>
      </c>
      <c r="G3171" s="115" t="s">
        <v>8288</v>
      </c>
      <c r="H3171" s="115" t="s">
        <v>8289</v>
      </c>
    </row>
    <row r="3172" spans="1:8" ht="30" x14ac:dyDescent="0.25">
      <c r="A3172" s="115">
        <v>4678</v>
      </c>
      <c r="B3172" s="115" t="s">
        <v>128</v>
      </c>
      <c r="C3172" s="115" t="s">
        <v>8290</v>
      </c>
      <c r="D3172" s="115">
        <v>1</v>
      </c>
      <c r="E3172" s="115" t="s">
        <v>615</v>
      </c>
      <c r="F3172" s="115" t="s">
        <v>8282</v>
      </c>
      <c r="G3172" s="115" t="s">
        <v>617</v>
      </c>
      <c r="H3172" s="115" t="s">
        <v>8284</v>
      </c>
    </row>
    <row r="3173" spans="1:8" ht="30" x14ac:dyDescent="0.25">
      <c r="A3173" s="115">
        <v>4677</v>
      </c>
      <c r="B3173" s="115" t="s">
        <v>128</v>
      </c>
      <c r="C3173" s="115" t="s">
        <v>8291</v>
      </c>
      <c r="D3173" s="115">
        <v>1</v>
      </c>
    </row>
    <row r="3174" spans="1:8" ht="30" x14ac:dyDescent="0.25">
      <c r="A3174" s="115">
        <v>4676</v>
      </c>
      <c r="B3174" s="115" t="s">
        <v>128</v>
      </c>
      <c r="C3174" s="115" t="s">
        <v>8292</v>
      </c>
      <c r="D3174" s="115">
        <v>1</v>
      </c>
      <c r="E3174" s="115" t="s">
        <v>8188</v>
      </c>
      <c r="F3174" s="115" t="s">
        <v>8188</v>
      </c>
      <c r="G3174" s="115" t="s">
        <v>8188</v>
      </c>
      <c r="H3174" s="115" t="s">
        <v>7182</v>
      </c>
    </row>
    <row r="3175" spans="1:8" ht="30" x14ac:dyDescent="0.25">
      <c r="A3175" s="115">
        <v>4675</v>
      </c>
      <c r="B3175" s="115" t="s">
        <v>128</v>
      </c>
      <c r="C3175" s="115" t="s">
        <v>8293</v>
      </c>
      <c r="D3175" s="115">
        <v>1</v>
      </c>
      <c r="E3175" s="115" t="s">
        <v>8294</v>
      </c>
      <c r="F3175" s="115" t="s">
        <v>8295</v>
      </c>
      <c r="G3175" s="115" t="s">
        <v>8296</v>
      </c>
      <c r="H3175" s="115" t="s">
        <v>6985</v>
      </c>
    </row>
    <row r="3176" spans="1:8" ht="75" x14ac:dyDescent="0.25">
      <c r="A3176" s="115">
        <v>4674</v>
      </c>
      <c r="B3176" s="115" t="s">
        <v>128</v>
      </c>
      <c r="C3176" s="115" t="s">
        <v>8297</v>
      </c>
      <c r="D3176" s="115">
        <v>1</v>
      </c>
      <c r="E3176" s="115" t="s">
        <v>8298</v>
      </c>
      <c r="F3176" s="115" t="s">
        <v>8299</v>
      </c>
      <c r="G3176" s="115" t="s">
        <v>8300</v>
      </c>
      <c r="H3176" s="115" t="s">
        <v>8301</v>
      </c>
    </row>
    <row r="3177" spans="1:8" ht="30" x14ac:dyDescent="0.25">
      <c r="A3177" s="115">
        <v>4673</v>
      </c>
      <c r="B3177" s="115" t="s">
        <v>128</v>
      </c>
      <c r="C3177" s="115" t="s">
        <v>8302</v>
      </c>
      <c r="D3177" s="115">
        <v>1</v>
      </c>
      <c r="E3177" s="115" t="s">
        <v>8294</v>
      </c>
      <c r="F3177" s="115" t="s">
        <v>8295</v>
      </c>
      <c r="G3177" s="115" t="s">
        <v>8296</v>
      </c>
      <c r="H3177" s="115" t="s">
        <v>6985</v>
      </c>
    </row>
    <row r="3178" spans="1:8" ht="30" x14ac:dyDescent="0.25">
      <c r="A3178" s="115">
        <v>4672</v>
      </c>
      <c r="B3178" s="115" t="s">
        <v>128</v>
      </c>
      <c r="C3178" s="115" t="s">
        <v>8303</v>
      </c>
      <c r="D3178" s="115">
        <v>1</v>
      </c>
    </row>
    <row r="3179" spans="1:8" ht="30" x14ac:dyDescent="0.25">
      <c r="A3179" s="115">
        <v>4671</v>
      </c>
      <c r="B3179" s="115" t="s">
        <v>128</v>
      </c>
      <c r="C3179" s="115" t="s">
        <v>8304</v>
      </c>
      <c r="D3179" s="115">
        <v>1</v>
      </c>
      <c r="E3179" s="115" t="s">
        <v>8188</v>
      </c>
      <c r="F3179" s="115" t="s">
        <v>8188</v>
      </c>
      <c r="G3179" s="115" t="s">
        <v>8188</v>
      </c>
      <c r="H3179" s="115" t="s">
        <v>7182</v>
      </c>
    </row>
    <row r="3180" spans="1:8" ht="30" x14ac:dyDescent="0.25">
      <c r="A3180" s="115">
        <v>4670</v>
      </c>
      <c r="B3180" s="115" t="s">
        <v>128</v>
      </c>
      <c r="C3180" s="115" t="s">
        <v>8305</v>
      </c>
      <c r="D3180" s="115">
        <v>1</v>
      </c>
      <c r="E3180" s="115" t="s">
        <v>8306</v>
      </c>
      <c r="F3180" s="115" t="s">
        <v>8307</v>
      </c>
      <c r="G3180" s="115" t="s">
        <v>8308</v>
      </c>
      <c r="H3180" s="115" t="s">
        <v>8309</v>
      </c>
    </row>
    <row r="3181" spans="1:8" ht="90" x14ac:dyDescent="0.25">
      <c r="A3181" s="115">
        <v>4669</v>
      </c>
      <c r="B3181" s="115" t="s">
        <v>128</v>
      </c>
      <c r="C3181" s="115" t="s">
        <v>8310</v>
      </c>
      <c r="D3181" s="115">
        <v>1</v>
      </c>
      <c r="E3181" s="115" t="s">
        <v>8311</v>
      </c>
      <c r="F3181" s="115" t="s">
        <v>8312</v>
      </c>
      <c r="G3181" s="115" t="s">
        <v>8313</v>
      </c>
      <c r="H3181" s="115" t="s">
        <v>8314</v>
      </c>
    </row>
    <row r="3182" spans="1:8" ht="30" x14ac:dyDescent="0.25">
      <c r="A3182" s="115">
        <v>4668</v>
      </c>
      <c r="B3182" s="115" t="s">
        <v>128</v>
      </c>
      <c r="C3182" s="115" t="s">
        <v>8315</v>
      </c>
      <c r="D3182" s="115">
        <v>1</v>
      </c>
      <c r="E3182" s="115" t="s">
        <v>8306</v>
      </c>
      <c r="F3182" s="115" t="s">
        <v>8307</v>
      </c>
      <c r="G3182" s="115" t="s">
        <v>8308</v>
      </c>
      <c r="H3182" s="115" t="s">
        <v>8316</v>
      </c>
    </row>
    <row r="3183" spans="1:8" ht="30" x14ac:dyDescent="0.25">
      <c r="A3183" s="115">
        <v>4667</v>
      </c>
      <c r="B3183" s="115" t="s">
        <v>128</v>
      </c>
      <c r="C3183" s="115" t="s">
        <v>8317</v>
      </c>
      <c r="D3183" s="115">
        <v>1</v>
      </c>
    </row>
    <row r="3184" spans="1:8" ht="30" x14ac:dyDescent="0.25">
      <c r="A3184" s="115">
        <v>4666</v>
      </c>
      <c r="B3184" s="115" t="s">
        <v>128</v>
      </c>
      <c r="C3184" s="115" t="s">
        <v>8318</v>
      </c>
      <c r="D3184" s="115">
        <v>1</v>
      </c>
      <c r="E3184" s="115" t="s">
        <v>8188</v>
      </c>
      <c r="F3184" s="115" t="s">
        <v>8188</v>
      </c>
      <c r="G3184" s="115" t="s">
        <v>8188</v>
      </c>
      <c r="H3184" s="115" t="s">
        <v>7182</v>
      </c>
    </row>
    <row r="3185" spans="1:8" ht="30" x14ac:dyDescent="0.25">
      <c r="A3185" s="115">
        <v>4665</v>
      </c>
      <c r="B3185" s="115" t="s">
        <v>128</v>
      </c>
      <c r="C3185" s="115" t="s">
        <v>8319</v>
      </c>
      <c r="D3185" s="115">
        <v>1</v>
      </c>
      <c r="E3185" s="115" t="s">
        <v>8320</v>
      </c>
      <c r="F3185" s="115" t="s">
        <v>8321</v>
      </c>
      <c r="G3185" s="115" t="s">
        <v>8322</v>
      </c>
      <c r="H3185" s="115" t="s">
        <v>8323</v>
      </c>
    </row>
    <row r="3186" spans="1:8" ht="90" x14ac:dyDescent="0.25">
      <c r="A3186" s="115">
        <v>4664</v>
      </c>
      <c r="B3186" s="115" t="s">
        <v>128</v>
      </c>
      <c r="C3186" s="115" t="s">
        <v>8324</v>
      </c>
      <c r="D3186" s="115">
        <v>1</v>
      </c>
      <c r="E3186" s="115" t="s">
        <v>8325</v>
      </c>
      <c r="F3186" s="115" t="s">
        <v>8326</v>
      </c>
      <c r="G3186" s="115" t="s">
        <v>8327</v>
      </c>
      <c r="H3186" s="115" t="s">
        <v>8328</v>
      </c>
    </row>
    <row r="3187" spans="1:8" ht="30" x14ac:dyDescent="0.25">
      <c r="A3187" s="115">
        <v>4663</v>
      </c>
      <c r="B3187" s="115" t="s">
        <v>128</v>
      </c>
      <c r="C3187" s="115" t="s">
        <v>8329</v>
      </c>
      <c r="D3187" s="115">
        <v>1</v>
      </c>
      <c r="E3187" s="115" t="s">
        <v>8320</v>
      </c>
      <c r="F3187" s="115" t="s">
        <v>8321</v>
      </c>
      <c r="G3187" s="115" t="s">
        <v>8322</v>
      </c>
      <c r="H3187" s="115" t="s">
        <v>8323</v>
      </c>
    </row>
    <row r="3188" spans="1:8" ht="45" x14ac:dyDescent="0.25">
      <c r="A3188" s="115">
        <v>4662</v>
      </c>
      <c r="B3188" s="115" t="s">
        <v>128</v>
      </c>
      <c r="C3188" s="115" t="s">
        <v>8330</v>
      </c>
      <c r="D3188" s="115">
        <v>1</v>
      </c>
    </row>
    <row r="3189" spans="1:8" ht="45" x14ac:dyDescent="0.25">
      <c r="A3189" s="115">
        <v>4661</v>
      </c>
      <c r="B3189" s="115" t="s">
        <v>128</v>
      </c>
      <c r="C3189" s="115" t="s">
        <v>8331</v>
      </c>
      <c r="D3189" s="115">
        <v>1</v>
      </c>
      <c r="E3189" s="115" t="s">
        <v>8188</v>
      </c>
      <c r="F3189" s="115" t="s">
        <v>8188</v>
      </c>
      <c r="G3189" s="115" t="s">
        <v>8188</v>
      </c>
      <c r="H3189" s="115" t="s">
        <v>7182</v>
      </c>
    </row>
    <row r="3190" spans="1:8" ht="45" x14ac:dyDescent="0.25">
      <c r="A3190" s="115">
        <v>4660</v>
      </c>
      <c r="B3190" s="115" t="s">
        <v>128</v>
      </c>
      <c r="C3190" s="115" t="s">
        <v>8332</v>
      </c>
      <c r="D3190" s="115">
        <v>1</v>
      </c>
      <c r="E3190" s="115" t="s">
        <v>8333</v>
      </c>
      <c r="F3190" s="115" t="s">
        <v>8334</v>
      </c>
      <c r="G3190" s="115" t="s">
        <v>8335</v>
      </c>
      <c r="H3190" s="115" t="s">
        <v>8336</v>
      </c>
    </row>
    <row r="3191" spans="1:8" ht="105" x14ac:dyDescent="0.25">
      <c r="A3191" s="115">
        <v>4659</v>
      </c>
      <c r="B3191" s="115" t="s">
        <v>128</v>
      </c>
      <c r="C3191" s="115" t="s">
        <v>8337</v>
      </c>
      <c r="D3191" s="115">
        <v>1</v>
      </c>
      <c r="E3191" s="115" t="s">
        <v>8338</v>
      </c>
      <c r="F3191" s="115" t="s">
        <v>8339</v>
      </c>
      <c r="G3191" s="115" t="s">
        <v>8340</v>
      </c>
      <c r="H3191" s="115" t="s">
        <v>8341</v>
      </c>
    </row>
    <row r="3192" spans="1:8" ht="45" x14ac:dyDescent="0.25">
      <c r="A3192" s="115">
        <v>4658</v>
      </c>
      <c r="B3192" s="115" t="s">
        <v>128</v>
      </c>
      <c r="C3192" s="115" t="s">
        <v>8342</v>
      </c>
      <c r="D3192" s="115">
        <v>1</v>
      </c>
      <c r="E3192" s="115" t="s">
        <v>8333</v>
      </c>
      <c r="F3192" s="115" t="s">
        <v>8334</v>
      </c>
      <c r="G3192" s="115" t="s">
        <v>8335</v>
      </c>
      <c r="H3192" s="115" t="s">
        <v>8336</v>
      </c>
    </row>
    <row r="3193" spans="1:8" ht="45" x14ac:dyDescent="0.25">
      <c r="A3193" s="115">
        <v>4657</v>
      </c>
      <c r="B3193" s="115" t="s">
        <v>128</v>
      </c>
      <c r="C3193" s="115" t="s">
        <v>8343</v>
      </c>
      <c r="D3193" s="115">
        <v>1</v>
      </c>
    </row>
    <row r="3194" spans="1:8" ht="45" x14ac:dyDescent="0.25">
      <c r="A3194" s="115">
        <v>4656</v>
      </c>
      <c r="B3194" s="115" t="s">
        <v>128</v>
      </c>
      <c r="C3194" s="115" t="s">
        <v>8344</v>
      </c>
      <c r="D3194" s="115">
        <v>1</v>
      </c>
      <c r="E3194" s="115" t="s">
        <v>8188</v>
      </c>
      <c r="F3194" s="115" t="s">
        <v>8188</v>
      </c>
      <c r="G3194" s="115" t="s">
        <v>8188</v>
      </c>
      <c r="H3194" s="115" t="s">
        <v>7182</v>
      </c>
    </row>
    <row r="3195" spans="1:8" ht="45" x14ac:dyDescent="0.25">
      <c r="A3195" s="115">
        <v>4655</v>
      </c>
      <c r="B3195" s="115" t="s">
        <v>128</v>
      </c>
      <c r="C3195" s="115" t="s">
        <v>8345</v>
      </c>
      <c r="D3195" s="115">
        <v>1</v>
      </c>
      <c r="E3195" s="115" t="s">
        <v>8346</v>
      </c>
      <c r="F3195" s="115" t="s">
        <v>8347</v>
      </c>
      <c r="G3195" s="115" t="s">
        <v>8348</v>
      </c>
      <c r="H3195" s="115" t="s">
        <v>8349</v>
      </c>
    </row>
    <row r="3196" spans="1:8" ht="150" x14ac:dyDescent="0.25">
      <c r="A3196" s="115">
        <v>4654</v>
      </c>
      <c r="B3196" s="115" t="s">
        <v>128</v>
      </c>
      <c r="C3196" s="115" t="s">
        <v>8350</v>
      </c>
      <c r="D3196" s="115">
        <v>1</v>
      </c>
      <c r="E3196" s="115" t="s">
        <v>8351</v>
      </c>
      <c r="F3196" s="115" t="s">
        <v>8352</v>
      </c>
      <c r="G3196" s="115" t="s">
        <v>8353</v>
      </c>
      <c r="H3196" s="115" t="s">
        <v>8354</v>
      </c>
    </row>
    <row r="3197" spans="1:8" ht="45" x14ac:dyDescent="0.25">
      <c r="A3197" s="115">
        <v>4653</v>
      </c>
      <c r="B3197" s="115" t="s">
        <v>128</v>
      </c>
      <c r="C3197" s="115" t="s">
        <v>8355</v>
      </c>
      <c r="D3197" s="115">
        <v>1</v>
      </c>
      <c r="E3197" s="115" t="s">
        <v>8346</v>
      </c>
      <c r="F3197" s="115" t="s">
        <v>8347</v>
      </c>
      <c r="G3197" s="115" t="s">
        <v>8348</v>
      </c>
      <c r="H3197" s="115" t="s">
        <v>8356</v>
      </c>
    </row>
    <row r="3198" spans="1:8" ht="30" x14ac:dyDescent="0.25">
      <c r="A3198" s="115">
        <v>4652</v>
      </c>
      <c r="B3198" s="115" t="s">
        <v>128</v>
      </c>
      <c r="C3198" s="115" t="s">
        <v>8357</v>
      </c>
      <c r="D3198" s="115">
        <v>1</v>
      </c>
    </row>
    <row r="3199" spans="1:8" ht="30" x14ac:dyDescent="0.25">
      <c r="A3199" s="115">
        <v>4651</v>
      </c>
      <c r="B3199" s="115" t="s">
        <v>128</v>
      </c>
      <c r="C3199" s="115" t="s">
        <v>8358</v>
      </c>
      <c r="D3199" s="115">
        <v>1</v>
      </c>
      <c r="E3199" s="115" t="s">
        <v>8188</v>
      </c>
      <c r="F3199" s="115" t="s">
        <v>8188</v>
      </c>
      <c r="G3199" s="115" t="s">
        <v>8188</v>
      </c>
      <c r="H3199" s="115" t="s">
        <v>7182</v>
      </c>
    </row>
    <row r="3200" spans="1:8" ht="30" x14ac:dyDescent="0.25">
      <c r="A3200" s="115">
        <v>4650</v>
      </c>
      <c r="B3200" s="115" t="s">
        <v>128</v>
      </c>
      <c r="C3200" s="115" t="s">
        <v>8359</v>
      </c>
      <c r="D3200" s="115">
        <v>1</v>
      </c>
      <c r="E3200" s="115" t="s">
        <v>711</v>
      </c>
      <c r="F3200" s="115" t="s">
        <v>8360</v>
      </c>
      <c r="G3200" s="115" t="s">
        <v>713</v>
      </c>
      <c r="H3200" s="115" t="s">
        <v>714</v>
      </c>
    </row>
    <row r="3201" spans="1:8" ht="105" x14ac:dyDescent="0.25">
      <c r="A3201" s="115">
        <v>4649</v>
      </c>
      <c r="B3201" s="115" t="s">
        <v>128</v>
      </c>
      <c r="C3201" s="115" t="s">
        <v>8361</v>
      </c>
      <c r="D3201" s="115">
        <v>1</v>
      </c>
      <c r="E3201" s="115" t="s">
        <v>8362</v>
      </c>
      <c r="F3201" s="115" t="s">
        <v>8363</v>
      </c>
      <c r="G3201" s="115" t="s">
        <v>8364</v>
      </c>
      <c r="H3201" s="115" t="s">
        <v>8365</v>
      </c>
    </row>
    <row r="3202" spans="1:8" ht="30" x14ac:dyDescent="0.25">
      <c r="A3202" s="115">
        <v>4648</v>
      </c>
      <c r="B3202" s="115" t="s">
        <v>128</v>
      </c>
      <c r="C3202" s="115" t="s">
        <v>8366</v>
      </c>
      <c r="D3202" s="115">
        <v>1</v>
      </c>
      <c r="E3202" s="115" t="s">
        <v>711</v>
      </c>
      <c r="F3202" s="115" t="s">
        <v>712</v>
      </c>
      <c r="G3202" s="115" t="s">
        <v>713</v>
      </c>
      <c r="H3202" s="115" t="s">
        <v>714</v>
      </c>
    </row>
    <row r="3203" spans="1:8" ht="30" x14ac:dyDescent="0.25">
      <c r="A3203" s="115">
        <v>4647</v>
      </c>
      <c r="B3203" s="115" t="s">
        <v>128</v>
      </c>
      <c r="C3203" s="115" t="s">
        <v>8367</v>
      </c>
      <c r="D3203" s="115">
        <v>1</v>
      </c>
    </row>
    <row r="3204" spans="1:8" ht="30" x14ac:dyDescent="0.25">
      <c r="A3204" s="115">
        <v>4646</v>
      </c>
      <c r="B3204" s="115" t="s">
        <v>128</v>
      </c>
      <c r="C3204" s="115" t="s">
        <v>8368</v>
      </c>
      <c r="D3204" s="115">
        <v>1</v>
      </c>
      <c r="E3204" s="115" t="s">
        <v>8188</v>
      </c>
      <c r="F3204" s="115" t="s">
        <v>8188</v>
      </c>
      <c r="G3204" s="115" t="s">
        <v>8188</v>
      </c>
      <c r="H3204" s="115" t="s">
        <v>7182</v>
      </c>
    </row>
    <row r="3205" spans="1:8" ht="30" x14ac:dyDescent="0.25">
      <c r="A3205" s="115">
        <v>4645</v>
      </c>
      <c r="B3205" s="115" t="s">
        <v>128</v>
      </c>
      <c r="C3205" s="115" t="s">
        <v>8369</v>
      </c>
      <c r="D3205" s="115">
        <v>1</v>
      </c>
      <c r="E3205" s="115" t="s">
        <v>8370</v>
      </c>
      <c r="F3205" s="115" t="s">
        <v>8371</v>
      </c>
      <c r="G3205" s="115" t="s">
        <v>8372</v>
      </c>
      <c r="H3205" s="115" t="s">
        <v>8373</v>
      </c>
    </row>
    <row r="3206" spans="1:8" ht="75" x14ac:dyDescent="0.25">
      <c r="A3206" s="115">
        <v>4644</v>
      </c>
      <c r="B3206" s="115" t="s">
        <v>128</v>
      </c>
      <c r="C3206" s="115" t="s">
        <v>8374</v>
      </c>
      <c r="D3206" s="115">
        <v>1</v>
      </c>
      <c r="E3206" s="115" t="s">
        <v>5814</v>
      </c>
      <c r="F3206" s="115" t="s">
        <v>8375</v>
      </c>
      <c r="G3206" s="115" t="s">
        <v>8376</v>
      </c>
      <c r="H3206" s="115" t="s">
        <v>8377</v>
      </c>
    </row>
    <row r="3207" spans="1:8" ht="30" x14ac:dyDescent="0.25">
      <c r="A3207" s="115">
        <v>4643</v>
      </c>
      <c r="B3207" s="115" t="s">
        <v>128</v>
      </c>
      <c r="C3207" s="115" t="s">
        <v>8378</v>
      </c>
      <c r="D3207" s="115">
        <v>1</v>
      </c>
      <c r="E3207" s="115" t="s">
        <v>563</v>
      </c>
      <c r="F3207" s="115" t="s">
        <v>5605</v>
      </c>
      <c r="G3207" s="115" t="s">
        <v>565</v>
      </c>
      <c r="H3207" s="115" t="s">
        <v>8379</v>
      </c>
    </row>
    <row r="3208" spans="1:8" ht="30" x14ac:dyDescent="0.25">
      <c r="A3208" s="115">
        <v>4642</v>
      </c>
      <c r="B3208" s="115" t="s">
        <v>128</v>
      </c>
      <c r="C3208" s="115" t="s">
        <v>8380</v>
      </c>
      <c r="D3208" s="115">
        <v>1</v>
      </c>
    </row>
    <row r="3209" spans="1:8" ht="30" x14ac:dyDescent="0.25">
      <c r="A3209" s="115">
        <v>4641</v>
      </c>
      <c r="B3209" s="115" t="s">
        <v>128</v>
      </c>
      <c r="C3209" s="115" t="s">
        <v>8381</v>
      </c>
      <c r="D3209" s="115">
        <v>1</v>
      </c>
      <c r="E3209" s="115" t="s">
        <v>8188</v>
      </c>
      <c r="F3209" s="115" t="s">
        <v>8188</v>
      </c>
      <c r="G3209" s="115" t="s">
        <v>8188</v>
      </c>
      <c r="H3209" s="115" t="s">
        <v>7182</v>
      </c>
    </row>
    <row r="3210" spans="1:8" ht="30" x14ac:dyDescent="0.25">
      <c r="A3210" s="115">
        <v>4640</v>
      </c>
      <c r="B3210" s="115" t="s">
        <v>128</v>
      </c>
      <c r="C3210" s="115" t="s">
        <v>8382</v>
      </c>
      <c r="D3210" s="115">
        <v>1</v>
      </c>
      <c r="E3210" s="115" t="s">
        <v>8383</v>
      </c>
      <c r="F3210" s="115" t="s">
        <v>8384</v>
      </c>
      <c r="G3210" s="115" t="s">
        <v>8385</v>
      </c>
      <c r="H3210" s="115" t="s">
        <v>8386</v>
      </c>
    </row>
    <row r="3211" spans="1:8" ht="75" x14ac:dyDescent="0.25">
      <c r="A3211" s="115">
        <v>4639</v>
      </c>
      <c r="B3211" s="115" t="s">
        <v>128</v>
      </c>
      <c r="C3211" s="115" t="s">
        <v>8387</v>
      </c>
      <c r="D3211" s="115">
        <v>1</v>
      </c>
      <c r="E3211" s="115" t="s">
        <v>5816</v>
      </c>
      <c r="F3211" s="115" t="s">
        <v>8388</v>
      </c>
      <c r="G3211" s="115" t="s">
        <v>8389</v>
      </c>
      <c r="H3211" s="115" t="s">
        <v>8390</v>
      </c>
    </row>
    <row r="3212" spans="1:8" ht="30" x14ac:dyDescent="0.25">
      <c r="A3212" s="115">
        <v>4638</v>
      </c>
      <c r="B3212" s="115" t="s">
        <v>128</v>
      </c>
      <c r="C3212" s="115" t="s">
        <v>8391</v>
      </c>
      <c r="D3212" s="115">
        <v>1</v>
      </c>
      <c r="E3212" s="115" t="s">
        <v>7005</v>
      </c>
      <c r="F3212" s="115" t="s">
        <v>5601</v>
      </c>
      <c r="G3212" s="115" t="s">
        <v>486</v>
      </c>
      <c r="H3212" s="115" t="s">
        <v>487</v>
      </c>
    </row>
    <row r="3213" spans="1:8" ht="30" x14ac:dyDescent="0.25">
      <c r="A3213" s="115">
        <v>4637</v>
      </c>
      <c r="B3213" s="115" t="s">
        <v>128</v>
      </c>
      <c r="C3213" s="115" t="s">
        <v>8392</v>
      </c>
      <c r="D3213" s="115">
        <v>1</v>
      </c>
      <c r="E3213" s="115" t="s">
        <v>8188</v>
      </c>
      <c r="F3213" s="115" t="s">
        <v>8188</v>
      </c>
      <c r="G3213" s="115" t="s">
        <v>8188</v>
      </c>
      <c r="H3213" s="115" t="s">
        <v>8188</v>
      </c>
    </row>
    <row r="3214" spans="1:8" ht="30" x14ac:dyDescent="0.25">
      <c r="A3214" s="115">
        <v>4636</v>
      </c>
      <c r="B3214" s="115" t="s">
        <v>128</v>
      </c>
      <c r="C3214" s="115" t="s">
        <v>8393</v>
      </c>
      <c r="D3214" s="115">
        <v>1</v>
      </c>
      <c r="E3214" s="115" t="s">
        <v>8188</v>
      </c>
      <c r="F3214" s="115" t="s">
        <v>8188</v>
      </c>
      <c r="G3214" s="115" t="s">
        <v>8188</v>
      </c>
      <c r="H3214" s="115" t="s">
        <v>7182</v>
      </c>
    </row>
    <row r="3215" spans="1:8" ht="30" x14ac:dyDescent="0.25">
      <c r="A3215" s="115">
        <v>4635</v>
      </c>
      <c r="B3215" s="115" t="s">
        <v>128</v>
      </c>
      <c r="C3215" s="115" t="s">
        <v>8394</v>
      </c>
      <c r="D3215" s="115">
        <v>1</v>
      </c>
      <c r="E3215" s="115" t="s">
        <v>7008</v>
      </c>
      <c r="F3215" s="115" t="s">
        <v>7009</v>
      </c>
      <c r="G3215" s="115" t="s">
        <v>7010</v>
      </c>
      <c r="H3215" s="115" t="s">
        <v>2516</v>
      </c>
    </row>
    <row r="3216" spans="1:8" ht="60" x14ac:dyDescent="0.25">
      <c r="A3216" s="115">
        <v>4634</v>
      </c>
      <c r="B3216" s="115" t="s">
        <v>128</v>
      </c>
      <c r="C3216" s="115" t="s">
        <v>8395</v>
      </c>
      <c r="D3216" s="115">
        <v>1</v>
      </c>
      <c r="E3216" s="115" t="s">
        <v>8396</v>
      </c>
      <c r="F3216" s="115" t="s">
        <v>8397</v>
      </c>
      <c r="G3216" s="115" t="s">
        <v>8398</v>
      </c>
      <c r="H3216" s="115" t="s">
        <v>8399</v>
      </c>
    </row>
    <row r="3217" spans="1:8" ht="30" x14ac:dyDescent="0.25">
      <c r="A3217" s="115">
        <v>4633</v>
      </c>
      <c r="B3217" s="115" t="s">
        <v>128</v>
      </c>
      <c r="C3217" s="115" t="s">
        <v>8400</v>
      </c>
      <c r="D3217" s="115">
        <v>1</v>
      </c>
      <c r="E3217" s="115" t="s">
        <v>7008</v>
      </c>
      <c r="F3217" s="115" t="s">
        <v>7009</v>
      </c>
      <c r="G3217" s="115" t="s">
        <v>7010</v>
      </c>
      <c r="H3217" s="115" t="s">
        <v>2516</v>
      </c>
    </row>
    <row r="3218" spans="1:8" x14ac:dyDescent="0.25">
      <c r="A3218" s="115">
        <v>4632</v>
      </c>
      <c r="B3218" s="115" t="s">
        <v>128</v>
      </c>
      <c r="C3218" s="115" t="s">
        <v>8401</v>
      </c>
      <c r="D3218" s="115">
        <v>1</v>
      </c>
    </row>
    <row r="3219" spans="1:8" ht="60" x14ac:dyDescent="0.25">
      <c r="A3219" s="115">
        <v>4631</v>
      </c>
      <c r="B3219" s="115" t="s">
        <v>128</v>
      </c>
      <c r="C3219" s="115" t="s">
        <v>8402</v>
      </c>
      <c r="D3219" s="115">
        <v>1</v>
      </c>
      <c r="E3219" s="115" t="s">
        <v>8403</v>
      </c>
      <c r="F3219" s="115" t="s">
        <v>8404</v>
      </c>
      <c r="G3219" s="115" t="s">
        <v>8405</v>
      </c>
      <c r="H3219" s="115" t="s">
        <v>8403</v>
      </c>
    </row>
    <row r="3220" spans="1:8" ht="30" x14ac:dyDescent="0.25">
      <c r="A3220" s="115">
        <v>4630</v>
      </c>
      <c r="B3220" s="115" t="s">
        <v>128</v>
      </c>
      <c r="C3220" s="115" t="s">
        <v>8406</v>
      </c>
      <c r="D3220" s="115">
        <v>1</v>
      </c>
      <c r="E3220" s="115" t="s">
        <v>8407</v>
      </c>
      <c r="F3220" s="115" t="s">
        <v>8408</v>
      </c>
      <c r="G3220" s="115" t="s">
        <v>8409</v>
      </c>
      <c r="H3220" s="115" t="s">
        <v>8410</v>
      </c>
    </row>
    <row r="3221" spans="1:8" ht="345" x14ac:dyDescent="0.25">
      <c r="A3221" s="115">
        <v>4629</v>
      </c>
      <c r="B3221" s="115" t="s">
        <v>128</v>
      </c>
      <c r="C3221" s="115" t="s">
        <v>8411</v>
      </c>
      <c r="D3221" s="115">
        <v>1</v>
      </c>
      <c r="E3221" s="115" t="s">
        <v>8412</v>
      </c>
      <c r="F3221" s="115" t="s">
        <v>8413</v>
      </c>
      <c r="G3221" s="115" t="s">
        <v>8414</v>
      </c>
      <c r="H3221" s="115" t="s">
        <v>8412</v>
      </c>
    </row>
    <row r="3222" spans="1:8" x14ac:dyDescent="0.25">
      <c r="A3222" s="115">
        <v>4628</v>
      </c>
      <c r="B3222" s="115" t="s">
        <v>128</v>
      </c>
      <c r="C3222" s="115" t="s">
        <v>8415</v>
      </c>
      <c r="D3222" s="115">
        <v>1</v>
      </c>
      <c r="E3222" s="115" t="s">
        <v>8416</v>
      </c>
      <c r="F3222" s="115" t="s">
        <v>8417</v>
      </c>
      <c r="G3222" s="115" t="s">
        <v>8418</v>
      </c>
      <c r="H3222" s="115" t="s">
        <v>8419</v>
      </c>
    </row>
    <row r="3223" spans="1:8" x14ac:dyDescent="0.25">
      <c r="A3223" s="115">
        <v>4627</v>
      </c>
      <c r="B3223" s="115" t="s">
        <v>128</v>
      </c>
      <c r="C3223" s="115" t="s">
        <v>8420</v>
      </c>
      <c r="D3223" s="115">
        <v>1</v>
      </c>
      <c r="E3223" s="115" t="s">
        <v>5460</v>
      </c>
      <c r="F3223" s="115" t="s">
        <v>5461</v>
      </c>
      <c r="G3223" s="115" t="s">
        <v>5462</v>
      </c>
      <c r="H3223" s="115" t="s">
        <v>5463</v>
      </c>
    </row>
    <row r="3224" spans="1:8" x14ac:dyDescent="0.25">
      <c r="A3224" s="115">
        <v>4626</v>
      </c>
      <c r="B3224" s="115" t="s">
        <v>128</v>
      </c>
      <c r="C3224" s="115" t="s">
        <v>8421</v>
      </c>
      <c r="D3224" s="115">
        <v>1</v>
      </c>
      <c r="E3224" s="115" t="s">
        <v>8422</v>
      </c>
      <c r="F3224" s="115" t="s">
        <v>8423</v>
      </c>
      <c r="G3224" s="115" t="s">
        <v>8424</v>
      </c>
      <c r="H3224" s="115" t="s">
        <v>8425</v>
      </c>
    </row>
    <row r="3225" spans="1:8" ht="45" x14ac:dyDescent="0.25">
      <c r="A3225" s="115">
        <v>4625</v>
      </c>
      <c r="B3225" s="115" t="s">
        <v>128</v>
      </c>
      <c r="C3225" s="115" t="s">
        <v>8426</v>
      </c>
      <c r="D3225" s="115">
        <v>1</v>
      </c>
      <c r="E3225" s="115" t="s">
        <v>8427</v>
      </c>
      <c r="F3225" s="115" t="s">
        <v>8428</v>
      </c>
      <c r="G3225" s="115" t="s">
        <v>8429</v>
      </c>
      <c r="H3225" s="115" t="s">
        <v>8430</v>
      </c>
    </row>
    <row r="3226" spans="1:8" ht="30" x14ac:dyDescent="0.25">
      <c r="A3226" s="115">
        <v>4624</v>
      </c>
      <c r="B3226" s="115" t="s">
        <v>128</v>
      </c>
      <c r="C3226" s="115" t="s">
        <v>8431</v>
      </c>
      <c r="D3226" s="115">
        <v>1</v>
      </c>
      <c r="E3226" s="115" t="s">
        <v>8432</v>
      </c>
      <c r="F3226" s="115" t="s">
        <v>8433</v>
      </c>
      <c r="G3226" s="115" t="s">
        <v>8434</v>
      </c>
      <c r="H3226" s="115" t="s">
        <v>8435</v>
      </c>
    </row>
    <row r="3227" spans="1:8" x14ac:dyDescent="0.25">
      <c r="A3227" s="115">
        <v>4623</v>
      </c>
      <c r="B3227" s="115" t="s">
        <v>128</v>
      </c>
      <c r="C3227" s="115" t="s">
        <v>8436</v>
      </c>
      <c r="D3227" s="115">
        <v>1</v>
      </c>
      <c r="E3227" s="115" t="s">
        <v>8437</v>
      </c>
      <c r="F3227" s="115" t="s">
        <v>5302</v>
      </c>
      <c r="G3227" s="115" t="s">
        <v>5303</v>
      </c>
      <c r="H3227" s="115" t="s">
        <v>8438</v>
      </c>
    </row>
    <row r="3228" spans="1:8" ht="60" x14ac:dyDescent="0.25">
      <c r="A3228" s="115">
        <v>4622</v>
      </c>
      <c r="B3228" s="115" t="s">
        <v>128</v>
      </c>
      <c r="C3228" s="115" t="s">
        <v>8439</v>
      </c>
      <c r="D3228" s="115">
        <v>1</v>
      </c>
      <c r="E3228" s="115" t="s">
        <v>5465</v>
      </c>
      <c r="F3228" s="115" t="s">
        <v>5465</v>
      </c>
      <c r="G3228" s="115" t="s">
        <v>5465</v>
      </c>
      <c r="H3228" s="115" t="s">
        <v>5467</v>
      </c>
    </row>
    <row r="3229" spans="1:8" x14ac:dyDescent="0.25">
      <c r="A3229" s="115">
        <v>4621</v>
      </c>
      <c r="B3229" s="115" t="s">
        <v>128</v>
      </c>
      <c r="C3229" s="115" t="s">
        <v>8440</v>
      </c>
      <c r="D3229" s="115">
        <v>1</v>
      </c>
      <c r="E3229" s="115" t="s">
        <v>8441</v>
      </c>
      <c r="F3229" s="115" t="s">
        <v>8441</v>
      </c>
      <c r="G3229" s="115" t="s">
        <v>8442</v>
      </c>
      <c r="H3229" s="115" t="s">
        <v>8443</v>
      </c>
    </row>
    <row r="3230" spans="1:8" ht="45" x14ac:dyDescent="0.25">
      <c r="A3230" s="115">
        <v>4620</v>
      </c>
      <c r="B3230" s="115" t="s">
        <v>128</v>
      </c>
      <c r="C3230" s="115" t="s">
        <v>8444</v>
      </c>
      <c r="D3230" s="115">
        <v>1</v>
      </c>
      <c r="E3230" s="115" t="s">
        <v>8445</v>
      </c>
      <c r="F3230" s="115" t="s">
        <v>8446</v>
      </c>
      <c r="G3230" s="115" t="s">
        <v>8447</v>
      </c>
      <c r="H3230" s="115" t="s">
        <v>8448</v>
      </c>
    </row>
    <row r="3231" spans="1:8" x14ac:dyDescent="0.25">
      <c r="A3231" s="115">
        <v>4619</v>
      </c>
      <c r="B3231" s="115" t="s">
        <v>128</v>
      </c>
      <c r="C3231" s="115" t="s">
        <v>8449</v>
      </c>
      <c r="D3231" s="115">
        <v>1</v>
      </c>
      <c r="E3231" s="115" t="s">
        <v>8450</v>
      </c>
      <c r="F3231" s="115" t="s">
        <v>8450</v>
      </c>
      <c r="G3231" s="115" t="s">
        <v>8450</v>
      </c>
      <c r="H3231" s="115" t="s">
        <v>8450</v>
      </c>
    </row>
    <row r="3232" spans="1:8" ht="30" x14ac:dyDescent="0.25">
      <c r="A3232" s="115">
        <v>4618</v>
      </c>
      <c r="B3232" s="115" t="s">
        <v>128</v>
      </c>
      <c r="C3232" s="115" t="s">
        <v>8451</v>
      </c>
      <c r="D3232" s="115">
        <v>1</v>
      </c>
      <c r="E3232" s="115" t="s">
        <v>5652</v>
      </c>
      <c r="F3232" s="115" t="s">
        <v>5653</v>
      </c>
      <c r="G3232" s="115" t="s">
        <v>8452</v>
      </c>
      <c r="H3232" s="115" t="s">
        <v>5655</v>
      </c>
    </row>
    <row r="3233" spans="1:8" ht="30" x14ac:dyDescent="0.25">
      <c r="A3233" s="115">
        <v>4617</v>
      </c>
      <c r="B3233" s="115" t="s">
        <v>128</v>
      </c>
      <c r="C3233" s="115" t="s">
        <v>8453</v>
      </c>
      <c r="D3233" s="115">
        <v>1</v>
      </c>
      <c r="E3233" s="115" t="s">
        <v>7119</v>
      </c>
      <c r="F3233" s="115" t="s">
        <v>7119</v>
      </c>
      <c r="G3233" s="115" t="s">
        <v>7120</v>
      </c>
      <c r="H3233" s="115" t="s">
        <v>7121</v>
      </c>
    </row>
    <row r="3234" spans="1:8" ht="30" x14ac:dyDescent="0.25">
      <c r="A3234" s="115">
        <v>4616</v>
      </c>
      <c r="B3234" s="115" t="s">
        <v>128</v>
      </c>
      <c r="C3234" s="115" t="s">
        <v>8454</v>
      </c>
      <c r="D3234" s="115">
        <v>1</v>
      </c>
      <c r="E3234" s="115" t="s">
        <v>1565</v>
      </c>
      <c r="F3234" s="115" t="s">
        <v>1566</v>
      </c>
      <c r="G3234" s="115" t="s">
        <v>1567</v>
      </c>
      <c r="H3234" s="115" t="s">
        <v>1568</v>
      </c>
    </row>
    <row r="3235" spans="1:8" x14ac:dyDescent="0.25">
      <c r="A3235" s="115">
        <v>4615</v>
      </c>
      <c r="B3235" s="115" t="s">
        <v>128</v>
      </c>
      <c r="C3235" s="115" t="s">
        <v>8455</v>
      </c>
      <c r="D3235" s="115">
        <v>1</v>
      </c>
      <c r="E3235" s="115" t="s">
        <v>8416</v>
      </c>
      <c r="F3235" s="115" t="s">
        <v>8417</v>
      </c>
      <c r="G3235" s="115" t="s">
        <v>8418</v>
      </c>
      <c r="H3235" s="115" t="s">
        <v>8419</v>
      </c>
    </row>
    <row r="3236" spans="1:8" x14ac:dyDescent="0.25">
      <c r="A3236" s="115">
        <v>4614</v>
      </c>
      <c r="B3236" s="115" t="s">
        <v>128</v>
      </c>
      <c r="C3236" s="115" t="s">
        <v>8456</v>
      </c>
      <c r="D3236" s="115">
        <v>1</v>
      </c>
      <c r="E3236" s="115" t="s">
        <v>7271</v>
      </c>
      <c r="F3236" s="115" t="s">
        <v>7271</v>
      </c>
      <c r="G3236" s="115" t="s">
        <v>7271</v>
      </c>
      <c r="H3236" s="115" t="s">
        <v>7413</v>
      </c>
    </row>
    <row r="3237" spans="1:8" ht="30" x14ac:dyDescent="0.25">
      <c r="A3237" s="115">
        <v>4613</v>
      </c>
      <c r="B3237" s="115" t="s">
        <v>128</v>
      </c>
      <c r="C3237" s="115" t="s">
        <v>8457</v>
      </c>
      <c r="D3237" s="115">
        <v>1</v>
      </c>
      <c r="E3237" s="115" t="s">
        <v>8090</v>
      </c>
      <c r="F3237" s="115" t="s">
        <v>7412</v>
      </c>
      <c r="G3237" s="115" t="s">
        <v>1548</v>
      </c>
      <c r="H3237" s="115" t="s">
        <v>8458</v>
      </c>
    </row>
    <row r="3238" spans="1:8" x14ac:dyDescent="0.25">
      <c r="A3238" s="115">
        <v>4612</v>
      </c>
      <c r="B3238" s="115" t="s">
        <v>128</v>
      </c>
      <c r="C3238" s="115" t="s">
        <v>8459</v>
      </c>
      <c r="D3238" s="115">
        <v>1</v>
      </c>
      <c r="E3238" s="115" t="s">
        <v>8460</v>
      </c>
      <c r="F3238" s="115" t="s">
        <v>8461</v>
      </c>
      <c r="G3238" s="115" t="s">
        <v>8460</v>
      </c>
      <c r="H3238" s="115" t="s">
        <v>8459</v>
      </c>
    </row>
    <row r="3239" spans="1:8" ht="30" x14ac:dyDescent="0.25">
      <c r="A3239" s="115">
        <v>4611</v>
      </c>
      <c r="B3239" s="115" t="s">
        <v>128</v>
      </c>
      <c r="C3239" s="115" t="s">
        <v>8462</v>
      </c>
      <c r="D3239" s="115">
        <v>1</v>
      </c>
      <c r="E3239" s="115" t="s">
        <v>8463</v>
      </c>
      <c r="F3239" s="115" t="s">
        <v>8464</v>
      </c>
      <c r="G3239" s="115" t="s">
        <v>8465</v>
      </c>
      <c r="H3239" s="115" t="s">
        <v>8463</v>
      </c>
    </row>
    <row r="3240" spans="1:8" x14ac:dyDescent="0.25">
      <c r="A3240" s="115">
        <v>4610</v>
      </c>
      <c r="B3240" s="115" t="s">
        <v>128</v>
      </c>
      <c r="C3240" s="115" t="s">
        <v>8466</v>
      </c>
      <c r="D3240" s="115">
        <v>1</v>
      </c>
      <c r="E3240" s="115" t="s">
        <v>8467</v>
      </c>
      <c r="F3240" s="115" t="s">
        <v>8468</v>
      </c>
      <c r="G3240" s="115" t="s">
        <v>8469</v>
      </c>
      <c r="H3240" s="115" t="s">
        <v>8467</v>
      </c>
    </row>
    <row r="3241" spans="1:8" ht="30" x14ac:dyDescent="0.25">
      <c r="A3241" s="115">
        <v>4609</v>
      </c>
      <c r="B3241" s="115" t="s">
        <v>128</v>
      </c>
      <c r="C3241" s="115" t="s">
        <v>8470</v>
      </c>
      <c r="D3241" s="115">
        <v>1</v>
      </c>
      <c r="E3241" s="115" t="s">
        <v>8471</v>
      </c>
      <c r="F3241" s="115" t="s">
        <v>8472</v>
      </c>
      <c r="G3241" s="115" t="s">
        <v>8473</v>
      </c>
      <c r="H3241" s="115" t="s">
        <v>8471</v>
      </c>
    </row>
    <row r="3242" spans="1:8" x14ac:dyDescent="0.25">
      <c r="A3242" s="115">
        <v>4608</v>
      </c>
      <c r="B3242" s="115" t="s">
        <v>128</v>
      </c>
      <c r="C3242" s="115" t="s">
        <v>8474</v>
      </c>
      <c r="D3242" s="115">
        <v>1</v>
      </c>
      <c r="E3242" s="115" t="s">
        <v>2795</v>
      </c>
      <c r="F3242" s="115" t="s">
        <v>8475</v>
      </c>
      <c r="G3242" s="115" t="s">
        <v>8476</v>
      </c>
      <c r="H3242" s="115" t="s">
        <v>2795</v>
      </c>
    </row>
    <row r="3243" spans="1:8" x14ac:dyDescent="0.25">
      <c r="A3243" s="115">
        <v>4607</v>
      </c>
      <c r="B3243" s="115" t="s">
        <v>128</v>
      </c>
      <c r="C3243" s="115" t="s">
        <v>8477</v>
      </c>
      <c r="D3243" s="115">
        <v>1</v>
      </c>
      <c r="E3243" s="115" t="s">
        <v>8478</v>
      </c>
      <c r="F3243" s="115" t="s">
        <v>8479</v>
      </c>
      <c r="G3243" s="115" t="s">
        <v>8480</v>
      </c>
      <c r="H3243" s="115" t="s">
        <v>8478</v>
      </c>
    </row>
    <row r="3244" spans="1:8" x14ac:dyDescent="0.25">
      <c r="A3244" s="115">
        <v>4606</v>
      </c>
      <c r="B3244" s="115" t="s">
        <v>128</v>
      </c>
      <c r="C3244" s="115" t="s">
        <v>8481</v>
      </c>
      <c r="D3244" s="115">
        <v>1</v>
      </c>
      <c r="E3244" s="115" t="s">
        <v>8482</v>
      </c>
      <c r="F3244" s="115" t="s">
        <v>8483</v>
      </c>
      <c r="G3244" s="115" t="s">
        <v>8484</v>
      </c>
      <c r="H3244" s="115" t="s">
        <v>8482</v>
      </c>
    </row>
    <row r="3245" spans="1:8" x14ac:dyDescent="0.25">
      <c r="A3245" s="115">
        <v>4605</v>
      </c>
      <c r="B3245" s="115" t="s">
        <v>128</v>
      </c>
      <c r="C3245" s="115" t="s">
        <v>8485</v>
      </c>
      <c r="D3245" s="115">
        <v>1</v>
      </c>
      <c r="E3245" s="115" t="s">
        <v>494</v>
      </c>
      <c r="F3245" s="115" t="s">
        <v>8486</v>
      </c>
      <c r="G3245" s="115" t="s">
        <v>496</v>
      </c>
      <c r="H3245" s="115" t="s">
        <v>494</v>
      </c>
    </row>
    <row r="3246" spans="1:8" x14ac:dyDescent="0.25">
      <c r="A3246" s="115">
        <v>4604</v>
      </c>
      <c r="B3246" s="115" t="s">
        <v>128</v>
      </c>
      <c r="C3246" s="115" t="s">
        <v>8487</v>
      </c>
      <c r="D3246" s="115">
        <v>1</v>
      </c>
      <c r="E3246" s="115" t="s">
        <v>519</v>
      </c>
      <c r="F3246" s="115" t="s">
        <v>8488</v>
      </c>
      <c r="G3246" s="115" t="s">
        <v>521</v>
      </c>
      <c r="H3246" s="115" t="s">
        <v>519</v>
      </c>
    </row>
    <row r="3247" spans="1:8" x14ac:dyDescent="0.25">
      <c r="A3247" s="115">
        <v>4603</v>
      </c>
      <c r="B3247" s="115" t="s">
        <v>128</v>
      </c>
      <c r="C3247" s="115" t="s">
        <v>8489</v>
      </c>
      <c r="D3247" s="115">
        <v>1</v>
      </c>
      <c r="E3247" s="115" t="s">
        <v>1550</v>
      </c>
      <c r="F3247" s="115" t="s">
        <v>1551</v>
      </c>
      <c r="G3247" s="115" t="s">
        <v>1552</v>
      </c>
      <c r="H3247" s="115" t="s">
        <v>1550</v>
      </c>
    </row>
    <row r="3248" spans="1:8" x14ac:dyDescent="0.25">
      <c r="A3248" s="115">
        <v>4602</v>
      </c>
      <c r="B3248" s="115" t="s">
        <v>128</v>
      </c>
      <c r="C3248" s="115" t="s">
        <v>8490</v>
      </c>
      <c r="D3248" s="115">
        <v>1</v>
      </c>
      <c r="E3248" s="115" t="s">
        <v>8491</v>
      </c>
      <c r="F3248" s="115" t="s">
        <v>6979</v>
      </c>
      <c r="G3248" s="115" t="s">
        <v>1590</v>
      </c>
      <c r="H3248" s="115" t="s">
        <v>8491</v>
      </c>
    </row>
    <row r="3249" spans="1:8" ht="30" x14ac:dyDescent="0.25">
      <c r="A3249" s="115">
        <v>4601</v>
      </c>
      <c r="B3249" s="115" t="s">
        <v>128</v>
      </c>
      <c r="C3249" s="115" t="s">
        <v>8492</v>
      </c>
      <c r="D3249" s="115">
        <v>1</v>
      </c>
      <c r="E3249" s="115" t="s">
        <v>8493</v>
      </c>
      <c r="F3249" s="115" t="s">
        <v>8494</v>
      </c>
      <c r="G3249" s="115" t="s">
        <v>8495</v>
      </c>
      <c r="H3249" s="115" t="s">
        <v>8493</v>
      </c>
    </row>
    <row r="3250" spans="1:8" x14ac:dyDescent="0.25">
      <c r="A3250" s="115">
        <v>4600</v>
      </c>
      <c r="B3250" s="115" t="s">
        <v>128</v>
      </c>
      <c r="C3250" s="115" t="s">
        <v>8496</v>
      </c>
      <c r="D3250" s="115">
        <v>1</v>
      </c>
      <c r="E3250" s="115" t="s">
        <v>8497</v>
      </c>
      <c r="F3250" s="115" t="s">
        <v>8498</v>
      </c>
      <c r="G3250" s="117">
        <v>44125</v>
      </c>
      <c r="H3250" s="115" t="s">
        <v>8497</v>
      </c>
    </row>
    <row r="3251" spans="1:8" x14ac:dyDescent="0.25">
      <c r="A3251" s="115">
        <v>4599</v>
      </c>
      <c r="B3251" s="115" t="s">
        <v>128</v>
      </c>
      <c r="C3251" s="115" t="s">
        <v>8499</v>
      </c>
      <c r="D3251" s="115">
        <v>1</v>
      </c>
      <c r="E3251" s="115" t="s">
        <v>7005</v>
      </c>
      <c r="F3251" s="115" t="s">
        <v>8500</v>
      </c>
      <c r="G3251" s="115" t="s">
        <v>486</v>
      </c>
      <c r="H3251" s="115" t="s">
        <v>7005</v>
      </c>
    </row>
    <row r="3252" spans="1:8" ht="30" x14ac:dyDescent="0.25">
      <c r="A3252" s="115">
        <v>4598</v>
      </c>
      <c r="B3252" s="115" t="s">
        <v>128</v>
      </c>
      <c r="C3252" s="115" t="s">
        <v>8501</v>
      </c>
      <c r="D3252" s="115">
        <v>1</v>
      </c>
      <c r="E3252" s="115" t="s">
        <v>8493</v>
      </c>
      <c r="F3252" s="115" t="s">
        <v>8494</v>
      </c>
      <c r="G3252" s="115" t="s">
        <v>8495</v>
      </c>
      <c r="H3252" s="115" t="s">
        <v>8493</v>
      </c>
    </row>
    <row r="3253" spans="1:8" x14ac:dyDescent="0.25">
      <c r="A3253" s="115">
        <v>4597</v>
      </c>
      <c r="B3253" s="115" t="s">
        <v>128</v>
      </c>
      <c r="C3253" s="115" t="s">
        <v>8502</v>
      </c>
      <c r="D3253" s="115">
        <v>1</v>
      </c>
      <c r="E3253" s="115" t="s">
        <v>8497</v>
      </c>
      <c r="F3253" s="115" t="s">
        <v>8498</v>
      </c>
      <c r="G3253" s="117">
        <v>44125</v>
      </c>
      <c r="H3253" s="115" t="s">
        <v>8497</v>
      </c>
    </row>
    <row r="3254" spans="1:8" x14ac:dyDescent="0.25">
      <c r="A3254" s="115">
        <v>4596</v>
      </c>
      <c r="B3254" s="115" t="s">
        <v>128</v>
      </c>
      <c r="C3254" s="115" t="s">
        <v>8503</v>
      </c>
      <c r="D3254" s="115">
        <v>1</v>
      </c>
      <c r="E3254" s="115" t="s">
        <v>563</v>
      </c>
      <c r="F3254" s="115" t="s">
        <v>8504</v>
      </c>
      <c r="G3254" s="115" t="s">
        <v>565</v>
      </c>
      <c r="H3254" s="115" t="s">
        <v>563</v>
      </c>
    </row>
    <row r="3255" spans="1:8" ht="30" x14ac:dyDescent="0.25">
      <c r="A3255" s="115">
        <v>4595</v>
      </c>
      <c r="B3255" s="115" t="s">
        <v>128</v>
      </c>
      <c r="C3255" s="115" t="s">
        <v>8505</v>
      </c>
      <c r="D3255" s="115">
        <v>1</v>
      </c>
      <c r="E3255" s="115" t="s">
        <v>8493</v>
      </c>
      <c r="F3255" s="115" t="s">
        <v>8494</v>
      </c>
      <c r="G3255" s="115" t="s">
        <v>8495</v>
      </c>
      <c r="H3255" s="115" t="s">
        <v>8493</v>
      </c>
    </row>
    <row r="3256" spans="1:8" x14ac:dyDescent="0.25">
      <c r="A3256" s="115">
        <v>4594</v>
      </c>
      <c r="B3256" s="115" t="s">
        <v>128</v>
      </c>
      <c r="C3256" s="115" t="s">
        <v>8506</v>
      </c>
      <c r="D3256" s="115">
        <v>1</v>
      </c>
      <c r="E3256" s="115" t="s">
        <v>8497</v>
      </c>
      <c r="F3256" s="115" t="s">
        <v>8498</v>
      </c>
      <c r="G3256" s="117">
        <v>44125</v>
      </c>
      <c r="H3256" s="115" t="s">
        <v>8497</v>
      </c>
    </row>
    <row r="3257" spans="1:8" ht="30" x14ac:dyDescent="0.25">
      <c r="A3257" s="115">
        <v>4593</v>
      </c>
      <c r="B3257" s="115" t="s">
        <v>128</v>
      </c>
      <c r="C3257" s="115" t="s">
        <v>8507</v>
      </c>
      <c r="D3257" s="115">
        <v>1</v>
      </c>
      <c r="E3257" s="115" t="s">
        <v>8508</v>
      </c>
      <c r="F3257" s="115" t="s">
        <v>8190</v>
      </c>
      <c r="G3257" s="115" t="s">
        <v>6938</v>
      </c>
      <c r="H3257" s="115" t="s">
        <v>8508</v>
      </c>
    </row>
    <row r="3258" spans="1:8" ht="30" x14ac:dyDescent="0.25">
      <c r="A3258" s="115">
        <v>4592</v>
      </c>
      <c r="B3258" s="115" t="s">
        <v>128</v>
      </c>
      <c r="C3258" s="115" t="s">
        <v>8509</v>
      </c>
      <c r="D3258" s="115">
        <v>1</v>
      </c>
      <c r="E3258" s="115" t="s">
        <v>8493</v>
      </c>
      <c r="F3258" s="115" t="s">
        <v>8494</v>
      </c>
      <c r="G3258" s="115" t="s">
        <v>8495</v>
      </c>
      <c r="H3258" s="115" t="s">
        <v>8493</v>
      </c>
    </row>
    <row r="3259" spans="1:8" x14ac:dyDescent="0.25">
      <c r="A3259" s="115">
        <v>4591</v>
      </c>
      <c r="B3259" s="115" t="s">
        <v>128</v>
      </c>
      <c r="C3259" s="115" t="s">
        <v>8510</v>
      </c>
      <c r="D3259" s="115">
        <v>1</v>
      </c>
      <c r="E3259" s="115" t="s">
        <v>8497</v>
      </c>
      <c r="F3259" s="115" t="s">
        <v>8498</v>
      </c>
      <c r="G3259" s="117">
        <v>44125</v>
      </c>
      <c r="H3259" s="115" t="s">
        <v>8497</v>
      </c>
    </row>
    <row r="3260" spans="1:8" x14ac:dyDescent="0.25">
      <c r="A3260" s="115">
        <v>4590</v>
      </c>
      <c r="B3260" s="115" t="s">
        <v>128</v>
      </c>
      <c r="C3260" s="115" t="s">
        <v>8511</v>
      </c>
      <c r="D3260" s="115">
        <v>1</v>
      </c>
      <c r="E3260" s="115" t="s">
        <v>8512</v>
      </c>
      <c r="F3260" s="115" t="s">
        <v>8282</v>
      </c>
      <c r="G3260" s="115" t="s">
        <v>617</v>
      </c>
      <c r="H3260" s="115" t="s">
        <v>8512</v>
      </c>
    </row>
    <row r="3261" spans="1:8" ht="30" x14ac:dyDescent="0.25">
      <c r="A3261" s="115">
        <v>4589</v>
      </c>
      <c r="B3261" s="115" t="s">
        <v>128</v>
      </c>
      <c r="C3261" s="115" t="s">
        <v>8513</v>
      </c>
      <c r="D3261" s="115">
        <v>1</v>
      </c>
      <c r="E3261" s="115" t="s">
        <v>8493</v>
      </c>
      <c r="F3261" s="115" t="s">
        <v>8494</v>
      </c>
      <c r="G3261" s="115" t="s">
        <v>8495</v>
      </c>
      <c r="H3261" s="115" t="s">
        <v>8493</v>
      </c>
    </row>
    <row r="3262" spans="1:8" x14ac:dyDescent="0.25">
      <c r="A3262" s="115">
        <v>4588</v>
      </c>
      <c r="B3262" s="115" t="s">
        <v>128</v>
      </c>
      <c r="C3262" s="115" t="s">
        <v>8514</v>
      </c>
      <c r="D3262" s="115">
        <v>1</v>
      </c>
      <c r="E3262" s="115" t="s">
        <v>8497</v>
      </c>
      <c r="F3262" s="115" t="s">
        <v>8498</v>
      </c>
      <c r="G3262" s="117">
        <v>44125</v>
      </c>
      <c r="H3262" s="115" t="s">
        <v>8497</v>
      </c>
    </row>
    <row r="3263" spans="1:8" x14ac:dyDescent="0.25">
      <c r="A3263" s="115">
        <v>4587</v>
      </c>
      <c r="B3263" s="115" t="s">
        <v>128</v>
      </c>
      <c r="C3263" s="115" t="s">
        <v>8515</v>
      </c>
      <c r="D3263" s="115">
        <v>1</v>
      </c>
      <c r="E3263" s="115" t="s">
        <v>8516</v>
      </c>
      <c r="F3263" s="115" t="s">
        <v>6987</v>
      </c>
      <c r="G3263" s="115" t="s">
        <v>713</v>
      </c>
      <c r="H3263" s="115" t="s">
        <v>8516</v>
      </c>
    </row>
    <row r="3264" spans="1:8" ht="30" x14ac:dyDescent="0.25">
      <c r="A3264" s="115">
        <v>4586</v>
      </c>
      <c r="B3264" s="115" t="s">
        <v>128</v>
      </c>
      <c r="C3264" s="115" t="s">
        <v>8517</v>
      </c>
      <c r="D3264" s="115">
        <v>1</v>
      </c>
      <c r="E3264" s="115" t="s">
        <v>8493</v>
      </c>
      <c r="F3264" s="115" t="s">
        <v>8494</v>
      </c>
      <c r="G3264" s="115" t="s">
        <v>8495</v>
      </c>
      <c r="H3264" s="115" t="s">
        <v>8493</v>
      </c>
    </row>
    <row r="3265" spans="1:8" x14ac:dyDescent="0.25">
      <c r="A3265" s="115">
        <v>4585</v>
      </c>
      <c r="B3265" s="115" t="s">
        <v>128</v>
      </c>
      <c r="C3265" s="115" t="s">
        <v>8518</v>
      </c>
      <c r="D3265" s="115">
        <v>1</v>
      </c>
      <c r="E3265" s="115" t="s">
        <v>8497</v>
      </c>
      <c r="F3265" s="115" t="s">
        <v>8498</v>
      </c>
      <c r="G3265" s="117">
        <v>44125</v>
      </c>
      <c r="H3265" s="115" t="s">
        <v>8497</v>
      </c>
    </row>
    <row r="3266" spans="1:8" ht="30" x14ac:dyDescent="0.25">
      <c r="A3266" s="115">
        <v>4584</v>
      </c>
      <c r="B3266" s="115" t="s">
        <v>128</v>
      </c>
      <c r="C3266" s="115" t="s">
        <v>8519</v>
      </c>
      <c r="D3266" s="115">
        <v>1</v>
      </c>
      <c r="E3266" s="115" t="s">
        <v>8294</v>
      </c>
      <c r="F3266" s="115" t="s">
        <v>8295</v>
      </c>
      <c r="G3266" s="115" t="s">
        <v>8520</v>
      </c>
      <c r="H3266" s="115" t="s">
        <v>8294</v>
      </c>
    </row>
    <row r="3267" spans="1:8" ht="30" x14ac:dyDescent="0.25">
      <c r="A3267" s="115">
        <v>4583</v>
      </c>
      <c r="B3267" s="115" t="s">
        <v>128</v>
      </c>
      <c r="C3267" s="115" t="s">
        <v>8521</v>
      </c>
      <c r="D3267" s="115">
        <v>1</v>
      </c>
      <c r="E3267" s="115" t="s">
        <v>8493</v>
      </c>
      <c r="F3267" s="115" t="s">
        <v>8494</v>
      </c>
      <c r="G3267" s="115" t="s">
        <v>8495</v>
      </c>
      <c r="H3267" s="115" t="s">
        <v>8493</v>
      </c>
    </row>
    <row r="3268" spans="1:8" x14ac:dyDescent="0.25">
      <c r="A3268" s="115">
        <v>4582</v>
      </c>
      <c r="B3268" s="115" t="s">
        <v>128</v>
      </c>
      <c r="C3268" s="115" t="s">
        <v>8522</v>
      </c>
      <c r="D3268" s="115">
        <v>1</v>
      </c>
      <c r="E3268" s="115" t="s">
        <v>8497</v>
      </c>
      <c r="F3268" s="115" t="s">
        <v>8498</v>
      </c>
      <c r="G3268" s="117">
        <v>44125</v>
      </c>
      <c r="H3268" s="115" t="s">
        <v>8497</v>
      </c>
    </row>
    <row r="3269" spans="1:8" ht="165" x14ac:dyDescent="0.25">
      <c r="A3269" s="115">
        <v>4581</v>
      </c>
      <c r="B3269" s="115" t="s">
        <v>128</v>
      </c>
      <c r="C3269" s="115" t="s">
        <v>8523</v>
      </c>
      <c r="D3269" s="115">
        <v>1</v>
      </c>
      <c r="E3269" s="115" t="s">
        <v>8524</v>
      </c>
      <c r="F3269" s="115" t="s">
        <v>8525</v>
      </c>
      <c r="G3269" s="115" t="s">
        <v>8526</v>
      </c>
      <c r="H3269" s="115" t="s">
        <v>8524</v>
      </c>
    </row>
    <row r="3270" spans="1:8" ht="30" x14ac:dyDescent="0.25">
      <c r="A3270" s="115">
        <v>4580</v>
      </c>
      <c r="B3270" s="115" t="s">
        <v>128</v>
      </c>
      <c r="C3270" s="115" t="s">
        <v>8527</v>
      </c>
      <c r="D3270" s="115">
        <v>1</v>
      </c>
      <c r="E3270" s="115" t="s">
        <v>8528</v>
      </c>
      <c r="F3270" s="115" t="s">
        <v>8529</v>
      </c>
      <c r="G3270" s="115" t="s">
        <v>8530</v>
      </c>
      <c r="H3270" s="115" t="s">
        <v>8528</v>
      </c>
    </row>
    <row r="3271" spans="1:8" ht="75" x14ac:dyDescent="0.25">
      <c r="A3271" s="115">
        <v>4579</v>
      </c>
      <c r="B3271" s="115" t="s">
        <v>128</v>
      </c>
      <c r="C3271" s="115" t="s">
        <v>8531</v>
      </c>
      <c r="D3271" s="115">
        <v>1</v>
      </c>
      <c r="E3271" s="115" t="s">
        <v>8532</v>
      </c>
      <c r="F3271" s="115" t="s">
        <v>8533</v>
      </c>
      <c r="G3271" s="115" t="s">
        <v>8534</v>
      </c>
      <c r="H3271" s="115" t="s">
        <v>8532</v>
      </c>
    </row>
    <row r="3272" spans="1:8" x14ac:dyDescent="0.25">
      <c r="A3272" s="115">
        <v>4578</v>
      </c>
      <c r="B3272" s="115" t="s">
        <v>95</v>
      </c>
      <c r="C3272" s="115" t="s">
        <v>8535</v>
      </c>
      <c r="D3272" s="115">
        <v>1</v>
      </c>
      <c r="F3272" s="115" t="s">
        <v>74</v>
      </c>
      <c r="G3272" s="115" t="s">
        <v>74</v>
      </c>
      <c r="H3272" s="115" t="s">
        <v>8536</v>
      </c>
    </row>
    <row r="3273" spans="1:8" x14ac:dyDescent="0.25">
      <c r="A3273" s="115">
        <v>4577</v>
      </c>
      <c r="B3273" s="115" t="s">
        <v>313</v>
      </c>
      <c r="C3273" s="115" t="s">
        <v>8537</v>
      </c>
      <c r="D3273" s="115">
        <v>1</v>
      </c>
      <c r="E3273" s="115" t="s">
        <v>8538</v>
      </c>
      <c r="F3273" s="115" t="s">
        <v>8539</v>
      </c>
      <c r="G3273" s="115" t="s">
        <v>8540</v>
      </c>
      <c r="H3273" s="115" t="s">
        <v>8541</v>
      </c>
    </row>
    <row r="3274" spans="1:8" x14ac:dyDescent="0.25">
      <c r="A3274" s="115">
        <v>4576</v>
      </c>
      <c r="B3274" s="115" t="s">
        <v>313</v>
      </c>
      <c r="C3274" s="115" t="s">
        <v>415</v>
      </c>
      <c r="D3274" s="115">
        <v>1</v>
      </c>
      <c r="E3274" s="115" t="s">
        <v>416</v>
      </c>
      <c r="F3274" s="115" t="s">
        <v>417</v>
      </c>
      <c r="G3274" s="115" t="s">
        <v>418</v>
      </c>
      <c r="H3274" s="115" t="s">
        <v>419</v>
      </c>
    </row>
    <row r="3275" spans="1:8" x14ac:dyDescent="0.25">
      <c r="A3275" s="115">
        <v>4566</v>
      </c>
      <c r="B3275" s="115" t="s">
        <v>149</v>
      </c>
      <c r="C3275" s="115" t="s">
        <v>8542</v>
      </c>
      <c r="D3275" s="115">
        <v>0</v>
      </c>
      <c r="E3275" s="115" t="s">
        <v>8543</v>
      </c>
      <c r="F3275" s="115" t="s">
        <v>8544</v>
      </c>
      <c r="G3275" s="115" t="s">
        <v>8545</v>
      </c>
      <c r="H3275" s="115" t="s">
        <v>8546</v>
      </c>
    </row>
    <row r="3276" spans="1:8" x14ac:dyDescent="0.25">
      <c r="A3276" s="115">
        <v>4565</v>
      </c>
      <c r="B3276" s="115" t="s">
        <v>149</v>
      </c>
      <c r="C3276" s="115" t="s">
        <v>8547</v>
      </c>
      <c r="D3276" s="115">
        <v>1</v>
      </c>
      <c r="E3276" s="115" t="s">
        <v>8548</v>
      </c>
      <c r="F3276" s="115" t="s">
        <v>8549</v>
      </c>
      <c r="G3276" s="115" t="s">
        <v>8550</v>
      </c>
      <c r="H3276" s="115" t="s">
        <v>74</v>
      </c>
    </row>
    <row r="3277" spans="1:8" x14ac:dyDescent="0.25">
      <c r="A3277" s="115">
        <v>4564</v>
      </c>
      <c r="B3277" s="115" t="s">
        <v>149</v>
      </c>
      <c r="C3277" s="115" t="s">
        <v>8551</v>
      </c>
      <c r="D3277" s="115">
        <v>1</v>
      </c>
      <c r="E3277" s="115" t="s">
        <v>8552</v>
      </c>
      <c r="F3277" s="115" t="s">
        <v>8553</v>
      </c>
      <c r="G3277" s="115" t="s">
        <v>8554</v>
      </c>
      <c r="H3277" s="115" t="s">
        <v>74</v>
      </c>
    </row>
    <row r="3278" spans="1:8" x14ac:dyDescent="0.25">
      <c r="A3278" s="115">
        <v>4563</v>
      </c>
      <c r="B3278" s="115" t="s">
        <v>8551</v>
      </c>
      <c r="C3278" s="115" t="s">
        <v>8555</v>
      </c>
      <c r="D3278" s="115">
        <v>1</v>
      </c>
      <c r="E3278" s="115" t="s">
        <v>5460</v>
      </c>
      <c r="F3278" s="115" t="s">
        <v>8556</v>
      </c>
      <c r="G3278" s="115" t="s">
        <v>8557</v>
      </c>
      <c r="H3278" s="115" t="s">
        <v>74</v>
      </c>
    </row>
    <row r="3279" spans="1:8" x14ac:dyDescent="0.25">
      <c r="A3279" s="115">
        <v>4562</v>
      </c>
      <c r="B3279" s="115" t="s">
        <v>8551</v>
      </c>
      <c r="C3279" s="115" t="s">
        <v>8558</v>
      </c>
      <c r="D3279" s="115">
        <v>1</v>
      </c>
      <c r="E3279" s="115" t="s">
        <v>334</v>
      </c>
      <c r="F3279" s="115" t="s">
        <v>335</v>
      </c>
      <c r="G3279" s="115" t="s">
        <v>336</v>
      </c>
      <c r="H3279" s="115" t="s">
        <v>74</v>
      </c>
    </row>
    <row r="3280" spans="1:8" ht="30" x14ac:dyDescent="0.25">
      <c r="A3280" s="115">
        <v>4561</v>
      </c>
      <c r="B3280" s="115" t="s">
        <v>8559</v>
      </c>
      <c r="C3280" s="115" t="s">
        <v>8560</v>
      </c>
      <c r="D3280" s="115">
        <v>1</v>
      </c>
      <c r="E3280" s="115" t="s">
        <v>8561</v>
      </c>
      <c r="F3280" s="115" t="s">
        <v>8562</v>
      </c>
      <c r="G3280" s="115" t="s">
        <v>8563</v>
      </c>
      <c r="H3280" s="115" t="s">
        <v>74</v>
      </c>
    </row>
    <row r="3281" spans="1:8" ht="45" x14ac:dyDescent="0.25">
      <c r="A3281" s="115">
        <v>4560</v>
      </c>
      <c r="B3281" s="115" t="s">
        <v>8559</v>
      </c>
      <c r="C3281" s="115" t="s">
        <v>8564</v>
      </c>
      <c r="D3281" s="115">
        <v>1</v>
      </c>
      <c r="E3281" s="115" t="s">
        <v>8565</v>
      </c>
      <c r="F3281" s="115" t="s">
        <v>8566</v>
      </c>
      <c r="G3281" s="115" t="s">
        <v>8567</v>
      </c>
      <c r="H3281" s="115" t="s">
        <v>74</v>
      </c>
    </row>
    <row r="3282" spans="1:8" x14ac:dyDescent="0.25">
      <c r="A3282" s="115">
        <v>4559</v>
      </c>
      <c r="B3282" s="115" t="s">
        <v>8559</v>
      </c>
      <c r="C3282" s="115" t="s">
        <v>395</v>
      </c>
      <c r="D3282" s="115">
        <v>1</v>
      </c>
      <c r="E3282" s="115" t="s">
        <v>396</v>
      </c>
      <c r="F3282" s="115" t="s">
        <v>74</v>
      </c>
      <c r="G3282" s="115" t="s">
        <v>74</v>
      </c>
      <c r="H3282" s="115" t="s">
        <v>74</v>
      </c>
    </row>
    <row r="3283" spans="1:8" x14ac:dyDescent="0.25">
      <c r="A3283" s="115">
        <v>4558</v>
      </c>
      <c r="B3283" s="115" t="s">
        <v>149</v>
      </c>
      <c r="C3283" s="115" t="s">
        <v>395</v>
      </c>
      <c r="D3283" s="115">
        <v>1</v>
      </c>
      <c r="E3283" s="115" t="s">
        <v>396</v>
      </c>
      <c r="F3283" s="115" t="s">
        <v>396</v>
      </c>
      <c r="G3283" s="115" t="s">
        <v>396</v>
      </c>
      <c r="H3283" s="115" t="s">
        <v>74</v>
      </c>
    </row>
    <row r="3284" spans="1:8" x14ac:dyDescent="0.25">
      <c r="A3284" s="115">
        <v>4557</v>
      </c>
      <c r="B3284" s="115" t="s">
        <v>8542</v>
      </c>
      <c r="C3284" s="115" t="s">
        <v>184</v>
      </c>
      <c r="D3284" s="115">
        <v>0</v>
      </c>
      <c r="E3284" s="115" t="s">
        <v>8543</v>
      </c>
      <c r="F3284" s="115" t="s">
        <v>8568</v>
      </c>
      <c r="G3284" s="115" t="s">
        <v>8569</v>
      </c>
      <c r="H3284" s="115" t="s">
        <v>8570</v>
      </c>
    </row>
    <row r="3285" spans="1:8" x14ac:dyDescent="0.25">
      <c r="A3285" s="115">
        <v>4531</v>
      </c>
      <c r="B3285" s="115" t="s">
        <v>149</v>
      </c>
      <c r="C3285" s="115" t="s">
        <v>8571</v>
      </c>
      <c r="D3285" s="115">
        <v>0</v>
      </c>
      <c r="E3285" s="115" t="s">
        <v>8416</v>
      </c>
      <c r="F3285" s="115" t="s">
        <v>74</v>
      </c>
      <c r="G3285" s="115" t="s">
        <v>74</v>
      </c>
      <c r="H3285" s="115" t="s">
        <v>74</v>
      </c>
    </row>
    <row r="3286" spans="1:8" x14ac:dyDescent="0.25">
      <c r="A3286" s="115">
        <v>4492</v>
      </c>
      <c r="B3286" s="115" t="s">
        <v>141</v>
      </c>
      <c r="C3286" s="115" t="s">
        <v>8572</v>
      </c>
      <c r="D3286" s="115">
        <v>0</v>
      </c>
      <c r="E3286" s="115" t="s">
        <v>4197</v>
      </c>
      <c r="F3286" s="115" t="s">
        <v>74</v>
      </c>
      <c r="G3286" s="115" t="s">
        <v>74</v>
      </c>
      <c r="H3286" s="115" t="s">
        <v>74</v>
      </c>
    </row>
    <row r="3287" spans="1:8" x14ac:dyDescent="0.25">
      <c r="A3287" s="115">
        <v>4491</v>
      </c>
      <c r="B3287" s="115" t="s">
        <v>141</v>
      </c>
      <c r="C3287" s="115" t="s">
        <v>8573</v>
      </c>
      <c r="D3287" s="115">
        <v>0</v>
      </c>
      <c r="E3287" s="115" t="s">
        <v>4203</v>
      </c>
      <c r="F3287" s="115" t="s">
        <v>74</v>
      </c>
      <c r="G3287" s="115" t="s">
        <v>74</v>
      </c>
      <c r="H3287" s="115" t="s">
        <v>74</v>
      </c>
    </row>
    <row r="3288" spans="1:8" x14ac:dyDescent="0.25">
      <c r="A3288" s="115">
        <v>4490</v>
      </c>
      <c r="B3288" s="115" t="s">
        <v>141</v>
      </c>
      <c r="C3288" s="115" t="s">
        <v>8574</v>
      </c>
      <c r="D3288" s="115">
        <v>0</v>
      </c>
      <c r="E3288" s="115" t="s">
        <v>33</v>
      </c>
      <c r="F3288" s="115" t="s">
        <v>74</v>
      </c>
      <c r="G3288" s="115" t="s">
        <v>74</v>
      </c>
      <c r="H3288" s="115" t="s">
        <v>74</v>
      </c>
    </row>
    <row r="3289" spans="1:8" x14ac:dyDescent="0.25">
      <c r="A3289" s="115">
        <v>4489</v>
      </c>
      <c r="B3289" s="115" t="s">
        <v>141</v>
      </c>
      <c r="C3289" s="115" t="s">
        <v>8575</v>
      </c>
      <c r="D3289" s="115">
        <v>0</v>
      </c>
      <c r="E3289" s="115" t="s">
        <v>29</v>
      </c>
      <c r="F3289" s="115" t="s">
        <v>74</v>
      </c>
      <c r="G3289" s="115" t="s">
        <v>74</v>
      </c>
      <c r="H3289" s="115" t="s">
        <v>74</v>
      </c>
    </row>
    <row r="3290" spans="1:8" x14ac:dyDescent="0.25">
      <c r="A3290" s="115">
        <v>4488</v>
      </c>
      <c r="B3290" s="115" t="s">
        <v>141</v>
      </c>
      <c r="C3290" s="115" t="s">
        <v>8576</v>
      </c>
      <c r="D3290" s="115">
        <v>0</v>
      </c>
      <c r="E3290" s="115" t="s">
        <v>37</v>
      </c>
      <c r="F3290" s="115" t="s">
        <v>74</v>
      </c>
      <c r="G3290" s="115" t="s">
        <v>74</v>
      </c>
      <c r="H3290" s="115" t="s">
        <v>74</v>
      </c>
    </row>
    <row r="3291" spans="1:8" x14ac:dyDescent="0.25">
      <c r="A3291" s="115">
        <v>4487</v>
      </c>
      <c r="B3291" s="115" t="s">
        <v>141</v>
      </c>
      <c r="C3291" s="115" t="s">
        <v>8577</v>
      </c>
      <c r="D3291" s="115">
        <v>0</v>
      </c>
      <c r="E3291" s="115" t="s">
        <v>41</v>
      </c>
      <c r="F3291" s="115" t="s">
        <v>74</v>
      </c>
      <c r="G3291" s="115" t="s">
        <v>74</v>
      </c>
      <c r="H3291" s="115" t="s">
        <v>74</v>
      </c>
    </row>
    <row r="3292" spans="1:8" x14ac:dyDescent="0.25">
      <c r="A3292" s="115">
        <v>4479</v>
      </c>
      <c r="B3292" s="115" t="s">
        <v>149</v>
      </c>
      <c r="C3292" s="115" t="s">
        <v>8578</v>
      </c>
      <c r="D3292" s="115">
        <v>0</v>
      </c>
      <c r="E3292" s="115" t="s">
        <v>8579</v>
      </c>
      <c r="F3292" s="115" t="s">
        <v>74</v>
      </c>
      <c r="G3292" s="115" t="s">
        <v>8580</v>
      </c>
      <c r="H3292" s="115" t="s">
        <v>74</v>
      </c>
    </row>
    <row r="3293" spans="1:8" x14ac:dyDescent="0.25">
      <c r="A3293" s="115">
        <v>4478</v>
      </c>
      <c r="B3293" s="115" t="s">
        <v>149</v>
      </c>
      <c r="C3293" s="115" t="s">
        <v>8581</v>
      </c>
      <c r="D3293" s="115">
        <v>0</v>
      </c>
      <c r="E3293" s="115" t="s">
        <v>8582</v>
      </c>
      <c r="F3293" s="115" t="s">
        <v>74</v>
      </c>
      <c r="G3293" s="115" t="s">
        <v>8583</v>
      </c>
      <c r="H3293" s="115" t="s">
        <v>74</v>
      </c>
    </row>
    <row r="3294" spans="1:8" x14ac:dyDescent="0.25">
      <c r="A3294" s="115">
        <v>4471</v>
      </c>
      <c r="B3294" s="115" t="s">
        <v>149</v>
      </c>
      <c r="C3294" s="115" t="s">
        <v>8584</v>
      </c>
      <c r="D3294" s="115">
        <v>0</v>
      </c>
      <c r="E3294" s="115" t="s">
        <v>8585</v>
      </c>
      <c r="F3294" s="115" t="s">
        <v>8586</v>
      </c>
      <c r="G3294" s="115" t="s">
        <v>8587</v>
      </c>
      <c r="H3294" s="115" t="s">
        <v>8588</v>
      </c>
    </row>
    <row r="3295" spans="1:8" x14ac:dyDescent="0.25">
      <c r="A3295" s="115">
        <v>4470</v>
      </c>
      <c r="B3295" s="115" t="s">
        <v>149</v>
      </c>
      <c r="C3295" s="115" t="s">
        <v>8589</v>
      </c>
      <c r="D3295" s="115">
        <v>0</v>
      </c>
      <c r="E3295" s="115" t="s">
        <v>8590</v>
      </c>
      <c r="F3295" s="115" t="s">
        <v>8591</v>
      </c>
      <c r="G3295" s="115" t="s">
        <v>8592</v>
      </c>
      <c r="H3295" s="115" t="s">
        <v>8593</v>
      </c>
    </row>
    <row r="3296" spans="1:8" ht="45" x14ac:dyDescent="0.25">
      <c r="A3296" s="115">
        <v>4396</v>
      </c>
      <c r="B3296" s="115" t="s">
        <v>149</v>
      </c>
      <c r="C3296" s="115" t="s">
        <v>8594</v>
      </c>
      <c r="D3296" s="115">
        <v>0</v>
      </c>
      <c r="E3296" s="115" t="s">
        <v>8595</v>
      </c>
      <c r="F3296" s="115" t="s">
        <v>8596</v>
      </c>
      <c r="G3296" s="115" t="s">
        <v>8597</v>
      </c>
      <c r="H3296" s="115" t="s">
        <v>8598</v>
      </c>
    </row>
    <row r="3297" spans="1:8" x14ac:dyDescent="0.25">
      <c r="A3297" s="115">
        <v>4395</v>
      </c>
      <c r="B3297" s="115" t="s">
        <v>149</v>
      </c>
      <c r="C3297" s="115" t="s">
        <v>8599</v>
      </c>
      <c r="D3297" s="115">
        <v>0</v>
      </c>
      <c r="E3297" s="115" t="s">
        <v>8600</v>
      </c>
      <c r="F3297" s="115" t="s">
        <v>8601</v>
      </c>
      <c r="G3297" s="115" t="s">
        <v>8602</v>
      </c>
      <c r="H3297" s="115" t="s">
        <v>8603</v>
      </c>
    </row>
    <row r="3298" spans="1:8" ht="45" x14ac:dyDescent="0.25">
      <c r="A3298" s="115">
        <v>4230</v>
      </c>
      <c r="B3298" s="115" t="s">
        <v>149</v>
      </c>
      <c r="C3298" s="115" t="s">
        <v>8604</v>
      </c>
      <c r="D3298" s="115">
        <v>0</v>
      </c>
      <c r="E3298" s="115" t="s">
        <v>8605</v>
      </c>
      <c r="F3298" s="115" t="s">
        <v>8606</v>
      </c>
      <c r="G3298" s="115" t="s">
        <v>8607</v>
      </c>
      <c r="H3298" s="115" t="s">
        <v>8608</v>
      </c>
    </row>
    <row r="3299" spans="1:8" x14ac:dyDescent="0.25">
      <c r="A3299" s="115">
        <v>4229</v>
      </c>
      <c r="B3299" s="115" t="s">
        <v>149</v>
      </c>
      <c r="C3299" s="115" t="s">
        <v>8609</v>
      </c>
      <c r="D3299" s="115">
        <v>0</v>
      </c>
      <c r="E3299" s="115" t="s">
        <v>8610</v>
      </c>
      <c r="F3299" s="115" t="s">
        <v>8611</v>
      </c>
      <c r="G3299" s="115" t="s">
        <v>8612</v>
      </c>
      <c r="H3299" s="115" t="s">
        <v>8613</v>
      </c>
    </row>
    <row r="3300" spans="1:8" x14ac:dyDescent="0.25">
      <c r="A3300" s="115">
        <v>3890</v>
      </c>
      <c r="B3300" s="115" t="s">
        <v>149</v>
      </c>
      <c r="C3300" s="115" t="s">
        <v>8614</v>
      </c>
      <c r="D3300" s="115">
        <v>0</v>
      </c>
      <c r="E3300" s="115" t="s">
        <v>8615</v>
      </c>
      <c r="F3300" s="115" t="s">
        <v>74</v>
      </c>
      <c r="G3300" s="115" t="s">
        <v>8616</v>
      </c>
      <c r="H3300" s="115" t="s">
        <v>8617</v>
      </c>
    </row>
    <row r="3301" spans="1:8" x14ac:dyDescent="0.25">
      <c r="A3301" s="115">
        <v>3889</v>
      </c>
      <c r="B3301" s="115" t="s">
        <v>149</v>
      </c>
      <c r="C3301" s="115" t="s">
        <v>8618</v>
      </c>
      <c r="D3301" s="115">
        <v>0</v>
      </c>
      <c r="E3301" s="115" t="s">
        <v>8619</v>
      </c>
      <c r="F3301" s="115" t="s">
        <v>74</v>
      </c>
      <c r="G3301" s="115" t="s">
        <v>8619</v>
      </c>
      <c r="H3301" s="115" t="s">
        <v>8620</v>
      </c>
    </row>
    <row r="3302" spans="1:8" ht="30" x14ac:dyDescent="0.25">
      <c r="A3302" s="115">
        <v>3424</v>
      </c>
      <c r="B3302" s="115" t="s">
        <v>149</v>
      </c>
      <c r="C3302" s="115" t="s">
        <v>8621</v>
      </c>
      <c r="D3302" s="115">
        <v>0</v>
      </c>
      <c r="E3302" s="115" t="s">
        <v>8622</v>
      </c>
      <c r="F3302" s="115" t="s">
        <v>8623</v>
      </c>
      <c r="G3302" s="115" t="s">
        <v>8624</v>
      </c>
      <c r="H3302" s="115" t="s">
        <v>8625</v>
      </c>
    </row>
    <row r="3303" spans="1:8" x14ac:dyDescent="0.25">
      <c r="A3303" s="115">
        <v>3420</v>
      </c>
      <c r="B3303" s="115" t="s">
        <v>8626</v>
      </c>
      <c r="C3303" s="115" t="s">
        <v>162</v>
      </c>
      <c r="D3303" s="115">
        <v>0</v>
      </c>
      <c r="E3303" s="115" t="s">
        <v>163</v>
      </c>
      <c r="F3303" s="115" t="s">
        <v>8627</v>
      </c>
      <c r="G3303" s="115" t="s">
        <v>8628</v>
      </c>
      <c r="H3303" s="115" t="s">
        <v>8629</v>
      </c>
    </row>
    <row r="3304" spans="1:8" x14ac:dyDescent="0.25">
      <c r="A3304" s="115">
        <v>3419</v>
      </c>
      <c r="B3304" s="115" t="s">
        <v>8626</v>
      </c>
      <c r="C3304" s="115" t="s">
        <v>8630</v>
      </c>
      <c r="D3304" s="115">
        <v>0</v>
      </c>
      <c r="E3304" s="115" t="s">
        <v>8631</v>
      </c>
      <c r="F3304" s="115" t="s">
        <v>8632</v>
      </c>
      <c r="G3304" s="115" t="s">
        <v>8633</v>
      </c>
      <c r="H3304" s="115" t="s">
        <v>8634</v>
      </c>
    </row>
    <row r="3305" spans="1:8" x14ac:dyDescent="0.25">
      <c r="A3305" s="115">
        <v>3306</v>
      </c>
      <c r="B3305" s="115" t="s">
        <v>377</v>
      </c>
      <c r="C3305" s="115" t="s">
        <v>8635</v>
      </c>
      <c r="D3305" s="115">
        <v>0</v>
      </c>
      <c r="E3305" s="115" t="s">
        <v>8636</v>
      </c>
      <c r="F3305" s="115" t="s">
        <v>8637</v>
      </c>
      <c r="G3305" s="115" t="s">
        <v>8638</v>
      </c>
      <c r="H3305" s="115" t="s">
        <v>8639</v>
      </c>
    </row>
    <row r="3306" spans="1:8" x14ac:dyDescent="0.25">
      <c r="A3306" s="115">
        <v>3305</v>
      </c>
      <c r="B3306" s="115" t="s">
        <v>377</v>
      </c>
      <c r="C3306" s="115" t="s">
        <v>8640</v>
      </c>
      <c r="D3306" s="115">
        <v>0</v>
      </c>
      <c r="E3306" s="115" t="s">
        <v>815</v>
      </c>
      <c r="F3306" s="115" t="s">
        <v>815</v>
      </c>
      <c r="G3306" s="115" t="s">
        <v>815</v>
      </c>
      <c r="H3306" s="115" t="s">
        <v>74</v>
      </c>
    </row>
    <row r="3307" spans="1:8" x14ac:dyDescent="0.25">
      <c r="A3307" s="115">
        <v>3304</v>
      </c>
      <c r="B3307" s="115" t="s">
        <v>377</v>
      </c>
      <c r="C3307" s="115" t="s">
        <v>8641</v>
      </c>
      <c r="D3307" s="115">
        <v>0</v>
      </c>
      <c r="E3307" s="115" t="s">
        <v>8642</v>
      </c>
      <c r="F3307" s="115" t="s">
        <v>8643</v>
      </c>
      <c r="G3307" s="115" t="s">
        <v>8644</v>
      </c>
      <c r="H3307" s="115" t="s">
        <v>74</v>
      </c>
    </row>
    <row r="3308" spans="1:8" x14ac:dyDescent="0.25">
      <c r="A3308" s="115">
        <v>3303</v>
      </c>
      <c r="B3308" s="115" t="s">
        <v>377</v>
      </c>
      <c r="C3308" s="115" t="s">
        <v>8645</v>
      </c>
      <c r="D3308" s="115">
        <v>0</v>
      </c>
      <c r="E3308" s="115" t="s">
        <v>8646</v>
      </c>
      <c r="F3308" s="115" t="s">
        <v>8647</v>
      </c>
      <c r="G3308" s="115" t="s">
        <v>8648</v>
      </c>
      <c r="H3308" s="115" t="s">
        <v>74</v>
      </c>
    </row>
    <row r="3309" spans="1:8" ht="30" x14ac:dyDescent="0.25">
      <c r="A3309" s="115">
        <v>3302</v>
      </c>
      <c r="B3309" s="115" t="s">
        <v>377</v>
      </c>
      <c r="C3309" s="115" t="s">
        <v>8649</v>
      </c>
      <c r="D3309" s="115">
        <v>0</v>
      </c>
      <c r="E3309" s="115" t="s">
        <v>1111</v>
      </c>
      <c r="F3309" s="115" t="s">
        <v>1112</v>
      </c>
      <c r="G3309" s="115" t="s">
        <v>1113</v>
      </c>
      <c r="H3309" s="115" t="s">
        <v>8650</v>
      </c>
    </row>
    <row r="3310" spans="1:8" x14ac:dyDescent="0.25">
      <c r="A3310" s="115">
        <v>3301</v>
      </c>
      <c r="B3310" s="115" t="s">
        <v>377</v>
      </c>
      <c r="C3310" s="115" t="s">
        <v>8651</v>
      </c>
      <c r="D3310" s="115">
        <v>0</v>
      </c>
      <c r="E3310" s="115" t="s">
        <v>1102</v>
      </c>
      <c r="F3310" s="115" t="s">
        <v>1103</v>
      </c>
      <c r="G3310" s="115" t="s">
        <v>1104</v>
      </c>
      <c r="H3310" s="115" t="s">
        <v>8652</v>
      </c>
    </row>
    <row r="3311" spans="1:8" x14ac:dyDescent="0.25">
      <c r="A3311" s="115">
        <v>3299</v>
      </c>
      <c r="B3311" s="115" t="s">
        <v>8653</v>
      </c>
      <c r="D3311" s="115">
        <v>0</v>
      </c>
      <c r="F3311" s="115" t="s">
        <v>74</v>
      </c>
      <c r="G3311" s="115" t="s">
        <v>74</v>
      </c>
      <c r="H3311" s="115" t="s">
        <v>74</v>
      </c>
    </row>
    <row r="3312" spans="1:8" x14ac:dyDescent="0.25">
      <c r="A3312" s="115">
        <v>3298</v>
      </c>
      <c r="B3312" s="115" t="s">
        <v>141</v>
      </c>
      <c r="C3312" s="115" t="s">
        <v>8654</v>
      </c>
      <c r="D3312" s="115">
        <v>0</v>
      </c>
      <c r="E3312" s="115" t="s">
        <v>2780</v>
      </c>
      <c r="F3312" s="115" t="s">
        <v>74</v>
      </c>
      <c r="G3312" s="115" t="s">
        <v>74</v>
      </c>
      <c r="H3312" s="115" t="s">
        <v>74</v>
      </c>
    </row>
    <row r="3313" spans="1:8" x14ac:dyDescent="0.25">
      <c r="A3313" s="115">
        <v>3297</v>
      </c>
      <c r="B3313" s="115" t="s">
        <v>141</v>
      </c>
      <c r="C3313" s="115" t="s">
        <v>415</v>
      </c>
      <c r="D3313" s="115">
        <v>0</v>
      </c>
      <c r="E3313" s="115" t="s">
        <v>416</v>
      </c>
      <c r="F3313" s="115" t="s">
        <v>74</v>
      </c>
      <c r="G3313" s="115" t="s">
        <v>74</v>
      </c>
      <c r="H3313" s="115" t="s">
        <v>74</v>
      </c>
    </row>
    <row r="3314" spans="1:8" x14ac:dyDescent="0.25">
      <c r="A3314" s="115">
        <v>3296</v>
      </c>
      <c r="B3314" s="115" t="s">
        <v>141</v>
      </c>
      <c r="C3314" s="115" t="s">
        <v>8655</v>
      </c>
      <c r="D3314" s="115">
        <v>0</v>
      </c>
      <c r="E3314" s="115" t="s">
        <v>8656</v>
      </c>
      <c r="F3314" s="115" t="s">
        <v>74</v>
      </c>
      <c r="G3314" s="115" t="s">
        <v>74</v>
      </c>
      <c r="H3314" s="115" t="s">
        <v>74</v>
      </c>
    </row>
    <row r="3315" spans="1:8" x14ac:dyDescent="0.25">
      <c r="A3315" s="115">
        <v>3295</v>
      </c>
      <c r="B3315" s="115" t="s">
        <v>149</v>
      </c>
      <c r="C3315" s="115" t="s">
        <v>8657</v>
      </c>
      <c r="D3315" s="115">
        <v>0</v>
      </c>
      <c r="E3315" s="115" t="s">
        <v>270</v>
      </c>
      <c r="F3315" s="115" t="s">
        <v>271</v>
      </c>
      <c r="G3315" s="115" t="s">
        <v>272</v>
      </c>
      <c r="H3315" s="115" t="s">
        <v>273</v>
      </c>
    </row>
    <row r="3316" spans="1:8" x14ac:dyDescent="0.25">
      <c r="A3316" s="115">
        <v>3294</v>
      </c>
      <c r="B3316" s="115" t="s">
        <v>149</v>
      </c>
      <c r="C3316" s="115" t="s">
        <v>8658</v>
      </c>
      <c r="D3316" s="115">
        <v>0</v>
      </c>
      <c r="E3316" s="115" t="s">
        <v>283</v>
      </c>
      <c r="F3316" s="115" t="s">
        <v>284</v>
      </c>
      <c r="G3316" s="115" t="s">
        <v>285</v>
      </c>
      <c r="H3316" s="115" t="s">
        <v>286</v>
      </c>
    </row>
    <row r="3317" spans="1:8" x14ac:dyDescent="0.25">
      <c r="A3317" s="115">
        <v>3293</v>
      </c>
      <c r="B3317" s="115" t="s">
        <v>149</v>
      </c>
      <c r="C3317" s="115" t="s">
        <v>8659</v>
      </c>
      <c r="D3317" s="115">
        <v>0</v>
      </c>
      <c r="E3317" s="115" t="s">
        <v>8660</v>
      </c>
      <c r="F3317" s="115" t="s">
        <v>74</v>
      </c>
      <c r="G3317" s="115" t="s">
        <v>74</v>
      </c>
      <c r="H3317" s="115" t="s">
        <v>74</v>
      </c>
    </row>
    <row r="3318" spans="1:8" x14ac:dyDescent="0.25">
      <c r="A3318" s="115">
        <v>3292</v>
      </c>
      <c r="B3318" s="115" t="s">
        <v>141</v>
      </c>
      <c r="C3318" s="115" t="s">
        <v>8661</v>
      </c>
      <c r="D3318" s="115">
        <v>0</v>
      </c>
      <c r="E3318" s="115" t="s">
        <v>8662</v>
      </c>
    </row>
    <row r="3319" spans="1:8" ht="30" x14ac:dyDescent="0.25">
      <c r="A3319" s="115">
        <v>3291</v>
      </c>
      <c r="B3319" s="115" t="s">
        <v>141</v>
      </c>
      <c r="C3319" s="115" t="s">
        <v>8663</v>
      </c>
      <c r="D3319" s="115">
        <v>0</v>
      </c>
      <c r="E3319" s="115" t="s">
        <v>5465</v>
      </c>
      <c r="F3319" s="115" t="s">
        <v>74</v>
      </c>
      <c r="G3319" s="115" t="s">
        <v>74</v>
      </c>
      <c r="H3319" s="115" t="s">
        <v>74</v>
      </c>
    </row>
    <row r="3320" spans="1:8" x14ac:dyDescent="0.25">
      <c r="A3320" s="115">
        <v>3290</v>
      </c>
      <c r="B3320" s="115" t="s">
        <v>141</v>
      </c>
      <c r="C3320" s="115" t="s">
        <v>8664</v>
      </c>
      <c r="D3320" s="115">
        <v>0</v>
      </c>
      <c r="E3320" s="115" t="s">
        <v>8416</v>
      </c>
      <c r="F3320" s="115" t="s">
        <v>74</v>
      </c>
      <c r="G3320" s="115" t="s">
        <v>74</v>
      </c>
      <c r="H3320" s="115" t="s">
        <v>74</v>
      </c>
    </row>
    <row r="3321" spans="1:8" x14ac:dyDescent="0.25">
      <c r="A3321" s="115">
        <v>3289</v>
      </c>
      <c r="B3321" s="115" t="s">
        <v>141</v>
      </c>
      <c r="C3321" s="115" t="s">
        <v>8665</v>
      </c>
      <c r="D3321" s="115">
        <v>0</v>
      </c>
      <c r="E3321" s="115" t="s">
        <v>8666</v>
      </c>
      <c r="F3321" s="115" t="s">
        <v>74</v>
      </c>
      <c r="G3321" s="115" t="s">
        <v>74</v>
      </c>
      <c r="H3321" s="115" t="s">
        <v>74</v>
      </c>
    </row>
    <row r="3322" spans="1:8" x14ac:dyDescent="0.25">
      <c r="A3322" s="115">
        <v>3288</v>
      </c>
      <c r="B3322" s="115" t="s">
        <v>8664</v>
      </c>
      <c r="C3322" s="115" t="s">
        <v>8667</v>
      </c>
      <c r="D3322" s="115">
        <v>0</v>
      </c>
      <c r="E3322" s="115" t="s">
        <v>8668</v>
      </c>
    </row>
    <row r="3323" spans="1:8" x14ac:dyDescent="0.25">
      <c r="A3323" s="115">
        <v>3287</v>
      </c>
      <c r="B3323" s="115" t="s">
        <v>8664</v>
      </c>
      <c r="C3323" s="115" t="s">
        <v>8669</v>
      </c>
      <c r="D3323" s="115">
        <v>0</v>
      </c>
      <c r="E3323" s="115" t="s">
        <v>8670</v>
      </c>
      <c r="F3323" s="115" t="s">
        <v>74</v>
      </c>
      <c r="G3323" s="115" t="s">
        <v>74</v>
      </c>
      <c r="H3323" s="115" t="s">
        <v>74</v>
      </c>
    </row>
    <row r="3324" spans="1:8" x14ac:dyDescent="0.25">
      <c r="A3324" s="115">
        <v>3286</v>
      </c>
      <c r="B3324" s="115" t="s">
        <v>8664</v>
      </c>
      <c r="C3324" s="115" t="s">
        <v>8671</v>
      </c>
      <c r="D3324" s="115">
        <v>0</v>
      </c>
      <c r="E3324" s="115" t="s">
        <v>8672</v>
      </c>
      <c r="F3324" s="115" t="s">
        <v>74</v>
      </c>
      <c r="G3324" s="115" t="s">
        <v>74</v>
      </c>
      <c r="H3324" s="115" t="s">
        <v>74</v>
      </c>
    </row>
    <row r="3325" spans="1:8" ht="60" x14ac:dyDescent="0.25">
      <c r="A3325" s="115">
        <v>3285</v>
      </c>
      <c r="B3325" s="115" t="s">
        <v>8664</v>
      </c>
      <c r="C3325" s="115" t="s">
        <v>8673</v>
      </c>
      <c r="D3325" s="115">
        <v>0</v>
      </c>
      <c r="E3325" s="115" t="s">
        <v>6818</v>
      </c>
      <c r="F3325" s="115" t="s">
        <v>74</v>
      </c>
      <c r="G3325" s="115" t="s">
        <v>74</v>
      </c>
      <c r="H3325" s="115" t="s">
        <v>74</v>
      </c>
    </row>
    <row r="3326" spans="1:8" x14ac:dyDescent="0.25">
      <c r="A3326" s="115">
        <v>3284</v>
      </c>
      <c r="B3326" s="115" t="s">
        <v>8664</v>
      </c>
      <c r="C3326" s="115" t="s">
        <v>8674</v>
      </c>
      <c r="D3326" s="115">
        <v>0</v>
      </c>
      <c r="E3326" s="115" t="s">
        <v>6813</v>
      </c>
    </row>
    <row r="3327" spans="1:8" ht="45" x14ac:dyDescent="0.25">
      <c r="A3327" s="115">
        <v>3283</v>
      </c>
      <c r="B3327" s="115" t="s">
        <v>8664</v>
      </c>
      <c r="C3327" s="115" t="s">
        <v>8675</v>
      </c>
      <c r="D3327" s="115">
        <v>0</v>
      </c>
      <c r="E3327" s="115" t="s">
        <v>6809</v>
      </c>
      <c r="F3327" s="115" t="s">
        <v>74</v>
      </c>
      <c r="G3327" s="115" t="s">
        <v>74</v>
      </c>
      <c r="H3327" s="115" t="s">
        <v>74</v>
      </c>
    </row>
    <row r="3328" spans="1:8" x14ac:dyDescent="0.25">
      <c r="A3328" s="115">
        <v>3282</v>
      </c>
      <c r="B3328" s="115" t="s">
        <v>8664</v>
      </c>
      <c r="C3328" s="115" t="s">
        <v>8676</v>
      </c>
      <c r="D3328" s="115">
        <v>0</v>
      </c>
      <c r="E3328" s="115" t="s">
        <v>8677</v>
      </c>
      <c r="F3328" s="115" t="s">
        <v>74</v>
      </c>
      <c r="G3328" s="115" t="s">
        <v>74</v>
      </c>
      <c r="H3328" s="115" t="s">
        <v>74</v>
      </c>
    </row>
    <row r="3329" spans="1:8" x14ac:dyDescent="0.25">
      <c r="A3329" s="115">
        <v>3281</v>
      </c>
      <c r="B3329" s="115" t="s">
        <v>8664</v>
      </c>
      <c r="C3329" s="115" t="s">
        <v>8678</v>
      </c>
      <c r="D3329" s="115">
        <v>0</v>
      </c>
      <c r="E3329" s="115" t="s">
        <v>8670</v>
      </c>
      <c r="F3329" s="115" t="s">
        <v>74</v>
      </c>
      <c r="G3329" s="115" t="s">
        <v>74</v>
      </c>
      <c r="H3329" s="115" t="s">
        <v>74</v>
      </c>
    </row>
    <row r="3330" spans="1:8" x14ac:dyDescent="0.25">
      <c r="A3330" s="115">
        <v>3280</v>
      </c>
      <c r="B3330" s="115" t="s">
        <v>8664</v>
      </c>
      <c r="C3330" s="115" t="s">
        <v>8679</v>
      </c>
      <c r="D3330" s="115">
        <v>0</v>
      </c>
      <c r="E3330" s="115" t="s">
        <v>8672</v>
      </c>
      <c r="F3330" s="115" t="s">
        <v>74</v>
      </c>
      <c r="G3330" s="115" t="s">
        <v>74</v>
      </c>
      <c r="H3330" s="115" t="s">
        <v>74</v>
      </c>
    </row>
    <row r="3331" spans="1:8" ht="60" x14ac:dyDescent="0.25">
      <c r="A3331" s="115">
        <v>3279</v>
      </c>
      <c r="B3331" s="115" t="s">
        <v>8664</v>
      </c>
      <c r="C3331" s="115" t="s">
        <v>8680</v>
      </c>
      <c r="D3331" s="115">
        <v>0</v>
      </c>
      <c r="E3331" s="115" t="s">
        <v>6841</v>
      </c>
      <c r="F3331" s="115" t="s">
        <v>74</v>
      </c>
      <c r="G3331" s="115" t="s">
        <v>74</v>
      </c>
      <c r="H3331" s="115" t="s">
        <v>74</v>
      </c>
    </row>
    <row r="3332" spans="1:8" ht="30" x14ac:dyDescent="0.25">
      <c r="A3332" s="115">
        <v>3278</v>
      </c>
      <c r="B3332" s="115" t="s">
        <v>8664</v>
      </c>
      <c r="C3332" s="115" t="s">
        <v>8681</v>
      </c>
      <c r="D3332" s="115">
        <v>0</v>
      </c>
      <c r="E3332" s="115" t="s">
        <v>6836</v>
      </c>
      <c r="F3332" s="115" t="s">
        <v>74</v>
      </c>
      <c r="G3332" s="115" t="s">
        <v>74</v>
      </c>
      <c r="H3332" s="115" t="s">
        <v>74</v>
      </c>
    </row>
    <row r="3333" spans="1:8" x14ac:dyDescent="0.25">
      <c r="A3333" s="115">
        <v>3277</v>
      </c>
      <c r="B3333" s="115" t="s">
        <v>8664</v>
      </c>
      <c r="C3333" s="115" t="s">
        <v>8682</v>
      </c>
      <c r="D3333" s="115">
        <v>0</v>
      </c>
      <c r="E3333" s="115" t="s">
        <v>8683</v>
      </c>
      <c r="F3333" s="115" t="s">
        <v>74</v>
      </c>
      <c r="G3333" s="115" t="s">
        <v>74</v>
      </c>
      <c r="H3333" s="115" t="s">
        <v>74</v>
      </c>
    </row>
    <row r="3334" spans="1:8" ht="30" x14ac:dyDescent="0.25">
      <c r="A3334" s="115">
        <v>3276</v>
      </c>
      <c r="B3334" s="115" t="s">
        <v>8664</v>
      </c>
      <c r="C3334" s="115" t="s">
        <v>8684</v>
      </c>
      <c r="D3334" s="115">
        <v>0</v>
      </c>
      <c r="E3334" s="115" t="s">
        <v>6857</v>
      </c>
      <c r="F3334" s="115" t="s">
        <v>74</v>
      </c>
      <c r="G3334" s="115" t="s">
        <v>74</v>
      </c>
      <c r="H3334" s="115" t="s">
        <v>74</v>
      </c>
    </row>
    <row r="3335" spans="1:8" x14ac:dyDescent="0.25">
      <c r="A3335" s="115">
        <v>3275</v>
      </c>
      <c r="B3335" s="115" t="s">
        <v>8664</v>
      </c>
      <c r="C3335" s="115" t="s">
        <v>8685</v>
      </c>
      <c r="D3335" s="115">
        <v>0</v>
      </c>
      <c r="E3335" s="115" t="s">
        <v>6852</v>
      </c>
      <c r="F3335" s="115" t="s">
        <v>74</v>
      </c>
      <c r="G3335" s="115" t="s">
        <v>74</v>
      </c>
      <c r="H3335" s="115" t="s">
        <v>74</v>
      </c>
    </row>
    <row r="3336" spans="1:8" ht="45" x14ac:dyDescent="0.25">
      <c r="A3336" s="115">
        <v>3274</v>
      </c>
      <c r="B3336" s="115" t="s">
        <v>8664</v>
      </c>
      <c r="C3336" s="115" t="s">
        <v>8686</v>
      </c>
      <c r="D3336" s="115">
        <v>0</v>
      </c>
      <c r="E3336" s="115" t="s">
        <v>8687</v>
      </c>
    </row>
    <row r="3337" spans="1:8" ht="30" x14ac:dyDescent="0.25">
      <c r="A3337" s="115">
        <v>3273</v>
      </c>
      <c r="B3337" s="115" t="s">
        <v>8664</v>
      </c>
      <c r="C3337" s="115" t="s">
        <v>8688</v>
      </c>
      <c r="D3337" s="115">
        <v>0</v>
      </c>
      <c r="E3337" s="115" t="s">
        <v>6867</v>
      </c>
      <c r="F3337" s="115" t="s">
        <v>74</v>
      </c>
      <c r="G3337" s="115" t="s">
        <v>74</v>
      </c>
      <c r="H3337" s="115" t="s">
        <v>74</v>
      </c>
    </row>
    <row r="3338" spans="1:8" x14ac:dyDescent="0.25">
      <c r="A3338" s="115">
        <v>3272</v>
      </c>
      <c r="B3338" s="115" t="s">
        <v>141</v>
      </c>
      <c r="C3338" s="115" t="s">
        <v>8689</v>
      </c>
      <c r="D3338" s="115">
        <v>0</v>
      </c>
      <c r="E3338" s="115" t="s">
        <v>8142</v>
      </c>
      <c r="F3338" s="115" t="s">
        <v>74</v>
      </c>
      <c r="G3338" s="115" t="s">
        <v>74</v>
      </c>
      <c r="H3338" s="115" t="s">
        <v>74</v>
      </c>
    </row>
    <row r="3339" spans="1:8" x14ac:dyDescent="0.25">
      <c r="A3339" s="115">
        <v>3271</v>
      </c>
      <c r="B3339" s="115" t="s">
        <v>141</v>
      </c>
      <c r="C3339" s="115" t="s">
        <v>319</v>
      </c>
      <c r="D3339" s="115">
        <v>0</v>
      </c>
      <c r="E3339" s="115" t="s">
        <v>320</v>
      </c>
      <c r="F3339" s="115" t="s">
        <v>74</v>
      </c>
      <c r="G3339" s="115" t="s">
        <v>74</v>
      </c>
      <c r="H3339" s="115" t="s">
        <v>74</v>
      </c>
    </row>
    <row r="3340" spans="1:8" x14ac:dyDescent="0.25">
      <c r="A3340" s="115">
        <v>3270</v>
      </c>
      <c r="B3340" s="115" t="s">
        <v>141</v>
      </c>
      <c r="C3340" s="115" t="s">
        <v>8690</v>
      </c>
      <c r="D3340" s="115">
        <v>0</v>
      </c>
      <c r="E3340" s="115" t="s">
        <v>165</v>
      </c>
      <c r="F3340" s="115" t="s">
        <v>74</v>
      </c>
      <c r="G3340" s="115" t="s">
        <v>74</v>
      </c>
      <c r="H3340" s="115" t="s">
        <v>74</v>
      </c>
    </row>
    <row r="3341" spans="1:8" x14ac:dyDescent="0.25">
      <c r="A3341" s="115">
        <v>3237</v>
      </c>
      <c r="B3341" s="115" t="s">
        <v>8691</v>
      </c>
      <c r="C3341" s="115" t="s">
        <v>27</v>
      </c>
      <c r="D3341" s="115">
        <v>0</v>
      </c>
      <c r="E3341" s="115" t="s">
        <v>27</v>
      </c>
      <c r="F3341" s="115" t="s">
        <v>27</v>
      </c>
      <c r="G3341" s="115" t="s">
        <v>27</v>
      </c>
      <c r="H3341" s="115" t="s">
        <v>8692</v>
      </c>
    </row>
    <row r="3342" spans="1:8" x14ac:dyDescent="0.25">
      <c r="A3342" s="115">
        <v>3236</v>
      </c>
      <c r="B3342" s="115" t="s">
        <v>8691</v>
      </c>
      <c r="C3342" s="115" t="s">
        <v>26</v>
      </c>
      <c r="D3342" s="115">
        <v>0</v>
      </c>
      <c r="E3342" s="115" t="s">
        <v>26</v>
      </c>
      <c r="F3342" s="115" t="s">
        <v>26</v>
      </c>
      <c r="G3342" s="115" t="s">
        <v>26</v>
      </c>
      <c r="H3342" s="115" t="s">
        <v>26</v>
      </c>
    </row>
    <row r="3343" spans="1:8" x14ac:dyDescent="0.25">
      <c r="A3343" s="115">
        <v>3235</v>
      </c>
      <c r="B3343" s="115" t="s">
        <v>8691</v>
      </c>
      <c r="C3343" s="115" t="s">
        <v>25</v>
      </c>
      <c r="D3343" s="115">
        <v>0</v>
      </c>
      <c r="E3343" s="115" t="s">
        <v>25</v>
      </c>
      <c r="F3343" s="115" t="s">
        <v>25</v>
      </c>
      <c r="G3343" s="115" t="s">
        <v>25</v>
      </c>
      <c r="H3343" s="115" t="s">
        <v>25</v>
      </c>
    </row>
    <row r="3344" spans="1:8" x14ac:dyDescent="0.25">
      <c r="A3344" s="115">
        <v>3234</v>
      </c>
      <c r="B3344" s="115" t="s">
        <v>8691</v>
      </c>
      <c r="C3344" s="115" t="s">
        <v>24</v>
      </c>
      <c r="D3344" s="115">
        <v>0</v>
      </c>
      <c r="E3344" s="115" t="s">
        <v>24</v>
      </c>
      <c r="F3344" s="115" t="s">
        <v>24</v>
      </c>
      <c r="G3344" s="115" t="s">
        <v>24</v>
      </c>
      <c r="H3344" s="115" t="s">
        <v>24</v>
      </c>
    </row>
    <row r="3345" spans="1:8" x14ac:dyDescent="0.25">
      <c r="A3345" s="115">
        <v>3164</v>
      </c>
      <c r="B3345" s="115" t="s">
        <v>8653</v>
      </c>
      <c r="C3345" s="115" t="s">
        <v>8693</v>
      </c>
      <c r="D3345" s="115">
        <v>0</v>
      </c>
      <c r="E3345" s="115" t="s">
        <v>505</v>
      </c>
      <c r="F3345" s="115" t="s">
        <v>506</v>
      </c>
      <c r="G3345" s="115" t="s">
        <v>8694</v>
      </c>
      <c r="H3345" s="115" t="s">
        <v>8695</v>
      </c>
    </row>
    <row r="3346" spans="1:8" x14ac:dyDescent="0.25">
      <c r="A3346" s="115">
        <v>3163</v>
      </c>
      <c r="B3346" s="115" t="s">
        <v>8653</v>
      </c>
      <c r="C3346" s="115" t="s">
        <v>8696</v>
      </c>
      <c r="D3346" s="115">
        <v>0</v>
      </c>
      <c r="E3346" s="115" t="s">
        <v>7388</v>
      </c>
      <c r="F3346" s="115" t="s">
        <v>8697</v>
      </c>
      <c r="G3346" s="115" t="s">
        <v>7390</v>
      </c>
      <c r="H3346" s="115" t="s">
        <v>8698</v>
      </c>
    </row>
    <row r="3347" spans="1:8" x14ac:dyDescent="0.25">
      <c r="A3347" s="115">
        <v>3162</v>
      </c>
      <c r="B3347" s="115" t="s">
        <v>8653</v>
      </c>
      <c r="C3347" s="115" t="s">
        <v>8699</v>
      </c>
      <c r="D3347" s="115">
        <v>0</v>
      </c>
      <c r="E3347" s="115" t="s">
        <v>2795</v>
      </c>
      <c r="F3347" s="115" t="s">
        <v>8700</v>
      </c>
      <c r="G3347" s="115" t="s">
        <v>8476</v>
      </c>
      <c r="H3347" s="115" t="s">
        <v>8701</v>
      </c>
    </row>
    <row r="3348" spans="1:8" x14ac:dyDescent="0.25">
      <c r="A3348" s="115">
        <v>3161</v>
      </c>
      <c r="B3348" s="115" t="s">
        <v>8653</v>
      </c>
      <c r="C3348" s="115" t="s">
        <v>8702</v>
      </c>
      <c r="D3348" s="115">
        <v>0</v>
      </c>
      <c r="E3348" s="115" t="s">
        <v>494</v>
      </c>
      <c r="F3348" s="115" t="s">
        <v>4847</v>
      </c>
      <c r="G3348" s="115" t="s">
        <v>638</v>
      </c>
      <c r="H3348" s="115" t="s">
        <v>497</v>
      </c>
    </row>
    <row r="3349" spans="1:8" x14ac:dyDescent="0.25">
      <c r="A3349" s="115">
        <v>3160</v>
      </c>
      <c r="B3349" s="115" t="s">
        <v>8653</v>
      </c>
      <c r="C3349" s="115" t="s">
        <v>8703</v>
      </c>
      <c r="D3349" s="115">
        <v>0</v>
      </c>
      <c r="E3349" s="115" t="s">
        <v>519</v>
      </c>
      <c r="F3349" s="115" t="s">
        <v>520</v>
      </c>
      <c r="G3349" s="115" t="s">
        <v>521</v>
      </c>
      <c r="H3349" s="115" t="s">
        <v>522</v>
      </c>
    </row>
    <row r="3350" spans="1:8" x14ac:dyDescent="0.25">
      <c r="A3350" s="115">
        <v>3015</v>
      </c>
      <c r="B3350" s="115" t="s">
        <v>8704</v>
      </c>
      <c r="C3350" s="115" t="s">
        <v>8705</v>
      </c>
      <c r="D3350" s="115">
        <v>0</v>
      </c>
      <c r="E3350" s="115" t="s">
        <v>8706</v>
      </c>
      <c r="F3350" s="115" t="s">
        <v>74</v>
      </c>
      <c r="G3350" s="115" t="s">
        <v>74</v>
      </c>
      <c r="H3350" s="115" t="s">
        <v>74</v>
      </c>
    </row>
    <row r="3351" spans="1:8" x14ac:dyDescent="0.25">
      <c r="A3351" s="115">
        <v>3014</v>
      </c>
      <c r="B3351" s="115" t="s">
        <v>149</v>
      </c>
      <c r="C3351" s="115" t="s">
        <v>8707</v>
      </c>
      <c r="D3351" s="115">
        <v>0</v>
      </c>
      <c r="E3351" s="115" t="s">
        <v>283</v>
      </c>
      <c r="F3351" s="115" t="s">
        <v>284</v>
      </c>
      <c r="G3351" s="115" t="s">
        <v>285</v>
      </c>
      <c r="H3351" s="115" t="s">
        <v>286</v>
      </c>
    </row>
    <row r="3352" spans="1:8" x14ac:dyDescent="0.25">
      <c r="A3352" s="115">
        <v>3013</v>
      </c>
      <c r="B3352" s="115" t="s">
        <v>149</v>
      </c>
      <c r="C3352" s="115" t="s">
        <v>8708</v>
      </c>
      <c r="D3352" s="115">
        <v>0</v>
      </c>
      <c r="E3352" s="115" t="s">
        <v>270</v>
      </c>
      <c r="F3352" s="115" t="s">
        <v>271</v>
      </c>
      <c r="G3352" s="115" t="s">
        <v>272</v>
      </c>
      <c r="H3352" s="115" t="s">
        <v>273</v>
      </c>
    </row>
    <row r="3353" spans="1:8" x14ac:dyDescent="0.25">
      <c r="A3353" s="115">
        <v>3012</v>
      </c>
      <c r="B3353" s="115" t="s">
        <v>149</v>
      </c>
      <c r="C3353" s="115" t="s">
        <v>8709</v>
      </c>
      <c r="D3353" s="115">
        <v>0</v>
      </c>
      <c r="E3353" s="115" t="s">
        <v>8710</v>
      </c>
      <c r="F3353" s="115" t="s">
        <v>8710</v>
      </c>
      <c r="G3353" s="115" t="s">
        <v>8710</v>
      </c>
      <c r="H3353" s="115" t="s">
        <v>8710</v>
      </c>
    </row>
    <row r="3354" spans="1:8" x14ac:dyDescent="0.25">
      <c r="A3354" s="115">
        <v>3011</v>
      </c>
      <c r="B3354" s="115" t="s">
        <v>149</v>
      </c>
      <c r="C3354" s="115" t="s">
        <v>8711</v>
      </c>
      <c r="D3354" s="115">
        <v>0</v>
      </c>
      <c r="E3354" s="115" t="s">
        <v>8712</v>
      </c>
      <c r="F3354" s="115" t="s">
        <v>8713</v>
      </c>
      <c r="G3354" s="115" t="s">
        <v>8714</v>
      </c>
      <c r="H3354" s="115" t="s">
        <v>8715</v>
      </c>
    </row>
    <row r="3355" spans="1:8" x14ac:dyDescent="0.25">
      <c r="A3355" s="115">
        <v>3010</v>
      </c>
      <c r="B3355" s="115" t="s">
        <v>149</v>
      </c>
      <c r="C3355" s="115" t="s">
        <v>8716</v>
      </c>
      <c r="D3355" s="115">
        <v>0</v>
      </c>
      <c r="E3355" s="115" t="s">
        <v>283</v>
      </c>
      <c r="F3355" s="115" t="s">
        <v>284</v>
      </c>
      <c r="G3355" s="115" t="s">
        <v>8717</v>
      </c>
      <c r="H3355" s="115" t="s">
        <v>8718</v>
      </c>
    </row>
    <row r="3356" spans="1:8" x14ac:dyDescent="0.25">
      <c r="A3356" s="115">
        <v>3009</v>
      </c>
      <c r="B3356" s="115" t="s">
        <v>149</v>
      </c>
      <c r="C3356" s="115" t="s">
        <v>8719</v>
      </c>
      <c r="D3356" s="115">
        <v>0</v>
      </c>
      <c r="E3356" s="115" t="s">
        <v>8720</v>
      </c>
      <c r="F3356" s="115" t="s">
        <v>8720</v>
      </c>
      <c r="G3356" s="115" t="s">
        <v>8720</v>
      </c>
      <c r="H3356" s="115" t="s">
        <v>8720</v>
      </c>
    </row>
    <row r="3357" spans="1:8" x14ac:dyDescent="0.25">
      <c r="A3357" s="115">
        <v>3008</v>
      </c>
      <c r="B3357" s="115" t="s">
        <v>149</v>
      </c>
      <c r="C3357" s="115" t="s">
        <v>8721</v>
      </c>
      <c r="D3357" s="115">
        <v>0</v>
      </c>
      <c r="E3357" s="115" t="s">
        <v>329</v>
      </c>
      <c r="F3357" s="115" t="s">
        <v>8722</v>
      </c>
      <c r="G3357" s="115" t="s">
        <v>8723</v>
      </c>
      <c r="H3357" s="115" t="s">
        <v>8724</v>
      </c>
    </row>
    <row r="3358" spans="1:8" x14ac:dyDescent="0.25">
      <c r="A3358" s="115">
        <v>3007</v>
      </c>
      <c r="B3358" s="115" t="s">
        <v>149</v>
      </c>
      <c r="C3358" s="115" t="s">
        <v>8725</v>
      </c>
      <c r="D3358" s="115">
        <v>0</v>
      </c>
      <c r="E3358" s="115" t="s">
        <v>396</v>
      </c>
      <c r="F3358" s="115" t="s">
        <v>74</v>
      </c>
      <c r="G3358" s="115" t="s">
        <v>74</v>
      </c>
      <c r="H3358" s="115" t="s">
        <v>74</v>
      </c>
    </row>
    <row r="3359" spans="1:8" x14ac:dyDescent="0.25">
      <c r="A3359" s="115">
        <v>3006</v>
      </c>
      <c r="B3359" s="115" t="s">
        <v>149</v>
      </c>
      <c r="C3359" s="115" t="s">
        <v>8726</v>
      </c>
      <c r="D3359" s="115">
        <v>0</v>
      </c>
      <c r="E3359" s="115" t="s">
        <v>8727</v>
      </c>
      <c r="F3359" s="115" t="s">
        <v>8728</v>
      </c>
      <c r="G3359" s="115" t="s">
        <v>8729</v>
      </c>
      <c r="H3359" s="115" t="s">
        <v>8730</v>
      </c>
    </row>
    <row r="3360" spans="1:8" x14ac:dyDescent="0.25">
      <c r="A3360" s="115">
        <v>3005</v>
      </c>
      <c r="B3360" s="115" t="s">
        <v>149</v>
      </c>
      <c r="C3360" s="115" t="s">
        <v>8731</v>
      </c>
      <c r="D3360" s="115">
        <v>0</v>
      </c>
      <c r="E3360" s="115" t="s">
        <v>8732</v>
      </c>
      <c r="F3360" s="115" t="s">
        <v>8733</v>
      </c>
      <c r="G3360" s="115" t="s">
        <v>8734</v>
      </c>
      <c r="H3360" s="115" t="s">
        <v>8735</v>
      </c>
    </row>
    <row r="3361" spans="1:8" x14ac:dyDescent="0.25">
      <c r="A3361" s="115">
        <v>3003</v>
      </c>
      <c r="B3361" s="115" t="s">
        <v>149</v>
      </c>
      <c r="C3361" s="115" t="s">
        <v>8736</v>
      </c>
      <c r="D3361" s="115">
        <v>0</v>
      </c>
      <c r="E3361" s="115" t="s">
        <v>8188</v>
      </c>
      <c r="F3361" s="115" t="s">
        <v>74</v>
      </c>
      <c r="G3361" s="115" t="s">
        <v>74</v>
      </c>
      <c r="H3361" s="115" t="s">
        <v>74</v>
      </c>
    </row>
    <row r="3362" spans="1:8" ht="90" x14ac:dyDescent="0.25">
      <c r="A3362" s="115">
        <v>3002</v>
      </c>
      <c r="B3362" s="115" t="s">
        <v>45</v>
      </c>
      <c r="C3362" s="115" t="s">
        <v>8737</v>
      </c>
      <c r="D3362" s="115">
        <v>1</v>
      </c>
      <c r="E3362" s="115" t="s">
        <v>8706</v>
      </c>
      <c r="F3362" s="115" t="s">
        <v>8706</v>
      </c>
      <c r="G3362" s="115" t="s">
        <v>8738</v>
      </c>
      <c r="H3362" s="115" t="s">
        <v>8706</v>
      </c>
    </row>
    <row r="3363" spans="1:8" ht="90" x14ac:dyDescent="0.25">
      <c r="A3363" s="115">
        <v>3001</v>
      </c>
      <c r="B3363" s="115" t="s">
        <v>45</v>
      </c>
      <c r="C3363" s="115" t="s">
        <v>8739</v>
      </c>
      <c r="D3363" s="115">
        <v>1</v>
      </c>
      <c r="E3363" s="115" t="s">
        <v>8740</v>
      </c>
      <c r="F3363" s="115" t="s">
        <v>8741</v>
      </c>
      <c r="G3363" s="115" t="s">
        <v>8742</v>
      </c>
      <c r="H3363" s="115" t="s">
        <v>8743</v>
      </c>
    </row>
    <row r="3364" spans="1:8" ht="90" x14ac:dyDescent="0.25">
      <c r="A3364" s="115">
        <v>3000</v>
      </c>
      <c r="B3364" s="115" t="s">
        <v>45</v>
      </c>
      <c r="C3364" s="115" t="s">
        <v>8744</v>
      </c>
      <c r="D3364" s="115">
        <v>1</v>
      </c>
      <c r="E3364" s="115" t="s">
        <v>8706</v>
      </c>
      <c r="F3364" s="115" t="s">
        <v>8706</v>
      </c>
      <c r="G3364" s="115" t="s">
        <v>8745</v>
      </c>
      <c r="H3364" s="115" t="s">
        <v>8706</v>
      </c>
    </row>
    <row r="3365" spans="1:8" ht="105" x14ac:dyDescent="0.25">
      <c r="A3365" s="115">
        <v>2999</v>
      </c>
      <c r="B3365" s="115" t="s">
        <v>45</v>
      </c>
      <c r="C3365" s="115" t="s">
        <v>8746</v>
      </c>
      <c r="D3365" s="115">
        <v>1</v>
      </c>
      <c r="E3365" s="115" t="s">
        <v>8747</v>
      </c>
      <c r="F3365" s="115" t="s">
        <v>8748</v>
      </c>
      <c r="G3365" s="115" t="s">
        <v>8749</v>
      </c>
      <c r="H3365" s="115" t="s">
        <v>8750</v>
      </c>
    </row>
    <row r="3366" spans="1:8" ht="345" x14ac:dyDescent="0.25">
      <c r="A3366" s="115">
        <v>2998</v>
      </c>
      <c r="B3366" s="115" t="s">
        <v>45</v>
      </c>
      <c r="C3366" s="115" t="s">
        <v>8751</v>
      </c>
      <c r="D3366" s="115">
        <v>1</v>
      </c>
      <c r="E3366" s="115" t="s">
        <v>8752</v>
      </c>
      <c r="F3366" s="115" t="s">
        <v>8753</v>
      </c>
      <c r="G3366" s="115" t="s">
        <v>8754</v>
      </c>
      <c r="H3366" s="115" t="s">
        <v>74</v>
      </c>
    </row>
    <row r="3367" spans="1:8" ht="105" x14ac:dyDescent="0.25">
      <c r="A3367" s="115">
        <v>2997</v>
      </c>
      <c r="B3367" s="115" t="s">
        <v>45</v>
      </c>
      <c r="C3367" s="115" t="s">
        <v>8755</v>
      </c>
      <c r="D3367" s="115">
        <v>1</v>
      </c>
      <c r="E3367" s="115" t="s">
        <v>8756</v>
      </c>
      <c r="F3367" s="115" t="s">
        <v>8757</v>
      </c>
      <c r="G3367" s="115" t="s">
        <v>8758</v>
      </c>
      <c r="H3367" s="115" t="s">
        <v>74</v>
      </c>
    </row>
    <row r="3368" spans="1:8" ht="75" x14ac:dyDescent="0.25">
      <c r="A3368" s="115">
        <v>2996</v>
      </c>
      <c r="B3368" s="115" t="s">
        <v>45</v>
      </c>
      <c r="C3368" s="115" t="s">
        <v>8759</v>
      </c>
      <c r="D3368" s="115">
        <v>1</v>
      </c>
      <c r="E3368" s="115" t="s">
        <v>8760</v>
      </c>
      <c r="F3368" s="115" t="s">
        <v>8761</v>
      </c>
      <c r="G3368" s="115" t="s">
        <v>8762</v>
      </c>
      <c r="H3368" s="115" t="s">
        <v>74</v>
      </c>
    </row>
    <row r="3369" spans="1:8" ht="150" x14ac:dyDescent="0.25">
      <c r="A3369" s="115">
        <v>2995</v>
      </c>
      <c r="B3369" s="115" t="s">
        <v>45</v>
      </c>
      <c r="C3369" s="115" t="s">
        <v>8763</v>
      </c>
      <c r="D3369" s="115">
        <v>1</v>
      </c>
      <c r="E3369" s="115" t="s">
        <v>8760</v>
      </c>
      <c r="F3369" s="115" t="s">
        <v>8764</v>
      </c>
      <c r="G3369" s="115" t="s">
        <v>8765</v>
      </c>
      <c r="H3369" s="115" t="s">
        <v>74</v>
      </c>
    </row>
    <row r="3370" spans="1:8" x14ac:dyDescent="0.25">
      <c r="A3370" s="115">
        <v>2994</v>
      </c>
      <c r="B3370" s="115" t="s">
        <v>377</v>
      </c>
      <c r="C3370" s="115" t="s">
        <v>8766</v>
      </c>
      <c r="D3370" s="115">
        <v>0</v>
      </c>
      <c r="E3370" s="115" t="s">
        <v>8767</v>
      </c>
      <c r="F3370" s="115" t="s">
        <v>8768</v>
      </c>
      <c r="G3370" s="115" t="s">
        <v>8769</v>
      </c>
      <c r="H3370" s="115" t="s">
        <v>74</v>
      </c>
    </row>
    <row r="3371" spans="1:8" ht="90" x14ac:dyDescent="0.25">
      <c r="A3371" s="115">
        <v>2993</v>
      </c>
      <c r="B3371" s="115" t="s">
        <v>45</v>
      </c>
      <c r="C3371" s="115" t="s">
        <v>8770</v>
      </c>
      <c r="D3371" s="115">
        <v>1</v>
      </c>
      <c r="E3371" s="115" t="s">
        <v>8771</v>
      </c>
      <c r="F3371" s="115" t="s">
        <v>74</v>
      </c>
      <c r="G3371" s="115" t="s">
        <v>74</v>
      </c>
      <c r="H3371" s="115" t="s">
        <v>74</v>
      </c>
    </row>
    <row r="3372" spans="1:8" ht="225" x14ac:dyDescent="0.25">
      <c r="A3372" s="115">
        <v>2992</v>
      </c>
      <c r="B3372" s="115" t="s">
        <v>45</v>
      </c>
      <c r="C3372" s="115" t="s">
        <v>8772</v>
      </c>
      <c r="D3372" s="115">
        <v>1</v>
      </c>
      <c r="E3372" s="115" t="s">
        <v>8773</v>
      </c>
      <c r="F3372" s="115" t="s">
        <v>8774</v>
      </c>
      <c r="G3372" s="115" t="s">
        <v>8775</v>
      </c>
      <c r="H3372" s="115" t="s">
        <v>8776</v>
      </c>
    </row>
    <row r="3373" spans="1:8" ht="45" x14ac:dyDescent="0.25">
      <c r="A3373" s="115">
        <v>2991</v>
      </c>
      <c r="B3373" s="115" t="s">
        <v>45</v>
      </c>
      <c r="C3373" s="115" t="s">
        <v>8777</v>
      </c>
      <c r="D3373" s="115">
        <v>1</v>
      </c>
      <c r="E3373" s="115" t="s">
        <v>8778</v>
      </c>
      <c r="F3373" s="115" t="s">
        <v>8706</v>
      </c>
      <c r="G3373" s="115" t="s">
        <v>8706</v>
      </c>
      <c r="H3373" s="115" t="s">
        <v>74</v>
      </c>
    </row>
    <row r="3374" spans="1:8" ht="409.5" x14ac:dyDescent="0.25">
      <c r="A3374" s="115">
        <v>2990</v>
      </c>
      <c r="B3374" s="115" t="s">
        <v>45</v>
      </c>
      <c r="C3374" s="115" t="s">
        <v>8779</v>
      </c>
      <c r="D3374" s="115">
        <v>1</v>
      </c>
      <c r="E3374" s="115" t="s">
        <v>8780</v>
      </c>
      <c r="F3374" s="115" t="s">
        <v>8781</v>
      </c>
      <c r="G3374" s="115" t="s">
        <v>74</v>
      </c>
      <c r="H3374" s="115" t="s">
        <v>74</v>
      </c>
    </row>
    <row r="3375" spans="1:8" ht="409.5" x14ac:dyDescent="0.25">
      <c r="A3375" s="115">
        <v>2989</v>
      </c>
      <c r="B3375" s="115" t="s">
        <v>45</v>
      </c>
      <c r="C3375" s="115" t="s">
        <v>8782</v>
      </c>
      <c r="D3375" s="115">
        <v>1</v>
      </c>
      <c r="E3375" s="115" t="s">
        <v>8783</v>
      </c>
      <c r="F3375" s="115" t="s">
        <v>8784</v>
      </c>
      <c r="G3375" s="115" t="s">
        <v>8785</v>
      </c>
      <c r="H3375" s="115" t="s">
        <v>74</v>
      </c>
    </row>
    <row r="3376" spans="1:8" ht="300" x14ac:dyDescent="0.25">
      <c r="A3376" s="115">
        <v>2988</v>
      </c>
      <c r="B3376" s="115" t="s">
        <v>45</v>
      </c>
      <c r="C3376" s="115" t="s">
        <v>8786</v>
      </c>
      <c r="D3376" s="115">
        <v>1</v>
      </c>
      <c r="E3376" s="115" t="s">
        <v>8787</v>
      </c>
      <c r="F3376" s="115" t="s">
        <v>8788</v>
      </c>
      <c r="G3376" s="115" t="s">
        <v>8789</v>
      </c>
      <c r="H3376" s="115" t="s">
        <v>74</v>
      </c>
    </row>
    <row r="3377" spans="1:8" ht="225" x14ac:dyDescent="0.25">
      <c r="A3377" s="115">
        <v>2987</v>
      </c>
      <c r="B3377" s="115" t="s">
        <v>45</v>
      </c>
      <c r="C3377" s="115" t="s">
        <v>8790</v>
      </c>
      <c r="D3377" s="115">
        <v>1</v>
      </c>
      <c r="E3377" s="115" t="s">
        <v>8791</v>
      </c>
      <c r="F3377" s="115" t="s">
        <v>8792</v>
      </c>
      <c r="G3377" s="115" t="s">
        <v>8793</v>
      </c>
      <c r="H3377" s="115" t="s">
        <v>74</v>
      </c>
    </row>
    <row r="3378" spans="1:8" ht="165" x14ac:dyDescent="0.25">
      <c r="A3378" s="115">
        <v>2986</v>
      </c>
      <c r="B3378" s="115" t="s">
        <v>45</v>
      </c>
      <c r="C3378" s="115" t="s">
        <v>8794</v>
      </c>
      <c r="D3378" s="115">
        <v>1</v>
      </c>
      <c r="E3378" s="115" t="s">
        <v>8795</v>
      </c>
      <c r="F3378" s="115" t="s">
        <v>8796</v>
      </c>
      <c r="G3378" s="115" t="s">
        <v>8797</v>
      </c>
      <c r="H3378" s="115" t="s">
        <v>8798</v>
      </c>
    </row>
    <row r="3379" spans="1:8" ht="75" x14ac:dyDescent="0.25">
      <c r="A3379" s="115">
        <v>2985</v>
      </c>
      <c r="B3379" s="115" t="s">
        <v>45</v>
      </c>
      <c r="C3379" s="115" t="s">
        <v>8799</v>
      </c>
      <c r="D3379" s="115">
        <v>1</v>
      </c>
      <c r="E3379" s="115" t="s">
        <v>8800</v>
      </c>
      <c r="F3379" s="115" t="s">
        <v>8706</v>
      </c>
      <c r="G3379" s="115" t="s">
        <v>8801</v>
      </c>
      <c r="H3379" s="115" t="s">
        <v>8802</v>
      </c>
    </row>
    <row r="3380" spans="1:8" ht="75" x14ac:dyDescent="0.25">
      <c r="A3380" s="115">
        <v>2984</v>
      </c>
      <c r="B3380" s="115" t="s">
        <v>45</v>
      </c>
      <c r="C3380" s="115" t="s">
        <v>8803</v>
      </c>
      <c r="D3380" s="115">
        <v>1</v>
      </c>
      <c r="E3380" s="115" t="s">
        <v>8804</v>
      </c>
      <c r="F3380" s="115" t="s">
        <v>8805</v>
      </c>
      <c r="G3380" s="115" t="s">
        <v>8806</v>
      </c>
      <c r="H3380" s="115" t="s">
        <v>8807</v>
      </c>
    </row>
    <row r="3381" spans="1:8" ht="60" x14ac:dyDescent="0.25">
      <c r="A3381" s="115">
        <v>2983</v>
      </c>
      <c r="B3381" s="115" t="s">
        <v>45</v>
      </c>
      <c r="C3381" s="115" t="s">
        <v>8808</v>
      </c>
      <c r="D3381" s="115">
        <v>1</v>
      </c>
      <c r="E3381" s="115" t="s">
        <v>8809</v>
      </c>
      <c r="F3381" s="115" t="s">
        <v>8810</v>
      </c>
      <c r="G3381" s="115" t="s">
        <v>8811</v>
      </c>
      <c r="H3381" s="115" t="s">
        <v>74</v>
      </c>
    </row>
    <row r="3382" spans="1:8" ht="90" x14ac:dyDescent="0.25">
      <c r="A3382" s="115">
        <v>2982</v>
      </c>
      <c r="B3382" s="115" t="s">
        <v>45</v>
      </c>
      <c r="C3382" s="115" t="s">
        <v>8812</v>
      </c>
      <c r="D3382" s="115">
        <v>1</v>
      </c>
      <c r="E3382" s="115" t="s">
        <v>8813</v>
      </c>
      <c r="F3382" s="115" t="s">
        <v>8814</v>
      </c>
      <c r="G3382" s="115" t="s">
        <v>8815</v>
      </c>
      <c r="H3382" s="115" t="s">
        <v>8802</v>
      </c>
    </row>
    <row r="3383" spans="1:8" ht="105" x14ac:dyDescent="0.25">
      <c r="A3383" s="115">
        <v>2981</v>
      </c>
      <c r="B3383" s="115" t="s">
        <v>45</v>
      </c>
      <c r="C3383" s="115" t="s">
        <v>8816</v>
      </c>
      <c r="D3383" s="115">
        <v>1</v>
      </c>
      <c r="E3383" s="115" t="s">
        <v>8817</v>
      </c>
      <c r="F3383" s="115" t="s">
        <v>8818</v>
      </c>
      <c r="G3383" s="115" t="s">
        <v>8819</v>
      </c>
      <c r="H3383" s="115" t="s">
        <v>8798</v>
      </c>
    </row>
    <row r="3384" spans="1:8" ht="105" x14ac:dyDescent="0.25">
      <c r="A3384" s="115">
        <v>2980</v>
      </c>
      <c r="B3384" s="115" t="s">
        <v>45</v>
      </c>
      <c r="C3384" s="115" t="s">
        <v>8820</v>
      </c>
      <c r="D3384" s="115">
        <v>1</v>
      </c>
      <c r="E3384" s="115" t="s">
        <v>8821</v>
      </c>
      <c r="F3384" s="115" t="s">
        <v>8822</v>
      </c>
      <c r="G3384" s="115" t="s">
        <v>8823</v>
      </c>
      <c r="H3384" s="115" t="s">
        <v>74</v>
      </c>
    </row>
    <row r="3385" spans="1:8" ht="150" x14ac:dyDescent="0.25">
      <c r="A3385" s="115">
        <v>2979</v>
      </c>
      <c r="B3385" s="115" t="s">
        <v>45</v>
      </c>
      <c r="C3385" s="115" t="s">
        <v>8824</v>
      </c>
      <c r="D3385" s="115">
        <v>1</v>
      </c>
      <c r="E3385" s="115" t="s">
        <v>8825</v>
      </c>
      <c r="F3385" s="115" t="s">
        <v>8826</v>
      </c>
      <c r="G3385" s="115" t="s">
        <v>8827</v>
      </c>
      <c r="H3385" s="115" t="s">
        <v>8807</v>
      </c>
    </row>
    <row r="3386" spans="1:8" ht="409.5" x14ac:dyDescent="0.25">
      <c r="A3386" s="115">
        <v>2978</v>
      </c>
      <c r="B3386" s="115" t="s">
        <v>45</v>
      </c>
      <c r="C3386" s="115" t="s">
        <v>8828</v>
      </c>
      <c r="D3386" s="115">
        <v>1</v>
      </c>
      <c r="E3386" s="115" t="s">
        <v>8783</v>
      </c>
      <c r="F3386" s="115" t="s">
        <v>8784</v>
      </c>
      <c r="G3386" s="115" t="s">
        <v>8785</v>
      </c>
      <c r="H3386" s="115" t="s">
        <v>74</v>
      </c>
    </row>
    <row r="3387" spans="1:8" ht="60" x14ac:dyDescent="0.25">
      <c r="A3387" s="115">
        <v>2977</v>
      </c>
      <c r="B3387" s="115" t="s">
        <v>45</v>
      </c>
      <c r="C3387" s="115" t="s">
        <v>8829</v>
      </c>
      <c r="D3387" s="115">
        <v>1</v>
      </c>
      <c r="E3387" s="115" t="s">
        <v>8756</v>
      </c>
      <c r="F3387" s="115" t="s">
        <v>74</v>
      </c>
      <c r="G3387" s="115" t="s">
        <v>74</v>
      </c>
      <c r="H3387" s="115" t="s">
        <v>74</v>
      </c>
    </row>
    <row r="3388" spans="1:8" x14ac:dyDescent="0.25">
      <c r="A3388" s="115">
        <v>2974</v>
      </c>
      <c r="B3388" s="115" t="s">
        <v>8830</v>
      </c>
      <c r="C3388" s="115" t="s">
        <v>8831</v>
      </c>
      <c r="D3388" s="115">
        <v>1</v>
      </c>
      <c r="F3388" s="115" t="s">
        <v>74</v>
      </c>
      <c r="G3388" s="115" t="s">
        <v>74</v>
      </c>
      <c r="H3388" s="115" t="s">
        <v>74</v>
      </c>
    </row>
    <row r="3389" spans="1:8" ht="30" x14ac:dyDescent="0.25">
      <c r="A3389" s="115">
        <v>2973</v>
      </c>
      <c r="B3389" s="115" t="s">
        <v>8832</v>
      </c>
      <c r="C3389" s="115" t="s">
        <v>380</v>
      </c>
      <c r="D3389" s="115">
        <v>1</v>
      </c>
      <c r="E3389" s="115" t="s">
        <v>381</v>
      </c>
      <c r="F3389" s="115" t="s">
        <v>74</v>
      </c>
      <c r="G3389" s="115" t="s">
        <v>74</v>
      </c>
      <c r="H3389" s="115" t="s">
        <v>74</v>
      </c>
    </row>
    <row r="3390" spans="1:8" ht="45" x14ac:dyDescent="0.25">
      <c r="A3390" s="115">
        <v>2972</v>
      </c>
      <c r="B3390" s="115" t="s">
        <v>45</v>
      </c>
      <c r="C3390" s="115" t="s">
        <v>8833</v>
      </c>
      <c r="D3390" s="115">
        <v>1</v>
      </c>
      <c r="E3390" s="115" t="s">
        <v>8834</v>
      </c>
      <c r="F3390" s="115" t="s">
        <v>8835</v>
      </c>
      <c r="G3390" s="115" t="s">
        <v>8836</v>
      </c>
      <c r="H3390" s="115" t="s">
        <v>74</v>
      </c>
    </row>
    <row r="3391" spans="1:8" ht="409.5" x14ac:dyDescent="0.25">
      <c r="A3391" s="115">
        <v>2971</v>
      </c>
      <c r="B3391" s="115" t="s">
        <v>45</v>
      </c>
      <c r="C3391" s="115" t="s">
        <v>8837</v>
      </c>
      <c r="D3391" s="115">
        <v>1</v>
      </c>
      <c r="E3391" s="115" t="s">
        <v>8780</v>
      </c>
      <c r="F3391" s="115" t="s">
        <v>8781</v>
      </c>
      <c r="G3391" s="115" t="s">
        <v>8838</v>
      </c>
      <c r="H3391" s="115" t="s">
        <v>74</v>
      </c>
    </row>
    <row r="3392" spans="1:8" ht="45" x14ac:dyDescent="0.25">
      <c r="A3392" s="115">
        <v>2970</v>
      </c>
      <c r="B3392" s="115" t="s">
        <v>45</v>
      </c>
      <c r="C3392" s="115" t="s">
        <v>8839</v>
      </c>
      <c r="D3392" s="115">
        <v>1</v>
      </c>
      <c r="E3392" s="115" t="s">
        <v>8840</v>
      </c>
      <c r="F3392" s="115" t="s">
        <v>8841</v>
      </c>
      <c r="G3392" s="115" t="s">
        <v>8842</v>
      </c>
      <c r="H3392" s="115" t="s">
        <v>74</v>
      </c>
    </row>
    <row r="3393" spans="1:8" ht="30" x14ac:dyDescent="0.25">
      <c r="A3393" s="115">
        <v>2969</v>
      </c>
      <c r="B3393" s="115" t="s">
        <v>45</v>
      </c>
      <c r="C3393" s="115" t="s">
        <v>8843</v>
      </c>
      <c r="D3393" s="115">
        <v>1</v>
      </c>
      <c r="E3393" s="115" t="s">
        <v>8844</v>
      </c>
      <c r="F3393" s="115" t="s">
        <v>8845</v>
      </c>
      <c r="G3393" s="115" t="s">
        <v>8846</v>
      </c>
      <c r="H3393" s="115" t="s">
        <v>74</v>
      </c>
    </row>
    <row r="3394" spans="1:8" ht="30" x14ac:dyDescent="0.25">
      <c r="A3394" s="115">
        <v>2968</v>
      </c>
      <c r="B3394" s="115" t="s">
        <v>45</v>
      </c>
      <c r="C3394" s="115" t="s">
        <v>8847</v>
      </c>
      <c r="D3394" s="115">
        <v>1</v>
      </c>
      <c r="E3394" s="115" t="s">
        <v>8848</v>
      </c>
      <c r="F3394" s="115" t="s">
        <v>8849</v>
      </c>
      <c r="G3394" s="115" t="s">
        <v>8850</v>
      </c>
      <c r="H3394" s="115" t="s">
        <v>74</v>
      </c>
    </row>
    <row r="3395" spans="1:8" x14ac:dyDescent="0.25">
      <c r="A3395" s="115">
        <v>2957</v>
      </c>
      <c r="B3395" s="115" t="s">
        <v>45</v>
      </c>
      <c r="C3395" s="115" t="s">
        <v>8641</v>
      </c>
      <c r="D3395" s="115">
        <v>1</v>
      </c>
      <c r="E3395" s="115" t="s">
        <v>8642</v>
      </c>
      <c r="F3395" s="115" t="s">
        <v>8643</v>
      </c>
      <c r="G3395" s="115" t="s">
        <v>8644</v>
      </c>
      <c r="H3395" s="115" t="s">
        <v>8851</v>
      </c>
    </row>
    <row r="3396" spans="1:8" ht="45" x14ac:dyDescent="0.25">
      <c r="A3396" s="115">
        <v>2956</v>
      </c>
      <c r="B3396" s="115" t="s">
        <v>45</v>
      </c>
      <c r="C3396" s="115" t="s">
        <v>8852</v>
      </c>
      <c r="D3396" s="115">
        <v>1</v>
      </c>
      <c r="E3396" s="115" t="s">
        <v>8853</v>
      </c>
      <c r="F3396" s="115" t="s">
        <v>8854</v>
      </c>
      <c r="G3396" s="115" t="s">
        <v>8855</v>
      </c>
      <c r="H3396" s="115" t="s">
        <v>74</v>
      </c>
    </row>
    <row r="3397" spans="1:8" x14ac:dyDescent="0.25">
      <c r="A3397" s="115">
        <v>2955</v>
      </c>
      <c r="B3397" s="115" t="s">
        <v>45</v>
      </c>
      <c r="C3397" s="115" t="s">
        <v>8856</v>
      </c>
      <c r="D3397" s="115">
        <v>1</v>
      </c>
      <c r="E3397" s="115" t="s">
        <v>5746</v>
      </c>
      <c r="F3397" s="115" t="s">
        <v>5747</v>
      </c>
      <c r="G3397" s="115" t="s">
        <v>5748</v>
      </c>
      <c r="H3397" s="115" t="s">
        <v>74</v>
      </c>
    </row>
    <row r="3398" spans="1:8" ht="60" x14ac:dyDescent="0.25">
      <c r="A3398" s="115">
        <v>2954</v>
      </c>
      <c r="B3398" s="115" t="s">
        <v>45</v>
      </c>
      <c r="C3398" s="115" t="s">
        <v>8857</v>
      </c>
      <c r="D3398" s="115">
        <v>1</v>
      </c>
      <c r="E3398" s="115" t="s">
        <v>8858</v>
      </c>
      <c r="F3398" s="115" t="s">
        <v>8859</v>
      </c>
      <c r="G3398" s="115" t="s">
        <v>8860</v>
      </c>
      <c r="H3398" s="115" t="s">
        <v>74</v>
      </c>
    </row>
    <row r="3399" spans="1:8" ht="75" x14ac:dyDescent="0.25">
      <c r="A3399" s="115">
        <v>2952</v>
      </c>
      <c r="B3399" s="115" t="s">
        <v>45</v>
      </c>
      <c r="C3399" s="115" t="s">
        <v>8861</v>
      </c>
      <c r="D3399" s="115">
        <v>1</v>
      </c>
      <c r="E3399" s="115" t="s">
        <v>8862</v>
      </c>
      <c r="F3399" s="115" t="s">
        <v>8863</v>
      </c>
      <c r="G3399" s="115" t="s">
        <v>8864</v>
      </c>
      <c r="H3399" s="115" t="s">
        <v>74</v>
      </c>
    </row>
    <row r="3400" spans="1:8" ht="45" x14ac:dyDescent="0.25">
      <c r="A3400" s="115">
        <v>2951</v>
      </c>
      <c r="B3400" s="115" t="s">
        <v>45</v>
      </c>
      <c r="C3400" s="115" t="s">
        <v>8865</v>
      </c>
      <c r="D3400" s="115">
        <v>1</v>
      </c>
      <c r="E3400" s="115" t="s">
        <v>8866</v>
      </c>
      <c r="F3400" s="115" t="s">
        <v>8867</v>
      </c>
      <c r="G3400" s="115" t="s">
        <v>8868</v>
      </c>
      <c r="H3400" s="115" t="s">
        <v>74</v>
      </c>
    </row>
    <row r="3401" spans="1:8" ht="165" x14ac:dyDescent="0.25">
      <c r="A3401" s="115">
        <v>2950</v>
      </c>
      <c r="B3401" s="115" t="s">
        <v>45</v>
      </c>
      <c r="C3401" s="115" t="s">
        <v>8869</v>
      </c>
      <c r="D3401" s="115">
        <v>1</v>
      </c>
      <c r="E3401" s="115" t="s">
        <v>8870</v>
      </c>
      <c r="F3401" s="115" t="s">
        <v>8871</v>
      </c>
      <c r="G3401" s="115" t="s">
        <v>8872</v>
      </c>
      <c r="H3401" s="115" t="s">
        <v>74</v>
      </c>
    </row>
    <row r="3402" spans="1:8" x14ac:dyDescent="0.25">
      <c r="A3402" s="115">
        <v>2949</v>
      </c>
      <c r="B3402" s="115" t="s">
        <v>45</v>
      </c>
      <c r="C3402" s="115" t="s">
        <v>8873</v>
      </c>
      <c r="D3402" s="115">
        <v>1</v>
      </c>
      <c r="E3402" s="115" t="s">
        <v>5751</v>
      </c>
      <c r="F3402" s="115" t="s">
        <v>8874</v>
      </c>
      <c r="G3402" s="115" t="s">
        <v>5753</v>
      </c>
      <c r="H3402" s="115" t="s">
        <v>74</v>
      </c>
    </row>
    <row r="3403" spans="1:8" ht="30" x14ac:dyDescent="0.25">
      <c r="A3403" s="115">
        <v>2948</v>
      </c>
      <c r="B3403" s="115" t="s">
        <v>45</v>
      </c>
      <c r="C3403" s="115" t="s">
        <v>8875</v>
      </c>
      <c r="D3403" s="115">
        <v>1</v>
      </c>
      <c r="E3403" s="115" t="s">
        <v>8876</v>
      </c>
      <c r="F3403" s="115" t="s">
        <v>8877</v>
      </c>
      <c r="G3403" s="115" t="s">
        <v>8878</v>
      </c>
      <c r="H3403" s="115" t="s">
        <v>74</v>
      </c>
    </row>
    <row r="3404" spans="1:8" ht="225" x14ac:dyDescent="0.25">
      <c r="A3404" s="115">
        <v>2947</v>
      </c>
      <c r="B3404" s="115" t="s">
        <v>45</v>
      </c>
      <c r="C3404" s="115" t="s">
        <v>8879</v>
      </c>
      <c r="D3404" s="115">
        <v>1</v>
      </c>
      <c r="E3404" s="115" t="s">
        <v>8791</v>
      </c>
      <c r="F3404" s="115" t="s">
        <v>8792</v>
      </c>
      <c r="G3404" s="115" t="s">
        <v>8793</v>
      </c>
      <c r="H3404" s="115" t="s">
        <v>74</v>
      </c>
    </row>
    <row r="3405" spans="1:8" ht="45" x14ac:dyDescent="0.25">
      <c r="A3405" s="115">
        <v>2946</v>
      </c>
      <c r="B3405" s="115" t="s">
        <v>45</v>
      </c>
      <c r="C3405" s="115" t="s">
        <v>8880</v>
      </c>
      <c r="D3405" s="115">
        <v>1</v>
      </c>
      <c r="E3405" s="115" t="s">
        <v>8881</v>
      </c>
      <c r="F3405" s="115" t="s">
        <v>8882</v>
      </c>
      <c r="G3405" s="115" t="s">
        <v>8883</v>
      </c>
      <c r="H3405" s="115" t="s">
        <v>74</v>
      </c>
    </row>
    <row r="3406" spans="1:8" ht="30" x14ac:dyDescent="0.25">
      <c r="A3406" s="115">
        <v>2945</v>
      </c>
      <c r="B3406" s="115" t="s">
        <v>45</v>
      </c>
      <c r="C3406" s="115" t="s">
        <v>8884</v>
      </c>
      <c r="D3406" s="115">
        <v>1</v>
      </c>
      <c r="E3406" s="115" t="s">
        <v>8885</v>
      </c>
      <c r="F3406" s="115" t="s">
        <v>8886</v>
      </c>
      <c r="G3406" s="115" t="s">
        <v>8887</v>
      </c>
      <c r="H3406" s="115" t="s">
        <v>74</v>
      </c>
    </row>
    <row r="3407" spans="1:8" ht="45" x14ac:dyDescent="0.25">
      <c r="A3407" s="115">
        <v>2944</v>
      </c>
      <c r="B3407" s="115" t="s">
        <v>45</v>
      </c>
      <c r="C3407" s="115" t="s">
        <v>8888</v>
      </c>
      <c r="D3407" s="115">
        <v>1</v>
      </c>
      <c r="E3407" s="115" t="s">
        <v>8889</v>
      </c>
      <c r="F3407" s="115" t="s">
        <v>8890</v>
      </c>
      <c r="G3407" s="115" t="s">
        <v>8891</v>
      </c>
      <c r="H3407" s="115" t="s">
        <v>74</v>
      </c>
    </row>
    <row r="3408" spans="1:8" ht="30" x14ac:dyDescent="0.25">
      <c r="A3408" s="115">
        <v>2943</v>
      </c>
      <c r="B3408" s="115" t="s">
        <v>45</v>
      </c>
      <c r="C3408" s="115" t="s">
        <v>8892</v>
      </c>
      <c r="D3408" s="115">
        <v>1</v>
      </c>
      <c r="E3408" s="115" t="s">
        <v>8893</v>
      </c>
      <c r="F3408" s="115" t="s">
        <v>8894</v>
      </c>
      <c r="G3408" s="115" t="s">
        <v>8895</v>
      </c>
      <c r="H3408" s="115" t="s">
        <v>74</v>
      </c>
    </row>
    <row r="3409" spans="1:8" ht="45" x14ac:dyDescent="0.25">
      <c r="A3409" s="115">
        <v>2942</v>
      </c>
      <c r="B3409" s="115" t="s">
        <v>45</v>
      </c>
      <c r="C3409" s="115" t="s">
        <v>8896</v>
      </c>
      <c r="D3409" s="115">
        <v>1</v>
      </c>
      <c r="E3409" s="115" t="s">
        <v>8897</v>
      </c>
      <c r="F3409" s="115" t="s">
        <v>8898</v>
      </c>
      <c r="G3409" s="115" t="s">
        <v>8899</v>
      </c>
      <c r="H3409" s="115" t="s">
        <v>74</v>
      </c>
    </row>
    <row r="3410" spans="1:8" ht="60" x14ac:dyDescent="0.25">
      <c r="A3410" s="115">
        <v>2941</v>
      </c>
      <c r="B3410" s="115" t="s">
        <v>45</v>
      </c>
      <c r="C3410" s="115" t="s">
        <v>8900</v>
      </c>
      <c r="D3410" s="115">
        <v>1</v>
      </c>
      <c r="E3410" s="115" t="s">
        <v>8901</v>
      </c>
      <c r="F3410" s="115" t="s">
        <v>8902</v>
      </c>
      <c r="G3410" s="115" t="s">
        <v>8903</v>
      </c>
      <c r="H3410" s="115" t="s">
        <v>74</v>
      </c>
    </row>
    <row r="3411" spans="1:8" ht="45" x14ac:dyDescent="0.25">
      <c r="A3411" s="115">
        <v>2940</v>
      </c>
      <c r="B3411" s="115" t="s">
        <v>45</v>
      </c>
      <c r="C3411" s="115" t="s">
        <v>8904</v>
      </c>
      <c r="D3411" s="115">
        <v>1</v>
      </c>
      <c r="E3411" s="115" t="s">
        <v>6931</v>
      </c>
      <c r="F3411" s="115" t="s">
        <v>8905</v>
      </c>
      <c r="G3411" s="115" t="s">
        <v>8906</v>
      </c>
      <c r="H3411" s="115" t="s">
        <v>74</v>
      </c>
    </row>
    <row r="3412" spans="1:8" ht="45" x14ac:dyDescent="0.25">
      <c r="A3412" s="115">
        <v>2939</v>
      </c>
      <c r="B3412" s="115" t="s">
        <v>45</v>
      </c>
      <c r="C3412" s="115" t="s">
        <v>8907</v>
      </c>
      <c r="D3412" s="115">
        <v>1</v>
      </c>
      <c r="E3412" s="115" t="s">
        <v>8908</v>
      </c>
      <c r="F3412" s="115" t="s">
        <v>8909</v>
      </c>
      <c r="G3412" s="115" t="s">
        <v>8910</v>
      </c>
      <c r="H3412" s="115" t="s">
        <v>74</v>
      </c>
    </row>
    <row r="3413" spans="1:8" ht="45" x14ac:dyDescent="0.25">
      <c r="A3413" s="115">
        <v>2938</v>
      </c>
      <c r="B3413" s="115" t="s">
        <v>45</v>
      </c>
      <c r="C3413" s="115" t="s">
        <v>8911</v>
      </c>
      <c r="D3413" s="115">
        <v>1</v>
      </c>
      <c r="E3413" s="115" t="s">
        <v>8912</v>
      </c>
      <c r="F3413" s="115" t="s">
        <v>8913</v>
      </c>
      <c r="G3413" s="115" t="s">
        <v>8914</v>
      </c>
      <c r="H3413" s="115" t="s">
        <v>74</v>
      </c>
    </row>
    <row r="3414" spans="1:8" ht="30" x14ac:dyDescent="0.25">
      <c r="A3414" s="115">
        <v>2937</v>
      </c>
      <c r="B3414" s="115" t="s">
        <v>45</v>
      </c>
      <c r="C3414" s="115" t="s">
        <v>8915</v>
      </c>
      <c r="D3414" s="115">
        <v>1</v>
      </c>
      <c r="E3414" s="115" t="s">
        <v>6916</v>
      </c>
      <c r="F3414" s="115" t="s">
        <v>6917</v>
      </c>
      <c r="G3414" s="115" t="s">
        <v>6918</v>
      </c>
      <c r="H3414" s="115" t="s">
        <v>74</v>
      </c>
    </row>
    <row r="3415" spans="1:8" ht="90" x14ac:dyDescent="0.25">
      <c r="A3415" s="115">
        <v>2936</v>
      </c>
      <c r="B3415" s="115" t="s">
        <v>45</v>
      </c>
      <c r="C3415" s="115" t="s">
        <v>8916</v>
      </c>
      <c r="D3415" s="115">
        <v>1</v>
      </c>
      <c r="E3415" s="115" t="s">
        <v>8917</v>
      </c>
      <c r="F3415" s="115" t="s">
        <v>8918</v>
      </c>
      <c r="G3415" s="115" t="s">
        <v>8919</v>
      </c>
      <c r="H3415" s="115" t="s">
        <v>74</v>
      </c>
    </row>
    <row r="3416" spans="1:8" x14ac:dyDescent="0.25">
      <c r="A3416" s="115">
        <v>2935</v>
      </c>
      <c r="B3416" s="115" t="s">
        <v>45</v>
      </c>
      <c r="C3416" s="115" t="s">
        <v>8920</v>
      </c>
      <c r="D3416" s="115">
        <v>1</v>
      </c>
      <c r="E3416" s="115" t="s">
        <v>5756</v>
      </c>
      <c r="F3416" s="115" t="s">
        <v>5757</v>
      </c>
      <c r="G3416" s="115" t="s">
        <v>8921</v>
      </c>
      <c r="H3416" s="115" t="s">
        <v>74</v>
      </c>
    </row>
    <row r="3417" spans="1:8" ht="45" x14ac:dyDescent="0.25">
      <c r="A3417" s="115">
        <v>2934</v>
      </c>
      <c r="B3417" s="115" t="s">
        <v>45</v>
      </c>
      <c r="C3417" s="115" t="s">
        <v>8922</v>
      </c>
      <c r="D3417" s="115">
        <v>1</v>
      </c>
      <c r="E3417" s="115" t="s">
        <v>6911</v>
      </c>
      <c r="F3417" s="115" t="s">
        <v>8923</v>
      </c>
      <c r="G3417" s="115" t="s">
        <v>6913</v>
      </c>
      <c r="H3417" s="115" t="s">
        <v>74</v>
      </c>
    </row>
    <row r="3418" spans="1:8" x14ac:dyDescent="0.25">
      <c r="A3418" s="115">
        <v>2933</v>
      </c>
      <c r="B3418" s="115" t="s">
        <v>377</v>
      </c>
      <c r="C3418" s="115" t="s">
        <v>8924</v>
      </c>
      <c r="D3418" s="115">
        <v>0</v>
      </c>
      <c r="E3418" s="115" t="s">
        <v>8925</v>
      </c>
      <c r="F3418" s="115" t="s">
        <v>8926</v>
      </c>
      <c r="G3418" s="115" t="s">
        <v>8927</v>
      </c>
      <c r="H3418" s="115" t="s">
        <v>74</v>
      </c>
    </row>
    <row r="3419" spans="1:8" x14ac:dyDescent="0.25">
      <c r="A3419" s="115">
        <v>2932</v>
      </c>
      <c r="B3419" s="115" t="s">
        <v>45</v>
      </c>
      <c r="C3419" s="115" t="s">
        <v>8928</v>
      </c>
      <c r="D3419" s="115">
        <v>1</v>
      </c>
      <c r="E3419" s="115" t="s">
        <v>8646</v>
      </c>
      <c r="F3419" s="115" t="s">
        <v>8647</v>
      </c>
      <c r="G3419" s="115" t="s">
        <v>8648</v>
      </c>
      <c r="H3419" s="115" t="s">
        <v>74</v>
      </c>
    </row>
    <row r="3420" spans="1:8" ht="30" x14ac:dyDescent="0.25">
      <c r="A3420" s="115">
        <v>2931</v>
      </c>
      <c r="B3420" s="115" t="s">
        <v>45</v>
      </c>
      <c r="C3420" s="115" t="s">
        <v>8929</v>
      </c>
      <c r="D3420" s="115">
        <v>1</v>
      </c>
      <c r="E3420" s="115" t="s">
        <v>8930</v>
      </c>
      <c r="F3420" s="115" t="s">
        <v>8931</v>
      </c>
      <c r="G3420" s="115" t="s">
        <v>8932</v>
      </c>
      <c r="H3420" s="115" t="s">
        <v>74</v>
      </c>
    </row>
    <row r="3421" spans="1:8" ht="345" x14ac:dyDescent="0.25">
      <c r="A3421" s="115">
        <v>2930</v>
      </c>
      <c r="B3421" s="115" t="s">
        <v>45</v>
      </c>
      <c r="C3421" s="115" t="s">
        <v>8933</v>
      </c>
      <c r="D3421" s="115">
        <v>1</v>
      </c>
      <c r="E3421" s="115" t="s">
        <v>8752</v>
      </c>
      <c r="F3421" s="115" t="s">
        <v>8934</v>
      </c>
      <c r="G3421" s="115" t="s">
        <v>8935</v>
      </c>
      <c r="H3421" s="115" t="s">
        <v>74</v>
      </c>
    </row>
    <row r="3422" spans="1:8" x14ac:dyDescent="0.25">
      <c r="A3422" s="115">
        <v>2929</v>
      </c>
      <c r="B3422" s="115" t="s">
        <v>45</v>
      </c>
      <c r="C3422" s="115" t="s">
        <v>8936</v>
      </c>
      <c r="D3422" s="115">
        <v>1</v>
      </c>
      <c r="E3422" s="115" t="s">
        <v>8937</v>
      </c>
      <c r="F3422" s="115" t="s">
        <v>8937</v>
      </c>
      <c r="G3422" s="115" t="s">
        <v>8938</v>
      </c>
      <c r="H3422" s="115" t="s">
        <v>74</v>
      </c>
    </row>
    <row r="3423" spans="1:8" ht="45" x14ac:dyDescent="0.25">
      <c r="A3423" s="115">
        <v>2928</v>
      </c>
      <c r="B3423" s="115" t="s">
        <v>45</v>
      </c>
      <c r="C3423" s="115" t="s">
        <v>8939</v>
      </c>
      <c r="D3423" s="115">
        <v>1</v>
      </c>
      <c r="E3423" s="115" t="s">
        <v>8940</v>
      </c>
      <c r="F3423" s="115" t="s">
        <v>8941</v>
      </c>
      <c r="G3423" s="115" t="s">
        <v>8942</v>
      </c>
      <c r="H3423" s="115" t="s">
        <v>74</v>
      </c>
    </row>
    <row r="3424" spans="1:8" ht="90" x14ac:dyDescent="0.25">
      <c r="A3424" s="115">
        <v>2927</v>
      </c>
      <c r="B3424" s="115" t="s">
        <v>45</v>
      </c>
      <c r="C3424" s="115" t="s">
        <v>8943</v>
      </c>
      <c r="D3424" s="115">
        <v>1</v>
      </c>
      <c r="E3424" s="115" t="s">
        <v>5806</v>
      </c>
      <c r="F3424" s="115" t="s">
        <v>8944</v>
      </c>
      <c r="G3424" s="115" t="s">
        <v>8945</v>
      </c>
      <c r="H3424" s="115" t="s">
        <v>74</v>
      </c>
    </row>
    <row r="3425" spans="1:8" ht="30" x14ac:dyDescent="0.25">
      <c r="A3425" s="115">
        <v>2926</v>
      </c>
      <c r="B3425" s="115" t="s">
        <v>377</v>
      </c>
      <c r="C3425" s="115" t="s">
        <v>8946</v>
      </c>
      <c r="D3425" s="115">
        <v>0</v>
      </c>
      <c r="E3425" s="115" t="s">
        <v>8947</v>
      </c>
      <c r="F3425" s="115" t="s">
        <v>8948</v>
      </c>
      <c r="G3425" s="115" t="s">
        <v>8949</v>
      </c>
      <c r="H3425" s="115" t="s">
        <v>74</v>
      </c>
    </row>
    <row r="3426" spans="1:8" ht="60" x14ac:dyDescent="0.25">
      <c r="A3426" s="115">
        <v>2925</v>
      </c>
      <c r="B3426" s="115" t="s">
        <v>45</v>
      </c>
      <c r="C3426" s="115" t="s">
        <v>8950</v>
      </c>
      <c r="D3426" s="115">
        <v>1</v>
      </c>
      <c r="E3426" s="115" t="s">
        <v>8951</v>
      </c>
      <c r="F3426" s="115" t="s">
        <v>8952</v>
      </c>
      <c r="G3426" s="115" t="s">
        <v>8953</v>
      </c>
      <c r="H3426" s="115" t="s">
        <v>74</v>
      </c>
    </row>
    <row r="3427" spans="1:8" ht="45" x14ac:dyDescent="0.25">
      <c r="A3427" s="115">
        <v>2924</v>
      </c>
      <c r="B3427" s="115" t="s">
        <v>45</v>
      </c>
      <c r="C3427" s="115" t="s">
        <v>8954</v>
      </c>
      <c r="D3427" s="115">
        <v>1</v>
      </c>
      <c r="E3427" s="115" t="s">
        <v>8955</v>
      </c>
      <c r="F3427" s="115" t="s">
        <v>8956</v>
      </c>
      <c r="G3427" s="115" t="s">
        <v>8957</v>
      </c>
      <c r="H3427" s="115" t="s">
        <v>74</v>
      </c>
    </row>
    <row r="3428" spans="1:8" ht="75" x14ac:dyDescent="0.25">
      <c r="A3428" s="115">
        <v>2923</v>
      </c>
      <c r="B3428" s="115" t="s">
        <v>45</v>
      </c>
      <c r="C3428" s="115" t="s">
        <v>8958</v>
      </c>
      <c r="D3428" s="115">
        <v>1</v>
      </c>
      <c r="E3428" s="115" t="s">
        <v>8959</v>
      </c>
      <c r="F3428" s="115" t="s">
        <v>8960</v>
      </c>
      <c r="G3428" s="115" t="s">
        <v>8961</v>
      </c>
      <c r="H3428" s="115" t="s">
        <v>74</v>
      </c>
    </row>
    <row r="3429" spans="1:8" ht="60" x14ac:dyDescent="0.25">
      <c r="A3429" s="115">
        <v>2922</v>
      </c>
      <c r="B3429" s="115" t="s">
        <v>45</v>
      </c>
      <c r="C3429" s="115" t="s">
        <v>8962</v>
      </c>
      <c r="D3429" s="115">
        <v>1</v>
      </c>
      <c r="E3429" s="115" t="s">
        <v>8963</v>
      </c>
      <c r="F3429" s="115" t="s">
        <v>8964</v>
      </c>
      <c r="G3429" s="115" t="s">
        <v>8965</v>
      </c>
      <c r="H3429" s="115" t="s">
        <v>74</v>
      </c>
    </row>
    <row r="3430" spans="1:8" ht="30" x14ac:dyDescent="0.25">
      <c r="A3430" s="115">
        <v>2921</v>
      </c>
      <c r="B3430" s="115" t="s">
        <v>313</v>
      </c>
      <c r="C3430" s="115" t="s">
        <v>8966</v>
      </c>
      <c r="D3430" s="115">
        <v>1</v>
      </c>
      <c r="E3430" s="115" t="s">
        <v>8967</v>
      </c>
      <c r="F3430" s="115" t="s">
        <v>8968</v>
      </c>
      <c r="G3430" s="115" t="s">
        <v>8969</v>
      </c>
      <c r="H3430" s="115" t="s">
        <v>74</v>
      </c>
    </row>
    <row r="3431" spans="1:8" ht="75" x14ac:dyDescent="0.25">
      <c r="A3431" s="115">
        <v>2920</v>
      </c>
      <c r="B3431" s="115" t="s">
        <v>45</v>
      </c>
      <c r="C3431" s="115" t="s">
        <v>8970</v>
      </c>
      <c r="D3431" s="115">
        <v>1</v>
      </c>
      <c r="E3431" s="115" t="s">
        <v>8971</v>
      </c>
      <c r="F3431" s="115" t="s">
        <v>8972</v>
      </c>
      <c r="G3431" s="115" t="s">
        <v>8973</v>
      </c>
      <c r="H3431" s="115" t="s">
        <v>74</v>
      </c>
    </row>
    <row r="3432" spans="1:8" ht="60" x14ac:dyDescent="0.25">
      <c r="A3432" s="115">
        <v>2919</v>
      </c>
      <c r="B3432" s="115" t="s">
        <v>45</v>
      </c>
      <c r="C3432" s="115" t="s">
        <v>8974</v>
      </c>
      <c r="D3432" s="115">
        <v>1</v>
      </c>
      <c r="E3432" s="115" t="s">
        <v>8975</v>
      </c>
      <c r="F3432" s="115" t="s">
        <v>8976</v>
      </c>
      <c r="G3432" s="115" t="s">
        <v>8977</v>
      </c>
      <c r="H3432" s="115" t="s">
        <v>74</v>
      </c>
    </row>
    <row r="3433" spans="1:8" ht="30" x14ac:dyDescent="0.25">
      <c r="A3433" s="115">
        <v>2918</v>
      </c>
      <c r="B3433" s="115" t="s">
        <v>45</v>
      </c>
      <c r="C3433" s="115" t="s">
        <v>8618</v>
      </c>
      <c r="D3433" s="115">
        <v>1</v>
      </c>
      <c r="E3433" s="115" t="s">
        <v>8978</v>
      </c>
      <c r="F3433" s="115" t="s">
        <v>8979</v>
      </c>
      <c r="G3433" s="115" t="s">
        <v>8980</v>
      </c>
      <c r="H3433" s="115" t="s">
        <v>74</v>
      </c>
    </row>
    <row r="3434" spans="1:8" x14ac:dyDescent="0.25">
      <c r="A3434" s="115">
        <v>2917</v>
      </c>
      <c r="B3434" s="115" t="s">
        <v>313</v>
      </c>
      <c r="C3434" s="115" t="s">
        <v>8981</v>
      </c>
      <c r="D3434" s="115">
        <v>1</v>
      </c>
      <c r="E3434" s="115" t="s">
        <v>5761</v>
      </c>
      <c r="F3434" s="115" t="s">
        <v>5762</v>
      </c>
      <c r="G3434" s="115" t="s">
        <v>5763</v>
      </c>
      <c r="H3434" s="115" t="s">
        <v>74</v>
      </c>
    </row>
    <row r="3435" spans="1:8" x14ac:dyDescent="0.25">
      <c r="A3435" s="115">
        <v>2916</v>
      </c>
      <c r="B3435" s="115" t="s">
        <v>71</v>
      </c>
      <c r="C3435" s="115" t="s">
        <v>8982</v>
      </c>
      <c r="D3435" s="115">
        <v>1</v>
      </c>
      <c r="E3435" s="115" t="s">
        <v>8983</v>
      </c>
      <c r="F3435" s="115" t="s">
        <v>8983</v>
      </c>
      <c r="G3435" s="115" t="s">
        <v>8984</v>
      </c>
      <c r="H3435" s="115" t="s">
        <v>74</v>
      </c>
    </row>
    <row r="3436" spans="1:8" x14ac:dyDescent="0.25">
      <c r="A3436" s="115">
        <v>2915</v>
      </c>
      <c r="B3436" s="115" t="s">
        <v>149</v>
      </c>
      <c r="C3436" s="115" t="s">
        <v>8985</v>
      </c>
      <c r="D3436" s="115">
        <v>0</v>
      </c>
      <c r="E3436" s="115" t="s">
        <v>8986</v>
      </c>
      <c r="F3436" s="115" t="s">
        <v>8987</v>
      </c>
      <c r="G3436" s="115" t="s">
        <v>8988</v>
      </c>
      <c r="H3436" s="115" t="s">
        <v>74</v>
      </c>
    </row>
    <row r="3437" spans="1:8" x14ac:dyDescent="0.25">
      <c r="A3437" s="115">
        <v>2914</v>
      </c>
      <c r="B3437" s="115" t="s">
        <v>45</v>
      </c>
      <c r="C3437" s="115" t="s">
        <v>8989</v>
      </c>
      <c r="D3437" s="115">
        <v>1</v>
      </c>
      <c r="E3437" s="115" t="s">
        <v>8990</v>
      </c>
      <c r="F3437" s="115" t="s">
        <v>8991</v>
      </c>
      <c r="G3437" s="115" t="s">
        <v>8992</v>
      </c>
      <c r="H3437" s="115" t="s">
        <v>74</v>
      </c>
    </row>
    <row r="3438" spans="1:8" x14ac:dyDescent="0.25">
      <c r="A3438" s="115">
        <v>2913</v>
      </c>
      <c r="B3438" s="115" t="s">
        <v>377</v>
      </c>
      <c r="C3438" s="115" t="s">
        <v>8993</v>
      </c>
      <c r="D3438" s="115">
        <v>0</v>
      </c>
      <c r="E3438" s="115" t="s">
        <v>8994</v>
      </c>
      <c r="F3438" s="115" t="s">
        <v>8995</v>
      </c>
      <c r="G3438" s="115" t="s">
        <v>8996</v>
      </c>
      <c r="H3438" s="115" t="s">
        <v>74</v>
      </c>
    </row>
    <row r="3439" spans="1:8" x14ac:dyDescent="0.25">
      <c r="A3439" s="115">
        <v>2912</v>
      </c>
      <c r="B3439" s="115" t="s">
        <v>377</v>
      </c>
      <c r="C3439" s="115" t="s">
        <v>8997</v>
      </c>
      <c r="D3439" s="115">
        <v>0</v>
      </c>
      <c r="E3439" s="115" t="s">
        <v>8998</v>
      </c>
      <c r="F3439" s="115" t="s">
        <v>8999</v>
      </c>
      <c r="G3439" s="115" t="s">
        <v>9000</v>
      </c>
      <c r="H3439" s="115" t="s">
        <v>74</v>
      </c>
    </row>
    <row r="3440" spans="1:8" x14ac:dyDescent="0.25">
      <c r="A3440" s="115">
        <v>2911</v>
      </c>
      <c r="B3440" s="115" t="s">
        <v>377</v>
      </c>
      <c r="C3440" s="115" t="s">
        <v>9001</v>
      </c>
      <c r="D3440" s="115">
        <v>0</v>
      </c>
      <c r="E3440" s="115" t="s">
        <v>9002</v>
      </c>
      <c r="F3440" s="115" t="s">
        <v>9003</v>
      </c>
      <c r="G3440" s="115" t="s">
        <v>9004</v>
      </c>
      <c r="H3440" s="115" t="s">
        <v>74</v>
      </c>
    </row>
    <row r="3441" spans="1:8" ht="105" x14ac:dyDescent="0.25">
      <c r="A3441" s="115">
        <v>2910</v>
      </c>
      <c r="B3441" s="115" t="s">
        <v>45</v>
      </c>
      <c r="C3441" s="115" t="s">
        <v>9005</v>
      </c>
      <c r="D3441" s="115">
        <v>1</v>
      </c>
      <c r="E3441" s="115" t="s">
        <v>9006</v>
      </c>
      <c r="F3441" s="115" t="s">
        <v>9007</v>
      </c>
      <c r="G3441" s="115" t="s">
        <v>9008</v>
      </c>
      <c r="H3441" s="115" t="s">
        <v>74</v>
      </c>
    </row>
    <row r="3442" spans="1:8" ht="45" x14ac:dyDescent="0.25">
      <c r="A3442" s="115">
        <v>2909</v>
      </c>
      <c r="B3442" s="115" t="s">
        <v>45</v>
      </c>
      <c r="C3442" s="115" t="s">
        <v>9009</v>
      </c>
      <c r="D3442" s="115">
        <v>1</v>
      </c>
      <c r="E3442" s="115" t="s">
        <v>9010</v>
      </c>
      <c r="F3442" s="115" t="s">
        <v>9011</v>
      </c>
      <c r="G3442" s="115" t="s">
        <v>9012</v>
      </c>
      <c r="H3442" s="115" t="s">
        <v>74</v>
      </c>
    </row>
    <row r="3443" spans="1:8" ht="30" x14ac:dyDescent="0.25">
      <c r="A3443" s="115">
        <v>2908</v>
      </c>
      <c r="B3443" s="115" t="s">
        <v>45</v>
      </c>
      <c r="C3443" s="115" t="s">
        <v>9013</v>
      </c>
      <c r="D3443" s="115">
        <v>1</v>
      </c>
      <c r="E3443" s="115" t="s">
        <v>9014</v>
      </c>
      <c r="F3443" s="115" t="s">
        <v>9015</v>
      </c>
      <c r="G3443" s="115" t="s">
        <v>9016</v>
      </c>
      <c r="H3443" s="115" t="s">
        <v>74</v>
      </c>
    </row>
    <row r="3444" spans="1:8" ht="45" x14ac:dyDescent="0.25">
      <c r="A3444" s="115">
        <v>2907</v>
      </c>
      <c r="B3444" s="115" t="s">
        <v>45</v>
      </c>
      <c r="C3444" s="115" t="s">
        <v>9017</v>
      </c>
      <c r="D3444" s="115">
        <v>1</v>
      </c>
      <c r="E3444" s="115" t="s">
        <v>9018</v>
      </c>
      <c r="F3444" s="115" t="s">
        <v>9019</v>
      </c>
      <c r="G3444" s="115" t="s">
        <v>9020</v>
      </c>
      <c r="H3444" s="115" t="s">
        <v>74</v>
      </c>
    </row>
    <row r="3445" spans="1:8" ht="210" x14ac:dyDescent="0.25">
      <c r="A3445" s="115">
        <v>2906</v>
      </c>
      <c r="B3445" s="115" t="s">
        <v>45</v>
      </c>
      <c r="C3445" s="115" t="s">
        <v>9021</v>
      </c>
      <c r="D3445" s="115">
        <v>1</v>
      </c>
      <c r="E3445" s="115" t="s">
        <v>9022</v>
      </c>
      <c r="F3445" s="115" t="s">
        <v>9023</v>
      </c>
      <c r="G3445" s="115" t="s">
        <v>9024</v>
      </c>
      <c r="H3445" s="115" t="s">
        <v>74</v>
      </c>
    </row>
    <row r="3446" spans="1:8" ht="135" x14ac:dyDescent="0.25">
      <c r="A3446" s="115">
        <v>2905</v>
      </c>
      <c r="B3446" s="115" t="s">
        <v>45</v>
      </c>
      <c r="C3446" s="115" t="s">
        <v>9025</v>
      </c>
      <c r="D3446" s="115">
        <v>1</v>
      </c>
      <c r="E3446" s="115" t="s">
        <v>9026</v>
      </c>
      <c r="F3446" s="115" t="s">
        <v>9027</v>
      </c>
      <c r="G3446" s="115" t="s">
        <v>9028</v>
      </c>
      <c r="H3446" s="115" t="s">
        <v>74</v>
      </c>
    </row>
    <row r="3447" spans="1:8" ht="120" x14ac:dyDescent="0.25">
      <c r="A3447" s="115">
        <v>2904</v>
      </c>
      <c r="B3447" s="115" t="s">
        <v>45</v>
      </c>
      <c r="C3447" s="115" t="s">
        <v>9029</v>
      </c>
      <c r="D3447" s="115">
        <v>1</v>
      </c>
      <c r="E3447" s="115" t="s">
        <v>9030</v>
      </c>
      <c r="F3447" s="115" t="s">
        <v>9031</v>
      </c>
      <c r="G3447" s="115" t="s">
        <v>9032</v>
      </c>
      <c r="H3447" s="115" t="s">
        <v>74</v>
      </c>
    </row>
    <row r="3448" spans="1:8" ht="150" x14ac:dyDescent="0.25">
      <c r="A3448" s="115">
        <v>2903</v>
      </c>
      <c r="B3448" s="115" t="s">
        <v>45</v>
      </c>
      <c r="C3448" s="115" t="s">
        <v>9033</v>
      </c>
      <c r="D3448" s="115">
        <v>1</v>
      </c>
      <c r="E3448" s="115" t="s">
        <v>9034</v>
      </c>
      <c r="F3448" s="115" t="s">
        <v>9035</v>
      </c>
      <c r="G3448" s="115" t="s">
        <v>9036</v>
      </c>
      <c r="H3448" s="115" t="s">
        <v>74</v>
      </c>
    </row>
    <row r="3449" spans="1:8" ht="225" x14ac:dyDescent="0.25">
      <c r="A3449" s="115">
        <v>2902</v>
      </c>
      <c r="B3449" s="115" t="s">
        <v>45</v>
      </c>
      <c r="C3449" s="115" t="s">
        <v>9037</v>
      </c>
      <c r="D3449" s="115">
        <v>1</v>
      </c>
      <c r="E3449" s="115" t="s">
        <v>9038</v>
      </c>
      <c r="F3449" s="115" t="s">
        <v>9039</v>
      </c>
      <c r="G3449" s="115" t="s">
        <v>9040</v>
      </c>
      <c r="H3449" s="115" t="s">
        <v>74</v>
      </c>
    </row>
    <row r="3450" spans="1:8" ht="135" x14ac:dyDescent="0.25">
      <c r="A3450" s="115">
        <v>2901</v>
      </c>
      <c r="B3450" s="115" t="s">
        <v>45</v>
      </c>
      <c r="C3450" s="115" t="s">
        <v>9041</v>
      </c>
      <c r="D3450" s="115">
        <v>1</v>
      </c>
      <c r="E3450" s="115" t="s">
        <v>9042</v>
      </c>
      <c r="F3450" s="115" t="s">
        <v>9043</v>
      </c>
      <c r="G3450" s="115" t="s">
        <v>9044</v>
      </c>
      <c r="H3450" s="115" t="s">
        <v>74</v>
      </c>
    </row>
    <row r="3451" spans="1:8" ht="120" x14ac:dyDescent="0.25">
      <c r="A3451" s="115">
        <v>2900</v>
      </c>
      <c r="B3451" s="115" t="s">
        <v>45</v>
      </c>
      <c r="C3451" s="115" t="s">
        <v>9045</v>
      </c>
      <c r="D3451" s="115">
        <v>1</v>
      </c>
      <c r="E3451" s="115" t="s">
        <v>9046</v>
      </c>
      <c r="F3451" s="115" t="s">
        <v>9047</v>
      </c>
      <c r="G3451" s="115" t="s">
        <v>9048</v>
      </c>
      <c r="H3451" s="115" t="s">
        <v>74</v>
      </c>
    </row>
    <row r="3452" spans="1:8" ht="180" x14ac:dyDescent="0.25">
      <c r="A3452" s="115">
        <v>2899</v>
      </c>
      <c r="B3452" s="115" t="s">
        <v>45</v>
      </c>
      <c r="C3452" s="115" t="s">
        <v>9049</v>
      </c>
      <c r="D3452" s="115">
        <v>1</v>
      </c>
      <c r="E3452" s="115" t="s">
        <v>9050</v>
      </c>
      <c r="F3452" s="115" t="s">
        <v>9051</v>
      </c>
      <c r="G3452" s="115" t="s">
        <v>9052</v>
      </c>
      <c r="H3452" s="115" t="s">
        <v>74</v>
      </c>
    </row>
    <row r="3453" spans="1:8" ht="105" x14ac:dyDescent="0.25">
      <c r="A3453" s="115">
        <v>2898</v>
      </c>
      <c r="B3453" s="115" t="s">
        <v>45</v>
      </c>
      <c r="C3453" s="115" t="s">
        <v>9053</v>
      </c>
      <c r="D3453" s="115">
        <v>1</v>
      </c>
      <c r="E3453" s="115" t="s">
        <v>9054</v>
      </c>
      <c r="F3453" s="115" t="s">
        <v>9055</v>
      </c>
      <c r="G3453" s="115" t="s">
        <v>9056</v>
      </c>
      <c r="H3453" s="115" t="s">
        <v>74</v>
      </c>
    </row>
    <row r="3454" spans="1:8" ht="60" x14ac:dyDescent="0.25">
      <c r="A3454" s="115">
        <v>2897</v>
      </c>
      <c r="B3454" s="115" t="s">
        <v>45</v>
      </c>
      <c r="C3454" s="115" t="s">
        <v>9057</v>
      </c>
      <c r="D3454" s="115">
        <v>1</v>
      </c>
      <c r="E3454" s="115" t="s">
        <v>9058</v>
      </c>
      <c r="F3454" s="115" t="s">
        <v>9059</v>
      </c>
      <c r="G3454" s="115" t="s">
        <v>9060</v>
      </c>
      <c r="H3454" s="115" t="s">
        <v>74</v>
      </c>
    </row>
    <row r="3455" spans="1:8" ht="60" x14ac:dyDescent="0.25">
      <c r="A3455" s="115">
        <v>2896</v>
      </c>
      <c r="B3455" s="115" t="s">
        <v>45</v>
      </c>
      <c r="C3455" s="115" t="s">
        <v>9061</v>
      </c>
      <c r="D3455" s="115">
        <v>1</v>
      </c>
      <c r="E3455" s="115" t="s">
        <v>9062</v>
      </c>
      <c r="F3455" s="115" t="s">
        <v>9063</v>
      </c>
      <c r="G3455" s="115" t="s">
        <v>9064</v>
      </c>
      <c r="H3455" s="115" t="s">
        <v>74</v>
      </c>
    </row>
    <row r="3456" spans="1:8" x14ac:dyDescent="0.25">
      <c r="A3456" s="115">
        <v>2893</v>
      </c>
      <c r="B3456" s="115" t="s">
        <v>149</v>
      </c>
      <c r="C3456" s="115" t="s">
        <v>9065</v>
      </c>
      <c r="D3456" s="115">
        <v>0</v>
      </c>
      <c r="E3456" s="115" t="s">
        <v>9066</v>
      </c>
      <c r="F3456" s="115" t="s">
        <v>74</v>
      </c>
      <c r="G3456" s="115" t="s">
        <v>74</v>
      </c>
      <c r="H3456" s="115" t="s">
        <v>74</v>
      </c>
    </row>
    <row r="3457" spans="1:8" ht="45" x14ac:dyDescent="0.25">
      <c r="A3457" s="115">
        <v>2467</v>
      </c>
      <c r="B3457" s="115" t="s">
        <v>8551</v>
      </c>
      <c r="C3457" s="115" t="s">
        <v>8564</v>
      </c>
      <c r="D3457" s="115">
        <v>1</v>
      </c>
      <c r="E3457" s="115" t="s">
        <v>8565</v>
      </c>
      <c r="F3457" s="115" t="s">
        <v>8566</v>
      </c>
      <c r="G3457" s="115" t="s">
        <v>8567</v>
      </c>
      <c r="H3457" s="115" t="s">
        <v>74</v>
      </c>
    </row>
    <row r="3458" spans="1:8" x14ac:dyDescent="0.25">
      <c r="A3458" s="115">
        <v>2466</v>
      </c>
      <c r="B3458" s="115" t="s">
        <v>8551</v>
      </c>
      <c r="C3458" s="115" t="s">
        <v>395</v>
      </c>
      <c r="D3458" s="115">
        <v>1</v>
      </c>
      <c r="E3458" s="115" t="s">
        <v>396</v>
      </c>
      <c r="F3458" s="115" t="s">
        <v>396</v>
      </c>
      <c r="G3458" s="115" t="s">
        <v>9067</v>
      </c>
      <c r="H3458" s="115" t="s">
        <v>74</v>
      </c>
    </row>
    <row r="3459" spans="1:8" x14ac:dyDescent="0.25">
      <c r="A3459" s="115">
        <v>2463</v>
      </c>
      <c r="B3459" s="115" t="s">
        <v>149</v>
      </c>
      <c r="C3459" s="115" t="s">
        <v>9068</v>
      </c>
      <c r="D3459" s="115">
        <v>0</v>
      </c>
      <c r="E3459" s="115" t="s">
        <v>9069</v>
      </c>
      <c r="F3459" s="115" t="s">
        <v>9070</v>
      </c>
      <c r="G3459" s="115" t="s">
        <v>9071</v>
      </c>
      <c r="H3459" s="115" t="s">
        <v>74</v>
      </c>
    </row>
    <row r="3460" spans="1:8" x14ac:dyDescent="0.25">
      <c r="A3460" s="115">
        <v>2462</v>
      </c>
      <c r="B3460" s="115" t="s">
        <v>149</v>
      </c>
      <c r="C3460" s="115" t="s">
        <v>9072</v>
      </c>
      <c r="D3460" s="115">
        <v>0</v>
      </c>
      <c r="E3460" s="115" t="s">
        <v>9073</v>
      </c>
      <c r="F3460" s="115" t="s">
        <v>9074</v>
      </c>
      <c r="G3460" s="115" t="s">
        <v>9075</v>
      </c>
      <c r="H3460" s="115" t="s">
        <v>74</v>
      </c>
    </row>
    <row r="3461" spans="1:8" x14ac:dyDescent="0.25">
      <c r="A3461" s="115">
        <v>2458</v>
      </c>
      <c r="B3461" s="115" t="s">
        <v>149</v>
      </c>
      <c r="C3461" s="115" t="s">
        <v>9076</v>
      </c>
      <c r="D3461" s="115">
        <v>0</v>
      </c>
      <c r="E3461" s="115" t="s">
        <v>9077</v>
      </c>
      <c r="F3461" s="115" t="s">
        <v>74</v>
      </c>
      <c r="G3461" s="115" t="s">
        <v>74</v>
      </c>
      <c r="H3461" s="115" t="s">
        <v>74</v>
      </c>
    </row>
    <row r="3462" spans="1:8" x14ac:dyDescent="0.25">
      <c r="A3462" s="115">
        <v>2457</v>
      </c>
      <c r="B3462" s="115" t="s">
        <v>149</v>
      </c>
      <c r="C3462" s="115" t="s">
        <v>9078</v>
      </c>
      <c r="D3462" s="115">
        <v>0</v>
      </c>
      <c r="E3462" s="115" t="s">
        <v>9079</v>
      </c>
      <c r="F3462" s="115" t="s">
        <v>74</v>
      </c>
      <c r="G3462" s="115" t="s">
        <v>74</v>
      </c>
      <c r="H3462" s="115" t="s">
        <v>74</v>
      </c>
    </row>
    <row r="3463" spans="1:8" x14ac:dyDescent="0.25">
      <c r="A3463" s="115">
        <v>2446</v>
      </c>
      <c r="B3463" s="115" t="s">
        <v>149</v>
      </c>
      <c r="C3463" s="115" t="s">
        <v>9080</v>
      </c>
      <c r="D3463" s="115">
        <v>0</v>
      </c>
      <c r="E3463" s="115" t="s">
        <v>9081</v>
      </c>
      <c r="F3463" s="115" t="s">
        <v>74</v>
      </c>
      <c r="G3463" s="115" t="s">
        <v>9082</v>
      </c>
      <c r="H3463" s="115" t="s">
        <v>74</v>
      </c>
    </row>
    <row r="3464" spans="1:8" x14ac:dyDescent="0.25">
      <c r="A3464" s="115">
        <v>2445</v>
      </c>
      <c r="B3464" s="115" t="s">
        <v>149</v>
      </c>
      <c r="C3464" s="115" t="s">
        <v>9083</v>
      </c>
      <c r="D3464" s="115">
        <v>0</v>
      </c>
      <c r="E3464" s="115" t="s">
        <v>9084</v>
      </c>
      <c r="F3464" s="115" t="s">
        <v>74</v>
      </c>
      <c r="G3464" s="115" t="s">
        <v>74</v>
      </c>
      <c r="H3464" s="115" t="s">
        <v>74</v>
      </c>
    </row>
    <row r="3465" spans="1:8" x14ac:dyDescent="0.25">
      <c r="A3465" s="115">
        <v>2415</v>
      </c>
      <c r="B3465" s="115" t="s">
        <v>9085</v>
      </c>
      <c r="C3465" s="115" t="s">
        <v>180</v>
      </c>
      <c r="D3465" s="115">
        <v>1</v>
      </c>
      <c r="E3465" s="115" t="s">
        <v>9086</v>
      </c>
      <c r="F3465" s="115" t="s">
        <v>9087</v>
      </c>
      <c r="G3465" s="115" t="s">
        <v>9088</v>
      </c>
      <c r="H3465" s="115" t="s">
        <v>74</v>
      </c>
    </row>
    <row r="3466" spans="1:8" x14ac:dyDescent="0.25">
      <c r="A3466" s="115">
        <v>2414</v>
      </c>
      <c r="B3466" s="115" t="s">
        <v>149</v>
      </c>
      <c r="C3466" s="115" t="s">
        <v>9089</v>
      </c>
      <c r="D3466" s="115">
        <v>0</v>
      </c>
      <c r="E3466" s="115" t="s">
        <v>9086</v>
      </c>
      <c r="F3466" s="115" t="s">
        <v>9087</v>
      </c>
      <c r="G3466" s="115" t="s">
        <v>9088</v>
      </c>
      <c r="H3466" s="115" t="s">
        <v>74</v>
      </c>
    </row>
    <row r="3467" spans="1:8" x14ac:dyDescent="0.25">
      <c r="A3467" s="115">
        <v>2413</v>
      </c>
      <c r="B3467" s="115" t="s">
        <v>9090</v>
      </c>
      <c r="C3467" s="115" t="s">
        <v>9091</v>
      </c>
      <c r="D3467" s="115">
        <v>1</v>
      </c>
      <c r="E3467" s="115" t="s">
        <v>9092</v>
      </c>
      <c r="F3467" s="115" t="s">
        <v>9093</v>
      </c>
      <c r="G3467" s="115" t="s">
        <v>9094</v>
      </c>
      <c r="H3467" s="115" t="s">
        <v>74</v>
      </c>
    </row>
    <row r="3468" spans="1:8" x14ac:dyDescent="0.25">
      <c r="A3468" s="115">
        <v>2412</v>
      </c>
      <c r="B3468" s="115" t="s">
        <v>9090</v>
      </c>
      <c r="C3468" s="115" t="s">
        <v>9095</v>
      </c>
      <c r="D3468" s="115">
        <v>1</v>
      </c>
      <c r="E3468" s="115" t="s">
        <v>9096</v>
      </c>
      <c r="F3468" s="115" t="s">
        <v>5313</v>
      </c>
      <c r="G3468" s="115" t="s">
        <v>9097</v>
      </c>
      <c r="H3468" s="115" t="s">
        <v>74</v>
      </c>
    </row>
    <row r="3469" spans="1:8" x14ac:dyDescent="0.25">
      <c r="A3469" s="115">
        <v>2411</v>
      </c>
      <c r="B3469" s="115" t="s">
        <v>9090</v>
      </c>
      <c r="C3469" s="115" t="s">
        <v>9098</v>
      </c>
      <c r="D3469" s="115">
        <v>1</v>
      </c>
      <c r="E3469" s="115" t="s">
        <v>9099</v>
      </c>
      <c r="F3469" s="115" t="s">
        <v>9100</v>
      </c>
      <c r="G3469" s="115" t="s">
        <v>9101</v>
      </c>
      <c r="H3469" s="115" t="s">
        <v>74</v>
      </c>
    </row>
    <row r="3470" spans="1:8" x14ac:dyDescent="0.25">
      <c r="A3470" s="115">
        <v>2407</v>
      </c>
      <c r="B3470" s="115" t="s">
        <v>149</v>
      </c>
      <c r="C3470" s="115" t="s">
        <v>9102</v>
      </c>
      <c r="D3470" s="115">
        <v>0</v>
      </c>
      <c r="E3470" s="115" t="s">
        <v>9073</v>
      </c>
      <c r="F3470" s="115" t="s">
        <v>9074</v>
      </c>
      <c r="G3470" s="115" t="s">
        <v>9075</v>
      </c>
      <c r="H3470" s="115" t="s">
        <v>74</v>
      </c>
    </row>
    <row r="3471" spans="1:8" x14ac:dyDescent="0.25">
      <c r="A3471" s="115">
        <v>2406</v>
      </c>
      <c r="B3471" s="115" t="s">
        <v>149</v>
      </c>
      <c r="C3471" s="115" t="s">
        <v>9103</v>
      </c>
      <c r="D3471" s="115">
        <v>0</v>
      </c>
      <c r="E3471" s="115" t="s">
        <v>9104</v>
      </c>
      <c r="F3471" s="115" t="s">
        <v>74</v>
      </c>
      <c r="G3471" s="115" t="s">
        <v>74</v>
      </c>
      <c r="H3471" s="115" t="s">
        <v>74</v>
      </c>
    </row>
    <row r="3472" spans="1:8" ht="90" x14ac:dyDescent="0.25">
      <c r="A3472" s="115">
        <v>2405</v>
      </c>
      <c r="B3472" s="115" t="s">
        <v>128</v>
      </c>
      <c r="C3472" s="115" t="s">
        <v>9105</v>
      </c>
      <c r="D3472" s="115">
        <v>1</v>
      </c>
      <c r="E3472" s="115" t="s">
        <v>9106</v>
      </c>
      <c r="F3472" s="115" t="s">
        <v>9107</v>
      </c>
      <c r="G3472" s="115" t="s">
        <v>9108</v>
      </c>
      <c r="H3472" s="115" t="s">
        <v>9106</v>
      </c>
    </row>
    <row r="3473" spans="1:8" ht="120" x14ac:dyDescent="0.25">
      <c r="A3473" s="115">
        <v>2404</v>
      </c>
      <c r="B3473" s="115" t="s">
        <v>128</v>
      </c>
      <c r="C3473" s="115" t="s">
        <v>9109</v>
      </c>
      <c r="D3473" s="115">
        <v>1</v>
      </c>
      <c r="E3473" s="115" t="s">
        <v>132</v>
      </c>
      <c r="F3473" s="115" t="s">
        <v>133</v>
      </c>
      <c r="G3473" s="115" t="s">
        <v>134</v>
      </c>
      <c r="H3473" s="115" t="s">
        <v>132</v>
      </c>
    </row>
    <row r="3474" spans="1:8" ht="60" x14ac:dyDescent="0.25">
      <c r="A3474" s="115">
        <v>2403</v>
      </c>
      <c r="B3474" s="115" t="s">
        <v>128</v>
      </c>
      <c r="C3474" s="115" t="s">
        <v>9110</v>
      </c>
      <c r="D3474" s="115">
        <v>1</v>
      </c>
      <c r="E3474" s="115" t="s">
        <v>138</v>
      </c>
      <c r="F3474" s="115" t="s">
        <v>139</v>
      </c>
      <c r="G3474" s="115" t="s">
        <v>140</v>
      </c>
      <c r="H3474" s="115" t="s">
        <v>138</v>
      </c>
    </row>
    <row r="3475" spans="1:8" x14ac:dyDescent="0.25">
      <c r="A3475" s="115">
        <v>2369</v>
      </c>
      <c r="B3475" s="115" t="s">
        <v>9111</v>
      </c>
      <c r="C3475" s="115" t="s">
        <v>9112</v>
      </c>
      <c r="D3475" s="115">
        <v>0</v>
      </c>
      <c r="E3475" s="115" t="s">
        <v>9113</v>
      </c>
      <c r="F3475" s="115" t="s">
        <v>74</v>
      </c>
      <c r="G3475" s="115" t="s">
        <v>9114</v>
      </c>
      <c r="H3475" s="115" t="s">
        <v>74</v>
      </c>
    </row>
    <row r="3476" spans="1:8" x14ac:dyDescent="0.25">
      <c r="A3476" s="115">
        <v>2368</v>
      </c>
      <c r="B3476" s="115" t="s">
        <v>9111</v>
      </c>
      <c r="C3476" s="115" t="s">
        <v>9115</v>
      </c>
      <c r="D3476" s="115">
        <v>0</v>
      </c>
      <c r="E3476" s="115" t="s">
        <v>9116</v>
      </c>
      <c r="F3476" s="115" t="s">
        <v>74</v>
      </c>
      <c r="G3476" s="115" t="s">
        <v>9117</v>
      </c>
      <c r="H3476" s="115" t="s">
        <v>74</v>
      </c>
    </row>
    <row r="3477" spans="1:8" x14ac:dyDescent="0.25">
      <c r="A3477" s="115">
        <v>2367</v>
      </c>
      <c r="B3477" s="115" t="s">
        <v>9111</v>
      </c>
      <c r="C3477" s="115" t="s">
        <v>9118</v>
      </c>
      <c r="D3477" s="115">
        <v>0</v>
      </c>
      <c r="E3477" s="115" t="s">
        <v>9119</v>
      </c>
      <c r="F3477" s="115" t="s">
        <v>74</v>
      </c>
      <c r="G3477" s="115" t="s">
        <v>9120</v>
      </c>
      <c r="H3477" s="115" t="s">
        <v>74</v>
      </c>
    </row>
    <row r="3478" spans="1:8" x14ac:dyDescent="0.25">
      <c r="A3478" s="115">
        <v>2366</v>
      </c>
      <c r="B3478" s="115" t="s">
        <v>9111</v>
      </c>
      <c r="C3478" s="115" t="s">
        <v>9121</v>
      </c>
      <c r="D3478" s="115">
        <v>0</v>
      </c>
      <c r="E3478" s="115" t="s">
        <v>9122</v>
      </c>
      <c r="F3478" s="115" t="s">
        <v>74</v>
      </c>
      <c r="G3478" s="115" t="s">
        <v>9123</v>
      </c>
      <c r="H3478" s="115" t="s">
        <v>74</v>
      </c>
    </row>
    <row r="3479" spans="1:8" x14ac:dyDescent="0.25">
      <c r="A3479" s="115">
        <v>2365</v>
      </c>
      <c r="B3479" s="115" t="s">
        <v>9111</v>
      </c>
      <c r="C3479" s="115" t="s">
        <v>9124</v>
      </c>
      <c r="D3479" s="115">
        <v>0</v>
      </c>
      <c r="E3479" s="115" t="s">
        <v>9125</v>
      </c>
      <c r="F3479" s="115" t="s">
        <v>74</v>
      </c>
      <c r="G3479" s="115" t="s">
        <v>9126</v>
      </c>
      <c r="H3479" s="115" t="s">
        <v>74</v>
      </c>
    </row>
    <row r="3480" spans="1:8" x14ac:dyDescent="0.25">
      <c r="A3480" s="115">
        <v>2364</v>
      </c>
      <c r="B3480" s="115" t="s">
        <v>9111</v>
      </c>
      <c r="C3480" s="115" t="s">
        <v>9127</v>
      </c>
      <c r="D3480" s="115">
        <v>0</v>
      </c>
      <c r="E3480" s="115" t="s">
        <v>9128</v>
      </c>
      <c r="F3480" s="115" t="s">
        <v>74</v>
      </c>
      <c r="G3480" s="115" t="s">
        <v>9129</v>
      </c>
      <c r="H3480" s="115" t="s">
        <v>74</v>
      </c>
    </row>
    <row r="3481" spans="1:8" x14ac:dyDescent="0.25">
      <c r="A3481" s="115">
        <v>2363</v>
      </c>
      <c r="B3481" s="115" t="s">
        <v>9111</v>
      </c>
      <c r="C3481" s="115" t="s">
        <v>9130</v>
      </c>
      <c r="D3481" s="115">
        <v>0</v>
      </c>
      <c r="E3481" s="115" t="s">
        <v>9131</v>
      </c>
      <c r="F3481" s="115" t="s">
        <v>74</v>
      </c>
      <c r="G3481" s="115" t="s">
        <v>9131</v>
      </c>
      <c r="H3481" s="115" t="s">
        <v>74</v>
      </c>
    </row>
    <row r="3482" spans="1:8" x14ac:dyDescent="0.25">
      <c r="A3482" s="115">
        <v>2362</v>
      </c>
      <c r="B3482" s="115" t="s">
        <v>9111</v>
      </c>
      <c r="C3482" s="115" t="s">
        <v>9132</v>
      </c>
      <c r="D3482" s="115">
        <v>0</v>
      </c>
      <c r="E3482" s="115" t="s">
        <v>9133</v>
      </c>
      <c r="F3482" s="115" t="s">
        <v>74</v>
      </c>
      <c r="G3482" s="115" t="s">
        <v>9134</v>
      </c>
      <c r="H3482" s="115" t="s">
        <v>74</v>
      </c>
    </row>
    <row r="3483" spans="1:8" x14ac:dyDescent="0.25">
      <c r="A3483" s="115">
        <v>2361</v>
      </c>
      <c r="B3483" s="115" t="s">
        <v>9111</v>
      </c>
      <c r="C3483" s="115" t="s">
        <v>9135</v>
      </c>
      <c r="D3483" s="115">
        <v>0</v>
      </c>
      <c r="E3483" s="115" t="s">
        <v>9136</v>
      </c>
      <c r="F3483" s="115" t="s">
        <v>74</v>
      </c>
      <c r="G3483" s="115" t="s">
        <v>9137</v>
      </c>
      <c r="H3483" s="115" t="s">
        <v>74</v>
      </c>
    </row>
    <row r="3484" spans="1:8" x14ac:dyDescent="0.25">
      <c r="A3484" s="115">
        <v>2360</v>
      </c>
      <c r="B3484" s="115" t="s">
        <v>9111</v>
      </c>
      <c r="C3484" s="115" t="s">
        <v>9138</v>
      </c>
      <c r="D3484" s="115">
        <v>0</v>
      </c>
      <c r="E3484" s="115" t="s">
        <v>9139</v>
      </c>
      <c r="F3484" s="115" t="s">
        <v>74</v>
      </c>
      <c r="G3484" s="115" t="s">
        <v>9140</v>
      </c>
      <c r="H3484" s="115" t="s">
        <v>74</v>
      </c>
    </row>
    <row r="3485" spans="1:8" x14ac:dyDescent="0.25">
      <c r="A3485" s="115">
        <v>2359</v>
      </c>
      <c r="B3485" s="115" t="s">
        <v>9111</v>
      </c>
      <c r="C3485" s="115" t="s">
        <v>9141</v>
      </c>
      <c r="D3485" s="115">
        <v>0</v>
      </c>
      <c r="E3485" s="115" t="s">
        <v>9142</v>
      </c>
      <c r="F3485" s="115" t="s">
        <v>74</v>
      </c>
      <c r="G3485" s="115" t="s">
        <v>9143</v>
      </c>
      <c r="H3485" s="115" t="s">
        <v>74</v>
      </c>
    </row>
    <row r="3486" spans="1:8" x14ac:dyDescent="0.25">
      <c r="A3486" s="115">
        <v>2358</v>
      </c>
      <c r="B3486" s="115" t="s">
        <v>9111</v>
      </c>
      <c r="C3486" s="115" t="s">
        <v>9144</v>
      </c>
      <c r="D3486" s="115">
        <v>0</v>
      </c>
      <c r="E3486" s="115" t="s">
        <v>9145</v>
      </c>
      <c r="F3486" s="115" t="s">
        <v>74</v>
      </c>
      <c r="G3486" s="115" t="s">
        <v>9146</v>
      </c>
      <c r="H3486" s="115" t="s">
        <v>74</v>
      </c>
    </row>
    <row r="3487" spans="1:8" x14ac:dyDescent="0.25">
      <c r="A3487" s="115">
        <v>2357</v>
      </c>
      <c r="B3487" s="115" t="s">
        <v>9111</v>
      </c>
      <c r="C3487" s="115" t="s">
        <v>9147</v>
      </c>
      <c r="D3487" s="115">
        <v>0</v>
      </c>
      <c r="E3487" s="115" t="s">
        <v>9148</v>
      </c>
      <c r="F3487" s="115" t="s">
        <v>74</v>
      </c>
      <c r="G3487" s="115" t="s">
        <v>9149</v>
      </c>
      <c r="H3487" s="115" t="s">
        <v>74</v>
      </c>
    </row>
    <row r="3488" spans="1:8" x14ac:dyDescent="0.25">
      <c r="A3488" s="115">
        <v>2356</v>
      </c>
      <c r="B3488" s="115" t="s">
        <v>9111</v>
      </c>
      <c r="C3488" s="115" t="s">
        <v>9150</v>
      </c>
      <c r="D3488" s="115">
        <v>0</v>
      </c>
      <c r="E3488" s="115" t="s">
        <v>9151</v>
      </c>
      <c r="F3488" s="115" t="s">
        <v>74</v>
      </c>
      <c r="G3488" s="115" t="s">
        <v>9152</v>
      </c>
      <c r="H3488" s="115" t="s">
        <v>74</v>
      </c>
    </row>
    <row r="3489" spans="1:8" x14ac:dyDescent="0.25">
      <c r="A3489" s="115">
        <v>2355</v>
      </c>
      <c r="B3489" s="115" t="s">
        <v>9111</v>
      </c>
      <c r="C3489" s="115" t="s">
        <v>9153</v>
      </c>
      <c r="D3489" s="115">
        <v>0</v>
      </c>
      <c r="E3489" s="115" t="s">
        <v>9154</v>
      </c>
      <c r="F3489" s="115" t="s">
        <v>74</v>
      </c>
      <c r="G3489" s="115" t="s">
        <v>9155</v>
      </c>
      <c r="H3489" s="115" t="s">
        <v>74</v>
      </c>
    </row>
    <row r="3490" spans="1:8" ht="30" x14ac:dyDescent="0.25">
      <c r="A3490" s="115">
        <v>2354</v>
      </c>
      <c r="B3490" s="115" t="s">
        <v>9111</v>
      </c>
      <c r="C3490" s="115" t="s">
        <v>9156</v>
      </c>
      <c r="D3490" s="115">
        <v>0</v>
      </c>
      <c r="E3490" s="115" t="s">
        <v>9157</v>
      </c>
      <c r="F3490" s="115" t="s">
        <v>74</v>
      </c>
      <c r="G3490" s="115" t="s">
        <v>9158</v>
      </c>
      <c r="H3490" s="115" t="s">
        <v>74</v>
      </c>
    </row>
    <row r="3491" spans="1:8" x14ac:dyDescent="0.25">
      <c r="A3491" s="115">
        <v>2353</v>
      </c>
      <c r="B3491" s="115" t="s">
        <v>9111</v>
      </c>
      <c r="C3491" s="115" t="s">
        <v>9159</v>
      </c>
      <c r="D3491" s="115">
        <v>0</v>
      </c>
      <c r="E3491" s="115" t="s">
        <v>9160</v>
      </c>
      <c r="F3491" s="115" t="s">
        <v>74</v>
      </c>
      <c r="G3491" s="115" t="s">
        <v>9161</v>
      </c>
      <c r="H3491" s="115" t="s">
        <v>74</v>
      </c>
    </row>
    <row r="3492" spans="1:8" x14ac:dyDescent="0.25">
      <c r="A3492" s="115">
        <v>2352</v>
      </c>
      <c r="B3492" s="115" t="s">
        <v>9111</v>
      </c>
      <c r="C3492" s="115" t="s">
        <v>9162</v>
      </c>
      <c r="D3492" s="115">
        <v>0</v>
      </c>
      <c r="E3492" s="115" t="s">
        <v>9163</v>
      </c>
      <c r="F3492" s="115" t="s">
        <v>74</v>
      </c>
      <c r="G3492" s="115" t="s">
        <v>9164</v>
      </c>
      <c r="H3492" s="115" t="s">
        <v>74</v>
      </c>
    </row>
    <row r="3493" spans="1:8" x14ac:dyDescent="0.25">
      <c r="A3493" s="115">
        <v>2351</v>
      </c>
      <c r="B3493" s="115" t="s">
        <v>9111</v>
      </c>
      <c r="C3493" s="115" t="s">
        <v>9165</v>
      </c>
      <c r="D3493" s="115">
        <v>0</v>
      </c>
      <c r="E3493" s="115" t="s">
        <v>9166</v>
      </c>
      <c r="F3493" s="115" t="s">
        <v>74</v>
      </c>
      <c r="G3493" s="115" t="s">
        <v>9167</v>
      </c>
      <c r="H3493" s="115" t="s">
        <v>74</v>
      </c>
    </row>
    <row r="3494" spans="1:8" x14ac:dyDescent="0.25">
      <c r="A3494" s="115">
        <v>2350</v>
      </c>
      <c r="B3494" s="115" t="s">
        <v>9111</v>
      </c>
      <c r="C3494" s="115" t="s">
        <v>9168</v>
      </c>
      <c r="D3494" s="115">
        <v>0</v>
      </c>
      <c r="E3494" s="115" t="s">
        <v>9169</v>
      </c>
      <c r="F3494" s="115" t="s">
        <v>74</v>
      </c>
      <c r="G3494" s="115" t="s">
        <v>9170</v>
      </c>
      <c r="H3494" s="115" t="s">
        <v>74</v>
      </c>
    </row>
    <row r="3495" spans="1:8" x14ac:dyDescent="0.25">
      <c r="A3495" s="115">
        <v>2334</v>
      </c>
      <c r="B3495" s="115" t="s">
        <v>178</v>
      </c>
      <c r="C3495" s="115" t="s">
        <v>9171</v>
      </c>
      <c r="D3495" s="115">
        <v>1</v>
      </c>
      <c r="E3495" s="115" t="s">
        <v>9172</v>
      </c>
      <c r="F3495" s="115" t="s">
        <v>74</v>
      </c>
      <c r="G3495" s="115" t="s">
        <v>9173</v>
      </c>
      <c r="H3495" s="115" t="s">
        <v>74</v>
      </c>
    </row>
    <row r="3496" spans="1:8" x14ac:dyDescent="0.25">
      <c r="A3496" s="115">
        <v>2128</v>
      </c>
      <c r="B3496" s="115" t="s">
        <v>9174</v>
      </c>
      <c r="C3496" s="115" t="s">
        <v>9175</v>
      </c>
      <c r="D3496" s="115">
        <v>1</v>
      </c>
      <c r="E3496" s="115" t="s">
        <v>2452</v>
      </c>
      <c r="F3496" s="115" t="s">
        <v>74</v>
      </c>
      <c r="G3496" s="115" t="s">
        <v>9176</v>
      </c>
      <c r="H3496" s="115" t="s">
        <v>74</v>
      </c>
    </row>
    <row r="3497" spans="1:8" x14ac:dyDescent="0.25">
      <c r="A3497" s="115">
        <v>2127</v>
      </c>
      <c r="B3497" s="115" t="s">
        <v>149</v>
      </c>
      <c r="C3497" s="115" t="s">
        <v>9177</v>
      </c>
      <c r="D3497" s="115">
        <v>0</v>
      </c>
      <c r="E3497" s="115" t="s">
        <v>9178</v>
      </c>
      <c r="F3497" s="115" t="s">
        <v>74</v>
      </c>
      <c r="G3497" s="115" t="s">
        <v>9179</v>
      </c>
      <c r="H3497" s="115" t="s">
        <v>74</v>
      </c>
    </row>
    <row r="3498" spans="1:8" x14ac:dyDescent="0.25">
      <c r="A3498" s="115">
        <v>2126</v>
      </c>
      <c r="B3498" s="115" t="s">
        <v>149</v>
      </c>
      <c r="C3498" s="115" t="s">
        <v>9180</v>
      </c>
      <c r="D3498" s="115">
        <v>0</v>
      </c>
      <c r="E3498" s="115" t="s">
        <v>9181</v>
      </c>
      <c r="F3498" s="115" t="s">
        <v>74</v>
      </c>
      <c r="G3498" s="115" t="s">
        <v>9181</v>
      </c>
      <c r="H3498" s="115" t="s">
        <v>74</v>
      </c>
    </row>
    <row r="3499" spans="1:8" x14ac:dyDescent="0.25">
      <c r="A3499" s="115">
        <v>2125</v>
      </c>
      <c r="B3499" s="115" t="s">
        <v>149</v>
      </c>
      <c r="C3499" s="115" t="s">
        <v>9182</v>
      </c>
      <c r="D3499" s="115">
        <v>0</v>
      </c>
      <c r="E3499" s="115" t="s">
        <v>9183</v>
      </c>
      <c r="F3499" s="115" t="s">
        <v>74</v>
      </c>
      <c r="G3499" s="115" t="s">
        <v>9184</v>
      </c>
      <c r="H3499" s="115" t="s">
        <v>74</v>
      </c>
    </row>
    <row r="3500" spans="1:8" x14ac:dyDescent="0.25">
      <c r="A3500" s="115">
        <v>2124</v>
      </c>
      <c r="B3500" s="115" t="s">
        <v>149</v>
      </c>
      <c r="C3500" s="115" t="s">
        <v>9185</v>
      </c>
      <c r="D3500" s="115">
        <v>0</v>
      </c>
      <c r="E3500" s="115" t="s">
        <v>9186</v>
      </c>
      <c r="F3500" s="115" t="s">
        <v>74</v>
      </c>
      <c r="G3500" s="115" t="s">
        <v>9187</v>
      </c>
      <c r="H3500" s="115" t="s">
        <v>74</v>
      </c>
    </row>
    <row r="3501" spans="1:8" x14ac:dyDescent="0.25">
      <c r="A3501" s="115">
        <v>2123</v>
      </c>
      <c r="B3501" s="115" t="s">
        <v>149</v>
      </c>
      <c r="C3501" s="115" t="s">
        <v>9188</v>
      </c>
      <c r="D3501" s="115">
        <v>0</v>
      </c>
      <c r="E3501" s="115" t="s">
        <v>9189</v>
      </c>
      <c r="F3501" s="115" t="s">
        <v>74</v>
      </c>
      <c r="G3501" s="115" t="s">
        <v>9190</v>
      </c>
      <c r="H3501" s="115" t="s">
        <v>74</v>
      </c>
    </row>
    <row r="3502" spans="1:8" x14ac:dyDescent="0.25">
      <c r="A3502" s="115">
        <v>2122</v>
      </c>
      <c r="B3502" s="115" t="s">
        <v>149</v>
      </c>
      <c r="C3502" s="115" t="s">
        <v>9191</v>
      </c>
      <c r="D3502" s="115">
        <v>0</v>
      </c>
      <c r="E3502" s="115" t="s">
        <v>9192</v>
      </c>
      <c r="F3502" s="115" t="s">
        <v>74</v>
      </c>
      <c r="G3502" s="115" t="s">
        <v>9193</v>
      </c>
      <c r="H3502" s="115" t="s">
        <v>74</v>
      </c>
    </row>
    <row r="3503" spans="1:8" x14ac:dyDescent="0.25">
      <c r="A3503" s="115">
        <v>2121</v>
      </c>
      <c r="B3503" s="115" t="s">
        <v>149</v>
      </c>
      <c r="C3503" s="115" t="s">
        <v>9194</v>
      </c>
      <c r="D3503" s="115">
        <v>0</v>
      </c>
      <c r="E3503" s="115" t="s">
        <v>9195</v>
      </c>
      <c r="F3503" s="115" t="s">
        <v>9196</v>
      </c>
      <c r="G3503" s="115" t="s">
        <v>9197</v>
      </c>
      <c r="H3503" s="115" t="s">
        <v>74</v>
      </c>
    </row>
    <row r="3504" spans="1:8" x14ac:dyDescent="0.25">
      <c r="A3504" s="115">
        <v>2118</v>
      </c>
      <c r="B3504" s="115" t="s">
        <v>149</v>
      </c>
      <c r="C3504" s="115" t="s">
        <v>9198</v>
      </c>
      <c r="D3504" s="115">
        <v>0</v>
      </c>
      <c r="E3504" s="115" t="s">
        <v>9199</v>
      </c>
      <c r="F3504" s="115" t="s">
        <v>74</v>
      </c>
      <c r="G3504" s="115" t="s">
        <v>9200</v>
      </c>
      <c r="H3504" s="115" t="s">
        <v>74</v>
      </c>
    </row>
    <row r="3505" spans="1:8" x14ac:dyDescent="0.25">
      <c r="A3505" s="115">
        <v>2117</v>
      </c>
      <c r="B3505" s="115" t="s">
        <v>149</v>
      </c>
      <c r="C3505" s="115" t="s">
        <v>9201</v>
      </c>
      <c r="D3505" s="115">
        <v>0</v>
      </c>
      <c r="E3505" s="115" t="s">
        <v>9183</v>
      </c>
      <c r="F3505" s="115" t="s">
        <v>74</v>
      </c>
      <c r="G3505" s="115" t="s">
        <v>9184</v>
      </c>
      <c r="H3505" s="115" t="s">
        <v>74</v>
      </c>
    </row>
    <row r="3506" spans="1:8" x14ac:dyDescent="0.25">
      <c r="A3506" s="115">
        <v>2116</v>
      </c>
      <c r="B3506" s="115" t="s">
        <v>149</v>
      </c>
      <c r="C3506" s="115" t="s">
        <v>9202</v>
      </c>
      <c r="D3506" s="115">
        <v>0</v>
      </c>
      <c r="E3506" s="115" t="s">
        <v>9186</v>
      </c>
      <c r="F3506" s="115" t="s">
        <v>74</v>
      </c>
      <c r="G3506" s="115" t="s">
        <v>9187</v>
      </c>
      <c r="H3506" s="115" t="s">
        <v>74</v>
      </c>
    </row>
    <row r="3507" spans="1:8" ht="30" x14ac:dyDescent="0.25">
      <c r="A3507" s="115">
        <v>2115</v>
      </c>
      <c r="B3507" s="115" t="s">
        <v>149</v>
      </c>
      <c r="C3507" s="115" t="s">
        <v>9203</v>
      </c>
      <c r="D3507" s="115">
        <v>0</v>
      </c>
      <c r="E3507" s="115" t="s">
        <v>9204</v>
      </c>
      <c r="F3507" s="115" t="s">
        <v>9205</v>
      </c>
      <c r="G3507" s="115" t="s">
        <v>9206</v>
      </c>
      <c r="H3507" s="115" t="s">
        <v>74</v>
      </c>
    </row>
    <row r="3508" spans="1:8" x14ac:dyDescent="0.25">
      <c r="A3508" s="115">
        <v>2113</v>
      </c>
      <c r="B3508" s="115" t="s">
        <v>9207</v>
      </c>
      <c r="C3508" s="115" t="s">
        <v>319</v>
      </c>
      <c r="D3508" s="115">
        <v>1</v>
      </c>
      <c r="E3508" s="115" t="s">
        <v>320</v>
      </c>
      <c r="F3508" s="115" t="s">
        <v>9208</v>
      </c>
      <c r="G3508" s="115" t="s">
        <v>9209</v>
      </c>
      <c r="H3508" s="115" t="s">
        <v>74</v>
      </c>
    </row>
    <row r="3509" spans="1:8" x14ac:dyDescent="0.25">
      <c r="A3509" s="115">
        <v>2090</v>
      </c>
      <c r="B3509" s="115" t="s">
        <v>45</v>
      </c>
      <c r="C3509" s="115" t="s">
        <v>9210</v>
      </c>
      <c r="D3509" s="115">
        <v>1</v>
      </c>
      <c r="E3509" s="115" t="s">
        <v>661</v>
      </c>
      <c r="F3509" s="115" t="s">
        <v>74</v>
      </c>
      <c r="G3509" s="115" t="s">
        <v>663</v>
      </c>
      <c r="H3509" s="115" t="s">
        <v>74</v>
      </c>
    </row>
    <row r="3510" spans="1:8" x14ac:dyDescent="0.25">
      <c r="A3510" s="115">
        <v>2071</v>
      </c>
      <c r="B3510" s="115" t="s">
        <v>45</v>
      </c>
      <c r="C3510" s="115" t="s">
        <v>9211</v>
      </c>
      <c r="D3510" s="115">
        <v>1</v>
      </c>
      <c r="E3510" s="115" t="s">
        <v>661</v>
      </c>
      <c r="F3510" s="115" t="s">
        <v>74</v>
      </c>
      <c r="G3510" s="115" t="s">
        <v>663</v>
      </c>
      <c r="H3510" s="115" t="s">
        <v>74</v>
      </c>
    </row>
    <row r="3511" spans="1:8" x14ac:dyDescent="0.25">
      <c r="A3511" s="115">
        <v>2070</v>
      </c>
      <c r="B3511" s="115" t="s">
        <v>45</v>
      </c>
      <c r="C3511" s="115" t="s">
        <v>8654</v>
      </c>
      <c r="D3511" s="115">
        <v>1</v>
      </c>
      <c r="E3511" s="115" t="s">
        <v>2780</v>
      </c>
      <c r="F3511" s="115" t="s">
        <v>2781</v>
      </c>
      <c r="G3511" s="115" t="s">
        <v>2782</v>
      </c>
      <c r="H3511" s="115" t="s">
        <v>74</v>
      </c>
    </row>
    <row r="3512" spans="1:8" x14ac:dyDescent="0.25">
      <c r="A3512" s="115">
        <v>2032</v>
      </c>
      <c r="B3512" s="115" t="s">
        <v>9212</v>
      </c>
      <c r="C3512" s="115" t="s">
        <v>180</v>
      </c>
      <c r="D3512" s="115">
        <v>1</v>
      </c>
      <c r="E3512" s="115" t="s">
        <v>181</v>
      </c>
      <c r="F3512" s="115" t="s">
        <v>74</v>
      </c>
      <c r="G3512" s="115" t="s">
        <v>9213</v>
      </c>
      <c r="H3512" s="115" t="s">
        <v>74</v>
      </c>
    </row>
    <row r="3513" spans="1:8" x14ac:dyDescent="0.25">
      <c r="A3513" s="115">
        <v>1689</v>
      </c>
      <c r="B3513" s="115" t="s">
        <v>71</v>
      </c>
      <c r="C3513" s="115" t="s">
        <v>9214</v>
      </c>
      <c r="D3513" s="115">
        <v>1</v>
      </c>
      <c r="E3513" s="115" t="s">
        <v>9215</v>
      </c>
      <c r="F3513" s="115" t="s">
        <v>74</v>
      </c>
      <c r="G3513" s="115" t="s">
        <v>74</v>
      </c>
      <c r="H3513" s="115" t="s">
        <v>74</v>
      </c>
    </row>
    <row r="3514" spans="1:8" x14ac:dyDescent="0.25">
      <c r="A3514" s="115">
        <v>1686</v>
      </c>
      <c r="B3514" s="115" t="s">
        <v>8626</v>
      </c>
      <c r="C3514" s="115" t="s">
        <v>162</v>
      </c>
      <c r="D3514" s="115">
        <v>1</v>
      </c>
      <c r="E3514" s="115" t="s">
        <v>163</v>
      </c>
      <c r="F3514" s="115" t="s">
        <v>8627</v>
      </c>
      <c r="G3514" s="115" t="s">
        <v>8628</v>
      </c>
      <c r="H3514" s="115" t="s">
        <v>74</v>
      </c>
    </row>
    <row r="3515" spans="1:8" x14ac:dyDescent="0.25">
      <c r="A3515" s="115">
        <v>1685</v>
      </c>
      <c r="B3515" s="115" t="s">
        <v>9216</v>
      </c>
      <c r="C3515" s="115" t="s">
        <v>9217</v>
      </c>
      <c r="D3515" s="115">
        <v>1</v>
      </c>
      <c r="E3515" s="115" t="s">
        <v>9218</v>
      </c>
      <c r="F3515" s="115" t="s">
        <v>9219</v>
      </c>
      <c r="G3515" s="115" t="s">
        <v>9220</v>
      </c>
      <c r="H3515" s="115" t="s">
        <v>74</v>
      </c>
    </row>
    <row r="3516" spans="1:8" x14ac:dyDescent="0.25">
      <c r="A3516" s="115">
        <v>1684</v>
      </c>
      <c r="B3516" s="115" t="s">
        <v>8626</v>
      </c>
      <c r="C3516" s="115" t="s">
        <v>9221</v>
      </c>
      <c r="D3516" s="115">
        <v>1</v>
      </c>
      <c r="E3516" s="115" t="s">
        <v>9222</v>
      </c>
      <c r="F3516" s="115" t="s">
        <v>9223</v>
      </c>
      <c r="G3516" s="115" t="s">
        <v>9224</v>
      </c>
      <c r="H3516" s="115" t="s">
        <v>74</v>
      </c>
    </row>
    <row r="3517" spans="1:8" x14ac:dyDescent="0.25">
      <c r="A3517" s="115">
        <v>1683</v>
      </c>
      <c r="B3517" s="115" t="s">
        <v>9216</v>
      </c>
      <c r="C3517" s="115" t="s">
        <v>8690</v>
      </c>
      <c r="D3517" s="115">
        <v>1</v>
      </c>
      <c r="E3517" s="115" t="s">
        <v>165</v>
      </c>
      <c r="F3517" s="115" t="s">
        <v>9225</v>
      </c>
      <c r="G3517" s="115" t="s">
        <v>9226</v>
      </c>
      <c r="H3517" s="115" t="s">
        <v>9227</v>
      </c>
    </row>
    <row r="3518" spans="1:8" ht="30" x14ac:dyDescent="0.25">
      <c r="A3518" s="115">
        <v>1109</v>
      </c>
      <c r="B3518" s="115" t="s">
        <v>389</v>
      </c>
      <c r="C3518" s="115" t="s">
        <v>9228</v>
      </c>
      <c r="D3518" s="115">
        <v>1</v>
      </c>
      <c r="E3518" s="115" t="s">
        <v>9229</v>
      </c>
      <c r="F3518" s="115" t="s">
        <v>9230</v>
      </c>
      <c r="G3518" s="115" t="s">
        <v>9231</v>
      </c>
      <c r="H3518" s="115" t="s">
        <v>74</v>
      </c>
    </row>
    <row r="3519" spans="1:8" ht="30" x14ac:dyDescent="0.25">
      <c r="A3519" s="115">
        <v>1108</v>
      </c>
      <c r="B3519" s="115" t="s">
        <v>389</v>
      </c>
      <c r="C3519" s="115" t="s">
        <v>9232</v>
      </c>
      <c r="D3519" s="115">
        <v>1</v>
      </c>
      <c r="E3519" s="115" t="s">
        <v>9233</v>
      </c>
      <c r="F3519" s="115" t="s">
        <v>9234</v>
      </c>
      <c r="G3519" s="115" t="s">
        <v>9235</v>
      </c>
      <c r="H3519" s="115" t="s">
        <v>74</v>
      </c>
    </row>
    <row r="3520" spans="1:8" x14ac:dyDescent="0.25">
      <c r="A3520" s="115">
        <v>1107</v>
      </c>
      <c r="B3520" s="115" t="s">
        <v>389</v>
      </c>
      <c r="C3520" s="115" t="s">
        <v>9236</v>
      </c>
      <c r="D3520" s="115">
        <v>1</v>
      </c>
      <c r="E3520" s="115" t="s">
        <v>9237</v>
      </c>
      <c r="F3520" s="115" t="s">
        <v>9238</v>
      </c>
      <c r="G3520" s="115" t="s">
        <v>9239</v>
      </c>
      <c r="H3520" s="115" t="s">
        <v>74</v>
      </c>
    </row>
    <row r="3521" spans="1:8" x14ac:dyDescent="0.25">
      <c r="A3521" s="115">
        <v>1106</v>
      </c>
      <c r="B3521" s="115" t="s">
        <v>389</v>
      </c>
      <c r="C3521" s="115" t="s">
        <v>9240</v>
      </c>
      <c r="D3521" s="115">
        <v>1</v>
      </c>
      <c r="E3521" s="115" t="s">
        <v>9241</v>
      </c>
      <c r="F3521" s="115" t="s">
        <v>9242</v>
      </c>
      <c r="G3521" s="115" t="s">
        <v>9243</v>
      </c>
      <c r="H3521" s="115" t="s">
        <v>74</v>
      </c>
    </row>
    <row r="3522" spans="1:8" x14ac:dyDescent="0.25">
      <c r="A3522" s="115">
        <v>1105</v>
      </c>
      <c r="B3522" s="115" t="s">
        <v>389</v>
      </c>
      <c r="C3522" s="115" t="s">
        <v>9244</v>
      </c>
      <c r="D3522" s="115">
        <v>1</v>
      </c>
      <c r="E3522" s="115" t="s">
        <v>9245</v>
      </c>
      <c r="F3522" s="115" t="s">
        <v>9246</v>
      </c>
      <c r="G3522" s="115" t="s">
        <v>9247</v>
      </c>
      <c r="H3522" s="115" t="s">
        <v>74</v>
      </c>
    </row>
    <row r="3523" spans="1:8" x14ac:dyDescent="0.25">
      <c r="A3523" s="115">
        <v>1104</v>
      </c>
      <c r="B3523" s="115" t="s">
        <v>389</v>
      </c>
      <c r="C3523" s="115" t="s">
        <v>9248</v>
      </c>
      <c r="D3523" s="115">
        <v>1</v>
      </c>
      <c r="E3523" s="115" t="s">
        <v>9249</v>
      </c>
      <c r="F3523" s="115" t="s">
        <v>9250</v>
      </c>
      <c r="G3523" s="115" t="s">
        <v>9251</v>
      </c>
      <c r="H3523" s="115" t="s">
        <v>74</v>
      </c>
    </row>
    <row r="3524" spans="1:8" x14ac:dyDescent="0.25">
      <c r="A3524" s="115">
        <v>1103</v>
      </c>
      <c r="B3524" s="115" t="s">
        <v>389</v>
      </c>
      <c r="C3524" s="115" t="s">
        <v>9252</v>
      </c>
      <c r="D3524" s="115">
        <v>1</v>
      </c>
      <c r="E3524" s="115" t="s">
        <v>9253</v>
      </c>
      <c r="F3524" s="115" t="s">
        <v>9254</v>
      </c>
      <c r="G3524" s="115" t="s">
        <v>9255</v>
      </c>
      <c r="H3524" s="115" t="s">
        <v>74</v>
      </c>
    </row>
    <row r="3525" spans="1:8" x14ac:dyDescent="0.25">
      <c r="A3525" s="115">
        <v>1102</v>
      </c>
      <c r="B3525" s="115" t="s">
        <v>389</v>
      </c>
      <c r="C3525" s="115" t="s">
        <v>9256</v>
      </c>
      <c r="D3525" s="115">
        <v>1</v>
      </c>
      <c r="E3525" s="115" t="s">
        <v>9257</v>
      </c>
      <c r="F3525" s="115" t="s">
        <v>9258</v>
      </c>
      <c r="G3525" s="115" t="s">
        <v>9259</v>
      </c>
      <c r="H3525" s="115" t="s">
        <v>74</v>
      </c>
    </row>
    <row r="3526" spans="1:8" x14ac:dyDescent="0.25">
      <c r="A3526" s="115">
        <v>1101</v>
      </c>
      <c r="B3526" s="115" t="s">
        <v>389</v>
      </c>
      <c r="C3526" s="115" t="s">
        <v>9260</v>
      </c>
      <c r="D3526" s="115">
        <v>1</v>
      </c>
      <c r="E3526" s="115" t="s">
        <v>9261</v>
      </c>
      <c r="F3526" s="115" t="s">
        <v>9262</v>
      </c>
      <c r="G3526" s="115" t="s">
        <v>9263</v>
      </c>
      <c r="H3526" s="115" t="s">
        <v>74</v>
      </c>
    </row>
    <row r="3527" spans="1:8" x14ac:dyDescent="0.25">
      <c r="A3527" s="115">
        <v>1100</v>
      </c>
      <c r="B3527" s="115" t="s">
        <v>389</v>
      </c>
      <c r="C3527" s="115" t="s">
        <v>9264</v>
      </c>
      <c r="D3527" s="115">
        <v>1</v>
      </c>
      <c r="E3527" s="115" t="s">
        <v>9265</v>
      </c>
      <c r="F3527" s="115" t="s">
        <v>9266</v>
      </c>
      <c r="G3527" s="115" t="s">
        <v>9267</v>
      </c>
      <c r="H3527" s="115" t="s">
        <v>74</v>
      </c>
    </row>
    <row r="3528" spans="1:8" x14ac:dyDescent="0.25">
      <c r="A3528" s="115">
        <v>1099</v>
      </c>
      <c r="B3528" s="115" t="s">
        <v>149</v>
      </c>
      <c r="C3528" s="115" t="s">
        <v>9268</v>
      </c>
      <c r="D3528" s="115">
        <v>0</v>
      </c>
      <c r="E3528" s="115" t="s">
        <v>410</v>
      </c>
      <c r="F3528" s="115" t="s">
        <v>74</v>
      </c>
      <c r="G3528" s="115" t="s">
        <v>8156</v>
      </c>
      <c r="H3528" s="115" t="s">
        <v>74</v>
      </c>
    </row>
    <row r="3529" spans="1:8" x14ac:dyDescent="0.25">
      <c r="A3529" s="115">
        <v>1075</v>
      </c>
      <c r="B3529" s="115" t="s">
        <v>149</v>
      </c>
      <c r="C3529" s="115" t="s">
        <v>9269</v>
      </c>
      <c r="D3529" s="115">
        <v>0</v>
      </c>
      <c r="E3529" s="115" t="s">
        <v>9270</v>
      </c>
      <c r="F3529" s="115" t="s">
        <v>74</v>
      </c>
      <c r="G3529" s="115" t="s">
        <v>9271</v>
      </c>
      <c r="H3529" s="115" t="s">
        <v>74</v>
      </c>
    </row>
    <row r="3530" spans="1:8" x14ac:dyDescent="0.25">
      <c r="A3530" s="115">
        <v>1074</v>
      </c>
      <c r="B3530" s="115" t="s">
        <v>149</v>
      </c>
      <c r="C3530" s="115" t="s">
        <v>9272</v>
      </c>
      <c r="D3530" s="115">
        <v>0</v>
      </c>
      <c r="E3530" s="115" t="s">
        <v>9273</v>
      </c>
      <c r="F3530" s="115" t="s">
        <v>74</v>
      </c>
      <c r="G3530" s="115" t="s">
        <v>74</v>
      </c>
      <c r="H3530" s="115" t="s">
        <v>74</v>
      </c>
    </row>
    <row r="3531" spans="1:8" x14ac:dyDescent="0.25">
      <c r="A3531" s="115">
        <v>1073</v>
      </c>
      <c r="B3531" s="115" t="s">
        <v>149</v>
      </c>
      <c r="C3531" s="115" t="s">
        <v>9274</v>
      </c>
      <c r="D3531" s="115">
        <v>0</v>
      </c>
      <c r="E3531" s="115" t="s">
        <v>9275</v>
      </c>
      <c r="F3531" s="115" t="s">
        <v>74</v>
      </c>
      <c r="G3531" s="115" t="s">
        <v>9276</v>
      </c>
      <c r="H3531" s="115" t="s">
        <v>74</v>
      </c>
    </row>
    <row r="3532" spans="1:8" x14ac:dyDescent="0.25">
      <c r="A3532" s="115">
        <v>1072</v>
      </c>
      <c r="B3532" s="115" t="s">
        <v>149</v>
      </c>
      <c r="C3532" s="115" t="s">
        <v>9277</v>
      </c>
      <c r="D3532" s="115">
        <v>0</v>
      </c>
      <c r="E3532" s="115" t="s">
        <v>9278</v>
      </c>
      <c r="F3532" s="115" t="s">
        <v>74</v>
      </c>
      <c r="G3532" s="115" t="s">
        <v>9278</v>
      </c>
      <c r="H3532" s="115" t="s">
        <v>74</v>
      </c>
    </row>
    <row r="3533" spans="1:8" x14ac:dyDescent="0.25">
      <c r="A3533" s="115">
        <v>1071</v>
      </c>
      <c r="B3533" s="115" t="s">
        <v>8626</v>
      </c>
      <c r="C3533" s="115" t="s">
        <v>8630</v>
      </c>
      <c r="D3533" s="115">
        <v>1</v>
      </c>
      <c r="E3533" s="115" t="s">
        <v>8631</v>
      </c>
      <c r="F3533" s="115" t="s">
        <v>9279</v>
      </c>
      <c r="G3533" s="115" t="s">
        <v>9280</v>
      </c>
      <c r="H3533" s="115" t="s">
        <v>74</v>
      </c>
    </row>
    <row r="3534" spans="1:8" x14ac:dyDescent="0.25">
      <c r="A3534" s="115">
        <v>1068</v>
      </c>
      <c r="B3534" s="115" t="s">
        <v>178</v>
      </c>
      <c r="C3534" s="115" t="s">
        <v>9281</v>
      </c>
      <c r="D3534" s="115">
        <v>1</v>
      </c>
      <c r="E3534" s="115" t="s">
        <v>9282</v>
      </c>
      <c r="F3534" s="115" t="s">
        <v>74</v>
      </c>
      <c r="G3534" s="115" t="s">
        <v>9283</v>
      </c>
      <c r="H3534" s="115" t="s">
        <v>74</v>
      </c>
    </row>
    <row r="3535" spans="1:8" x14ac:dyDescent="0.25">
      <c r="A3535" s="115">
        <v>1049</v>
      </c>
      <c r="B3535" s="115" t="s">
        <v>149</v>
      </c>
      <c r="C3535" s="115" t="s">
        <v>9284</v>
      </c>
      <c r="D3535" s="115">
        <v>0</v>
      </c>
      <c r="E3535" s="115" t="s">
        <v>9285</v>
      </c>
      <c r="F3535" s="115" t="s">
        <v>74</v>
      </c>
      <c r="G3535" s="115" t="s">
        <v>9286</v>
      </c>
      <c r="H3535" s="115" t="s">
        <v>74</v>
      </c>
    </row>
    <row r="3536" spans="1:8" ht="75" x14ac:dyDescent="0.25">
      <c r="A3536" s="115">
        <v>1048</v>
      </c>
      <c r="B3536" s="115" t="s">
        <v>45</v>
      </c>
      <c r="C3536" s="115" t="s">
        <v>9287</v>
      </c>
      <c r="D3536" s="115">
        <v>1</v>
      </c>
      <c r="E3536" s="115" t="s">
        <v>9288</v>
      </c>
      <c r="F3536" s="115" t="s">
        <v>9289</v>
      </c>
      <c r="G3536" s="115" t="s">
        <v>9290</v>
      </c>
      <c r="H3536" s="115" t="s">
        <v>74</v>
      </c>
    </row>
    <row r="3537" spans="1:8" x14ac:dyDescent="0.25">
      <c r="A3537" s="115">
        <v>1047</v>
      </c>
      <c r="B3537" s="115" t="s">
        <v>313</v>
      </c>
      <c r="C3537" s="115" t="s">
        <v>9291</v>
      </c>
      <c r="D3537" s="115">
        <v>1</v>
      </c>
      <c r="E3537" s="115" t="s">
        <v>9292</v>
      </c>
      <c r="F3537" s="115" t="s">
        <v>9293</v>
      </c>
      <c r="G3537" s="115" t="s">
        <v>9294</v>
      </c>
      <c r="H3537" s="115" t="s">
        <v>9295</v>
      </c>
    </row>
    <row r="3538" spans="1:8" ht="45" x14ac:dyDescent="0.25">
      <c r="A3538" s="115">
        <v>1045</v>
      </c>
      <c r="B3538" s="115" t="s">
        <v>9090</v>
      </c>
      <c r="C3538" s="115" t="s">
        <v>9296</v>
      </c>
      <c r="D3538" s="115">
        <v>1</v>
      </c>
      <c r="E3538" s="115" t="s">
        <v>9297</v>
      </c>
      <c r="F3538" s="115" t="s">
        <v>9298</v>
      </c>
      <c r="G3538" s="115" t="s">
        <v>9299</v>
      </c>
      <c r="H3538" s="115" t="s">
        <v>9300</v>
      </c>
    </row>
    <row r="3539" spans="1:8" x14ac:dyDescent="0.25">
      <c r="A3539" s="115">
        <v>1044</v>
      </c>
      <c r="B3539" s="115" t="s">
        <v>9090</v>
      </c>
      <c r="C3539" s="115" t="s">
        <v>71</v>
      </c>
      <c r="D3539" s="115">
        <v>1</v>
      </c>
      <c r="E3539" s="115" t="s">
        <v>9301</v>
      </c>
      <c r="F3539" s="115" t="s">
        <v>9302</v>
      </c>
      <c r="G3539" s="115" t="s">
        <v>9303</v>
      </c>
      <c r="H3539" s="115" t="s">
        <v>9304</v>
      </c>
    </row>
    <row r="3540" spans="1:8" x14ac:dyDescent="0.25">
      <c r="A3540" s="115">
        <v>1043</v>
      </c>
      <c r="B3540" s="115" t="s">
        <v>9090</v>
      </c>
      <c r="C3540" s="115" t="s">
        <v>9305</v>
      </c>
      <c r="D3540" s="115">
        <v>1</v>
      </c>
      <c r="E3540" s="115" t="s">
        <v>9306</v>
      </c>
      <c r="F3540" s="115" t="s">
        <v>9307</v>
      </c>
      <c r="G3540" s="115" t="s">
        <v>9308</v>
      </c>
      <c r="H3540" s="115" t="s">
        <v>9309</v>
      </c>
    </row>
    <row r="3541" spans="1:8" ht="30" x14ac:dyDescent="0.25">
      <c r="A3541" s="115">
        <v>1042</v>
      </c>
      <c r="B3541" s="115" t="s">
        <v>9090</v>
      </c>
      <c r="C3541" s="115" t="s">
        <v>9310</v>
      </c>
      <c r="D3541" s="115">
        <v>1</v>
      </c>
      <c r="E3541" s="115" t="s">
        <v>1522</v>
      </c>
      <c r="F3541" s="115" t="s">
        <v>1748</v>
      </c>
      <c r="G3541" s="115" t="s">
        <v>1524</v>
      </c>
      <c r="H3541" s="115" t="s">
        <v>9311</v>
      </c>
    </row>
    <row r="3542" spans="1:8" x14ac:dyDescent="0.25">
      <c r="A3542" s="115">
        <v>1041</v>
      </c>
      <c r="B3542" s="115" t="s">
        <v>149</v>
      </c>
      <c r="C3542" s="115" t="s">
        <v>354</v>
      </c>
      <c r="D3542" s="115">
        <v>0</v>
      </c>
      <c r="E3542" s="115" t="s">
        <v>9312</v>
      </c>
      <c r="F3542" s="115" t="s">
        <v>356</v>
      </c>
      <c r="G3542" s="115" t="s">
        <v>357</v>
      </c>
      <c r="H3542" s="115" t="s">
        <v>358</v>
      </c>
    </row>
    <row r="3543" spans="1:8" x14ac:dyDescent="0.25">
      <c r="A3543" s="115">
        <v>1038</v>
      </c>
      <c r="B3543" s="115" t="s">
        <v>45</v>
      </c>
      <c r="C3543" s="115" t="s">
        <v>9313</v>
      </c>
      <c r="D3543" s="115">
        <v>1</v>
      </c>
      <c r="E3543" s="115" t="s">
        <v>9314</v>
      </c>
      <c r="F3543" s="115" t="s">
        <v>9315</v>
      </c>
      <c r="G3543" s="115" t="s">
        <v>9316</v>
      </c>
      <c r="H3543" s="115" t="s">
        <v>9317</v>
      </c>
    </row>
    <row r="3544" spans="1:8" x14ac:dyDescent="0.25">
      <c r="A3544" s="115">
        <v>1037</v>
      </c>
      <c r="B3544" s="115" t="s">
        <v>45</v>
      </c>
      <c r="C3544" s="115" t="s">
        <v>9318</v>
      </c>
      <c r="D3544" s="115">
        <v>1</v>
      </c>
      <c r="E3544" s="115" t="s">
        <v>52</v>
      </c>
      <c r="F3544" s="115" t="s">
        <v>53</v>
      </c>
      <c r="G3544" s="115" t="s">
        <v>9319</v>
      </c>
      <c r="H3544" s="115" t="s">
        <v>9320</v>
      </c>
    </row>
    <row r="3545" spans="1:8" ht="45" x14ac:dyDescent="0.25">
      <c r="A3545" s="115">
        <v>1036</v>
      </c>
      <c r="B3545" s="115" t="s">
        <v>45</v>
      </c>
      <c r="C3545" s="115" t="s">
        <v>9321</v>
      </c>
      <c r="D3545" s="115">
        <v>1</v>
      </c>
      <c r="E3545" s="115" t="s">
        <v>9322</v>
      </c>
      <c r="F3545" s="115" t="s">
        <v>9323</v>
      </c>
      <c r="G3545" s="115" t="s">
        <v>9324</v>
      </c>
      <c r="H3545" s="115" t="s">
        <v>9325</v>
      </c>
    </row>
    <row r="3546" spans="1:8" x14ac:dyDescent="0.25">
      <c r="A3546" s="115">
        <v>1035</v>
      </c>
      <c r="B3546" s="115" t="s">
        <v>45</v>
      </c>
      <c r="C3546" s="115" t="s">
        <v>9326</v>
      </c>
      <c r="D3546" s="115">
        <v>1</v>
      </c>
      <c r="E3546" s="115" t="s">
        <v>9327</v>
      </c>
      <c r="F3546" s="115" t="s">
        <v>9327</v>
      </c>
      <c r="G3546" s="115" t="s">
        <v>9328</v>
      </c>
      <c r="H3546" s="115" t="s">
        <v>9329</v>
      </c>
    </row>
    <row r="3547" spans="1:8" ht="45" x14ac:dyDescent="0.25">
      <c r="A3547" s="115">
        <v>1034</v>
      </c>
      <c r="B3547" s="115" t="s">
        <v>313</v>
      </c>
      <c r="C3547" s="115" t="s">
        <v>9330</v>
      </c>
      <c r="D3547" s="115">
        <v>1</v>
      </c>
      <c r="E3547" s="115" t="s">
        <v>9331</v>
      </c>
      <c r="F3547" s="115" t="s">
        <v>9332</v>
      </c>
      <c r="G3547" s="115" t="s">
        <v>9333</v>
      </c>
      <c r="H3547" s="115" t="s">
        <v>9334</v>
      </c>
    </row>
    <row r="3548" spans="1:8" x14ac:dyDescent="0.25">
      <c r="A3548" s="115">
        <v>1033</v>
      </c>
      <c r="B3548" s="115" t="s">
        <v>313</v>
      </c>
      <c r="C3548" s="115" t="s">
        <v>9335</v>
      </c>
      <c r="D3548" s="115">
        <v>1</v>
      </c>
      <c r="E3548" s="115" t="s">
        <v>9336</v>
      </c>
      <c r="F3548" s="115" t="s">
        <v>9337</v>
      </c>
      <c r="G3548" s="115" t="s">
        <v>9338</v>
      </c>
      <c r="H3548" s="115" t="s">
        <v>9339</v>
      </c>
    </row>
    <row r="3549" spans="1:8" ht="45" x14ac:dyDescent="0.25">
      <c r="A3549" s="115">
        <v>1032</v>
      </c>
      <c r="B3549" s="115" t="s">
        <v>45</v>
      </c>
      <c r="C3549" s="115" t="s">
        <v>9340</v>
      </c>
      <c r="D3549" s="115">
        <v>1</v>
      </c>
      <c r="E3549" s="115" t="s">
        <v>9341</v>
      </c>
      <c r="F3549" s="115" t="s">
        <v>9342</v>
      </c>
      <c r="G3549" s="115" t="s">
        <v>9343</v>
      </c>
      <c r="H3549" s="115" t="s">
        <v>9344</v>
      </c>
    </row>
    <row r="3550" spans="1:8" x14ac:dyDescent="0.25">
      <c r="A3550" s="115">
        <v>1031</v>
      </c>
      <c r="B3550" s="115" t="s">
        <v>45</v>
      </c>
      <c r="C3550" s="115" t="s">
        <v>9345</v>
      </c>
      <c r="D3550" s="115">
        <v>1</v>
      </c>
      <c r="E3550" s="115" t="s">
        <v>9346</v>
      </c>
      <c r="F3550" s="115" t="s">
        <v>9347</v>
      </c>
      <c r="G3550" s="115" t="s">
        <v>9348</v>
      </c>
      <c r="H3550" s="115" t="s">
        <v>9349</v>
      </c>
    </row>
    <row r="3551" spans="1:8" x14ac:dyDescent="0.25">
      <c r="A3551" s="115">
        <v>1030</v>
      </c>
      <c r="B3551" s="115" t="s">
        <v>377</v>
      </c>
      <c r="C3551" s="115" t="s">
        <v>9350</v>
      </c>
      <c r="D3551" s="115">
        <v>0</v>
      </c>
      <c r="E3551" s="115" t="s">
        <v>9351</v>
      </c>
      <c r="F3551" s="115" t="s">
        <v>9352</v>
      </c>
      <c r="G3551" s="115" t="s">
        <v>9353</v>
      </c>
      <c r="H3551" s="115" t="s">
        <v>9349</v>
      </c>
    </row>
    <row r="3552" spans="1:8" ht="45" x14ac:dyDescent="0.25">
      <c r="A3552" s="115">
        <v>1029</v>
      </c>
      <c r="B3552" s="115" t="s">
        <v>45</v>
      </c>
      <c r="C3552" s="115" t="s">
        <v>9354</v>
      </c>
      <c r="D3552" s="115">
        <v>1</v>
      </c>
      <c r="E3552" s="115" t="s">
        <v>9355</v>
      </c>
      <c r="F3552" s="115" t="s">
        <v>9356</v>
      </c>
      <c r="G3552" s="115" t="s">
        <v>9357</v>
      </c>
      <c r="H3552" s="115" t="s">
        <v>9358</v>
      </c>
    </row>
    <row r="3553" spans="1:8" x14ac:dyDescent="0.25">
      <c r="A3553" s="115">
        <v>1028</v>
      </c>
      <c r="B3553" s="115" t="s">
        <v>377</v>
      </c>
      <c r="C3553" s="115" t="s">
        <v>9359</v>
      </c>
      <c r="D3553" s="115">
        <v>0</v>
      </c>
      <c r="E3553" s="115" t="s">
        <v>9360</v>
      </c>
      <c r="F3553" s="115" t="s">
        <v>9361</v>
      </c>
      <c r="G3553" s="115" t="s">
        <v>9362</v>
      </c>
      <c r="H3553" s="115" t="s">
        <v>9363</v>
      </c>
    </row>
    <row r="3554" spans="1:8" x14ac:dyDescent="0.25">
      <c r="A3554" s="115">
        <v>1027</v>
      </c>
      <c r="B3554" s="115" t="s">
        <v>45</v>
      </c>
      <c r="C3554" s="115" t="s">
        <v>9364</v>
      </c>
      <c r="D3554" s="115">
        <v>1</v>
      </c>
      <c r="E3554" s="115" t="s">
        <v>9365</v>
      </c>
      <c r="F3554" s="115" t="s">
        <v>9366</v>
      </c>
      <c r="G3554" s="115" t="s">
        <v>9367</v>
      </c>
      <c r="H3554" s="115" t="s">
        <v>9368</v>
      </c>
    </row>
    <row r="3555" spans="1:8" x14ac:dyDescent="0.25">
      <c r="A3555" s="115">
        <v>1026</v>
      </c>
      <c r="B3555" s="115" t="s">
        <v>45</v>
      </c>
      <c r="C3555" s="115" t="s">
        <v>9369</v>
      </c>
      <c r="D3555" s="115">
        <v>1</v>
      </c>
      <c r="E3555" s="115" t="s">
        <v>9370</v>
      </c>
      <c r="F3555" s="115" t="s">
        <v>9371</v>
      </c>
      <c r="G3555" s="115" t="s">
        <v>9372</v>
      </c>
      <c r="H3555" s="115" t="s">
        <v>9373</v>
      </c>
    </row>
    <row r="3556" spans="1:8" ht="30" x14ac:dyDescent="0.25">
      <c r="A3556" s="115">
        <v>1025</v>
      </c>
      <c r="B3556" s="115" t="s">
        <v>45</v>
      </c>
      <c r="C3556" s="115" t="s">
        <v>9374</v>
      </c>
      <c r="D3556" s="115">
        <v>1</v>
      </c>
      <c r="E3556" s="115" t="s">
        <v>9375</v>
      </c>
      <c r="F3556" s="115" t="s">
        <v>9376</v>
      </c>
      <c r="G3556" s="115" t="s">
        <v>9377</v>
      </c>
      <c r="H3556" s="115" t="s">
        <v>9378</v>
      </c>
    </row>
    <row r="3557" spans="1:8" x14ac:dyDescent="0.25">
      <c r="A3557" s="115">
        <v>1024</v>
      </c>
      <c r="B3557" s="115" t="s">
        <v>377</v>
      </c>
      <c r="C3557" s="115" t="s">
        <v>9379</v>
      </c>
      <c r="D3557" s="115">
        <v>0</v>
      </c>
      <c r="E3557" s="115" t="s">
        <v>9380</v>
      </c>
      <c r="F3557" s="115" t="s">
        <v>9381</v>
      </c>
      <c r="G3557" s="115" t="s">
        <v>9382</v>
      </c>
      <c r="H3557" s="115" t="s">
        <v>9383</v>
      </c>
    </row>
    <row r="3558" spans="1:8" x14ac:dyDescent="0.25">
      <c r="A3558" s="115">
        <v>1023</v>
      </c>
      <c r="B3558" s="115" t="s">
        <v>149</v>
      </c>
      <c r="C3558" s="115" t="s">
        <v>8665</v>
      </c>
      <c r="D3558" s="115">
        <v>0</v>
      </c>
      <c r="E3558" s="115" t="s">
        <v>9384</v>
      </c>
      <c r="F3558" s="115" t="s">
        <v>9385</v>
      </c>
      <c r="G3558" s="115" t="s">
        <v>9386</v>
      </c>
      <c r="H3558" s="115" t="s">
        <v>9387</v>
      </c>
    </row>
    <row r="3559" spans="1:8" ht="30" x14ac:dyDescent="0.25">
      <c r="A3559" s="115">
        <v>1022</v>
      </c>
      <c r="B3559" s="115" t="s">
        <v>313</v>
      </c>
      <c r="C3559" s="115" t="s">
        <v>9388</v>
      </c>
      <c r="D3559" s="115">
        <v>1</v>
      </c>
      <c r="E3559" s="115" t="s">
        <v>9389</v>
      </c>
      <c r="F3559" s="115" t="s">
        <v>9390</v>
      </c>
      <c r="G3559" s="115" t="s">
        <v>9391</v>
      </c>
      <c r="H3559" s="115" t="s">
        <v>9392</v>
      </c>
    </row>
    <row r="3560" spans="1:8" x14ac:dyDescent="0.25">
      <c r="A3560" s="115">
        <v>1021</v>
      </c>
      <c r="B3560" s="115" t="s">
        <v>45</v>
      </c>
      <c r="C3560" s="115" t="s">
        <v>9393</v>
      </c>
      <c r="D3560" s="115">
        <v>1</v>
      </c>
      <c r="E3560" s="115" t="s">
        <v>9394</v>
      </c>
      <c r="F3560" s="115" t="s">
        <v>9395</v>
      </c>
      <c r="G3560" s="115" t="s">
        <v>9396</v>
      </c>
      <c r="H3560" s="115" t="s">
        <v>9397</v>
      </c>
    </row>
    <row r="3561" spans="1:8" ht="30" x14ac:dyDescent="0.25">
      <c r="A3561" s="115">
        <v>1020</v>
      </c>
      <c r="B3561" s="115" t="s">
        <v>9398</v>
      </c>
      <c r="C3561" s="115" t="s">
        <v>9399</v>
      </c>
      <c r="D3561" s="115">
        <v>1</v>
      </c>
      <c r="E3561" s="115" t="s">
        <v>320</v>
      </c>
      <c r="F3561" s="115" t="s">
        <v>9208</v>
      </c>
      <c r="G3561" s="115" t="s">
        <v>9400</v>
      </c>
      <c r="H3561" s="115" t="s">
        <v>323</v>
      </c>
    </row>
    <row r="3562" spans="1:8" ht="45" x14ac:dyDescent="0.25">
      <c r="A3562" s="115">
        <v>1019</v>
      </c>
      <c r="B3562" s="115" t="s">
        <v>9401</v>
      </c>
      <c r="C3562" s="115" t="s">
        <v>9402</v>
      </c>
      <c r="D3562" s="115">
        <v>1</v>
      </c>
      <c r="E3562" s="115" t="s">
        <v>9403</v>
      </c>
      <c r="F3562" s="115" t="s">
        <v>9404</v>
      </c>
      <c r="G3562" s="115" t="s">
        <v>9405</v>
      </c>
      <c r="H3562" s="115" t="s">
        <v>9406</v>
      </c>
    </row>
    <row r="3563" spans="1:8" x14ac:dyDescent="0.25">
      <c r="A3563" s="115">
        <v>1018</v>
      </c>
      <c r="B3563" s="115" t="s">
        <v>178</v>
      </c>
      <c r="C3563" s="115" t="s">
        <v>166</v>
      </c>
      <c r="D3563" s="115">
        <v>1</v>
      </c>
      <c r="E3563" s="115" t="s">
        <v>9407</v>
      </c>
      <c r="F3563" s="115" t="s">
        <v>9408</v>
      </c>
      <c r="G3563" s="115" t="s">
        <v>9409</v>
      </c>
      <c r="H3563" s="115" t="s">
        <v>9410</v>
      </c>
    </row>
    <row r="3564" spans="1:8" ht="60" x14ac:dyDescent="0.25">
      <c r="A3564" s="115">
        <v>1017</v>
      </c>
      <c r="B3564" s="115" t="s">
        <v>178</v>
      </c>
      <c r="C3564" s="115" t="s">
        <v>9411</v>
      </c>
      <c r="D3564" s="115">
        <v>1</v>
      </c>
      <c r="E3564" s="115" t="s">
        <v>9412</v>
      </c>
      <c r="F3564" s="115" t="s">
        <v>9413</v>
      </c>
      <c r="G3564" s="115" t="s">
        <v>9414</v>
      </c>
      <c r="H3564" s="115" t="s">
        <v>9415</v>
      </c>
    </row>
    <row r="3565" spans="1:8" x14ac:dyDescent="0.25">
      <c r="A3565" s="115">
        <v>1016</v>
      </c>
      <c r="B3565" s="115" t="s">
        <v>313</v>
      </c>
      <c r="C3565" s="115" t="s">
        <v>9416</v>
      </c>
      <c r="D3565" s="115">
        <v>1</v>
      </c>
      <c r="E3565" s="115" t="s">
        <v>9417</v>
      </c>
      <c r="F3565" s="115" t="s">
        <v>9418</v>
      </c>
      <c r="G3565" s="115" t="s">
        <v>9419</v>
      </c>
      <c r="H3565" s="115" t="s">
        <v>9420</v>
      </c>
    </row>
    <row r="3566" spans="1:8" ht="150" x14ac:dyDescent="0.25">
      <c r="A3566" s="115">
        <v>1015</v>
      </c>
      <c r="B3566" s="115" t="s">
        <v>313</v>
      </c>
      <c r="C3566" s="115" t="s">
        <v>9421</v>
      </c>
      <c r="D3566" s="115">
        <v>1</v>
      </c>
      <c r="E3566" s="115" t="s">
        <v>9422</v>
      </c>
      <c r="F3566" s="115" t="s">
        <v>9423</v>
      </c>
      <c r="G3566" s="115" t="s">
        <v>9424</v>
      </c>
      <c r="H3566" s="115" t="s">
        <v>9425</v>
      </c>
    </row>
    <row r="3567" spans="1:8" x14ac:dyDescent="0.25">
      <c r="A3567" s="115">
        <v>1014</v>
      </c>
      <c r="B3567" s="115" t="s">
        <v>313</v>
      </c>
      <c r="C3567" s="115" t="s">
        <v>9426</v>
      </c>
      <c r="D3567" s="115">
        <v>1</v>
      </c>
      <c r="E3567" s="115" t="s">
        <v>9427</v>
      </c>
      <c r="F3567" s="115" t="s">
        <v>9428</v>
      </c>
      <c r="G3567" s="115" t="s">
        <v>9429</v>
      </c>
      <c r="H3567" s="115" t="s">
        <v>9430</v>
      </c>
    </row>
    <row r="3568" spans="1:8" x14ac:dyDescent="0.25">
      <c r="A3568" s="115">
        <v>1013</v>
      </c>
      <c r="B3568" s="115" t="s">
        <v>45</v>
      </c>
      <c r="C3568" s="115" t="s">
        <v>9431</v>
      </c>
      <c r="D3568" s="115">
        <v>1</v>
      </c>
      <c r="E3568" s="115" t="s">
        <v>9432</v>
      </c>
      <c r="F3568" s="115" t="s">
        <v>9433</v>
      </c>
      <c r="G3568" s="115" t="s">
        <v>9434</v>
      </c>
      <c r="H3568" s="115" t="s">
        <v>9435</v>
      </c>
    </row>
    <row r="3569" spans="1:8" x14ac:dyDescent="0.25">
      <c r="A3569" s="115">
        <v>1012</v>
      </c>
      <c r="B3569" s="115" t="s">
        <v>313</v>
      </c>
      <c r="C3569" s="115" t="s">
        <v>9436</v>
      </c>
      <c r="D3569" s="115">
        <v>1</v>
      </c>
      <c r="E3569" s="115" t="s">
        <v>7172</v>
      </c>
      <c r="F3569" s="115" t="s">
        <v>9437</v>
      </c>
      <c r="G3569" s="115" t="s">
        <v>9438</v>
      </c>
      <c r="H3569" s="115" t="s">
        <v>74</v>
      </c>
    </row>
    <row r="3570" spans="1:8" x14ac:dyDescent="0.25">
      <c r="A3570" s="115">
        <v>1011</v>
      </c>
      <c r="B3570" s="115" t="s">
        <v>313</v>
      </c>
      <c r="C3570" s="115" t="s">
        <v>8119</v>
      </c>
      <c r="D3570" s="115">
        <v>1</v>
      </c>
      <c r="E3570" s="115" t="s">
        <v>8662</v>
      </c>
      <c r="F3570" s="115" t="s">
        <v>9439</v>
      </c>
      <c r="G3570" s="115" t="s">
        <v>9440</v>
      </c>
      <c r="H3570" s="115" t="s">
        <v>74</v>
      </c>
    </row>
    <row r="3571" spans="1:8" ht="30" x14ac:dyDescent="0.25">
      <c r="A3571" s="115">
        <v>1010</v>
      </c>
      <c r="B3571" s="115" t="s">
        <v>313</v>
      </c>
      <c r="C3571" s="115" t="s">
        <v>9441</v>
      </c>
      <c r="D3571" s="115">
        <v>1</v>
      </c>
      <c r="E3571" s="115" t="s">
        <v>8123</v>
      </c>
      <c r="F3571" s="115" t="s">
        <v>9442</v>
      </c>
      <c r="G3571" s="115" t="s">
        <v>9443</v>
      </c>
      <c r="H3571" s="115" t="s">
        <v>7182</v>
      </c>
    </row>
    <row r="3572" spans="1:8" x14ac:dyDescent="0.25">
      <c r="A3572" s="115">
        <v>1009</v>
      </c>
      <c r="B3572" s="115" t="s">
        <v>313</v>
      </c>
      <c r="C3572" s="115" t="s">
        <v>9444</v>
      </c>
      <c r="D3572" s="115">
        <v>1</v>
      </c>
      <c r="E3572" s="115" t="s">
        <v>9445</v>
      </c>
      <c r="F3572" s="115" t="s">
        <v>9446</v>
      </c>
      <c r="G3572" s="115" t="s">
        <v>9447</v>
      </c>
      <c r="H3572" s="115" t="s">
        <v>9448</v>
      </c>
    </row>
    <row r="3573" spans="1:8" x14ac:dyDescent="0.25">
      <c r="A3573" s="115">
        <v>1008</v>
      </c>
      <c r="B3573" s="115" t="s">
        <v>313</v>
      </c>
      <c r="C3573" s="115" t="s">
        <v>9449</v>
      </c>
      <c r="D3573" s="115">
        <v>1</v>
      </c>
      <c r="E3573" s="115" t="s">
        <v>9450</v>
      </c>
      <c r="F3573" s="115" t="s">
        <v>9451</v>
      </c>
      <c r="G3573" s="115" t="s">
        <v>9452</v>
      </c>
      <c r="H3573" s="115" t="s">
        <v>9453</v>
      </c>
    </row>
    <row r="3574" spans="1:8" x14ac:dyDescent="0.25">
      <c r="A3574" s="115">
        <v>1007</v>
      </c>
      <c r="B3574" s="115" t="s">
        <v>71</v>
      </c>
      <c r="C3574" s="115" t="s">
        <v>9454</v>
      </c>
      <c r="D3574" s="115">
        <v>1</v>
      </c>
      <c r="E3574" s="115" t="s">
        <v>9455</v>
      </c>
      <c r="F3574" s="115" t="s">
        <v>9456</v>
      </c>
      <c r="G3574" s="115" t="s">
        <v>9457</v>
      </c>
      <c r="H3574" s="115" t="s">
        <v>9458</v>
      </c>
    </row>
    <row r="3575" spans="1:8" x14ac:dyDescent="0.25">
      <c r="A3575" s="115">
        <v>1006</v>
      </c>
      <c r="B3575" s="115" t="s">
        <v>71</v>
      </c>
      <c r="C3575" s="115" t="s">
        <v>9459</v>
      </c>
      <c r="D3575" s="115">
        <v>1</v>
      </c>
      <c r="E3575" s="115" t="s">
        <v>9460</v>
      </c>
      <c r="F3575" s="115" t="s">
        <v>9461</v>
      </c>
      <c r="G3575" s="115" t="s">
        <v>9462</v>
      </c>
      <c r="H3575" s="115" t="s">
        <v>9463</v>
      </c>
    </row>
    <row r="3576" spans="1:8" x14ac:dyDescent="0.25">
      <c r="A3576" s="115">
        <v>1005</v>
      </c>
      <c r="B3576" s="115" t="s">
        <v>71</v>
      </c>
      <c r="C3576" s="115" t="s">
        <v>9464</v>
      </c>
      <c r="D3576" s="115">
        <v>1</v>
      </c>
      <c r="E3576" s="115" t="s">
        <v>9465</v>
      </c>
      <c r="F3576" s="115" t="s">
        <v>9466</v>
      </c>
      <c r="G3576" s="115" t="s">
        <v>9467</v>
      </c>
      <c r="H3576" s="115" t="s">
        <v>9468</v>
      </c>
    </row>
    <row r="3577" spans="1:8" x14ac:dyDescent="0.25">
      <c r="A3577" s="115">
        <v>1004</v>
      </c>
      <c r="B3577" s="115" t="s">
        <v>313</v>
      </c>
      <c r="C3577" s="115" t="s">
        <v>9469</v>
      </c>
      <c r="D3577" s="115">
        <v>1</v>
      </c>
      <c r="E3577" s="115" t="s">
        <v>9470</v>
      </c>
      <c r="F3577" s="115" t="s">
        <v>9471</v>
      </c>
      <c r="G3577" s="115" t="s">
        <v>9472</v>
      </c>
      <c r="H3577" s="115" t="s">
        <v>9473</v>
      </c>
    </row>
    <row r="3578" spans="1:8" x14ac:dyDescent="0.25">
      <c r="A3578" s="115">
        <v>1003</v>
      </c>
      <c r="B3578" s="115" t="s">
        <v>71</v>
      </c>
      <c r="C3578" s="115" t="s">
        <v>182</v>
      </c>
      <c r="D3578" s="115">
        <v>1</v>
      </c>
      <c r="E3578" s="115" t="s">
        <v>183</v>
      </c>
      <c r="F3578" s="115" t="s">
        <v>9474</v>
      </c>
      <c r="G3578" s="115" t="s">
        <v>9475</v>
      </c>
      <c r="H3578" s="115" t="s">
        <v>9476</v>
      </c>
    </row>
    <row r="3579" spans="1:8" x14ac:dyDescent="0.25">
      <c r="A3579" s="115">
        <v>1002</v>
      </c>
      <c r="B3579" s="115" t="s">
        <v>71</v>
      </c>
      <c r="C3579" s="115" t="s">
        <v>9477</v>
      </c>
      <c r="D3579" s="115">
        <v>1</v>
      </c>
      <c r="E3579" s="115" t="s">
        <v>9478</v>
      </c>
      <c r="F3579" s="115" t="s">
        <v>9479</v>
      </c>
      <c r="G3579" s="115" t="s">
        <v>9480</v>
      </c>
      <c r="H3579" s="115" t="s">
        <v>9481</v>
      </c>
    </row>
    <row r="3580" spans="1:8" x14ac:dyDescent="0.25">
      <c r="A3580" s="115">
        <v>1001</v>
      </c>
      <c r="B3580" s="115" t="s">
        <v>71</v>
      </c>
      <c r="C3580" s="115" t="s">
        <v>8690</v>
      </c>
      <c r="D3580" s="115">
        <v>1</v>
      </c>
      <c r="E3580" s="115" t="s">
        <v>165</v>
      </c>
      <c r="F3580" s="115" t="s">
        <v>9482</v>
      </c>
      <c r="G3580" s="115" t="s">
        <v>9483</v>
      </c>
      <c r="H3580" s="115" t="s">
        <v>9484</v>
      </c>
    </row>
    <row r="3581" spans="1:8" x14ac:dyDescent="0.25">
      <c r="A3581" s="115">
        <v>1000</v>
      </c>
      <c r="B3581" s="115" t="s">
        <v>313</v>
      </c>
      <c r="C3581" s="115" t="s">
        <v>9485</v>
      </c>
      <c r="D3581" s="115">
        <v>1</v>
      </c>
      <c r="E3581" s="115" t="s">
        <v>9486</v>
      </c>
      <c r="F3581" s="115" t="s">
        <v>9487</v>
      </c>
      <c r="G3581" s="115" t="s">
        <v>9488</v>
      </c>
      <c r="H3581" s="115" t="s">
        <v>9489</v>
      </c>
    </row>
    <row r="3582" spans="1:8" x14ac:dyDescent="0.25">
      <c r="A3582" s="115">
        <v>999</v>
      </c>
      <c r="B3582" s="115" t="s">
        <v>9490</v>
      </c>
      <c r="C3582" s="115" t="s">
        <v>9491</v>
      </c>
      <c r="D3582" s="115">
        <v>1</v>
      </c>
      <c r="E3582" s="115" t="s">
        <v>9492</v>
      </c>
      <c r="F3582" s="115" t="s">
        <v>9493</v>
      </c>
      <c r="G3582" s="115" t="s">
        <v>9494</v>
      </c>
      <c r="H3582" s="115" t="s">
        <v>9495</v>
      </c>
    </row>
    <row r="3583" spans="1:8" x14ac:dyDescent="0.25">
      <c r="A3583" s="115">
        <v>998</v>
      </c>
      <c r="B3583" s="115" t="s">
        <v>9490</v>
      </c>
      <c r="C3583" s="115" t="s">
        <v>9490</v>
      </c>
      <c r="D3583" s="115">
        <v>1</v>
      </c>
      <c r="E3583" s="115" t="s">
        <v>9496</v>
      </c>
      <c r="F3583" s="115" t="s">
        <v>9497</v>
      </c>
      <c r="G3583" s="115" t="s">
        <v>9498</v>
      </c>
      <c r="H3583" s="115" t="s">
        <v>9499</v>
      </c>
    </row>
    <row r="3584" spans="1:8" x14ac:dyDescent="0.25">
      <c r="A3584" s="115">
        <v>997</v>
      </c>
      <c r="B3584" s="115" t="s">
        <v>313</v>
      </c>
      <c r="C3584" s="115" t="s">
        <v>9500</v>
      </c>
      <c r="D3584" s="115">
        <v>1</v>
      </c>
      <c r="E3584" s="115" t="s">
        <v>9501</v>
      </c>
      <c r="F3584" s="115" t="s">
        <v>8987</v>
      </c>
      <c r="G3584" s="115" t="s">
        <v>8988</v>
      </c>
      <c r="H3584" s="115" t="s">
        <v>9502</v>
      </c>
    </row>
    <row r="3585" spans="1:8" x14ac:dyDescent="0.25">
      <c r="A3585" s="115">
        <v>996</v>
      </c>
      <c r="B3585" s="115" t="s">
        <v>313</v>
      </c>
      <c r="C3585" s="115" t="s">
        <v>9503</v>
      </c>
      <c r="D3585" s="115">
        <v>1</v>
      </c>
      <c r="E3585" s="115" t="s">
        <v>423</v>
      </c>
      <c r="F3585" s="115" t="s">
        <v>424</v>
      </c>
      <c r="G3585" s="115" t="s">
        <v>425</v>
      </c>
      <c r="H3585" s="115" t="s">
        <v>9504</v>
      </c>
    </row>
    <row r="3586" spans="1:8" x14ac:dyDescent="0.25">
      <c r="A3586" s="115">
        <v>995</v>
      </c>
      <c r="B3586" s="115" t="s">
        <v>149</v>
      </c>
      <c r="C3586" s="115" t="s">
        <v>9505</v>
      </c>
      <c r="D3586" s="115">
        <v>0</v>
      </c>
      <c r="E3586" s="115" t="s">
        <v>9506</v>
      </c>
      <c r="F3586" s="115" t="s">
        <v>9507</v>
      </c>
      <c r="G3586" s="115" t="s">
        <v>9508</v>
      </c>
      <c r="H3586" s="115" t="s">
        <v>9509</v>
      </c>
    </row>
    <row r="3587" spans="1:8" x14ac:dyDescent="0.25">
      <c r="A3587" s="115">
        <v>994</v>
      </c>
      <c r="B3587" s="115" t="s">
        <v>313</v>
      </c>
      <c r="C3587" s="115" t="s">
        <v>9510</v>
      </c>
      <c r="D3587" s="115">
        <v>1</v>
      </c>
      <c r="E3587" s="115" t="s">
        <v>9511</v>
      </c>
      <c r="F3587" s="115" t="s">
        <v>9512</v>
      </c>
      <c r="G3587" s="115" t="s">
        <v>9513</v>
      </c>
      <c r="H3587" s="115" t="s">
        <v>9514</v>
      </c>
    </row>
    <row r="3588" spans="1:8" x14ac:dyDescent="0.25">
      <c r="A3588" s="115">
        <v>993</v>
      </c>
      <c r="B3588" s="115" t="s">
        <v>313</v>
      </c>
      <c r="C3588" s="115" t="s">
        <v>9515</v>
      </c>
      <c r="D3588" s="115">
        <v>1</v>
      </c>
      <c r="E3588" s="115" t="s">
        <v>9516</v>
      </c>
      <c r="F3588" s="115" t="s">
        <v>9517</v>
      </c>
      <c r="G3588" s="115" t="s">
        <v>9518</v>
      </c>
      <c r="H3588" s="115" t="s">
        <v>9519</v>
      </c>
    </row>
    <row r="3589" spans="1:8" x14ac:dyDescent="0.25">
      <c r="A3589" s="115">
        <v>992</v>
      </c>
      <c r="B3589" s="115" t="s">
        <v>313</v>
      </c>
      <c r="C3589" s="115" t="s">
        <v>9520</v>
      </c>
      <c r="D3589" s="115">
        <v>1</v>
      </c>
      <c r="E3589" s="115" t="s">
        <v>4526</v>
      </c>
      <c r="F3589" s="115" t="s">
        <v>4526</v>
      </c>
      <c r="G3589" s="115" t="s">
        <v>4526</v>
      </c>
      <c r="H3589" s="115" t="s">
        <v>9521</v>
      </c>
    </row>
    <row r="3590" spans="1:8" x14ac:dyDescent="0.25">
      <c r="A3590" s="115">
        <v>991</v>
      </c>
      <c r="B3590" s="115" t="s">
        <v>313</v>
      </c>
      <c r="C3590" s="115" t="s">
        <v>9522</v>
      </c>
      <c r="D3590" s="115">
        <v>1</v>
      </c>
      <c r="E3590" s="115" t="s">
        <v>4523</v>
      </c>
      <c r="F3590" s="115" t="s">
        <v>4523</v>
      </c>
      <c r="G3590" s="115" t="s">
        <v>4523</v>
      </c>
      <c r="H3590" s="115" t="s">
        <v>9523</v>
      </c>
    </row>
    <row r="3591" spans="1:8" x14ac:dyDescent="0.25">
      <c r="A3591" s="115">
        <v>990</v>
      </c>
      <c r="B3591" s="115" t="s">
        <v>71</v>
      </c>
      <c r="C3591" s="115" t="s">
        <v>8537</v>
      </c>
      <c r="D3591" s="115">
        <v>1</v>
      </c>
      <c r="E3591" s="115" t="s">
        <v>8538</v>
      </c>
      <c r="F3591" s="115" t="s">
        <v>8539</v>
      </c>
      <c r="G3591" s="115" t="s">
        <v>8540</v>
      </c>
      <c r="H3591" s="115" t="s">
        <v>8541</v>
      </c>
    </row>
    <row r="3592" spans="1:8" x14ac:dyDescent="0.25">
      <c r="A3592" s="115">
        <v>989</v>
      </c>
      <c r="B3592" s="115" t="s">
        <v>313</v>
      </c>
      <c r="C3592" s="115" t="s">
        <v>9524</v>
      </c>
      <c r="D3592" s="115">
        <v>1</v>
      </c>
      <c r="E3592" s="115" t="s">
        <v>9525</v>
      </c>
      <c r="F3592" s="115" t="s">
        <v>9526</v>
      </c>
      <c r="G3592" s="115" t="s">
        <v>9527</v>
      </c>
      <c r="H3592" s="115" t="s">
        <v>9528</v>
      </c>
    </row>
    <row r="3593" spans="1:8" ht="45" x14ac:dyDescent="0.25">
      <c r="A3593" s="115">
        <v>988</v>
      </c>
      <c r="B3593" s="115" t="s">
        <v>178</v>
      </c>
      <c r="C3593" s="115" t="s">
        <v>9529</v>
      </c>
      <c r="D3593" s="115">
        <v>1</v>
      </c>
      <c r="E3593" s="115" t="s">
        <v>9530</v>
      </c>
      <c r="F3593" s="115" t="s">
        <v>9531</v>
      </c>
      <c r="G3593" s="115" t="s">
        <v>9532</v>
      </c>
      <c r="H3593" s="115" t="s">
        <v>9533</v>
      </c>
    </row>
    <row r="3594" spans="1:8" ht="300" x14ac:dyDescent="0.25">
      <c r="A3594" s="115">
        <v>987</v>
      </c>
      <c r="B3594" s="115" t="s">
        <v>45</v>
      </c>
      <c r="C3594" s="115" t="s">
        <v>9534</v>
      </c>
      <c r="D3594" s="115">
        <v>1</v>
      </c>
      <c r="E3594" s="115" t="s">
        <v>8787</v>
      </c>
      <c r="F3594" s="115" t="s">
        <v>8788</v>
      </c>
      <c r="G3594" s="115" t="s">
        <v>8789</v>
      </c>
      <c r="H3594" s="115" t="s">
        <v>74</v>
      </c>
    </row>
    <row r="3595" spans="1:8" ht="240" x14ac:dyDescent="0.25">
      <c r="A3595" s="115">
        <v>986</v>
      </c>
      <c r="B3595" s="115" t="s">
        <v>45</v>
      </c>
      <c r="C3595" s="115" t="s">
        <v>9535</v>
      </c>
      <c r="D3595" s="115">
        <v>1</v>
      </c>
      <c r="E3595" s="115" t="s">
        <v>9536</v>
      </c>
      <c r="F3595" s="115" t="s">
        <v>9537</v>
      </c>
      <c r="G3595" s="115" t="s">
        <v>9538</v>
      </c>
      <c r="H3595" s="115" t="s">
        <v>9539</v>
      </c>
    </row>
    <row r="3596" spans="1:8" ht="75" x14ac:dyDescent="0.25">
      <c r="A3596" s="115">
        <v>985</v>
      </c>
      <c r="B3596" s="115" t="s">
        <v>45</v>
      </c>
      <c r="C3596" s="115" t="s">
        <v>9540</v>
      </c>
      <c r="D3596" s="115">
        <v>1</v>
      </c>
      <c r="E3596" s="115" t="s">
        <v>9541</v>
      </c>
      <c r="F3596" s="115" t="s">
        <v>9542</v>
      </c>
      <c r="G3596" s="115" t="s">
        <v>9543</v>
      </c>
      <c r="H3596" s="115" t="s">
        <v>9544</v>
      </c>
    </row>
    <row r="3597" spans="1:8" ht="270" x14ac:dyDescent="0.25">
      <c r="A3597" s="115">
        <v>984</v>
      </c>
      <c r="B3597" s="115" t="s">
        <v>45</v>
      </c>
      <c r="C3597" s="115" t="s">
        <v>9545</v>
      </c>
      <c r="D3597" s="115">
        <v>1</v>
      </c>
      <c r="E3597" s="115" t="s">
        <v>9546</v>
      </c>
      <c r="F3597" s="115" t="s">
        <v>9547</v>
      </c>
      <c r="G3597" s="115" t="s">
        <v>9548</v>
      </c>
      <c r="H3597" s="115" t="s">
        <v>9549</v>
      </c>
    </row>
    <row r="3598" spans="1:8" ht="90" x14ac:dyDescent="0.25">
      <c r="A3598" s="115">
        <v>983</v>
      </c>
      <c r="B3598" s="115" t="s">
        <v>45</v>
      </c>
      <c r="C3598" s="115" t="s">
        <v>9550</v>
      </c>
      <c r="D3598" s="115">
        <v>1</v>
      </c>
      <c r="E3598" s="115" t="s">
        <v>9551</v>
      </c>
      <c r="F3598" s="115" t="s">
        <v>9552</v>
      </c>
      <c r="G3598" s="115" t="s">
        <v>9553</v>
      </c>
      <c r="H3598" s="115" t="s">
        <v>9554</v>
      </c>
    </row>
    <row r="3599" spans="1:8" ht="105" x14ac:dyDescent="0.25">
      <c r="A3599" s="115">
        <v>982</v>
      </c>
      <c r="B3599" s="115" t="s">
        <v>45</v>
      </c>
      <c r="C3599" s="115" t="s">
        <v>9555</v>
      </c>
      <c r="D3599" s="115">
        <v>1</v>
      </c>
      <c r="E3599" s="115" t="s">
        <v>9556</v>
      </c>
      <c r="F3599" s="115" t="s">
        <v>9557</v>
      </c>
      <c r="G3599" s="115" t="s">
        <v>9558</v>
      </c>
      <c r="H3599" s="115" t="s">
        <v>9559</v>
      </c>
    </row>
    <row r="3600" spans="1:8" ht="150" x14ac:dyDescent="0.25">
      <c r="A3600" s="115">
        <v>981</v>
      </c>
      <c r="B3600" s="115" t="s">
        <v>45</v>
      </c>
      <c r="C3600" s="115" t="s">
        <v>9560</v>
      </c>
      <c r="D3600" s="115">
        <v>1</v>
      </c>
      <c r="E3600" s="115" t="s">
        <v>8760</v>
      </c>
      <c r="F3600" s="115" t="s">
        <v>8764</v>
      </c>
      <c r="G3600" s="115" t="s">
        <v>8765</v>
      </c>
      <c r="H3600" s="115" t="s">
        <v>9561</v>
      </c>
    </row>
    <row r="3601" spans="1:8" ht="210" x14ac:dyDescent="0.25">
      <c r="A3601" s="115">
        <v>980</v>
      </c>
      <c r="B3601" s="115" t="s">
        <v>45</v>
      </c>
      <c r="C3601" s="115" t="s">
        <v>9562</v>
      </c>
      <c r="D3601" s="115">
        <v>1</v>
      </c>
      <c r="E3601" s="115" t="s">
        <v>9563</v>
      </c>
      <c r="F3601" s="115" t="s">
        <v>9564</v>
      </c>
      <c r="G3601" s="115" t="s">
        <v>9565</v>
      </c>
      <c r="H3601" s="115" t="s">
        <v>9566</v>
      </c>
    </row>
    <row r="3602" spans="1:8" ht="75" x14ac:dyDescent="0.25">
      <c r="A3602" s="115">
        <v>979</v>
      </c>
      <c r="B3602" s="115" t="s">
        <v>45</v>
      </c>
      <c r="C3602" s="115" t="s">
        <v>9567</v>
      </c>
      <c r="D3602" s="115">
        <v>1</v>
      </c>
      <c r="E3602" s="115" t="s">
        <v>9568</v>
      </c>
      <c r="F3602" s="115" t="s">
        <v>9569</v>
      </c>
      <c r="G3602" s="115" t="s">
        <v>9570</v>
      </c>
      <c r="H3602" s="115" t="s">
        <v>9571</v>
      </c>
    </row>
    <row r="3603" spans="1:8" ht="165" x14ac:dyDescent="0.25">
      <c r="A3603" s="115">
        <v>978</v>
      </c>
      <c r="B3603" s="115" t="s">
        <v>45</v>
      </c>
      <c r="C3603" s="115" t="s">
        <v>9572</v>
      </c>
      <c r="D3603" s="115">
        <v>1</v>
      </c>
      <c r="E3603" s="115" t="s">
        <v>8795</v>
      </c>
      <c r="F3603" s="115" t="s">
        <v>9573</v>
      </c>
      <c r="G3603" s="115" t="s">
        <v>8797</v>
      </c>
      <c r="H3603" s="115" t="s">
        <v>8798</v>
      </c>
    </row>
    <row r="3604" spans="1:8" ht="345" x14ac:dyDescent="0.25">
      <c r="A3604" s="115">
        <v>977</v>
      </c>
      <c r="B3604" s="115" t="s">
        <v>45</v>
      </c>
      <c r="C3604" s="115" t="s">
        <v>9574</v>
      </c>
      <c r="D3604" s="115">
        <v>1</v>
      </c>
      <c r="E3604" s="115" t="s">
        <v>9575</v>
      </c>
      <c r="F3604" s="115" t="s">
        <v>9576</v>
      </c>
      <c r="G3604" s="115" t="s">
        <v>9577</v>
      </c>
      <c r="H3604" s="115" t="s">
        <v>9578</v>
      </c>
    </row>
    <row r="3605" spans="1:8" ht="60" x14ac:dyDescent="0.25">
      <c r="A3605" s="115">
        <v>976</v>
      </c>
      <c r="B3605" s="115" t="s">
        <v>45</v>
      </c>
      <c r="C3605" s="115" t="s">
        <v>9579</v>
      </c>
      <c r="D3605" s="115">
        <v>1</v>
      </c>
      <c r="E3605" s="115" t="s">
        <v>9580</v>
      </c>
      <c r="F3605" s="115" t="s">
        <v>9581</v>
      </c>
      <c r="G3605" s="115" t="s">
        <v>9582</v>
      </c>
      <c r="H3605" s="115" t="s">
        <v>9583</v>
      </c>
    </row>
    <row r="3606" spans="1:8" ht="105" x14ac:dyDescent="0.25">
      <c r="A3606" s="115">
        <v>975</v>
      </c>
      <c r="B3606" s="115" t="s">
        <v>45</v>
      </c>
      <c r="C3606" s="115" t="s">
        <v>9584</v>
      </c>
      <c r="D3606" s="115">
        <v>1</v>
      </c>
      <c r="E3606" s="115" t="s">
        <v>242</v>
      </c>
      <c r="F3606" s="115" t="s">
        <v>9585</v>
      </c>
      <c r="G3606" s="115" t="s">
        <v>9586</v>
      </c>
      <c r="H3606" s="115" t="s">
        <v>9587</v>
      </c>
    </row>
    <row r="3607" spans="1:8" ht="60" x14ac:dyDescent="0.25">
      <c r="A3607" s="115">
        <v>974</v>
      </c>
      <c r="B3607" s="115" t="s">
        <v>45</v>
      </c>
      <c r="C3607" s="115" t="s">
        <v>9588</v>
      </c>
      <c r="D3607" s="115">
        <v>1</v>
      </c>
      <c r="E3607" s="115" t="s">
        <v>9589</v>
      </c>
      <c r="F3607" s="115" t="s">
        <v>9590</v>
      </c>
      <c r="G3607" s="115" t="s">
        <v>9591</v>
      </c>
      <c r="H3607" s="115" t="s">
        <v>9592</v>
      </c>
    </row>
    <row r="3608" spans="1:8" ht="409.5" x14ac:dyDescent="0.25">
      <c r="A3608" s="115">
        <v>973</v>
      </c>
      <c r="B3608" s="115" t="s">
        <v>45</v>
      </c>
      <c r="C3608" s="115" t="s">
        <v>9593</v>
      </c>
      <c r="D3608" s="115">
        <v>1</v>
      </c>
      <c r="E3608" s="115" t="s">
        <v>9594</v>
      </c>
      <c r="F3608" s="115" t="s">
        <v>9595</v>
      </c>
      <c r="G3608" s="115" t="s">
        <v>9596</v>
      </c>
      <c r="H3608" s="115" t="s">
        <v>9597</v>
      </c>
    </row>
    <row r="3609" spans="1:8" ht="90" x14ac:dyDescent="0.25">
      <c r="A3609" s="115">
        <v>972</v>
      </c>
      <c r="B3609" s="115" t="s">
        <v>45</v>
      </c>
      <c r="C3609" s="115" t="s">
        <v>9598</v>
      </c>
      <c r="D3609" s="115">
        <v>1</v>
      </c>
      <c r="E3609" s="115" t="s">
        <v>5794</v>
      </c>
      <c r="F3609" s="115" t="s">
        <v>9599</v>
      </c>
      <c r="G3609" s="115" t="s">
        <v>9600</v>
      </c>
      <c r="H3609" s="115" t="s">
        <v>9601</v>
      </c>
    </row>
    <row r="3610" spans="1:8" ht="75" x14ac:dyDescent="0.25">
      <c r="A3610" s="115">
        <v>971</v>
      </c>
      <c r="B3610" s="115" t="s">
        <v>45</v>
      </c>
      <c r="C3610" s="115" t="s">
        <v>9602</v>
      </c>
      <c r="D3610" s="115">
        <v>1</v>
      </c>
      <c r="E3610" s="115" t="s">
        <v>9603</v>
      </c>
      <c r="F3610" s="115" t="s">
        <v>9604</v>
      </c>
      <c r="G3610" s="115" t="s">
        <v>9605</v>
      </c>
      <c r="H3610" s="115" t="s">
        <v>9606</v>
      </c>
    </row>
    <row r="3611" spans="1:8" ht="90" x14ac:dyDescent="0.25">
      <c r="A3611" s="115">
        <v>970</v>
      </c>
      <c r="B3611" s="115" t="s">
        <v>45</v>
      </c>
      <c r="C3611" s="115" t="s">
        <v>9607</v>
      </c>
      <c r="D3611" s="115">
        <v>1</v>
      </c>
      <c r="E3611" s="115" t="s">
        <v>8740</v>
      </c>
      <c r="F3611" s="115" t="s">
        <v>8741</v>
      </c>
      <c r="G3611" s="115" t="s">
        <v>8742</v>
      </c>
      <c r="H3611" s="115" t="s">
        <v>8743</v>
      </c>
    </row>
    <row r="3612" spans="1:8" ht="105" x14ac:dyDescent="0.25">
      <c r="A3612" s="115">
        <v>969</v>
      </c>
      <c r="B3612" s="115" t="s">
        <v>45</v>
      </c>
      <c r="C3612" s="115" t="s">
        <v>9608</v>
      </c>
      <c r="D3612" s="115">
        <v>1</v>
      </c>
      <c r="E3612" s="115" t="s">
        <v>8747</v>
      </c>
      <c r="F3612" s="115" t="s">
        <v>8748</v>
      </c>
      <c r="G3612" s="115" t="s">
        <v>8749</v>
      </c>
      <c r="H3612" s="115" t="s">
        <v>8750</v>
      </c>
    </row>
    <row r="3613" spans="1:8" ht="135" x14ac:dyDescent="0.25">
      <c r="A3613" s="115">
        <v>968</v>
      </c>
      <c r="B3613" s="115" t="s">
        <v>45</v>
      </c>
      <c r="C3613" s="115" t="s">
        <v>9609</v>
      </c>
      <c r="D3613" s="115">
        <v>1</v>
      </c>
      <c r="E3613" s="115" t="s">
        <v>9610</v>
      </c>
      <c r="F3613" s="115" t="s">
        <v>9611</v>
      </c>
      <c r="G3613" s="115" t="s">
        <v>9612</v>
      </c>
      <c r="H3613" s="115" t="s">
        <v>9613</v>
      </c>
    </row>
    <row r="3614" spans="1:8" ht="90" x14ac:dyDescent="0.25">
      <c r="A3614" s="115">
        <v>967</v>
      </c>
      <c r="B3614" s="115" t="s">
        <v>45</v>
      </c>
      <c r="C3614" s="115" t="s">
        <v>9614</v>
      </c>
      <c r="D3614" s="115">
        <v>1</v>
      </c>
      <c r="E3614" s="115" t="s">
        <v>9615</v>
      </c>
      <c r="F3614" s="115" t="s">
        <v>8814</v>
      </c>
      <c r="G3614" s="115" t="s">
        <v>9616</v>
      </c>
      <c r="H3614" s="115" t="s">
        <v>9617</v>
      </c>
    </row>
    <row r="3615" spans="1:8" ht="180" x14ac:dyDescent="0.25">
      <c r="A3615" s="115">
        <v>966</v>
      </c>
      <c r="B3615" s="115" t="s">
        <v>45</v>
      </c>
      <c r="C3615" s="115" t="s">
        <v>9618</v>
      </c>
      <c r="D3615" s="115">
        <v>1</v>
      </c>
      <c r="E3615" s="115" t="s">
        <v>9619</v>
      </c>
      <c r="F3615" s="115" t="s">
        <v>9620</v>
      </c>
      <c r="G3615" s="115" t="s">
        <v>9621</v>
      </c>
      <c r="H3615" s="115" t="s">
        <v>9622</v>
      </c>
    </row>
    <row r="3616" spans="1:8" ht="90" x14ac:dyDescent="0.25">
      <c r="A3616" s="115">
        <v>965</v>
      </c>
      <c r="B3616" s="115" t="s">
        <v>45</v>
      </c>
      <c r="C3616" s="115" t="s">
        <v>9623</v>
      </c>
      <c r="D3616" s="115">
        <v>1</v>
      </c>
      <c r="E3616" s="115" t="s">
        <v>9615</v>
      </c>
      <c r="F3616" s="115" t="s">
        <v>8814</v>
      </c>
      <c r="G3616" s="115" t="s">
        <v>9616</v>
      </c>
      <c r="H3616" s="115" t="s">
        <v>9624</v>
      </c>
    </row>
    <row r="3617" spans="1:8" ht="90" x14ac:dyDescent="0.25">
      <c r="A3617" s="115">
        <v>964</v>
      </c>
      <c r="B3617" s="115" t="s">
        <v>45</v>
      </c>
      <c r="C3617" s="115" t="s">
        <v>9625</v>
      </c>
      <c r="D3617" s="115">
        <v>1</v>
      </c>
      <c r="E3617" s="115" t="s">
        <v>8800</v>
      </c>
      <c r="F3617" s="115" t="s">
        <v>8814</v>
      </c>
      <c r="G3617" s="115" t="s">
        <v>8801</v>
      </c>
      <c r="H3617" s="115" t="s">
        <v>8802</v>
      </c>
    </row>
    <row r="3618" spans="1:8" ht="60" x14ac:dyDescent="0.25">
      <c r="A3618" s="115">
        <v>963</v>
      </c>
      <c r="B3618" s="115" t="s">
        <v>45</v>
      </c>
      <c r="C3618" s="115" t="s">
        <v>9626</v>
      </c>
      <c r="D3618" s="115">
        <v>1</v>
      </c>
      <c r="E3618" s="115" t="s">
        <v>9627</v>
      </c>
      <c r="F3618" s="115" t="s">
        <v>9628</v>
      </c>
      <c r="G3618" s="115" t="s">
        <v>9629</v>
      </c>
      <c r="H3618" s="115" t="s">
        <v>9592</v>
      </c>
    </row>
    <row r="3619" spans="1:8" ht="120" x14ac:dyDescent="0.25">
      <c r="A3619" s="115">
        <v>962</v>
      </c>
      <c r="B3619" s="115" t="s">
        <v>45</v>
      </c>
      <c r="C3619" s="115" t="s">
        <v>9630</v>
      </c>
      <c r="D3619" s="115">
        <v>1</v>
      </c>
      <c r="E3619" s="115" t="s">
        <v>9631</v>
      </c>
      <c r="F3619" s="115" t="s">
        <v>9632</v>
      </c>
      <c r="G3619" s="115" t="s">
        <v>9633</v>
      </c>
      <c r="H3619" s="115" t="s">
        <v>9613</v>
      </c>
    </row>
    <row r="3620" spans="1:8" ht="75" x14ac:dyDescent="0.25">
      <c r="A3620" s="115">
        <v>961</v>
      </c>
      <c r="B3620" s="115" t="s">
        <v>45</v>
      </c>
      <c r="C3620" s="115" t="s">
        <v>9634</v>
      </c>
      <c r="D3620" s="115">
        <v>1</v>
      </c>
      <c r="E3620" s="115" t="s">
        <v>8804</v>
      </c>
      <c r="F3620" s="115" t="s">
        <v>8805</v>
      </c>
      <c r="G3620" s="115" t="s">
        <v>8806</v>
      </c>
      <c r="H3620" s="115" t="s">
        <v>9635</v>
      </c>
    </row>
    <row r="3621" spans="1:8" ht="180" x14ac:dyDescent="0.25">
      <c r="A3621" s="115">
        <v>960</v>
      </c>
      <c r="B3621" s="115" t="s">
        <v>45</v>
      </c>
      <c r="C3621" s="115" t="s">
        <v>9636</v>
      </c>
      <c r="D3621" s="115">
        <v>1</v>
      </c>
      <c r="E3621" s="115" t="s">
        <v>9637</v>
      </c>
      <c r="F3621" s="115" t="s">
        <v>9638</v>
      </c>
      <c r="G3621" s="115" t="s">
        <v>9639</v>
      </c>
      <c r="H3621" s="115" t="s">
        <v>9622</v>
      </c>
    </row>
    <row r="3622" spans="1:8" ht="75" x14ac:dyDescent="0.25">
      <c r="A3622" s="115">
        <v>959</v>
      </c>
      <c r="B3622" s="115" t="s">
        <v>45</v>
      </c>
      <c r="C3622" s="115" t="s">
        <v>9640</v>
      </c>
      <c r="D3622" s="115">
        <v>1</v>
      </c>
      <c r="E3622" s="115" t="s">
        <v>9641</v>
      </c>
      <c r="F3622" s="115" t="s">
        <v>8805</v>
      </c>
      <c r="G3622" s="115" t="s">
        <v>9642</v>
      </c>
      <c r="H3622" s="115" t="s">
        <v>9643</v>
      </c>
    </row>
    <row r="3623" spans="1:8" ht="90" x14ac:dyDescent="0.25">
      <c r="A3623" s="115">
        <v>958</v>
      </c>
      <c r="B3623" s="115" t="s">
        <v>45</v>
      </c>
      <c r="C3623" s="115" t="s">
        <v>9644</v>
      </c>
      <c r="D3623" s="115">
        <v>1</v>
      </c>
      <c r="E3623" s="115" t="s">
        <v>8825</v>
      </c>
      <c r="F3623" s="115" t="s">
        <v>8805</v>
      </c>
      <c r="G3623" s="115" t="s">
        <v>8806</v>
      </c>
      <c r="H3623" s="115" t="s">
        <v>8807</v>
      </c>
    </row>
    <row r="3624" spans="1:8" ht="60" x14ac:dyDescent="0.25">
      <c r="A3624" s="115">
        <v>957</v>
      </c>
      <c r="B3624" s="115" t="s">
        <v>45</v>
      </c>
      <c r="C3624" s="115" t="s">
        <v>9645</v>
      </c>
      <c r="D3624" s="115">
        <v>1</v>
      </c>
      <c r="E3624" s="115" t="s">
        <v>9646</v>
      </c>
      <c r="F3624" s="115" t="s">
        <v>9647</v>
      </c>
      <c r="G3624" s="115" t="s">
        <v>9648</v>
      </c>
      <c r="H3624" s="115" t="s">
        <v>9649</v>
      </c>
    </row>
    <row r="3625" spans="1:8" ht="105" x14ac:dyDescent="0.25">
      <c r="A3625" s="115">
        <v>956</v>
      </c>
      <c r="B3625" s="115" t="s">
        <v>45</v>
      </c>
      <c r="C3625" s="115" t="s">
        <v>9650</v>
      </c>
      <c r="D3625" s="115">
        <v>1</v>
      </c>
      <c r="E3625" s="115" t="s">
        <v>9651</v>
      </c>
      <c r="F3625" s="115" t="s">
        <v>9652</v>
      </c>
      <c r="G3625" s="115" t="s">
        <v>9653</v>
      </c>
      <c r="H3625" s="115" t="s">
        <v>74</v>
      </c>
    </row>
    <row r="3626" spans="1:8" ht="120" x14ac:dyDescent="0.25">
      <c r="A3626" s="115">
        <v>955</v>
      </c>
      <c r="B3626" s="115" t="s">
        <v>45</v>
      </c>
      <c r="C3626" s="115" t="s">
        <v>9654</v>
      </c>
      <c r="D3626" s="115">
        <v>1</v>
      </c>
      <c r="E3626" s="115" t="s">
        <v>9655</v>
      </c>
      <c r="F3626" s="115" t="s">
        <v>9656</v>
      </c>
      <c r="G3626" s="115" t="s">
        <v>9657</v>
      </c>
      <c r="H3626" s="115" t="s">
        <v>74</v>
      </c>
    </row>
    <row r="3627" spans="1:8" ht="150" x14ac:dyDescent="0.25">
      <c r="A3627" s="115">
        <v>954</v>
      </c>
      <c r="B3627" s="115" t="s">
        <v>45</v>
      </c>
      <c r="C3627" s="115" t="s">
        <v>9658</v>
      </c>
      <c r="D3627" s="115">
        <v>1</v>
      </c>
      <c r="E3627" s="115" t="s">
        <v>8771</v>
      </c>
      <c r="F3627" s="115" t="s">
        <v>9659</v>
      </c>
      <c r="G3627" s="115" t="s">
        <v>9660</v>
      </c>
      <c r="H3627" s="115" t="s">
        <v>8776</v>
      </c>
    </row>
    <row r="3628" spans="1:8" ht="120" x14ac:dyDescent="0.25">
      <c r="A3628" s="115">
        <v>953</v>
      </c>
      <c r="B3628" s="115" t="s">
        <v>45</v>
      </c>
      <c r="C3628" s="115" t="s">
        <v>9661</v>
      </c>
      <c r="D3628" s="115">
        <v>1</v>
      </c>
      <c r="E3628" s="115" t="s">
        <v>9662</v>
      </c>
      <c r="F3628" s="115" t="s">
        <v>9663</v>
      </c>
      <c r="G3628" s="115" t="s">
        <v>9664</v>
      </c>
      <c r="H3628" s="115" t="s">
        <v>9665</v>
      </c>
    </row>
    <row r="3629" spans="1:8" ht="75" x14ac:dyDescent="0.25">
      <c r="A3629" s="115">
        <v>952</v>
      </c>
      <c r="B3629" s="115" t="s">
        <v>45</v>
      </c>
      <c r="C3629" s="115" t="s">
        <v>9666</v>
      </c>
      <c r="D3629" s="115">
        <v>1</v>
      </c>
      <c r="E3629" s="115" t="s">
        <v>9667</v>
      </c>
      <c r="F3629" s="115" t="s">
        <v>9668</v>
      </c>
      <c r="G3629" s="115" t="s">
        <v>9669</v>
      </c>
      <c r="H3629" s="115" t="s">
        <v>9670</v>
      </c>
    </row>
    <row r="3630" spans="1:8" ht="315" x14ac:dyDescent="0.25">
      <c r="A3630" s="115">
        <v>951</v>
      </c>
      <c r="B3630" s="115" t="s">
        <v>45</v>
      </c>
      <c r="C3630" s="115" t="s">
        <v>9671</v>
      </c>
      <c r="D3630" s="115">
        <v>1</v>
      </c>
      <c r="E3630" s="115" t="s">
        <v>9672</v>
      </c>
      <c r="F3630" s="115" t="s">
        <v>9673</v>
      </c>
      <c r="G3630" s="115" t="s">
        <v>9674</v>
      </c>
      <c r="H3630" s="115" t="s">
        <v>9675</v>
      </c>
    </row>
    <row r="3631" spans="1:8" ht="60" x14ac:dyDescent="0.25">
      <c r="A3631" s="115">
        <v>950</v>
      </c>
      <c r="B3631" s="115" t="s">
        <v>45</v>
      </c>
      <c r="C3631" s="115" t="s">
        <v>9676</v>
      </c>
      <c r="D3631" s="115">
        <v>1</v>
      </c>
      <c r="E3631" s="115" t="s">
        <v>9677</v>
      </c>
      <c r="F3631" s="115" t="s">
        <v>9678</v>
      </c>
      <c r="G3631" s="115" t="s">
        <v>9679</v>
      </c>
      <c r="H3631" s="115" t="s">
        <v>9680</v>
      </c>
    </row>
    <row r="3632" spans="1:8" ht="30" x14ac:dyDescent="0.25">
      <c r="A3632" s="115">
        <v>949</v>
      </c>
      <c r="B3632" s="115" t="s">
        <v>313</v>
      </c>
      <c r="C3632" s="115" t="s">
        <v>9681</v>
      </c>
      <c r="D3632" s="115">
        <v>1</v>
      </c>
      <c r="E3632" s="115" t="s">
        <v>9682</v>
      </c>
      <c r="F3632" s="115" t="s">
        <v>9683</v>
      </c>
      <c r="G3632" s="115" t="s">
        <v>9684</v>
      </c>
      <c r="H3632" s="115" t="s">
        <v>9685</v>
      </c>
    </row>
    <row r="3633" spans="1:8" x14ac:dyDescent="0.25">
      <c r="A3633" s="115">
        <v>948</v>
      </c>
      <c r="B3633" s="115" t="s">
        <v>313</v>
      </c>
      <c r="C3633" s="115" t="s">
        <v>9686</v>
      </c>
      <c r="D3633" s="115">
        <v>1</v>
      </c>
      <c r="E3633" s="115" t="s">
        <v>9687</v>
      </c>
      <c r="F3633" s="115" t="s">
        <v>9688</v>
      </c>
      <c r="G3633" s="115" t="s">
        <v>9689</v>
      </c>
      <c r="H3633" s="115" t="s">
        <v>9690</v>
      </c>
    </row>
    <row r="3634" spans="1:8" x14ac:dyDescent="0.25">
      <c r="A3634" s="115">
        <v>947</v>
      </c>
      <c r="B3634" s="115" t="s">
        <v>313</v>
      </c>
      <c r="C3634" s="115" t="s">
        <v>9691</v>
      </c>
      <c r="D3634" s="115">
        <v>1</v>
      </c>
      <c r="E3634" s="115" t="s">
        <v>9692</v>
      </c>
      <c r="F3634" s="115" t="s">
        <v>9693</v>
      </c>
      <c r="G3634" s="115" t="s">
        <v>9694</v>
      </c>
      <c r="H3634" s="115" t="s">
        <v>9695</v>
      </c>
    </row>
    <row r="3635" spans="1:8" x14ac:dyDescent="0.25">
      <c r="A3635" s="115">
        <v>946</v>
      </c>
      <c r="B3635" s="115" t="s">
        <v>45</v>
      </c>
      <c r="C3635" s="115" t="s">
        <v>378</v>
      </c>
      <c r="D3635" s="115">
        <v>1</v>
      </c>
      <c r="E3635" s="115" t="s">
        <v>9696</v>
      </c>
      <c r="F3635" s="115" t="s">
        <v>9697</v>
      </c>
      <c r="G3635" s="115" t="s">
        <v>9698</v>
      </c>
      <c r="H3635" s="115" t="s">
        <v>9699</v>
      </c>
    </row>
    <row r="3636" spans="1:8" x14ac:dyDescent="0.25">
      <c r="A3636" s="115">
        <v>945</v>
      </c>
      <c r="B3636" s="115" t="s">
        <v>313</v>
      </c>
      <c r="C3636" s="115" t="s">
        <v>9700</v>
      </c>
      <c r="D3636" s="115">
        <v>1</v>
      </c>
      <c r="E3636" s="115" t="s">
        <v>9701</v>
      </c>
      <c r="F3636" s="115" t="s">
        <v>9702</v>
      </c>
      <c r="G3636" s="115" t="s">
        <v>9703</v>
      </c>
      <c r="H3636" s="115" t="s">
        <v>9704</v>
      </c>
    </row>
    <row r="3637" spans="1:8" x14ac:dyDescent="0.25">
      <c r="A3637" s="115">
        <v>944</v>
      </c>
      <c r="B3637" s="115" t="s">
        <v>313</v>
      </c>
      <c r="C3637" s="115" t="s">
        <v>9705</v>
      </c>
      <c r="D3637" s="115">
        <v>1</v>
      </c>
      <c r="E3637" s="115" t="s">
        <v>9706</v>
      </c>
      <c r="F3637" s="115" t="s">
        <v>9707</v>
      </c>
      <c r="G3637" s="115" t="s">
        <v>9708</v>
      </c>
      <c r="H3637" s="115" t="s">
        <v>9709</v>
      </c>
    </row>
    <row r="3638" spans="1:8" x14ac:dyDescent="0.25">
      <c r="A3638" s="115">
        <v>943</v>
      </c>
      <c r="B3638" s="115" t="s">
        <v>45</v>
      </c>
      <c r="C3638" s="115" t="s">
        <v>9710</v>
      </c>
      <c r="D3638" s="115">
        <v>1</v>
      </c>
      <c r="E3638" s="115" t="s">
        <v>9711</v>
      </c>
      <c r="F3638" s="115" t="s">
        <v>9712</v>
      </c>
      <c r="G3638" s="115" t="s">
        <v>9713</v>
      </c>
      <c r="H3638" s="115" t="s">
        <v>9714</v>
      </c>
    </row>
    <row r="3639" spans="1:8" ht="30" x14ac:dyDescent="0.25">
      <c r="A3639" s="115">
        <v>942</v>
      </c>
      <c r="B3639" s="115" t="s">
        <v>45</v>
      </c>
      <c r="C3639" s="115" t="s">
        <v>9715</v>
      </c>
      <c r="D3639" s="115">
        <v>1</v>
      </c>
      <c r="E3639" s="115" t="s">
        <v>9716</v>
      </c>
      <c r="F3639" s="115" t="s">
        <v>9717</v>
      </c>
      <c r="G3639" s="115" t="s">
        <v>9718</v>
      </c>
      <c r="H3639" s="115" t="s">
        <v>9719</v>
      </c>
    </row>
    <row r="3640" spans="1:8" ht="30" x14ac:dyDescent="0.25">
      <c r="A3640" s="115">
        <v>941</v>
      </c>
      <c r="B3640" s="115" t="s">
        <v>45</v>
      </c>
      <c r="C3640" s="115" t="s">
        <v>9720</v>
      </c>
      <c r="D3640" s="115">
        <v>1</v>
      </c>
      <c r="E3640" s="115" t="s">
        <v>9721</v>
      </c>
      <c r="F3640" s="115" t="s">
        <v>9722</v>
      </c>
      <c r="G3640" s="115" t="s">
        <v>9723</v>
      </c>
      <c r="H3640" s="115" t="s">
        <v>9724</v>
      </c>
    </row>
    <row r="3641" spans="1:8" ht="30" x14ac:dyDescent="0.25">
      <c r="A3641" s="115">
        <v>940</v>
      </c>
      <c r="B3641" s="115" t="s">
        <v>45</v>
      </c>
      <c r="C3641" s="115" t="s">
        <v>9725</v>
      </c>
      <c r="D3641" s="115">
        <v>1</v>
      </c>
      <c r="E3641" s="115" t="s">
        <v>9726</v>
      </c>
      <c r="F3641" s="115" t="s">
        <v>9727</v>
      </c>
      <c r="G3641" s="115" t="s">
        <v>9728</v>
      </c>
      <c r="H3641" s="115" t="s">
        <v>9729</v>
      </c>
    </row>
    <row r="3642" spans="1:8" ht="30" x14ac:dyDescent="0.25">
      <c r="A3642" s="115">
        <v>939</v>
      </c>
      <c r="B3642" s="115" t="s">
        <v>45</v>
      </c>
      <c r="C3642" s="115" t="s">
        <v>9730</v>
      </c>
      <c r="D3642" s="115">
        <v>1</v>
      </c>
      <c r="E3642" s="115" t="s">
        <v>9731</v>
      </c>
      <c r="F3642" s="115" t="s">
        <v>9732</v>
      </c>
      <c r="G3642" s="115" t="s">
        <v>9733</v>
      </c>
      <c r="H3642" s="115" t="s">
        <v>9734</v>
      </c>
    </row>
    <row r="3643" spans="1:8" x14ac:dyDescent="0.25">
      <c r="A3643" s="115">
        <v>938</v>
      </c>
      <c r="B3643" s="115" t="s">
        <v>45</v>
      </c>
      <c r="C3643" s="115" t="s">
        <v>9735</v>
      </c>
      <c r="D3643" s="115">
        <v>1</v>
      </c>
      <c r="E3643" s="115" t="s">
        <v>9736</v>
      </c>
      <c r="F3643" s="115" t="s">
        <v>9737</v>
      </c>
      <c r="G3643" s="115" t="s">
        <v>9738</v>
      </c>
      <c r="H3643" s="115" t="s">
        <v>9739</v>
      </c>
    </row>
    <row r="3644" spans="1:8" ht="30" x14ac:dyDescent="0.25">
      <c r="A3644" s="115">
        <v>937</v>
      </c>
      <c r="B3644" s="115" t="s">
        <v>45</v>
      </c>
      <c r="C3644" s="115" t="s">
        <v>9740</v>
      </c>
      <c r="D3644" s="115">
        <v>1</v>
      </c>
      <c r="E3644" s="115" t="s">
        <v>9741</v>
      </c>
      <c r="F3644" s="115" t="s">
        <v>9742</v>
      </c>
      <c r="G3644" s="115" t="s">
        <v>9743</v>
      </c>
      <c r="H3644" s="115" t="s">
        <v>9744</v>
      </c>
    </row>
    <row r="3645" spans="1:8" x14ac:dyDescent="0.25">
      <c r="A3645" s="115">
        <v>936</v>
      </c>
      <c r="B3645" s="115" t="s">
        <v>45</v>
      </c>
      <c r="C3645" s="115" t="s">
        <v>9745</v>
      </c>
      <c r="D3645" s="115">
        <v>1</v>
      </c>
      <c r="E3645" s="115" t="s">
        <v>1097</v>
      </c>
      <c r="F3645" s="115" t="s">
        <v>9746</v>
      </c>
      <c r="G3645" s="115" t="s">
        <v>9747</v>
      </c>
      <c r="H3645" s="115" t="s">
        <v>9748</v>
      </c>
    </row>
    <row r="3646" spans="1:8" x14ac:dyDescent="0.25">
      <c r="A3646" s="115">
        <v>935</v>
      </c>
      <c r="B3646" s="115" t="s">
        <v>45</v>
      </c>
      <c r="C3646" s="115" t="s">
        <v>9749</v>
      </c>
      <c r="D3646" s="115">
        <v>1</v>
      </c>
      <c r="E3646" s="115" t="s">
        <v>1092</v>
      </c>
      <c r="F3646" s="115" t="s">
        <v>1093</v>
      </c>
      <c r="G3646" s="115" t="s">
        <v>9750</v>
      </c>
      <c r="H3646" s="115" t="s">
        <v>9751</v>
      </c>
    </row>
    <row r="3647" spans="1:8" ht="30" x14ac:dyDescent="0.25">
      <c r="A3647" s="115">
        <v>934</v>
      </c>
      <c r="B3647" s="115" t="s">
        <v>313</v>
      </c>
      <c r="C3647" s="115" t="s">
        <v>9752</v>
      </c>
      <c r="D3647" s="115">
        <v>1</v>
      </c>
      <c r="E3647" s="115" t="s">
        <v>9741</v>
      </c>
      <c r="F3647" s="115" t="s">
        <v>9742</v>
      </c>
      <c r="G3647" s="115" t="s">
        <v>9743</v>
      </c>
      <c r="H3647" s="115" t="s">
        <v>9744</v>
      </c>
    </row>
    <row r="3648" spans="1:8" ht="75" x14ac:dyDescent="0.25">
      <c r="A3648" s="115">
        <v>933</v>
      </c>
      <c r="B3648" s="115" t="s">
        <v>313</v>
      </c>
      <c r="C3648" s="115" t="s">
        <v>9753</v>
      </c>
      <c r="D3648" s="115">
        <v>1</v>
      </c>
      <c r="E3648" s="115" t="s">
        <v>9754</v>
      </c>
      <c r="F3648" s="115" t="s">
        <v>9755</v>
      </c>
      <c r="G3648" s="115" t="s">
        <v>9756</v>
      </c>
      <c r="H3648" s="115" t="s">
        <v>9757</v>
      </c>
    </row>
    <row r="3649" spans="1:8" ht="75" x14ac:dyDescent="0.25">
      <c r="A3649" s="115">
        <v>932</v>
      </c>
      <c r="B3649" s="115" t="s">
        <v>313</v>
      </c>
      <c r="C3649" s="115" t="s">
        <v>9758</v>
      </c>
      <c r="D3649" s="115">
        <v>1</v>
      </c>
      <c r="E3649" s="115" t="s">
        <v>9759</v>
      </c>
      <c r="F3649" s="115" t="s">
        <v>9760</v>
      </c>
      <c r="G3649" s="115" t="s">
        <v>9761</v>
      </c>
      <c r="H3649" s="115" t="s">
        <v>9762</v>
      </c>
    </row>
    <row r="3650" spans="1:8" x14ac:dyDescent="0.25">
      <c r="A3650" s="115">
        <v>931</v>
      </c>
      <c r="B3650" s="115" t="s">
        <v>313</v>
      </c>
      <c r="C3650" s="115" t="s">
        <v>9763</v>
      </c>
      <c r="D3650" s="115">
        <v>1</v>
      </c>
      <c r="E3650" s="115" t="s">
        <v>9764</v>
      </c>
      <c r="F3650" s="115" t="s">
        <v>9765</v>
      </c>
      <c r="G3650" s="115" t="s">
        <v>9766</v>
      </c>
      <c r="H3650" s="115" t="s">
        <v>9767</v>
      </c>
    </row>
    <row r="3651" spans="1:8" x14ac:dyDescent="0.25">
      <c r="A3651" s="115">
        <v>930</v>
      </c>
      <c r="B3651" s="115" t="s">
        <v>313</v>
      </c>
      <c r="C3651" s="115" t="s">
        <v>9768</v>
      </c>
      <c r="D3651" s="115">
        <v>1</v>
      </c>
      <c r="E3651" s="115" t="s">
        <v>9769</v>
      </c>
      <c r="F3651" s="115" t="s">
        <v>9770</v>
      </c>
      <c r="G3651" s="115" t="s">
        <v>9771</v>
      </c>
      <c r="H3651" s="115" t="s">
        <v>9772</v>
      </c>
    </row>
    <row r="3652" spans="1:8" x14ac:dyDescent="0.25">
      <c r="A3652" s="115">
        <v>929</v>
      </c>
      <c r="B3652" s="115" t="s">
        <v>313</v>
      </c>
      <c r="C3652" s="115" t="s">
        <v>9773</v>
      </c>
      <c r="D3652" s="115">
        <v>1</v>
      </c>
      <c r="E3652" s="115" t="s">
        <v>9774</v>
      </c>
      <c r="F3652" s="115" t="s">
        <v>9775</v>
      </c>
      <c r="G3652" s="115" t="s">
        <v>9776</v>
      </c>
      <c r="H3652" s="115" t="s">
        <v>9777</v>
      </c>
    </row>
    <row r="3653" spans="1:8" x14ac:dyDescent="0.25">
      <c r="A3653" s="115">
        <v>928</v>
      </c>
      <c r="B3653" s="115" t="s">
        <v>313</v>
      </c>
      <c r="C3653" s="115" t="s">
        <v>9778</v>
      </c>
      <c r="D3653" s="115">
        <v>1</v>
      </c>
      <c r="E3653" s="115" t="s">
        <v>9779</v>
      </c>
      <c r="F3653" s="115" t="s">
        <v>9780</v>
      </c>
      <c r="G3653" s="115" t="s">
        <v>9781</v>
      </c>
      <c r="H3653" s="115" t="s">
        <v>9782</v>
      </c>
    </row>
    <row r="3654" spans="1:8" x14ac:dyDescent="0.25">
      <c r="A3654" s="115">
        <v>927</v>
      </c>
      <c r="B3654" s="115" t="s">
        <v>313</v>
      </c>
      <c r="C3654" s="115" t="s">
        <v>9783</v>
      </c>
      <c r="D3654" s="115">
        <v>1</v>
      </c>
      <c r="E3654" s="115" t="s">
        <v>9784</v>
      </c>
      <c r="F3654" s="115" t="s">
        <v>9785</v>
      </c>
      <c r="G3654" s="115" t="s">
        <v>9786</v>
      </c>
      <c r="H3654" s="115" t="s">
        <v>9787</v>
      </c>
    </row>
    <row r="3655" spans="1:8" x14ac:dyDescent="0.25">
      <c r="A3655" s="115">
        <v>926</v>
      </c>
      <c r="B3655" s="115" t="s">
        <v>764</v>
      </c>
      <c r="C3655" s="115" t="s">
        <v>9788</v>
      </c>
      <c r="D3655" s="115">
        <v>1</v>
      </c>
      <c r="E3655" s="115" t="s">
        <v>9789</v>
      </c>
      <c r="F3655" s="115" t="s">
        <v>9790</v>
      </c>
      <c r="G3655" s="115" t="s">
        <v>9791</v>
      </c>
      <c r="H3655" s="115" t="s">
        <v>9792</v>
      </c>
    </row>
    <row r="3656" spans="1:8" ht="30" x14ac:dyDescent="0.25">
      <c r="A3656" s="115">
        <v>925</v>
      </c>
      <c r="B3656" s="115" t="s">
        <v>764</v>
      </c>
      <c r="C3656" s="115" t="s">
        <v>9793</v>
      </c>
      <c r="D3656" s="115">
        <v>1</v>
      </c>
      <c r="E3656" s="115" t="s">
        <v>9794</v>
      </c>
      <c r="F3656" s="115" t="s">
        <v>9795</v>
      </c>
      <c r="G3656" s="115" t="s">
        <v>9796</v>
      </c>
      <c r="H3656" s="115" t="s">
        <v>9797</v>
      </c>
    </row>
    <row r="3657" spans="1:8" x14ac:dyDescent="0.25">
      <c r="A3657" s="115">
        <v>924</v>
      </c>
      <c r="B3657" s="115" t="s">
        <v>764</v>
      </c>
      <c r="C3657" s="115" t="s">
        <v>9798</v>
      </c>
      <c r="D3657" s="115">
        <v>1</v>
      </c>
      <c r="E3657" s="115" t="s">
        <v>9799</v>
      </c>
      <c r="F3657" s="115" t="s">
        <v>9800</v>
      </c>
      <c r="G3657" s="115" t="s">
        <v>9801</v>
      </c>
      <c r="H3657" s="115" t="s">
        <v>9802</v>
      </c>
    </row>
    <row r="3658" spans="1:8" ht="30" x14ac:dyDescent="0.25">
      <c r="A3658" s="115">
        <v>923</v>
      </c>
      <c r="B3658" s="115" t="s">
        <v>313</v>
      </c>
      <c r="C3658" s="115" t="s">
        <v>9803</v>
      </c>
      <c r="D3658" s="115">
        <v>1</v>
      </c>
      <c r="E3658" s="115" t="s">
        <v>9804</v>
      </c>
      <c r="F3658" s="115" t="s">
        <v>9805</v>
      </c>
      <c r="G3658" s="115" t="s">
        <v>9806</v>
      </c>
      <c r="H3658" s="115" t="s">
        <v>9807</v>
      </c>
    </row>
    <row r="3659" spans="1:8" ht="30" x14ac:dyDescent="0.25">
      <c r="A3659" s="115">
        <v>922</v>
      </c>
      <c r="B3659" s="115" t="s">
        <v>313</v>
      </c>
      <c r="C3659" s="115" t="s">
        <v>9808</v>
      </c>
      <c r="D3659" s="115">
        <v>1</v>
      </c>
      <c r="E3659" s="115" t="s">
        <v>9716</v>
      </c>
      <c r="F3659" s="115" t="s">
        <v>9717</v>
      </c>
      <c r="G3659" s="115" t="s">
        <v>9718</v>
      </c>
      <c r="H3659" s="115" t="s">
        <v>9719</v>
      </c>
    </row>
    <row r="3660" spans="1:8" ht="30" x14ac:dyDescent="0.25">
      <c r="A3660" s="115">
        <v>921</v>
      </c>
      <c r="B3660" s="115" t="s">
        <v>313</v>
      </c>
      <c r="C3660" s="115" t="s">
        <v>9809</v>
      </c>
      <c r="D3660" s="115">
        <v>1</v>
      </c>
      <c r="E3660" s="115" t="s">
        <v>9721</v>
      </c>
      <c r="F3660" s="115" t="s">
        <v>9722</v>
      </c>
      <c r="G3660" s="115" t="s">
        <v>9723</v>
      </c>
      <c r="H3660" s="115" t="s">
        <v>9724</v>
      </c>
    </row>
    <row r="3661" spans="1:8" ht="30" x14ac:dyDescent="0.25">
      <c r="A3661" s="115">
        <v>920</v>
      </c>
      <c r="B3661" s="115" t="s">
        <v>313</v>
      </c>
      <c r="C3661" s="115" t="s">
        <v>9810</v>
      </c>
      <c r="D3661" s="115">
        <v>1</v>
      </c>
      <c r="E3661" s="115" t="s">
        <v>9726</v>
      </c>
      <c r="F3661" s="115" t="s">
        <v>9727</v>
      </c>
      <c r="G3661" s="115" t="s">
        <v>9728</v>
      </c>
      <c r="H3661" s="115" t="s">
        <v>9811</v>
      </c>
    </row>
    <row r="3662" spans="1:8" x14ac:dyDescent="0.25">
      <c r="A3662" s="115">
        <v>919</v>
      </c>
      <c r="B3662" s="115" t="s">
        <v>313</v>
      </c>
      <c r="C3662" s="115" t="s">
        <v>9735</v>
      </c>
      <c r="D3662" s="115">
        <v>1</v>
      </c>
      <c r="E3662" s="115" t="s">
        <v>9812</v>
      </c>
      <c r="F3662" s="115" t="s">
        <v>9737</v>
      </c>
      <c r="G3662" s="115" t="s">
        <v>9738</v>
      </c>
      <c r="H3662" s="115" t="s">
        <v>9813</v>
      </c>
    </row>
    <row r="3663" spans="1:8" ht="30" x14ac:dyDescent="0.25">
      <c r="A3663" s="115">
        <v>918</v>
      </c>
      <c r="B3663" s="115" t="s">
        <v>313</v>
      </c>
      <c r="C3663" s="115" t="s">
        <v>9740</v>
      </c>
      <c r="D3663" s="115">
        <v>1</v>
      </c>
      <c r="E3663" s="115" t="s">
        <v>9814</v>
      </c>
      <c r="F3663" s="115" t="s">
        <v>9742</v>
      </c>
      <c r="G3663" s="115" t="s">
        <v>9815</v>
      </c>
      <c r="H3663" s="115" t="s">
        <v>9816</v>
      </c>
    </row>
    <row r="3664" spans="1:8" x14ac:dyDescent="0.25">
      <c r="A3664" s="115">
        <v>917</v>
      </c>
      <c r="B3664" s="115" t="s">
        <v>313</v>
      </c>
      <c r="C3664" s="115" t="s">
        <v>9745</v>
      </c>
      <c r="D3664" s="115">
        <v>1</v>
      </c>
      <c r="E3664" s="115" t="s">
        <v>6981</v>
      </c>
      <c r="F3664" s="115" t="s">
        <v>9817</v>
      </c>
      <c r="G3664" s="115" t="s">
        <v>617</v>
      </c>
      <c r="H3664" s="115" t="s">
        <v>9818</v>
      </c>
    </row>
    <row r="3665" spans="1:8" x14ac:dyDescent="0.25">
      <c r="A3665" s="115">
        <v>916</v>
      </c>
      <c r="B3665" s="115" t="s">
        <v>313</v>
      </c>
      <c r="C3665" s="115" t="s">
        <v>9749</v>
      </c>
      <c r="D3665" s="115">
        <v>1</v>
      </c>
      <c r="E3665" s="115" t="s">
        <v>661</v>
      </c>
      <c r="F3665" s="115" t="s">
        <v>662</v>
      </c>
      <c r="G3665" s="115" t="s">
        <v>663</v>
      </c>
      <c r="H3665" s="115" t="s">
        <v>664</v>
      </c>
    </row>
    <row r="3666" spans="1:8" x14ac:dyDescent="0.25">
      <c r="A3666" s="115">
        <v>915</v>
      </c>
      <c r="B3666" s="115" t="s">
        <v>313</v>
      </c>
      <c r="C3666" s="115" t="s">
        <v>9819</v>
      </c>
      <c r="D3666" s="115">
        <v>1</v>
      </c>
      <c r="E3666" s="115" t="s">
        <v>9820</v>
      </c>
      <c r="F3666" s="115" t="s">
        <v>8360</v>
      </c>
      <c r="G3666" s="115" t="s">
        <v>713</v>
      </c>
      <c r="H3666" s="115" t="s">
        <v>714</v>
      </c>
    </row>
    <row r="3667" spans="1:8" x14ac:dyDescent="0.25">
      <c r="A3667" s="115">
        <v>914</v>
      </c>
      <c r="B3667" s="115" t="s">
        <v>313</v>
      </c>
      <c r="C3667" s="115" t="s">
        <v>9821</v>
      </c>
      <c r="D3667" s="115">
        <v>1</v>
      </c>
      <c r="E3667" s="115" t="s">
        <v>7003</v>
      </c>
      <c r="F3667" s="115" t="s">
        <v>9822</v>
      </c>
      <c r="G3667" s="115" t="s">
        <v>9823</v>
      </c>
      <c r="H3667" s="115" t="s">
        <v>9824</v>
      </c>
    </row>
    <row r="3668" spans="1:8" x14ac:dyDescent="0.25">
      <c r="A3668" s="115">
        <v>913</v>
      </c>
      <c r="B3668" s="115" t="s">
        <v>313</v>
      </c>
      <c r="C3668" s="115" t="s">
        <v>9825</v>
      </c>
      <c r="D3668" s="115">
        <v>1</v>
      </c>
      <c r="E3668" s="115" t="s">
        <v>9826</v>
      </c>
      <c r="F3668" s="115" t="s">
        <v>9827</v>
      </c>
      <c r="G3668" s="115" t="s">
        <v>9828</v>
      </c>
      <c r="H3668" s="115" t="s">
        <v>9829</v>
      </c>
    </row>
    <row r="3669" spans="1:8" x14ac:dyDescent="0.25">
      <c r="A3669" s="115">
        <v>912</v>
      </c>
      <c r="B3669" s="115" t="s">
        <v>313</v>
      </c>
      <c r="C3669" s="115" t="s">
        <v>9830</v>
      </c>
      <c r="D3669" s="115">
        <v>1</v>
      </c>
      <c r="E3669" s="115" t="s">
        <v>9831</v>
      </c>
      <c r="F3669" s="115" t="s">
        <v>9832</v>
      </c>
      <c r="G3669" s="115" t="s">
        <v>9833</v>
      </c>
      <c r="H3669" s="115" t="s">
        <v>9834</v>
      </c>
    </row>
    <row r="3670" spans="1:8" x14ac:dyDescent="0.25">
      <c r="A3670" s="115">
        <v>911</v>
      </c>
      <c r="B3670" s="115" t="s">
        <v>313</v>
      </c>
      <c r="C3670" s="115" t="s">
        <v>9835</v>
      </c>
      <c r="D3670" s="115">
        <v>1</v>
      </c>
      <c r="E3670" s="115" t="s">
        <v>9836</v>
      </c>
      <c r="F3670" s="115" t="s">
        <v>9837</v>
      </c>
      <c r="G3670" s="115" t="s">
        <v>9838</v>
      </c>
      <c r="H3670" s="115" t="s">
        <v>9839</v>
      </c>
    </row>
    <row r="3671" spans="1:8" ht="30" x14ac:dyDescent="0.25">
      <c r="A3671" s="115">
        <v>910</v>
      </c>
      <c r="B3671" s="115" t="s">
        <v>313</v>
      </c>
      <c r="C3671" s="115" t="s">
        <v>9840</v>
      </c>
      <c r="D3671" s="115">
        <v>1</v>
      </c>
      <c r="E3671" s="115" t="s">
        <v>9841</v>
      </c>
      <c r="F3671" s="115" t="s">
        <v>9842</v>
      </c>
      <c r="G3671" s="115" t="s">
        <v>9843</v>
      </c>
      <c r="H3671" s="115" t="s">
        <v>9844</v>
      </c>
    </row>
    <row r="3672" spans="1:8" ht="30" x14ac:dyDescent="0.25">
      <c r="A3672" s="115">
        <v>909</v>
      </c>
      <c r="B3672" s="115" t="s">
        <v>313</v>
      </c>
      <c r="C3672" s="115" t="s">
        <v>9845</v>
      </c>
      <c r="D3672" s="115">
        <v>1</v>
      </c>
      <c r="E3672" s="115" t="s">
        <v>9846</v>
      </c>
      <c r="F3672" s="115" t="s">
        <v>9847</v>
      </c>
      <c r="G3672" s="115" t="s">
        <v>9848</v>
      </c>
      <c r="H3672" s="115" t="s">
        <v>9849</v>
      </c>
    </row>
    <row r="3673" spans="1:8" ht="30" x14ac:dyDescent="0.25">
      <c r="A3673" s="115">
        <v>908</v>
      </c>
      <c r="B3673" s="115" t="s">
        <v>313</v>
      </c>
      <c r="C3673" s="115" t="s">
        <v>9850</v>
      </c>
      <c r="D3673" s="115">
        <v>1</v>
      </c>
      <c r="E3673" s="115" t="s">
        <v>9851</v>
      </c>
      <c r="F3673" s="115" t="s">
        <v>9852</v>
      </c>
      <c r="G3673" s="115" t="s">
        <v>9853</v>
      </c>
      <c r="H3673" s="115" t="s">
        <v>9854</v>
      </c>
    </row>
    <row r="3674" spans="1:8" x14ac:dyDescent="0.25">
      <c r="A3674" s="115">
        <v>907</v>
      </c>
      <c r="B3674" s="115" t="s">
        <v>313</v>
      </c>
      <c r="C3674" s="115" t="s">
        <v>9855</v>
      </c>
      <c r="D3674" s="115">
        <v>1</v>
      </c>
      <c r="E3674" s="115" t="s">
        <v>9856</v>
      </c>
      <c r="F3674" s="115" t="s">
        <v>9857</v>
      </c>
      <c r="G3674" s="115" t="s">
        <v>9858</v>
      </c>
      <c r="H3674" s="115" t="s">
        <v>9859</v>
      </c>
    </row>
    <row r="3675" spans="1:8" x14ac:dyDescent="0.25">
      <c r="A3675" s="115">
        <v>906</v>
      </c>
      <c r="B3675" s="115" t="s">
        <v>313</v>
      </c>
      <c r="C3675" s="115" t="s">
        <v>9860</v>
      </c>
      <c r="D3675" s="115">
        <v>1</v>
      </c>
      <c r="E3675" s="115" t="s">
        <v>9861</v>
      </c>
      <c r="F3675" s="115" t="s">
        <v>9862</v>
      </c>
      <c r="G3675" s="115" t="s">
        <v>9863</v>
      </c>
      <c r="H3675" s="115" t="s">
        <v>9864</v>
      </c>
    </row>
    <row r="3676" spans="1:8" x14ac:dyDescent="0.25">
      <c r="A3676" s="115">
        <v>903</v>
      </c>
      <c r="B3676" s="115" t="s">
        <v>9216</v>
      </c>
      <c r="C3676" s="115" t="s">
        <v>9865</v>
      </c>
      <c r="D3676" s="115">
        <v>0</v>
      </c>
      <c r="E3676" s="115" t="s">
        <v>9866</v>
      </c>
      <c r="F3676" s="115" t="s">
        <v>6634</v>
      </c>
      <c r="G3676" s="115" t="s">
        <v>6635</v>
      </c>
      <c r="H3676" s="115" t="s">
        <v>9867</v>
      </c>
    </row>
    <row r="3677" spans="1:8" ht="30" x14ac:dyDescent="0.25">
      <c r="A3677" s="115">
        <v>902</v>
      </c>
      <c r="B3677" s="115" t="s">
        <v>9216</v>
      </c>
      <c r="C3677" s="115" t="s">
        <v>9868</v>
      </c>
      <c r="D3677" s="115">
        <v>0</v>
      </c>
      <c r="E3677" s="115" t="s">
        <v>6233</v>
      </c>
      <c r="F3677" s="115" t="s">
        <v>6234</v>
      </c>
      <c r="G3677" s="115" t="s">
        <v>6235</v>
      </c>
      <c r="H3677" s="115" t="s">
        <v>9869</v>
      </c>
    </row>
    <row r="3678" spans="1:8" x14ac:dyDescent="0.25">
      <c r="A3678" s="115">
        <v>901</v>
      </c>
      <c r="B3678" s="115" t="s">
        <v>313</v>
      </c>
      <c r="C3678" s="115" t="s">
        <v>9870</v>
      </c>
      <c r="D3678" s="115">
        <v>1</v>
      </c>
      <c r="E3678" s="115" t="s">
        <v>9871</v>
      </c>
      <c r="F3678" s="115" t="s">
        <v>9872</v>
      </c>
      <c r="G3678" s="115" t="s">
        <v>9873</v>
      </c>
      <c r="H3678" s="115" t="s">
        <v>9874</v>
      </c>
    </row>
    <row r="3679" spans="1:8" x14ac:dyDescent="0.25">
      <c r="A3679" s="115">
        <v>900</v>
      </c>
      <c r="B3679" s="115" t="s">
        <v>313</v>
      </c>
      <c r="C3679" s="115" t="s">
        <v>9875</v>
      </c>
      <c r="D3679" s="115">
        <v>1</v>
      </c>
      <c r="E3679" s="115" t="s">
        <v>9876</v>
      </c>
      <c r="F3679" s="115" t="s">
        <v>9877</v>
      </c>
      <c r="G3679" s="115" t="s">
        <v>9878</v>
      </c>
      <c r="H3679" s="115" t="s">
        <v>9879</v>
      </c>
    </row>
    <row r="3680" spans="1:8" x14ac:dyDescent="0.25">
      <c r="A3680" s="115">
        <v>899</v>
      </c>
      <c r="B3680" s="115" t="s">
        <v>8551</v>
      </c>
      <c r="C3680" s="115" t="s">
        <v>9880</v>
      </c>
      <c r="D3680" s="115">
        <v>1</v>
      </c>
      <c r="E3680" s="115" t="s">
        <v>9881</v>
      </c>
      <c r="F3680" s="115" t="s">
        <v>9882</v>
      </c>
      <c r="G3680" s="115" t="s">
        <v>9883</v>
      </c>
      <c r="H3680" s="115" t="s">
        <v>9884</v>
      </c>
    </row>
    <row r="3681" spans="1:8" ht="30" x14ac:dyDescent="0.25">
      <c r="A3681" s="115">
        <v>898</v>
      </c>
      <c r="B3681" s="115" t="s">
        <v>8551</v>
      </c>
      <c r="C3681" s="115" t="s">
        <v>9885</v>
      </c>
      <c r="D3681" s="115">
        <v>1</v>
      </c>
      <c r="E3681" s="115" t="s">
        <v>9886</v>
      </c>
      <c r="F3681" s="115" t="s">
        <v>9887</v>
      </c>
      <c r="G3681" s="115" t="s">
        <v>9888</v>
      </c>
      <c r="H3681" s="115" t="s">
        <v>9889</v>
      </c>
    </row>
    <row r="3682" spans="1:8" ht="30" x14ac:dyDescent="0.25">
      <c r="A3682" s="115">
        <v>897</v>
      </c>
      <c r="B3682" s="115" t="s">
        <v>8551</v>
      </c>
      <c r="C3682" s="115" t="s">
        <v>9890</v>
      </c>
      <c r="D3682" s="115">
        <v>1</v>
      </c>
      <c r="E3682" s="115" t="s">
        <v>9891</v>
      </c>
      <c r="F3682" s="115" t="s">
        <v>9892</v>
      </c>
      <c r="G3682" s="115" t="s">
        <v>9893</v>
      </c>
      <c r="H3682" s="115" t="s">
        <v>9894</v>
      </c>
    </row>
    <row r="3683" spans="1:8" x14ac:dyDescent="0.25">
      <c r="A3683" s="115">
        <v>896</v>
      </c>
      <c r="B3683" s="115" t="s">
        <v>8551</v>
      </c>
      <c r="C3683" s="115" t="s">
        <v>9895</v>
      </c>
      <c r="D3683" s="115">
        <v>1</v>
      </c>
      <c r="E3683" s="115" t="s">
        <v>9896</v>
      </c>
      <c r="F3683" s="115" t="s">
        <v>9897</v>
      </c>
      <c r="G3683" s="115" t="s">
        <v>9898</v>
      </c>
      <c r="H3683" s="115" t="s">
        <v>9899</v>
      </c>
    </row>
    <row r="3684" spans="1:8" x14ac:dyDescent="0.25">
      <c r="A3684" s="115">
        <v>895</v>
      </c>
      <c r="B3684" s="115" t="s">
        <v>8551</v>
      </c>
      <c r="C3684" s="115" t="s">
        <v>9900</v>
      </c>
      <c r="D3684" s="115">
        <v>1</v>
      </c>
      <c r="E3684" s="115" t="s">
        <v>9901</v>
      </c>
      <c r="F3684" s="115" t="s">
        <v>9902</v>
      </c>
      <c r="G3684" s="115" t="s">
        <v>9903</v>
      </c>
      <c r="H3684" s="115" t="s">
        <v>9904</v>
      </c>
    </row>
    <row r="3685" spans="1:8" ht="30" x14ac:dyDescent="0.25">
      <c r="A3685" s="115">
        <v>894</v>
      </c>
      <c r="B3685" s="115" t="s">
        <v>8551</v>
      </c>
      <c r="C3685" s="115" t="s">
        <v>8560</v>
      </c>
      <c r="D3685" s="115">
        <v>1</v>
      </c>
      <c r="E3685" s="115" t="s">
        <v>9905</v>
      </c>
      <c r="F3685" s="115" t="s">
        <v>8562</v>
      </c>
      <c r="G3685" s="115" t="s">
        <v>8563</v>
      </c>
      <c r="H3685" s="115" t="s">
        <v>9906</v>
      </c>
    </row>
    <row r="3686" spans="1:8" x14ac:dyDescent="0.25">
      <c r="A3686" s="115">
        <v>892</v>
      </c>
      <c r="B3686" s="115" t="s">
        <v>8551</v>
      </c>
      <c r="C3686" s="115" t="s">
        <v>9907</v>
      </c>
      <c r="D3686" s="115">
        <v>1</v>
      </c>
      <c r="E3686" s="115" t="s">
        <v>159</v>
      </c>
      <c r="F3686" s="115" t="s">
        <v>338</v>
      </c>
      <c r="G3686" s="115" t="s">
        <v>339</v>
      </c>
      <c r="H3686" s="115" t="s">
        <v>340</v>
      </c>
    </row>
    <row r="3687" spans="1:8" x14ac:dyDescent="0.25">
      <c r="A3687" s="115">
        <v>891</v>
      </c>
      <c r="B3687" s="115" t="s">
        <v>8551</v>
      </c>
      <c r="C3687" s="115" t="s">
        <v>9908</v>
      </c>
      <c r="D3687" s="115">
        <v>1</v>
      </c>
      <c r="E3687" s="115" t="s">
        <v>9909</v>
      </c>
      <c r="F3687" s="115" t="s">
        <v>9909</v>
      </c>
      <c r="G3687" s="115" t="s">
        <v>9910</v>
      </c>
      <c r="H3687" s="115" t="s">
        <v>9911</v>
      </c>
    </row>
    <row r="3688" spans="1:8" ht="30" x14ac:dyDescent="0.25">
      <c r="A3688" s="115">
        <v>890</v>
      </c>
      <c r="B3688" s="115" t="s">
        <v>8551</v>
      </c>
      <c r="C3688" s="115" t="s">
        <v>9912</v>
      </c>
      <c r="D3688" s="115">
        <v>1</v>
      </c>
      <c r="E3688" s="115" t="s">
        <v>9913</v>
      </c>
      <c r="F3688" s="115" t="s">
        <v>9913</v>
      </c>
      <c r="G3688" s="115" t="s">
        <v>9914</v>
      </c>
      <c r="H3688" s="115" t="s">
        <v>9915</v>
      </c>
    </row>
    <row r="3689" spans="1:8" x14ac:dyDescent="0.25">
      <c r="A3689" s="115">
        <v>889</v>
      </c>
      <c r="B3689" s="115" t="s">
        <v>8551</v>
      </c>
      <c r="C3689" s="115" t="s">
        <v>9916</v>
      </c>
      <c r="D3689" s="115">
        <v>1</v>
      </c>
      <c r="E3689" s="115" t="s">
        <v>9917</v>
      </c>
      <c r="F3689" s="115" t="s">
        <v>9918</v>
      </c>
      <c r="G3689" s="115" t="s">
        <v>9919</v>
      </c>
      <c r="H3689" s="115" t="s">
        <v>9920</v>
      </c>
    </row>
    <row r="3690" spans="1:8" x14ac:dyDescent="0.25">
      <c r="A3690" s="115">
        <v>888</v>
      </c>
      <c r="B3690" s="115" t="s">
        <v>8551</v>
      </c>
      <c r="C3690" s="115" t="s">
        <v>9921</v>
      </c>
      <c r="D3690" s="115">
        <v>1</v>
      </c>
      <c r="E3690" s="115" t="s">
        <v>185</v>
      </c>
      <c r="F3690" s="115" t="s">
        <v>6750</v>
      </c>
      <c r="G3690" s="115" t="s">
        <v>6749</v>
      </c>
      <c r="H3690" s="115" t="s">
        <v>9922</v>
      </c>
    </row>
    <row r="3691" spans="1:8" ht="45" x14ac:dyDescent="0.25">
      <c r="A3691" s="115">
        <v>887</v>
      </c>
      <c r="B3691" s="115" t="s">
        <v>8551</v>
      </c>
      <c r="C3691" s="115" t="s">
        <v>9923</v>
      </c>
      <c r="D3691" s="115">
        <v>1</v>
      </c>
      <c r="E3691" s="115" t="s">
        <v>9924</v>
      </c>
      <c r="F3691" s="115" t="s">
        <v>9925</v>
      </c>
      <c r="G3691" s="115" t="s">
        <v>9926</v>
      </c>
      <c r="H3691" s="115" t="s">
        <v>9927</v>
      </c>
    </row>
    <row r="3692" spans="1:8" x14ac:dyDescent="0.25">
      <c r="A3692" s="115">
        <v>886</v>
      </c>
      <c r="B3692" s="115" t="s">
        <v>8551</v>
      </c>
      <c r="C3692" s="115" t="s">
        <v>8551</v>
      </c>
      <c r="D3692" s="115">
        <v>1</v>
      </c>
      <c r="E3692" s="115" t="s">
        <v>8552</v>
      </c>
      <c r="F3692" s="115" t="s">
        <v>8553</v>
      </c>
      <c r="G3692" s="115" t="s">
        <v>8554</v>
      </c>
      <c r="H3692" s="115" t="s">
        <v>9928</v>
      </c>
    </row>
    <row r="3693" spans="1:8" x14ac:dyDescent="0.25">
      <c r="A3693" s="115">
        <v>885</v>
      </c>
      <c r="B3693" s="115" t="s">
        <v>149</v>
      </c>
      <c r="C3693" s="115" t="s">
        <v>8551</v>
      </c>
      <c r="D3693" s="115">
        <v>0</v>
      </c>
      <c r="E3693" s="115" t="s">
        <v>8552</v>
      </c>
      <c r="F3693" s="115" t="s">
        <v>8553</v>
      </c>
      <c r="G3693" s="115" t="s">
        <v>8554</v>
      </c>
      <c r="H3693" s="115" t="s">
        <v>9928</v>
      </c>
    </row>
    <row r="3694" spans="1:8" x14ac:dyDescent="0.25">
      <c r="A3694" s="115">
        <v>884</v>
      </c>
      <c r="B3694" s="115" t="s">
        <v>257</v>
      </c>
      <c r="C3694" s="115" t="s">
        <v>9491</v>
      </c>
      <c r="D3694" s="115">
        <v>1</v>
      </c>
      <c r="E3694" s="115" t="s">
        <v>9929</v>
      </c>
      <c r="F3694" s="115" t="s">
        <v>9930</v>
      </c>
      <c r="G3694" s="115" t="s">
        <v>9931</v>
      </c>
      <c r="H3694" s="115" t="s">
        <v>9932</v>
      </c>
    </row>
    <row r="3695" spans="1:8" x14ac:dyDescent="0.25">
      <c r="A3695" s="115">
        <v>882</v>
      </c>
      <c r="B3695" s="115" t="s">
        <v>149</v>
      </c>
      <c r="C3695" s="115" t="s">
        <v>9491</v>
      </c>
      <c r="D3695" s="115">
        <v>0</v>
      </c>
      <c r="E3695" s="115" t="s">
        <v>9492</v>
      </c>
      <c r="F3695" s="115" t="s">
        <v>9933</v>
      </c>
      <c r="G3695" s="115" t="s">
        <v>9494</v>
      </c>
      <c r="H3695" s="115" t="s">
        <v>9934</v>
      </c>
    </row>
    <row r="3696" spans="1:8" x14ac:dyDescent="0.25">
      <c r="A3696" s="115">
        <v>881</v>
      </c>
      <c r="B3696" s="115" t="s">
        <v>257</v>
      </c>
      <c r="C3696" s="115" t="s">
        <v>9935</v>
      </c>
      <c r="D3696" s="115">
        <v>1</v>
      </c>
    </row>
    <row r="3697" spans="1:8" x14ac:dyDescent="0.25">
      <c r="A3697" s="115">
        <v>880</v>
      </c>
      <c r="B3697" s="115" t="s">
        <v>257</v>
      </c>
      <c r="C3697" s="115" t="s">
        <v>9936</v>
      </c>
      <c r="D3697" s="115">
        <v>1</v>
      </c>
      <c r="E3697" s="115" t="s">
        <v>9937</v>
      </c>
      <c r="F3697" s="115" t="s">
        <v>9937</v>
      </c>
      <c r="G3697" s="115" t="s">
        <v>9937</v>
      </c>
      <c r="H3697" s="115" t="s">
        <v>9937</v>
      </c>
    </row>
    <row r="3698" spans="1:8" x14ac:dyDescent="0.25">
      <c r="A3698" s="115">
        <v>879</v>
      </c>
      <c r="B3698" s="115" t="s">
        <v>257</v>
      </c>
      <c r="C3698" s="115" t="s">
        <v>9938</v>
      </c>
      <c r="D3698" s="115">
        <v>1</v>
      </c>
    </row>
    <row r="3699" spans="1:8" x14ac:dyDescent="0.25">
      <c r="A3699" s="115">
        <v>878</v>
      </c>
      <c r="B3699" s="115" t="s">
        <v>257</v>
      </c>
      <c r="C3699" s="115" t="s">
        <v>9939</v>
      </c>
      <c r="D3699" s="115">
        <v>1</v>
      </c>
      <c r="E3699" s="115" t="s">
        <v>9940</v>
      </c>
      <c r="F3699" s="115" t="s">
        <v>9940</v>
      </c>
      <c r="G3699" s="115" t="s">
        <v>9940</v>
      </c>
      <c r="H3699" s="115" t="s">
        <v>9940</v>
      </c>
    </row>
    <row r="3700" spans="1:8" x14ac:dyDescent="0.25">
      <c r="A3700" s="115">
        <v>877</v>
      </c>
      <c r="B3700" s="115" t="s">
        <v>149</v>
      </c>
      <c r="C3700" s="115" t="s">
        <v>9941</v>
      </c>
      <c r="D3700" s="115">
        <v>0</v>
      </c>
      <c r="E3700" s="115" t="s">
        <v>9942</v>
      </c>
      <c r="F3700" s="115" t="s">
        <v>9943</v>
      </c>
      <c r="G3700" s="115" t="s">
        <v>9944</v>
      </c>
      <c r="H3700" s="115" t="s">
        <v>9945</v>
      </c>
    </row>
    <row r="3701" spans="1:8" x14ac:dyDescent="0.25">
      <c r="A3701" s="115">
        <v>876</v>
      </c>
      <c r="B3701" s="115" t="s">
        <v>257</v>
      </c>
      <c r="C3701" s="115" t="s">
        <v>9946</v>
      </c>
      <c r="D3701" s="115">
        <v>1</v>
      </c>
    </row>
    <row r="3702" spans="1:8" x14ac:dyDescent="0.25">
      <c r="A3702" s="115">
        <v>875</v>
      </c>
      <c r="B3702" s="115" t="s">
        <v>257</v>
      </c>
      <c r="C3702" s="115" t="s">
        <v>9941</v>
      </c>
      <c r="D3702" s="115">
        <v>1</v>
      </c>
      <c r="E3702" s="115" t="s">
        <v>9947</v>
      </c>
      <c r="F3702" s="115" t="s">
        <v>9943</v>
      </c>
      <c r="G3702" s="115" t="s">
        <v>9944</v>
      </c>
      <c r="H3702" s="115" t="s">
        <v>9945</v>
      </c>
    </row>
    <row r="3703" spans="1:8" x14ac:dyDescent="0.25">
      <c r="A3703" s="115">
        <v>874</v>
      </c>
      <c r="B3703" s="115" t="s">
        <v>257</v>
      </c>
      <c r="C3703" s="115" t="s">
        <v>9948</v>
      </c>
      <c r="D3703" s="115">
        <v>1</v>
      </c>
    </row>
    <row r="3704" spans="1:8" ht="30" x14ac:dyDescent="0.25">
      <c r="A3704" s="115">
        <v>873</v>
      </c>
      <c r="B3704" s="115" t="s">
        <v>257</v>
      </c>
      <c r="C3704" s="115" t="s">
        <v>9949</v>
      </c>
      <c r="D3704" s="115">
        <v>1</v>
      </c>
      <c r="E3704" s="115" t="s">
        <v>9950</v>
      </c>
      <c r="F3704" s="115" t="s">
        <v>9951</v>
      </c>
      <c r="G3704" s="115" t="s">
        <v>9952</v>
      </c>
      <c r="H3704" s="115" t="s">
        <v>9953</v>
      </c>
    </row>
    <row r="3705" spans="1:8" ht="45" x14ac:dyDescent="0.25">
      <c r="A3705" s="115">
        <v>872</v>
      </c>
      <c r="B3705" s="115" t="s">
        <v>9954</v>
      </c>
      <c r="C3705" s="115" t="s">
        <v>9955</v>
      </c>
      <c r="D3705" s="115">
        <v>1</v>
      </c>
      <c r="E3705" s="115" t="s">
        <v>9956</v>
      </c>
      <c r="F3705" s="115" t="s">
        <v>9957</v>
      </c>
      <c r="G3705" s="115" t="s">
        <v>9958</v>
      </c>
      <c r="H3705" s="115" t="s">
        <v>9959</v>
      </c>
    </row>
    <row r="3706" spans="1:8" ht="30" x14ac:dyDescent="0.25">
      <c r="A3706" s="115">
        <v>871</v>
      </c>
      <c r="B3706" s="115" t="s">
        <v>9954</v>
      </c>
      <c r="C3706" s="115" t="s">
        <v>9960</v>
      </c>
      <c r="D3706" s="115">
        <v>1</v>
      </c>
      <c r="E3706" s="115" t="s">
        <v>9961</v>
      </c>
      <c r="F3706" s="115" t="s">
        <v>9962</v>
      </c>
      <c r="G3706" s="115" t="s">
        <v>9963</v>
      </c>
      <c r="H3706" s="115" t="s">
        <v>9964</v>
      </c>
    </row>
    <row r="3707" spans="1:8" ht="45" x14ac:dyDescent="0.25">
      <c r="A3707" s="115">
        <v>870</v>
      </c>
      <c r="B3707" s="115" t="s">
        <v>9954</v>
      </c>
      <c r="C3707" s="115" t="s">
        <v>9965</v>
      </c>
      <c r="D3707" s="115">
        <v>1</v>
      </c>
      <c r="E3707" s="115" t="s">
        <v>9966</v>
      </c>
      <c r="F3707" s="115" t="s">
        <v>9967</v>
      </c>
      <c r="G3707" s="115" t="s">
        <v>9968</v>
      </c>
      <c r="H3707" s="115" t="s">
        <v>9969</v>
      </c>
    </row>
    <row r="3708" spans="1:8" x14ac:dyDescent="0.25">
      <c r="A3708" s="115">
        <v>869</v>
      </c>
      <c r="B3708" s="115" t="s">
        <v>9954</v>
      </c>
      <c r="C3708" s="115" t="s">
        <v>9970</v>
      </c>
      <c r="D3708" s="115">
        <v>1</v>
      </c>
      <c r="E3708" s="115" t="s">
        <v>9971</v>
      </c>
      <c r="F3708" s="115" t="s">
        <v>9972</v>
      </c>
      <c r="G3708" s="115" t="s">
        <v>9973</v>
      </c>
      <c r="H3708" s="115" t="s">
        <v>9974</v>
      </c>
    </row>
    <row r="3709" spans="1:8" x14ac:dyDescent="0.25">
      <c r="A3709" s="115">
        <v>868</v>
      </c>
      <c r="B3709" s="115" t="s">
        <v>45</v>
      </c>
      <c r="C3709" s="115" t="s">
        <v>9975</v>
      </c>
      <c r="D3709" s="115">
        <v>1</v>
      </c>
      <c r="E3709" s="115" t="s">
        <v>52</v>
      </c>
      <c r="F3709" s="115" t="s">
        <v>53</v>
      </c>
      <c r="G3709" s="115" t="s">
        <v>54</v>
      </c>
      <c r="H3709" s="115" t="s">
        <v>9976</v>
      </c>
    </row>
    <row r="3710" spans="1:8" x14ac:dyDescent="0.25">
      <c r="A3710" s="115">
        <v>867</v>
      </c>
      <c r="B3710" s="115" t="s">
        <v>45</v>
      </c>
      <c r="C3710" s="115" t="s">
        <v>9977</v>
      </c>
      <c r="D3710" s="115">
        <v>1</v>
      </c>
      <c r="E3710" s="115" t="s">
        <v>9978</v>
      </c>
      <c r="F3710" s="115" t="s">
        <v>9979</v>
      </c>
      <c r="G3710" s="115" t="s">
        <v>9980</v>
      </c>
      <c r="H3710" s="115" t="s">
        <v>9981</v>
      </c>
    </row>
    <row r="3711" spans="1:8" ht="150" x14ac:dyDescent="0.25">
      <c r="A3711" s="115">
        <v>866</v>
      </c>
      <c r="B3711" s="115" t="s">
        <v>45</v>
      </c>
      <c r="C3711" s="115" t="s">
        <v>236</v>
      </c>
      <c r="D3711" s="115">
        <v>1</v>
      </c>
      <c r="E3711" s="115" t="s">
        <v>237</v>
      </c>
      <c r="F3711" s="115" t="s">
        <v>238</v>
      </c>
      <c r="G3711" s="115" t="s">
        <v>239</v>
      </c>
      <c r="H3711" s="115" t="s">
        <v>240</v>
      </c>
    </row>
    <row r="3712" spans="1:8" ht="30" x14ac:dyDescent="0.25">
      <c r="A3712" s="115">
        <v>865</v>
      </c>
      <c r="B3712" s="115" t="s">
        <v>45</v>
      </c>
      <c r="C3712" s="115" t="s">
        <v>9982</v>
      </c>
      <c r="D3712" s="115">
        <v>1</v>
      </c>
      <c r="E3712" s="115" t="s">
        <v>9983</v>
      </c>
      <c r="F3712" s="115" t="s">
        <v>9984</v>
      </c>
      <c r="G3712" s="115" t="s">
        <v>9985</v>
      </c>
      <c r="H3712" s="115" t="s">
        <v>9986</v>
      </c>
    </row>
    <row r="3713" spans="1:8" x14ac:dyDescent="0.25">
      <c r="A3713" s="115">
        <v>864</v>
      </c>
      <c r="B3713" s="115" t="s">
        <v>149</v>
      </c>
      <c r="C3713" s="115" t="s">
        <v>9987</v>
      </c>
      <c r="D3713" s="115">
        <v>0</v>
      </c>
      <c r="E3713" s="115" t="s">
        <v>9988</v>
      </c>
      <c r="F3713" s="115" t="s">
        <v>403</v>
      </c>
      <c r="G3713" s="115" t="s">
        <v>404</v>
      </c>
      <c r="H3713" s="115" t="s">
        <v>405</v>
      </c>
    </row>
    <row r="3714" spans="1:8" x14ac:dyDescent="0.25">
      <c r="A3714" s="115">
        <v>863</v>
      </c>
      <c r="B3714" s="115" t="s">
        <v>149</v>
      </c>
      <c r="C3714" s="115" t="s">
        <v>9989</v>
      </c>
      <c r="D3714" s="115">
        <v>0</v>
      </c>
      <c r="E3714" s="115" t="s">
        <v>9990</v>
      </c>
      <c r="F3714" s="115" t="s">
        <v>9991</v>
      </c>
      <c r="G3714" s="115" t="s">
        <v>9992</v>
      </c>
      <c r="H3714" s="115" t="s">
        <v>9993</v>
      </c>
    </row>
    <row r="3715" spans="1:8" x14ac:dyDescent="0.25">
      <c r="A3715" s="115">
        <v>862</v>
      </c>
      <c r="B3715" s="115" t="s">
        <v>149</v>
      </c>
      <c r="C3715" s="115" t="s">
        <v>9994</v>
      </c>
      <c r="D3715" s="115">
        <v>0</v>
      </c>
      <c r="E3715" s="115" t="s">
        <v>9995</v>
      </c>
      <c r="F3715" s="115" t="s">
        <v>9996</v>
      </c>
      <c r="G3715" s="115" t="s">
        <v>9997</v>
      </c>
      <c r="H3715" s="115" t="s">
        <v>9998</v>
      </c>
    </row>
    <row r="3716" spans="1:8" x14ac:dyDescent="0.25">
      <c r="A3716" s="115">
        <v>861</v>
      </c>
      <c r="B3716" s="115" t="s">
        <v>45</v>
      </c>
      <c r="C3716" s="115" t="s">
        <v>9999</v>
      </c>
      <c r="D3716" s="115">
        <v>1</v>
      </c>
      <c r="E3716" s="115" t="s">
        <v>10000</v>
      </c>
      <c r="F3716" s="115" t="s">
        <v>10001</v>
      </c>
      <c r="G3716" s="115" t="s">
        <v>10002</v>
      </c>
      <c r="H3716" s="115" t="s">
        <v>10003</v>
      </c>
    </row>
    <row r="3717" spans="1:8" ht="30" x14ac:dyDescent="0.25">
      <c r="A3717" s="115">
        <v>860</v>
      </c>
      <c r="B3717" s="115" t="s">
        <v>9954</v>
      </c>
      <c r="C3717" s="115" t="s">
        <v>10004</v>
      </c>
      <c r="D3717" s="115">
        <v>1</v>
      </c>
      <c r="E3717" s="115" t="s">
        <v>10005</v>
      </c>
      <c r="F3717" s="115" t="s">
        <v>10006</v>
      </c>
      <c r="G3717" s="115" t="s">
        <v>10007</v>
      </c>
      <c r="H3717" s="115" t="s">
        <v>10008</v>
      </c>
    </row>
    <row r="3718" spans="1:8" x14ac:dyDescent="0.25">
      <c r="A3718" s="115">
        <v>859</v>
      </c>
      <c r="B3718" s="115" t="s">
        <v>9954</v>
      </c>
      <c r="C3718" s="115" t="s">
        <v>10009</v>
      </c>
      <c r="D3718" s="115">
        <v>1</v>
      </c>
      <c r="E3718" s="115" t="s">
        <v>10010</v>
      </c>
      <c r="F3718" s="115" t="s">
        <v>10011</v>
      </c>
      <c r="G3718" s="115" t="s">
        <v>10012</v>
      </c>
      <c r="H3718" s="115" t="s">
        <v>10013</v>
      </c>
    </row>
    <row r="3719" spans="1:8" x14ac:dyDescent="0.25">
      <c r="A3719" s="115">
        <v>858</v>
      </c>
      <c r="B3719" s="115" t="s">
        <v>313</v>
      </c>
      <c r="C3719" s="115" t="s">
        <v>9999</v>
      </c>
      <c r="D3719" s="115">
        <v>1</v>
      </c>
      <c r="E3719" s="115" t="s">
        <v>10000</v>
      </c>
      <c r="F3719" s="115" t="s">
        <v>10001</v>
      </c>
      <c r="G3719" s="115" t="s">
        <v>10002</v>
      </c>
      <c r="H3719" s="115" t="s">
        <v>10003</v>
      </c>
    </row>
    <row r="3720" spans="1:8" x14ac:dyDescent="0.25">
      <c r="A3720" s="115">
        <v>856</v>
      </c>
      <c r="B3720" s="115" t="s">
        <v>313</v>
      </c>
      <c r="C3720" s="115" t="s">
        <v>10014</v>
      </c>
      <c r="D3720" s="115">
        <v>1</v>
      </c>
      <c r="E3720" s="115" t="s">
        <v>10015</v>
      </c>
      <c r="F3720" s="115" t="s">
        <v>10016</v>
      </c>
      <c r="G3720" s="115" t="s">
        <v>10017</v>
      </c>
      <c r="H3720" s="115" t="s">
        <v>10018</v>
      </c>
    </row>
    <row r="3721" spans="1:8" ht="30" x14ac:dyDescent="0.25">
      <c r="A3721" s="115">
        <v>854</v>
      </c>
      <c r="B3721" s="115" t="s">
        <v>149</v>
      </c>
      <c r="C3721" s="115" t="s">
        <v>10019</v>
      </c>
      <c r="D3721" s="115">
        <v>0</v>
      </c>
      <c r="E3721" s="115" t="s">
        <v>10020</v>
      </c>
      <c r="F3721" s="115" t="s">
        <v>10021</v>
      </c>
      <c r="G3721" s="115" t="s">
        <v>10022</v>
      </c>
      <c r="H3721" s="115" t="s">
        <v>10023</v>
      </c>
    </row>
    <row r="3722" spans="1:8" ht="30" x14ac:dyDescent="0.25">
      <c r="A3722" s="115">
        <v>853</v>
      </c>
      <c r="B3722" s="115" t="s">
        <v>149</v>
      </c>
      <c r="C3722" s="115" t="s">
        <v>10024</v>
      </c>
      <c r="D3722" s="115">
        <v>0</v>
      </c>
      <c r="E3722" s="115" t="s">
        <v>10025</v>
      </c>
      <c r="F3722" s="115" t="s">
        <v>10026</v>
      </c>
      <c r="G3722" s="115" t="s">
        <v>10027</v>
      </c>
      <c r="H3722" s="115" t="s">
        <v>10028</v>
      </c>
    </row>
    <row r="3723" spans="1:8" ht="30" x14ac:dyDescent="0.25">
      <c r="A3723" s="115">
        <v>852</v>
      </c>
      <c r="B3723" s="115" t="s">
        <v>10029</v>
      </c>
      <c r="C3723" s="115" t="s">
        <v>10030</v>
      </c>
      <c r="D3723" s="115">
        <v>1</v>
      </c>
      <c r="E3723" s="115" t="s">
        <v>10031</v>
      </c>
      <c r="F3723" s="115" t="s">
        <v>10032</v>
      </c>
      <c r="G3723" s="115" t="s">
        <v>10033</v>
      </c>
      <c r="H3723" s="115" t="s">
        <v>10034</v>
      </c>
    </row>
    <row r="3724" spans="1:8" x14ac:dyDescent="0.25">
      <c r="A3724" s="115">
        <v>851</v>
      </c>
      <c r="B3724" s="115" t="s">
        <v>10029</v>
      </c>
      <c r="C3724" s="115" t="s">
        <v>333</v>
      </c>
      <c r="D3724" s="115">
        <v>1</v>
      </c>
      <c r="E3724" s="115" t="s">
        <v>334</v>
      </c>
      <c r="F3724" s="115" t="s">
        <v>335</v>
      </c>
      <c r="G3724" s="115" t="s">
        <v>336</v>
      </c>
      <c r="H3724" s="115" t="s">
        <v>337</v>
      </c>
    </row>
    <row r="3725" spans="1:8" x14ac:dyDescent="0.25">
      <c r="A3725" s="115">
        <v>850</v>
      </c>
      <c r="B3725" s="115" t="s">
        <v>10029</v>
      </c>
      <c r="C3725" s="115" t="s">
        <v>10035</v>
      </c>
      <c r="D3725" s="115">
        <v>1</v>
      </c>
      <c r="E3725" s="115" t="s">
        <v>10036</v>
      </c>
      <c r="F3725" s="115" t="s">
        <v>10037</v>
      </c>
      <c r="G3725" s="115" t="s">
        <v>10038</v>
      </c>
      <c r="H3725" s="115" t="s">
        <v>10039</v>
      </c>
    </row>
    <row r="3726" spans="1:8" x14ac:dyDescent="0.25">
      <c r="A3726" s="115">
        <v>849</v>
      </c>
      <c r="B3726" s="115" t="s">
        <v>10029</v>
      </c>
      <c r="C3726" s="115" t="s">
        <v>10040</v>
      </c>
      <c r="D3726" s="115">
        <v>1</v>
      </c>
      <c r="E3726" s="115" t="s">
        <v>10041</v>
      </c>
      <c r="F3726" s="115" t="s">
        <v>10042</v>
      </c>
      <c r="G3726" s="115" t="s">
        <v>10043</v>
      </c>
      <c r="H3726" s="115" t="s">
        <v>10044</v>
      </c>
    </row>
    <row r="3727" spans="1:8" x14ac:dyDescent="0.25">
      <c r="A3727" s="115">
        <v>848</v>
      </c>
      <c r="B3727" s="115" t="s">
        <v>10029</v>
      </c>
      <c r="C3727" s="115" t="s">
        <v>8547</v>
      </c>
      <c r="D3727" s="115">
        <v>1</v>
      </c>
      <c r="E3727" s="115" t="s">
        <v>10045</v>
      </c>
      <c r="F3727" s="115" t="s">
        <v>8549</v>
      </c>
      <c r="G3727" s="115" t="s">
        <v>8550</v>
      </c>
      <c r="H3727" s="115" t="s">
        <v>10046</v>
      </c>
    </row>
    <row r="3728" spans="1:8" x14ac:dyDescent="0.25">
      <c r="A3728" s="115">
        <v>847</v>
      </c>
      <c r="B3728" s="115" t="s">
        <v>149</v>
      </c>
      <c r="C3728" s="115" t="s">
        <v>10047</v>
      </c>
      <c r="D3728" s="115">
        <v>0</v>
      </c>
      <c r="E3728" s="115" t="s">
        <v>10048</v>
      </c>
      <c r="F3728" s="115" t="s">
        <v>175</v>
      </c>
      <c r="G3728" s="115" t="s">
        <v>10049</v>
      </c>
      <c r="H3728" s="115" t="s">
        <v>10050</v>
      </c>
    </row>
    <row r="3729" spans="1:8" x14ac:dyDescent="0.25">
      <c r="A3729" s="115">
        <v>846</v>
      </c>
      <c r="B3729" s="115" t="s">
        <v>10029</v>
      </c>
      <c r="C3729" s="115" t="s">
        <v>158</v>
      </c>
      <c r="D3729" s="115">
        <v>1</v>
      </c>
      <c r="E3729" s="115" t="s">
        <v>159</v>
      </c>
      <c r="F3729" s="115" t="s">
        <v>338</v>
      </c>
      <c r="G3729" s="115" t="s">
        <v>339</v>
      </c>
      <c r="H3729" s="115" t="s">
        <v>340</v>
      </c>
    </row>
    <row r="3730" spans="1:8" x14ac:dyDescent="0.25">
      <c r="A3730" s="115">
        <v>845</v>
      </c>
      <c r="B3730" s="115" t="s">
        <v>10029</v>
      </c>
      <c r="C3730" s="115" t="s">
        <v>10051</v>
      </c>
      <c r="D3730" s="115">
        <v>1</v>
      </c>
      <c r="E3730" s="115" t="s">
        <v>10052</v>
      </c>
      <c r="F3730" s="115" t="s">
        <v>10053</v>
      </c>
      <c r="G3730" s="115" t="s">
        <v>10054</v>
      </c>
      <c r="H3730" s="115" t="s">
        <v>10055</v>
      </c>
    </row>
    <row r="3731" spans="1:8" x14ac:dyDescent="0.25">
      <c r="A3731" s="115">
        <v>844</v>
      </c>
      <c r="B3731" s="115" t="s">
        <v>10029</v>
      </c>
      <c r="C3731" s="115" t="s">
        <v>10056</v>
      </c>
      <c r="D3731" s="115">
        <v>1</v>
      </c>
      <c r="E3731" s="115" t="s">
        <v>10057</v>
      </c>
      <c r="F3731" s="115" t="s">
        <v>10058</v>
      </c>
      <c r="G3731" s="115" t="s">
        <v>10059</v>
      </c>
      <c r="H3731" s="115" t="s">
        <v>10060</v>
      </c>
    </row>
    <row r="3732" spans="1:8" x14ac:dyDescent="0.25">
      <c r="A3732" s="115">
        <v>843</v>
      </c>
      <c r="B3732" s="115" t="s">
        <v>10029</v>
      </c>
      <c r="C3732" s="115" t="s">
        <v>9244</v>
      </c>
      <c r="D3732" s="115">
        <v>1</v>
      </c>
      <c r="E3732" s="115" t="s">
        <v>10061</v>
      </c>
      <c r="F3732" s="115" t="s">
        <v>10062</v>
      </c>
      <c r="G3732" s="115" t="s">
        <v>10063</v>
      </c>
      <c r="H3732" s="115" t="s">
        <v>10064</v>
      </c>
    </row>
    <row r="3733" spans="1:8" x14ac:dyDescent="0.25">
      <c r="A3733" s="115">
        <v>842</v>
      </c>
      <c r="B3733" s="115" t="s">
        <v>10029</v>
      </c>
      <c r="C3733" s="115" t="s">
        <v>10065</v>
      </c>
      <c r="D3733" s="115">
        <v>1</v>
      </c>
      <c r="E3733" s="115" t="s">
        <v>10066</v>
      </c>
      <c r="F3733" s="115" t="s">
        <v>10067</v>
      </c>
      <c r="G3733" s="115" t="s">
        <v>10068</v>
      </c>
      <c r="H3733" s="115" t="s">
        <v>10069</v>
      </c>
    </row>
    <row r="3734" spans="1:8" x14ac:dyDescent="0.25">
      <c r="A3734" s="115">
        <v>841</v>
      </c>
      <c r="B3734" s="115" t="s">
        <v>10029</v>
      </c>
      <c r="C3734" s="115" t="s">
        <v>10070</v>
      </c>
      <c r="D3734" s="115">
        <v>1</v>
      </c>
      <c r="E3734" s="115" t="s">
        <v>10071</v>
      </c>
      <c r="F3734" s="115" t="s">
        <v>10072</v>
      </c>
      <c r="G3734" s="115" t="s">
        <v>10073</v>
      </c>
      <c r="H3734" s="115" t="s">
        <v>10074</v>
      </c>
    </row>
    <row r="3735" spans="1:8" x14ac:dyDescent="0.25">
      <c r="A3735" s="115">
        <v>840</v>
      </c>
      <c r="B3735" s="115" t="s">
        <v>10029</v>
      </c>
      <c r="C3735" s="115" t="s">
        <v>10075</v>
      </c>
      <c r="D3735" s="115">
        <v>1</v>
      </c>
      <c r="E3735" s="115" t="s">
        <v>10061</v>
      </c>
      <c r="F3735" s="115" t="s">
        <v>10062</v>
      </c>
      <c r="G3735" s="115" t="s">
        <v>10063</v>
      </c>
      <c r="H3735" s="115" t="s">
        <v>10064</v>
      </c>
    </row>
    <row r="3736" spans="1:8" x14ac:dyDescent="0.25">
      <c r="A3736" s="115">
        <v>839</v>
      </c>
      <c r="B3736" s="115" t="s">
        <v>10029</v>
      </c>
      <c r="C3736" s="115" t="s">
        <v>10076</v>
      </c>
      <c r="D3736" s="115">
        <v>1</v>
      </c>
      <c r="E3736" s="115" t="s">
        <v>10077</v>
      </c>
      <c r="F3736" s="115" t="s">
        <v>10078</v>
      </c>
      <c r="G3736" s="115" t="s">
        <v>10079</v>
      </c>
      <c r="H3736" s="115" t="s">
        <v>10080</v>
      </c>
    </row>
    <row r="3737" spans="1:8" x14ac:dyDescent="0.25">
      <c r="A3737" s="115">
        <v>838</v>
      </c>
      <c r="B3737" s="115" t="s">
        <v>10029</v>
      </c>
      <c r="C3737" s="115" t="s">
        <v>10081</v>
      </c>
      <c r="D3737" s="115">
        <v>1</v>
      </c>
      <c r="E3737" s="115" t="s">
        <v>181</v>
      </c>
      <c r="F3737" s="115" t="s">
        <v>10082</v>
      </c>
      <c r="G3737" s="115" t="s">
        <v>9213</v>
      </c>
      <c r="H3737" s="115" t="s">
        <v>9782</v>
      </c>
    </row>
    <row r="3738" spans="1:8" x14ac:dyDescent="0.25">
      <c r="A3738" s="115">
        <v>837</v>
      </c>
      <c r="B3738" s="115" t="s">
        <v>10029</v>
      </c>
      <c r="C3738" s="115" t="s">
        <v>10083</v>
      </c>
      <c r="D3738" s="115">
        <v>1</v>
      </c>
      <c r="E3738" s="115" t="s">
        <v>10084</v>
      </c>
      <c r="F3738" s="115" t="s">
        <v>10085</v>
      </c>
      <c r="G3738" s="115" t="s">
        <v>10086</v>
      </c>
      <c r="H3738" s="115" t="s">
        <v>10087</v>
      </c>
    </row>
    <row r="3739" spans="1:8" x14ac:dyDescent="0.25">
      <c r="A3739" s="115">
        <v>836</v>
      </c>
      <c r="B3739" s="115" t="s">
        <v>10029</v>
      </c>
      <c r="C3739" s="115" t="s">
        <v>180</v>
      </c>
      <c r="D3739" s="115">
        <v>1</v>
      </c>
      <c r="E3739" s="115" t="s">
        <v>10088</v>
      </c>
      <c r="F3739" s="115" t="s">
        <v>10089</v>
      </c>
      <c r="G3739" s="115" t="s">
        <v>10090</v>
      </c>
      <c r="H3739" s="115" t="s">
        <v>10091</v>
      </c>
    </row>
    <row r="3740" spans="1:8" x14ac:dyDescent="0.25">
      <c r="A3740" s="115">
        <v>835</v>
      </c>
      <c r="B3740" s="115" t="s">
        <v>149</v>
      </c>
      <c r="C3740" s="115" t="s">
        <v>10029</v>
      </c>
      <c r="D3740" s="115">
        <v>0</v>
      </c>
      <c r="E3740" s="115" t="s">
        <v>10092</v>
      </c>
      <c r="F3740" s="115" t="s">
        <v>10093</v>
      </c>
      <c r="G3740" s="115" t="s">
        <v>10094</v>
      </c>
      <c r="H3740" s="115" t="s">
        <v>10091</v>
      </c>
    </row>
    <row r="3741" spans="1:8" ht="30" x14ac:dyDescent="0.25">
      <c r="A3741" s="115">
        <v>834</v>
      </c>
      <c r="B3741" s="115" t="s">
        <v>45</v>
      </c>
      <c r="C3741" s="115" t="s">
        <v>10095</v>
      </c>
      <c r="D3741" s="115">
        <v>1</v>
      </c>
      <c r="E3741" s="115" t="s">
        <v>10096</v>
      </c>
      <c r="F3741" s="115" t="s">
        <v>10097</v>
      </c>
      <c r="G3741" s="115" t="s">
        <v>10098</v>
      </c>
      <c r="H3741" s="115" t="s">
        <v>10099</v>
      </c>
    </row>
    <row r="3742" spans="1:8" ht="60" x14ac:dyDescent="0.25">
      <c r="A3742" s="115">
        <v>833</v>
      </c>
      <c r="B3742" s="115" t="s">
        <v>9954</v>
      </c>
      <c r="C3742" s="115" t="s">
        <v>10100</v>
      </c>
      <c r="D3742" s="115">
        <v>1</v>
      </c>
      <c r="E3742" s="115" t="s">
        <v>10101</v>
      </c>
      <c r="F3742" s="115" t="s">
        <v>10102</v>
      </c>
      <c r="G3742" s="115" t="s">
        <v>10103</v>
      </c>
      <c r="H3742" s="115" t="s">
        <v>10104</v>
      </c>
    </row>
    <row r="3743" spans="1:8" x14ac:dyDescent="0.25">
      <c r="A3743" s="115">
        <v>832</v>
      </c>
      <c r="B3743" s="115" t="s">
        <v>149</v>
      </c>
      <c r="C3743" s="115" t="s">
        <v>9936</v>
      </c>
      <c r="D3743" s="115">
        <v>0</v>
      </c>
      <c r="E3743" s="115" t="s">
        <v>9937</v>
      </c>
      <c r="F3743" s="115" t="s">
        <v>9937</v>
      </c>
      <c r="G3743" s="115" t="s">
        <v>9937</v>
      </c>
      <c r="H3743" s="115" t="s">
        <v>9937</v>
      </c>
    </row>
    <row r="3744" spans="1:8" x14ac:dyDescent="0.25">
      <c r="A3744" s="115">
        <v>831</v>
      </c>
      <c r="B3744" s="115" t="s">
        <v>9936</v>
      </c>
      <c r="C3744" s="115" t="s">
        <v>180</v>
      </c>
      <c r="D3744" s="115">
        <v>1</v>
      </c>
      <c r="E3744" s="115" t="s">
        <v>10105</v>
      </c>
      <c r="F3744" s="115" t="s">
        <v>74</v>
      </c>
      <c r="G3744" s="115" t="s">
        <v>74</v>
      </c>
      <c r="H3744" s="115" t="s">
        <v>74</v>
      </c>
    </row>
    <row r="3745" spans="1:8" ht="45" x14ac:dyDescent="0.25">
      <c r="A3745" s="115">
        <v>830</v>
      </c>
      <c r="B3745" s="115" t="s">
        <v>45</v>
      </c>
      <c r="C3745" s="115" t="s">
        <v>10106</v>
      </c>
      <c r="D3745" s="115">
        <v>1</v>
      </c>
      <c r="E3745" s="115" t="s">
        <v>10107</v>
      </c>
      <c r="F3745" s="115" t="s">
        <v>10108</v>
      </c>
      <c r="G3745" s="115" t="s">
        <v>10109</v>
      </c>
      <c r="H3745" s="115" t="s">
        <v>10110</v>
      </c>
    </row>
    <row r="3746" spans="1:8" x14ac:dyDescent="0.25">
      <c r="A3746" s="115">
        <v>829</v>
      </c>
      <c r="B3746" s="115" t="s">
        <v>9954</v>
      </c>
      <c r="C3746" s="115" t="s">
        <v>10111</v>
      </c>
      <c r="D3746" s="115">
        <v>1</v>
      </c>
      <c r="E3746" s="115" t="s">
        <v>10112</v>
      </c>
      <c r="F3746" s="115" t="s">
        <v>74</v>
      </c>
      <c r="G3746" s="115" t="s">
        <v>74</v>
      </c>
      <c r="H3746" s="115" t="s">
        <v>74</v>
      </c>
    </row>
    <row r="3747" spans="1:8" ht="30" x14ac:dyDescent="0.25">
      <c r="A3747" s="115">
        <v>828</v>
      </c>
      <c r="B3747" s="115" t="s">
        <v>9954</v>
      </c>
      <c r="C3747" s="115" t="s">
        <v>10113</v>
      </c>
      <c r="D3747" s="115">
        <v>1</v>
      </c>
      <c r="E3747" s="115" t="s">
        <v>10114</v>
      </c>
      <c r="F3747" s="115" t="s">
        <v>10115</v>
      </c>
      <c r="G3747" s="115" t="s">
        <v>10116</v>
      </c>
      <c r="H3747" s="115" t="s">
        <v>10117</v>
      </c>
    </row>
    <row r="3748" spans="1:8" x14ac:dyDescent="0.25">
      <c r="A3748" s="115">
        <v>827</v>
      </c>
      <c r="B3748" s="115" t="s">
        <v>9954</v>
      </c>
      <c r="C3748" s="115" t="s">
        <v>10118</v>
      </c>
      <c r="D3748" s="115">
        <v>1</v>
      </c>
      <c r="E3748" s="115" t="s">
        <v>10119</v>
      </c>
      <c r="F3748" s="115" t="s">
        <v>10120</v>
      </c>
      <c r="G3748" s="115" t="s">
        <v>10121</v>
      </c>
      <c r="H3748" s="115" t="s">
        <v>9864</v>
      </c>
    </row>
    <row r="3749" spans="1:8" ht="60" x14ac:dyDescent="0.25">
      <c r="A3749" s="115">
        <v>826</v>
      </c>
      <c r="B3749" s="115" t="s">
        <v>9954</v>
      </c>
      <c r="C3749" s="115" t="s">
        <v>10122</v>
      </c>
      <c r="D3749" s="115">
        <v>1</v>
      </c>
      <c r="E3749" s="115" t="s">
        <v>10123</v>
      </c>
      <c r="F3749" s="115" t="s">
        <v>10124</v>
      </c>
      <c r="G3749" s="115" t="s">
        <v>10125</v>
      </c>
      <c r="H3749" s="115" t="s">
        <v>10126</v>
      </c>
    </row>
    <row r="3750" spans="1:8" ht="45" x14ac:dyDescent="0.25">
      <c r="A3750" s="115">
        <v>825</v>
      </c>
      <c r="B3750" s="115" t="s">
        <v>178</v>
      </c>
      <c r="C3750" s="115" t="s">
        <v>10127</v>
      </c>
      <c r="D3750" s="115">
        <v>1</v>
      </c>
      <c r="E3750" s="115" t="s">
        <v>10128</v>
      </c>
      <c r="F3750" s="115" t="s">
        <v>10129</v>
      </c>
      <c r="G3750" s="115" t="s">
        <v>10130</v>
      </c>
      <c r="H3750" s="115" t="s">
        <v>10131</v>
      </c>
    </row>
    <row r="3751" spans="1:8" ht="45" x14ac:dyDescent="0.25">
      <c r="A3751" s="115">
        <v>824</v>
      </c>
      <c r="B3751" s="115" t="s">
        <v>178</v>
      </c>
      <c r="C3751" s="115" t="s">
        <v>10132</v>
      </c>
      <c r="D3751" s="115">
        <v>1</v>
      </c>
      <c r="E3751" s="115" t="s">
        <v>10133</v>
      </c>
      <c r="F3751" s="115" t="s">
        <v>10134</v>
      </c>
      <c r="G3751" s="115" t="s">
        <v>10135</v>
      </c>
      <c r="H3751" s="115" t="s">
        <v>10136</v>
      </c>
    </row>
    <row r="3752" spans="1:8" ht="165" x14ac:dyDescent="0.25">
      <c r="A3752" s="115">
        <v>823</v>
      </c>
      <c r="B3752" s="115" t="s">
        <v>178</v>
      </c>
      <c r="C3752" s="115" t="s">
        <v>10137</v>
      </c>
      <c r="D3752" s="115">
        <v>1</v>
      </c>
      <c r="E3752" s="115" t="s">
        <v>10138</v>
      </c>
      <c r="F3752" s="115" t="s">
        <v>10139</v>
      </c>
      <c r="G3752" s="115" t="s">
        <v>10140</v>
      </c>
      <c r="H3752" s="115" t="s">
        <v>10141</v>
      </c>
    </row>
    <row r="3753" spans="1:8" ht="105" x14ac:dyDescent="0.25">
      <c r="A3753" s="115">
        <v>822</v>
      </c>
      <c r="B3753" s="115" t="s">
        <v>178</v>
      </c>
      <c r="C3753" s="115" t="s">
        <v>10142</v>
      </c>
      <c r="D3753" s="115">
        <v>1</v>
      </c>
      <c r="E3753" s="115" t="s">
        <v>10143</v>
      </c>
      <c r="F3753" s="115" t="s">
        <v>10144</v>
      </c>
      <c r="G3753" s="115" t="s">
        <v>10145</v>
      </c>
      <c r="H3753" s="115" t="s">
        <v>10146</v>
      </c>
    </row>
    <row r="3754" spans="1:8" x14ac:dyDescent="0.25">
      <c r="A3754" s="115">
        <v>820</v>
      </c>
      <c r="B3754" s="115" t="s">
        <v>257</v>
      </c>
      <c r="C3754" s="115" t="s">
        <v>9999</v>
      </c>
      <c r="D3754" s="115">
        <v>1</v>
      </c>
      <c r="E3754" s="115" t="s">
        <v>10000</v>
      </c>
      <c r="F3754" s="115" t="s">
        <v>10001</v>
      </c>
      <c r="G3754" s="115" t="s">
        <v>10002</v>
      </c>
      <c r="H3754" s="115" t="s">
        <v>10003</v>
      </c>
    </row>
    <row r="3755" spans="1:8" ht="30" x14ac:dyDescent="0.25">
      <c r="A3755" s="115">
        <v>819</v>
      </c>
      <c r="B3755" s="115" t="s">
        <v>10147</v>
      </c>
      <c r="C3755" s="115" t="s">
        <v>10148</v>
      </c>
      <c r="D3755" s="115">
        <v>1</v>
      </c>
      <c r="E3755" s="115" t="s">
        <v>9222</v>
      </c>
      <c r="F3755" s="115" t="s">
        <v>9223</v>
      </c>
      <c r="G3755" s="115" t="s">
        <v>9224</v>
      </c>
      <c r="H3755" s="115" t="s">
        <v>10149</v>
      </c>
    </row>
    <row r="3756" spans="1:8" ht="30" x14ac:dyDescent="0.25">
      <c r="A3756" s="115">
        <v>818</v>
      </c>
      <c r="B3756" s="115" t="s">
        <v>10147</v>
      </c>
      <c r="C3756" s="115" t="s">
        <v>10150</v>
      </c>
      <c r="D3756" s="115">
        <v>1</v>
      </c>
      <c r="E3756" s="115" t="s">
        <v>10151</v>
      </c>
      <c r="F3756" s="115" t="s">
        <v>10152</v>
      </c>
      <c r="G3756" s="115" t="s">
        <v>10153</v>
      </c>
      <c r="H3756" s="115" t="s">
        <v>10154</v>
      </c>
    </row>
    <row r="3757" spans="1:8" ht="45" x14ac:dyDescent="0.25">
      <c r="A3757" s="115">
        <v>817</v>
      </c>
      <c r="B3757" s="115" t="s">
        <v>10147</v>
      </c>
      <c r="C3757" s="115" t="s">
        <v>10155</v>
      </c>
      <c r="D3757" s="115">
        <v>1</v>
      </c>
      <c r="E3757" s="115" t="s">
        <v>10156</v>
      </c>
      <c r="F3757" s="115" t="s">
        <v>10157</v>
      </c>
      <c r="G3757" s="115" t="s">
        <v>10158</v>
      </c>
      <c r="H3757" s="115" t="s">
        <v>10159</v>
      </c>
    </row>
    <row r="3758" spans="1:8" ht="30" x14ac:dyDescent="0.25">
      <c r="A3758" s="115">
        <v>816</v>
      </c>
      <c r="B3758" s="115" t="s">
        <v>10147</v>
      </c>
      <c r="C3758" s="115" t="s">
        <v>10160</v>
      </c>
      <c r="D3758" s="115">
        <v>1</v>
      </c>
      <c r="E3758" s="115" t="s">
        <v>10161</v>
      </c>
      <c r="F3758" s="115" t="s">
        <v>10162</v>
      </c>
      <c r="G3758" s="115" t="s">
        <v>10163</v>
      </c>
      <c r="H3758" s="115" t="s">
        <v>10164</v>
      </c>
    </row>
    <row r="3759" spans="1:8" ht="30" x14ac:dyDescent="0.25">
      <c r="A3759" s="115">
        <v>815</v>
      </c>
      <c r="B3759" s="115" t="s">
        <v>10147</v>
      </c>
      <c r="C3759" s="115" t="s">
        <v>10165</v>
      </c>
      <c r="D3759" s="115">
        <v>1</v>
      </c>
      <c r="E3759" s="115" t="s">
        <v>10166</v>
      </c>
      <c r="F3759" s="115" t="s">
        <v>10167</v>
      </c>
      <c r="G3759" s="115" t="s">
        <v>10168</v>
      </c>
      <c r="H3759" s="115" t="s">
        <v>10169</v>
      </c>
    </row>
    <row r="3760" spans="1:8" ht="30" x14ac:dyDescent="0.25">
      <c r="A3760" s="115">
        <v>814</v>
      </c>
      <c r="B3760" s="115" t="s">
        <v>10147</v>
      </c>
      <c r="C3760" s="115" t="s">
        <v>10170</v>
      </c>
      <c r="D3760" s="115">
        <v>1</v>
      </c>
      <c r="E3760" s="115" t="s">
        <v>10171</v>
      </c>
      <c r="F3760" s="115" t="s">
        <v>10172</v>
      </c>
      <c r="G3760" s="115" t="s">
        <v>10173</v>
      </c>
      <c r="H3760" s="115" t="s">
        <v>10174</v>
      </c>
    </row>
    <row r="3761" spans="1:8" ht="30" x14ac:dyDescent="0.25">
      <c r="A3761" s="115">
        <v>813</v>
      </c>
      <c r="B3761" s="115" t="s">
        <v>10147</v>
      </c>
      <c r="C3761" s="115" t="s">
        <v>10175</v>
      </c>
      <c r="D3761" s="115">
        <v>1</v>
      </c>
      <c r="E3761" s="115" t="s">
        <v>10176</v>
      </c>
      <c r="F3761" s="115" t="s">
        <v>10177</v>
      </c>
      <c r="G3761" s="115" t="s">
        <v>10178</v>
      </c>
      <c r="H3761" s="115" t="s">
        <v>10179</v>
      </c>
    </row>
    <row r="3762" spans="1:8" ht="30" x14ac:dyDescent="0.25">
      <c r="A3762" s="115">
        <v>812</v>
      </c>
      <c r="B3762" s="115" t="s">
        <v>10147</v>
      </c>
      <c r="C3762" s="115" t="s">
        <v>10180</v>
      </c>
      <c r="D3762" s="115">
        <v>1</v>
      </c>
      <c r="E3762" s="115" t="s">
        <v>10181</v>
      </c>
      <c r="F3762" s="115" t="s">
        <v>10182</v>
      </c>
      <c r="G3762" s="115" t="s">
        <v>10183</v>
      </c>
      <c r="H3762" s="115" t="s">
        <v>10184</v>
      </c>
    </row>
    <row r="3763" spans="1:8" ht="30" x14ac:dyDescent="0.25">
      <c r="A3763" s="115">
        <v>811</v>
      </c>
      <c r="B3763" s="115" t="s">
        <v>10147</v>
      </c>
      <c r="C3763" s="115" t="s">
        <v>10185</v>
      </c>
      <c r="D3763" s="115">
        <v>1</v>
      </c>
      <c r="E3763" s="115" t="s">
        <v>2780</v>
      </c>
      <c r="F3763" s="115" t="s">
        <v>2781</v>
      </c>
      <c r="G3763" s="115" t="s">
        <v>2782</v>
      </c>
      <c r="H3763" s="115" t="s">
        <v>10186</v>
      </c>
    </row>
    <row r="3764" spans="1:8" ht="30" x14ac:dyDescent="0.25">
      <c r="A3764" s="115">
        <v>810</v>
      </c>
      <c r="B3764" s="115" t="s">
        <v>257</v>
      </c>
      <c r="C3764" s="115" t="s">
        <v>152</v>
      </c>
      <c r="D3764" s="115">
        <v>1</v>
      </c>
      <c r="E3764" s="115" t="s">
        <v>10187</v>
      </c>
      <c r="F3764" s="115" t="s">
        <v>10188</v>
      </c>
      <c r="G3764" s="115" t="s">
        <v>10189</v>
      </c>
      <c r="H3764" s="115" t="s">
        <v>10190</v>
      </c>
    </row>
    <row r="3765" spans="1:8" x14ac:dyDescent="0.25">
      <c r="A3765" s="115">
        <v>809</v>
      </c>
      <c r="B3765" s="115" t="s">
        <v>257</v>
      </c>
      <c r="C3765" s="115" t="s">
        <v>10191</v>
      </c>
      <c r="D3765" s="115">
        <v>1</v>
      </c>
      <c r="E3765" s="115" t="s">
        <v>10192</v>
      </c>
      <c r="F3765" s="115" t="s">
        <v>10192</v>
      </c>
      <c r="G3765" s="115" t="s">
        <v>10193</v>
      </c>
      <c r="H3765" s="115" t="s">
        <v>10194</v>
      </c>
    </row>
    <row r="3766" spans="1:8" x14ac:dyDescent="0.25">
      <c r="A3766" s="115">
        <v>808</v>
      </c>
      <c r="B3766" s="115" t="s">
        <v>257</v>
      </c>
      <c r="C3766" s="115" t="s">
        <v>10195</v>
      </c>
      <c r="D3766" s="115">
        <v>1</v>
      </c>
      <c r="E3766" s="115" t="s">
        <v>10196</v>
      </c>
      <c r="F3766" s="115" t="s">
        <v>10197</v>
      </c>
      <c r="G3766" s="115" t="s">
        <v>10198</v>
      </c>
      <c r="H3766" s="115" t="s">
        <v>10199</v>
      </c>
    </row>
    <row r="3767" spans="1:8" x14ac:dyDescent="0.25">
      <c r="A3767" s="115">
        <v>807</v>
      </c>
      <c r="B3767" s="115" t="s">
        <v>257</v>
      </c>
      <c r="C3767" s="115" t="s">
        <v>10200</v>
      </c>
      <c r="D3767" s="115">
        <v>1</v>
      </c>
      <c r="E3767" s="115" t="s">
        <v>10201</v>
      </c>
      <c r="F3767" s="115" t="s">
        <v>10202</v>
      </c>
      <c r="G3767" s="115" t="s">
        <v>10203</v>
      </c>
      <c r="H3767" s="115" t="s">
        <v>10204</v>
      </c>
    </row>
    <row r="3768" spans="1:8" x14ac:dyDescent="0.25">
      <c r="A3768" s="115">
        <v>806</v>
      </c>
      <c r="B3768" s="115" t="s">
        <v>257</v>
      </c>
      <c r="C3768" s="115" t="s">
        <v>10205</v>
      </c>
      <c r="D3768" s="115">
        <v>1</v>
      </c>
      <c r="E3768" s="115" t="s">
        <v>10206</v>
      </c>
      <c r="F3768" s="115" t="s">
        <v>10207</v>
      </c>
      <c r="G3768" s="115" t="s">
        <v>10208</v>
      </c>
      <c r="H3768" s="115" t="s">
        <v>10209</v>
      </c>
    </row>
    <row r="3769" spans="1:8" x14ac:dyDescent="0.25">
      <c r="A3769" s="115">
        <v>805</v>
      </c>
      <c r="B3769" s="115" t="s">
        <v>257</v>
      </c>
      <c r="C3769" s="115" t="s">
        <v>10210</v>
      </c>
      <c r="D3769" s="115">
        <v>1</v>
      </c>
      <c r="E3769" s="115" t="s">
        <v>10211</v>
      </c>
      <c r="F3769" s="115" t="s">
        <v>10212</v>
      </c>
      <c r="G3769" s="115" t="s">
        <v>10213</v>
      </c>
      <c r="H3769" s="115" t="s">
        <v>10214</v>
      </c>
    </row>
    <row r="3770" spans="1:8" x14ac:dyDescent="0.25">
      <c r="A3770" s="115">
        <v>804</v>
      </c>
      <c r="B3770" s="115" t="s">
        <v>257</v>
      </c>
      <c r="C3770" s="115" t="s">
        <v>10215</v>
      </c>
      <c r="D3770" s="115">
        <v>1</v>
      </c>
      <c r="E3770" s="115" t="s">
        <v>10216</v>
      </c>
      <c r="F3770" s="115" t="s">
        <v>10216</v>
      </c>
      <c r="G3770" s="115" t="s">
        <v>10216</v>
      </c>
      <c r="H3770" s="115" t="s">
        <v>10217</v>
      </c>
    </row>
    <row r="3771" spans="1:8" x14ac:dyDescent="0.25">
      <c r="A3771" s="115">
        <v>803</v>
      </c>
      <c r="B3771" s="115" t="s">
        <v>257</v>
      </c>
      <c r="C3771" s="115" t="s">
        <v>10218</v>
      </c>
      <c r="D3771" s="115">
        <v>1</v>
      </c>
      <c r="E3771" s="115" t="s">
        <v>10219</v>
      </c>
      <c r="F3771" s="115" t="s">
        <v>10220</v>
      </c>
      <c r="G3771" s="115" t="s">
        <v>10221</v>
      </c>
      <c r="H3771" s="115" t="s">
        <v>10222</v>
      </c>
    </row>
    <row r="3772" spans="1:8" x14ac:dyDescent="0.25">
      <c r="A3772" s="115">
        <v>802</v>
      </c>
      <c r="B3772" s="115" t="s">
        <v>257</v>
      </c>
      <c r="C3772" s="115" t="s">
        <v>10223</v>
      </c>
      <c r="D3772" s="115">
        <v>1</v>
      </c>
      <c r="E3772" s="115" t="s">
        <v>10224</v>
      </c>
      <c r="F3772" s="115" t="s">
        <v>10224</v>
      </c>
      <c r="G3772" s="115" t="s">
        <v>10225</v>
      </c>
      <c r="H3772" s="115" t="s">
        <v>10226</v>
      </c>
    </row>
    <row r="3773" spans="1:8" x14ac:dyDescent="0.25">
      <c r="A3773" s="115">
        <v>801</v>
      </c>
      <c r="B3773" s="115" t="s">
        <v>257</v>
      </c>
      <c r="C3773" s="115" t="s">
        <v>9221</v>
      </c>
      <c r="D3773" s="115">
        <v>1</v>
      </c>
      <c r="E3773" s="115" t="s">
        <v>9222</v>
      </c>
      <c r="F3773" s="115" t="s">
        <v>9223</v>
      </c>
      <c r="G3773" s="115" t="s">
        <v>9224</v>
      </c>
      <c r="H3773" s="115" t="s">
        <v>10149</v>
      </c>
    </row>
    <row r="3774" spans="1:8" x14ac:dyDescent="0.25">
      <c r="A3774" s="115">
        <v>800</v>
      </c>
      <c r="B3774" s="115" t="s">
        <v>257</v>
      </c>
      <c r="C3774" s="115" t="s">
        <v>184</v>
      </c>
      <c r="D3774" s="115">
        <v>1</v>
      </c>
      <c r="E3774" s="115" t="s">
        <v>185</v>
      </c>
      <c r="F3774" s="115" t="s">
        <v>6750</v>
      </c>
      <c r="G3774" s="115" t="s">
        <v>6749</v>
      </c>
      <c r="H3774" s="115" t="s">
        <v>9922</v>
      </c>
    </row>
    <row r="3775" spans="1:8" x14ac:dyDescent="0.25">
      <c r="A3775" s="115">
        <v>799</v>
      </c>
      <c r="B3775" s="115" t="s">
        <v>257</v>
      </c>
      <c r="C3775" s="115" t="s">
        <v>186</v>
      </c>
      <c r="D3775" s="115">
        <v>1</v>
      </c>
      <c r="E3775" s="115" t="s">
        <v>187</v>
      </c>
      <c r="F3775" s="115" t="s">
        <v>10227</v>
      </c>
      <c r="G3775" s="115" t="s">
        <v>10228</v>
      </c>
      <c r="H3775" s="115" t="s">
        <v>10229</v>
      </c>
    </row>
    <row r="3776" spans="1:8" x14ac:dyDescent="0.25">
      <c r="A3776" s="115">
        <v>798</v>
      </c>
      <c r="B3776" s="115" t="s">
        <v>257</v>
      </c>
      <c r="C3776" s="115" t="s">
        <v>8690</v>
      </c>
      <c r="D3776" s="115">
        <v>1</v>
      </c>
      <c r="E3776" s="115" t="s">
        <v>165</v>
      </c>
      <c r="F3776" s="115" t="s">
        <v>9225</v>
      </c>
      <c r="G3776" s="115" t="s">
        <v>9483</v>
      </c>
      <c r="H3776" s="115" t="s">
        <v>9227</v>
      </c>
    </row>
    <row r="3777" spans="1:8" x14ac:dyDescent="0.25">
      <c r="A3777" s="115">
        <v>797</v>
      </c>
      <c r="B3777" s="115" t="s">
        <v>257</v>
      </c>
      <c r="C3777" s="115" t="s">
        <v>10230</v>
      </c>
      <c r="D3777" s="115">
        <v>1</v>
      </c>
      <c r="E3777" s="115" t="s">
        <v>768</v>
      </c>
      <c r="F3777" s="115" t="s">
        <v>1603</v>
      </c>
      <c r="G3777" s="115" t="s">
        <v>770</v>
      </c>
      <c r="H3777" s="115" t="s">
        <v>771</v>
      </c>
    </row>
    <row r="3778" spans="1:8" x14ac:dyDescent="0.25">
      <c r="A3778" s="115">
        <v>796</v>
      </c>
      <c r="B3778" s="115" t="s">
        <v>257</v>
      </c>
      <c r="C3778" s="115" t="s">
        <v>10231</v>
      </c>
      <c r="D3778" s="115">
        <v>1</v>
      </c>
      <c r="E3778" s="115" t="s">
        <v>10232</v>
      </c>
      <c r="F3778" s="115" t="s">
        <v>10233</v>
      </c>
      <c r="G3778" s="115" t="s">
        <v>10234</v>
      </c>
      <c r="H3778" s="115" t="s">
        <v>10235</v>
      </c>
    </row>
    <row r="3779" spans="1:8" x14ac:dyDescent="0.25">
      <c r="A3779" s="115">
        <v>795</v>
      </c>
      <c r="B3779" s="115" t="s">
        <v>257</v>
      </c>
      <c r="C3779" s="115" t="s">
        <v>10236</v>
      </c>
      <c r="D3779" s="115">
        <v>1</v>
      </c>
      <c r="E3779" s="115" t="s">
        <v>10237</v>
      </c>
      <c r="F3779" s="115" t="s">
        <v>10238</v>
      </c>
      <c r="G3779" s="115" t="s">
        <v>10239</v>
      </c>
      <c r="H3779" s="115" t="s">
        <v>10240</v>
      </c>
    </row>
    <row r="3780" spans="1:8" x14ac:dyDescent="0.25">
      <c r="A3780" s="115">
        <v>794</v>
      </c>
      <c r="B3780" s="115" t="s">
        <v>257</v>
      </c>
      <c r="C3780" s="115" t="s">
        <v>314</v>
      </c>
      <c r="D3780" s="115">
        <v>1</v>
      </c>
      <c r="E3780" s="115" t="s">
        <v>10241</v>
      </c>
      <c r="F3780" s="115" t="s">
        <v>3600</v>
      </c>
      <c r="G3780" s="115" t="s">
        <v>10242</v>
      </c>
      <c r="H3780" s="115" t="s">
        <v>318</v>
      </c>
    </row>
    <row r="3781" spans="1:8" ht="75" x14ac:dyDescent="0.25">
      <c r="A3781" s="115">
        <v>793</v>
      </c>
      <c r="B3781" s="115" t="s">
        <v>257</v>
      </c>
      <c r="C3781" s="115" t="s">
        <v>10243</v>
      </c>
      <c r="D3781" s="115">
        <v>1</v>
      </c>
      <c r="E3781" s="115" t="s">
        <v>10244</v>
      </c>
      <c r="F3781" s="115" t="s">
        <v>10245</v>
      </c>
      <c r="G3781" s="115" t="s">
        <v>10246</v>
      </c>
      <c r="H3781" s="115" t="s">
        <v>10247</v>
      </c>
    </row>
    <row r="3782" spans="1:8" ht="45" x14ac:dyDescent="0.25">
      <c r="A3782" s="115">
        <v>792</v>
      </c>
      <c r="B3782" s="115" t="s">
        <v>257</v>
      </c>
      <c r="C3782" s="115" t="s">
        <v>10248</v>
      </c>
      <c r="D3782" s="115">
        <v>1</v>
      </c>
      <c r="E3782" s="115" t="s">
        <v>10249</v>
      </c>
      <c r="F3782" s="115" t="s">
        <v>10250</v>
      </c>
      <c r="G3782" s="115" t="s">
        <v>10251</v>
      </c>
      <c r="H3782" s="115" t="s">
        <v>10252</v>
      </c>
    </row>
    <row r="3783" spans="1:8" ht="75" x14ac:dyDescent="0.25">
      <c r="A3783" s="115">
        <v>791</v>
      </c>
      <c r="B3783" s="115" t="s">
        <v>257</v>
      </c>
      <c r="C3783" s="115" t="s">
        <v>10253</v>
      </c>
      <c r="D3783" s="115">
        <v>1</v>
      </c>
      <c r="E3783" s="115" t="s">
        <v>10254</v>
      </c>
      <c r="F3783" s="115" t="s">
        <v>10255</v>
      </c>
      <c r="G3783" s="115" t="s">
        <v>10256</v>
      </c>
      <c r="H3783" s="115" t="s">
        <v>10257</v>
      </c>
    </row>
    <row r="3784" spans="1:8" ht="45" x14ac:dyDescent="0.25">
      <c r="A3784" s="115">
        <v>790</v>
      </c>
      <c r="B3784" s="115" t="s">
        <v>257</v>
      </c>
      <c r="C3784" s="115" t="s">
        <v>10258</v>
      </c>
      <c r="D3784" s="115">
        <v>1</v>
      </c>
      <c r="E3784" s="115" t="s">
        <v>10259</v>
      </c>
      <c r="F3784" s="115" t="s">
        <v>10260</v>
      </c>
      <c r="G3784" s="115" t="s">
        <v>10261</v>
      </c>
      <c r="H3784" s="115" t="s">
        <v>10262</v>
      </c>
    </row>
    <row r="3785" spans="1:8" x14ac:dyDescent="0.25">
      <c r="A3785" s="115">
        <v>789</v>
      </c>
      <c r="B3785" s="115" t="s">
        <v>9939</v>
      </c>
      <c r="C3785" s="115" t="s">
        <v>180</v>
      </c>
      <c r="D3785" s="115">
        <v>1</v>
      </c>
      <c r="E3785" s="115" t="s">
        <v>9940</v>
      </c>
      <c r="F3785" s="115" t="s">
        <v>74</v>
      </c>
      <c r="G3785" s="115" t="s">
        <v>74</v>
      </c>
      <c r="H3785" s="115" t="s">
        <v>74</v>
      </c>
    </row>
    <row r="3786" spans="1:8" x14ac:dyDescent="0.25">
      <c r="A3786" s="115">
        <v>788</v>
      </c>
      <c r="B3786" s="115" t="s">
        <v>149</v>
      </c>
      <c r="C3786" s="115" t="s">
        <v>9939</v>
      </c>
      <c r="D3786" s="115">
        <v>0</v>
      </c>
      <c r="E3786" s="115" t="s">
        <v>9940</v>
      </c>
      <c r="F3786" s="115" t="s">
        <v>9940</v>
      </c>
      <c r="G3786" s="115" t="s">
        <v>9940</v>
      </c>
      <c r="H3786" s="115" t="s">
        <v>9940</v>
      </c>
    </row>
    <row r="3787" spans="1:8" ht="60" x14ac:dyDescent="0.25">
      <c r="A3787" s="115">
        <v>787</v>
      </c>
      <c r="B3787" s="115" t="s">
        <v>257</v>
      </c>
      <c r="C3787" s="115" t="s">
        <v>10263</v>
      </c>
      <c r="D3787" s="115">
        <v>1</v>
      </c>
      <c r="E3787" s="115" t="s">
        <v>10264</v>
      </c>
      <c r="F3787" s="115" t="s">
        <v>10265</v>
      </c>
      <c r="G3787" s="115" t="s">
        <v>10266</v>
      </c>
      <c r="H3787" s="115" t="s">
        <v>10267</v>
      </c>
    </row>
    <row r="3788" spans="1:8" ht="30" x14ac:dyDescent="0.25">
      <c r="A3788" s="115">
        <v>786</v>
      </c>
      <c r="B3788" s="115" t="s">
        <v>257</v>
      </c>
      <c r="C3788" s="115" t="s">
        <v>10268</v>
      </c>
      <c r="D3788" s="115">
        <v>1</v>
      </c>
      <c r="E3788" s="115" t="s">
        <v>10269</v>
      </c>
      <c r="F3788" s="115" t="s">
        <v>10270</v>
      </c>
      <c r="G3788" s="115" t="s">
        <v>10271</v>
      </c>
      <c r="H3788" s="115" t="s">
        <v>10272</v>
      </c>
    </row>
    <row r="3789" spans="1:8" x14ac:dyDescent="0.25">
      <c r="A3789" s="115">
        <v>784</v>
      </c>
      <c r="B3789" s="115" t="s">
        <v>149</v>
      </c>
      <c r="C3789" s="115" t="s">
        <v>9949</v>
      </c>
      <c r="D3789" s="115">
        <v>0</v>
      </c>
      <c r="E3789" s="115" t="s">
        <v>10273</v>
      </c>
      <c r="F3789" s="115" t="s">
        <v>10274</v>
      </c>
      <c r="G3789" s="115" t="s">
        <v>10275</v>
      </c>
      <c r="H3789" s="115" t="s">
        <v>9953</v>
      </c>
    </row>
    <row r="3790" spans="1:8" ht="30" x14ac:dyDescent="0.25">
      <c r="A3790" s="115">
        <v>783</v>
      </c>
      <c r="B3790" s="115" t="s">
        <v>9949</v>
      </c>
      <c r="C3790" s="115" t="s">
        <v>180</v>
      </c>
      <c r="D3790" s="115">
        <v>1</v>
      </c>
      <c r="E3790" s="115" t="s">
        <v>9950</v>
      </c>
      <c r="F3790" s="115" t="s">
        <v>9951</v>
      </c>
      <c r="G3790" s="115" t="s">
        <v>9952</v>
      </c>
      <c r="H3790" s="115" t="s">
        <v>9953</v>
      </c>
    </row>
    <row r="3791" spans="1:8" x14ac:dyDescent="0.25">
      <c r="A3791" s="115">
        <v>782</v>
      </c>
      <c r="B3791" s="115" t="s">
        <v>260</v>
      </c>
      <c r="C3791" s="115" t="s">
        <v>180</v>
      </c>
      <c r="D3791" s="115">
        <v>1</v>
      </c>
      <c r="E3791" s="115" t="s">
        <v>261</v>
      </c>
      <c r="F3791" s="115" t="s">
        <v>10276</v>
      </c>
      <c r="G3791" s="115" t="s">
        <v>10277</v>
      </c>
      <c r="H3791" s="115" t="s">
        <v>10278</v>
      </c>
    </row>
    <row r="3792" spans="1:8" x14ac:dyDescent="0.25">
      <c r="A3792" s="115">
        <v>781</v>
      </c>
      <c r="B3792" s="115" t="s">
        <v>149</v>
      </c>
      <c r="C3792" s="115" t="s">
        <v>260</v>
      </c>
      <c r="D3792" s="115">
        <v>0</v>
      </c>
      <c r="E3792" s="115" t="s">
        <v>10279</v>
      </c>
      <c r="F3792" s="115" t="s">
        <v>10280</v>
      </c>
      <c r="G3792" s="115" t="s">
        <v>10281</v>
      </c>
      <c r="H3792" s="115" t="s">
        <v>10282</v>
      </c>
    </row>
    <row r="3793" spans="1:8" x14ac:dyDescent="0.25">
      <c r="A3793" s="115">
        <v>780</v>
      </c>
      <c r="B3793" s="115" t="s">
        <v>149</v>
      </c>
      <c r="C3793" s="115" t="s">
        <v>10283</v>
      </c>
      <c r="D3793" s="115">
        <v>0</v>
      </c>
      <c r="E3793" s="115" t="s">
        <v>9947</v>
      </c>
      <c r="F3793" s="115" t="s">
        <v>10284</v>
      </c>
      <c r="G3793" s="115" t="s">
        <v>10285</v>
      </c>
      <c r="H3793" s="115" t="s">
        <v>10286</v>
      </c>
    </row>
    <row r="3794" spans="1:8" x14ac:dyDescent="0.25">
      <c r="A3794" s="115">
        <v>779</v>
      </c>
      <c r="B3794" s="115" t="s">
        <v>10283</v>
      </c>
      <c r="C3794" s="115" t="s">
        <v>180</v>
      </c>
      <c r="D3794" s="115">
        <v>1</v>
      </c>
      <c r="E3794" s="115" t="s">
        <v>9947</v>
      </c>
      <c r="F3794" s="115" t="s">
        <v>9943</v>
      </c>
      <c r="G3794" s="115" t="s">
        <v>9944</v>
      </c>
      <c r="H3794" s="115" t="s">
        <v>9945</v>
      </c>
    </row>
    <row r="3795" spans="1:8" x14ac:dyDescent="0.25">
      <c r="A3795" s="115">
        <v>778</v>
      </c>
      <c r="B3795" s="115" t="s">
        <v>313</v>
      </c>
      <c r="C3795" s="115" t="s">
        <v>10287</v>
      </c>
      <c r="D3795" s="115">
        <v>1</v>
      </c>
      <c r="E3795" s="115" t="s">
        <v>10288</v>
      </c>
      <c r="F3795" s="115" t="s">
        <v>10289</v>
      </c>
      <c r="G3795" s="115" t="s">
        <v>10290</v>
      </c>
      <c r="H3795" s="115" t="s">
        <v>10291</v>
      </c>
    </row>
    <row r="3796" spans="1:8" ht="30" x14ac:dyDescent="0.25">
      <c r="A3796" s="115">
        <v>777</v>
      </c>
      <c r="B3796" s="115" t="s">
        <v>45</v>
      </c>
      <c r="C3796" s="115" t="s">
        <v>10292</v>
      </c>
      <c r="D3796" s="115">
        <v>1</v>
      </c>
      <c r="E3796" s="115" t="s">
        <v>10293</v>
      </c>
      <c r="F3796" s="115" t="s">
        <v>10294</v>
      </c>
      <c r="G3796" s="115" t="s">
        <v>10295</v>
      </c>
      <c r="H3796" s="115" t="s">
        <v>10296</v>
      </c>
    </row>
    <row r="3797" spans="1:8" ht="60" x14ac:dyDescent="0.25">
      <c r="A3797" s="115">
        <v>776</v>
      </c>
      <c r="B3797" s="115" t="s">
        <v>45</v>
      </c>
      <c r="C3797" s="115" t="s">
        <v>10297</v>
      </c>
      <c r="D3797" s="115">
        <v>1</v>
      </c>
      <c r="E3797" s="115" t="s">
        <v>10298</v>
      </c>
      <c r="F3797" s="115" t="s">
        <v>10299</v>
      </c>
      <c r="G3797" s="115" t="s">
        <v>10300</v>
      </c>
      <c r="H3797" s="115" t="s">
        <v>10301</v>
      </c>
    </row>
    <row r="3798" spans="1:8" ht="30" x14ac:dyDescent="0.25">
      <c r="A3798" s="115">
        <v>775</v>
      </c>
      <c r="B3798" s="115" t="s">
        <v>45</v>
      </c>
      <c r="C3798" s="115" t="s">
        <v>10302</v>
      </c>
      <c r="D3798" s="115">
        <v>1</v>
      </c>
      <c r="E3798" s="115" t="s">
        <v>10303</v>
      </c>
      <c r="F3798" s="115" t="s">
        <v>10304</v>
      </c>
      <c r="G3798" s="115" t="s">
        <v>10305</v>
      </c>
      <c r="H3798" s="115" t="s">
        <v>10306</v>
      </c>
    </row>
    <row r="3799" spans="1:8" x14ac:dyDescent="0.25">
      <c r="A3799" s="115">
        <v>774</v>
      </c>
      <c r="B3799" s="115" t="s">
        <v>377</v>
      </c>
      <c r="C3799" s="115" t="s">
        <v>10307</v>
      </c>
      <c r="D3799" s="115">
        <v>0</v>
      </c>
      <c r="E3799" s="115" t="s">
        <v>10308</v>
      </c>
      <c r="F3799" s="115" t="s">
        <v>10309</v>
      </c>
      <c r="G3799" s="115" t="s">
        <v>10310</v>
      </c>
      <c r="H3799" s="115" t="s">
        <v>10306</v>
      </c>
    </row>
    <row r="3800" spans="1:8" x14ac:dyDescent="0.25">
      <c r="A3800" s="115">
        <v>773</v>
      </c>
      <c r="B3800" s="115" t="s">
        <v>178</v>
      </c>
      <c r="C3800" s="115" t="s">
        <v>172</v>
      </c>
      <c r="D3800" s="115">
        <v>1</v>
      </c>
      <c r="E3800" s="115" t="s">
        <v>173</v>
      </c>
      <c r="F3800" s="115" t="s">
        <v>10311</v>
      </c>
      <c r="G3800" s="115" t="s">
        <v>10312</v>
      </c>
      <c r="H3800" s="115" t="s">
        <v>10313</v>
      </c>
    </row>
    <row r="3801" spans="1:8" ht="30" x14ac:dyDescent="0.25">
      <c r="A3801" s="115">
        <v>772</v>
      </c>
      <c r="B3801" s="115" t="s">
        <v>9216</v>
      </c>
      <c r="C3801" s="115" t="s">
        <v>10314</v>
      </c>
      <c r="D3801" s="115">
        <v>0</v>
      </c>
      <c r="E3801" s="115" t="s">
        <v>10315</v>
      </c>
      <c r="F3801" s="115" t="s">
        <v>10316</v>
      </c>
      <c r="G3801" s="115" t="s">
        <v>10317</v>
      </c>
      <c r="H3801" s="115" t="s">
        <v>74</v>
      </c>
    </row>
    <row r="3802" spans="1:8" ht="30" x14ac:dyDescent="0.25">
      <c r="A3802" s="115">
        <v>771</v>
      </c>
      <c r="B3802" s="115" t="s">
        <v>45</v>
      </c>
      <c r="C3802" s="115" t="s">
        <v>10318</v>
      </c>
      <c r="D3802" s="115">
        <v>1</v>
      </c>
      <c r="E3802" s="115" t="s">
        <v>10319</v>
      </c>
      <c r="F3802" s="115" t="s">
        <v>10320</v>
      </c>
      <c r="G3802" s="115" t="s">
        <v>10321</v>
      </c>
      <c r="H3802" s="115" t="s">
        <v>10322</v>
      </c>
    </row>
    <row r="3803" spans="1:8" ht="30" x14ac:dyDescent="0.25">
      <c r="A3803" s="115">
        <v>770</v>
      </c>
      <c r="B3803" s="115" t="s">
        <v>45</v>
      </c>
      <c r="C3803" s="115" t="s">
        <v>10323</v>
      </c>
      <c r="D3803" s="115">
        <v>1</v>
      </c>
      <c r="E3803" s="115" t="s">
        <v>10324</v>
      </c>
      <c r="F3803" s="115" t="s">
        <v>10325</v>
      </c>
      <c r="G3803" s="115" t="s">
        <v>10326</v>
      </c>
      <c r="H3803" s="115" t="s">
        <v>10327</v>
      </c>
    </row>
    <row r="3804" spans="1:8" x14ac:dyDescent="0.25">
      <c r="A3804" s="115">
        <v>769</v>
      </c>
      <c r="B3804" s="115" t="s">
        <v>45</v>
      </c>
      <c r="C3804" s="115" t="s">
        <v>10328</v>
      </c>
      <c r="D3804" s="115">
        <v>1</v>
      </c>
      <c r="E3804" s="115" t="s">
        <v>10329</v>
      </c>
      <c r="F3804" s="115" t="s">
        <v>10330</v>
      </c>
      <c r="G3804" s="115" t="s">
        <v>10331</v>
      </c>
      <c r="H3804" s="115" t="s">
        <v>10332</v>
      </c>
    </row>
    <row r="3805" spans="1:8" x14ac:dyDescent="0.25">
      <c r="A3805" s="115">
        <v>768</v>
      </c>
      <c r="B3805" s="115" t="s">
        <v>45</v>
      </c>
      <c r="C3805" s="115" t="s">
        <v>10333</v>
      </c>
      <c r="D3805" s="115">
        <v>1</v>
      </c>
      <c r="E3805" s="115" t="s">
        <v>9820</v>
      </c>
      <c r="F3805" s="115" t="s">
        <v>8360</v>
      </c>
      <c r="G3805" s="115" t="s">
        <v>713</v>
      </c>
      <c r="H3805" s="115" t="s">
        <v>10334</v>
      </c>
    </row>
    <row r="3806" spans="1:8" x14ac:dyDescent="0.25">
      <c r="A3806" s="115">
        <v>767</v>
      </c>
      <c r="B3806" s="115" t="s">
        <v>45</v>
      </c>
      <c r="C3806" s="115" t="s">
        <v>10335</v>
      </c>
      <c r="D3806" s="115">
        <v>1</v>
      </c>
      <c r="E3806" s="115" t="s">
        <v>10336</v>
      </c>
      <c r="F3806" s="115" t="s">
        <v>10337</v>
      </c>
      <c r="G3806" s="115" t="s">
        <v>10338</v>
      </c>
      <c r="H3806" s="115" t="s">
        <v>10339</v>
      </c>
    </row>
    <row r="3807" spans="1:8" x14ac:dyDescent="0.25">
      <c r="A3807" s="115">
        <v>766</v>
      </c>
      <c r="B3807" s="115" t="s">
        <v>45</v>
      </c>
      <c r="C3807" s="115" t="s">
        <v>9217</v>
      </c>
      <c r="D3807" s="115">
        <v>1</v>
      </c>
      <c r="E3807" s="115" t="s">
        <v>9218</v>
      </c>
      <c r="F3807" s="115" t="s">
        <v>9219</v>
      </c>
      <c r="G3807" s="115" t="s">
        <v>10340</v>
      </c>
      <c r="H3807" s="115" t="s">
        <v>10341</v>
      </c>
    </row>
    <row r="3808" spans="1:8" x14ac:dyDescent="0.25">
      <c r="A3808" s="115">
        <v>765</v>
      </c>
      <c r="B3808" s="115" t="s">
        <v>45</v>
      </c>
      <c r="C3808" s="115" t="s">
        <v>10342</v>
      </c>
      <c r="D3808" s="115">
        <v>1</v>
      </c>
      <c r="E3808" s="115" t="s">
        <v>10343</v>
      </c>
      <c r="F3808" s="115" t="s">
        <v>10344</v>
      </c>
      <c r="G3808" s="115" t="s">
        <v>10345</v>
      </c>
      <c r="H3808" s="115" t="s">
        <v>10346</v>
      </c>
    </row>
    <row r="3809" spans="1:8" x14ac:dyDescent="0.25">
      <c r="A3809" s="115">
        <v>764</v>
      </c>
      <c r="B3809" s="115" t="s">
        <v>45</v>
      </c>
      <c r="C3809" s="115" t="s">
        <v>10347</v>
      </c>
      <c r="D3809" s="115">
        <v>1</v>
      </c>
      <c r="E3809" s="115" t="s">
        <v>10348</v>
      </c>
      <c r="F3809" s="115" t="s">
        <v>10349</v>
      </c>
      <c r="G3809" s="115" t="s">
        <v>10350</v>
      </c>
      <c r="H3809" s="115" t="s">
        <v>10351</v>
      </c>
    </row>
    <row r="3810" spans="1:8" x14ac:dyDescent="0.25">
      <c r="A3810" s="115">
        <v>763</v>
      </c>
      <c r="B3810" s="115" t="s">
        <v>45</v>
      </c>
      <c r="C3810" s="115" t="s">
        <v>10352</v>
      </c>
      <c r="D3810" s="115">
        <v>1</v>
      </c>
      <c r="E3810" s="115" t="s">
        <v>10353</v>
      </c>
      <c r="F3810" s="115" t="s">
        <v>10354</v>
      </c>
      <c r="G3810" s="115" t="s">
        <v>10355</v>
      </c>
      <c r="H3810" s="115" t="s">
        <v>10356</v>
      </c>
    </row>
    <row r="3811" spans="1:8" x14ac:dyDescent="0.25">
      <c r="A3811" s="115">
        <v>762</v>
      </c>
      <c r="B3811" s="115" t="s">
        <v>45</v>
      </c>
      <c r="C3811" s="115" t="s">
        <v>10357</v>
      </c>
      <c r="D3811" s="115">
        <v>1</v>
      </c>
      <c r="E3811" s="115" t="s">
        <v>10358</v>
      </c>
      <c r="F3811" s="115" t="s">
        <v>10359</v>
      </c>
      <c r="G3811" s="115" t="s">
        <v>10360</v>
      </c>
      <c r="H3811" s="115" t="s">
        <v>10361</v>
      </c>
    </row>
    <row r="3812" spans="1:8" ht="60" x14ac:dyDescent="0.25">
      <c r="A3812" s="115">
        <v>761</v>
      </c>
      <c r="B3812" s="115" t="s">
        <v>45</v>
      </c>
      <c r="C3812" s="115" t="s">
        <v>10362</v>
      </c>
      <c r="D3812" s="115">
        <v>1</v>
      </c>
      <c r="E3812" s="115" t="s">
        <v>10363</v>
      </c>
      <c r="F3812" s="115" t="s">
        <v>10364</v>
      </c>
      <c r="G3812" s="115" t="s">
        <v>10365</v>
      </c>
      <c r="H3812" s="115" t="s">
        <v>10366</v>
      </c>
    </row>
    <row r="3813" spans="1:8" ht="30" x14ac:dyDescent="0.25">
      <c r="A3813" s="115">
        <v>760</v>
      </c>
      <c r="B3813" s="115" t="s">
        <v>71</v>
      </c>
      <c r="C3813" s="115" t="s">
        <v>10367</v>
      </c>
      <c r="D3813" s="115">
        <v>1</v>
      </c>
      <c r="E3813" s="115" t="s">
        <v>10368</v>
      </c>
      <c r="F3813" s="115" t="s">
        <v>10369</v>
      </c>
      <c r="G3813" s="115" t="s">
        <v>10370</v>
      </c>
      <c r="H3813" s="115" t="s">
        <v>10371</v>
      </c>
    </row>
    <row r="3814" spans="1:8" x14ac:dyDescent="0.25">
      <c r="A3814" s="115">
        <v>759</v>
      </c>
      <c r="B3814" s="115" t="s">
        <v>45</v>
      </c>
      <c r="C3814" s="115" t="s">
        <v>10372</v>
      </c>
      <c r="D3814" s="115">
        <v>1</v>
      </c>
      <c r="E3814" s="115" t="s">
        <v>10373</v>
      </c>
      <c r="F3814" s="115" t="s">
        <v>10374</v>
      </c>
      <c r="G3814" s="115" t="s">
        <v>10375</v>
      </c>
      <c r="H3814" s="115" t="s">
        <v>10376</v>
      </c>
    </row>
    <row r="3815" spans="1:8" x14ac:dyDescent="0.25">
      <c r="A3815" s="115">
        <v>758</v>
      </c>
      <c r="B3815" s="115" t="s">
        <v>45</v>
      </c>
      <c r="C3815" s="115" t="s">
        <v>10377</v>
      </c>
      <c r="D3815" s="115">
        <v>1</v>
      </c>
      <c r="E3815" s="115" t="s">
        <v>10378</v>
      </c>
      <c r="F3815" s="115" t="s">
        <v>10379</v>
      </c>
      <c r="G3815" s="115" t="s">
        <v>10380</v>
      </c>
      <c r="H3815" s="115" t="s">
        <v>10381</v>
      </c>
    </row>
    <row r="3816" spans="1:8" x14ac:dyDescent="0.25">
      <c r="A3816" s="115">
        <v>757</v>
      </c>
      <c r="B3816" s="115" t="s">
        <v>45</v>
      </c>
      <c r="C3816" s="115" t="s">
        <v>10382</v>
      </c>
      <c r="D3816" s="115">
        <v>1</v>
      </c>
      <c r="E3816" s="115" t="s">
        <v>10383</v>
      </c>
      <c r="F3816" s="115" t="s">
        <v>10384</v>
      </c>
      <c r="G3816" s="115" t="s">
        <v>10385</v>
      </c>
      <c r="H3816" s="115" t="s">
        <v>10386</v>
      </c>
    </row>
    <row r="3817" spans="1:8" x14ac:dyDescent="0.25">
      <c r="A3817" s="115">
        <v>756</v>
      </c>
      <c r="B3817" s="115" t="s">
        <v>45</v>
      </c>
      <c r="C3817" s="115" t="s">
        <v>10387</v>
      </c>
      <c r="D3817" s="115">
        <v>1</v>
      </c>
      <c r="E3817" s="115" t="s">
        <v>10388</v>
      </c>
      <c r="F3817" s="115" t="s">
        <v>10389</v>
      </c>
      <c r="G3817" s="115" t="s">
        <v>10390</v>
      </c>
      <c r="H3817" s="115" t="s">
        <v>10391</v>
      </c>
    </row>
    <row r="3818" spans="1:8" ht="30" x14ac:dyDescent="0.25">
      <c r="A3818" s="115">
        <v>755</v>
      </c>
      <c r="B3818" s="115" t="s">
        <v>45</v>
      </c>
      <c r="C3818" s="115" t="s">
        <v>10392</v>
      </c>
      <c r="D3818" s="115">
        <v>1</v>
      </c>
      <c r="E3818" s="115" t="s">
        <v>10393</v>
      </c>
      <c r="F3818" s="115" t="s">
        <v>10394</v>
      </c>
      <c r="G3818" s="115" t="s">
        <v>10395</v>
      </c>
      <c r="H3818" s="115" t="s">
        <v>10396</v>
      </c>
    </row>
    <row r="3819" spans="1:8" ht="30" x14ac:dyDescent="0.25">
      <c r="A3819" s="115">
        <v>754</v>
      </c>
      <c r="B3819" s="115" t="s">
        <v>45</v>
      </c>
      <c r="C3819" s="115" t="s">
        <v>10397</v>
      </c>
      <c r="D3819" s="115">
        <v>1</v>
      </c>
      <c r="E3819" s="115" t="s">
        <v>10398</v>
      </c>
      <c r="F3819" s="115" t="s">
        <v>10399</v>
      </c>
      <c r="G3819" s="115" t="s">
        <v>10400</v>
      </c>
      <c r="H3819" s="115" t="s">
        <v>10401</v>
      </c>
    </row>
    <row r="3820" spans="1:8" ht="45" x14ac:dyDescent="0.25">
      <c r="A3820" s="115">
        <v>753</v>
      </c>
      <c r="B3820" s="115" t="s">
        <v>45</v>
      </c>
      <c r="C3820" s="115" t="s">
        <v>10402</v>
      </c>
      <c r="D3820" s="115">
        <v>1</v>
      </c>
      <c r="E3820" s="115" t="s">
        <v>10403</v>
      </c>
      <c r="F3820" s="115" t="s">
        <v>10404</v>
      </c>
      <c r="G3820" s="115" t="s">
        <v>10405</v>
      </c>
      <c r="H3820" s="115" t="s">
        <v>10406</v>
      </c>
    </row>
    <row r="3821" spans="1:8" x14ac:dyDescent="0.25">
      <c r="A3821" s="115">
        <v>752</v>
      </c>
      <c r="B3821" s="115" t="s">
        <v>45</v>
      </c>
      <c r="C3821" s="115" t="s">
        <v>309</v>
      </c>
      <c r="D3821" s="115">
        <v>1</v>
      </c>
      <c r="E3821" s="115" t="s">
        <v>10407</v>
      </c>
      <c r="F3821" s="115" t="s">
        <v>10408</v>
      </c>
      <c r="G3821" s="115" t="s">
        <v>10409</v>
      </c>
      <c r="H3821" s="115" t="s">
        <v>10410</v>
      </c>
    </row>
    <row r="3822" spans="1:8" x14ac:dyDescent="0.25">
      <c r="A3822" s="115">
        <v>751</v>
      </c>
      <c r="B3822" s="115" t="s">
        <v>377</v>
      </c>
      <c r="C3822" s="115" t="s">
        <v>10411</v>
      </c>
      <c r="D3822" s="115">
        <v>0</v>
      </c>
      <c r="E3822" s="115" t="s">
        <v>10412</v>
      </c>
      <c r="F3822" s="115" t="s">
        <v>10413</v>
      </c>
      <c r="G3822" s="115" t="s">
        <v>10414</v>
      </c>
      <c r="H3822" s="115" t="s">
        <v>10415</v>
      </c>
    </row>
    <row r="3823" spans="1:8" x14ac:dyDescent="0.25">
      <c r="A3823" s="115">
        <v>750</v>
      </c>
      <c r="B3823" s="115" t="s">
        <v>45</v>
      </c>
      <c r="C3823" s="115" t="s">
        <v>10416</v>
      </c>
      <c r="D3823" s="115">
        <v>1</v>
      </c>
      <c r="E3823" s="115" t="s">
        <v>10417</v>
      </c>
      <c r="F3823" s="115" t="s">
        <v>10418</v>
      </c>
      <c r="G3823" s="115" t="s">
        <v>10419</v>
      </c>
      <c r="H3823" s="115" t="s">
        <v>10420</v>
      </c>
    </row>
    <row r="3824" spans="1:8" x14ac:dyDescent="0.25">
      <c r="A3824" s="115">
        <v>749</v>
      </c>
      <c r="B3824" s="115" t="s">
        <v>45</v>
      </c>
      <c r="C3824" s="115" t="s">
        <v>10421</v>
      </c>
      <c r="D3824" s="115">
        <v>1</v>
      </c>
      <c r="E3824" s="115" t="s">
        <v>10422</v>
      </c>
      <c r="F3824" s="115" t="s">
        <v>10423</v>
      </c>
      <c r="G3824" s="115" t="s">
        <v>10424</v>
      </c>
      <c r="H3824" s="115" t="s">
        <v>10425</v>
      </c>
    </row>
    <row r="3825" spans="1:8" x14ac:dyDescent="0.25">
      <c r="A3825" s="115">
        <v>748</v>
      </c>
      <c r="B3825" s="115" t="s">
        <v>45</v>
      </c>
      <c r="C3825" s="115" t="s">
        <v>10426</v>
      </c>
      <c r="D3825" s="115">
        <v>1</v>
      </c>
      <c r="E3825" s="115" t="s">
        <v>10427</v>
      </c>
      <c r="F3825" s="115" t="s">
        <v>10428</v>
      </c>
      <c r="G3825" s="115" t="s">
        <v>10429</v>
      </c>
      <c r="H3825" s="115" t="s">
        <v>10430</v>
      </c>
    </row>
    <row r="3826" spans="1:8" ht="30" x14ac:dyDescent="0.25">
      <c r="A3826" s="115">
        <v>747</v>
      </c>
      <c r="B3826" s="115" t="s">
        <v>313</v>
      </c>
      <c r="C3826" s="115" t="s">
        <v>10431</v>
      </c>
      <c r="D3826" s="115">
        <v>1</v>
      </c>
      <c r="E3826" s="115" t="s">
        <v>10432</v>
      </c>
      <c r="F3826" s="115" t="s">
        <v>74</v>
      </c>
      <c r="G3826" s="115" t="s">
        <v>74</v>
      </c>
      <c r="H3826" s="115" t="s">
        <v>74</v>
      </c>
    </row>
    <row r="3827" spans="1:8" ht="30" x14ac:dyDescent="0.25">
      <c r="A3827" s="115">
        <v>746</v>
      </c>
      <c r="B3827" s="115" t="s">
        <v>313</v>
      </c>
      <c r="C3827" s="115" t="s">
        <v>10433</v>
      </c>
      <c r="D3827" s="115">
        <v>1</v>
      </c>
      <c r="E3827" s="115" t="s">
        <v>10434</v>
      </c>
      <c r="F3827" s="115" t="s">
        <v>74</v>
      </c>
      <c r="G3827" s="115" t="s">
        <v>74</v>
      </c>
      <c r="H3827" s="115" t="s">
        <v>74</v>
      </c>
    </row>
    <row r="3828" spans="1:8" ht="30" x14ac:dyDescent="0.25">
      <c r="A3828" s="115">
        <v>745</v>
      </c>
      <c r="B3828" s="115" t="s">
        <v>313</v>
      </c>
      <c r="C3828" s="115" t="s">
        <v>10435</v>
      </c>
      <c r="D3828" s="115">
        <v>1</v>
      </c>
      <c r="E3828" s="115" t="s">
        <v>10436</v>
      </c>
      <c r="F3828" s="115" t="s">
        <v>10437</v>
      </c>
      <c r="G3828" s="115" t="s">
        <v>10438</v>
      </c>
      <c r="H3828" s="115" t="s">
        <v>10439</v>
      </c>
    </row>
    <row r="3829" spans="1:8" ht="30" x14ac:dyDescent="0.25">
      <c r="A3829" s="115">
        <v>744</v>
      </c>
      <c r="B3829" s="115" t="s">
        <v>313</v>
      </c>
      <c r="C3829" s="115" t="s">
        <v>10440</v>
      </c>
      <c r="D3829" s="115">
        <v>1</v>
      </c>
      <c r="E3829" s="115" t="s">
        <v>10441</v>
      </c>
      <c r="F3829" s="115" t="s">
        <v>10442</v>
      </c>
      <c r="G3829" s="115" t="s">
        <v>10443</v>
      </c>
      <c r="H3829" s="115" t="s">
        <v>10444</v>
      </c>
    </row>
    <row r="3830" spans="1:8" x14ac:dyDescent="0.25">
      <c r="A3830" s="115">
        <v>743</v>
      </c>
      <c r="B3830" s="115" t="s">
        <v>45</v>
      </c>
      <c r="C3830" s="115" t="s">
        <v>10445</v>
      </c>
      <c r="D3830" s="115">
        <v>1</v>
      </c>
      <c r="E3830" s="115" t="s">
        <v>10446</v>
      </c>
      <c r="F3830" s="115" t="s">
        <v>10447</v>
      </c>
      <c r="G3830" s="115" t="s">
        <v>10448</v>
      </c>
      <c r="H3830" s="115" t="s">
        <v>10449</v>
      </c>
    </row>
    <row r="3831" spans="1:8" ht="45" x14ac:dyDescent="0.25">
      <c r="A3831" s="115">
        <v>742</v>
      </c>
      <c r="B3831" s="115" t="s">
        <v>45</v>
      </c>
      <c r="C3831" s="115" t="s">
        <v>10450</v>
      </c>
      <c r="D3831" s="115">
        <v>1</v>
      </c>
      <c r="E3831" s="115" t="s">
        <v>10451</v>
      </c>
      <c r="F3831" s="115" t="s">
        <v>10452</v>
      </c>
      <c r="G3831" s="115" t="s">
        <v>10453</v>
      </c>
      <c r="H3831" s="115" t="s">
        <v>10454</v>
      </c>
    </row>
    <row r="3832" spans="1:8" ht="60" x14ac:dyDescent="0.25">
      <c r="A3832" s="115">
        <v>741</v>
      </c>
      <c r="B3832" s="115" t="s">
        <v>45</v>
      </c>
      <c r="C3832" s="115" t="s">
        <v>10455</v>
      </c>
      <c r="D3832" s="115">
        <v>1</v>
      </c>
      <c r="E3832" s="115" t="s">
        <v>10456</v>
      </c>
      <c r="F3832" s="115" t="s">
        <v>10457</v>
      </c>
      <c r="G3832" s="115" t="s">
        <v>10458</v>
      </c>
      <c r="H3832" s="115" t="s">
        <v>10459</v>
      </c>
    </row>
    <row r="3833" spans="1:8" ht="30" x14ac:dyDescent="0.25">
      <c r="A3833" s="115">
        <v>740</v>
      </c>
      <c r="B3833" s="115" t="s">
        <v>313</v>
      </c>
      <c r="C3833" s="115" t="s">
        <v>10460</v>
      </c>
      <c r="D3833" s="115">
        <v>1</v>
      </c>
      <c r="E3833" s="115" t="s">
        <v>10461</v>
      </c>
      <c r="F3833" s="115" t="s">
        <v>10462</v>
      </c>
      <c r="G3833" s="115" t="s">
        <v>10463</v>
      </c>
      <c r="H3833" s="115" t="s">
        <v>10464</v>
      </c>
    </row>
    <row r="3834" spans="1:8" ht="30" x14ac:dyDescent="0.25">
      <c r="A3834" s="115">
        <v>739</v>
      </c>
      <c r="B3834" s="115" t="s">
        <v>313</v>
      </c>
      <c r="C3834" s="115" t="s">
        <v>10465</v>
      </c>
      <c r="D3834" s="115">
        <v>1</v>
      </c>
      <c r="E3834" s="115" t="s">
        <v>10466</v>
      </c>
      <c r="F3834" s="115" t="s">
        <v>10467</v>
      </c>
      <c r="G3834" s="115" t="s">
        <v>10468</v>
      </c>
      <c r="H3834" s="115" t="s">
        <v>10469</v>
      </c>
    </row>
    <row r="3835" spans="1:8" ht="30" x14ac:dyDescent="0.25">
      <c r="A3835" s="115">
        <v>738</v>
      </c>
      <c r="B3835" s="115" t="s">
        <v>313</v>
      </c>
      <c r="C3835" s="115" t="s">
        <v>10470</v>
      </c>
      <c r="D3835" s="115">
        <v>1</v>
      </c>
      <c r="E3835" s="115" t="s">
        <v>10471</v>
      </c>
      <c r="F3835" s="115" t="s">
        <v>10472</v>
      </c>
      <c r="G3835" s="115" t="s">
        <v>10473</v>
      </c>
      <c r="H3835" s="115" t="s">
        <v>10474</v>
      </c>
    </row>
    <row r="3836" spans="1:8" ht="30" x14ac:dyDescent="0.25">
      <c r="A3836" s="115">
        <v>737</v>
      </c>
      <c r="B3836" s="115" t="s">
        <v>313</v>
      </c>
      <c r="C3836" s="115" t="s">
        <v>10475</v>
      </c>
      <c r="D3836" s="115">
        <v>1</v>
      </c>
      <c r="E3836" s="115" t="s">
        <v>10476</v>
      </c>
      <c r="F3836" s="115" t="s">
        <v>10477</v>
      </c>
      <c r="G3836" s="115" t="s">
        <v>10478</v>
      </c>
      <c r="H3836" s="115" t="s">
        <v>10479</v>
      </c>
    </row>
    <row r="3837" spans="1:8" ht="30" x14ac:dyDescent="0.25">
      <c r="A3837" s="115">
        <v>736</v>
      </c>
      <c r="B3837" s="115" t="s">
        <v>313</v>
      </c>
      <c r="C3837" s="115" t="s">
        <v>10480</v>
      </c>
      <c r="D3837" s="115">
        <v>1</v>
      </c>
      <c r="E3837" s="115" t="s">
        <v>10481</v>
      </c>
      <c r="F3837" s="115" t="s">
        <v>10482</v>
      </c>
      <c r="G3837" s="115" t="s">
        <v>10483</v>
      </c>
      <c r="H3837" s="115" t="s">
        <v>10484</v>
      </c>
    </row>
    <row r="3838" spans="1:8" x14ac:dyDescent="0.25">
      <c r="A3838" s="115">
        <v>735</v>
      </c>
      <c r="B3838" s="115" t="s">
        <v>313</v>
      </c>
      <c r="C3838" s="115" t="s">
        <v>10485</v>
      </c>
      <c r="D3838" s="115">
        <v>1</v>
      </c>
      <c r="E3838" s="115" t="s">
        <v>10486</v>
      </c>
      <c r="F3838" s="115" t="s">
        <v>10487</v>
      </c>
      <c r="G3838" s="115" t="s">
        <v>10488</v>
      </c>
      <c r="H3838" s="115" t="s">
        <v>10489</v>
      </c>
    </row>
    <row r="3839" spans="1:8" ht="30" x14ac:dyDescent="0.25">
      <c r="A3839" s="115">
        <v>734</v>
      </c>
      <c r="B3839" s="115" t="s">
        <v>313</v>
      </c>
      <c r="C3839" s="115" t="s">
        <v>10490</v>
      </c>
      <c r="D3839" s="115">
        <v>1</v>
      </c>
      <c r="E3839" s="115" t="s">
        <v>10491</v>
      </c>
      <c r="F3839" s="115" t="s">
        <v>10492</v>
      </c>
      <c r="G3839" s="115" t="s">
        <v>10493</v>
      </c>
      <c r="H3839" s="115" t="s">
        <v>10494</v>
      </c>
    </row>
    <row r="3840" spans="1:8" ht="30" x14ac:dyDescent="0.25">
      <c r="A3840" s="115">
        <v>733</v>
      </c>
      <c r="B3840" s="115" t="s">
        <v>313</v>
      </c>
      <c r="C3840" s="115" t="s">
        <v>10495</v>
      </c>
      <c r="D3840" s="115">
        <v>1</v>
      </c>
      <c r="E3840" s="115" t="s">
        <v>10066</v>
      </c>
      <c r="F3840" s="115" t="s">
        <v>10067</v>
      </c>
      <c r="G3840" s="115" t="s">
        <v>10068</v>
      </c>
      <c r="H3840" s="115" t="s">
        <v>10496</v>
      </c>
    </row>
    <row r="3841" spans="1:8" ht="30" x14ac:dyDescent="0.25">
      <c r="A3841" s="115">
        <v>732</v>
      </c>
      <c r="B3841" s="115" t="s">
        <v>313</v>
      </c>
      <c r="C3841" s="115" t="s">
        <v>10497</v>
      </c>
      <c r="D3841" s="115">
        <v>1</v>
      </c>
      <c r="E3841" s="115" t="s">
        <v>10498</v>
      </c>
      <c r="F3841" s="115" t="s">
        <v>10499</v>
      </c>
      <c r="G3841" s="115" t="s">
        <v>10500</v>
      </c>
      <c r="H3841" s="115" t="s">
        <v>10501</v>
      </c>
    </row>
    <row r="3842" spans="1:8" ht="30" x14ac:dyDescent="0.25">
      <c r="A3842" s="115">
        <v>731</v>
      </c>
      <c r="B3842" s="115" t="s">
        <v>313</v>
      </c>
      <c r="C3842" s="115" t="s">
        <v>10502</v>
      </c>
      <c r="D3842" s="115">
        <v>1</v>
      </c>
      <c r="E3842" s="115" t="s">
        <v>10503</v>
      </c>
      <c r="F3842" s="115" t="s">
        <v>10504</v>
      </c>
      <c r="G3842" s="115" t="s">
        <v>10505</v>
      </c>
      <c r="H3842" s="115" t="s">
        <v>10506</v>
      </c>
    </row>
    <row r="3843" spans="1:8" x14ac:dyDescent="0.25">
      <c r="A3843" s="115">
        <v>730</v>
      </c>
      <c r="B3843" s="115" t="s">
        <v>313</v>
      </c>
      <c r="C3843" s="115" t="s">
        <v>10507</v>
      </c>
      <c r="D3843" s="115">
        <v>1</v>
      </c>
      <c r="E3843" s="115" t="s">
        <v>10508</v>
      </c>
      <c r="F3843" s="115" t="s">
        <v>10509</v>
      </c>
      <c r="G3843" s="115" t="s">
        <v>10510</v>
      </c>
      <c r="H3843" s="115" t="s">
        <v>10511</v>
      </c>
    </row>
    <row r="3844" spans="1:8" x14ac:dyDescent="0.25">
      <c r="A3844" s="115">
        <v>729</v>
      </c>
      <c r="B3844" s="115" t="s">
        <v>313</v>
      </c>
      <c r="C3844" s="115" t="s">
        <v>10512</v>
      </c>
      <c r="D3844" s="115">
        <v>1</v>
      </c>
      <c r="E3844" s="115" t="s">
        <v>9913</v>
      </c>
      <c r="F3844" s="115" t="s">
        <v>9913</v>
      </c>
      <c r="G3844" s="115" t="s">
        <v>9914</v>
      </c>
      <c r="H3844" s="115" t="s">
        <v>9915</v>
      </c>
    </row>
    <row r="3845" spans="1:8" ht="30" x14ac:dyDescent="0.25">
      <c r="A3845" s="115">
        <v>728</v>
      </c>
      <c r="B3845" s="115" t="s">
        <v>313</v>
      </c>
      <c r="C3845" s="115" t="s">
        <v>10513</v>
      </c>
      <c r="D3845" s="115">
        <v>1</v>
      </c>
      <c r="E3845" s="115" t="s">
        <v>10514</v>
      </c>
      <c r="F3845" s="115" t="s">
        <v>10515</v>
      </c>
      <c r="G3845" s="115" t="s">
        <v>10516</v>
      </c>
      <c r="H3845" s="115" t="s">
        <v>10517</v>
      </c>
    </row>
    <row r="3846" spans="1:8" ht="30" x14ac:dyDescent="0.25">
      <c r="A3846" s="115">
        <v>727</v>
      </c>
      <c r="B3846" s="115" t="s">
        <v>313</v>
      </c>
      <c r="C3846" s="115" t="s">
        <v>10518</v>
      </c>
      <c r="D3846" s="115">
        <v>1</v>
      </c>
      <c r="E3846" s="115" t="s">
        <v>10519</v>
      </c>
      <c r="F3846" s="115" t="s">
        <v>10520</v>
      </c>
      <c r="G3846" s="115" t="s">
        <v>10521</v>
      </c>
      <c r="H3846" s="115" t="s">
        <v>10522</v>
      </c>
    </row>
    <row r="3847" spans="1:8" x14ac:dyDescent="0.25">
      <c r="A3847" s="115">
        <v>726</v>
      </c>
      <c r="B3847" s="115" t="s">
        <v>313</v>
      </c>
      <c r="C3847" s="115" t="s">
        <v>10523</v>
      </c>
      <c r="D3847" s="115">
        <v>1</v>
      </c>
      <c r="E3847" s="115" t="s">
        <v>10524</v>
      </c>
      <c r="F3847" s="115" t="s">
        <v>10524</v>
      </c>
      <c r="G3847" s="115" t="s">
        <v>10524</v>
      </c>
      <c r="H3847" s="115" t="s">
        <v>10525</v>
      </c>
    </row>
    <row r="3848" spans="1:8" x14ac:dyDescent="0.25">
      <c r="A3848" s="115">
        <v>725</v>
      </c>
      <c r="B3848" s="115" t="s">
        <v>313</v>
      </c>
      <c r="C3848" s="115" t="s">
        <v>10526</v>
      </c>
      <c r="D3848" s="115">
        <v>1</v>
      </c>
      <c r="E3848" s="115" t="s">
        <v>10527</v>
      </c>
      <c r="F3848" s="115" t="s">
        <v>10528</v>
      </c>
      <c r="G3848" s="115" t="s">
        <v>5258</v>
      </c>
      <c r="H3848" s="115" t="s">
        <v>10529</v>
      </c>
    </row>
    <row r="3849" spans="1:8" ht="30" x14ac:dyDescent="0.25">
      <c r="A3849" s="115">
        <v>724</v>
      </c>
      <c r="B3849" s="115" t="s">
        <v>313</v>
      </c>
      <c r="C3849" s="115" t="s">
        <v>10530</v>
      </c>
      <c r="D3849" s="115">
        <v>1</v>
      </c>
      <c r="E3849" s="115" t="s">
        <v>10531</v>
      </c>
      <c r="F3849" s="115" t="s">
        <v>10532</v>
      </c>
      <c r="G3849" s="115" t="s">
        <v>10532</v>
      </c>
      <c r="H3849" s="115" t="s">
        <v>1625</v>
      </c>
    </row>
    <row r="3850" spans="1:8" ht="30" x14ac:dyDescent="0.25">
      <c r="A3850" s="115">
        <v>723</v>
      </c>
      <c r="B3850" s="115" t="s">
        <v>45</v>
      </c>
      <c r="C3850" s="115" t="s">
        <v>10533</v>
      </c>
      <c r="D3850" s="115">
        <v>1</v>
      </c>
      <c r="E3850" s="115" t="s">
        <v>10534</v>
      </c>
      <c r="F3850" s="115" t="s">
        <v>10535</v>
      </c>
      <c r="G3850" s="115" t="s">
        <v>10536</v>
      </c>
      <c r="H3850" s="115" t="s">
        <v>10537</v>
      </c>
    </row>
    <row r="3851" spans="1:8" x14ac:dyDescent="0.25">
      <c r="A3851" s="115">
        <v>722</v>
      </c>
      <c r="B3851" s="115" t="s">
        <v>45</v>
      </c>
      <c r="C3851" s="115" t="s">
        <v>10538</v>
      </c>
      <c r="D3851" s="115">
        <v>1</v>
      </c>
      <c r="E3851" s="115" t="s">
        <v>10166</v>
      </c>
      <c r="F3851" s="115" t="s">
        <v>10167</v>
      </c>
      <c r="G3851" s="115" t="s">
        <v>10168</v>
      </c>
      <c r="H3851" s="115" t="s">
        <v>10169</v>
      </c>
    </row>
    <row r="3852" spans="1:8" x14ac:dyDescent="0.25">
      <c r="A3852" s="115">
        <v>721</v>
      </c>
      <c r="B3852" s="115" t="s">
        <v>45</v>
      </c>
      <c r="C3852" s="115" t="s">
        <v>10539</v>
      </c>
      <c r="D3852" s="115">
        <v>1</v>
      </c>
      <c r="E3852" s="115" t="s">
        <v>10540</v>
      </c>
      <c r="F3852" s="115" t="s">
        <v>10541</v>
      </c>
      <c r="G3852" s="115" t="s">
        <v>10542</v>
      </c>
      <c r="H3852" s="115" t="s">
        <v>10543</v>
      </c>
    </row>
    <row r="3853" spans="1:8" x14ac:dyDescent="0.25">
      <c r="A3853" s="115">
        <v>720</v>
      </c>
      <c r="B3853" s="115" t="s">
        <v>45</v>
      </c>
      <c r="C3853" s="115" t="s">
        <v>10544</v>
      </c>
      <c r="D3853" s="115">
        <v>1</v>
      </c>
      <c r="E3853" s="115" t="s">
        <v>10171</v>
      </c>
      <c r="F3853" s="115" t="s">
        <v>10172</v>
      </c>
      <c r="G3853" s="115" t="s">
        <v>10173</v>
      </c>
      <c r="H3853" s="115" t="s">
        <v>10545</v>
      </c>
    </row>
    <row r="3854" spans="1:8" x14ac:dyDescent="0.25">
      <c r="A3854" s="115">
        <v>719</v>
      </c>
      <c r="B3854" s="115" t="s">
        <v>45</v>
      </c>
      <c r="C3854" s="115" t="s">
        <v>10546</v>
      </c>
      <c r="D3854" s="115">
        <v>1</v>
      </c>
      <c r="E3854" s="115" t="s">
        <v>10176</v>
      </c>
      <c r="F3854" s="115" t="s">
        <v>10177</v>
      </c>
      <c r="G3854" s="115" t="s">
        <v>10178</v>
      </c>
      <c r="H3854" s="115" t="s">
        <v>10547</v>
      </c>
    </row>
    <row r="3855" spans="1:8" x14ac:dyDescent="0.25">
      <c r="A3855" s="115">
        <v>718</v>
      </c>
      <c r="B3855" s="115" t="s">
        <v>45</v>
      </c>
      <c r="C3855" s="115" t="s">
        <v>10548</v>
      </c>
      <c r="D3855" s="115">
        <v>1</v>
      </c>
      <c r="E3855" s="115" t="s">
        <v>10549</v>
      </c>
      <c r="F3855" s="115" t="s">
        <v>10550</v>
      </c>
      <c r="G3855" s="115" t="s">
        <v>10551</v>
      </c>
      <c r="H3855" s="115" t="s">
        <v>10044</v>
      </c>
    </row>
    <row r="3856" spans="1:8" ht="30" x14ac:dyDescent="0.25">
      <c r="A3856" s="115">
        <v>716</v>
      </c>
      <c r="B3856" s="115" t="s">
        <v>45</v>
      </c>
      <c r="C3856" s="115" t="s">
        <v>10552</v>
      </c>
      <c r="D3856" s="115">
        <v>1</v>
      </c>
      <c r="E3856" s="115" t="s">
        <v>10553</v>
      </c>
      <c r="F3856" s="115" t="s">
        <v>10554</v>
      </c>
      <c r="G3856" s="115" t="s">
        <v>10555</v>
      </c>
      <c r="H3856" s="115" t="s">
        <v>10556</v>
      </c>
    </row>
    <row r="3857" spans="1:8" ht="30" x14ac:dyDescent="0.25">
      <c r="A3857" s="115">
        <v>715</v>
      </c>
      <c r="B3857" s="115" t="s">
        <v>45</v>
      </c>
      <c r="C3857" s="115" t="s">
        <v>10557</v>
      </c>
      <c r="D3857" s="115">
        <v>1</v>
      </c>
      <c r="E3857" s="115" t="s">
        <v>10558</v>
      </c>
      <c r="F3857" s="115" t="s">
        <v>10559</v>
      </c>
      <c r="G3857" s="115" t="s">
        <v>10560</v>
      </c>
      <c r="H3857" s="115" t="s">
        <v>10561</v>
      </c>
    </row>
    <row r="3858" spans="1:8" ht="30" x14ac:dyDescent="0.25">
      <c r="A3858" s="115">
        <v>714</v>
      </c>
      <c r="B3858" s="115" t="s">
        <v>45</v>
      </c>
      <c r="C3858" s="115" t="s">
        <v>10562</v>
      </c>
      <c r="D3858" s="115">
        <v>1</v>
      </c>
      <c r="E3858" s="115" t="s">
        <v>10563</v>
      </c>
      <c r="F3858" s="115" t="s">
        <v>10564</v>
      </c>
      <c r="G3858" s="115" t="s">
        <v>10565</v>
      </c>
      <c r="H3858" s="115" t="s">
        <v>10566</v>
      </c>
    </row>
    <row r="3859" spans="1:8" ht="30" x14ac:dyDescent="0.25">
      <c r="A3859" s="115">
        <v>713</v>
      </c>
      <c r="B3859" s="115" t="s">
        <v>45</v>
      </c>
      <c r="C3859" s="115" t="s">
        <v>10567</v>
      </c>
      <c r="D3859" s="115">
        <v>1</v>
      </c>
      <c r="E3859" s="115" t="s">
        <v>10568</v>
      </c>
      <c r="F3859" s="115" t="s">
        <v>10569</v>
      </c>
      <c r="G3859" s="115" t="s">
        <v>10570</v>
      </c>
      <c r="H3859" s="115" t="s">
        <v>10571</v>
      </c>
    </row>
    <row r="3860" spans="1:8" x14ac:dyDescent="0.25">
      <c r="A3860" s="115">
        <v>712</v>
      </c>
      <c r="B3860" s="115" t="s">
        <v>45</v>
      </c>
      <c r="C3860" s="115" t="s">
        <v>10572</v>
      </c>
      <c r="D3860" s="115">
        <v>1</v>
      </c>
      <c r="E3860" s="115" t="s">
        <v>10573</v>
      </c>
      <c r="F3860" s="115" t="s">
        <v>10574</v>
      </c>
      <c r="G3860" s="115" t="s">
        <v>10575</v>
      </c>
      <c r="H3860" s="115" t="s">
        <v>10576</v>
      </c>
    </row>
    <row r="3861" spans="1:8" ht="30" x14ac:dyDescent="0.25">
      <c r="A3861" s="115">
        <v>711</v>
      </c>
      <c r="B3861" s="115" t="s">
        <v>313</v>
      </c>
      <c r="C3861" s="115" t="s">
        <v>10577</v>
      </c>
      <c r="D3861" s="115">
        <v>1</v>
      </c>
      <c r="E3861" s="115" t="s">
        <v>10578</v>
      </c>
      <c r="F3861" s="115" t="s">
        <v>10579</v>
      </c>
      <c r="G3861" s="115" t="s">
        <v>10580</v>
      </c>
      <c r="H3861" s="115" t="s">
        <v>10581</v>
      </c>
    </row>
    <row r="3862" spans="1:8" ht="30" x14ac:dyDescent="0.25">
      <c r="A3862" s="115">
        <v>710</v>
      </c>
      <c r="B3862" s="115" t="s">
        <v>313</v>
      </c>
      <c r="C3862" s="115" t="s">
        <v>10582</v>
      </c>
      <c r="D3862" s="115">
        <v>1</v>
      </c>
      <c r="E3862" s="115" t="s">
        <v>10583</v>
      </c>
      <c r="F3862" s="115" t="s">
        <v>10042</v>
      </c>
      <c r="G3862" s="115" t="s">
        <v>10584</v>
      </c>
      <c r="H3862" s="115" t="s">
        <v>10585</v>
      </c>
    </row>
    <row r="3863" spans="1:8" ht="30" x14ac:dyDescent="0.25">
      <c r="A3863" s="115">
        <v>709</v>
      </c>
      <c r="B3863" s="115" t="s">
        <v>313</v>
      </c>
      <c r="C3863" s="115" t="s">
        <v>10586</v>
      </c>
      <c r="D3863" s="115">
        <v>1</v>
      </c>
      <c r="E3863" s="115" t="s">
        <v>10066</v>
      </c>
      <c r="F3863" s="115" t="s">
        <v>10067</v>
      </c>
      <c r="G3863" s="115" t="s">
        <v>10068</v>
      </c>
      <c r="H3863" s="115" t="s">
        <v>10496</v>
      </c>
    </row>
    <row r="3864" spans="1:8" ht="30" x14ac:dyDescent="0.25">
      <c r="A3864" s="115">
        <v>708</v>
      </c>
      <c r="B3864" s="115" t="s">
        <v>313</v>
      </c>
      <c r="C3864" s="115" t="s">
        <v>10587</v>
      </c>
      <c r="D3864" s="115">
        <v>1</v>
      </c>
      <c r="E3864" s="115" t="s">
        <v>10588</v>
      </c>
      <c r="F3864" s="115" t="s">
        <v>10589</v>
      </c>
      <c r="G3864" s="115" t="s">
        <v>10590</v>
      </c>
      <c r="H3864" s="115" t="s">
        <v>10591</v>
      </c>
    </row>
    <row r="3865" spans="1:8" x14ac:dyDescent="0.25">
      <c r="A3865" s="115">
        <v>704</v>
      </c>
      <c r="B3865" s="115" t="s">
        <v>71</v>
      </c>
      <c r="C3865" s="115" t="s">
        <v>10592</v>
      </c>
      <c r="D3865" s="115">
        <v>1</v>
      </c>
      <c r="E3865" s="115" t="s">
        <v>10593</v>
      </c>
      <c r="F3865" s="115" t="s">
        <v>10594</v>
      </c>
      <c r="G3865" s="115" t="s">
        <v>10595</v>
      </c>
      <c r="H3865" s="115" t="s">
        <v>10596</v>
      </c>
    </row>
    <row r="3866" spans="1:8" ht="30" x14ac:dyDescent="0.25">
      <c r="A3866" s="115">
        <v>703</v>
      </c>
      <c r="B3866" s="115" t="s">
        <v>71</v>
      </c>
      <c r="C3866" s="115" t="s">
        <v>10597</v>
      </c>
      <c r="D3866" s="115">
        <v>1</v>
      </c>
      <c r="E3866" s="115" t="s">
        <v>10598</v>
      </c>
      <c r="F3866" s="115" t="s">
        <v>10599</v>
      </c>
      <c r="G3866" s="115" t="s">
        <v>10600</v>
      </c>
      <c r="H3866" s="115" t="s">
        <v>10601</v>
      </c>
    </row>
    <row r="3867" spans="1:8" x14ac:dyDescent="0.25">
      <c r="A3867" s="115">
        <v>702</v>
      </c>
      <c r="B3867" s="115" t="s">
        <v>45</v>
      </c>
      <c r="C3867" s="115" t="s">
        <v>8645</v>
      </c>
      <c r="D3867" s="115">
        <v>1</v>
      </c>
      <c r="E3867" s="115" t="s">
        <v>8646</v>
      </c>
      <c r="F3867" s="115" t="s">
        <v>8647</v>
      </c>
      <c r="G3867" s="115" t="s">
        <v>8648</v>
      </c>
      <c r="H3867" s="115" t="s">
        <v>74</v>
      </c>
    </row>
    <row r="3868" spans="1:8" x14ac:dyDescent="0.25">
      <c r="A3868" s="115">
        <v>701</v>
      </c>
      <c r="B3868" s="115" t="s">
        <v>377</v>
      </c>
      <c r="C3868" s="115" t="s">
        <v>10602</v>
      </c>
      <c r="D3868" s="115">
        <v>0</v>
      </c>
      <c r="E3868" s="115" t="s">
        <v>8642</v>
      </c>
      <c r="F3868" s="115" t="s">
        <v>8643</v>
      </c>
      <c r="G3868" s="115" t="s">
        <v>8644</v>
      </c>
      <c r="H3868" s="115" t="s">
        <v>8851</v>
      </c>
    </row>
    <row r="3869" spans="1:8" ht="30" x14ac:dyDescent="0.25">
      <c r="A3869" s="115">
        <v>700</v>
      </c>
      <c r="B3869" s="115" t="s">
        <v>45</v>
      </c>
      <c r="C3869" s="115" t="s">
        <v>10603</v>
      </c>
      <c r="D3869" s="115">
        <v>1</v>
      </c>
      <c r="E3869" s="115" t="s">
        <v>10604</v>
      </c>
      <c r="F3869" s="115" t="s">
        <v>10605</v>
      </c>
      <c r="G3869" s="115" t="s">
        <v>10606</v>
      </c>
      <c r="H3869" s="115" t="s">
        <v>10607</v>
      </c>
    </row>
    <row r="3870" spans="1:8" x14ac:dyDescent="0.25">
      <c r="A3870" s="115">
        <v>699</v>
      </c>
      <c r="B3870" s="115" t="s">
        <v>9216</v>
      </c>
      <c r="C3870" s="115" t="s">
        <v>10608</v>
      </c>
      <c r="D3870" s="115">
        <v>0</v>
      </c>
      <c r="E3870" s="115" t="s">
        <v>5867</v>
      </c>
      <c r="F3870" s="115" t="s">
        <v>5868</v>
      </c>
      <c r="G3870" s="115" t="s">
        <v>5869</v>
      </c>
      <c r="H3870" s="115" t="s">
        <v>5870</v>
      </c>
    </row>
    <row r="3871" spans="1:8" x14ac:dyDescent="0.25">
      <c r="A3871" s="115">
        <v>698</v>
      </c>
      <c r="B3871" s="115" t="s">
        <v>9216</v>
      </c>
      <c r="C3871" s="115" t="s">
        <v>10609</v>
      </c>
      <c r="D3871" s="115">
        <v>0</v>
      </c>
      <c r="E3871" s="115" t="s">
        <v>5872</v>
      </c>
      <c r="F3871" s="115" t="s">
        <v>5873</v>
      </c>
      <c r="G3871" s="115" t="s">
        <v>5874</v>
      </c>
      <c r="H3871" s="115" t="s">
        <v>5875</v>
      </c>
    </row>
    <row r="3872" spans="1:8" x14ac:dyDescent="0.25">
      <c r="A3872" s="115">
        <v>697</v>
      </c>
      <c r="B3872" s="115" t="s">
        <v>9216</v>
      </c>
      <c r="C3872" s="115" t="s">
        <v>10610</v>
      </c>
      <c r="D3872" s="115">
        <v>0</v>
      </c>
      <c r="E3872" s="115" t="s">
        <v>5877</v>
      </c>
      <c r="F3872" s="115" t="s">
        <v>5878</v>
      </c>
      <c r="G3872" s="115" t="s">
        <v>5879</v>
      </c>
      <c r="H3872" s="115" t="s">
        <v>5880</v>
      </c>
    </row>
    <row r="3873" spans="1:8" x14ac:dyDescent="0.25">
      <c r="A3873" s="115">
        <v>696</v>
      </c>
      <c r="B3873" s="115" t="s">
        <v>9216</v>
      </c>
      <c r="C3873" s="115" t="s">
        <v>10611</v>
      </c>
      <c r="D3873" s="115">
        <v>0</v>
      </c>
      <c r="E3873" s="115" t="s">
        <v>5882</v>
      </c>
      <c r="F3873" s="115" t="s">
        <v>5883</v>
      </c>
      <c r="G3873" s="115" t="s">
        <v>5884</v>
      </c>
      <c r="H3873" s="115" t="s">
        <v>5885</v>
      </c>
    </row>
    <row r="3874" spans="1:8" x14ac:dyDescent="0.25">
      <c r="A3874" s="115">
        <v>695</v>
      </c>
      <c r="B3874" s="115" t="s">
        <v>9216</v>
      </c>
      <c r="C3874" s="115" t="s">
        <v>10612</v>
      </c>
      <c r="D3874" s="115">
        <v>0</v>
      </c>
      <c r="E3874" s="115" t="s">
        <v>5887</v>
      </c>
      <c r="F3874" s="115" t="s">
        <v>5888</v>
      </c>
      <c r="G3874" s="115" t="s">
        <v>5889</v>
      </c>
      <c r="H3874" s="115" t="s">
        <v>5890</v>
      </c>
    </row>
    <row r="3875" spans="1:8" x14ac:dyDescent="0.25">
      <c r="A3875" s="115">
        <v>694</v>
      </c>
      <c r="B3875" s="115" t="s">
        <v>9216</v>
      </c>
      <c r="C3875" s="115" t="s">
        <v>10613</v>
      </c>
      <c r="D3875" s="115">
        <v>0</v>
      </c>
      <c r="E3875" s="115" t="s">
        <v>5892</v>
      </c>
      <c r="F3875" s="115" t="s">
        <v>5893</v>
      </c>
      <c r="G3875" s="115" t="s">
        <v>5894</v>
      </c>
      <c r="H3875" s="115" t="s">
        <v>5895</v>
      </c>
    </row>
    <row r="3876" spans="1:8" x14ac:dyDescent="0.25">
      <c r="A3876" s="115">
        <v>693</v>
      </c>
      <c r="B3876" s="115" t="s">
        <v>9216</v>
      </c>
      <c r="C3876" s="115" t="s">
        <v>10614</v>
      </c>
      <c r="D3876" s="115">
        <v>0</v>
      </c>
      <c r="E3876" s="115" t="s">
        <v>749</v>
      </c>
      <c r="F3876" s="115" t="s">
        <v>750</v>
      </c>
      <c r="G3876" s="115" t="s">
        <v>5897</v>
      </c>
      <c r="H3876" s="115" t="s">
        <v>751</v>
      </c>
    </row>
    <row r="3877" spans="1:8" x14ac:dyDescent="0.25">
      <c r="A3877" s="115">
        <v>692</v>
      </c>
      <c r="B3877" s="115" t="s">
        <v>9216</v>
      </c>
      <c r="C3877" s="115" t="s">
        <v>10615</v>
      </c>
      <c r="D3877" s="115">
        <v>0</v>
      </c>
      <c r="E3877" s="115" t="s">
        <v>5899</v>
      </c>
      <c r="F3877" s="115" t="s">
        <v>5900</v>
      </c>
      <c r="G3877" s="115" t="s">
        <v>5901</v>
      </c>
      <c r="H3877" s="115" t="s">
        <v>5902</v>
      </c>
    </row>
    <row r="3878" spans="1:8" ht="30" x14ac:dyDescent="0.25">
      <c r="A3878" s="115">
        <v>691</v>
      </c>
      <c r="B3878" s="115" t="s">
        <v>9216</v>
      </c>
      <c r="C3878" s="115" t="s">
        <v>10616</v>
      </c>
      <c r="D3878" s="115">
        <v>0</v>
      </c>
      <c r="E3878" s="115" t="s">
        <v>5904</v>
      </c>
      <c r="F3878" s="115" t="s">
        <v>5905</v>
      </c>
      <c r="G3878" s="115" t="s">
        <v>5906</v>
      </c>
      <c r="H3878" s="115" t="s">
        <v>5907</v>
      </c>
    </row>
    <row r="3879" spans="1:8" ht="30" x14ac:dyDescent="0.25">
      <c r="A3879" s="115">
        <v>690</v>
      </c>
      <c r="B3879" s="115" t="s">
        <v>9216</v>
      </c>
      <c r="C3879" s="115" t="s">
        <v>10617</v>
      </c>
      <c r="D3879" s="115">
        <v>0</v>
      </c>
      <c r="E3879" s="115" t="s">
        <v>5909</v>
      </c>
      <c r="F3879" s="115" t="s">
        <v>10618</v>
      </c>
      <c r="G3879" s="115" t="s">
        <v>5911</v>
      </c>
      <c r="H3879" s="115" t="s">
        <v>5912</v>
      </c>
    </row>
    <row r="3880" spans="1:8" x14ac:dyDescent="0.25">
      <c r="A3880" s="115">
        <v>689</v>
      </c>
      <c r="B3880" s="115" t="s">
        <v>9216</v>
      </c>
      <c r="C3880" s="115" t="s">
        <v>10619</v>
      </c>
      <c r="D3880" s="115">
        <v>0</v>
      </c>
      <c r="E3880" s="115" t="s">
        <v>5914</v>
      </c>
      <c r="F3880" s="115" t="s">
        <v>5915</v>
      </c>
      <c r="G3880" s="115" t="s">
        <v>5916</v>
      </c>
      <c r="H3880" s="115" t="s">
        <v>5917</v>
      </c>
    </row>
    <row r="3881" spans="1:8" x14ac:dyDescent="0.25">
      <c r="A3881" s="115">
        <v>688</v>
      </c>
      <c r="B3881" s="115" t="s">
        <v>9216</v>
      </c>
      <c r="C3881" s="115" t="s">
        <v>10620</v>
      </c>
      <c r="D3881" s="115">
        <v>0</v>
      </c>
      <c r="E3881" s="115" t="s">
        <v>985</v>
      </c>
      <c r="F3881" s="115" t="s">
        <v>516</v>
      </c>
      <c r="G3881" s="115" t="s">
        <v>4037</v>
      </c>
      <c r="H3881" s="115" t="s">
        <v>517</v>
      </c>
    </row>
    <row r="3882" spans="1:8" x14ac:dyDescent="0.25">
      <c r="A3882" s="115">
        <v>687</v>
      </c>
      <c r="B3882" s="115" t="s">
        <v>9216</v>
      </c>
      <c r="C3882" s="115" t="s">
        <v>10621</v>
      </c>
      <c r="D3882" s="115">
        <v>0</v>
      </c>
      <c r="E3882" s="115" t="s">
        <v>5920</v>
      </c>
      <c r="F3882" s="115" t="s">
        <v>10622</v>
      </c>
      <c r="G3882" s="115" t="s">
        <v>5922</v>
      </c>
      <c r="H3882" s="115" t="s">
        <v>5923</v>
      </c>
    </row>
    <row r="3883" spans="1:8" x14ac:dyDescent="0.25">
      <c r="A3883" s="115">
        <v>686</v>
      </c>
      <c r="B3883" s="115" t="s">
        <v>9216</v>
      </c>
      <c r="C3883" s="115" t="s">
        <v>10623</v>
      </c>
      <c r="D3883" s="115">
        <v>0</v>
      </c>
      <c r="E3883" s="115" t="s">
        <v>5925</v>
      </c>
      <c r="F3883" s="115" t="s">
        <v>10624</v>
      </c>
      <c r="G3883" s="115" t="s">
        <v>5927</v>
      </c>
      <c r="H3883" s="115" t="s">
        <v>5928</v>
      </c>
    </row>
    <row r="3884" spans="1:8" x14ac:dyDescent="0.25">
      <c r="A3884" s="115">
        <v>685</v>
      </c>
      <c r="B3884" s="115" t="s">
        <v>9216</v>
      </c>
      <c r="C3884" s="115" t="s">
        <v>10625</v>
      </c>
      <c r="D3884" s="115">
        <v>0</v>
      </c>
      <c r="E3884" s="115" t="s">
        <v>5930</v>
      </c>
      <c r="F3884" s="115" t="s">
        <v>5931</v>
      </c>
      <c r="G3884" s="115" t="s">
        <v>5932</v>
      </c>
      <c r="H3884" s="115" t="s">
        <v>5933</v>
      </c>
    </row>
    <row r="3885" spans="1:8" x14ac:dyDescent="0.25">
      <c r="A3885" s="115">
        <v>684</v>
      </c>
      <c r="B3885" s="115" t="s">
        <v>9216</v>
      </c>
      <c r="C3885" s="115" t="s">
        <v>10626</v>
      </c>
      <c r="D3885" s="115">
        <v>0</v>
      </c>
      <c r="E3885" s="115" t="s">
        <v>5935</v>
      </c>
      <c r="F3885" s="115" t="s">
        <v>5936</v>
      </c>
      <c r="G3885" s="115" t="s">
        <v>5937</v>
      </c>
      <c r="H3885" s="115" t="s">
        <v>5938</v>
      </c>
    </row>
    <row r="3886" spans="1:8" x14ac:dyDescent="0.25">
      <c r="A3886" s="115">
        <v>683</v>
      </c>
      <c r="B3886" s="115" t="s">
        <v>9216</v>
      </c>
      <c r="C3886" s="115" t="s">
        <v>10627</v>
      </c>
      <c r="D3886" s="115">
        <v>0</v>
      </c>
      <c r="E3886" s="115" t="s">
        <v>5940</v>
      </c>
      <c r="F3886" s="115" t="s">
        <v>5941</v>
      </c>
      <c r="G3886" s="115" t="s">
        <v>5942</v>
      </c>
      <c r="H3886" s="115" t="s">
        <v>5943</v>
      </c>
    </row>
    <row r="3887" spans="1:8" x14ac:dyDescent="0.25">
      <c r="A3887" s="115">
        <v>682</v>
      </c>
      <c r="B3887" s="115" t="s">
        <v>9216</v>
      </c>
      <c r="C3887" s="115" t="s">
        <v>10628</v>
      </c>
      <c r="D3887" s="115">
        <v>0</v>
      </c>
      <c r="E3887" s="115" t="s">
        <v>5945</v>
      </c>
      <c r="F3887" s="115" t="s">
        <v>2356</v>
      </c>
      <c r="G3887" s="115" t="s">
        <v>5946</v>
      </c>
      <c r="H3887" s="115" t="s">
        <v>2357</v>
      </c>
    </row>
    <row r="3888" spans="1:8" x14ac:dyDescent="0.25">
      <c r="A3888" s="115">
        <v>681</v>
      </c>
      <c r="B3888" s="115" t="s">
        <v>9216</v>
      </c>
      <c r="C3888" s="115" t="s">
        <v>10629</v>
      </c>
      <c r="D3888" s="115">
        <v>0</v>
      </c>
      <c r="E3888" s="115" t="s">
        <v>5948</v>
      </c>
      <c r="F3888" s="115" t="s">
        <v>5949</v>
      </c>
      <c r="G3888" s="115" t="s">
        <v>5950</v>
      </c>
      <c r="H3888" s="115" t="s">
        <v>5951</v>
      </c>
    </row>
    <row r="3889" spans="1:8" x14ac:dyDescent="0.25">
      <c r="A3889" s="115">
        <v>680</v>
      </c>
      <c r="B3889" s="115" t="s">
        <v>9216</v>
      </c>
      <c r="C3889" s="115" t="s">
        <v>10630</v>
      </c>
      <c r="D3889" s="115">
        <v>0</v>
      </c>
      <c r="E3889" s="115" t="s">
        <v>5953</v>
      </c>
      <c r="F3889" s="115" t="s">
        <v>5954</v>
      </c>
      <c r="G3889" s="115" t="s">
        <v>5955</v>
      </c>
      <c r="H3889" s="115" t="s">
        <v>5956</v>
      </c>
    </row>
    <row r="3890" spans="1:8" ht="30" x14ac:dyDescent="0.25">
      <c r="A3890" s="115">
        <v>679</v>
      </c>
      <c r="B3890" s="115" t="s">
        <v>9216</v>
      </c>
      <c r="C3890" s="115" t="s">
        <v>10631</v>
      </c>
      <c r="D3890" s="115">
        <v>0</v>
      </c>
      <c r="E3890" s="115" t="s">
        <v>5958</v>
      </c>
      <c r="F3890" s="115" t="s">
        <v>5959</v>
      </c>
      <c r="G3890" s="115" t="s">
        <v>5960</v>
      </c>
      <c r="H3890" s="115" t="s">
        <v>5961</v>
      </c>
    </row>
    <row r="3891" spans="1:8" x14ac:dyDescent="0.25">
      <c r="A3891" s="115">
        <v>678</v>
      </c>
      <c r="B3891" s="115" t="s">
        <v>9216</v>
      </c>
      <c r="C3891" s="115" t="s">
        <v>10632</v>
      </c>
      <c r="D3891" s="115">
        <v>0</v>
      </c>
      <c r="E3891" s="115" t="s">
        <v>5963</v>
      </c>
      <c r="F3891" s="115" t="s">
        <v>5964</v>
      </c>
      <c r="G3891" s="115" t="s">
        <v>5965</v>
      </c>
      <c r="H3891" s="115" t="s">
        <v>5966</v>
      </c>
    </row>
    <row r="3892" spans="1:8" ht="30" x14ac:dyDescent="0.25">
      <c r="A3892" s="115">
        <v>677</v>
      </c>
      <c r="B3892" s="115" t="s">
        <v>9216</v>
      </c>
      <c r="C3892" s="115" t="s">
        <v>10633</v>
      </c>
      <c r="D3892" s="115">
        <v>0</v>
      </c>
      <c r="E3892" s="115" t="s">
        <v>5968</v>
      </c>
      <c r="F3892" s="115" t="s">
        <v>5969</v>
      </c>
      <c r="G3892" s="115" t="s">
        <v>5970</v>
      </c>
      <c r="H3892" s="115" t="s">
        <v>5971</v>
      </c>
    </row>
    <row r="3893" spans="1:8" x14ac:dyDescent="0.25">
      <c r="A3893" s="115">
        <v>676</v>
      </c>
      <c r="B3893" s="115" t="s">
        <v>9216</v>
      </c>
      <c r="C3893" s="115" t="s">
        <v>10634</v>
      </c>
      <c r="D3893" s="115">
        <v>0</v>
      </c>
      <c r="E3893" s="115" t="s">
        <v>5973</v>
      </c>
      <c r="F3893" s="115" t="s">
        <v>5974</v>
      </c>
      <c r="G3893" s="115" t="s">
        <v>5975</v>
      </c>
      <c r="H3893" s="115" t="s">
        <v>5976</v>
      </c>
    </row>
    <row r="3894" spans="1:8" x14ac:dyDescent="0.25">
      <c r="A3894" s="115">
        <v>675</v>
      </c>
      <c r="B3894" s="115" t="s">
        <v>9216</v>
      </c>
      <c r="C3894" s="115" t="s">
        <v>10635</v>
      </c>
      <c r="D3894" s="115">
        <v>0</v>
      </c>
      <c r="E3894" s="115" t="s">
        <v>5978</v>
      </c>
      <c r="F3894" s="115" t="s">
        <v>5979</v>
      </c>
      <c r="G3894" s="115" t="s">
        <v>5980</v>
      </c>
      <c r="H3894" s="115" t="s">
        <v>5981</v>
      </c>
    </row>
    <row r="3895" spans="1:8" x14ac:dyDescent="0.25">
      <c r="A3895" s="115">
        <v>674</v>
      </c>
      <c r="B3895" s="115" t="s">
        <v>9216</v>
      </c>
      <c r="C3895" s="115" t="s">
        <v>10636</v>
      </c>
      <c r="D3895" s="115">
        <v>0</v>
      </c>
      <c r="E3895" s="115" t="s">
        <v>5983</v>
      </c>
      <c r="F3895" s="115" t="s">
        <v>5984</v>
      </c>
      <c r="G3895" s="115" t="s">
        <v>5985</v>
      </c>
      <c r="H3895" s="115" t="s">
        <v>5986</v>
      </c>
    </row>
    <row r="3896" spans="1:8" x14ac:dyDescent="0.25">
      <c r="A3896" s="115">
        <v>673</v>
      </c>
      <c r="B3896" s="115" t="s">
        <v>9216</v>
      </c>
      <c r="C3896" s="115" t="s">
        <v>10637</v>
      </c>
      <c r="D3896" s="115">
        <v>0</v>
      </c>
      <c r="E3896" s="115" t="s">
        <v>5988</v>
      </c>
      <c r="F3896" s="115" t="s">
        <v>10638</v>
      </c>
      <c r="G3896" s="115" t="s">
        <v>5990</v>
      </c>
      <c r="H3896" s="115" t="s">
        <v>5991</v>
      </c>
    </row>
    <row r="3897" spans="1:8" x14ac:dyDescent="0.25">
      <c r="A3897" s="115">
        <v>672</v>
      </c>
      <c r="B3897" s="115" t="s">
        <v>9216</v>
      </c>
      <c r="C3897" s="115" t="s">
        <v>10639</v>
      </c>
      <c r="D3897" s="115">
        <v>0</v>
      </c>
      <c r="E3897" s="115" t="s">
        <v>5993</v>
      </c>
      <c r="F3897" s="115" t="s">
        <v>5994</v>
      </c>
      <c r="G3897" s="115" t="s">
        <v>5995</v>
      </c>
      <c r="H3897" s="115" t="s">
        <v>5996</v>
      </c>
    </row>
    <row r="3898" spans="1:8" x14ac:dyDescent="0.25">
      <c r="A3898" s="115">
        <v>671</v>
      </c>
      <c r="B3898" s="115" t="s">
        <v>9216</v>
      </c>
      <c r="C3898" s="115" t="s">
        <v>10640</v>
      </c>
      <c r="D3898" s="115">
        <v>0</v>
      </c>
      <c r="E3898" s="115" t="s">
        <v>3988</v>
      </c>
      <c r="F3898" s="115" t="s">
        <v>10641</v>
      </c>
      <c r="G3898" s="115" t="s">
        <v>3990</v>
      </c>
      <c r="H3898" s="115" t="s">
        <v>5998</v>
      </c>
    </row>
    <row r="3899" spans="1:8" ht="30" x14ac:dyDescent="0.25">
      <c r="A3899" s="115">
        <v>670</v>
      </c>
      <c r="B3899" s="115" t="s">
        <v>9216</v>
      </c>
      <c r="C3899" s="115" t="s">
        <v>10642</v>
      </c>
      <c r="D3899" s="115">
        <v>0</v>
      </c>
      <c r="E3899" s="115" t="s">
        <v>6000</v>
      </c>
      <c r="F3899" s="115" t="s">
        <v>6001</v>
      </c>
      <c r="G3899" s="115" t="s">
        <v>6002</v>
      </c>
      <c r="H3899" s="115" t="s">
        <v>6003</v>
      </c>
    </row>
    <row r="3900" spans="1:8" x14ac:dyDescent="0.25">
      <c r="A3900" s="115">
        <v>669</v>
      </c>
      <c r="B3900" s="115" t="s">
        <v>9216</v>
      </c>
      <c r="C3900" s="115" t="s">
        <v>10643</v>
      </c>
      <c r="D3900" s="115">
        <v>0</v>
      </c>
      <c r="E3900" s="115" t="s">
        <v>6005</v>
      </c>
      <c r="F3900" s="115" t="s">
        <v>6006</v>
      </c>
      <c r="G3900" s="115" t="s">
        <v>6007</v>
      </c>
      <c r="H3900" s="115" t="s">
        <v>6008</v>
      </c>
    </row>
    <row r="3901" spans="1:8" x14ac:dyDescent="0.25">
      <c r="A3901" s="115">
        <v>668</v>
      </c>
      <c r="B3901" s="115" t="s">
        <v>9216</v>
      </c>
      <c r="C3901" s="115" t="s">
        <v>10644</v>
      </c>
      <c r="D3901" s="115">
        <v>0</v>
      </c>
      <c r="E3901" s="115" t="s">
        <v>6010</v>
      </c>
      <c r="F3901" s="115" t="s">
        <v>6011</v>
      </c>
      <c r="G3901" s="115" t="s">
        <v>6012</v>
      </c>
      <c r="H3901" s="115" t="s">
        <v>6013</v>
      </c>
    </row>
    <row r="3902" spans="1:8" x14ac:dyDescent="0.25">
      <c r="A3902" s="115">
        <v>667</v>
      </c>
      <c r="B3902" s="115" t="s">
        <v>9216</v>
      </c>
      <c r="C3902" s="115" t="s">
        <v>10645</v>
      </c>
      <c r="D3902" s="115">
        <v>0</v>
      </c>
      <c r="E3902" s="115" t="s">
        <v>6015</v>
      </c>
      <c r="F3902" s="115" t="s">
        <v>6016</v>
      </c>
      <c r="G3902" s="115" t="s">
        <v>6017</v>
      </c>
      <c r="H3902" s="115" t="s">
        <v>6018</v>
      </c>
    </row>
    <row r="3903" spans="1:8" x14ac:dyDescent="0.25">
      <c r="A3903" s="115">
        <v>666</v>
      </c>
      <c r="B3903" s="115" t="s">
        <v>9216</v>
      </c>
      <c r="C3903" s="115" t="s">
        <v>10646</v>
      </c>
      <c r="D3903" s="115">
        <v>0</v>
      </c>
      <c r="E3903" s="115" t="s">
        <v>6020</v>
      </c>
      <c r="F3903" s="115" t="s">
        <v>6021</v>
      </c>
      <c r="G3903" s="115" t="s">
        <v>6022</v>
      </c>
      <c r="H3903" s="115" t="s">
        <v>6023</v>
      </c>
    </row>
    <row r="3904" spans="1:8" ht="30" x14ac:dyDescent="0.25">
      <c r="A3904" s="115">
        <v>665</v>
      </c>
      <c r="B3904" s="115" t="s">
        <v>9216</v>
      </c>
      <c r="C3904" s="115" t="s">
        <v>10647</v>
      </c>
      <c r="D3904" s="115">
        <v>0</v>
      </c>
      <c r="E3904" s="115" t="s">
        <v>6025</v>
      </c>
      <c r="F3904" s="115" t="s">
        <v>6026</v>
      </c>
      <c r="G3904" s="115" t="s">
        <v>6027</v>
      </c>
      <c r="H3904" s="115" t="s">
        <v>6028</v>
      </c>
    </row>
    <row r="3905" spans="1:8" x14ac:dyDescent="0.25">
      <c r="A3905" s="115">
        <v>664</v>
      </c>
      <c r="B3905" s="115" t="s">
        <v>9216</v>
      </c>
      <c r="C3905" s="115" t="s">
        <v>10648</v>
      </c>
      <c r="D3905" s="115">
        <v>0</v>
      </c>
      <c r="E3905" s="115" t="s">
        <v>6030</v>
      </c>
      <c r="F3905" s="115" t="s">
        <v>6031</v>
      </c>
      <c r="G3905" s="115" t="s">
        <v>6032</v>
      </c>
      <c r="H3905" s="115" t="s">
        <v>6033</v>
      </c>
    </row>
    <row r="3906" spans="1:8" x14ac:dyDescent="0.25">
      <c r="A3906" s="115">
        <v>663</v>
      </c>
      <c r="B3906" s="115" t="s">
        <v>9216</v>
      </c>
      <c r="C3906" s="115" t="s">
        <v>10649</v>
      </c>
      <c r="D3906" s="115">
        <v>0</v>
      </c>
      <c r="E3906" s="115" t="s">
        <v>6035</v>
      </c>
      <c r="F3906" s="115" t="s">
        <v>6036</v>
      </c>
      <c r="G3906" s="115" t="s">
        <v>6037</v>
      </c>
      <c r="H3906" s="115" t="s">
        <v>6038</v>
      </c>
    </row>
    <row r="3907" spans="1:8" x14ac:dyDescent="0.25">
      <c r="A3907" s="115">
        <v>662</v>
      </c>
      <c r="B3907" s="115" t="s">
        <v>9216</v>
      </c>
      <c r="C3907" s="115" t="s">
        <v>10650</v>
      </c>
      <c r="D3907" s="115">
        <v>0</v>
      </c>
      <c r="E3907" s="115" t="s">
        <v>6040</v>
      </c>
      <c r="F3907" s="115" t="s">
        <v>6041</v>
      </c>
      <c r="G3907" s="115" t="s">
        <v>6042</v>
      </c>
      <c r="H3907" s="115" t="s">
        <v>6043</v>
      </c>
    </row>
    <row r="3908" spans="1:8" ht="30" x14ac:dyDescent="0.25">
      <c r="A3908" s="115">
        <v>661</v>
      </c>
      <c r="B3908" s="115" t="s">
        <v>9216</v>
      </c>
      <c r="C3908" s="115" t="s">
        <v>10651</v>
      </c>
      <c r="D3908" s="115">
        <v>0</v>
      </c>
      <c r="E3908" s="115" t="s">
        <v>6045</v>
      </c>
      <c r="F3908" s="115" t="s">
        <v>6046</v>
      </c>
      <c r="G3908" s="115" t="s">
        <v>6047</v>
      </c>
      <c r="H3908" s="115" t="s">
        <v>6048</v>
      </c>
    </row>
    <row r="3909" spans="1:8" x14ac:dyDescent="0.25">
      <c r="A3909" s="115">
        <v>660</v>
      </c>
      <c r="B3909" s="115" t="s">
        <v>9216</v>
      </c>
      <c r="C3909" s="115" t="s">
        <v>10652</v>
      </c>
      <c r="D3909" s="115">
        <v>0</v>
      </c>
      <c r="E3909" s="115" t="s">
        <v>1065</v>
      </c>
      <c r="F3909" s="115" t="s">
        <v>6050</v>
      </c>
      <c r="G3909" s="115" t="s">
        <v>6051</v>
      </c>
      <c r="H3909" s="115" t="s">
        <v>1067</v>
      </c>
    </row>
    <row r="3910" spans="1:8" x14ac:dyDescent="0.25">
      <c r="A3910" s="115">
        <v>659</v>
      </c>
      <c r="B3910" s="115" t="s">
        <v>9216</v>
      </c>
      <c r="C3910" s="115" t="s">
        <v>10653</v>
      </c>
      <c r="D3910" s="115">
        <v>0</v>
      </c>
      <c r="E3910" s="115" t="s">
        <v>6053</v>
      </c>
      <c r="F3910" s="115" t="s">
        <v>6054</v>
      </c>
      <c r="G3910" s="115" t="s">
        <v>6055</v>
      </c>
      <c r="H3910" s="115" t="s">
        <v>6056</v>
      </c>
    </row>
    <row r="3911" spans="1:8" x14ac:dyDescent="0.25">
      <c r="A3911" s="115">
        <v>658</v>
      </c>
      <c r="B3911" s="115" t="s">
        <v>9216</v>
      </c>
      <c r="C3911" s="115" t="s">
        <v>10654</v>
      </c>
      <c r="D3911" s="115">
        <v>0</v>
      </c>
      <c r="E3911" s="115" t="s">
        <v>6058</v>
      </c>
      <c r="F3911" s="115" t="s">
        <v>6059</v>
      </c>
      <c r="G3911" s="115" t="s">
        <v>6060</v>
      </c>
      <c r="H3911" s="115" t="s">
        <v>6061</v>
      </c>
    </row>
    <row r="3912" spans="1:8" x14ac:dyDescent="0.25">
      <c r="A3912" s="115">
        <v>657</v>
      </c>
      <c r="B3912" s="115" t="s">
        <v>9216</v>
      </c>
      <c r="C3912" s="115" t="s">
        <v>10655</v>
      </c>
      <c r="D3912" s="115">
        <v>0</v>
      </c>
      <c r="E3912" s="115" t="s">
        <v>6063</v>
      </c>
      <c r="F3912" s="115" t="s">
        <v>6064</v>
      </c>
      <c r="G3912" s="115" t="s">
        <v>6065</v>
      </c>
      <c r="H3912" s="115" t="s">
        <v>6066</v>
      </c>
    </row>
    <row r="3913" spans="1:8" ht="30" x14ac:dyDescent="0.25">
      <c r="A3913" s="115">
        <v>656</v>
      </c>
      <c r="B3913" s="115" t="s">
        <v>9216</v>
      </c>
      <c r="C3913" s="115" t="s">
        <v>10656</v>
      </c>
      <c r="D3913" s="115">
        <v>0</v>
      </c>
      <c r="E3913" s="115" t="s">
        <v>6068</v>
      </c>
      <c r="F3913" s="115" t="s">
        <v>10657</v>
      </c>
      <c r="G3913" s="115" t="s">
        <v>6070</v>
      </c>
      <c r="H3913" s="115" t="s">
        <v>6071</v>
      </c>
    </row>
    <row r="3914" spans="1:8" x14ac:dyDescent="0.25">
      <c r="A3914" s="115">
        <v>655</v>
      </c>
      <c r="B3914" s="115" t="s">
        <v>9216</v>
      </c>
      <c r="C3914" s="115" t="s">
        <v>10658</v>
      </c>
      <c r="D3914" s="115">
        <v>0</v>
      </c>
      <c r="E3914" s="115" t="s">
        <v>6073</v>
      </c>
      <c r="F3914" s="115" t="s">
        <v>6074</v>
      </c>
      <c r="G3914" s="115" t="s">
        <v>6075</v>
      </c>
      <c r="H3914" s="115" t="s">
        <v>6076</v>
      </c>
    </row>
    <row r="3915" spans="1:8" ht="30" x14ac:dyDescent="0.25">
      <c r="A3915" s="115">
        <v>654</v>
      </c>
      <c r="B3915" s="115" t="s">
        <v>9216</v>
      </c>
      <c r="C3915" s="115" t="s">
        <v>10659</v>
      </c>
      <c r="D3915" s="115">
        <v>0</v>
      </c>
      <c r="E3915" s="115" t="s">
        <v>6078</v>
      </c>
      <c r="F3915" s="115" t="s">
        <v>6079</v>
      </c>
      <c r="G3915" s="115" t="s">
        <v>6080</v>
      </c>
      <c r="H3915" s="115" t="s">
        <v>6081</v>
      </c>
    </row>
    <row r="3916" spans="1:8" x14ac:dyDescent="0.25">
      <c r="A3916" s="115">
        <v>653</v>
      </c>
      <c r="B3916" s="115" t="s">
        <v>9216</v>
      </c>
      <c r="C3916" s="115" t="s">
        <v>10660</v>
      </c>
      <c r="D3916" s="115">
        <v>0</v>
      </c>
      <c r="E3916" s="115" t="s">
        <v>6083</v>
      </c>
      <c r="F3916" s="115" t="s">
        <v>6084</v>
      </c>
      <c r="G3916" s="115" t="s">
        <v>6085</v>
      </c>
      <c r="H3916" s="115" t="s">
        <v>6086</v>
      </c>
    </row>
    <row r="3917" spans="1:8" x14ac:dyDescent="0.25">
      <c r="A3917" s="115">
        <v>652</v>
      </c>
      <c r="B3917" s="115" t="s">
        <v>9216</v>
      </c>
      <c r="C3917" s="115" t="s">
        <v>10661</v>
      </c>
      <c r="D3917" s="115">
        <v>0</v>
      </c>
      <c r="E3917" s="115" t="s">
        <v>6088</v>
      </c>
      <c r="F3917" s="115" t="s">
        <v>6089</v>
      </c>
      <c r="G3917" s="115" t="s">
        <v>6090</v>
      </c>
      <c r="H3917" s="115" t="s">
        <v>6091</v>
      </c>
    </row>
    <row r="3918" spans="1:8" x14ac:dyDescent="0.25">
      <c r="A3918" s="115">
        <v>651</v>
      </c>
      <c r="B3918" s="115" t="s">
        <v>9216</v>
      </c>
      <c r="C3918" s="115" t="s">
        <v>10662</v>
      </c>
      <c r="D3918" s="115">
        <v>0</v>
      </c>
      <c r="E3918" s="115" t="s">
        <v>6093</v>
      </c>
      <c r="F3918" s="115" t="s">
        <v>6094</v>
      </c>
      <c r="G3918" s="115" t="s">
        <v>6095</v>
      </c>
      <c r="H3918" s="115" t="s">
        <v>6096</v>
      </c>
    </row>
    <row r="3919" spans="1:8" x14ac:dyDescent="0.25">
      <c r="A3919" s="115">
        <v>650</v>
      </c>
      <c r="B3919" s="115" t="s">
        <v>9216</v>
      </c>
      <c r="C3919" s="115" t="s">
        <v>10663</v>
      </c>
      <c r="D3919" s="115">
        <v>0</v>
      </c>
      <c r="E3919" s="115" t="s">
        <v>6098</v>
      </c>
      <c r="F3919" s="115" t="s">
        <v>6099</v>
      </c>
      <c r="G3919" s="115" t="s">
        <v>6100</v>
      </c>
      <c r="H3919" s="115" t="s">
        <v>6101</v>
      </c>
    </row>
    <row r="3920" spans="1:8" x14ac:dyDescent="0.25">
      <c r="A3920" s="115">
        <v>649</v>
      </c>
      <c r="B3920" s="115" t="s">
        <v>9216</v>
      </c>
      <c r="C3920" s="115" t="s">
        <v>10664</v>
      </c>
      <c r="D3920" s="115">
        <v>0</v>
      </c>
      <c r="E3920" s="115" t="s">
        <v>6103</v>
      </c>
      <c r="F3920" s="115" t="s">
        <v>6104</v>
      </c>
      <c r="G3920" s="115" t="s">
        <v>6105</v>
      </c>
      <c r="H3920" s="115" t="s">
        <v>6106</v>
      </c>
    </row>
    <row r="3921" spans="1:8" ht="30" x14ac:dyDescent="0.25">
      <c r="A3921" s="115">
        <v>648</v>
      </c>
      <c r="B3921" s="115" t="s">
        <v>9216</v>
      </c>
      <c r="C3921" s="115" t="s">
        <v>10665</v>
      </c>
      <c r="D3921" s="115">
        <v>0</v>
      </c>
      <c r="E3921" s="115" t="s">
        <v>6108</v>
      </c>
      <c r="F3921" s="115" t="s">
        <v>6109</v>
      </c>
      <c r="G3921" s="115" t="s">
        <v>6110</v>
      </c>
      <c r="H3921" s="115" t="s">
        <v>6111</v>
      </c>
    </row>
    <row r="3922" spans="1:8" x14ac:dyDescent="0.25">
      <c r="A3922" s="115">
        <v>647</v>
      </c>
      <c r="B3922" s="115" t="s">
        <v>9216</v>
      </c>
      <c r="C3922" s="115" t="s">
        <v>10666</v>
      </c>
      <c r="D3922" s="115">
        <v>0</v>
      </c>
      <c r="E3922" s="115" t="s">
        <v>6113</v>
      </c>
      <c r="F3922" s="115" t="s">
        <v>6114</v>
      </c>
      <c r="G3922" s="115" t="s">
        <v>6115</v>
      </c>
      <c r="H3922" s="115" t="s">
        <v>6116</v>
      </c>
    </row>
    <row r="3923" spans="1:8" x14ac:dyDescent="0.25">
      <c r="A3923" s="115">
        <v>646</v>
      </c>
      <c r="B3923" s="115" t="s">
        <v>9216</v>
      </c>
      <c r="C3923" s="115" t="s">
        <v>10667</v>
      </c>
      <c r="D3923" s="115">
        <v>0</v>
      </c>
      <c r="E3923" s="115" t="s">
        <v>6118</v>
      </c>
      <c r="F3923" s="115" t="s">
        <v>6119</v>
      </c>
      <c r="G3923" s="115" t="s">
        <v>6120</v>
      </c>
      <c r="H3923" s="115" t="s">
        <v>6121</v>
      </c>
    </row>
    <row r="3924" spans="1:8" x14ac:dyDescent="0.25">
      <c r="A3924" s="115">
        <v>645</v>
      </c>
      <c r="B3924" s="115" t="s">
        <v>9216</v>
      </c>
      <c r="C3924" s="115" t="s">
        <v>10668</v>
      </c>
      <c r="D3924" s="115">
        <v>0</v>
      </c>
      <c r="E3924" s="115" t="s">
        <v>6123</v>
      </c>
      <c r="F3924" s="115" t="s">
        <v>6124</v>
      </c>
      <c r="G3924" s="115" t="s">
        <v>6125</v>
      </c>
      <c r="H3924" s="115" t="s">
        <v>6126</v>
      </c>
    </row>
    <row r="3925" spans="1:8" ht="30" x14ac:dyDescent="0.25">
      <c r="A3925" s="115">
        <v>644</v>
      </c>
      <c r="B3925" s="115" t="s">
        <v>9216</v>
      </c>
      <c r="C3925" s="115" t="s">
        <v>10669</v>
      </c>
      <c r="D3925" s="115">
        <v>0</v>
      </c>
      <c r="E3925" s="115" t="s">
        <v>6128</v>
      </c>
      <c r="F3925" s="115" t="s">
        <v>6129</v>
      </c>
      <c r="G3925" s="115" t="s">
        <v>6130</v>
      </c>
      <c r="H3925" s="115" t="s">
        <v>6131</v>
      </c>
    </row>
    <row r="3926" spans="1:8" x14ac:dyDescent="0.25">
      <c r="A3926" s="115">
        <v>643</v>
      </c>
      <c r="B3926" s="115" t="s">
        <v>9216</v>
      </c>
      <c r="C3926" s="115" t="s">
        <v>10670</v>
      </c>
      <c r="D3926" s="115">
        <v>0</v>
      </c>
      <c r="E3926" s="115" t="s">
        <v>6133</v>
      </c>
      <c r="F3926" s="115" t="s">
        <v>6134</v>
      </c>
      <c r="G3926" s="115" t="s">
        <v>6135</v>
      </c>
      <c r="H3926" s="115" t="s">
        <v>6136</v>
      </c>
    </row>
    <row r="3927" spans="1:8" x14ac:dyDescent="0.25">
      <c r="A3927" s="115">
        <v>642</v>
      </c>
      <c r="B3927" s="115" t="s">
        <v>9216</v>
      </c>
      <c r="C3927" s="115" t="s">
        <v>10671</v>
      </c>
      <c r="D3927" s="115">
        <v>0</v>
      </c>
      <c r="E3927" s="115" t="s">
        <v>6138</v>
      </c>
      <c r="F3927" s="115" t="s">
        <v>6139</v>
      </c>
      <c r="G3927" s="115" t="s">
        <v>6140</v>
      </c>
      <c r="H3927" s="115" t="s">
        <v>6141</v>
      </c>
    </row>
    <row r="3928" spans="1:8" x14ac:dyDescent="0.25">
      <c r="A3928" s="115">
        <v>641</v>
      </c>
      <c r="B3928" s="115" t="s">
        <v>9216</v>
      </c>
      <c r="C3928" s="115" t="s">
        <v>10672</v>
      </c>
      <c r="D3928" s="115">
        <v>0</v>
      </c>
      <c r="E3928" s="115" t="s">
        <v>6143</v>
      </c>
      <c r="F3928" s="115" t="s">
        <v>6144</v>
      </c>
      <c r="G3928" s="115" t="s">
        <v>6145</v>
      </c>
      <c r="H3928" s="115" t="s">
        <v>6146</v>
      </c>
    </row>
    <row r="3929" spans="1:8" x14ac:dyDescent="0.25">
      <c r="A3929" s="115">
        <v>640</v>
      </c>
      <c r="B3929" s="115" t="s">
        <v>9216</v>
      </c>
      <c r="C3929" s="115" t="s">
        <v>10673</v>
      </c>
      <c r="D3929" s="115">
        <v>0</v>
      </c>
      <c r="E3929" s="115" t="s">
        <v>6148</v>
      </c>
      <c r="F3929" s="115" t="s">
        <v>6149</v>
      </c>
      <c r="G3929" s="115" t="s">
        <v>6150</v>
      </c>
      <c r="H3929" s="115" t="s">
        <v>6151</v>
      </c>
    </row>
    <row r="3930" spans="1:8" x14ac:dyDescent="0.25">
      <c r="A3930" s="115">
        <v>639</v>
      </c>
      <c r="B3930" s="115" t="s">
        <v>9216</v>
      </c>
      <c r="C3930" s="115" t="s">
        <v>10674</v>
      </c>
      <c r="D3930" s="115">
        <v>0</v>
      </c>
      <c r="E3930" s="115" t="s">
        <v>991</v>
      </c>
      <c r="F3930" s="115" t="s">
        <v>6153</v>
      </c>
      <c r="G3930" s="115" t="s">
        <v>6154</v>
      </c>
      <c r="H3930" s="115" t="s">
        <v>993</v>
      </c>
    </row>
    <row r="3931" spans="1:8" x14ac:dyDescent="0.25">
      <c r="A3931" s="115">
        <v>638</v>
      </c>
      <c r="B3931" s="115" t="s">
        <v>9216</v>
      </c>
      <c r="C3931" s="115" t="s">
        <v>10675</v>
      </c>
      <c r="D3931" s="115">
        <v>0</v>
      </c>
      <c r="E3931" s="115" t="s">
        <v>4047</v>
      </c>
      <c r="F3931" s="115" t="s">
        <v>4048</v>
      </c>
      <c r="G3931" s="115" t="s">
        <v>4049</v>
      </c>
      <c r="H3931" s="115" t="s">
        <v>980</v>
      </c>
    </row>
    <row r="3932" spans="1:8" ht="30" x14ac:dyDescent="0.25">
      <c r="A3932" s="115">
        <v>637</v>
      </c>
      <c r="B3932" s="115" t="s">
        <v>9216</v>
      </c>
      <c r="C3932" s="115" t="s">
        <v>10676</v>
      </c>
      <c r="D3932" s="115">
        <v>0</v>
      </c>
      <c r="E3932" s="115" t="s">
        <v>6157</v>
      </c>
      <c r="F3932" s="115" t="s">
        <v>6158</v>
      </c>
      <c r="G3932" s="115" t="s">
        <v>6158</v>
      </c>
      <c r="H3932" s="115" t="s">
        <v>6159</v>
      </c>
    </row>
    <row r="3933" spans="1:8" x14ac:dyDescent="0.25">
      <c r="A3933" s="115">
        <v>636</v>
      </c>
      <c r="B3933" s="115" t="s">
        <v>9216</v>
      </c>
      <c r="C3933" s="115" t="s">
        <v>10677</v>
      </c>
      <c r="D3933" s="115">
        <v>0</v>
      </c>
      <c r="E3933" s="115" t="s">
        <v>6161</v>
      </c>
      <c r="F3933" s="115" t="s">
        <v>6162</v>
      </c>
      <c r="G3933" s="115" t="s">
        <v>6163</v>
      </c>
      <c r="H3933" s="115" t="s">
        <v>6164</v>
      </c>
    </row>
    <row r="3934" spans="1:8" x14ac:dyDescent="0.25">
      <c r="A3934" s="115">
        <v>635</v>
      </c>
      <c r="B3934" s="115" t="s">
        <v>9216</v>
      </c>
      <c r="C3934" s="115" t="s">
        <v>10678</v>
      </c>
      <c r="D3934" s="115">
        <v>0</v>
      </c>
      <c r="E3934" s="115" t="s">
        <v>6166</v>
      </c>
      <c r="F3934" s="115" t="s">
        <v>6167</v>
      </c>
      <c r="G3934" s="115" t="s">
        <v>6168</v>
      </c>
      <c r="H3934" s="115" t="s">
        <v>6169</v>
      </c>
    </row>
    <row r="3935" spans="1:8" x14ac:dyDescent="0.25">
      <c r="A3935" s="115">
        <v>634</v>
      </c>
      <c r="B3935" s="115" t="s">
        <v>9216</v>
      </c>
      <c r="C3935" s="115" t="s">
        <v>10679</v>
      </c>
      <c r="D3935" s="115">
        <v>0</v>
      </c>
      <c r="E3935" s="115" t="s">
        <v>6171</v>
      </c>
      <c r="F3935" s="115" t="s">
        <v>6172</v>
      </c>
      <c r="G3935" s="115" t="s">
        <v>6173</v>
      </c>
      <c r="H3935" s="115" t="s">
        <v>6174</v>
      </c>
    </row>
    <row r="3936" spans="1:8" x14ac:dyDescent="0.25">
      <c r="A3936" s="115">
        <v>633</v>
      </c>
      <c r="B3936" s="115" t="s">
        <v>9216</v>
      </c>
      <c r="C3936" s="115" t="s">
        <v>10680</v>
      </c>
      <c r="D3936" s="115">
        <v>0</v>
      </c>
      <c r="E3936" s="115" t="s">
        <v>6176</v>
      </c>
      <c r="F3936" s="115" t="s">
        <v>6177</v>
      </c>
      <c r="G3936" s="115" t="s">
        <v>6178</v>
      </c>
      <c r="H3936" s="115" t="s">
        <v>6179</v>
      </c>
    </row>
    <row r="3937" spans="1:8" x14ac:dyDescent="0.25">
      <c r="A3937" s="115">
        <v>632</v>
      </c>
      <c r="B3937" s="115" t="s">
        <v>9216</v>
      </c>
      <c r="C3937" s="115" t="s">
        <v>10681</v>
      </c>
      <c r="D3937" s="115">
        <v>0</v>
      </c>
      <c r="E3937" s="115" t="s">
        <v>6181</v>
      </c>
      <c r="F3937" s="115" t="s">
        <v>6182</v>
      </c>
      <c r="G3937" s="115" t="s">
        <v>6183</v>
      </c>
      <c r="H3937" s="115" t="s">
        <v>6184</v>
      </c>
    </row>
    <row r="3938" spans="1:8" x14ac:dyDescent="0.25">
      <c r="A3938" s="115">
        <v>631</v>
      </c>
      <c r="B3938" s="115" t="s">
        <v>9216</v>
      </c>
      <c r="C3938" s="115" t="s">
        <v>10682</v>
      </c>
      <c r="D3938" s="115">
        <v>0</v>
      </c>
      <c r="E3938" s="115" t="s">
        <v>6186</v>
      </c>
      <c r="F3938" s="115" t="s">
        <v>6187</v>
      </c>
      <c r="G3938" s="115" t="s">
        <v>6188</v>
      </c>
      <c r="H3938" s="115" t="s">
        <v>6189</v>
      </c>
    </row>
    <row r="3939" spans="1:8" x14ac:dyDescent="0.25">
      <c r="A3939" s="115">
        <v>630</v>
      </c>
      <c r="B3939" s="115" t="s">
        <v>9216</v>
      </c>
      <c r="C3939" s="115" t="s">
        <v>10683</v>
      </c>
      <c r="D3939" s="115">
        <v>0</v>
      </c>
      <c r="E3939" s="115" t="s">
        <v>6191</v>
      </c>
      <c r="F3939" s="115" t="s">
        <v>6192</v>
      </c>
      <c r="G3939" s="115" t="s">
        <v>6193</v>
      </c>
      <c r="H3939" s="115" t="s">
        <v>6194</v>
      </c>
    </row>
    <row r="3940" spans="1:8" x14ac:dyDescent="0.25">
      <c r="A3940" s="115">
        <v>629</v>
      </c>
      <c r="B3940" s="115" t="s">
        <v>9216</v>
      </c>
      <c r="C3940" s="115" t="s">
        <v>10684</v>
      </c>
      <c r="D3940" s="115">
        <v>0</v>
      </c>
      <c r="E3940" s="115" t="s">
        <v>6196</v>
      </c>
      <c r="F3940" s="115" t="s">
        <v>6197</v>
      </c>
      <c r="G3940" s="115" t="s">
        <v>6198</v>
      </c>
      <c r="H3940" s="115" t="s">
        <v>6199</v>
      </c>
    </row>
    <row r="3941" spans="1:8" x14ac:dyDescent="0.25">
      <c r="A3941" s="115">
        <v>628</v>
      </c>
      <c r="B3941" s="115" t="s">
        <v>9216</v>
      </c>
      <c r="C3941" s="115" t="s">
        <v>10685</v>
      </c>
      <c r="D3941" s="115">
        <v>0</v>
      </c>
      <c r="E3941" s="115" t="s">
        <v>6201</v>
      </c>
      <c r="F3941" s="115" t="s">
        <v>6202</v>
      </c>
      <c r="G3941" s="115" t="s">
        <v>6203</v>
      </c>
      <c r="H3941" s="115" t="s">
        <v>6204</v>
      </c>
    </row>
    <row r="3942" spans="1:8" x14ac:dyDescent="0.25">
      <c r="A3942" s="115">
        <v>627</v>
      </c>
      <c r="B3942" s="115" t="s">
        <v>9216</v>
      </c>
      <c r="C3942" s="115" t="s">
        <v>10686</v>
      </c>
      <c r="D3942" s="115">
        <v>0</v>
      </c>
      <c r="E3942" s="115" t="s">
        <v>6206</v>
      </c>
      <c r="F3942" s="115" t="s">
        <v>6207</v>
      </c>
      <c r="G3942" s="115" t="s">
        <v>6208</v>
      </c>
      <c r="H3942" s="115" t="s">
        <v>6209</v>
      </c>
    </row>
    <row r="3943" spans="1:8" x14ac:dyDescent="0.25">
      <c r="A3943" s="115">
        <v>626</v>
      </c>
      <c r="B3943" s="115" t="s">
        <v>9216</v>
      </c>
      <c r="C3943" s="115" t="s">
        <v>10687</v>
      </c>
      <c r="D3943" s="115">
        <v>0</v>
      </c>
      <c r="E3943" s="115" t="s">
        <v>6211</v>
      </c>
      <c r="F3943" s="115" t="s">
        <v>6212</v>
      </c>
      <c r="G3943" s="115" t="s">
        <v>6213</v>
      </c>
      <c r="H3943" s="115" t="s">
        <v>6214</v>
      </c>
    </row>
    <row r="3944" spans="1:8" x14ac:dyDescent="0.25">
      <c r="A3944" s="115">
        <v>625</v>
      </c>
      <c r="B3944" s="115" t="s">
        <v>9216</v>
      </c>
      <c r="C3944" s="115" t="s">
        <v>10688</v>
      </c>
      <c r="D3944" s="115">
        <v>0</v>
      </c>
      <c r="E3944" s="115" t="s">
        <v>6216</v>
      </c>
      <c r="F3944" s="115" t="s">
        <v>6217</v>
      </c>
      <c r="G3944" s="115" t="s">
        <v>6218</v>
      </c>
      <c r="H3944" s="115" t="s">
        <v>6219</v>
      </c>
    </row>
    <row r="3945" spans="1:8" x14ac:dyDescent="0.25">
      <c r="A3945" s="115">
        <v>624</v>
      </c>
      <c r="B3945" s="115" t="s">
        <v>9216</v>
      </c>
      <c r="C3945" s="115" t="s">
        <v>10689</v>
      </c>
      <c r="D3945" s="115">
        <v>0</v>
      </c>
      <c r="E3945" s="115" t="s">
        <v>6221</v>
      </c>
      <c r="F3945" s="115" t="s">
        <v>6222</v>
      </c>
      <c r="G3945" s="115" t="s">
        <v>6223</v>
      </c>
      <c r="H3945" s="115" t="s">
        <v>6224</v>
      </c>
    </row>
    <row r="3946" spans="1:8" x14ac:dyDescent="0.25">
      <c r="A3946" s="115">
        <v>623</v>
      </c>
      <c r="B3946" s="115" t="s">
        <v>9216</v>
      </c>
      <c r="C3946" s="115" t="s">
        <v>10690</v>
      </c>
      <c r="D3946" s="115">
        <v>0</v>
      </c>
      <c r="E3946" s="115" t="s">
        <v>2931</v>
      </c>
      <c r="F3946" s="115" t="s">
        <v>2932</v>
      </c>
      <c r="G3946" s="115" t="s">
        <v>6226</v>
      </c>
      <c r="H3946" s="115" t="s">
        <v>2933</v>
      </c>
    </row>
    <row r="3947" spans="1:8" x14ac:dyDescent="0.25">
      <c r="A3947" s="115">
        <v>622</v>
      </c>
      <c r="B3947" s="115" t="s">
        <v>9216</v>
      </c>
      <c r="C3947" s="115" t="s">
        <v>10691</v>
      </c>
      <c r="D3947" s="115">
        <v>0</v>
      </c>
      <c r="E3947" s="115" t="s">
        <v>10692</v>
      </c>
      <c r="F3947" s="115" t="s">
        <v>10693</v>
      </c>
      <c r="G3947" s="115" t="s">
        <v>10694</v>
      </c>
      <c r="H3947" s="115" t="s">
        <v>10695</v>
      </c>
    </row>
    <row r="3948" spans="1:8" x14ac:dyDescent="0.25">
      <c r="A3948" s="115">
        <v>621</v>
      </c>
      <c r="B3948" s="115" t="s">
        <v>9216</v>
      </c>
      <c r="C3948" s="115" t="s">
        <v>10696</v>
      </c>
      <c r="D3948" s="115">
        <v>0</v>
      </c>
      <c r="E3948" s="115" t="s">
        <v>733</v>
      </c>
      <c r="F3948" s="115" t="s">
        <v>734</v>
      </c>
      <c r="G3948" s="115" t="s">
        <v>6238</v>
      </c>
      <c r="H3948" s="115" t="s">
        <v>6239</v>
      </c>
    </row>
    <row r="3949" spans="1:8" x14ac:dyDescent="0.25">
      <c r="A3949" s="115">
        <v>620</v>
      </c>
      <c r="B3949" s="115" t="s">
        <v>9216</v>
      </c>
      <c r="C3949" s="115" t="s">
        <v>10697</v>
      </c>
      <c r="D3949" s="115">
        <v>0</v>
      </c>
      <c r="E3949" s="115" t="s">
        <v>6241</v>
      </c>
      <c r="F3949" s="115" t="s">
        <v>6242</v>
      </c>
      <c r="G3949" s="115" t="s">
        <v>6243</v>
      </c>
      <c r="H3949" s="115" t="s">
        <v>6244</v>
      </c>
    </row>
    <row r="3950" spans="1:8" ht="30" x14ac:dyDescent="0.25">
      <c r="A3950" s="115">
        <v>619</v>
      </c>
      <c r="B3950" s="115" t="s">
        <v>9216</v>
      </c>
      <c r="C3950" s="115" t="s">
        <v>10698</v>
      </c>
      <c r="D3950" s="115">
        <v>0</v>
      </c>
      <c r="E3950" s="115" t="s">
        <v>6246</v>
      </c>
      <c r="F3950" s="115" t="s">
        <v>6247</v>
      </c>
      <c r="G3950" s="115" t="s">
        <v>6248</v>
      </c>
      <c r="H3950" s="115" t="s">
        <v>6249</v>
      </c>
    </row>
    <row r="3951" spans="1:8" x14ac:dyDescent="0.25">
      <c r="A3951" s="115">
        <v>618</v>
      </c>
      <c r="B3951" s="115" t="s">
        <v>9216</v>
      </c>
      <c r="C3951" s="115" t="s">
        <v>10699</v>
      </c>
      <c r="D3951" s="115">
        <v>0</v>
      </c>
      <c r="E3951" s="115" t="s">
        <v>6251</v>
      </c>
      <c r="F3951" s="115" t="s">
        <v>6252</v>
      </c>
      <c r="G3951" s="115" t="s">
        <v>6253</v>
      </c>
      <c r="H3951" s="115" t="s">
        <v>6254</v>
      </c>
    </row>
    <row r="3952" spans="1:8" x14ac:dyDescent="0.25">
      <c r="A3952" s="115">
        <v>617</v>
      </c>
      <c r="B3952" s="115" t="s">
        <v>9216</v>
      </c>
      <c r="C3952" s="115" t="s">
        <v>10700</v>
      </c>
      <c r="D3952" s="115">
        <v>0</v>
      </c>
      <c r="E3952" s="115" t="s">
        <v>6256</v>
      </c>
      <c r="F3952" s="115" t="s">
        <v>6257</v>
      </c>
      <c r="G3952" s="115" t="s">
        <v>6258</v>
      </c>
      <c r="H3952" s="115" t="s">
        <v>6259</v>
      </c>
    </row>
    <row r="3953" spans="1:8" x14ac:dyDescent="0.25">
      <c r="A3953" s="115">
        <v>616</v>
      </c>
      <c r="B3953" s="115" t="s">
        <v>9216</v>
      </c>
      <c r="C3953" s="115" t="s">
        <v>10701</v>
      </c>
      <c r="D3953" s="115">
        <v>0</v>
      </c>
      <c r="E3953" s="115" t="s">
        <v>6261</v>
      </c>
      <c r="F3953" s="115" t="s">
        <v>6262</v>
      </c>
      <c r="G3953" s="115" t="s">
        <v>6263</v>
      </c>
      <c r="H3953" s="115" t="s">
        <v>6264</v>
      </c>
    </row>
    <row r="3954" spans="1:8" x14ac:dyDescent="0.25">
      <c r="A3954" s="115">
        <v>615</v>
      </c>
      <c r="B3954" s="115" t="s">
        <v>9216</v>
      </c>
      <c r="C3954" s="115" t="s">
        <v>10702</v>
      </c>
      <c r="D3954" s="115">
        <v>0</v>
      </c>
      <c r="E3954" s="115" t="s">
        <v>6266</v>
      </c>
      <c r="F3954" s="115" t="s">
        <v>6267</v>
      </c>
      <c r="G3954" s="115" t="s">
        <v>6268</v>
      </c>
      <c r="H3954" s="115" t="s">
        <v>6269</v>
      </c>
    </row>
    <row r="3955" spans="1:8" x14ac:dyDescent="0.25">
      <c r="A3955" s="115">
        <v>614</v>
      </c>
      <c r="B3955" s="115" t="s">
        <v>9216</v>
      </c>
      <c r="C3955" s="115" t="s">
        <v>10703</v>
      </c>
      <c r="D3955" s="115">
        <v>0</v>
      </c>
      <c r="E3955" s="115" t="s">
        <v>6271</v>
      </c>
      <c r="F3955" s="115" t="s">
        <v>6272</v>
      </c>
      <c r="G3955" s="115" t="s">
        <v>6273</v>
      </c>
      <c r="H3955" s="115" t="s">
        <v>6274</v>
      </c>
    </row>
    <row r="3956" spans="1:8" x14ac:dyDescent="0.25">
      <c r="A3956" s="115">
        <v>613</v>
      </c>
      <c r="B3956" s="115" t="s">
        <v>9216</v>
      </c>
      <c r="C3956" s="115" t="s">
        <v>10704</v>
      </c>
      <c r="D3956" s="115">
        <v>0</v>
      </c>
      <c r="E3956" s="115" t="s">
        <v>6276</v>
      </c>
      <c r="F3956" s="115" t="s">
        <v>6277</v>
      </c>
      <c r="G3956" s="115" t="s">
        <v>6278</v>
      </c>
      <c r="H3956" s="115" t="s">
        <v>6279</v>
      </c>
    </row>
    <row r="3957" spans="1:8" x14ac:dyDescent="0.25">
      <c r="A3957" s="115">
        <v>612</v>
      </c>
      <c r="B3957" s="115" t="s">
        <v>9216</v>
      </c>
      <c r="C3957" s="115" t="s">
        <v>10705</v>
      </c>
      <c r="D3957" s="115">
        <v>0</v>
      </c>
      <c r="E3957" s="115" t="s">
        <v>6281</v>
      </c>
      <c r="F3957" s="115" t="s">
        <v>6282</v>
      </c>
      <c r="G3957" s="115" t="s">
        <v>6283</v>
      </c>
      <c r="H3957" s="115" t="s">
        <v>6284</v>
      </c>
    </row>
    <row r="3958" spans="1:8" x14ac:dyDescent="0.25">
      <c r="A3958" s="115">
        <v>611</v>
      </c>
      <c r="B3958" s="115" t="s">
        <v>9216</v>
      </c>
      <c r="C3958" s="115" t="s">
        <v>10706</v>
      </c>
      <c r="D3958" s="115">
        <v>0</v>
      </c>
      <c r="E3958" s="115" t="s">
        <v>6286</v>
      </c>
      <c r="F3958" s="115" t="s">
        <v>6287</v>
      </c>
      <c r="G3958" s="115" t="s">
        <v>6288</v>
      </c>
      <c r="H3958" s="115" t="s">
        <v>6289</v>
      </c>
    </row>
    <row r="3959" spans="1:8" x14ac:dyDescent="0.25">
      <c r="A3959" s="115">
        <v>610</v>
      </c>
      <c r="B3959" s="115" t="s">
        <v>9216</v>
      </c>
      <c r="C3959" s="115" t="s">
        <v>10707</v>
      </c>
      <c r="D3959" s="115">
        <v>0</v>
      </c>
      <c r="E3959" s="115" t="s">
        <v>6291</v>
      </c>
      <c r="F3959" s="115" t="s">
        <v>6292</v>
      </c>
      <c r="G3959" s="115" t="s">
        <v>6293</v>
      </c>
      <c r="H3959" s="115" t="s">
        <v>6294</v>
      </c>
    </row>
    <row r="3960" spans="1:8" x14ac:dyDescent="0.25">
      <c r="A3960" s="115">
        <v>609</v>
      </c>
      <c r="B3960" s="115" t="s">
        <v>9216</v>
      </c>
      <c r="C3960" s="115" t="s">
        <v>10708</v>
      </c>
      <c r="D3960" s="115">
        <v>0</v>
      </c>
      <c r="E3960" s="115" t="s">
        <v>6296</v>
      </c>
      <c r="F3960" s="115" t="s">
        <v>6297</v>
      </c>
      <c r="G3960" s="115" t="s">
        <v>6298</v>
      </c>
      <c r="H3960" s="115" t="s">
        <v>6299</v>
      </c>
    </row>
    <row r="3961" spans="1:8" x14ac:dyDescent="0.25">
      <c r="A3961" s="115">
        <v>608</v>
      </c>
      <c r="B3961" s="115" t="s">
        <v>9216</v>
      </c>
      <c r="C3961" s="115" t="s">
        <v>10709</v>
      </c>
      <c r="D3961" s="115">
        <v>0</v>
      </c>
      <c r="E3961" s="115" t="s">
        <v>6301</v>
      </c>
      <c r="F3961" s="115" t="s">
        <v>6302</v>
      </c>
      <c r="G3961" s="115" t="s">
        <v>6303</v>
      </c>
      <c r="H3961" s="115" t="s">
        <v>6304</v>
      </c>
    </row>
    <row r="3962" spans="1:8" x14ac:dyDescent="0.25">
      <c r="A3962" s="115">
        <v>607</v>
      </c>
      <c r="B3962" s="115" t="s">
        <v>9216</v>
      </c>
      <c r="C3962" s="115" t="s">
        <v>10710</v>
      </c>
      <c r="D3962" s="115">
        <v>0</v>
      </c>
      <c r="E3962" s="115" t="s">
        <v>6306</v>
      </c>
      <c r="F3962" s="115" t="s">
        <v>6307</v>
      </c>
      <c r="G3962" s="115" t="s">
        <v>6308</v>
      </c>
      <c r="H3962" s="115" t="s">
        <v>6309</v>
      </c>
    </row>
    <row r="3963" spans="1:8" x14ac:dyDescent="0.25">
      <c r="A3963" s="115">
        <v>606</v>
      </c>
      <c r="B3963" s="115" t="s">
        <v>9216</v>
      </c>
      <c r="C3963" s="115" t="s">
        <v>10711</v>
      </c>
      <c r="D3963" s="115">
        <v>0</v>
      </c>
      <c r="E3963" s="115" t="s">
        <v>6311</v>
      </c>
      <c r="F3963" s="115" t="s">
        <v>6312</v>
      </c>
      <c r="G3963" s="115" t="s">
        <v>6313</v>
      </c>
      <c r="H3963" s="115" t="s">
        <v>6314</v>
      </c>
    </row>
    <row r="3964" spans="1:8" x14ac:dyDescent="0.25">
      <c r="A3964" s="115">
        <v>605</v>
      </c>
      <c r="B3964" s="115" t="s">
        <v>9216</v>
      </c>
      <c r="C3964" s="115" t="s">
        <v>10712</v>
      </c>
      <c r="D3964" s="115">
        <v>0</v>
      </c>
      <c r="E3964" s="115" t="s">
        <v>6316</v>
      </c>
      <c r="F3964" s="115" t="s">
        <v>6317</v>
      </c>
      <c r="G3964" s="115" t="s">
        <v>6318</v>
      </c>
      <c r="H3964" s="115" t="s">
        <v>6319</v>
      </c>
    </row>
    <row r="3965" spans="1:8" x14ac:dyDescent="0.25">
      <c r="A3965" s="115">
        <v>604</v>
      </c>
      <c r="B3965" s="115" t="s">
        <v>9216</v>
      </c>
      <c r="C3965" s="115" t="s">
        <v>10713</v>
      </c>
      <c r="D3965" s="115">
        <v>0</v>
      </c>
      <c r="E3965" s="115" t="s">
        <v>6321</v>
      </c>
      <c r="F3965" s="115" t="s">
        <v>6322</v>
      </c>
      <c r="G3965" s="115" t="s">
        <v>6323</v>
      </c>
      <c r="H3965" s="115" t="s">
        <v>6324</v>
      </c>
    </row>
    <row r="3966" spans="1:8" ht="30" x14ac:dyDescent="0.25">
      <c r="A3966" s="115">
        <v>603</v>
      </c>
      <c r="B3966" s="115" t="s">
        <v>9216</v>
      </c>
      <c r="C3966" s="115" t="s">
        <v>10714</v>
      </c>
      <c r="D3966" s="115">
        <v>0</v>
      </c>
      <c r="E3966" s="115" t="s">
        <v>2365</v>
      </c>
      <c r="F3966" s="115" t="s">
        <v>2366</v>
      </c>
      <c r="G3966" s="115" t="s">
        <v>6326</v>
      </c>
      <c r="H3966" s="115" t="s">
        <v>2367</v>
      </c>
    </row>
    <row r="3967" spans="1:8" ht="45" x14ac:dyDescent="0.25">
      <c r="A3967" s="115">
        <v>602</v>
      </c>
      <c r="B3967" s="115" t="s">
        <v>9216</v>
      </c>
      <c r="C3967" s="115" t="s">
        <v>10715</v>
      </c>
      <c r="D3967" s="115">
        <v>0</v>
      </c>
      <c r="E3967" s="115" t="s">
        <v>10716</v>
      </c>
      <c r="F3967" s="115" t="s">
        <v>6329</v>
      </c>
      <c r="G3967" s="115" t="s">
        <v>6330</v>
      </c>
      <c r="H3967" s="115" t="s">
        <v>6331</v>
      </c>
    </row>
    <row r="3968" spans="1:8" x14ac:dyDescent="0.25">
      <c r="A3968" s="115">
        <v>601</v>
      </c>
      <c r="B3968" s="115" t="s">
        <v>9216</v>
      </c>
      <c r="C3968" s="115" t="s">
        <v>10717</v>
      </c>
      <c r="D3968" s="115">
        <v>0</v>
      </c>
      <c r="E3968" s="115" t="s">
        <v>6333</v>
      </c>
      <c r="F3968" s="115" t="s">
        <v>6334</v>
      </c>
      <c r="G3968" s="115" t="s">
        <v>6335</v>
      </c>
      <c r="H3968" s="115" t="s">
        <v>6336</v>
      </c>
    </row>
    <row r="3969" spans="1:8" x14ac:dyDescent="0.25">
      <c r="A3969" s="115">
        <v>600</v>
      </c>
      <c r="B3969" s="115" t="s">
        <v>9216</v>
      </c>
      <c r="C3969" s="115" t="s">
        <v>10718</v>
      </c>
      <c r="D3969" s="115">
        <v>0</v>
      </c>
      <c r="E3969" s="115" t="s">
        <v>6338</v>
      </c>
      <c r="F3969" s="115" t="s">
        <v>6339</v>
      </c>
      <c r="G3969" s="115" t="s">
        <v>6340</v>
      </c>
      <c r="H3969" s="115" t="s">
        <v>6341</v>
      </c>
    </row>
    <row r="3970" spans="1:8" x14ac:dyDescent="0.25">
      <c r="A3970" s="115">
        <v>599</v>
      </c>
      <c r="B3970" s="115" t="s">
        <v>9216</v>
      </c>
      <c r="C3970" s="115" t="s">
        <v>10719</v>
      </c>
      <c r="D3970" s="115">
        <v>0</v>
      </c>
      <c r="E3970" s="115" t="s">
        <v>6343</v>
      </c>
      <c r="F3970" s="115" t="s">
        <v>6344</v>
      </c>
      <c r="G3970" s="115" t="s">
        <v>6345</v>
      </c>
      <c r="H3970" s="115" t="s">
        <v>6346</v>
      </c>
    </row>
    <row r="3971" spans="1:8" x14ac:dyDescent="0.25">
      <c r="A3971" s="115">
        <v>598</v>
      </c>
      <c r="B3971" s="115" t="s">
        <v>9216</v>
      </c>
      <c r="C3971" s="115" t="s">
        <v>10720</v>
      </c>
      <c r="D3971" s="115">
        <v>0</v>
      </c>
      <c r="E3971" s="115" t="s">
        <v>6348</v>
      </c>
      <c r="F3971" s="115" t="s">
        <v>6349</v>
      </c>
      <c r="G3971" s="115" t="s">
        <v>6350</v>
      </c>
      <c r="H3971" s="115" t="s">
        <v>6351</v>
      </c>
    </row>
    <row r="3972" spans="1:8" ht="30" x14ac:dyDescent="0.25">
      <c r="A3972" s="115">
        <v>597</v>
      </c>
      <c r="B3972" s="115" t="s">
        <v>9216</v>
      </c>
      <c r="C3972" s="115" t="s">
        <v>10721</v>
      </c>
      <c r="D3972" s="115">
        <v>0</v>
      </c>
      <c r="E3972" s="115" t="s">
        <v>6353</v>
      </c>
      <c r="F3972" s="115" t="s">
        <v>6354</v>
      </c>
      <c r="G3972" s="115" t="s">
        <v>6355</v>
      </c>
      <c r="H3972" s="115" t="s">
        <v>6356</v>
      </c>
    </row>
    <row r="3973" spans="1:8" x14ac:dyDescent="0.25">
      <c r="A3973" s="115">
        <v>596</v>
      </c>
      <c r="B3973" s="115" t="s">
        <v>9216</v>
      </c>
      <c r="C3973" s="115" t="s">
        <v>10722</v>
      </c>
      <c r="D3973" s="115">
        <v>0</v>
      </c>
      <c r="E3973" s="115" t="s">
        <v>6358</v>
      </c>
      <c r="F3973" s="115" t="s">
        <v>2928</v>
      </c>
      <c r="G3973" s="115" t="s">
        <v>6359</v>
      </c>
      <c r="H3973" s="115" t="s">
        <v>6360</v>
      </c>
    </row>
    <row r="3974" spans="1:8" x14ac:dyDescent="0.25">
      <c r="A3974" s="115">
        <v>595</v>
      </c>
      <c r="B3974" s="115" t="s">
        <v>9216</v>
      </c>
      <c r="C3974" s="115" t="s">
        <v>10723</v>
      </c>
      <c r="D3974" s="115">
        <v>0</v>
      </c>
      <c r="E3974" s="115" t="s">
        <v>548</v>
      </c>
      <c r="F3974" s="115" t="s">
        <v>549</v>
      </c>
      <c r="G3974" s="115" t="s">
        <v>6362</v>
      </c>
      <c r="H3974" s="115" t="s">
        <v>6363</v>
      </c>
    </row>
    <row r="3975" spans="1:8" x14ac:dyDescent="0.25">
      <c r="A3975" s="115">
        <v>594</v>
      </c>
      <c r="B3975" s="115" t="s">
        <v>9216</v>
      </c>
      <c r="C3975" s="115" t="s">
        <v>10724</v>
      </c>
      <c r="D3975" s="115">
        <v>0</v>
      </c>
      <c r="E3975" s="115" t="s">
        <v>6365</v>
      </c>
      <c r="F3975" s="115" t="s">
        <v>6366</v>
      </c>
      <c r="G3975" s="115" t="s">
        <v>6367</v>
      </c>
      <c r="H3975" s="115" t="s">
        <v>6368</v>
      </c>
    </row>
    <row r="3976" spans="1:8" x14ac:dyDescent="0.25">
      <c r="A3976" s="115">
        <v>593</v>
      </c>
      <c r="B3976" s="115" t="s">
        <v>9216</v>
      </c>
      <c r="C3976" s="115" t="s">
        <v>10725</v>
      </c>
      <c r="D3976" s="115">
        <v>0</v>
      </c>
      <c r="E3976" s="115" t="s">
        <v>6370</v>
      </c>
      <c r="F3976" s="115" t="s">
        <v>6371</v>
      </c>
      <c r="G3976" s="115" t="s">
        <v>6372</v>
      </c>
      <c r="H3976" s="115" t="s">
        <v>6373</v>
      </c>
    </row>
    <row r="3977" spans="1:8" x14ac:dyDescent="0.25">
      <c r="A3977" s="115">
        <v>592</v>
      </c>
      <c r="B3977" s="115" t="s">
        <v>9216</v>
      </c>
      <c r="C3977" s="115" t="s">
        <v>10726</v>
      </c>
      <c r="D3977" s="115">
        <v>0</v>
      </c>
      <c r="E3977" s="115" t="s">
        <v>6375</v>
      </c>
      <c r="F3977" s="115" t="s">
        <v>6376</v>
      </c>
      <c r="G3977" s="115" t="s">
        <v>6377</v>
      </c>
      <c r="H3977" s="115" t="s">
        <v>6378</v>
      </c>
    </row>
    <row r="3978" spans="1:8" x14ac:dyDescent="0.25">
      <c r="A3978" s="115">
        <v>591</v>
      </c>
      <c r="B3978" s="115" t="s">
        <v>9216</v>
      </c>
      <c r="C3978" s="115" t="s">
        <v>10727</v>
      </c>
      <c r="D3978" s="115">
        <v>0</v>
      </c>
      <c r="E3978" s="115" t="s">
        <v>6380</v>
      </c>
      <c r="F3978" s="115" t="s">
        <v>6381</v>
      </c>
      <c r="G3978" s="115" t="s">
        <v>6382</v>
      </c>
      <c r="H3978" s="115" t="s">
        <v>6383</v>
      </c>
    </row>
    <row r="3979" spans="1:8" ht="30" x14ac:dyDescent="0.25">
      <c r="A3979" s="115">
        <v>590</v>
      </c>
      <c r="B3979" s="115" t="s">
        <v>9216</v>
      </c>
      <c r="C3979" s="115" t="s">
        <v>10728</v>
      </c>
      <c r="D3979" s="115">
        <v>0</v>
      </c>
      <c r="E3979" s="115" t="s">
        <v>693</v>
      </c>
      <c r="F3979" s="115" t="s">
        <v>10729</v>
      </c>
      <c r="G3979" s="115" t="s">
        <v>6385</v>
      </c>
      <c r="H3979" s="115" t="s">
        <v>6386</v>
      </c>
    </row>
    <row r="3980" spans="1:8" x14ac:dyDescent="0.25">
      <c r="A3980" s="115">
        <v>589</v>
      </c>
      <c r="B3980" s="115" t="s">
        <v>9216</v>
      </c>
      <c r="C3980" s="115" t="s">
        <v>10730</v>
      </c>
      <c r="D3980" s="115">
        <v>0</v>
      </c>
      <c r="E3980" s="115" t="s">
        <v>6388</v>
      </c>
      <c r="F3980" s="115" t="s">
        <v>10731</v>
      </c>
      <c r="G3980" s="115" t="s">
        <v>6390</v>
      </c>
      <c r="H3980" s="115" t="s">
        <v>6391</v>
      </c>
    </row>
    <row r="3981" spans="1:8" x14ac:dyDescent="0.25">
      <c r="A3981" s="115">
        <v>588</v>
      </c>
      <c r="B3981" s="115" t="s">
        <v>9216</v>
      </c>
      <c r="C3981" s="115" t="s">
        <v>10732</v>
      </c>
      <c r="D3981" s="115">
        <v>0</v>
      </c>
      <c r="E3981" s="115" t="s">
        <v>6393</v>
      </c>
      <c r="F3981" s="115" t="s">
        <v>10733</v>
      </c>
      <c r="G3981" s="115" t="s">
        <v>6394</v>
      </c>
      <c r="H3981" s="115" t="s">
        <v>6395</v>
      </c>
    </row>
    <row r="3982" spans="1:8" x14ac:dyDescent="0.25">
      <c r="A3982" s="115">
        <v>587</v>
      </c>
      <c r="B3982" s="115" t="s">
        <v>9216</v>
      </c>
      <c r="C3982" s="115" t="s">
        <v>10734</v>
      </c>
      <c r="D3982" s="115">
        <v>0</v>
      </c>
      <c r="E3982" s="115" t="s">
        <v>6397</v>
      </c>
      <c r="F3982" s="115" t="s">
        <v>10735</v>
      </c>
      <c r="G3982" s="115" t="s">
        <v>6399</v>
      </c>
      <c r="H3982" s="115" t="s">
        <v>6400</v>
      </c>
    </row>
    <row r="3983" spans="1:8" x14ac:dyDescent="0.25">
      <c r="A3983" s="115">
        <v>586</v>
      </c>
      <c r="B3983" s="115" t="s">
        <v>9216</v>
      </c>
      <c r="C3983" s="115" t="s">
        <v>10736</v>
      </c>
      <c r="D3983" s="115">
        <v>0</v>
      </c>
      <c r="E3983" s="115" t="s">
        <v>6402</v>
      </c>
      <c r="F3983" s="115" t="s">
        <v>6403</v>
      </c>
      <c r="G3983" s="115" t="s">
        <v>6404</v>
      </c>
      <c r="H3983" s="115" t="s">
        <v>6405</v>
      </c>
    </row>
    <row r="3984" spans="1:8" x14ac:dyDescent="0.25">
      <c r="A3984" s="115">
        <v>585</v>
      </c>
      <c r="B3984" s="115" t="s">
        <v>9216</v>
      </c>
      <c r="C3984" s="115" t="s">
        <v>10737</v>
      </c>
      <c r="D3984" s="115">
        <v>0</v>
      </c>
      <c r="E3984" s="115" t="s">
        <v>6407</v>
      </c>
      <c r="F3984" s="115" t="s">
        <v>6408</v>
      </c>
      <c r="G3984" s="115" t="s">
        <v>6409</v>
      </c>
      <c r="H3984" s="115" t="s">
        <v>6410</v>
      </c>
    </row>
    <row r="3985" spans="1:8" x14ac:dyDescent="0.25">
      <c r="A3985" s="115">
        <v>584</v>
      </c>
      <c r="B3985" s="115" t="s">
        <v>9216</v>
      </c>
      <c r="C3985" s="115" t="s">
        <v>10738</v>
      </c>
      <c r="D3985" s="115">
        <v>0</v>
      </c>
      <c r="E3985" s="115" t="s">
        <v>6412</v>
      </c>
      <c r="F3985" s="115" t="s">
        <v>6413</v>
      </c>
      <c r="G3985" s="115" t="s">
        <v>6414</v>
      </c>
      <c r="H3985" s="115" t="s">
        <v>6415</v>
      </c>
    </row>
    <row r="3986" spans="1:8" x14ac:dyDescent="0.25">
      <c r="A3986" s="115">
        <v>583</v>
      </c>
      <c r="B3986" s="115" t="s">
        <v>9216</v>
      </c>
      <c r="C3986" s="115" t="s">
        <v>10739</v>
      </c>
      <c r="D3986" s="115">
        <v>0</v>
      </c>
      <c r="E3986" s="115" t="s">
        <v>6417</v>
      </c>
      <c r="F3986" s="115" t="s">
        <v>6418</v>
      </c>
      <c r="G3986" s="115" t="s">
        <v>6419</v>
      </c>
      <c r="H3986" s="115" t="s">
        <v>6420</v>
      </c>
    </row>
    <row r="3987" spans="1:8" x14ac:dyDescent="0.25">
      <c r="A3987" s="115">
        <v>582</v>
      </c>
      <c r="B3987" s="115" t="s">
        <v>9216</v>
      </c>
      <c r="C3987" s="115" t="s">
        <v>10740</v>
      </c>
      <c r="D3987" s="115">
        <v>0</v>
      </c>
      <c r="E3987" s="115" t="s">
        <v>6422</v>
      </c>
      <c r="F3987" s="115" t="s">
        <v>6423</v>
      </c>
      <c r="G3987" s="115" t="s">
        <v>6424</v>
      </c>
      <c r="H3987" s="115" t="s">
        <v>6425</v>
      </c>
    </row>
    <row r="3988" spans="1:8" x14ac:dyDescent="0.25">
      <c r="A3988" s="115">
        <v>581</v>
      </c>
      <c r="B3988" s="115" t="s">
        <v>9216</v>
      </c>
      <c r="C3988" s="115" t="s">
        <v>10741</v>
      </c>
      <c r="D3988" s="115">
        <v>0</v>
      </c>
      <c r="E3988" s="115" t="s">
        <v>6427</v>
      </c>
      <c r="F3988" s="115" t="s">
        <v>6428</v>
      </c>
      <c r="G3988" s="115" t="s">
        <v>6429</v>
      </c>
      <c r="H3988" s="115" t="s">
        <v>6430</v>
      </c>
    </row>
    <row r="3989" spans="1:8" x14ac:dyDescent="0.25">
      <c r="A3989" s="115">
        <v>580</v>
      </c>
      <c r="B3989" s="115" t="s">
        <v>9216</v>
      </c>
      <c r="C3989" s="115" t="s">
        <v>10742</v>
      </c>
      <c r="D3989" s="115">
        <v>0</v>
      </c>
      <c r="E3989" s="115" t="s">
        <v>6432</v>
      </c>
      <c r="F3989" s="115" t="s">
        <v>6433</v>
      </c>
      <c r="G3989" s="115" t="s">
        <v>6434</v>
      </c>
      <c r="H3989" s="115" t="s">
        <v>6435</v>
      </c>
    </row>
    <row r="3990" spans="1:8" x14ac:dyDescent="0.25">
      <c r="A3990" s="115">
        <v>579</v>
      </c>
      <c r="B3990" s="115" t="s">
        <v>9216</v>
      </c>
      <c r="C3990" s="115" t="s">
        <v>10743</v>
      </c>
      <c r="D3990" s="115">
        <v>0</v>
      </c>
      <c r="E3990" s="115" t="s">
        <v>6437</v>
      </c>
      <c r="F3990" s="115" t="s">
        <v>6438</v>
      </c>
      <c r="G3990" s="115" t="s">
        <v>6439</v>
      </c>
      <c r="H3990" s="115" t="s">
        <v>6440</v>
      </c>
    </row>
    <row r="3991" spans="1:8" x14ac:dyDescent="0.25">
      <c r="A3991" s="115">
        <v>578</v>
      </c>
      <c r="B3991" s="115" t="s">
        <v>9216</v>
      </c>
      <c r="C3991" s="115" t="s">
        <v>10744</v>
      </c>
      <c r="D3991" s="115">
        <v>0</v>
      </c>
      <c r="E3991" s="115" t="s">
        <v>6442</v>
      </c>
      <c r="F3991" s="115" t="s">
        <v>6443</v>
      </c>
      <c r="G3991" s="115" t="s">
        <v>6444</v>
      </c>
      <c r="H3991" s="115" t="s">
        <v>6445</v>
      </c>
    </row>
    <row r="3992" spans="1:8" x14ac:dyDescent="0.25">
      <c r="A3992" s="115">
        <v>577</v>
      </c>
      <c r="B3992" s="115" t="s">
        <v>9216</v>
      </c>
      <c r="C3992" s="115" t="s">
        <v>10745</v>
      </c>
      <c r="D3992" s="115">
        <v>0</v>
      </c>
      <c r="E3992" s="115" t="s">
        <v>6447</v>
      </c>
      <c r="F3992" s="115" t="s">
        <v>6448</v>
      </c>
      <c r="G3992" s="115" t="s">
        <v>6449</v>
      </c>
      <c r="H3992" s="115" t="s">
        <v>6450</v>
      </c>
    </row>
    <row r="3993" spans="1:8" x14ac:dyDescent="0.25">
      <c r="A3993" s="115">
        <v>576</v>
      </c>
      <c r="B3993" s="115" t="s">
        <v>9216</v>
      </c>
      <c r="C3993" s="115" t="s">
        <v>10746</v>
      </c>
      <c r="D3993" s="115">
        <v>0</v>
      </c>
      <c r="E3993" s="115" t="s">
        <v>6452</v>
      </c>
      <c r="F3993" s="115" t="s">
        <v>6453</v>
      </c>
      <c r="G3993" s="115" t="s">
        <v>6454</v>
      </c>
      <c r="H3993" s="115" t="s">
        <v>6455</v>
      </c>
    </row>
    <row r="3994" spans="1:8" x14ac:dyDescent="0.25">
      <c r="A3994" s="115">
        <v>575</v>
      </c>
      <c r="B3994" s="115" t="s">
        <v>9216</v>
      </c>
      <c r="C3994" s="115" t="s">
        <v>10747</v>
      </c>
      <c r="D3994" s="115">
        <v>0</v>
      </c>
      <c r="E3994" s="115" t="s">
        <v>6457</v>
      </c>
      <c r="F3994" s="115" t="s">
        <v>6458</v>
      </c>
      <c r="G3994" s="115" t="s">
        <v>6459</v>
      </c>
      <c r="H3994" s="115" t="s">
        <v>6460</v>
      </c>
    </row>
    <row r="3995" spans="1:8" x14ac:dyDescent="0.25">
      <c r="A3995" s="115">
        <v>574</v>
      </c>
      <c r="B3995" s="115" t="s">
        <v>9216</v>
      </c>
      <c r="C3995" s="115" t="s">
        <v>10748</v>
      </c>
      <c r="D3995" s="115">
        <v>0</v>
      </c>
      <c r="E3995" s="115" t="s">
        <v>6462</v>
      </c>
      <c r="F3995" s="115" t="s">
        <v>6463</v>
      </c>
      <c r="G3995" s="115" t="s">
        <v>6464</v>
      </c>
      <c r="H3995" s="115" t="s">
        <v>6465</v>
      </c>
    </row>
    <row r="3996" spans="1:8" x14ac:dyDescent="0.25">
      <c r="A3996" s="115">
        <v>573</v>
      </c>
      <c r="B3996" s="115" t="s">
        <v>9216</v>
      </c>
      <c r="C3996" s="115" t="s">
        <v>10749</v>
      </c>
      <c r="D3996" s="115">
        <v>0</v>
      </c>
      <c r="E3996" s="115" t="s">
        <v>6467</v>
      </c>
      <c r="F3996" s="115" t="s">
        <v>6468</v>
      </c>
      <c r="G3996" s="115" t="s">
        <v>6469</v>
      </c>
      <c r="H3996" s="115" t="s">
        <v>6470</v>
      </c>
    </row>
    <row r="3997" spans="1:8" ht="30" x14ac:dyDescent="0.25">
      <c r="A3997" s="115">
        <v>572</v>
      </c>
      <c r="B3997" s="115" t="s">
        <v>9216</v>
      </c>
      <c r="C3997" s="115" t="s">
        <v>10750</v>
      </c>
      <c r="D3997" s="115">
        <v>0</v>
      </c>
      <c r="E3997" s="115" t="s">
        <v>6472</v>
      </c>
      <c r="F3997" s="115" t="s">
        <v>6473</v>
      </c>
      <c r="G3997" s="115" t="s">
        <v>6474</v>
      </c>
      <c r="H3997" s="115" t="s">
        <v>6475</v>
      </c>
    </row>
    <row r="3998" spans="1:8" x14ac:dyDescent="0.25">
      <c r="A3998" s="115">
        <v>571</v>
      </c>
      <c r="B3998" s="115" t="s">
        <v>9216</v>
      </c>
      <c r="C3998" s="115" t="s">
        <v>10751</v>
      </c>
      <c r="D3998" s="115">
        <v>0</v>
      </c>
      <c r="E3998" s="115" t="s">
        <v>6477</v>
      </c>
      <c r="F3998" s="115" t="s">
        <v>6478</v>
      </c>
      <c r="G3998" s="115" t="s">
        <v>6479</v>
      </c>
      <c r="H3998" s="115" t="s">
        <v>6480</v>
      </c>
    </row>
    <row r="3999" spans="1:8" x14ac:dyDescent="0.25">
      <c r="A3999" s="115">
        <v>570</v>
      </c>
      <c r="B3999" s="115" t="s">
        <v>9216</v>
      </c>
      <c r="C3999" s="115" t="s">
        <v>10752</v>
      </c>
      <c r="D3999" s="115">
        <v>0</v>
      </c>
      <c r="E3999" s="115" t="s">
        <v>998</v>
      </c>
      <c r="F3999" s="115" t="s">
        <v>999</v>
      </c>
      <c r="G3999" s="115" t="s">
        <v>6482</v>
      </c>
      <c r="H3999" s="115" t="s">
        <v>1000</v>
      </c>
    </row>
    <row r="4000" spans="1:8" x14ac:dyDescent="0.25">
      <c r="A4000" s="115">
        <v>569</v>
      </c>
      <c r="B4000" s="115" t="s">
        <v>9216</v>
      </c>
      <c r="C4000" s="115" t="s">
        <v>10753</v>
      </c>
      <c r="D4000" s="115">
        <v>0</v>
      </c>
      <c r="E4000" s="115" t="s">
        <v>6484</v>
      </c>
      <c r="F4000" s="115" t="s">
        <v>6485</v>
      </c>
      <c r="G4000" s="115" t="s">
        <v>6486</v>
      </c>
      <c r="H4000" s="115" t="s">
        <v>6487</v>
      </c>
    </row>
    <row r="4001" spans="1:8" x14ac:dyDescent="0.25">
      <c r="A4001" s="115">
        <v>568</v>
      </c>
      <c r="B4001" s="115" t="s">
        <v>9216</v>
      </c>
      <c r="C4001" s="115" t="s">
        <v>10754</v>
      </c>
      <c r="D4001" s="115">
        <v>0</v>
      </c>
      <c r="E4001" s="115" t="s">
        <v>528</v>
      </c>
      <c r="F4001" s="115" t="s">
        <v>529</v>
      </c>
      <c r="G4001" s="115" t="s">
        <v>4027</v>
      </c>
      <c r="H4001" s="115" t="s">
        <v>530</v>
      </c>
    </row>
    <row r="4002" spans="1:8" x14ac:dyDescent="0.25">
      <c r="A4002" s="115">
        <v>567</v>
      </c>
      <c r="B4002" s="115" t="s">
        <v>9216</v>
      </c>
      <c r="C4002" s="115" t="s">
        <v>10755</v>
      </c>
      <c r="D4002" s="115">
        <v>0</v>
      </c>
      <c r="E4002" s="115" t="s">
        <v>6490</v>
      </c>
      <c r="F4002" s="115" t="s">
        <v>6491</v>
      </c>
      <c r="G4002" s="115" t="s">
        <v>6492</v>
      </c>
      <c r="H4002" s="115" t="s">
        <v>6493</v>
      </c>
    </row>
    <row r="4003" spans="1:8" x14ac:dyDescent="0.25">
      <c r="A4003" s="115">
        <v>566</v>
      </c>
      <c r="B4003" s="115" t="s">
        <v>9216</v>
      </c>
      <c r="C4003" s="115" t="s">
        <v>10756</v>
      </c>
      <c r="D4003" s="115">
        <v>0</v>
      </c>
      <c r="E4003" s="115" t="s">
        <v>6495</v>
      </c>
      <c r="F4003" s="115" t="s">
        <v>6496</v>
      </c>
      <c r="G4003" s="115" t="s">
        <v>6497</v>
      </c>
      <c r="H4003" s="115" t="s">
        <v>6498</v>
      </c>
    </row>
    <row r="4004" spans="1:8" x14ac:dyDescent="0.25">
      <c r="A4004" s="115">
        <v>565</v>
      </c>
      <c r="B4004" s="115" t="s">
        <v>9216</v>
      </c>
      <c r="C4004" s="115" t="s">
        <v>10757</v>
      </c>
      <c r="D4004" s="115">
        <v>0</v>
      </c>
      <c r="E4004" s="115" t="s">
        <v>966</v>
      </c>
      <c r="F4004" s="115" t="s">
        <v>967</v>
      </c>
      <c r="G4004" s="115" t="s">
        <v>6500</v>
      </c>
      <c r="H4004" s="115" t="s">
        <v>968</v>
      </c>
    </row>
    <row r="4005" spans="1:8" x14ac:dyDescent="0.25">
      <c r="A4005" s="115">
        <v>564</v>
      </c>
      <c r="B4005" s="115" t="s">
        <v>9216</v>
      </c>
      <c r="C4005" s="115" t="s">
        <v>10758</v>
      </c>
      <c r="D4005" s="115">
        <v>0</v>
      </c>
      <c r="E4005" s="115" t="s">
        <v>6502</v>
      </c>
      <c r="F4005" s="115" t="s">
        <v>6503</v>
      </c>
      <c r="G4005" s="115" t="s">
        <v>6504</v>
      </c>
      <c r="H4005" s="115" t="s">
        <v>6505</v>
      </c>
    </row>
    <row r="4006" spans="1:8" x14ac:dyDescent="0.25">
      <c r="A4006" s="115">
        <v>563</v>
      </c>
      <c r="B4006" s="115" t="s">
        <v>9216</v>
      </c>
      <c r="C4006" s="115" t="s">
        <v>10759</v>
      </c>
      <c r="D4006" s="115">
        <v>0</v>
      </c>
      <c r="E4006" s="115" t="s">
        <v>4014</v>
      </c>
      <c r="F4006" s="115" t="s">
        <v>4015</v>
      </c>
      <c r="G4006" s="115" t="s">
        <v>4016</v>
      </c>
      <c r="H4006" s="115" t="s">
        <v>6507</v>
      </c>
    </row>
    <row r="4007" spans="1:8" ht="30" x14ac:dyDescent="0.25">
      <c r="A4007" s="115">
        <v>562</v>
      </c>
      <c r="B4007" s="115" t="s">
        <v>9216</v>
      </c>
      <c r="C4007" s="115" t="s">
        <v>10760</v>
      </c>
      <c r="D4007" s="115">
        <v>0</v>
      </c>
      <c r="E4007" s="115" t="s">
        <v>6509</v>
      </c>
      <c r="F4007" s="115" t="s">
        <v>6510</v>
      </c>
      <c r="G4007" s="115" t="s">
        <v>6511</v>
      </c>
      <c r="H4007" s="115" t="s">
        <v>6512</v>
      </c>
    </row>
    <row r="4008" spans="1:8" x14ac:dyDescent="0.25">
      <c r="A4008" s="115">
        <v>561</v>
      </c>
      <c r="B4008" s="115" t="s">
        <v>9216</v>
      </c>
      <c r="C4008" s="115" t="s">
        <v>10761</v>
      </c>
      <c r="D4008" s="115">
        <v>0</v>
      </c>
      <c r="E4008" s="115" t="s">
        <v>6514</v>
      </c>
      <c r="F4008" s="115" t="s">
        <v>10762</v>
      </c>
      <c r="G4008" s="115" t="s">
        <v>6516</v>
      </c>
      <c r="H4008" s="115" t="s">
        <v>6517</v>
      </c>
    </row>
    <row r="4009" spans="1:8" x14ac:dyDescent="0.25">
      <c r="A4009" s="115">
        <v>560</v>
      </c>
      <c r="B4009" s="115" t="s">
        <v>9216</v>
      </c>
      <c r="C4009" s="115" t="s">
        <v>10763</v>
      </c>
      <c r="D4009" s="115">
        <v>0</v>
      </c>
      <c r="E4009" s="115" t="s">
        <v>4072</v>
      </c>
      <c r="F4009" s="115" t="s">
        <v>4073</v>
      </c>
      <c r="G4009" s="115" t="s">
        <v>4074</v>
      </c>
      <c r="H4009" s="115" t="s">
        <v>4075</v>
      </c>
    </row>
    <row r="4010" spans="1:8" x14ac:dyDescent="0.25">
      <c r="A4010" s="115">
        <v>559</v>
      </c>
      <c r="B4010" s="115" t="s">
        <v>9216</v>
      </c>
      <c r="C4010" s="115" t="s">
        <v>10764</v>
      </c>
      <c r="D4010" s="115">
        <v>0</v>
      </c>
      <c r="E4010" s="115" t="s">
        <v>6520</v>
      </c>
      <c r="F4010" s="115" t="s">
        <v>6521</v>
      </c>
      <c r="G4010" s="115" t="s">
        <v>6522</v>
      </c>
      <c r="H4010" s="115" t="s">
        <v>6523</v>
      </c>
    </row>
    <row r="4011" spans="1:8" x14ac:dyDescent="0.25">
      <c r="A4011" s="115">
        <v>558</v>
      </c>
      <c r="B4011" s="115" t="s">
        <v>9216</v>
      </c>
      <c r="C4011" s="115" t="s">
        <v>10765</v>
      </c>
      <c r="D4011" s="115">
        <v>0</v>
      </c>
      <c r="E4011" s="115" t="s">
        <v>6525</v>
      </c>
      <c r="F4011" s="115" t="s">
        <v>6526</v>
      </c>
      <c r="G4011" s="115" t="s">
        <v>6527</v>
      </c>
      <c r="H4011" s="115" t="s">
        <v>6528</v>
      </c>
    </row>
    <row r="4012" spans="1:8" ht="30" x14ac:dyDescent="0.25">
      <c r="A4012" s="115">
        <v>557</v>
      </c>
      <c r="B4012" s="115" t="s">
        <v>9216</v>
      </c>
      <c r="C4012" s="115" t="s">
        <v>10766</v>
      </c>
      <c r="D4012" s="115">
        <v>0</v>
      </c>
      <c r="E4012" s="115" t="s">
        <v>6530</v>
      </c>
      <c r="F4012" s="115" t="s">
        <v>6531</v>
      </c>
      <c r="G4012" s="115" t="s">
        <v>6532</v>
      </c>
      <c r="H4012" s="115" t="s">
        <v>6533</v>
      </c>
    </row>
    <row r="4013" spans="1:8" x14ac:dyDescent="0.25">
      <c r="A4013" s="115">
        <v>556</v>
      </c>
      <c r="B4013" s="115" t="s">
        <v>9216</v>
      </c>
      <c r="C4013" s="115" t="s">
        <v>10767</v>
      </c>
      <c r="D4013" s="115">
        <v>0</v>
      </c>
      <c r="E4013" s="115" t="s">
        <v>1033</v>
      </c>
      <c r="F4013" s="115" t="s">
        <v>1034</v>
      </c>
      <c r="G4013" s="115" t="s">
        <v>3977</v>
      </c>
      <c r="H4013" s="115" t="s">
        <v>1035</v>
      </c>
    </row>
    <row r="4014" spans="1:8" ht="30" x14ac:dyDescent="0.25">
      <c r="A4014" s="115">
        <v>555</v>
      </c>
      <c r="B4014" s="115" t="s">
        <v>9216</v>
      </c>
      <c r="C4014" s="115" t="s">
        <v>10768</v>
      </c>
      <c r="D4014" s="115">
        <v>0</v>
      </c>
      <c r="E4014" s="115" t="s">
        <v>6536</v>
      </c>
      <c r="F4014" s="115" t="s">
        <v>6537</v>
      </c>
      <c r="G4014" s="115" t="s">
        <v>6538</v>
      </c>
      <c r="H4014" s="115" t="s">
        <v>6539</v>
      </c>
    </row>
    <row r="4015" spans="1:8" x14ac:dyDescent="0.25">
      <c r="A4015" s="115">
        <v>554</v>
      </c>
      <c r="B4015" s="115" t="s">
        <v>9216</v>
      </c>
      <c r="C4015" s="115" t="s">
        <v>10769</v>
      </c>
      <c r="D4015" s="115">
        <v>0</v>
      </c>
      <c r="E4015" s="115" t="s">
        <v>532</v>
      </c>
      <c r="F4015" s="115" t="s">
        <v>533</v>
      </c>
      <c r="G4015" s="115" t="s">
        <v>6541</v>
      </c>
      <c r="H4015" s="115" t="s">
        <v>534</v>
      </c>
    </row>
    <row r="4016" spans="1:8" x14ac:dyDescent="0.25">
      <c r="A4016" s="115">
        <v>553</v>
      </c>
      <c r="B4016" s="115" t="s">
        <v>9216</v>
      </c>
      <c r="C4016" s="115" t="s">
        <v>10770</v>
      </c>
      <c r="D4016" s="115">
        <v>0</v>
      </c>
      <c r="E4016" s="115" t="s">
        <v>6543</v>
      </c>
      <c r="F4016" s="115" t="s">
        <v>6544</v>
      </c>
      <c r="G4016" s="115" t="s">
        <v>6545</v>
      </c>
      <c r="H4016" s="115" t="s">
        <v>6546</v>
      </c>
    </row>
    <row r="4017" spans="1:8" x14ac:dyDescent="0.25">
      <c r="A4017" s="115">
        <v>552</v>
      </c>
      <c r="B4017" s="115" t="s">
        <v>9216</v>
      </c>
      <c r="C4017" s="115" t="s">
        <v>10771</v>
      </c>
      <c r="D4017" s="115">
        <v>0</v>
      </c>
      <c r="E4017" s="115" t="s">
        <v>6548</v>
      </c>
      <c r="F4017" s="115" t="s">
        <v>6549</v>
      </c>
      <c r="G4017" s="115" t="s">
        <v>6550</v>
      </c>
      <c r="H4017" s="115" t="s">
        <v>6551</v>
      </c>
    </row>
    <row r="4018" spans="1:8" x14ac:dyDescent="0.25">
      <c r="A4018" s="115">
        <v>551</v>
      </c>
      <c r="B4018" s="115" t="s">
        <v>9216</v>
      </c>
      <c r="C4018" s="115" t="s">
        <v>10772</v>
      </c>
      <c r="D4018" s="115">
        <v>0</v>
      </c>
      <c r="E4018" s="115" t="s">
        <v>6553</v>
      </c>
      <c r="F4018" s="115" t="s">
        <v>6554</v>
      </c>
      <c r="G4018" s="115" t="s">
        <v>6555</v>
      </c>
      <c r="H4018" s="115" t="s">
        <v>6556</v>
      </c>
    </row>
    <row r="4019" spans="1:8" x14ac:dyDescent="0.25">
      <c r="A4019" s="115">
        <v>550</v>
      </c>
      <c r="B4019" s="115" t="s">
        <v>9216</v>
      </c>
      <c r="C4019" s="115" t="s">
        <v>10773</v>
      </c>
      <c r="D4019" s="115">
        <v>0</v>
      </c>
      <c r="E4019" s="115" t="s">
        <v>6558</v>
      </c>
      <c r="F4019" s="115" t="s">
        <v>6559</v>
      </c>
      <c r="G4019" s="115" t="s">
        <v>6560</v>
      </c>
      <c r="H4019" s="115" t="s">
        <v>6561</v>
      </c>
    </row>
    <row r="4020" spans="1:8" x14ac:dyDescent="0.25">
      <c r="A4020" s="115">
        <v>549</v>
      </c>
      <c r="B4020" s="115" t="s">
        <v>9216</v>
      </c>
      <c r="C4020" s="115" t="s">
        <v>10774</v>
      </c>
      <c r="D4020" s="115">
        <v>0</v>
      </c>
      <c r="E4020" s="115" t="s">
        <v>6563</v>
      </c>
      <c r="F4020" s="115" t="s">
        <v>6564</v>
      </c>
      <c r="G4020" s="115" t="s">
        <v>6565</v>
      </c>
      <c r="H4020" s="115" t="s">
        <v>6566</v>
      </c>
    </row>
    <row r="4021" spans="1:8" x14ac:dyDescent="0.25">
      <c r="A4021" s="115">
        <v>548</v>
      </c>
      <c r="B4021" s="115" t="s">
        <v>9216</v>
      </c>
      <c r="C4021" s="115" t="s">
        <v>10775</v>
      </c>
      <c r="D4021" s="115">
        <v>0</v>
      </c>
      <c r="E4021" s="115" t="s">
        <v>4001</v>
      </c>
      <c r="F4021" s="115" t="s">
        <v>4002</v>
      </c>
      <c r="G4021" s="115" t="s">
        <v>4003</v>
      </c>
      <c r="H4021" s="115" t="s">
        <v>6568</v>
      </c>
    </row>
    <row r="4022" spans="1:8" ht="30" x14ac:dyDescent="0.25">
      <c r="A4022" s="115">
        <v>547</v>
      </c>
      <c r="B4022" s="115" t="s">
        <v>9216</v>
      </c>
      <c r="C4022" s="115" t="s">
        <v>10776</v>
      </c>
      <c r="D4022" s="115">
        <v>0</v>
      </c>
      <c r="E4022" s="115" t="s">
        <v>6570</v>
      </c>
      <c r="F4022" s="115" t="s">
        <v>6571</v>
      </c>
      <c r="G4022" s="115" t="s">
        <v>6572</v>
      </c>
      <c r="H4022" s="115" t="s">
        <v>6573</v>
      </c>
    </row>
    <row r="4023" spans="1:8" x14ac:dyDescent="0.25">
      <c r="A4023" s="115">
        <v>546</v>
      </c>
      <c r="B4023" s="115" t="s">
        <v>9216</v>
      </c>
      <c r="C4023" s="115" t="s">
        <v>10777</v>
      </c>
      <c r="D4023" s="115">
        <v>0</v>
      </c>
      <c r="E4023" s="115" t="s">
        <v>753</v>
      </c>
      <c r="F4023" s="115" t="s">
        <v>645</v>
      </c>
      <c r="G4023" s="115" t="s">
        <v>6575</v>
      </c>
      <c r="H4023" s="115" t="s">
        <v>6576</v>
      </c>
    </row>
    <row r="4024" spans="1:8" x14ac:dyDescent="0.25">
      <c r="A4024" s="115">
        <v>545</v>
      </c>
      <c r="B4024" s="115" t="s">
        <v>9216</v>
      </c>
      <c r="C4024" s="115" t="s">
        <v>10778</v>
      </c>
      <c r="D4024" s="115">
        <v>0</v>
      </c>
      <c r="E4024" s="115" t="s">
        <v>6578</v>
      </c>
      <c r="F4024" s="115" t="s">
        <v>6579</v>
      </c>
      <c r="G4024" s="115" t="s">
        <v>6580</v>
      </c>
      <c r="H4024" s="115" t="s">
        <v>6581</v>
      </c>
    </row>
    <row r="4025" spans="1:8" x14ac:dyDescent="0.25">
      <c r="A4025" s="115">
        <v>544</v>
      </c>
      <c r="B4025" s="115" t="s">
        <v>9216</v>
      </c>
      <c r="C4025" s="115" t="s">
        <v>10779</v>
      </c>
      <c r="D4025" s="115">
        <v>0</v>
      </c>
      <c r="E4025" s="115" t="s">
        <v>6583</v>
      </c>
      <c r="F4025" s="115" t="s">
        <v>6584</v>
      </c>
      <c r="G4025" s="115" t="s">
        <v>6585</v>
      </c>
      <c r="H4025" s="115" t="s">
        <v>6586</v>
      </c>
    </row>
    <row r="4026" spans="1:8" ht="30" x14ac:dyDescent="0.25">
      <c r="A4026" s="115">
        <v>543</v>
      </c>
      <c r="B4026" s="115" t="s">
        <v>9216</v>
      </c>
      <c r="C4026" s="115" t="s">
        <v>10780</v>
      </c>
      <c r="D4026" s="115">
        <v>0</v>
      </c>
      <c r="E4026" s="115" t="s">
        <v>6588</v>
      </c>
      <c r="F4026" s="115" t="s">
        <v>6589</v>
      </c>
      <c r="G4026" s="115" t="s">
        <v>6590</v>
      </c>
      <c r="H4026" s="115" t="s">
        <v>6591</v>
      </c>
    </row>
    <row r="4027" spans="1:8" x14ac:dyDescent="0.25">
      <c r="A4027" s="115">
        <v>542</v>
      </c>
      <c r="B4027" s="115" t="s">
        <v>9216</v>
      </c>
      <c r="C4027" s="115" t="s">
        <v>10781</v>
      </c>
      <c r="D4027" s="115">
        <v>0</v>
      </c>
      <c r="E4027" s="115" t="s">
        <v>10782</v>
      </c>
      <c r="F4027" s="115" t="s">
        <v>10783</v>
      </c>
      <c r="G4027" s="115" t="s">
        <v>10784</v>
      </c>
      <c r="H4027" s="115" t="s">
        <v>6596</v>
      </c>
    </row>
    <row r="4028" spans="1:8" x14ac:dyDescent="0.25">
      <c r="A4028" s="115">
        <v>541</v>
      </c>
      <c r="B4028" s="115" t="s">
        <v>9216</v>
      </c>
      <c r="C4028" s="115" t="s">
        <v>10785</v>
      </c>
      <c r="D4028" s="115">
        <v>0</v>
      </c>
      <c r="E4028" s="115" t="s">
        <v>1026</v>
      </c>
      <c r="F4028" s="115" t="s">
        <v>1027</v>
      </c>
      <c r="G4028" s="115" t="s">
        <v>6598</v>
      </c>
      <c r="H4028" s="115" t="s">
        <v>1028</v>
      </c>
    </row>
    <row r="4029" spans="1:8" x14ac:dyDescent="0.25">
      <c r="A4029" s="115">
        <v>540</v>
      </c>
      <c r="B4029" s="115" t="s">
        <v>9216</v>
      </c>
      <c r="C4029" s="115" t="s">
        <v>10786</v>
      </c>
      <c r="D4029" s="115">
        <v>0</v>
      </c>
      <c r="E4029" s="115" t="s">
        <v>6600</v>
      </c>
      <c r="F4029" s="115" t="s">
        <v>6601</v>
      </c>
      <c r="G4029" s="115" t="s">
        <v>6602</v>
      </c>
      <c r="H4029" s="115" t="s">
        <v>6603</v>
      </c>
    </row>
    <row r="4030" spans="1:8" ht="30" x14ac:dyDescent="0.25">
      <c r="A4030" s="115">
        <v>539</v>
      </c>
      <c r="B4030" s="115" t="s">
        <v>9216</v>
      </c>
      <c r="C4030" s="115" t="s">
        <v>10787</v>
      </c>
      <c r="D4030" s="115">
        <v>0</v>
      </c>
      <c r="E4030" s="115" t="s">
        <v>6605</v>
      </c>
      <c r="F4030" s="115" t="s">
        <v>6606</v>
      </c>
      <c r="G4030" s="115" t="s">
        <v>6607</v>
      </c>
      <c r="H4030" s="115" t="s">
        <v>6608</v>
      </c>
    </row>
    <row r="4031" spans="1:8" ht="30" x14ac:dyDescent="0.25">
      <c r="A4031" s="115">
        <v>538</v>
      </c>
      <c r="B4031" s="115" t="s">
        <v>9216</v>
      </c>
      <c r="C4031" s="115" t="s">
        <v>10788</v>
      </c>
      <c r="D4031" s="115">
        <v>0</v>
      </c>
      <c r="E4031" s="115" t="s">
        <v>6610</v>
      </c>
      <c r="F4031" s="115" t="s">
        <v>6611</v>
      </c>
      <c r="G4031" s="115" t="s">
        <v>6612</v>
      </c>
      <c r="H4031" s="115" t="s">
        <v>6613</v>
      </c>
    </row>
    <row r="4032" spans="1:8" ht="30" x14ac:dyDescent="0.25">
      <c r="A4032" s="115">
        <v>537</v>
      </c>
      <c r="B4032" s="115" t="s">
        <v>9216</v>
      </c>
      <c r="C4032" s="115" t="s">
        <v>10789</v>
      </c>
      <c r="D4032" s="115">
        <v>0</v>
      </c>
      <c r="E4032" s="115" t="s">
        <v>6615</v>
      </c>
      <c r="F4032" s="115" t="s">
        <v>2940</v>
      </c>
      <c r="G4032" s="115" t="s">
        <v>6616</v>
      </c>
      <c r="H4032" s="115" t="s">
        <v>1060</v>
      </c>
    </row>
    <row r="4033" spans="1:8" x14ac:dyDescent="0.25">
      <c r="A4033" s="115">
        <v>536</v>
      </c>
      <c r="B4033" s="115" t="s">
        <v>9216</v>
      </c>
      <c r="C4033" s="115" t="s">
        <v>10790</v>
      </c>
      <c r="D4033" s="115">
        <v>0</v>
      </c>
      <c r="E4033" s="115" t="s">
        <v>6618</v>
      </c>
      <c r="F4033" s="115" t="s">
        <v>6619</v>
      </c>
      <c r="G4033" s="115" t="s">
        <v>6620</v>
      </c>
      <c r="H4033" s="115" t="s">
        <v>6621</v>
      </c>
    </row>
    <row r="4034" spans="1:8" x14ac:dyDescent="0.25">
      <c r="A4034" s="115">
        <v>535</v>
      </c>
      <c r="B4034" s="115" t="s">
        <v>9216</v>
      </c>
      <c r="C4034" s="115" t="s">
        <v>10791</v>
      </c>
      <c r="D4034" s="115">
        <v>0</v>
      </c>
      <c r="E4034" s="115" t="s">
        <v>6623</v>
      </c>
      <c r="F4034" s="115" t="s">
        <v>6624</v>
      </c>
      <c r="G4034" s="115" t="s">
        <v>6625</v>
      </c>
      <c r="H4034" s="115" t="s">
        <v>6626</v>
      </c>
    </row>
    <row r="4035" spans="1:8" ht="30" x14ac:dyDescent="0.25">
      <c r="A4035" s="115">
        <v>534</v>
      </c>
      <c r="B4035" s="115" t="s">
        <v>9216</v>
      </c>
      <c r="C4035" s="115" t="s">
        <v>10792</v>
      </c>
      <c r="D4035" s="115">
        <v>0</v>
      </c>
      <c r="E4035" s="115" t="s">
        <v>6628</v>
      </c>
      <c r="F4035" s="115" t="s">
        <v>6629</v>
      </c>
      <c r="G4035" s="115" t="s">
        <v>6630</v>
      </c>
      <c r="H4035" s="115" t="s">
        <v>6631</v>
      </c>
    </row>
    <row r="4036" spans="1:8" x14ac:dyDescent="0.25">
      <c r="A4036" s="115">
        <v>533</v>
      </c>
      <c r="B4036" s="115" t="s">
        <v>9216</v>
      </c>
      <c r="C4036" s="115" t="s">
        <v>10793</v>
      </c>
      <c r="D4036" s="115">
        <v>0</v>
      </c>
      <c r="E4036" s="115" t="s">
        <v>6638</v>
      </c>
      <c r="F4036" s="115" t="s">
        <v>6639</v>
      </c>
      <c r="G4036" s="115" t="s">
        <v>6640</v>
      </c>
      <c r="H4036" s="115" t="s">
        <v>6641</v>
      </c>
    </row>
    <row r="4037" spans="1:8" x14ac:dyDescent="0.25">
      <c r="A4037" s="115">
        <v>532</v>
      </c>
      <c r="B4037" s="115" t="s">
        <v>9216</v>
      </c>
      <c r="C4037" s="115" t="s">
        <v>10794</v>
      </c>
      <c r="D4037" s="115">
        <v>0</v>
      </c>
      <c r="E4037" s="115" t="s">
        <v>6643</v>
      </c>
      <c r="F4037" s="115" t="s">
        <v>6644</v>
      </c>
      <c r="G4037" s="115" t="s">
        <v>6645</v>
      </c>
      <c r="H4037" s="115" t="s">
        <v>6646</v>
      </c>
    </row>
    <row r="4038" spans="1:8" x14ac:dyDescent="0.25">
      <c r="A4038" s="115">
        <v>531</v>
      </c>
      <c r="B4038" s="115" t="s">
        <v>9216</v>
      </c>
      <c r="C4038" s="115" t="s">
        <v>10795</v>
      </c>
      <c r="D4038" s="115">
        <v>0</v>
      </c>
      <c r="E4038" s="115" t="s">
        <v>6648</v>
      </c>
      <c r="F4038" s="115" t="s">
        <v>6649</v>
      </c>
      <c r="G4038" s="115" t="s">
        <v>6650</v>
      </c>
      <c r="H4038" s="115" t="s">
        <v>6651</v>
      </c>
    </row>
    <row r="4039" spans="1:8" x14ac:dyDescent="0.25">
      <c r="A4039" s="115">
        <v>530</v>
      </c>
      <c r="B4039" s="115" t="s">
        <v>9216</v>
      </c>
      <c r="C4039" s="115" t="s">
        <v>10796</v>
      </c>
      <c r="D4039" s="115">
        <v>0</v>
      </c>
      <c r="E4039" s="115" t="s">
        <v>6653</v>
      </c>
      <c r="F4039" s="115" t="s">
        <v>6654</v>
      </c>
      <c r="G4039" s="115" t="s">
        <v>6655</v>
      </c>
      <c r="H4039" s="115" t="s">
        <v>6656</v>
      </c>
    </row>
    <row r="4040" spans="1:8" x14ac:dyDescent="0.25">
      <c r="A4040" s="115">
        <v>529</v>
      </c>
      <c r="B4040" s="115" t="s">
        <v>9216</v>
      </c>
      <c r="C4040" s="115" t="s">
        <v>10797</v>
      </c>
      <c r="D4040" s="115">
        <v>0</v>
      </c>
      <c r="E4040" s="115" t="s">
        <v>6658</v>
      </c>
      <c r="F4040" s="115" t="s">
        <v>6659</v>
      </c>
      <c r="G4040" s="115" t="s">
        <v>6660</v>
      </c>
      <c r="H4040" s="115" t="s">
        <v>6661</v>
      </c>
    </row>
    <row r="4041" spans="1:8" x14ac:dyDescent="0.25">
      <c r="A4041" s="115">
        <v>528</v>
      </c>
      <c r="B4041" s="115" t="s">
        <v>9216</v>
      </c>
      <c r="C4041" s="115" t="s">
        <v>10798</v>
      </c>
      <c r="D4041" s="115">
        <v>0</v>
      </c>
      <c r="E4041" s="115" t="s">
        <v>6663</v>
      </c>
      <c r="F4041" s="115" t="s">
        <v>6664</v>
      </c>
      <c r="G4041" s="115" t="s">
        <v>6665</v>
      </c>
      <c r="H4041" s="115" t="s">
        <v>6666</v>
      </c>
    </row>
    <row r="4042" spans="1:8" ht="30" x14ac:dyDescent="0.25">
      <c r="A4042" s="115">
        <v>527</v>
      </c>
      <c r="B4042" s="115" t="s">
        <v>9216</v>
      </c>
      <c r="C4042" s="115" t="s">
        <v>10799</v>
      </c>
      <c r="D4042" s="115">
        <v>0</v>
      </c>
      <c r="E4042" s="115" t="s">
        <v>6668</v>
      </c>
      <c r="F4042" s="115" t="s">
        <v>6669</v>
      </c>
      <c r="G4042" s="115" t="s">
        <v>6670</v>
      </c>
      <c r="H4042" s="115" t="s">
        <v>6671</v>
      </c>
    </row>
    <row r="4043" spans="1:8" x14ac:dyDescent="0.25">
      <c r="A4043" s="115">
        <v>526</v>
      </c>
      <c r="B4043" s="115" t="s">
        <v>9216</v>
      </c>
      <c r="C4043" s="115" t="s">
        <v>10800</v>
      </c>
      <c r="D4043" s="115">
        <v>0</v>
      </c>
      <c r="E4043" s="115" t="s">
        <v>6673</v>
      </c>
      <c r="F4043" s="115" t="s">
        <v>6674</v>
      </c>
      <c r="G4043" s="115" t="s">
        <v>6675</v>
      </c>
      <c r="H4043" s="115" t="s">
        <v>6676</v>
      </c>
    </row>
    <row r="4044" spans="1:8" x14ac:dyDescent="0.25">
      <c r="A4044" s="115">
        <v>525</v>
      </c>
      <c r="B4044" s="115" t="s">
        <v>9216</v>
      </c>
      <c r="C4044" s="115" t="s">
        <v>10801</v>
      </c>
      <c r="D4044" s="115">
        <v>0</v>
      </c>
      <c r="E4044" s="115" t="s">
        <v>6678</v>
      </c>
      <c r="F4044" s="115" t="s">
        <v>6679</v>
      </c>
      <c r="G4044" s="115" t="s">
        <v>6680</v>
      </c>
      <c r="H4044" s="115" t="s">
        <v>6681</v>
      </c>
    </row>
    <row r="4045" spans="1:8" x14ac:dyDescent="0.25">
      <c r="A4045" s="115">
        <v>524</v>
      </c>
      <c r="B4045" s="115" t="s">
        <v>9216</v>
      </c>
      <c r="C4045" s="115" t="s">
        <v>10802</v>
      </c>
      <c r="D4045" s="115">
        <v>0</v>
      </c>
      <c r="E4045" s="115" t="s">
        <v>4096</v>
      </c>
      <c r="F4045" s="115" t="s">
        <v>4097</v>
      </c>
      <c r="G4045" s="115" t="s">
        <v>4098</v>
      </c>
      <c r="H4045" s="115" t="s">
        <v>4099</v>
      </c>
    </row>
    <row r="4046" spans="1:8" x14ac:dyDescent="0.25">
      <c r="A4046" s="115">
        <v>523</v>
      </c>
      <c r="B4046" s="115" t="s">
        <v>9216</v>
      </c>
      <c r="C4046" s="115" t="s">
        <v>10803</v>
      </c>
      <c r="D4046" s="115">
        <v>0</v>
      </c>
      <c r="E4046" s="115" t="s">
        <v>6684</v>
      </c>
      <c r="F4046" s="115" t="s">
        <v>6685</v>
      </c>
      <c r="G4046" s="115" t="s">
        <v>6686</v>
      </c>
      <c r="H4046" s="115" t="s">
        <v>6687</v>
      </c>
    </row>
    <row r="4047" spans="1:8" x14ac:dyDescent="0.25">
      <c r="A4047" s="115">
        <v>522</v>
      </c>
      <c r="B4047" s="115" t="s">
        <v>9216</v>
      </c>
      <c r="C4047" s="115" t="s">
        <v>10804</v>
      </c>
      <c r="D4047" s="115">
        <v>0</v>
      </c>
      <c r="E4047" s="115" t="s">
        <v>4109</v>
      </c>
      <c r="F4047" s="115" t="s">
        <v>4110</v>
      </c>
      <c r="G4047" s="115" t="s">
        <v>4111</v>
      </c>
      <c r="H4047" s="115" t="s">
        <v>6689</v>
      </c>
    </row>
    <row r="4048" spans="1:8" ht="30" x14ac:dyDescent="0.25">
      <c r="A4048" s="115">
        <v>521</v>
      </c>
      <c r="B4048" s="115" t="s">
        <v>9216</v>
      </c>
      <c r="C4048" s="115" t="s">
        <v>10805</v>
      </c>
      <c r="D4048" s="115">
        <v>0</v>
      </c>
      <c r="E4048" s="115" t="s">
        <v>6691</v>
      </c>
      <c r="F4048" s="115" t="s">
        <v>6692</v>
      </c>
      <c r="G4048" s="115" t="s">
        <v>6693</v>
      </c>
      <c r="H4048" s="115" t="s">
        <v>6694</v>
      </c>
    </row>
    <row r="4049" spans="1:8" ht="30" x14ac:dyDescent="0.25">
      <c r="A4049" s="115">
        <v>520</v>
      </c>
      <c r="B4049" s="115" t="s">
        <v>9216</v>
      </c>
      <c r="C4049" s="115" t="s">
        <v>10806</v>
      </c>
      <c r="D4049" s="115">
        <v>0</v>
      </c>
      <c r="E4049" s="115" t="s">
        <v>6696</v>
      </c>
      <c r="F4049" s="115" t="s">
        <v>10807</v>
      </c>
      <c r="G4049" s="115" t="s">
        <v>6698</v>
      </c>
      <c r="H4049" s="115" t="s">
        <v>6699</v>
      </c>
    </row>
    <row r="4050" spans="1:8" x14ac:dyDescent="0.25">
      <c r="A4050" s="115">
        <v>519</v>
      </c>
      <c r="B4050" s="115" t="s">
        <v>9216</v>
      </c>
      <c r="C4050" s="115" t="s">
        <v>10808</v>
      </c>
      <c r="D4050" s="115">
        <v>0</v>
      </c>
      <c r="E4050" s="115" t="s">
        <v>544</v>
      </c>
      <c r="F4050" s="115" t="s">
        <v>545</v>
      </c>
      <c r="G4050" s="115" t="s">
        <v>6701</v>
      </c>
      <c r="H4050" s="115" t="s">
        <v>546</v>
      </c>
    </row>
    <row r="4051" spans="1:8" x14ac:dyDescent="0.25">
      <c r="A4051" s="115">
        <v>518</v>
      </c>
      <c r="B4051" s="115" t="s">
        <v>9216</v>
      </c>
      <c r="C4051" s="115" t="s">
        <v>10809</v>
      </c>
      <c r="D4051" s="115">
        <v>0</v>
      </c>
      <c r="E4051" s="115" t="s">
        <v>6703</v>
      </c>
      <c r="F4051" s="115" t="s">
        <v>6704</v>
      </c>
      <c r="G4051" s="115" t="s">
        <v>6705</v>
      </c>
      <c r="H4051" s="115" t="s">
        <v>6706</v>
      </c>
    </row>
    <row r="4052" spans="1:8" x14ac:dyDescent="0.25">
      <c r="A4052" s="115">
        <v>517</v>
      </c>
      <c r="B4052" s="115" t="s">
        <v>9216</v>
      </c>
      <c r="C4052" s="115" t="s">
        <v>10810</v>
      </c>
      <c r="D4052" s="115">
        <v>0</v>
      </c>
      <c r="E4052" s="115" t="s">
        <v>2942</v>
      </c>
      <c r="F4052" s="115" t="s">
        <v>2943</v>
      </c>
      <c r="G4052" s="115" t="s">
        <v>6708</v>
      </c>
      <c r="H4052" s="115" t="s">
        <v>2944</v>
      </c>
    </row>
    <row r="4053" spans="1:8" x14ac:dyDescent="0.25">
      <c r="A4053" s="115">
        <v>516</v>
      </c>
      <c r="B4053" s="115" t="s">
        <v>9216</v>
      </c>
      <c r="C4053" s="115" t="s">
        <v>10811</v>
      </c>
      <c r="D4053" s="115">
        <v>0</v>
      </c>
      <c r="E4053" s="115" t="s">
        <v>6710</v>
      </c>
      <c r="F4053" s="115" t="s">
        <v>6711</v>
      </c>
      <c r="G4053" s="115" t="s">
        <v>6712</v>
      </c>
      <c r="H4053" s="115" t="s">
        <v>6713</v>
      </c>
    </row>
    <row r="4054" spans="1:8" ht="30" x14ac:dyDescent="0.25">
      <c r="A4054" s="115">
        <v>515</v>
      </c>
      <c r="B4054" s="115" t="s">
        <v>9216</v>
      </c>
      <c r="C4054" s="115" t="s">
        <v>10812</v>
      </c>
      <c r="D4054" s="115">
        <v>0</v>
      </c>
      <c r="E4054" s="115" t="s">
        <v>6715</v>
      </c>
      <c r="F4054" s="115" t="s">
        <v>6716</v>
      </c>
      <c r="G4054" s="115" t="s">
        <v>6717</v>
      </c>
      <c r="H4054" s="115" t="s">
        <v>6718</v>
      </c>
    </row>
    <row r="4055" spans="1:8" x14ac:dyDescent="0.25">
      <c r="A4055" s="115">
        <v>514</v>
      </c>
      <c r="B4055" s="115" t="s">
        <v>9216</v>
      </c>
      <c r="C4055" s="115" t="s">
        <v>10813</v>
      </c>
      <c r="D4055" s="115">
        <v>0</v>
      </c>
      <c r="E4055" s="115" t="s">
        <v>6720</v>
      </c>
      <c r="F4055" s="115" t="s">
        <v>6721</v>
      </c>
      <c r="G4055" s="115" t="s">
        <v>6722</v>
      </c>
      <c r="H4055" s="115" t="s">
        <v>6723</v>
      </c>
    </row>
    <row r="4056" spans="1:8" x14ac:dyDescent="0.25">
      <c r="A4056" s="115">
        <v>513</v>
      </c>
      <c r="B4056" s="115" t="s">
        <v>9216</v>
      </c>
      <c r="C4056" s="115" t="s">
        <v>10814</v>
      </c>
      <c r="D4056" s="115">
        <v>0</v>
      </c>
      <c r="E4056" s="115" t="s">
        <v>6725</v>
      </c>
      <c r="F4056" s="115" t="s">
        <v>10815</v>
      </c>
      <c r="G4056" s="115" t="s">
        <v>6727</v>
      </c>
      <c r="H4056" s="115" t="s">
        <v>6728</v>
      </c>
    </row>
    <row r="4057" spans="1:8" x14ac:dyDescent="0.25">
      <c r="A4057" s="115">
        <v>512</v>
      </c>
      <c r="B4057" s="115" t="s">
        <v>9216</v>
      </c>
      <c r="C4057" s="115" t="s">
        <v>10816</v>
      </c>
      <c r="D4057" s="115">
        <v>0</v>
      </c>
      <c r="E4057" s="115" t="s">
        <v>6730</v>
      </c>
      <c r="F4057" s="115" t="s">
        <v>6731</v>
      </c>
      <c r="G4057" s="115" t="s">
        <v>6732</v>
      </c>
      <c r="H4057" s="115" t="s">
        <v>6733</v>
      </c>
    </row>
    <row r="4058" spans="1:8" ht="30" x14ac:dyDescent="0.25">
      <c r="A4058" s="115">
        <v>511</v>
      </c>
      <c r="B4058" s="115" t="s">
        <v>9216</v>
      </c>
      <c r="C4058" s="115" t="s">
        <v>10817</v>
      </c>
      <c r="D4058" s="115">
        <v>0</v>
      </c>
      <c r="E4058" s="115" t="s">
        <v>6735</v>
      </c>
      <c r="F4058" s="115" t="s">
        <v>6736</v>
      </c>
      <c r="G4058" s="115" t="s">
        <v>6737</v>
      </c>
      <c r="H4058" s="115" t="s">
        <v>6738</v>
      </c>
    </row>
    <row r="4059" spans="1:8" x14ac:dyDescent="0.25">
      <c r="A4059" s="115">
        <v>510</v>
      </c>
      <c r="B4059" s="115" t="s">
        <v>9216</v>
      </c>
      <c r="C4059" s="115" t="s">
        <v>10818</v>
      </c>
      <c r="D4059" s="115">
        <v>0</v>
      </c>
      <c r="E4059" s="115" t="s">
        <v>6740</v>
      </c>
      <c r="F4059" s="115" t="s">
        <v>6741</v>
      </c>
      <c r="G4059" s="115" t="s">
        <v>6742</v>
      </c>
      <c r="H4059" s="115" t="s">
        <v>6743</v>
      </c>
    </row>
    <row r="4060" spans="1:8" x14ac:dyDescent="0.25">
      <c r="A4060" s="115">
        <v>509</v>
      </c>
      <c r="B4060" s="115" t="s">
        <v>9221</v>
      </c>
      <c r="C4060" s="115" t="s">
        <v>10819</v>
      </c>
      <c r="D4060" s="115">
        <v>0</v>
      </c>
      <c r="E4060" s="115" t="s">
        <v>7424</v>
      </c>
      <c r="F4060" s="115" t="s">
        <v>7424</v>
      </c>
      <c r="G4060" s="115" t="s">
        <v>7424</v>
      </c>
      <c r="H4060" s="115" t="s">
        <v>10820</v>
      </c>
    </row>
    <row r="4061" spans="1:8" x14ac:dyDescent="0.25">
      <c r="A4061" s="115">
        <v>508</v>
      </c>
      <c r="B4061" s="115" t="s">
        <v>9221</v>
      </c>
      <c r="C4061" s="115" t="s">
        <v>10821</v>
      </c>
      <c r="D4061" s="115">
        <v>0</v>
      </c>
      <c r="E4061" s="115" t="s">
        <v>7426</v>
      </c>
      <c r="F4061" s="115" t="s">
        <v>7427</v>
      </c>
      <c r="G4061" s="115" t="s">
        <v>7426</v>
      </c>
      <c r="H4061" s="115" t="s">
        <v>10822</v>
      </c>
    </row>
    <row r="4062" spans="1:8" x14ac:dyDescent="0.25">
      <c r="A4062" s="115">
        <v>507</v>
      </c>
      <c r="B4062" s="115" t="s">
        <v>9221</v>
      </c>
      <c r="C4062" s="115" t="s">
        <v>10823</v>
      </c>
      <c r="D4062" s="115">
        <v>0</v>
      </c>
      <c r="E4062" s="115" t="s">
        <v>7429</v>
      </c>
      <c r="F4062" s="115" t="s">
        <v>7430</v>
      </c>
      <c r="G4062" s="115" t="s">
        <v>10824</v>
      </c>
      <c r="H4062" s="115" t="s">
        <v>10825</v>
      </c>
    </row>
    <row r="4063" spans="1:8" x14ac:dyDescent="0.25">
      <c r="A4063" s="115">
        <v>506</v>
      </c>
      <c r="B4063" s="115" t="s">
        <v>9221</v>
      </c>
      <c r="C4063" s="115" t="s">
        <v>10826</v>
      </c>
      <c r="D4063" s="115">
        <v>0</v>
      </c>
      <c r="E4063" s="115" t="s">
        <v>7432</v>
      </c>
      <c r="F4063" s="115" t="s">
        <v>7432</v>
      </c>
      <c r="G4063" s="115" t="s">
        <v>7432</v>
      </c>
      <c r="H4063" s="115" t="s">
        <v>10827</v>
      </c>
    </row>
    <row r="4064" spans="1:8" x14ac:dyDescent="0.25">
      <c r="A4064" s="115">
        <v>505</v>
      </c>
      <c r="B4064" s="115" t="s">
        <v>9221</v>
      </c>
      <c r="C4064" s="115" t="s">
        <v>10828</v>
      </c>
      <c r="D4064" s="115">
        <v>0</v>
      </c>
      <c r="E4064" s="115" t="s">
        <v>3138</v>
      </c>
      <c r="F4064" s="115" t="s">
        <v>7434</v>
      </c>
      <c r="G4064" s="115" t="s">
        <v>3138</v>
      </c>
      <c r="H4064" s="115" t="s">
        <v>3139</v>
      </c>
    </row>
    <row r="4065" spans="1:8" x14ac:dyDescent="0.25">
      <c r="A4065" s="115">
        <v>504</v>
      </c>
      <c r="B4065" s="115" t="s">
        <v>9221</v>
      </c>
      <c r="C4065" s="115" t="s">
        <v>10829</v>
      </c>
      <c r="D4065" s="115">
        <v>0</v>
      </c>
      <c r="E4065" s="115" t="s">
        <v>7436</v>
      </c>
      <c r="F4065" s="115" t="s">
        <v>7436</v>
      </c>
      <c r="G4065" s="115" t="s">
        <v>7436</v>
      </c>
      <c r="H4065" s="115" t="s">
        <v>10830</v>
      </c>
    </row>
    <row r="4066" spans="1:8" x14ac:dyDescent="0.25">
      <c r="A4066" s="115">
        <v>503</v>
      </c>
      <c r="B4066" s="115" t="s">
        <v>9221</v>
      </c>
      <c r="C4066" s="115" t="s">
        <v>10831</v>
      </c>
      <c r="D4066" s="115">
        <v>0</v>
      </c>
      <c r="E4066" s="115" t="s">
        <v>7438</v>
      </c>
      <c r="F4066" s="115" t="s">
        <v>7439</v>
      </c>
      <c r="G4066" s="115" t="s">
        <v>10832</v>
      </c>
      <c r="H4066" s="115" t="s">
        <v>10833</v>
      </c>
    </row>
    <row r="4067" spans="1:8" x14ac:dyDescent="0.25">
      <c r="A4067" s="115">
        <v>502</v>
      </c>
      <c r="B4067" s="115" t="s">
        <v>9221</v>
      </c>
      <c r="C4067" s="115" t="s">
        <v>10834</v>
      </c>
      <c r="D4067" s="115">
        <v>0</v>
      </c>
      <c r="E4067" s="115" t="s">
        <v>7441</v>
      </c>
      <c r="F4067" s="115" t="s">
        <v>7441</v>
      </c>
      <c r="G4067" s="115" t="s">
        <v>7441</v>
      </c>
      <c r="H4067" s="115" t="s">
        <v>10835</v>
      </c>
    </row>
    <row r="4068" spans="1:8" x14ac:dyDescent="0.25">
      <c r="A4068" s="115">
        <v>501</v>
      </c>
      <c r="B4068" s="115" t="s">
        <v>9221</v>
      </c>
      <c r="C4068" s="115" t="s">
        <v>10836</v>
      </c>
      <c r="D4068" s="115">
        <v>0</v>
      </c>
      <c r="E4068" s="115" t="s">
        <v>7443</v>
      </c>
      <c r="F4068" s="115" t="s">
        <v>7444</v>
      </c>
      <c r="G4068" s="115" t="s">
        <v>7443</v>
      </c>
      <c r="H4068" s="115" t="s">
        <v>10837</v>
      </c>
    </row>
    <row r="4069" spans="1:8" x14ac:dyDescent="0.25">
      <c r="A4069" s="115">
        <v>500</v>
      </c>
      <c r="B4069" s="115" t="s">
        <v>9221</v>
      </c>
      <c r="C4069" s="115" t="s">
        <v>10838</v>
      </c>
      <c r="D4069" s="115">
        <v>0</v>
      </c>
      <c r="E4069" s="115" t="s">
        <v>7446</v>
      </c>
      <c r="F4069" s="115" t="s">
        <v>7447</v>
      </c>
      <c r="G4069" s="115" t="s">
        <v>10839</v>
      </c>
      <c r="H4069" s="115" t="s">
        <v>10840</v>
      </c>
    </row>
    <row r="4070" spans="1:8" x14ac:dyDescent="0.25">
      <c r="A4070" s="115">
        <v>499</v>
      </c>
      <c r="B4070" s="115" t="s">
        <v>9221</v>
      </c>
      <c r="C4070" s="115" t="s">
        <v>10841</v>
      </c>
      <c r="D4070" s="115">
        <v>0</v>
      </c>
      <c r="E4070" s="115" t="s">
        <v>7449</v>
      </c>
      <c r="F4070" s="115" t="s">
        <v>7450</v>
      </c>
      <c r="G4070" s="115" t="s">
        <v>10842</v>
      </c>
      <c r="H4070" s="115" t="s">
        <v>10843</v>
      </c>
    </row>
    <row r="4071" spans="1:8" x14ac:dyDescent="0.25">
      <c r="A4071" s="115">
        <v>498</v>
      </c>
      <c r="B4071" s="115" t="s">
        <v>9221</v>
      </c>
      <c r="C4071" s="115" t="s">
        <v>10844</v>
      </c>
      <c r="D4071" s="115">
        <v>0</v>
      </c>
      <c r="E4071" s="115" t="s">
        <v>7452</v>
      </c>
      <c r="F4071" s="115" t="s">
        <v>7453</v>
      </c>
      <c r="G4071" s="115" t="s">
        <v>10845</v>
      </c>
      <c r="H4071" s="115" t="s">
        <v>10846</v>
      </c>
    </row>
    <row r="4072" spans="1:8" x14ac:dyDescent="0.25">
      <c r="A4072" s="115">
        <v>497</v>
      </c>
      <c r="B4072" s="115" t="s">
        <v>9221</v>
      </c>
      <c r="C4072" s="115" t="s">
        <v>10847</v>
      </c>
      <c r="D4072" s="115">
        <v>0</v>
      </c>
      <c r="E4072" s="115" t="s">
        <v>7455</v>
      </c>
      <c r="F4072" s="115" t="s">
        <v>7456</v>
      </c>
      <c r="G4072" s="115" t="s">
        <v>10848</v>
      </c>
      <c r="H4072" s="115" t="s">
        <v>10849</v>
      </c>
    </row>
    <row r="4073" spans="1:8" ht="30" x14ac:dyDescent="0.25">
      <c r="A4073" s="115">
        <v>496</v>
      </c>
      <c r="B4073" s="115" t="s">
        <v>9221</v>
      </c>
      <c r="C4073" s="115" t="s">
        <v>10850</v>
      </c>
      <c r="D4073" s="115">
        <v>0</v>
      </c>
      <c r="E4073" s="115" t="s">
        <v>7458</v>
      </c>
      <c r="F4073" s="115" t="s">
        <v>7459</v>
      </c>
      <c r="G4073" s="115" t="s">
        <v>10851</v>
      </c>
      <c r="H4073" s="115" t="s">
        <v>10852</v>
      </c>
    </row>
    <row r="4074" spans="1:8" x14ac:dyDescent="0.25">
      <c r="A4074" s="115">
        <v>495</v>
      </c>
      <c r="B4074" s="115" t="s">
        <v>9221</v>
      </c>
      <c r="C4074" s="115" t="s">
        <v>10853</v>
      </c>
      <c r="D4074" s="115">
        <v>0</v>
      </c>
      <c r="E4074" s="115" t="s">
        <v>7461</v>
      </c>
      <c r="F4074" s="115" t="s">
        <v>7462</v>
      </c>
      <c r="G4074" s="115" t="s">
        <v>10854</v>
      </c>
      <c r="H4074" s="115" t="s">
        <v>10855</v>
      </c>
    </row>
    <row r="4075" spans="1:8" x14ac:dyDescent="0.25">
      <c r="A4075" s="115">
        <v>494</v>
      </c>
      <c r="B4075" s="115" t="s">
        <v>9221</v>
      </c>
      <c r="C4075" s="115" t="s">
        <v>10856</v>
      </c>
      <c r="D4075" s="115">
        <v>0</v>
      </c>
      <c r="E4075" s="115" t="s">
        <v>7464</v>
      </c>
      <c r="F4075" s="115" t="s">
        <v>7464</v>
      </c>
      <c r="G4075" s="115" t="s">
        <v>7464</v>
      </c>
      <c r="H4075" s="115" t="s">
        <v>10857</v>
      </c>
    </row>
    <row r="4076" spans="1:8" x14ac:dyDescent="0.25">
      <c r="A4076" s="115">
        <v>493</v>
      </c>
      <c r="B4076" s="115" t="s">
        <v>9221</v>
      </c>
      <c r="C4076" s="115" t="s">
        <v>10858</v>
      </c>
      <c r="D4076" s="115">
        <v>0</v>
      </c>
      <c r="E4076" s="115" t="s">
        <v>7466</v>
      </c>
      <c r="F4076" s="115" t="s">
        <v>7850</v>
      </c>
      <c r="G4076" s="115" t="s">
        <v>10859</v>
      </c>
      <c r="H4076" s="115" t="s">
        <v>10860</v>
      </c>
    </row>
    <row r="4077" spans="1:8" ht="30" x14ac:dyDescent="0.25">
      <c r="A4077" s="115">
        <v>492</v>
      </c>
      <c r="B4077" s="115" t="s">
        <v>9221</v>
      </c>
      <c r="C4077" s="115" t="s">
        <v>10861</v>
      </c>
      <c r="D4077" s="115">
        <v>0</v>
      </c>
      <c r="E4077" s="115" t="s">
        <v>7468</v>
      </c>
      <c r="F4077" s="115" t="s">
        <v>7469</v>
      </c>
      <c r="G4077" s="115" t="s">
        <v>10862</v>
      </c>
      <c r="H4077" s="115" t="s">
        <v>10863</v>
      </c>
    </row>
    <row r="4078" spans="1:8" x14ac:dyDescent="0.25">
      <c r="A4078" s="115">
        <v>491</v>
      </c>
      <c r="B4078" s="115" t="s">
        <v>9221</v>
      </c>
      <c r="C4078" s="115" t="s">
        <v>10864</v>
      </c>
      <c r="D4078" s="115">
        <v>0</v>
      </c>
      <c r="E4078" s="115" t="s">
        <v>7471</v>
      </c>
      <c r="F4078" s="115" t="s">
        <v>7472</v>
      </c>
      <c r="G4078" s="115" t="s">
        <v>7471</v>
      </c>
      <c r="H4078" s="115" t="s">
        <v>10865</v>
      </c>
    </row>
    <row r="4079" spans="1:8" x14ac:dyDescent="0.25">
      <c r="A4079" s="115">
        <v>490</v>
      </c>
      <c r="B4079" s="115" t="s">
        <v>9221</v>
      </c>
      <c r="C4079" s="115" t="s">
        <v>10866</v>
      </c>
      <c r="D4079" s="115">
        <v>0</v>
      </c>
      <c r="E4079" s="115" t="s">
        <v>3147</v>
      </c>
      <c r="F4079" s="115" t="s">
        <v>3147</v>
      </c>
      <c r="G4079" s="115" t="s">
        <v>3148</v>
      </c>
      <c r="H4079" s="115" t="s">
        <v>3149</v>
      </c>
    </row>
    <row r="4080" spans="1:8" x14ac:dyDescent="0.25">
      <c r="A4080" s="115">
        <v>489</v>
      </c>
      <c r="B4080" s="115" t="s">
        <v>9221</v>
      </c>
      <c r="C4080" s="115" t="s">
        <v>10867</v>
      </c>
      <c r="D4080" s="115">
        <v>0</v>
      </c>
      <c r="E4080" s="115" t="s">
        <v>7475</v>
      </c>
      <c r="F4080" s="115" t="s">
        <v>7476</v>
      </c>
      <c r="G4080" s="115" t="s">
        <v>10868</v>
      </c>
      <c r="H4080" s="115" t="s">
        <v>10869</v>
      </c>
    </row>
    <row r="4081" spans="1:8" ht="30" x14ac:dyDescent="0.25">
      <c r="A4081" s="115">
        <v>488</v>
      </c>
      <c r="B4081" s="115" t="s">
        <v>9221</v>
      </c>
      <c r="C4081" s="115" t="s">
        <v>10870</v>
      </c>
      <c r="D4081" s="115">
        <v>0</v>
      </c>
      <c r="E4081" s="115" t="s">
        <v>7478</v>
      </c>
      <c r="F4081" s="115" t="s">
        <v>10871</v>
      </c>
      <c r="G4081" s="115" t="s">
        <v>10872</v>
      </c>
      <c r="H4081" s="115" t="s">
        <v>10873</v>
      </c>
    </row>
    <row r="4082" spans="1:8" x14ac:dyDescent="0.25">
      <c r="A4082" s="115">
        <v>487</v>
      </c>
      <c r="B4082" s="115" t="s">
        <v>9221</v>
      </c>
      <c r="C4082" s="115" t="s">
        <v>10874</v>
      </c>
      <c r="D4082" s="115">
        <v>0</v>
      </c>
      <c r="E4082" s="115" t="s">
        <v>7481</v>
      </c>
      <c r="F4082" s="115" t="s">
        <v>7481</v>
      </c>
      <c r="G4082" s="115" t="s">
        <v>7481</v>
      </c>
      <c r="H4082" s="115" t="s">
        <v>10875</v>
      </c>
    </row>
    <row r="4083" spans="1:8" x14ac:dyDescent="0.25">
      <c r="A4083" s="115">
        <v>486</v>
      </c>
      <c r="B4083" s="115" t="s">
        <v>9221</v>
      </c>
      <c r="C4083" s="115" t="s">
        <v>10876</v>
      </c>
      <c r="D4083" s="115">
        <v>0</v>
      </c>
      <c r="E4083" s="115" t="s">
        <v>7483</v>
      </c>
      <c r="F4083" s="115" t="s">
        <v>7484</v>
      </c>
      <c r="G4083" s="115" t="s">
        <v>10877</v>
      </c>
      <c r="H4083" s="115" t="s">
        <v>10878</v>
      </c>
    </row>
    <row r="4084" spans="1:8" x14ac:dyDescent="0.25">
      <c r="A4084" s="115">
        <v>485</v>
      </c>
      <c r="B4084" s="115" t="s">
        <v>9221</v>
      </c>
      <c r="C4084" s="115" t="s">
        <v>10879</v>
      </c>
      <c r="D4084" s="115">
        <v>0</v>
      </c>
      <c r="E4084" s="115" t="s">
        <v>842</v>
      </c>
      <c r="F4084" s="115" t="s">
        <v>843</v>
      </c>
      <c r="G4084" s="115" t="s">
        <v>3465</v>
      </c>
      <c r="H4084" s="115" t="s">
        <v>844</v>
      </c>
    </row>
    <row r="4085" spans="1:8" x14ac:dyDescent="0.25">
      <c r="A4085" s="115">
        <v>484</v>
      </c>
      <c r="B4085" s="115" t="s">
        <v>9221</v>
      </c>
      <c r="C4085" s="115" t="s">
        <v>10880</v>
      </c>
      <c r="D4085" s="115">
        <v>0</v>
      </c>
      <c r="E4085" s="115" t="s">
        <v>7487</v>
      </c>
      <c r="F4085" s="115" t="s">
        <v>7487</v>
      </c>
      <c r="G4085" s="115" t="s">
        <v>7487</v>
      </c>
      <c r="H4085" s="115" t="s">
        <v>10881</v>
      </c>
    </row>
    <row r="4086" spans="1:8" x14ac:dyDescent="0.25">
      <c r="A4086" s="115">
        <v>483</v>
      </c>
      <c r="B4086" s="115" t="s">
        <v>9221</v>
      </c>
      <c r="C4086" s="115" t="s">
        <v>10882</v>
      </c>
      <c r="D4086" s="115">
        <v>0</v>
      </c>
      <c r="E4086" s="115" t="s">
        <v>7489</v>
      </c>
      <c r="F4086" s="115" t="s">
        <v>7490</v>
      </c>
      <c r="G4086" s="115" t="s">
        <v>10883</v>
      </c>
      <c r="H4086" s="115" t="s">
        <v>10884</v>
      </c>
    </row>
    <row r="4087" spans="1:8" x14ac:dyDescent="0.25">
      <c r="A4087" s="115">
        <v>482</v>
      </c>
      <c r="B4087" s="115" t="s">
        <v>9221</v>
      </c>
      <c r="C4087" s="115" t="s">
        <v>10885</v>
      </c>
      <c r="D4087" s="115">
        <v>0</v>
      </c>
      <c r="E4087" s="115" t="s">
        <v>7492</v>
      </c>
      <c r="F4087" s="115" t="s">
        <v>7493</v>
      </c>
      <c r="G4087" s="115" t="s">
        <v>10886</v>
      </c>
      <c r="H4087" s="115" t="s">
        <v>10887</v>
      </c>
    </row>
    <row r="4088" spans="1:8" x14ac:dyDescent="0.25">
      <c r="A4088" s="115">
        <v>481</v>
      </c>
      <c r="B4088" s="115" t="s">
        <v>9221</v>
      </c>
      <c r="C4088" s="115" t="s">
        <v>10888</v>
      </c>
      <c r="D4088" s="115">
        <v>0</v>
      </c>
      <c r="E4088" s="115" t="s">
        <v>7495</v>
      </c>
      <c r="F4088" s="115" t="s">
        <v>7496</v>
      </c>
      <c r="G4088" s="115" t="s">
        <v>7495</v>
      </c>
      <c r="H4088" s="115" t="s">
        <v>10889</v>
      </c>
    </row>
    <row r="4089" spans="1:8" x14ac:dyDescent="0.25">
      <c r="A4089" s="115">
        <v>480</v>
      </c>
      <c r="B4089" s="115" t="s">
        <v>9221</v>
      </c>
      <c r="C4089" s="115" t="s">
        <v>10890</v>
      </c>
      <c r="D4089" s="115">
        <v>0</v>
      </c>
      <c r="E4089" s="115" t="s">
        <v>7498</v>
      </c>
      <c r="F4089" s="115" t="s">
        <v>7498</v>
      </c>
      <c r="G4089" s="115" t="s">
        <v>7498</v>
      </c>
      <c r="H4089" s="115" t="s">
        <v>10891</v>
      </c>
    </row>
    <row r="4090" spans="1:8" x14ac:dyDescent="0.25">
      <c r="A4090" s="115">
        <v>479</v>
      </c>
      <c r="B4090" s="115" t="s">
        <v>9221</v>
      </c>
      <c r="C4090" s="115" t="s">
        <v>10892</v>
      </c>
      <c r="D4090" s="115">
        <v>0</v>
      </c>
      <c r="E4090" s="115" t="s">
        <v>7500</v>
      </c>
      <c r="F4090" s="115" t="s">
        <v>7501</v>
      </c>
      <c r="G4090" s="115" t="s">
        <v>10893</v>
      </c>
      <c r="H4090" s="115" t="s">
        <v>10894</v>
      </c>
    </row>
    <row r="4091" spans="1:8" x14ac:dyDescent="0.25">
      <c r="A4091" s="115">
        <v>478</v>
      </c>
      <c r="B4091" s="115" t="s">
        <v>9221</v>
      </c>
      <c r="C4091" s="115" t="s">
        <v>10895</v>
      </c>
      <c r="D4091" s="115">
        <v>0</v>
      </c>
      <c r="E4091" s="115" t="s">
        <v>7503</v>
      </c>
      <c r="F4091" s="115" t="s">
        <v>7504</v>
      </c>
      <c r="G4091" s="115" t="s">
        <v>10896</v>
      </c>
      <c r="H4091" s="115" t="s">
        <v>10897</v>
      </c>
    </row>
    <row r="4092" spans="1:8" x14ac:dyDescent="0.25">
      <c r="A4092" s="115">
        <v>477</v>
      </c>
      <c r="B4092" s="115" t="s">
        <v>9221</v>
      </c>
      <c r="C4092" s="115" t="s">
        <v>10898</v>
      </c>
      <c r="D4092" s="115">
        <v>0</v>
      </c>
      <c r="E4092" s="115" t="s">
        <v>7506</v>
      </c>
      <c r="F4092" s="115" t="s">
        <v>7506</v>
      </c>
      <c r="G4092" s="115" t="s">
        <v>7506</v>
      </c>
      <c r="H4092" s="115" t="s">
        <v>10899</v>
      </c>
    </row>
    <row r="4093" spans="1:8" ht="30" x14ac:dyDescent="0.25">
      <c r="A4093" s="115">
        <v>476</v>
      </c>
      <c r="B4093" s="115" t="s">
        <v>9221</v>
      </c>
      <c r="C4093" s="115" t="s">
        <v>10900</v>
      </c>
      <c r="D4093" s="115">
        <v>0</v>
      </c>
      <c r="E4093" s="115" t="s">
        <v>7508</v>
      </c>
      <c r="F4093" s="115" t="s">
        <v>7509</v>
      </c>
      <c r="G4093" s="115" t="s">
        <v>10901</v>
      </c>
      <c r="H4093" s="115" t="s">
        <v>10902</v>
      </c>
    </row>
    <row r="4094" spans="1:8" x14ac:dyDescent="0.25">
      <c r="A4094" s="115">
        <v>475</v>
      </c>
      <c r="B4094" s="115" t="s">
        <v>9221</v>
      </c>
      <c r="C4094" s="115" t="s">
        <v>10903</v>
      </c>
      <c r="D4094" s="115">
        <v>0</v>
      </c>
      <c r="E4094" s="115" t="s">
        <v>3508</v>
      </c>
      <c r="F4094" s="115" t="s">
        <v>3509</v>
      </c>
      <c r="G4094" s="115" t="s">
        <v>3508</v>
      </c>
      <c r="H4094" s="115" t="s">
        <v>3510</v>
      </c>
    </row>
    <row r="4095" spans="1:8" x14ac:dyDescent="0.25">
      <c r="A4095" s="115">
        <v>474</v>
      </c>
      <c r="B4095" s="115" t="s">
        <v>9221</v>
      </c>
      <c r="C4095" s="115" t="s">
        <v>10904</v>
      </c>
      <c r="D4095" s="115">
        <v>0</v>
      </c>
      <c r="E4095" s="115" t="s">
        <v>7512</v>
      </c>
      <c r="F4095" s="115" t="s">
        <v>7513</v>
      </c>
      <c r="G4095" s="115" t="s">
        <v>10905</v>
      </c>
      <c r="H4095" s="115" t="s">
        <v>10906</v>
      </c>
    </row>
    <row r="4096" spans="1:8" x14ac:dyDescent="0.25">
      <c r="A4096" s="115">
        <v>473</v>
      </c>
      <c r="B4096" s="115" t="s">
        <v>9221</v>
      </c>
      <c r="C4096" s="115" t="s">
        <v>10907</v>
      </c>
      <c r="D4096" s="115">
        <v>0</v>
      </c>
      <c r="E4096" s="115" t="s">
        <v>10908</v>
      </c>
      <c r="F4096" s="115" t="s">
        <v>10909</v>
      </c>
      <c r="G4096" s="115" t="s">
        <v>7515</v>
      </c>
      <c r="H4096" s="115" t="s">
        <v>10910</v>
      </c>
    </row>
    <row r="4097" spans="1:8" x14ac:dyDescent="0.25">
      <c r="A4097" s="115">
        <v>472</v>
      </c>
      <c r="B4097" s="115" t="s">
        <v>9221</v>
      </c>
      <c r="C4097" s="115" t="s">
        <v>10911</v>
      </c>
      <c r="D4097" s="115">
        <v>0</v>
      </c>
      <c r="E4097" s="115" t="s">
        <v>7517</v>
      </c>
      <c r="F4097" s="115" t="s">
        <v>868</v>
      </c>
      <c r="G4097" s="115" t="s">
        <v>10912</v>
      </c>
      <c r="H4097" s="115" t="s">
        <v>10913</v>
      </c>
    </row>
    <row r="4098" spans="1:8" x14ac:dyDescent="0.25">
      <c r="A4098" s="115">
        <v>471</v>
      </c>
      <c r="B4098" s="115" t="s">
        <v>9221</v>
      </c>
      <c r="C4098" s="115" t="s">
        <v>10914</v>
      </c>
      <c r="D4098" s="115">
        <v>0</v>
      </c>
      <c r="E4098" s="115" t="s">
        <v>7519</v>
      </c>
      <c r="F4098" s="115" t="s">
        <v>7520</v>
      </c>
      <c r="G4098" s="115" t="s">
        <v>10915</v>
      </c>
      <c r="H4098" s="115" t="s">
        <v>10916</v>
      </c>
    </row>
    <row r="4099" spans="1:8" x14ac:dyDescent="0.25">
      <c r="A4099" s="115">
        <v>470</v>
      </c>
      <c r="B4099" s="115" t="s">
        <v>9221</v>
      </c>
      <c r="C4099" s="115" t="s">
        <v>10917</v>
      </c>
      <c r="D4099" s="115">
        <v>0</v>
      </c>
      <c r="E4099" s="115" t="s">
        <v>7522</v>
      </c>
      <c r="F4099" s="115" t="s">
        <v>7523</v>
      </c>
      <c r="G4099" s="115" t="s">
        <v>7522</v>
      </c>
      <c r="H4099" s="115" t="s">
        <v>10918</v>
      </c>
    </row>
    <row r="4100" spans="1:8" x14ac:dyDescent="0.25">
      <c r="A4100" s="115">
        <v>469</v>
      </c>
      <c r="B4100" s="115" t="s">
        <v>9221</v>
      </c>
      <c r="C4100" s="115" t="s">
        <v>10919</v>
      </c>
      <c r="D4100" s="115">
        <v>0</v>
      </c>
      <c r="E4100" s="115" t="s">
        <v>7525</v>
      </c>
      <c r="F4100" s="115" t="s">
        <v>7526</v>
      </c>
      <c r="G4100" s="115" t="s">
        <v>10920</v>
      </c>
      <c r="H4100" s="115" t="s">
        <v>10921</v>
      </c>
    </row>
    <row r="4101" spans="1:8" x14ac:dyDescent="0.25">
      <c r="A4101" s="115">
        <v>468</v>
      </c>
      <c r="B4101" s="115" t="s">
        <v>9221</v>
      </c>
      <c r="C4101" s="115" t="s">
        <v>10922</v>
      </c>
      <c r="D4101" s="115">
        <v>0</v>
      </c>
      <c r="E4101" s="115" t="s">
        <v>3163</v>
      </c>
      <c r="F4101" s="115" t="s">
        <v>7528</v>
      </c>
      <c r="G4101" s="115" t="s">
        <v>3165</v>
      </c>
      <c r="H4101" s="115" t="s">
        <v>3166</v>
      </c>
    </row>
    <row r="4102" spans="1:8" x14ac:dyDescent="0.25">
      <c r="A4102" s="115">
        <v>467</v>
      </c>
      <c r="B4102" s="115" t="s">
        <v>9221</v>
      </c>
      <c r="C4102" s="115" t="s">
        <v>10923</v>
      </c>
      <c r="D4102" s="115">
        <v>0</v>
      </c>
      <c r="E4102" s="115" t="s">
        <v>7530</v>
      </c>
      <c r="F4102" s="115" t="s">
        <v>7530</v>
      </c>
      <c r="G4102" s="115" t="s">
        <v>7530</v>
      </c>
      <c r="H4102" s="115" t="s">
        <v>10924</v>
      </c>
    </row>
    <row r="4103" spans="1:8" x14ac:dyDescent="0.25">
      <c r="A4103" s="115">
        <v>466</v>
      </c>
      <c r="B4103" s="115" t="s">
        <v>9221</v>
      </c>
      <c r="C4103" s="115" t="s">
        <v>10925</v>
      </c>
      <c r="D4103" s="115">
        <v>0</v>
      </c>
      <c r="E4103" s="115" t="s">
        <v>903</v>
      </c>
      <c r="F4103" s="115" t="s">
        <v>904</v>
      </c>
      <c r="G4103" s="115" t="s">
        <v>903</v>
      </c>
      <c r="H4103" s="115" t="s">
        <v>905</v>
      </c>
    </row>
    <row r="4104" spans="1:8" x14ac:dyDescent="0.25">
      <c r="A4104" s="115">
        <v>465</v>
      </c>
      <c r="B4104" s="115" t="s">
        <v>9221</v>
      </c>
      <c r="C4104" s="115" t="s">
        <v>10926</v>
      </c>
      <c r="D4104" s="115">
        <v>0</v>
      </c>
      <c r="E4104" s="115" t="s">
        <v>7533</v>
      </c>
      <c r="F4104" s="115" t="s">
        <v>7534</v>
      </c>
      <c r="G4104" s="115" t="s">
        <v>7533</v>
      </c>
      <c r="H4104" s="115" t="s">
        <v>10927</v>
      </c>
    </row>
    <row r="4105" spans="1:8" x14ac:dyDescent="0.25">
      <c r="A4105" s="115">
        <v>464</v>
      </c>
      <c r="B4105" s="115" t="s">
        <v>9221</v>
      </c>
      <c r="C4105" s="115" t="s">
        <v>10928</v>
      </c>
      <c r="D4105" s="115">
        <v>0</v>
      </c>
      <c r="E4105" s="115" t="s">
        <v>7536</v>
      </c>
      <c r="F4105" s="115" t="s">
        <v>7537</v>
      </c>
      <c r="G4105" s="115" t="s">
        <v>7536</v>
      </c>
      <c r="H4105" s="115" t="s">
        <v>10929</v>
      </c>
    </row>
    <row r="4106" spans="1:8" x14ac:dyDescent="0.25">
      <c r="A4106" s="115">
        <v>463</v>
      </c>
      <c r="B4106" s="115" t="s">
        <v>9221</v>
      </c>
      <c r="C4106" s="115" t="s">
        <v>10930</v>
      </c>
      <c r="D4106" s="115">
        <v>0</v>
      </c>
      <c r="E4106" s="115" t="s">
        <v>861</v>
      </c>
      <c r="F4106" s="115" t="s">
        <v>861</v>
      </c>
      <c r="G4106" s="115" t="s">
        <v>10931</v>
      </c>
      <c r="H4106" s="115" t="s">
        <v>862</v>
      </c>
    </row>
    <row r="4107" spans="1:8" x14ac:dyDescent="0.25">
      <c r="A4107" s="115">
        <v>462</v>
      </c>
      <c r="B4107" s="115" t="s">
        <v>9221</v>
      </c>
      <c r="C4107" s="115" t="s">
        <v>10932</v>
      </c>
      <c r="D4107" s="115">
        <v>0</v>
      </c>
      <c r="E4107" s="115" t="s">
        <v>7540</v>
      </c>
      <c r="F4107" s="115" t="s">
        <v>7541</v>
      </c>
      <c r="G4107" s="115" t="s">
        <v>10933</v>
      </c>
      <c r="H4107" s="115" t="s">
        <v>10934</v>
      </c>
    </row>
    <row r="4108" spans="1:8" x14ac:dyDescent="0.25">
      <c r="A4108" s="115">
        <v>461</v>
      </c>
      <c r="B4108" s="115" t="s">
        <v>9221</v>
      </c>
      <c r="C4108" s="115" t="s">
        <v>10935</v>
      </c>
      <c r="D4108" s="115">
        <v>0</v>
      </c>
      <c r="E4108" s="115" t="s">
        <v>7543</v>
      </c>
      <c r="F4108" s="115" t="s">
        <v>7544</v>
      </c>
      <c r="G4108" s="115" t="s">
        <v>10936</v>
      </c>
      <c r="H4108" s="115" t="s">
        <v>10937</v>
      </c>
    </row>
    <row r="4109" spans="1:8" x14ac:dyDescent="0.25">
      <c r="A4109" s="115">
        <v>460</v>
      </c>
      <c r="B4109" s="115" t="s">
        <v>9221</v>
      </c>
      <c r="C4109" s="115" t="s">
        <v>1680</v>
      </c>
      <c r="D4109" s="115">
        <v>0</v>
      </c>
      <c r="E4109" s="115" t="s">
        <v>7546</v>
      </c>
      <c r="F4109" s="115" t="s">
        <v>7547</v>
      </c>
      <c r="G4109" s="115" t="s">
        <v>10938</v>
      </c>
      <c r="H4109" s="115" t="s">
        <v>10939</v>
      </c>
    </row>
    <row r="4110" spans="1:8" ht="30" x14ac:dyDescent="0.25">
      <c r="A4110" s="115">
        <v>459</v>
      </c>
      <c r="B4110" s="115" t="s">
        <v>9221</v>
      </c>
      <c r="C4110" s="115" t="s">
        <v>10940</v>
      </c>
      <c r="D4110" s="115">
        <v>0</v>
      </c>
      <c r="E4110" s="115" t="s">
        <v>7549</v>
      </c>
      <c r="F4110" s="115" t="s">
        <v>7550</v>
      </c>
      <c r="G4110" s="115" t="s">
        <v>10941</v>
      </c>
      <c r="H4110" s="115" t="s">
        <v>10942</v>
      </c>
    </row>
    <row r="4111" spans="1:8" x14ac:dyDescent="0.25">
      <c r="A4111" s="115">
        <v>458</v>
      </c>
      <c r="B4111" s="115" t="s">
        <v>9221</v>
      </c>
      <c r="C4111" s="115" t="s">
        <v>1681</v>
      </c>
      <c r="D4111" s="115">
        <v>0</v>
      </c>
      <c r="E4111" s="115" t="s">
        <v>7552</v>
      </c>
      <c r="F4111" s="115" t="s">
        <v>7553</v>
      </c>
      <c r="G4111" s="115" t="s">
        <v>10943</v>
      </c>
      <c r="H4111" s="115" t="s">
        <v>10944</v>
      </c>
    </row>
    <row r="4112" spans="1:8" x14ac:dyDescent="0.25">
      <c r="A4112" s="115">
        <v>457</v>
      </c>
      <c r="B4112" s="115" t="s">
        <v>9221</v>
      </c>
      <c r="C4112" s="115" t="s">
        <v>10945</v>
      </c>
      <c r="D4112" s="115">
        <v>0</v>
      </c>
      <c r="E4112" s="115" t="s">
        <v>7555</v>
      </c>
      <c r="F4112" s="115" t="s">
        <v>7556</v>
      </c>
      <c r="G4112" s="115" t="s">
        <v>10946</v>
      </c>
      <c r="H4112" s="115" t="s">
        <v>10947</v>
      </c>
    </row>
    <row r="4113" spans="1:8" x14ac:dyDescent="0.25">
      <c r="A4113" s="115">
        <v>456</v>
      </c>
      <c r="B4113" s="115" t="s">
        <v>9221</v>
      </c>
      <c r="C4113" s="115" t="s">
        <v>10948</v>
      </c>
      <c r="D4113" s="115">
        <v>0</v>
      </c>
      <c r="E4113" s="115" t="s">
        <v>910</v>
      </c>
      <c r="F4113" s="115" t="s">
        <v>911</v>
      </c>
      <c r="G4113" s="115" t="s">
        <v>10949</v>
      </c>
      <c r="H4113" s="115" t="s">
        <v>912</v>
      </c>
    </row>
    <row r="4114" spans="1:8" x14ac:dyDescent="0.25">
      <c r="A4114" s="115">
        <v>455</v>
      </c>
      <c r="B4114" s="115" t="s">
        <v>9221</v>
      </c>
      <c r="C4114" s="115" t="s">
        <v>10950</v>
      </c>
      <c r="D4114" s="115">
        <v>0</v>
      </c>
      <c r="E4114" s="115" t="s">
        <v>7559</v>
      </c>
      <c r="F4114" s="115" t="s">
        <v>7559</v>
      </c>
      <c r="G4114" s="115" t="s">
        <v>7559</v>
      </c>
      <c r="H4114" s="115" t="s">
        <v>10951</v>
      </c>
    </row>
    <row r="4115" spans="1:8" x14ac:dyDescent="0.25">
      <c r="A4115" s="115">
        <v>454</v>
      </c>
      <c r="B4115" s="115" t="s">
        <v>9221</v>
      </c>
      <c r="C4115" s="115" t="s">
        <v>10952</v>
      </c>
      <c r="D4115" s="115">
        <v>0</v>
      </c>
      <c r="E4115" s="115" t="s">
        <v>7561</v>
      </c>
      <c r="F4115" s="115" t="s">
        <v>7562</v>
      </c>
      <c r="G4115" s="115" t="s">
        <v>10953</v>
      </c>
      <c r="H4115" s="115" t="s">
        <v>10954</v>
      </c>
    </row>
    <row r="4116" spans="1:8" x14ac:dyDescent="0.25">
      <c r="A4116" s="115">
        <v>453</v>
      </c>
      <c r="B4116" s="115" t="s">
        <v>9221</v>
      </c>
      <c r="C4116" s="115" t="s">
        <v>10955</v>
      </c>
      <c r="D4116" s="115">
        <v>0</v>
      </c>
      <c r="E4116" s="115" t="s">
        <v>7564</v>
      </c>
      <c r="F4116" s="115" t="s">
        <v>7565</v>
      </c>
      <c r="G4116" s="115" t="s">
        <v>10956</v>
      </c>
      <c r="H4116" s="115" t="s">
        <v>10957</v>
      </c>
    </row>
    <row r="4117" spans="1:8" x14ac:dyDescent="0.25">
      <c r="A4117" s="115">
        <v>452</v>
      </c>
      <c r="B4117" s="115" t="s">
        <v>9221</v>
      </c>
      <c r="C4117" s="115" t="s">
        <v>10958</v>
      </c>
      <c r="D4117" s="115">
        <v>0</v>
      </c>
      <c r="E4117" s="115" t="s">
        <v>7567</v>
      </c>
      <c r="F4117" s="115" t="s">
        <v>7567</v>
      </c>
      <c r="G4117" s="115" t="s">
        <v>7567</v>
      </c>
      <c r="H4117" s="115" t="s">
        <v>10959</v>
      </c>
    </row>
    <row r="4118" spans="1:8" x14ac:dyDescent="0.25">
      <c r="A4118" s="115">
        <v>451</v>
      </c>
      <c r="B4118" s="115" t="s">
        <v>9221</v>
      </c>
      <c r="C4118" s="115" t="s">
        <v>10960</v>
      </c>
      <c r="D4118" s="115">
        <v>0</v>
      </c>
      <c r="E4118" s="115" t="s">
        <v>7569</v>
      </c>
      <c r="F4118" s="115" t="s">
        <v>7570</v>
      </c>
      <c r="G4118" s="115" t="s">
        <v>10961</v>
      </c>
      <c r="H4118" s="115" t="s">
        <v>10962</v>
      </c>
    </row>
    <row r="4119" spans="1:8" x14ac:dyDescent="0.25">
      <c r="A4119" s="115">
        <v>450</v>
      </c>
      <c r="B4119" s="115" t="s">
        <v>9221</v>
      </c>
      <c r="C4119" s="115" t="s">
        <v>10963</v>
      </c>
      <c r="D4119" s="115">
        <v>0</v>
      </c>
      <c r="E4119" s="115" t="s">
        <v>7572</v>
      </c>
      <c r="F4119" s="115" t="s">
        <v>7573</v>
      </c>
      <c r="G4119" s="115" t="s">
        <v>7572</v>
      </c>
      <c r="H4119" s="115" t="s">
        <v>10964</v>
      </c>
    </row>
    <row r="4120" spans="1:8" x14ac:dyDescent="0.25">
      <c r="A4120" s="115">
        <v>449</v>
      </c>
      <c r="B4120" s="115" t="s">
        <v>9221</v>
      </c>
      <c r="C4120" s="115" t="s">
        <v>10965</v>
      </c>
      <c r="D4120" s="115">
        <v>0</v>
      </c>
      <c r="E4120" s="115" t="s">
        <v>7575</v>
      </c>
      <c r="F4120" s="115" t="s">
        <v>7576</v>
      </c>
      <c r="G4120" s="115" t="s">
        <v>10966</v>
      </c>
      <c r="H4120" s="115" t="s">
        <v>10967</v>
      </c>
    </row>
    <row r="4121" spans="1:8" x14ac:dyDescent="0.25">
      <c r="A4121" s="115">
        <v>448</v>
      </c>
      <c r="B4121" s="115" t="s">
        <v>9221</v>
      </c>
      <c r="C4121" s="115" t="s">
        <v>10968</v>
      </c>
      <c r="D4121" s="115">
        <v>0</v>
      </c>
      <c r="E4121" s="115" t="s">
        <v>7578</v>
      </c>
      <c r="F4121" s="115" t="s">
        <v>10969</v>
      </c>
      <c r="G4121" s="115" t="s">
        <v>10970</v>
      </c>
      <c r="H4121" s="115" t="s">
        <v>10971</v>
      </c>
    </row>
    <row r="4122" spans="1:8" x14ac:dyDescent="0.25">
      <c r="A4122" s="115">
        <v>447</v>
      </c>
      <c r="B4122" s="115" t="s">
        <v>9221</v>
      </c>
      <c r="C4122" s="115" t="s">
        <v>10972</v>
      </c>
      <c r="D4122" s="115">
        <v>0</v>
      </c>
      <c r="E4122" s="115" t="s">
        <v>7580</v>
      </c>
      <c r="F4122" s="115" t="s">
        <v>7580</v>
      </c>
      <c r="G4122" s="115" t="s">
        <v>7580</v>
      </c>
      <c r="H4122" s="115" t="s">
        <v>10973</v>
      </c>
    </row>
    <row r="4123" spans="1:8" x14ac:dyDescent="0.25">
      <c r="A4123" s="115">
        <v>446</v>
      </c>
      <c r="B4123" s="115" t="s">
        <v>9221</v>
      </c>
      <c r="C4123" s="115" t="s">
        <v>10974</v>
      </c>
      <c r="D4123" s="115">
        <v>0</v>
      </c>
      <c r="E4123" s="115" t="s">
        <v>7582</v>
      </c>
      <c r="F4123" s="115" t="s">
        <v>7582</v>
      </c>
      <c r="G4123" s="115" t="s">
        <v>7582</v>
      </c>
      <c r="H4123" s="115" t="s">
        <v>10975</v>
      </c>
    </row>
    <row r="4124" spans="1:8" x14ac:dyDescent="0.25">
      <c r="A4124" s="115">
        <v>445</v>
      </c>
      <c r="B4124" s="115" t="s">
        <v>9221</v>
      </c>
      <c r="C4124" s="115" t="s">
        <v>10976</v>
      </c>
      <c r="D4124" s="115">
        <v>0</v>
      </c>
      <c r="E4124" s="115" t="s">
        <v>7584</v>
      </c>
      <c r="F4124" s="115" t="s">
        <v>7585</v>
      </c>
      <c r="G4124" s="115" t="s">
        <v>7584</v>
      </c>
      <c r="H4124" s="115" t="s">
        <v>10977</v>
      </c>
    </row>
    <row r="4125" spans="1:8" x14ac:dyDescent="0.25">
      <c r="A4125" s="115">
        <v>444</v>
      </c>
      <c r="B4125" s="115" t="s">
        <v>9221</v>
      </c>
      <c r="C4125" s="115" t="s">
        <v>10978</v>
      </c>
      <c r="D4125" s="115">
        <v>0</v>
      </c>
      <c r="E4125" s="115" t="s">
        <v>7587</v>
      </c>
      <c r="F4125" s="115" t="s">
        <v>7587</v>
      </c>
      <c r="G4125" s="115" t="s">
        <v>7587</v>
      </c>
      <c r="H4125" s="115" t="s">
        <v>10979</v>
      </c>
    </row>
    <row r="4126" spans="1:8" x14ac:dyDescent="0.25">
      <c r="A4126" s="115">
        <v>443</v>
      </c>
      <c r="B4126" s="115" t="s">
        <v>9221</v>
      </c>
      <c r="C4126" s="115" t="s">
        <v>10980</v>
      </c>
      <c r="D4126" s="115">
        <v>0</v>
      </c>
      <c r="E4126" s="115" t="s">
        <v>7589</v>
      </c>
      <c r="F4126" s="115" t="s">
        <v>7590</v>
      </c>
      <c r="G4126" s="115" t="s">
        <v>10981</v>
      </c>
      <c r="H4126" s="115" t="s">
        <v>10982</v>
      </c>
    </row>
    <row r="4127" spans="1:8" x14ac:dyDescent="0.25">
      <c r="A4127" s="115">
        <v>442</v>
      </c>
      <c r="B4127" s="115" t="s">
        <v>9221</v>
      </c>
      <c r="C4127" s="115" t="s">
        <v>5517</v>
      </c>
      <c r="D4127" s="115">
        <v>0</v>
      </c>
      <c r="E4127" s="115" t="s">
        <v>7592</v>
      </c>
      <c r="F4127" s="115" t="s">
        <v>10983</v>
      </c>
      <c r="G4127" s="115" t="s">
        <v>7592</v>
      </c>
      <c r="H4127" s="115" t="s">
        <v>10984</v>
      </c>
    </row>
    <row r="4128" spans="1:8" x14ac:dyDescent="0.25">
      <c r="A4128" s="115">
        <v>441</v>
      </c>
      <c r="B4128" s="115" t="s">
        <v>9221</v>
      </c>
      <c r="C4128" s="115" t="s">
        <v>10985</v>
      </c>
      <c r="D4128" s="115">
        <v>0</v>
      </c>
      <c r="E4128" s="115" t="s">
        <v>7594</v>
      </c>
      <c r="F4128" s="115" t="s">
        <v>7595</v>
      </c>
      <c r="G4128" s="115" t="s">
        <v>7594</v>
      </c>
      <c r="H4128" s="115" t="s">
        <v>10986</v>
      </c>
    </row>
    <row r="4129" spans="1:8" x14ac:dyDescent="0.25">
      <c r="A4129" s="115">
        <v>440</v>
      </c>
      <c r="B4129" s="115" t="s">
        <v>9221</v>
      </c>
      <c r="C4129" s="115" t="s">
        <v>10987</v>
      </c>
      <c r="D4129" s="115">
        <v>0</v>
      </c>
      <c r="E4129" s="115" t="s">
        <v>7597</v>
      </c>
      <c r="F4129" s="115" t="s">
        <v>7598</v>
      </c>
      <c r="G4129" s="115" t="s">
        <v>10988</v>
      </c>
      <c r="H4129" s="115" t="s">
        <v>10989</v>
      </c>
    </row>
    <row r="4130" spans="1:8" x14ac:dyDescent="0.25">
      <c r="A4130" s="115">
        <v>439</v>
      </c>
      <c r="B4130" s="115" t="s">
        <v>9221</v>
      </c>
      <c r="C4130" s="115" t="s">
        <v>10990</v>
      </c>
      <c r="D4130" s="115">
        <v>0</v>
      </c>
      <c r="E4130" s="115" t="s">
        <v>7600</v>
      </c>
      <c r="F4130" s="115" t="s">
        <v>7601</v>
      </c>
      <c r="G4130" s="115" t="s">
        <v>10991</v>
      </c>
      <c r="H4130" s="115" t="s">
        <v>10992</v>
      </c>
    </row>
    <row r="4131" spans="1:8" x14ac:dyDescent="0.25">
      <c r="A4131" s="115">
        <v>438</v>
      </c>
      <c r="B4131" s="115" t="s">
        <v>9221</v>
      </c>
      <c r="C4131" s="115" t="s">
        <v>10993</v>
      </c>
      <c r="D4131" s="115">
        <v>0</v>
      </c>
      <c r="E4131" s="115" t="s">
        <v>874</v>
      </c>
      <c r="F4131" s="115" t="s">
        <v>874</v>
      </c>
      <c r="G4131" s="115" t="s">
        <v>3188</v>
      </c>
      <c r="H4131" s="115" t="s">
        <v>875</v>
      </c>
    </row>
    <row r="4132" spans="1:8" x14ac:dyDescent="0.25">
      <c r="A4132" s="115">
        <v>437</v>
      </c>
      <c r="B4132" s="115" t="s">
        <v>9221</v>
      </c>
      <c r="C4132" s="115" t="s">
        <v>10994</v>
      </c>
      <c r="D4132" s="115">
        <v>0</v>
      </c>
      <c r="E4132" s="115" t="s">
        <v>931</v>
      </c>
      <c r="F4132" s="115" t="s">
        <v>931</v>
      </c>
      <c r="G4132" s="115" t="s">
        <v>10995</v>
      </c>
      <c r="H4132" s="115" t="s">
        <v>932</v>
      </c>
    </row>
    <row r="4133" spans="1:8" x14ac:dyDescent="0.25">
      <c r="A4133" s="115">
        <v>436</v>
      </c>
      <c r="B4133" s="115" t="s">
        <v>9221</v>
      </c>
      <c r="C4133" s="115" t="s">
        <v>10996</v>
      </c>
      <c r="D4133" s="115">
        <v>0</v>
      </c>
      <c r="E4133" s="115" t="s">
        <v>7605</v>
      </c>
      <c r="F4133" s="115" t="s">
        <v>7606</v>
      </c>
      <c r="G4133" s="115" t="s">
        <v>10997</v>
      </c>
      <c r="H4133" s="115" t="s">
        <v>10998</v>
      </c>
    </row>
    <row r="4134" spans="1:8" x14ac:dyDescent="0.25">
      <c r="A4134" s="115">
        <v>435</v>
      </c>
      <c r="B4134" s="115" t="s">
        <v>9221</v>
      </c>
      <c r="C4134" s="115" t="s">
        <v>10999</v>
      </c>
      <c r="D4134" s="115">
        <v>0</v>
      </c>
      <c r="E4134" s="115" t="s">
        <v>7608</v>
      </c>
      <c r="F4134" s="115" t="s">
        <v>7609</v>
      </c>
      <c r="G4134" s="115" t="s">
        <v>11000</v>
      </c>
      <c r="H4134" s="115" t="s">
        <v>11001</v>
      </c>
    </row>
    <row r="4135" spans="1:8" x14ac:dyDescent="0.25">
      <c r="A4135" s="115">
        <v>434</v>
      </c>
      <c r="B4135" s="115" t="s">
        <v>9221</v>
      </c>
      <c r="C4135" s="115" t="s">
        <v>11002</v>
      </c>
      <c r="D4135" s="115">
        <v>0</v>
      </c>
      <c r="E4135" s="115" t="s">
        <v>4598</v>
      </c>
      <c r="F4135" s="115" t="s">
        <v>4599</v>
      </c>
      <c r="G4135" s="115" t="s">
        <v>11003</v>
      </c>
      <c r="H4135" s="115" t="s">
        <v>11004</v>
      </c>
    </row>
    <row r="4136" spans="1:8" x14ac:dyDescent="0.25">
      <c r="A4136" s="115">
        <v>433</v>
      </c>
      <c r="B4136" s="115" t="s">
        <v>9221</v>
      </c>
      <c r="C4136" s="115" t="s">
        <v>11005</v>
      </c>
      <c r="D4136" s="115">
        <v>0</v>
      </c>
      <c r="E4136" s="115" t="s">
        <v>7612</v>
      </c>
      <c r="F4136" s="115" t="s">
        <v>7612</v>
      </c>
      <c r="G4136" s="115" t="s">
        <v>11006</v>
      </c>
      <c r="H4136" s="115" t="s">
        <v>11007</v>
      </c>
    </row>
    <row r="4137" spans="1:8" x14ac:dyDescent="0.25">
      <c r="A4137" s="115">
        <v>432</v>
      </c>
      <c r="B4137" s="115" t="s">
        <v>9221</v>
      </c>
      <c r="C4137" s="115" t="s">
        <v>11008</v>
      </c>
      <c r="D4137" s="115">
        <v>0</v>
      </c>
      <c r="E4137" s="115" t="s">
        <v>7614</v>
      </c>
      <c r="F4137" s="115" t="s">
        <v>7614</v>
      </c>
      <c r="G4137" s="115" t="s">
        <v>11009</v>
      </c>
      <c r="H4137" s="115" t="s">
        <v>11010</v>
      </c>
    </row>
    <row r="4138" spans="1:8" x14ac:dyDescent="0.25">
      <c r="A4138" s="115">
        <v>431</v>
      </c>
      <c r="B4138" s="115" t="s">
        <v>9221</v>
      </c>
      <c r="C4138" s="115" t="s">
        <v>11011</v>
      </c>
      <c r="D4138" s="115">
        <v>0</v>
      </c>
      <c r="E4138" s="115" t="s">
        <v>7616</v>
      </c>
      <c r="F4138" s="115" t="s">
        <v>7617</v>
      </c>
      <c r="G4138" s="115" t="s">
        <v>11012</v>
      </c>
      <c r="H4138" s="115" t="s">
        <v>11013</v>
      </c>
    </row>
    <row r="4139" spans="1:8" x14ac:dyDescent="0.25">
      <c r="A4139" s="115">
        <v>430</v>
      </c>
      <c r="B4139" s="115" t="s">
        <v>9221</v>
      </c>
      <c r="C4139" s="115" t="s">
        <v>11014</v>
      </c>
      <c r="D4139" s="115">
        <v>0</v>
      </c>
      <c r="E4139" s="115" t="s">
        <v>7619</v>
      </c>
      <c r="F4139" s="115" t="s">
        <v>7619</v>
      </c>
      <c r="G4139" s="115" t="s">
        <v>7619</v>
      </c>
      <c r="H4139" s="115" t="s">
        <v>11015</v>
      </c>
    </row>
    <row r="4140" spans="1:8" x14ac:dyDescent="0.25">
      <c r="A4140" s="115">
        <v>429</v>
      </c>
      <c r="B4140" s="115" t="s">
        <v>9221</v>
      </c>
      <c r="C4140" s="115" t="s">
        <v>11016</v>
      </c>
      <c r="D4140" s="115">
        <v>0</v>
      </c>
      <c r="E4140" s="115" t="s">
        <v>7621</v>
      </c>
      <c r="F4140" s="115" t="s">
        <v>7621</v>
      </c>
      <c r="G4140" s="115" t="s">
        <v>7621</v>
      </c>
      <c r="H4140" s="115" t="s">
        <v>11017</v>
      </c>
    </row>
    <row r="4141" spans="1:8" x14ac:dyDescent="0.25">
      <c r="A4141" s="115">
        <v>428</v>
      </c>
      <c r="B4141" s="115" t="s">
        <v>9221</v>
      </c>
      <c r="C4141" s="115" t="s">
        <v>11018</v>
      </c>
      <c r="D4141" s="115">
        <v>0</v>
      </c>
      <c r="E4141" s="115" t="s">
        <v>7623</v>
      </c>
      <c r="F4141" s="115" t="s">
        <v>7624</v>
      </c>
      <c r="G4141" s="115" t="s">
        <v>7623</v>
      </c>
      <c r="H4141" s="115" t="s">
        <v>11019</v>
      </c>
    </row>
    <row r="4142" spans="1:8" x14ac:dyDescent="0.25">
      <c r="A4142" s="115">
        <v>427</v>
      </c>
      <c r="B4142" s="115" t="s">
        <v>9221</v>
      </c>
      <c r="C4142" s="115" t="s">
        <v>380</v>
      </c>
      <c r="D4142" s="115">
        <v>0</v>
      </c>
      <c r="E4142" s="115" t="s">
        <v>7626</v>
      </c>
      <c r="F4142" s="115" t="s">
        <v>7627</v>
      </c>
      <c r="G4142" s="115" t="s">
        <v>11020</v>
      </c>
      <c r="H4142" s="115" t="s">
        <v>11021</v>
      </c>
    </row>
    <row r="4143" spans="1:8" x14ac:dyDescent="0.25">
      <c r="A4143" s="115">
        <v>426</v>
      </c>
      <c r="B4143" s="115" t="s">
        <v>9221</v>
      </c>
      <c r="C4143" s="115" t="s">
        <v>11022</v>
      </c>
      <c r="D4143" s="115">
        <v>0</v>
      </c>
      <c r="E4143" s="115" t="s">
        <v>7629</v>
      </c>
      <c r="F4143" s="115" t="s">
        <v>7630</v>
      </c>
      <c r="G4143" s="115" t="s">
        <v>11023</v>
      </c>
      <c r="H4143" s="115" t="s">
        <v>11024</v>
      </c>
    </row>
    <row r="4144" spans="1:8" x14ac:dyDescent="0.25">
      <c r="A4144" s="115">
        <v>425</v>
      </c>
      <c r="B4144" s="115" t="s">
        <v>9221</v>
      </c>
      <c r="C4144" s="115" t="s">
        <v>11025</v>
      </c>
      <c r="D4144" s="115">
        <v>0</v>
      </c>
      <c r="E4144" s="115" t="s">
        <v>7632</v>
      </c>
      <c r="F4144" s="115" t="s">
        <v>7632</v>
      </c>
      <c r="G4144" s="115" t="s">
        <v>7632</v>
      </c>
      <c r="H4144" s="115" t="s">
        <v>11026</v>
      </c>
    </row>
    <row r="4145" spans="1:8" x14ac:dyDescent="0.25">
      <c r="A4145" s="115">
        <v>424</v>
      </c>
      <c r="B4145" s="115" t="s">
        <v>9221</v>
      </c>
      <c r="C4145" s="115" t="s">
        <v>11027</v>
      </c>
      <c r="D4145" s="115">
        <v>0</v>
      </c>
      <c r="E4145" s="115" t="s">
        <v>683</v>
      </c>
      <c r="F4145" s="115" t="s">
        <v>683</v>
      </c>
      <c r="G4145" s="115" t="s">
        <v>683</v>
      </c>
      <c r="H4145" s="115" t="s">
        <v>685</v>
      </c>
    </row>
    <row r="4146" spans="1:8" x14ac:dyDescent="0.25">
      <c r="A4146" s="115">
        <v>423</v>
      </c>
      <c r="B4146" s="115" t="s">
        <v>9221</v>
      </c>
      <c r="C4146" s="115" t="s">
        <v>11028</v>
      </c>
      <c r="D4146" s="115">
        <v>0</v>
      </c>
      <c r="E4146" s="115" t="s">
        <v>7635</v>
      </c>
      <c r="F4146" s="115" t="s">
        <v>7636</v>
      </c>
      <c r="G4146" s="115" t="s">
        <v>11029</v>
      </c>
      <c r="H4146" s="115" t="s">
        <v>11030</v>
      </c>
    </row>
    <row r="4147" spans="1:8" x14ac:dyDescent="0.25">
      <c r="A4147" s="115">
        <v>422</v>
      </c>
      <c r="B4147" s="115" t="s">
        <v>9221</v>
      </c>
      <c r="C4147" s="115" t="s">
        <v>11031</v>
      </c>
      <c r="D4147" s="115">
        <v>0</v>
      </c>
      <c r="E4147" s="115" t="s">
        <v>3513</v>
      </c>
      <c r="F4147" s="115" t="s">
        <v>3513</v>
      </c>
      <c r="G4147" s="115" t="s">
        <v>11032</v>
      </c>
      <c r="H4147" s="115" t="s">
        <v>3515</v>
      </c>
    </row>
    <row r="4148" spans="1:8" x14ac:dyDescent="0.25">
      <c r="A4148" s="115">
        <v>421</v>
      </c>
      <c r="B4148" s="115" t="s">
        <v>9221</v>
      </c>
      <c r="C4148" s="115" t="s">
        <v>11033</v>
      </c>
      <c r="D4148" s="115">
        <v>0</v>
      </c>
      <c r="E4148" s="115" t="s">
        <v>7639</v>
      </c>
      <c r="F4148" s="115" t="s">
        <v>7640</v>
      </c>
      <c r="G4148" s="115" t="s">
        <v>11034</v>
      </c>
      <c r="H4148" s="115" t="s">
        <v>11035</v>
      </c>
    </row>
    <row r="4149" spans="1:8" x14ac:dyDescent="0.25">
      <c r="A4149" s="115">
        <v>420</v>
      </c>
      <c r="B4149" s="115" t="s">
        <v>9221</v>
      </c>
      <c r="C4149" s="115" t="s">
        <v>11036</v>
      </c>
      <c r="D4149" s="115">
        <v>0</v>
      </c>
      <c r="E4149" s="115" t="s">
        <v>7642</v>
      </c>
      <c r="F4149" s="115" t="s">
        <v>7643</v>
      </c>
      <c r="G4149" s="115" t="s">
        <v>7642</v>
      </c>
      <c r="H4149" s="115" t="s">
        <v>11037</v>
      </c>
    </row>
    <row r="4150" spans="1:8" x14ac:dyDescent="0.25">
      <c r="A4150" s="115">
        <v>419</v>
      </c>
      <c r="B4150" s="115" t="s">
        <v>9221</v>
      </c>
      <c r="C4150" s="115" t="s">
        <v>11038</v>
      </c>
      <c r="D4150" s="115">
        <v>0</v>
      </c>
      <c r="E4150" s="115" t="s">
        <v>7645</v>
      </c>
      <c r="F4150" s="115" t="s">
        <v>7645</v>
      </c>
      <c r="G4150" s="115" t="s">
        <v>7645</v>
      </c>
      <c r="H4150" s="115" t="s">
        <v>11039</v>
      </c>
    </row>
    <row r="4151" spans="1:8" x14ac:dyDescent="0.25">
      <c r="A4151" s="115">
        <v>418</v>
      </c>
      <c r="B4151" s="115" t="s">
        <v>9221</v>
      </c>
      <c r="C4151" s="115" t="s">
        <v>11040</v>
      </c>
      <c r="D4151" s="115">
        <v>0</v>
      </c>
      <c r="E4151" s="115" t="s">
        <v>7647</v>
      </c>
      <c r="F4151" s="115" t="s">
        <v>7648</v>
      </c>
      <c r="G4151" s="115" t="s">
        <v>11041</v>
      </c>
      <c r="H4151" s="115" t="s">
        <v>11042</v>
      </c>
    </row>
    <row r="4152" spans="1:8" x14ac:dyDescent="0.25">
      <c r="A4152" s="115">
        <v>417</v>
      </c>
      <c r="B4152" s="115" t="s">
        <v>9221</v>
      </c>
      <c r="C4152" s="115" t="s">
        <v>11043</v>
      </c>
      <c r="D4152" s="115">
        <v>0</v>
      </c>
      <c r="E4152" s="115" t="s">
        <v>7650</v>
      </c>
      <c r="F4152" s="115" t="s">
        <v>7651</v>
      </c>
      <c r="G4152" s="115" t="s">
        <v>11044</v>
      </c>
      <c r="H4152" s="115" t="s">
        <v>11045</v>
      </c>
    </row>
    <row r="4153" spans="1:8" x14ac:dyDescent="0.25">
      <c r="A4153" s="115">
        <v>416</v>
      </c>
      <c r="B4153" s="115" t="s">
        <v>9221</v>
      </c>
      <c r="C4153" s="115" t="s">
        <v>11046</v>
      </c>
      <c r="D4153" s="115">
        <v>0</v>
      </c>
      <c r="E4153" s="115" t="s">
        <v>7653</v>
      </c>
      <c r="F4153" s="115" t="s">
        <v>7653</v>
      </c>
      <c r="G4153" s="115" t="s">
        <v>7653</v>
      </c>
      <c r="H4153" s="115" t="s">
        <v>11047</v>
      </c>
    </row>
    <row r="4154" spans="1:8" x14ac:dyDescent="0.25">
      <c r="A4154" s="115">
        <v>415</v>
      </c>
      <c r="B4154" s="115" t="s">
        <v>9221</v>
      </c>
      <c r="C4154" s="115" t="s">
        <v>11048</v>
      </c>
      <c r="D4154" s="115">
        <v>0</v>
      </c>
      <c r="E4154" s="115" t="s">
        <v>7655</v>
      </c>
      <c r="F4154" s="115" t="s">
        <v>7655</v>
      </c>
      <c r="G4154" s="115" t="s">
        <v>11049</v>
      </c>
      <c r="H4154" s="115" t="s">
        <v>11050</v>
      </c>
    </row>
    <row r="4155" spans="1:8" x14ac:dyDescent="0.25">
      <c r="A4155" s="115">
        <v>414</v>
      </c>
      <c r="B4155" s="115" t="s">
        <v>9221</v>
      </c>
      <c r="C4155" s="115" t="s">
        <v>11051</v>
      </c>
      <c r="D4155" s="115">
        <v>0</v>
      </c>
      <c r="E4155" s="115" t="s">
        <v>7657</v>
      </c>
      <c r="F4155" s="115" t="s">
        <v>11052</v>
      </c>
      <c r="G4155" s="115" t="s">
        <v>11053</v>
      </c>
      <c r="H4155" s="115" t="s">
        <v>11054</v>
      </c>
    </row>
    <row r="4156" spans="1:8" x14ac:dyDescent="0.25">
      <c r="A4156" s="115">
        <v>413</v>
      </c>
      <c r="B4156" s="115" t="s">
        <v>9221</v>
      </c>
      <c r="C4156" s="115" t="s">
        <v>11055</v>
      </c>
      <c r="D4156" s="115">
        <v>0</v>
      </c>
      <c r="E4156" s="115" t="s">
        <v>7660</v>
      </c>
      <c r="F4156" s="115" t="s">
        <v>11056</v>
      </c>
      <c r="G4156" s="115" t="s">
        <v>7660</v>
      </c>
      <c r="H4156" s="115" t="s">
        <v>11057</v>
      </c>
    </row>
    <row r="4157" spans="1:8" x14ac:dyDescent="0.25">
      <c r="A4157" s="115">
        <v>412</v>
      </c>
      <c r="B4157" s="115" t="s">
        <v>9221</v>
      </c>
      <c r="C4157" s="115" t="s">
        <v>11058</v>
      </c>
      <c r="D4157" s="115">
        <v>0</v>
      </c>
      <c r="E4157" s="115" t="s">
        <v>7662</v>
      </c>
      <c r="F4157" s="115" t="s">
        <v>7662</v>
      </c>
      <c r="G4157" s="115" t="s">
        <v>7662</v>
      </c>
      <c r="H4157" s="115" t="s">
        <v>11059</v>
      </c>
    </row>
    <row r="4158" spans="1:8" x14ac:dyDescent="0.25">
      <c r="A4158" s="115">
        <v>411</v>
      </c>
      <c r="B4158" s="115" t="s">
        <v>9221</v>
      </c>
      <c r="C4158" s="115" t="s">
        <v>11060</v>
      </c>
      <c r="D4158" s="115">
        <v>0</v>
      </c>
      <c r="E4158" s="115" t="s">
        <v>7664</v>
      </c>
      <c r="F4158" s="115" t="s">
        <v>7665</v>
      </c>
      <c r="G4158" s="115" t="s">
        <v>7664</v>
      </c>
      <c r="H4158" s="115" t="s">
        <v>11061</v>
      </c>
    </row>
    <row r="4159" spans="1:8" x14ac:dyDescent="0.25">
      <c r="A4159" s="115">
        <v>410</v>
      </c>
      <c r="B4159" s="115" t="s">
        <v>9221</v>
      </c>
      <c r="C4159" s="115" t="s">
        <v>11062</v>
      </c>
      <c r="D4159" s="115">
        <v>0</v>
      </c>
      <c r="E4159" s="115" t="s">
        <v>7667</v>
      </c>
      <c r="F4159" s="115" t="s">
        <v>7667</v>
      </c>
      <c r="G4159" s="115" t="s">
        <v>7667</v>
      </c>
      <c r="H4159" s="115" t="s">
        <v>11063</v>
      </c>
    </row>
    <row r="4160" spans="1:8" x14ac:dyDescent="0.25">
      <c r="A4160" s="115">
        <v>409</v>
      </c>
      <c r="B4160" s="115" t="s">
        <v>9221</v>
      </c>
      <c r="C4160" s="115" t="s">
        <v>11064</v>
      </c>
      <c r="D4160" s="115">
        <v>0</v>
      </c>
      <c r="E4160" s="115" t="s">
        <v>7669</v>
      </c>
      <c r="F4160" s="115" t="s">
        <v>7670</v>
      </c>
      <c r="G4160" s="115" t="s">
        <v>11065</v>
      </c>
      <c r="H4160" s="115" t="s">
        <v>11066</v>
      </c>
    </row>
    <row r="4161" spans="1:8" x14ac:dyDescent="0.25">
      <c r="A4161" s="115">
        <v>408</v>
      </c>
      <c r="B4161" s="115" t="s">
        <v>9221</v>
      </c>
      <c r="C4161" s="115" t="s">
        <v>11067</v>
      </c>
      <c r="D4161" s="115">
        <v>0</v>
      </c>
      <c r="E4161" s="115" t="s">
        <v>7672</v>
      </c>
      <c r="F4161" s="115" t="s">
        <v>7672</v>
      </c>
      <c r="G4161" s="115" t="s">
        <v>7672</v>
      </c>
      <c r="H4161" s="115" t="s">
        <v>11068</v>
      </c>
    </row>
    <row r="4162" spans="1:8" x14ac:dyDescent="0.25">
      <c r="A4162" s="115">
        <v>407</v>
      </c>
      <c r="B4162" s="115" t="s">
        <v>9221</v>
      </c>
      <c r="C4162" s="115" t="s">
        <v>11069</v>
      </c>
      <c r="D4162" s="115">
        <v>0</v>
      </c>
      <c r="E4162" s="115" t="s">
        <v>7674</v>
      </c>
      <c r="F4162" s="115" t="s">
        <v>7675</v>
      </c>
      <c r="G4162" s="115" t="s">
        <v>7674</v>
      </c>
      <c r="H4162" s="115" t="s">
        <v>11070</v>
      </c>
    </row>
    <row r="4163" spans="1:8" x14ac:dyDescent="0.25">
      <c r="A4163" s="115">
        <v>406</v>
      </c>
      <c r="B4163" s="115" t="s">
        <v>9221</v>
      </c>
      <c r="C4163" s="115" t="s">
        <v>11071</v>
      </c>
      <c r="D4163" s="115">
        <v>0</v>
      </c>
      <c r="E4163" s="115" t="s">
        <v>3195</v>
      </c>
      <c r="F4163" s="115" t="s">
        <v>7677</v>
      </c>
      <c r="G4163" s="115" t="s">
        <v>3195</v>
      </c>
      <c r="H4163" s="115" t="s">
        <v>3197</v>
      </c>
    </row>
    <row r="4164" spans="1:8" x14ac:dyDescent="0.25">
      <c r="A4164" s="115">
        <v>405</v>
      </c>
      <c r="B4164" s="115" t="s">
        <v>9221</v>
      </c>
      <c r="C4164" s="115" t="s">
        <v>11072</v>
      </c>
      <c r="D4164" s="115">
        <v>0</v>
      </c>
      <c r="E4164" s="115" t="s">
        <v>3204</v>
      </c>
      <c r="F4164" s="115" t="s">
        <v>3204</v>
      </c>
      <c r="G4164" s="115" t="s">
        <v>3205</v>
      </c>
      <c r="H4164" s="115" t="s">
        <v>3206</v>
      </c>
    </row>
    <row r="4165" spans="1:8" x14ac:dyDescent="0.25">
      <c r="A4165" s="115">
        <v>404</v>
      </c>
      <c r="B4165" s="115" t="s">
        <v>9221</v>
      </c>
      <c r="C4165" s="115" t="s">
        <v>11073</v>
      </c>
      <c r="D4165" s="115">
        <v>0</v>
      </c>
      <c r="E4165" s="115" t="s">
        <v>11074</v>
      </c>
      <c r="F4165" s="115" t="s">
        <v>11075</v>
      </c>
      <c r="G4165" s="115" t="s">
        <v>11076</v>
      </c>
      <c r="H4165" s="115" t="s">
        <v>11077</v>
      </c>
    </row>
    <row r="4166" spans="1:8" x14ac:dyDescent="0.25">
      <c r="A4166" s="115">
        <v>403</v>
      </c>
      <c r="B4166" s="115" t="s">
        <v>9221</v>
      </c>
      <c r="C4166" s="115" t="s">
        <v>11078</v>
      </c>
      <c r="D4166" s="115">
        <v>0</v>
      </c>
      <c r="E4166" s="115" t="s">
        <v>7683</v>
      </c>
      <c r="F4166" s="115" t="s">
        <v>11079</v>
      </c>
      <c r="G4166" s="115" t="s">
        <v>11080</v>
      </c>
      <c r="H4166" s="115" t="s">
        <v>11081</v>
      </c>
    </row>
    <row r="4167" spans="1:8" x14ac:dyDescent="0.25">
      <c r="A4167" s="115">
        <v>402</v>
      </c>
      <c r="B4167" s="115" t="s">
        <v>9221</v>
      </c>
      <c r="C4167" s="115" t="s">
        <v>11082</v>
      </c>
      <c r="D4167" s="115">
        <v>0</v>
      </c>
      <c r="E4167" s="115" t="s">
        <v>7686</v>
      </c>
      <c r="F4167" s="115" t="s">
        <v>7686</v>
      </c>
      <c r="G4167" s="115" t="s">
        <v>7686</v>
      </c>
      <c r="H4167" s="115" t="s">
        <v>11083</v>
      </c>
    </row>
    <row r="4168" spans="1:8" x14ac:dyDescent="0.25">
      <c r="A4168" s="115">
        <v>401</v>
      </c>
      <c r="B4168" s="115" t="s">
        <v>9221</v>
      </c>
      <c r="C4168" s="115" t="s">
        <v>11084</v>
      </c>
      <c r="D4168" s="115">
        <v>0</v>
      </c>
      <c r="E4168" s="115" t="s">
        <v>7688</v>
      </c>
      <c r="F4168" s="115" t="s">
        <v>7520</v>
      </c>
      <c r="G4168" s="115" t="s">
        <v>11085</v>
      </c>
      <c r="H4168" s="115" t="s">
        <v>11086</v>
      </c>
    </row>
    <row r="4169" spans="1:8" x14ac:dyDescent="0.25">
      <c r="A4169" s="115">
        <v>400</v>
      </c>
      <c r="B4169" s="115" t="s">
        <v>9221</v>
      </c>
      <c r="C4169" s="115" t="s">
        <v>11087</v>
      </c>
      <c r="D4169" s="115">
        <v>0</v>
      </c>
      <c r="E4169" s="115" t="s">
        <v>7691</v>
      </c>
      <c r="F4169" s="115" t="s">
        <v>7692</v>
      </c>
      <c r="G4169" s="115" t="s">
        <v>7691</v>
      </c>
      <c r="H4169" s="115" t="s">
        <v>11088</v>
      </c>
    </row>
    <row r="4170" spans="1:8" x14ac:dyDescent="0.25">
      <c r="A4170" s="115">
        <v>399</v>
      </c>
      <c r="B4170" s="115" t="s">
        <v>9221</v>
      </c>
      <c r="C4170" s="115" t="s">
        <v>11089</v>
      </c>
      <c r="D4170" s="115">
        <v>0</v>
      </c>
      <c r="E4170" s="115" t="s">
        <v>7694</v>
      </c>
      <c r="F4170" s="115" t="s">
        <v>11090</v>
      </c>
      <c r="G4170" s="115" t="s">
        <v>11091</v>
      </c>
      <c r="H4170" s="115" t="s">
        <v>11092</v>
      </c>
    </row>
    <row r="4171" spans="1:8" x14ac:dyDescent="0.25">
      <c r="A4171" s="115">
        <v>398</v>
      </c>
      <c r="B4171" s="115" t="s">
        <v>9221</v>
      </c>
      <c r="C4171" s="115" t="s">
        <v>11093</v>
      </c>
      <c r="D4171" s="115">
        <v>0</v>
      </c>
      <c r="E4171" s="115" t="s">
        <v>7697</v>
      </c>
      <c r="F4171" s="115" t="s">
        <v>7697</v>
      </c>
      <c r="G4171" s="115" t="s">
        <v>11094</v>
      </c>
      <c r="H4171" s="115" t="s">
        <v>11095</v>
      </c>
    </row>
    <row r="4172" spans="1:8" x14ac:dyDescent="0.25">
      <c r="A4172" s="115">
        <v>397</v>
      </c>
      <c r="B4172" s="115" t="s">
        <v>9221</v>
      </c>
      <c r="C4172" s="115" t="s">
        <v>11096</v>
      </c>
      <c r="D4172" s="115">
        <v>0</v>
      </c>
      <c r="E4172" s="115" t="s">
        <v>7699</v>
      </c>
      <c r="F4172" s="115" t="s">
        <v>11097</v>
      </c>
      <c r="G4172" s="115" t="s">
        <v>11098</v>
      </c>
      <c r="H4172" s="115" t="s">
        <v>11099</v>
      </c>
    </row>
    <row r="4173" spans="1:8" x14ac:dyDescent="0.25">
      <c r="A4173" s="115">
        <v>396</v>
      </c>
      <c r="B4173" s="115" t="s">
        <v>9221</v>
      </c>
      <c r="C4173" s="115" t="s">
        <v>11100</v>
      </c>
      <c r="D4173" s="115">
        <v>0</v>
      </c>
      <c r="E4173" s="115" t="s">
        <v>7702</v>
      </c>
      <c r="F4173" s="115" t="s">
        <v>7703</v>
      </c>
      <c r="G4173" s="115" t="s">
        <v>11101</v>
      </c>
      <c r="H4173" s="115" t="s">
        <v>11102</v>
      </c>
    </row>
    <row r="4174" spans="1:8" x14ac:dyDescent="0.25">
      <c r="A4174" s="115">
        <v>395</v>
      </c>
      <c r="B4174" s="115" t="s">
        <v>9221</v>
      </c>
      <c r="C4174" s="115" t="s">
        <v>11103</v>
      </c>
      <c r="D4174" s="115">
        <v>0</v>
      </c>
      <c r="E4174" s="115" t="s">
        <v>7705</v>
      </c>
      <c r="F4174" s="115" t="s">
        <v>7706</v>
      </c>
      <c r="G4174" s="115" t="s">
        <v>11104</v>
      </c>
      <c r="H4174" s="115" t="s">
        <v>11105</v>
      </c>
    </row>
    <row r="4175" spans="1:8" x14ac:dyDescent="0.25">
      <c r="A4175" s="115">
        <v>394</v>
      </c>
      <c r="B4175" s="115" t="s">
        <v>9221</v>
      </c>
      <c r="C4175" s="115" t="s">
        <v>11106</v>
      </c>
      <c r="D4175" s="115">
        <v>0</v>
      </c>
      <c r="E4175" s="115" t="s">
        <v>7708</v>
      </c>
      <c r="F4175" s="115" t="s">
        <v>11107</v>
      </c>
      <c r="G4175" s="115" t="s">
        <v>11108</v>
      </c>
      <c r="H4175" s="115" t="s">
        <v>11109</v>
      </c>
    </row>
    <row r="4176" spans="1:8" x14ac:dyDescent="0.25">
      <c r="A4176" s="115">
        <v>393</v>
      </c>
      <c r="B4176" s="115" t="s">
        <v>9221</v>
      </c>
      <c r="C4176" s="115" t="s">
        <v>11110</v>
      </c>
      <c r="D4176" s="115">
        <v>0</v>
      </c>
      <c r="E4176" s="115" t="s">
        <v>7710</v>
      </c>
      <c r="F4176" s="115" t="s">
        <v>7711</v>
      </c>
      <c r="G4176" s="115" t="s">
        <v>11111</v>
      </c>
      <c r="H4176" s="115" t="s">
        <v>11112</v>
      </c>
    </row>
    <row r="4177" spans="1:8" x14ac:dyDescent="0.25">
      <c r="A4177" s="115">
        <v>392</v>
      </c>
      <c r="B4177" s="115" t="s">
        <v>9221</v>
      </c>
      <c r="C4177" s="115" t="s">
        <v>11113</v>
      </c>
      <c r="D4177" s="115">
        <v>0</v>
      </c>
      <c r="E4177" s="115" t="s">
        <v>7713</v>
      </c>
      <c r="F4177" s="115" t="s">
        <v>7713</v>
      </c>
      <c r="G4177" s="115" t="s">
        <v>7713</v>
      </c>
      <c r="H4177" s="115" t="s">
        <v>11114</v>
      </c>
    </row>
    <row r="4178" spans="1:8" x14ac:dyDescent="0.25">
      <c r="A4178" s="115">
        <v>391</v>
      </c>
      <c r="B4178" s="115" t="s">
        <v>9221</v>
      </c>
      <c r="C4178" s="115" t="s">
        <v>11115</v>
      </c>
      <c r="D4178" s="115">
        <v>0</v>
      </c>
      <c r="E4178" s="115" t="s">
        <v>924</v>
      </c>
      <c r="F4178" s="115" t="s">
        <v>924</v>
      </c>
      <c r="G4178" s="115" t="s">
        <v>924</v>
      </c>
      <c r="H4178" s="115" t="s">
        <v>926</v>
      </c>
    </row>
    <row r="4179" spans="1:8" x14ac:dyDescent="0.25">
      <c r="A4179" s="115">
        <v>390</v>
      </c>
      <c r="B4179" s="115" t="s">
        <v>9221</v>
      </c>
      <c r="C4179" s="115" t="s">
        <v>11116</v>
      </c>
      <c r="D4179" s="115">
        <v>0</v>
      </c>
      <c r="E4179" s="115" t="s">
        <v>829</v>
      </c>
      <c r="F4179" s="115" t="s">
        <v>829</v>
      </c>
      <c r="G4179" s="115" t="s">
        <v>829</v>
      </c>
      <c r="H4179" s="115" t="s">
        <v>11117</v>
      </c>
    </row>
    <row r="4180" spans="1:8" x14ac:dyDescent="0.25">
      <c r="A4180" s="115">
        <v>389</v>
      </c>
      <c r="B4180" s="115" t="s">
        <v>9221</v>
      </c>
      <c r="C4180" s="115" t="s">
        <v>11118</v>
      </c>
      <c r="D4180" s="115">
        <v>0</v>
      </c>
      <c r="E4180" s="115" t="s">
        <v>7717</v>
      </c>
      <c r="F4180" s="115" t="s">
        <v>7717</v>
      </c>
      <c r="G4180" s="115" t="s">
        <v>7717</v>
      </c>
      <c r="H4180" s="115" t="s">
        <v>11119</v>
      </c>
    </row>
    <row r="4181" spans="1:8" x14ac:dyDescent="0.25">
      <c r="A4181" s="115">
        <v>388</v>
      </c>
      <c r="B4181" s="115" t="s">
        <v>9221</v>
      </c>
      <c r="C4181" s="115" t="s">
        <v>11120</v>
      </c>
      <c r="D4181" s="115">
        <v>0</v>
      </c>
      <c r="E4181" s="115" t="s">
        <v>7719</v>
      </c>
      <c r="F4181" s="115" t="s">
        <v>11121</v>
      </c>
      <c r="G4181" s="115" t="s">
        <v>11122</v>
      </c>
      <c r="H4181" s="115" t="s">
        <v>11123</v>
      </c>
    </row>
    <row r="4182" spans="1:8" x14ac:dyDescent="0.25">
      <c r="A4182" s="115">
        <v>387</v>
      </c>
      <c r="B4182" s="115" t="s">
        <v>9221</v>
      </c>
      <c r="C4182" s="115" t="s">
        <v>11124</v>
      </c>
      <c r="D4182" s="115">
        <v>0</v>
      </c>
      <c r="E4182" s="115" t="s">
        <v>7722</v>
      </c>
      <c r="F4182" s="115" t="s">
        <v>7723</v>
      </c>
      <c r="G4182" s="115" t="s">
        <v>11125</v>
      </c>
      <c r="H4182" s="115" t="s">
        <v>11126</v>
      </c>
    </row>
    <row r="4183" spans="1:8" x14ac:dyDescent="0.25">
      <c r="A4183" s="115">
        <v>386</v>
      </c>
      <c r="B4183" s="115" t="s">
        <v>9221</v>
      </c>
      <c r="C4183" s="115" t="s">
        <v>11127</v>
      </c>
      <c r="D4183" s="115">
        <v>0</v>
      </c>
      <c r="E4183" s="115" t="s">
        <v>11128</v>
      </c>
      <c r="F4183" s="115" t="s">
        <v>7726</v>
      </c>
      <c r="G4183" s="115" t="s">
        <v>11129</v>
      </c>
      <c r="H4183" s="115" t="s">
        <v>11130</v>
      </c>
    </row>
    <row r="4184" spans="1:8" x14ac:dyDescent="0.25">
      <c r="A4184" s="115">
        <v>385</v>
      </c>
      <c r="B4184" s="115" t="s">
        <v>9221</v>
      </c>
      <c r="C4184" s="115" t="s">
        <v>11131</v>
      </c>
      <c r="D4184" s="115">
        <v>0</v>
      </c>
      <c r="E4184" s="115" t="s">
        <v>7728</v>
      </c>
      <c r="F4184" s="115" t="s">
        <v>7728</v>
      </c>
      <c r="G4184" s="115" t="s">
        <v>11132</v>
      </c>
      <c r="H4184" s="115" t="s">
        <v>11133</v>
      </c>
    </row>
    <row r="4185" spans="1:8" x14ac:dyDescent="0.25">
      <c r="A4185" s="115">
        <v>384</v>
      </c>
      <c r="B4185" s="115" t="s">
        <v>9221</v>
      </c>
      <c r="C4185" s="115" t="s">
        <v>11134</v>
      </c>
      <c r="D4185" s="115">
        <v>0</v>
      </c>
      <c r="E4185" s="115" t="s">
        <v>7730</v>
      </c>
      <c r="F4185" s="115" t="s">
        <v>11135</v>
      </c>
      <c r="G4185" s="115" t="s">
        <v>11136</v>
      </c>
      <c r="H4185" s="115" t="s">
        <v>11137</v>
      </c>
    </row>
    <row r="4186" spans="1:8" x14ac:dyDescent="0.25">
      <c r="A4186" s="115">
        <v>383</v>
      </c>
      <c r="B4186" s="115" t="s">
        <v>9221</v>
      </c>
      <c r="C4186" s="115" t="s">
        <v>11138</v>
      </c>
      <c r="D4186" s="115">
        <v>0</v>
      </c>
      <c r="E4186" s="115" t="s">
        <v>7732</v>
      </c>
      <c r="F4186" s="115" t="s">
        <v>7733</v>
      </c>
      <c r="G4186" s="115" t="s">
        <v>7732</v>
      </c>
      <c r="H4186" s="115" t="s">
        <v>11139</v>
      </c>
    </row>
    <row r="4187" spans="1:8" x14ac:dyDescent="0.25">
      <c r="A4187" s="115">
        <v>382</v>
      </c>
      <c r="B4187" s="115" t="s">
        <v>9221</v>
      </c>
      <c r="C4187" s="115" t="s">
        <v>11140</v>
      </c>
      <c r="D4187" s="115">
        <v>0</v>
      </c>
      <c r="E4187" s="115" t="s">
        <v>7735</v>
      </c>
      <c r="F4187" s="115" t="s">
        <v>7736</v>
      </c>
      <c r="G4187" s="115" t="s">
        <v>11141</v>
      </c>
      <c r="H4187" s="115" t="s">
        <v>11142</v>
      </c>
    </row>
    <row r="4188" spans="1:8" x14ac:dyDescent="0.25">
      <c r="A4188" s="115">
        <v>381</v>
      </c>
      <c r="B4188" s="115" t="s">
        <v>9221</v>
      </c>
      <c r="C4188" s="115" t="s">
        <v>11143</v>
      </c>
      <c r="D4188" s="115">
        <v>0</v>
      </c>
      <c r="E4188" s="115" t="s">
        <v>11144</v>
      </c>
      <c r="F4188" s="115" t="s">
        <v>7739</v>
      </c>
      <c r="G4188" s="115" t="s">
        <v>11145</v>
      </c>
      <c r="H4188" s="115" t="s">
        <v>11146</v>
      </c>
    </row>
    <row r="4189" spans="1:8" x14ac:dyDescent="0.25">
      <c r="A4189" s="115">
        <v>380</v>
      </c>
      <c r="B4189" s="115" t="s">
        <v>9221</v>
      </c>
      <c r="C4189" s="115" t="s">
        <v>11147</v>
      </c>
      <c r="D4189" s="115">
        <v>0</v>
      </c>
      <c r="E4189" s="115" t="s">
        <v>7741</v>
      </c>
      <c r="F4189" s="115" t="s">
        <v>7742</v>
      </c>
      <c r="G4189" s="115" t="s">
        <v>11148</v>
      </c>
      <c r="H4189" s="115" t="s">
        <v>11149</v>
      </c>
    </row>
    <row r="4190" spans="1:8" x14ac:dyDescent="0.25">
      <c r="A4190" s="115">
        <v>379</v>
      </c>
      <c r="B4190" s="115" t="s">
        <v>9221</v>
      </c>
      <c r="C4190" s="115" t="s">
        <v>11150</v>
      </c>
      <c r="D4190" s="115">
        <v>0</v>
      </c>
      <c r="E4190" s="115" t="s">
        <v>7744</v>
      </c>
      <c r="F4190" s="115" t="s">
        <v>11151</v>
      </c>
      <c r="G4190" s="115" t="s">
        <v>11152</v>
      </c>
      <c r="H4190" s="115" t="s">
        <v>11153</v>
      </c>
    </row>
    <row r="4191" spans="1:8" x14ac:dyDescent="0.25">
      <c r="A4191" s="115">
        <v>378</v>
      </c>
      <c r="B4191" s="115" t="s">
        <v>9221</v>
      </c>
      <c r="C4191" s="115" t="s">
        <v>11154</v>
      </c>
      <c r="D4191" s="115">
        <v>0</v>
      </c>
      <c r="E4191" s="115" t="s">
        <v>7747</v>
      </c>
      <c r="F4191" s="115" t="s">
        <v>7747</v>
      </c>
      <c r="G4191" s="115" t="s">
        <v>7747</v>
      </c>
      <c r="H4191" s="115" t="s">
        <v>11155</v>
      </c>
    </row>
    <row r="4192" spans="1:8" x14ac:dyDescent="0.25">
      <c r="A4192" s="115">
        <v>377</v>
      </c>
      <c r="B4192" s="115" t="s">
        <v>9221</v>
      </c>
      <c r="C4192" s="115" t="s">
        <v>11156</v>
      </c>
      <c r="D4192" s="115">
        <v>0</v>
      </c>
      <c r="E4192" s="115" t="s">
        <v>7749</v>
      </c>
      <c r="F4192" s="115" t="s">
        <v>11157</v>
      </c>
      <c r="G4192" s="115" t="s">
        <v>11158</v>
      </c>
      <c r="H4192" s="115" t="s">
        <v>11159</v>
      </c>
    </row>
    <row r="4193" spans="1:8" x14ac:dyDescent="0.25">
      <c r="A4193" s="115">
        <v>376</v>
      </c>
      <c r="B4193" s="115" t="s">
        <v>9221</v>
      </c>
      <c r="C4193" s="115" t="s">
        <v>11160</v>
      </c>
      <c r="D4193" s="115">
        <v>0</v>
      </c>
      <c r="E4193" s="115" t="s">
        <v>7751</v>
      </c>
      <c r="F4193" s="115" t="s">
        <v>7752</v>
      </c>
      <c r="G4193" s="115" t="s">
        <v>11161</v>
      </c>
      <c r="H4193" s="115" t="s">
        <v>11162</v>
      </c>
    </row>
    <row r="4194" spans="1:8" x14ac:dyDescent="0.25">
      <c r="A4194" s="115">
        <v>375</v>
      </c>
      <c r="B4194" s="115" t="s">
        <v>9221</v>
      </c>
      <c r="C4194" s="115" t="s">
        <v>11163</v>
      </c>
      <c r="D4194" s="115">
        <v>0</v>
      </c>
      <c r="E4194" s="115" t="s">
        <v>855</v>
      </c>
      <c r="F4194" s="115" t="s">
        <v>855</v>
      </c>
      <c r="G4194" s="115" t="s">
        <v>855</v>
      </c>
      <c r="H4194" s="115" t="s">
        <v>856</v>
      </c>
    </row>
    <row r="4195" spans="1:8" x14ac:dyDescent="0.25">
      <c r="A4195" s="115">
        <v>374</v>
      </c>
      <c r="B4195" s="115" t="s">
        <v>9221</v>
      </c>
      <c r="C4195" s="115" t="s">
        <v>11164</v>
      </c>
      <c r="D4195" s="115">
        <v>0</v>
      </c>
      <c r="E4195" s="115" t="s">
        <v>7755</v>
      </c>
      <c r="F4195" s="115" t="s">
        <v>7756</v>
      </c>
      <c r="G4195" s="115" t="s">
        <v>11165</v>
      </c>
      <c r="H4195" s="115" t="s">
        <v>11166</v>
      </c>
    </row>
    <row r="4196" spans="1:8" x14ac:dyDescent="0.25">
      <c r="A4196" s="115">
        <v>373</v>
      </c>
      <c r="B4196" s="115" t="s">
        <v>9221</v>
      </c>
      <c r="C4196" s="115" t="s">
        <v>11167</v>
      </c>
      <c r="D4196" s="115">
        <v>0</v>
      </c>
      <c r="E4196" s="115" t="s">
        <v>7758</v>
      </c>
      <c r="F4196" s="115" t="s">
        <v>11168</v>
      </c>
      <c r="G4196" s="115" t="s">
        <v>11169</v>
      </c>
      <c r="H4196" s="115" t="s">
        <v>11170</v>
      </c>
    </row>
    <row r="4197" spans="1:8" x14ac:dyDescent="0.25">
      <c r="A4197" s="115">
        <v>372</v>
      </c>
      <c r="B4197" s="115" t="s">
        <v>9221</v>
      </c>
      <c r="C4197" s="115" t="s">
        <v>11171</v>
      </c>
      <c r="D4197" s="115">
        <v>0</v>
      </c>
      <c r="E4197" s="115" t="s">
        <v>4589</v>
      </c>
      <c r="F4197" s="115" t="s">
        <v>4590</v>
      </c>
      <c r="G4197" s="115" t="s">
        <v>4589</v>
      </c>
      <c r="H4197" s="115" t="s">
        <v>11172</v>
      </c>
    </row>
    <row r="4198" spans="1:8" x14ac:dyDescent="0.25">
      <c r="A4198" s="115">
        <v>371</v>
      </c>
      <c r="B4198" s="115" t="s">
        <v>9221</v>
      </c>
      <c r="C4198" s="115" t="s">
        <v>11173</v>
      </c>
      <c r="D4198" s="115">
        <v>0</v>
      </c>
      <c r="E4198" s="115" t="s">
        <v>7762</v>
      </c>
      <c r="F4198" s="115" t="s">
        <v>7762</v>
      </c>
      <c r="G4198" s="115" t="s">
        <v>7762</v>
      </c>
      <c r="H4198" s="115" t="s">
        <v>11174</v>
      </c>
    </row>
    <row r="4199" spans="1:8" x14ac:dyDescent="0.25">
      <c r="A4199" s="115">
        <v>370</v>
      </c>
      <c r="B4199" s="115" t="s">
        <v>9221</v>
      </c>
      <c r="C4199" s="115" t="s">
        <v>11175</v>
      </c>
      <c r="D4199" s="115">
        <v>0</v>
      </c>
      <c r="E4199" s="115" t="s">
        <v>7764</v>
      </c>
      <c r="F4199" s="115" t="s">
        <v>7765</v>
      </c>
      <c r="G4199" s="115" t="s">
        <v>11176</v>
      </c>
      <c r="H4199" s="115" t="s">
        <v>11177</v>
      </c>
    </row>
    <row r="4200" spans="1:8" x14ac:dyDescent="0.25">
      <c r="A4200" s="115">
        <v>369</v>
      </c>
      <c r="B4200" s="115" t="s">
        <v>9221</v>
      </c>
      <c r="C4200" s="115" t="s">
        <v>11178</v>
      </c>
      <c r="D4200" s="115">
        <v>0</v>
      </c>
      <c r="E4200" s="115" t="s">
        <v>7767</v>
      </c>
      <c r="F4200" s="115" t="s">
        <v>7768</v>
      </c>
      <c r="G4200" s="115" t="s">
        <v>11179</v>
      </c>
      <c r="H4200" s="115" t="s">
        <v>11180</v>
      </c>
    </row>
    <row r="4201" spans="1:8" x14ac:dyDescent="0.25">
      <c r="A4201" s="115">
        <v>368</v>
      </c>
      <c r="B4201" s="115" t="s">
        <v>9221</v>
      </c>
      <c r="C4201" s="115" t="s">
        <v>11181</v>
      </c>
      <c r="D4201" s="115">
        <v>0</v>
      </c>
      <c r="E4201" s="115" t="s">
        <v>7770</v>
      </c>
      <c r="F4201" s="115" t="s">
        <v>7771</v>
      </c>
      <c r="G4201" s="115" t="s">
        <v>11182</v>
      </c>
      <c r="H4201" s="115" t="s">
        <v>11183</v>
      </c>
    </row>
    <row r="4202" spans="1:8" x14ac:dyDescent="0.25">
      <c r="A4202" s="115">
        <v>367</v>
      </c>
      <c r="B4202" s="115" t="s">
        <v>9221</v>
      </c>
      <c r="C4202" s="115" t="s">
        <v>11184</v>
      </c>
      <c r="D4202" s="115">
        <v>0</v>
      </c>
      <c r="E4202" s="115" t="s">
        <v>3213</v>
      </c>
      <c r="F4202" s="115" t="s">
        <v>3214</v>
      </c>
      <c r="G4202" s="115" t="s">
        <v>3213</v>
      </c>
      <c r="H4202" s="115" t="s">
        <v>3215</v>
      </c>
    </row>
    <row r="4203" spans="1:8" ht="30" x14ac:dyDescent="0.25">
      <c r="A4203" s="115">
        <v>366</v>
      </c>
      <c r="B4203" s="115" t="s">
        <v>9221</v>
      </c>
      <c r="C4203" s="115" t="s">
        <v>11185</v>
      </c>
      <c r="D4203" s="115">
        <v>0</v>
      </c>
      <c r="E4203" s="115" t="s">
        <v>7774</v>
      </c>
      <c r="F4203" s="115" t="s">
        <v>11186</v>
      </c>
      <c r="G4203" s="115" t="s">
        <v>11187</v>
      </c>
      <c r="H4203" s="115" t="s">
        <v>11188</v>
      </c>
    </row>
    <row r="4204" spans="1:8" x14ac:dyDescent="0.25">
      <c r="A4204" s="115">
        <v>365</v>
      </c>
      <c r="B4204" s="115" t="s">
        <v>9221</v>
      </c>
      <c r="C4204" s="115" t="s">
        <v>1618</v>
      </c>
      <c r="D4204" s="115">
        <v>0</v>
      </c>
      <c r="E4204" s="115" t="s">
        <v>7777</v>
      </c>
      <c r="F4204" s="115" t="s">
        <v>7778</v>
      </c>
      <c r="G4204" s="115" t="s">
        <v>7777</v>
      </c>
      <c r="H4204" s="115" t="s">
        <v>11189</v>
      </c>
    </row>
    <row r="4205" spans="1:8" x14ac:dyDescent="0.25">
      <c r="A4205" s="115">
        <v>364</v>
      </c>
      <c r="B4205" s="115" t="s">
        <v>9221</v>
      </c>
      <c r="C4205" s="115" t="s">
        <v>11190</v>
      </c>
      <c r="D4205" s="115">
        <v>0</v>
      </c>
      <c r="E4205" s="115" t="s">
        <v>7780</v>
      </c>
      <c r="F4205" s="115" t="s">
        <v>7781</v>
      </c>
      <c r="G4205" s="115" t="s">
        <v>11191</v>
      </c>
      <c r="H4205" s="115" t="s">
        <v>11192</v>
      </c>
    </row>
    <row r="4206" spans="1:8" x14ac:dyDescent="0.25">
      <c r="A4206" s="115">
        <v>363</v>
      </c>
      <c r="B4206" s="115" t="s">
        <v>9221</v>
      </c>
      <c r="C4206" s="115" t="s">
        <v>11193</v>
      </c>
      <c r="D4206" s="115">
        <v>0</v>
      </c>
      <c r="E4206" s="115" t="s">
        <v>7783</v>
      </c>
      <c r="F4206" s="115" t="s">
        <v>7784</v>
      </c>
      <c r="G4206" s="115" t="s">
        <v>7783</v>
      </c>
      <c r="H4206" s="115" t="s">
        <v>11194</v>
      </c>
    </row>
    <row r="4207" spans="1:8" x14ac:dyDescent="0.25">
      <c r="A4207" s="115">
        <v>362</v>
      </c>
      <c r="B4207" s="115" t="s">
        <v>9221</v>
      </c>
      <c r="C4207" s="115" t="s">
        <v>11195</v>
      </c>
      <c r="D4207" s="115">
        <v>0</v>
      </c>
      <c r="E4207" s="115" t="s">
        <v>7786</v>
      </c>
      <c r="F4207" s="115" t="s">
        <v>11196</v>
      </c>
      <c r="G4207" s="115" t="s">
        <v>11197</v>
      </c>
      <c r="H4207" s="115" t="s">
        <v>11198</v>
      </c>
    </row>
    <row r="4208" spans="1:8" x14ac:dyDescent="0.25">
      <c r="A4208" s="115">
        <v>361</v>
      </c>
      <c r="B4208" s="115" t="s">
        <v>9221</v>
      </c>
      <c r="C4208" s="115" t="s">
        <v>11199</v>
      </c>
      <c r="D4208" s="115">
        <v>0</v>
      </c>
      <c r="E4208" s="115" t="s">
        <v>4570</v>
      </c>
      <c r="F4208" s="115" t="s">
        <v>4571</v>
      </c>
      <c r="G4208" s="115" t="s">
        <v>4570</v>
      </c>
      <c r="H4208" s="115" t="s">
        <v>11200</v>
      </c>
    </row>
    <row r="4209" spans="1:8" x14ac:dyDescent="0.25">
      <c r="A4209" s="115">
        <v>360</v>
      </c>
      <c r="B4209" s="115" t="s">
        <v>9221</v>
      </c>
      <c r="C4209" s="115" t="s">
        <v>11201</v>
      </c>
      <c r="D4209" s="115">
        <v>0</v>
      </c>
      <c r="E4209" s="115" t="s">
        <v>7790</v>
      </c>
      <c r="F4209" s="115" t="s">
        <v>7791</v>
      </c>
      <c r="G4209" s="115" t="s">
        <v>11202</v>
      </c>
      <c r="H4209" s="115" t="s">
        <v>11203</v>
      </c>
    </row>
    <row r="4210" spans="1:8" x14ac:dyDescent="0.25">
      <c r="A4210" s="115">
        <v>359</v>
      </c>
      <c r="B4210" s="115" t="s">
        <v>9221</v>
      </c>
      <c r="C4210" s="115" t="s">
        <v>11204</v>
      </c>
      <c r="D4210" s="115">
        <v>0</v>
      </c>
      <c r="E4210" s="115" t="s">
        <v>937</v>
      </c>
      <c r="F4210" s="115" t="s">
        <v>938</v>
      </c>
      <c r="G4210" s="115" t="s">
        <v>3492</v>
      </c>
      <c r="H4210" s="115" t="s">
        <v>939</v>
      </c>
    </row>
    <row r="4211" spans="1:8" x14ac:dyDescent="0.25">
      <c r="A4211" s="115">
        <v>358</v>
      </c>
      <c r="B4211" s="115" t="s">
        <v>9221</v>
      </c>
      <c r="C4211" s="115" t="s">
        <v>11205</v>
      </c>
      <c r="D4211" s="115">
        <v>0</v>
      </c>
      <c r="E4211" s="115" t="s">
        <v>7794</v>
      </c>
      <c r="F4211" s="115" t="s">
        <v>7795</v>
      </c>
      <c r="G4211" s="115" t="s">
        <v>11206</v>
      </c>
      <c r="H4211" s="115" t="s">
        <v>11207</v>
      </c>
    </row>
    <row r="4212" spans="1:8" x14ac:dyDescent="0.25">
      <c r="A4212" s="115">
        <v>357</v>
      </c>
      <c r="B4212" s="115" t="s">
        <v>9221</v>
      </c>
      <c r="C4212" s="115" t="s">
        <v>11208</v>
      </c>
      <c r="D4212" s="115">
        <v>0</v>
      </c>
      <c r="E4212" s="115" t="s">
        <v>7797</v>
      </c>
      <c r="F4212" s="115" t="s">
        <v>7797</v>
      </c>
      <c r="G4212" s="115" t="s">
        <v>7797</v>
      </c>
      <c r="H4212" s="115" t="s">
        <v>11209</v>
      </c>
    </row>
    <row r="4213" spans="1:8" x14ac:dyDescent="0.25">
      <c r="A4213" s="115">
        <v>356</v>
      </c>
      <c r="B4213" s="115" t="s">
        <v>9221</v>
      </c>
      <c r="C4213" s="115" t="s">
        <v>11210</v>
      </c>
      <c r="D4213" s="115">
        <v>0</v>
      </c>
      <c r="E4213" s="115" t="s">
        <v>7799</v>
      </c>
      <c r="F4213" s="115" t="s">
        <v>7800</v>
      </c>
      <c r="G4213" s="115" t="s">
        <v>11211</v>
      </c>
      <c r="H4213" s="115" t="s">
        <v>11212</v>
      </c>
    </row>
    <row r="4214" spans="1:8" x14ac:dyDescent="0.25">
      <c r="A4214" s="115">
        <v>355</v>
      </c>
      <c r="B4214" s="115" t="s">
        <v>9221</v>
      </c>
      <c r="C4214" s="115" t="s">
        <v>11213</v>
      </c>
      <c r="D4214" s="115">
        <v>0</v>
      </c>
      <c r="E4214" s="115" t="s">
        <v>7802</v>
      </c>
      <c r="F4214" s="115" t="s">
        <v>7802</v>
      </c>
      <c r="G4214" s="115" t="s">
        <v>7802</v>
      </c>
      <c r="H4214" s="115" t="s">
        <v>11214</v>
      </c>
    </row>
    <row r="4215" spans="1:8" x14ac:dyDescent="0.25">
      <c r="A4215" s="115">
        <v>354</v>
      </c>
      <c r="B4215" s="115" t="s">
        <v>9221</v>
      </c>
      <c r="C4215" s="115" t="s">
        <v>11215</v>
      </c>
      <c r="D4215" s="115">
        <v>0</v>
      </c>
      <c r="E4215" s="115" t="s">
        <v>7804</v>
      </c>
      <c r="F4215" s="115" t="s">
        <v>7804</v>
      </c>
      <c r="G4215" s="115" t="s">
        <v>7804</v>
      </c>
      <c r="H4215" s="115" t="s">
        <v>11216</v>
      </c>
    </row>
    <row r="4216" spans="1:8" x14ac:dyDescent="0.25">
      <c r="A4216" s="115">
        <v>353</v>
      </c>
      <c r="B4216" s="115" t="s">
        <v>9221</v>
      </c>
      <c r="C4216" s="115" t="s">
        <v>11217</v>
      </c>
      <c r="D4216" s="115">
        <v>0</v>
      </c>
      <c r="E4216" s="115" t="s">
        <v>7806</v>
      </c>
      <c r="F4216" s="115" t="s">
        <v>7807</v>
      </c>
      <c r="G4216" s="115" t="s">
        <v>11218</v>
      </c>
      <c r="H4216" s="115" t="s">
        <v>11219</v>
      </c>
    </row>
    <row r="4217" spans="1:8" x14ac:dyDescent="0.25">
      <c r="A4217" s="115">
        <v>352</v>
      </c>
      <c r="B4217" s="115" t="s">
        <v>9221</v>
      </c>
      <c r="C4217" s="115" t="s">
        <v>11220</v>
      </c>
      <c r="D4217" s="115">
        <v>0</v>
      </c>
      <c r="E4217" s="115" t="s">
        <v>7809</v>
      </c>
      <c r="F4217" s="115" t="s">
        <v>7809</v>
      </c>
      <c r="G4217" s="115" t="s">
        <v>7809</v>
      </c>
      <c r="H4217" s="115" t="s">
        <v>11221</v>
      </c>
    </row>
    <row r="4218" spans="1:8" x14ac:dyDescent="0.25">
      <c r="A4218" s="115">
        <v>351</v>
      </c>
      <c r="B4218" s="115" t="s">
        <v>9221</v>
      </c>
      <c r="C4218" s="115" t="s">
        <v>11222</v>
      </c>
      <c r="D4218" s="115">
        <v>0</v>
      </c>
      <c r="E4218" s="115" t="s">
        <v>7811</v>
      </c>
      <c r="F4218" s="115" t="s">
        <v>7811</v>
      </c>
      <c r="G4218" s="115" t="s">
        <v>7811</v>
      </c>
      <c r="H4218" s="115" t="s">
        <v>11223</v>
      </c>
    </row>
    <row r="4219" spans="1:8" ht="30" x14ac:dyDescent="0.25">
      <c r="A4219" s="115">
        <v>350</v>
      </c>
      <c r="B4219" s="115" t="s">
        <v>9221</v>
      </c>
      <c r="C4219" s="115" t="s">
        <v>11224</v>
      </c>
      <c r="D4219" s="115">
        <v>0</v>
      </c>
      <c r="E4219" s="115" t="s">
        <v>7813</v>
      </c>
      <c r="F4219" s="115" t="s">
        <v>7814</v>
      </c>
      <c r="G4219" s="115" t="s">
        <v>11225</v>
      </c>
      <c r="H4219" s="115" t="s">
        <v>11226</v>
      </c>
    </row>
    <row r="4220" spans="1:8" x14ac:dyDescent="0.25">
      <c r="A4220" s="115">
        <v>349</v>
      </c>
      <c r="B4220" s="115" t="s">
        <v>9221</v>
      </c>
      <c r="C4220" s="115" t="s">
        <v>11227</v>
      </c>
      <c r="D4220" s="115">
        <v>0</v>
      </c>
      <c r="E4220" s="115" t="s">
        <v>7816</v>
      </c>
      <c r="F4220" s="115" t="s">
        <v>7817</v>
      </c>
      <c r="G4220" s="115" t="s">
        <v>11228</v>
      </c>
      <c r="H4220" s="115" t="s">
        <v>11229</v>
      </c>
    </row>
    <row r="4221" spans="1:8" x14ac:dyDescent="0.25">
      <c r="A4221" s="115">
        <v>348</v>
      </c>
      <c r="B4221" s="115" t="s">
        <v>9221</v>
      </c>
      <c r="C4221" s="115" t="s">
        <v>11230</v>
      </c>
      <c r="D4221" s="115">
        <v>0</v>
      </c>
      <c r="E4221" s="115" t="s">
        <v>7819</v>
      </c>
      <c r="F4221" s="115" t="s">
        <v>7820</v>
      </c>
      <c r="G4221" s="115" t="s">
        <v>11231</v>
      </c>
      <c r="H4221" s="115" t="s">
        <v>11232</v>
      </c>
    </row>
    <row r="4222" spans="1:8" x14ac:dyDescent="0.25">
      <c r="A4222" s="115">
        <v>347</v>
      </c>
      <c r="B4222" s="115" t="s">
        <v>9221</v>
      </c>
      <c r="C4222" s="115" t="s">
        <v>11233</v>
      </c>
      <c r="D4222" s="115">
        <v>0</v>
      </c>
      <c r="E4222" s="115" t="s">
        <v>7822</v>
      </c>
      <c r="F4222" s="115" t="s">
        <v>7822</v>
      </c>
      <c r="G4222" s="115" t="s">
        <v>7822</v>
      </c>
      <c r="H4222" s="115" t="s">
        <v>11234</v>
      </c>
    </row>
    <row r="4223" spans="1:8" x14ac:dyDescent="0.25">
      <c r="A4223" s="115">
        <v>346</v>
      </c>
      <c r="B4223" s="115" t="s">
        <v>9221</v>
      </c>
      <c r="C4223" s="115" t="s">
        <v>11235</v>
      </c>
      <c r="D4223" s="115">
        <v>0</v>
      </c>
      <c r="E4223" s="115" t="s">
        <v>7824</v>
      </c>
      <c r="F4223" s="115" t="s">
        <v>7825</v>
      </c>
      <c r="G4223" s="115" t="s">
        <v>7824</v>
      </c>
      <c r="H4223" s="115" t="s">
        <v>11236</v>
      </c>
    </row>
    <row r="4224" spans="1:8" x14ac:dyDescent="0.25">
      <c r="A4224" s="115">
        <v>345</v>
      </c>
      <c r="B4224" s="115" t="s">
        <v>9221</v>
      </c>
      <c r="C4224" s="115" t="s">
        <v>11237</v>
      </c>
      <c r="D4224" s="115">
        <v>0</v>
      </c>
      <c r="E4224" s="115" t="s">
        <v>7827</v>
      </c>
      <c r="F4224" s="115" t="s">
        <v>7828</v>
      </c>
      <c r="G4224" s="115" t="s">
        <v>11238</v>
      </c>
      <c r="H4224" s="115" t="s">
        <v>11239</v>
      </c>
    </row>
    <row r="4225" spans="1:8" x14ac:dyDescent="0.25">
      <c r="A4225" s="115">
        <v>344</v>
      </c>
      <c r="B4225" s="115" t="s">
        <v>9221</v>
      </c>
      <c r="C4225" s="115" t="s">
        <v>11240</v>
      </c>
      <c r="D4225" s="115">
        <v>0</v>
      </c>
      <c r="E4225" s="115" t="s">
        <v>7830</v>
      </c>
      <c r="F4225" s="115" t="s">
        <v>7831</v>
      </c>
      <c r="G4225" s="115" t="s">
        <v>11241</v>
      </c>
      <c r="H4225" s="115" t="s">
        <v>11242</v>
      </c>
    </row>
    <row r="4226" spans="1:8" x14ac:dyDescent="0.25">
      <c r="A4226" s="115">
        <v>343</v>
      </c>
      <c r="B4226" s="115" t="s">
        <v>9221</v>
      </c>
      <c r="C4226" s="115" t="s">
        <v>11243</v>
      </c>
      <c r="D4226" s="115">
        <v>0</v>
      </c>
      <c r="E4226" s="115" t="s">
        <v>7833</v>
      </c>
      <c r="F4226" s="115" t="s">
        <v>7833</v>
      </c>
      <c r="G4226" s="115" t="s">
        <v>7833</v>
      </c>
      <c r="H4226" s="115" t="s">
        <v>11244</v>
      </c>
    </row>
    <row r="4227" spans="1:8" x14ac:dyDescent="0.25">
      <c r="A4227" s="115">
        <v>342</v>
      </c>
      <c r="B4227" s="115" t="s">
        <v>9221</v>
      </c>
      <c r="C4227" s="115" t="s">
        <v>11245</v>
      </c>
      <c r="D4227" s="115">
        <v>0</v>
      </c>
      <c r="E4227" s="115" t="s">
        <v>7835</v>
      </c>
      <c r="F4227" s="115" t="s">
        <v>7835</v>
      </c>
      <c r="G4227" s="115" t="s">
        <v>7835</v>
      </c>
      <c r="H4227" s="115" t="s">
        <v>11246</v>
      </c>
    </row>
    <row r="4228" spans="1:8" x14ac:dyDescent="0.25">
      <c r="A4228" s="115">
        <v>341</v>
      </c>
      <c r="B4228" s="115" t="s">
        <v>9221</v>
      </c>
      <c r="C4228" s="115" t="s">
        <v>11247</v>
      </c>
      <c r="D4228" s="115">
        <v>0</v>
      </c>
      <c r="E4228" s="115" t="s">
        <v>7837</v>
      </c>
      <c r="F4228" s="115" t="s">
        <v>7838</v>
      </c>
      <c r="G4228" s="115" t="s">
        <v>7837</v>
      </c>
      <c r="H4228" s="115" t="s">
        <v>11248</v>
      </c>
    </row>
    <row r="4229" spans="1:8" x14ac:dyDescent="0.25">
      <c r="A4229" s="115">
        <v>340</v>
      </c>
      <c r="B4229" s="115" t="s">
        <v>9221</v>
      </c>
      <c r="C4229" s="115" t="s">
        <v>11249</v>
      </c>
      <c r="D4229" s="115">
        <v>0</v>
      </c>
      <c r="E4229" s="115" t="s">
        <v>7840</v>
      </c>
      <c r="F4229" s="115" t="s">
        <v>7841</v>
      </c>
      <c r="G4229" s="115" t="s">
        <v>11250</v>
      </c>
      <c r="H4229" s="115" t="s">
        <v>11251</v>
      </c>
    </row>
    <row r="4230" spans="1:8" x14ac:dyDescent="0.25">
      <c r="A4230" s="115">
        <v>339</v>
      </c>
      <c r="B4230" s="115" t="s">
        <v>9221</v>
      </c>
      <c r="C4230" s="115" t="s">
        <v>11252</v>
      </c>
      <c r="D4230" s="115">
        <v>0</v>
      </c>
      <c r="E4230" s="115" t="s">
        <v>7843</v>
      </c>
      <c r="F4230" s="115" t="s">
        <v>11253</v>
      </c>
      <c r="G4230" s="115" t="s">
        <v>7843</v>
      </c>
      <c r="H4230" s="115" t="s">
        <v>11254</v>
      </c>
    </row>
    <row r="4231" spans="1:8" x14ac:dyDescent="0.25">
      <c r="A4231" s="115">
        <v>338</v>
      </c>
      <c r="B4231" s="115" t="s">
        <v>9221</v>
      </c>
      <c r="C4231" s="115" t="s">
        <v>11255</v>
      </c>
      <c r="D4231" s="115">
        <v>0</v>
      </c>
      <c r="E4231" s="115" t="s">
        <v>7846</v>
      </c>
      <c r="F4231" s="115" t="s">
        <v>11256</v>
      </c>
      <c r="G4231" s="115" t="s">
        <v>11257</v>
      </c>
      <c r="H4231" s="115" t="s">
        <v>11258</v>
      </c>
    </row>
    <row r="4232" spans="1:8" ht="30" x14ac:dyDescent="0.25">
      <c r="A4232" s="115">
        <v>337</v>
      </c>
      <c r="B4232" s="115" t="s">
        <v>9221</v>
      </c>
      <c r="C4232" s="115" t="s">
        <v>11259</v>
      </c>
      <c r="D4232" s="115">
        <v>0</v>
      </c>
      <c r="E4232" s="115" t="s">
        <v>7849</v>
      </c>
      <c r="F4232" s="115" t="s">
        <v>11260</v>
      </c>
      <c r="G4232" s="115" t="s">
        <v>11261</v>
      </c>
      <c r="H4232" s="115" t="s">
        <v>11262</v>
      </c>
    </row>
    <row r="4233" spans="1:8" x14ac:dyDescent="0.25">
      <c r="A4233" s="115">
        <v>336</v>
      </c>
      <c r="B4233" s="115" t="s">
        <v>9221</v>
      </c>
      <c r="C4233" s="115" t="s">
        <v>11263</v>
      </c>
      <c r="D4233" s="115">
        <v>0</v>
      </c>
      <c r="E4233" s="115" t="s">
        <v>7852</v>
      </c>
      <c r="F4233" s="115" t="s">
        <v>7852</v>
      </c>
      <c r="G4233" s="115" t="s">
        <v>11264</v>
      </c>
      <c r="H4233" s="115" t="s">
        <v>11265</v>
      </c>
    </row>
    <row r="4234" spans="1:8" x14ac:dyDescent="0.25">
      <c r="A4234" s="115">
        <v>335</v>
      </c>
      <c r="B4234" s="115" t="s">
        <v>9221</v>
      </c>
      <c r="C4234" s="115" t="s">
        <v>25</v>
      </c>
      <c r="D4234" s="115">
        <v>0</v>
      </c>
      <c r="E4234" s="115" t="s">
        <v>7854</v>
      </c>
      <c r="F4234" s="115" t="s">
        <v>7854</v>
      </c>
      <c r="G4234" s="115" t="s">
        <v>11266</v>
      </c>
      <c r="H4234" s="115" t="s">
        <v>11267</v>
      </c>
    </row>
    <row r="4235" spans="1:8" x14ac:dyDescent="0.25">
      <c r="A4235" s="115">
        <v>334</v>
      </c>
      <c r="B4235" s="115" t="s">
        <v>9221</v>
      </c>
      <c r="C4235" s="115" t="s">
        <v>11268</v>
      </c>
      <c r="D4235" s="115">
        <v>0</v>
      </c>
      <c r="E4235" s="115" t="s">
        <v>7856</v>
      </c>
      <c r="F4235" s="115" t="s">
        <v>7857</v>
      </c>
      <c r="G4235" s="115" t="s">
        <v>11269</v>
      </c>
      <c r="H4235" s="115" t="s">
        <v>11270</v>
      </c>
    </row>
    <row r="4236" spans="1:8" x14ac:dyDescent="0.25">
      <c r="A4236" s="115">
        <v>333</v>
      </c>
      <c r="B4236" s="115" t="s">
        <v>9221</v>
      </c>
      <c r="C4236" s="115" t="s">
        <v>11271</v>
      </c>
      <c r="D4236" s="115">
        <v>0</v>
      </c>
      <c r="E4236" s="115" t="s">
        <v>7859</v>
      </c>
      <c r="F4236" s="115" t="s">
        <v>7860</v>
      </c>
      <c r="G4236" s="115" t="s">
        <v>11272</v>
      </c>
      <c r="H4236" s="115" t="s">
        <v>11273</v>
      </c>
    </row>
    <row r="4237" spans="1:8" x14ac:dyDescent="0.25">
      <c r="A4237" s="115">
        <v>332</v>
      </c>
      <c r="B4237" s="115" t="s">
        <v>9221</v>
      </c>
      <c r="C4237" s="115" t="s">
        <v>11274</v>
      </c>
      <c r="D4237" s="115">
        <v>0</v>
      </c>
      <c r="E4237" s="115" t="s">
        <v>7862</v>
      </c>
      <c r="F4237" s="115" t="s">
        <v>7863</v>
      </c>
      <c r="G4237" s="115" t="s">
        <v>11275</v>
      </c>
      <c r="H4237" s="115" t="s">
        <v>11276</v>
      </c>
    </row>
    <row r="4238" spans="1:8" x14ac:dyDescent="0.25">
      <c r="A4238" s="115">
        <v>331</v>
      </c>
      <c r="B4238" s="115" t="s">
        <v>9221</v>
      </c>
      <c r="C4238" s="115" t="s">
        <v>11277</v>
      </c>
      <c r="D4238" s="115">
        <v>0</v>
      </c>
      <c r="E4238" s="115" t="s">
        <v>7865</v>
      </c>
      <c r="F4238" s="115" t="s">
        <v>7866</v>
      </c>
      <c r="G4238" s="115" t="s">
        <v>7865</v>
      </c>
      <c r="H4238" s="115" t="s">
        <v>11278</v>
      </c>
    </row>
    <row r="4239" spans="1:8" x14ac:dyDescent="0.25">
      <c r="A4239" s="115">
        <v>330</v>
      </c>
      <c r="B4239" s="115" t="s">
        <v>9221</v>
      </c>
      <c r="C4239" s="115" t="s">
        <v>11279</v>
      </c>
      <c r="D4239" s="115">
        <v>0</v>
      </c>
      <c r="E4239" s="115" t="s">
        <v>7868</v>
      </c>
      <c r="F4239" s="115" t="s">
        <v>7869</v>
      </c>
      <c r="G4239" s="115" t="s">
        <v>11280</v>
      </c>
      <c r="H4239" s="115" t="s">
        <v>11281</v>
      </c>
    </row>
    <row r="4240" spans="1:8" x14ac:dyDescent="0.25">
      <c r="A4240" s="115">
        <v>329</v>
      </c>
      <c r="B4240" s="115" t="s">
        <v>9221</v>
      </c>
      <c r="C4240" s="115" t="s">
        <v>11282</v>
      </c>
      <c r="D4240" s="115">
        <v>0</v>
      </c>
      <c r="E4240" s="115" t="s">
        <v>917</v>
      </c>
      <c r="F4240" s="115" t="s">
        <v>11283</v>
      </c>
      <c r="G4240" s="115" t="s">
        <v>3223</v>
      </c>
      <c r="H4240" s="115" t="s">
        <v>919</v>
      </c>
    </row>
    <row r="4241" spans="1:8" x14ac:dyDescent="0.25">
      <c r="A4241" s="115">
        <v>328</v>
      </c>
      <c r="B4241" s="115" t="s">
        <v>9221</v>
      </c>
      <c r="C4241" s="115" t="s">
        <v>26</v>
      </c>
      <c r="D4241" s="115">
        <v>0</v>
      </c>
      <c r="E4241" s="115" t="s">
        <v>2907</v>
      </c>
      <c r="F4241" s="115" t="s">
        <v>2908</v>
      </c>
      <c r="G4241" s="115" t="s">
        <v>11284</v>
      </c>
      <c r="H4241" s="115" t="s">
        <v>2909</v>
      </c>
    </row>
    <row r="4242" spans="1:8" x14ac:dyDescent="0.25">
      <c r="A4242" s="115">
        <v>327</v>
      </c>
      <c r="B4242" s="115" t="s">
        <v>9221</v>
      </c>
      <c r="C4242" s="115" t="s">
        <v>11285</v>
      </c>
      <c r="D4242" s="115">
        <v>0</v>
      </c>
      <c r="E4242" s="115" t="s">
        <v>7873</v>
      </c>
      <c r="F4242" s="115" t="s">
        <v>7874</v>
      </c>
      <c r="G4242" s="115" t="s">
        <v>7873</v>
      </c>
      <c r="H4242" s="115" t="s">
        <v>11286</v>
      </c>
    </row>
    <row r="4243" spans="1:8" ht="30" x14ac:dyDescent="0.25">
      <c r="A4243" s="115">
        <v>326</v>
      </c>
      <c r="B4243" s="115" t="s">
        <v>9221</v>
      </c>
      <c r="C4243" s="115" t="s">
        <v>11287</v>
      </c>
      <c r="D4243" s="115">
        <v>0</v>
      </c>
      <c r="E4243" s="115" t="s">
        <v>7876</v>
      </c>
      <c r="F4243" s="115" t="s">
        <v>7877</v>
      </c>
      <c r="G4243" s="115" t="s">
        <v>11288</v>
      </c>
      <c r="H4243" s="115" t="s">
        <v>11289</v>
      </c>
    </row>
    <row r="4244" spans="1:8" x14ac:dyDescent="0.25">
      <c r="A4244" s="115">
        <v>325</v>
      </c>
      <c r="B4244" s="115" t="s">
        <v>9221</v>
      </c>
      <c r="C4244" s="115" t="s">
        <v>11290</v>
      </c>
      <c r="D4244" s="115">
        <v>0</v>
      </c>
      <c r="E4244" s="115" t="s">
        <v>7879</v>
      </c>
      <c r="F4244" s="115" t="s">
        <v>11291</v>
      </c>
      <c r="G4244" s="115" t="s">
        <v>11292</v>
      </c>
      <c r="H4244" s="115" t="s">
        <v>11293</v>
      </c>
    </row>
    <row r="4245" spans="1:8" x14ac:dyDescent="0.25">
      <c r="A4245" s="115">
        <v>324</v>
      </c>
      <c r="B4245" s="115" t="s">
        <v>9221</v>
      </c>
      <c r="C4245" s="115" t="s">
        <v>11294</v>
      </c>
      <c r="D4245" s="115">
        <v>0</v>
      </c>
      <c r="E4245" s="115" t="s">
        <v>7881</v>
      </c>
      <c r="F4245" s="115" t="s">
        <v>7882</v>
      </c>
      <c r="G4245" s="115" t="s">
        <v>7881</v>
      </c>
      <c r="H4245" s="115" t="s">
        <v>11295</v>
      </c>
    </row>
    <row r="4246" spans="1:8" x14ac:dyDescent="0.25">
      <c r="A4246" s="115">
        <v>323</v>
      </c>
      <c r="B4246" s="115" t="s">
        <v>9221</v>
      </c>
      <c r="C4246" s="115" t="s">
        <v>11296</v>
      </c>
      <c r="D4246" s="115">
        <v>0</v>
      </c>
      <c r="E4246" s="115" t="s">
        <v>7884</v>
      </c>
      <c r="F4246" s="115" t="s">
        <v>11297</v>
      </c>
      <c r="G4246" s="115" t="s">
        <v>7884</v>
      </c>
      <c r="H4246" s="115" t="s">
        <v>11298</v>
      </c>
    </row>
    <row r="4247" spans="1:8" x14ac:dyDescent="0.25">
      <c r="A4247" s="115">
        <v>322</v>
      </c>
      <c r="B4247" s="115" t="s">
        <v>9221</v>
      </c>
      <c r="C4247" s="115" t="s">
        <v>11299</v>
      </c>
      <c r="D4247" s="115">
        <v>0</v>
      </c>
      <c r="E4247" s="115" t="s">
        <v>7887</v>
      </c>
      <c r="F4247" s="115" t="s">
        <v>7888</v>
      </c>
      <c r="G4247" s="115" t="s">
        <v>11300</v>
      </c>
      <c r="H4247" s="115" t="s">
        <v>11301</v>
      </c>
    </row>
    <row r="4248" spans="1:8" x14ac:dyDescent="0.25">
      <c r="A4248" s="115">
        <v>321</v>
      </c>
      <c r="B4248" s="115" t="s">
        <v>9221</v>
      </c>
      <c r="C4248" s="115" t="s">
        <v>11302</v>
      </c>
      <c r="D4248" s="115">
        <v>0</v>
      </c>
      <c r="E4248" s="115" t="s">
        <v>7890</v>
      </c>
      <c r="F4248" s="115" t="s">
        <v>7891</v>
      </c>
      <c r="G4248" s="115" t="s">
        <v>11303</v>
      </c>
      <c r="H4248" s="115" t="s">
        <v>11304</v>
      </c>
    </row>
    <row r="4249" spans="1:8" x14ac:dyDescent="0.25">
      <c r="A4249" s="115">
        <v>320</v>
      </c>
      <c r="B4249" s="115" t="s">
        <v>9221</v>
      </c>
      <c r="C4249" s="115" t="s">
        <v>11305</v>
      </c>
      <c r="D4249" s="115">
        <v>0</v>
      </c>
      <c r="E4249" s="115" t="s">
        <v>7893</v>
      </c>
      <c r="F4249" s="115" t="s">
        <v>7894</v>
      </c>
      <c r="G4249" s="115" t="s">
        <v>7893</v>
      </c>
      <c r="H4249" s="115" t="s">
        <v>11306</v>
      </c>
    </row>
    <row r="4250" spans="1:8" x14ac:dyDescent="0.25">
      <c r="A4250" s="115">
        <v>319</v>
      </c>
      <c r="B4250" s="115" t="s">
        <v>9221</v>
      </c>
      <c r="C4250" s="115" t="s">
        <v>11307</v>
      </c>
      <c r="D4250" s="115">
        <v>0</v>
      </c>
      <c r="E4250" s="115" t="s">
        <v>7896</v>
      </c>
      <c r="F4250" s="115" t="s">
        <v>7897</v>
      </c>
      <c r="G4250" s="115" t="s">
        <v>11308</v>
      </c>
      <c r="H4250" s="115" t="s">
        <v>11309</v>
      </c>
    </row>
    <row r="4251" spans="1:8" x14ac:dyDescent="0.25">
      <c r="A4251" s="115">
        <v>318</v>
      </c>
      <c r="B4251" s="115" t="s">
        <v>9221</v>
      </c>
      <c r="C4251" s="115" t="s">
        <v>11310</v>
      </c>
      <c r="D4251" s="115">
        <v>0</v>
      </c>
      <c r="E4251" s="115" t="s">
        <v>7899</v>
      </c>
      <c r="F4251" s="115" t="s">
        <v>7899</v>
      </c>
      <c r="G4251" s="115" t="s">
        <v>7899</v>
      </c>
      <c r="H4251" s="115" t="s">
        <v>11311</v>
      </c>
    </row>
    <row r="4252" spans="1:8" x14ac:dyDescent="0.25">
      <c r="A4252" s="115">
        <v>317</v>
      </c>
      <c r="B4252" s="115" t="s">
        <v>9221</v>
      </c>
      <c r="C4252" s="115" t="s">
        <v>11312</v>
      </c>
      <c r="D4252" s="115">
        <v>0</v>
      </c>
      <c r="E4252" s="115" t="s">
        <v>7901</v>
      </c>
      <c r="F4252" s="115" t="s">
        <v>7902</v>
      </c>
      <c r="G4252" s="115" t="s">
        <v>11313</v>
      </c>
      <c r="H4252" s="115" t="s">
        <v>11314</v>
      </c>
    </row>
    <row r="4253" spans="1:8" x14ac:dyDescent="0.25">
      <c r="A4253" s="115">
        <v>316</v>
      </c>
      <c r="B4253" s="115" t="s">
        <v>9221</v>
      </c>
      <c r="C4253" s="115" t="s">
        <v>11315</v>
      </c>
      <c r="D4253" s="115">
        <v>0</v>
      </c>
      <c r="E4253" s="115" t="s">
        <v>7904</v>
      </c>
      <c r="F4253" s="115" t="s">
        <v>11316</v>
      </c>
      <c r="G4253" s="115" t="s">
        <v>11317</v>
      </c>
      <c r="H4253" s="115" t="s">
        <v>11318</v>
      </c>
    </row>
    <row r="4254" spans="1:8" x14ac:dyDescent="0.25">
      <c r="A4254" s="115">
        <v>315</v>
      </c>
      <c r="B4254" s="115" t="s">
        <v>9221</v>
      </c>
      <c r="C4254" s="115" t="s">
        <v>11319</v>
      </c>
      <c r="D4254" s="115">
        <v>0</v>
      </c>
      <c r="E4254" s="115" t="s">
        <v>7907</v>
      </c>
      <c r="F4254" s="115" t="s">
        <v>11320</v>
      </c>
      <c r="G4254" s="115" t="s">
        <v>11321</v>
      </c>
      <c r="H4254" s="115" t="s">
        <v>11322</v>
      </c>
    </row>
    <row r="4255" spans="1:8" x14ac:dyDescent="0.25">
      <c r="A4255" s="115">
        <v>314</v>
      </c>
      <c r="B4255" s="115" t="s">
        <v>9221</v>
      </c>
      <c r="C4255" s="115" t="s">
        <v>11323</v>
      </c>
      <c r="D4255" s="115">
        <v>0</v>
      </c>
      <c r="E4255" s="115" t="s">
        <v>7910</v>
      </c>
      <c r="F4255" s="115" t="s">
        <v>7911</v>
      </c>
      <c r="G4255" s="115" t="s">
        <v>11324</v>
      </c>
      <c r="H4255" s="115" t="s">
        <v>11325</v>
      </c>
    </row>
    <row r="4256" spans="1:8" x14ac:dyDescent="0.25">
      <c r="A4256" s="115">
        <v>313</v>
      </c>
      <c r="B4256" s="115" t="s">
        <v>9221</v>
      </c>
      <c r="C4256" s="115" t="s">
        <v>11326</v>
      </c>
      <c r="D4256" s="115">
        <v>0</v>
      </c>
      <c r="E4256" s="115" t="s">
        <v>7913</v>
      </c>
      <c r="F4256" s="115" t="s">
        <v>7913</v>
      </c>
      <c r="G4256" s="115" t="s">
        <v>7913</v>
      </c>
      <c r="H4256" s="115" t="s">
        <v>11327</v>
      </c>
    </row>
    <row r="4257" spans="1:8" x14ac:dyDescent="0.25">
      <c r="A4257" s="115">
        <v>312</v>
      </c>
      <c r="B4257" s="115" t="s">
        <v>9221</v>
      </c>
      <c r="C4257" s="115" t="s">
        <v>11328</v>
      </c>
      <c r="D4257" s="115">
        <v>0</v>
      </c>
      <c r="E4257" s="115" t="s">
        <v>7915</v>
      </c>
      <c r="F4257" s="115" t="s">
        <v>11329</v>
      </c>
      <c r="G4257" s="115" t="s">
        <v>11330</v>
      </c>
      <c r="H4257" s="115" t="s">
        <v>11331</v>
      </c>
    </row>
    <row r="4258" spans="1:8" x14ac:dyDescent="0.25">
      <c r="A4258" s="115">
        <v>311</v>
      </c>
      <c r="B4258" s="115" t="s">
        <v>9221</v>
      </c>
      <c r="C4258" s="115" t="s">
        <v>11332</v>
      </c>
      <c r="D4258" s="115">
        <v>0</v>
      </c>
      <c r="E4258" s="115" t="s">
        <v>3468</v>
      </c>
      <c r="F4258" s="115" t="s">
        <v>3468</v>
      </c>
      <c r="G4258" s="115" t="s">
        <v>3468</v>
      </c>
      <c r="H4258" s="115" t="s">
        <v>3469</v>
      </c>
    </row>
    <row r="4259" spans="1:8" x14ac:dyDescent="0.25">
      <c r="A4259" s="115">
        <v>310</v>
      </c>
      <c r="B4259" s="115" t="s">
        <v>9221</v>
      </c>
      <c r="C4259" s="115" t="s">
        <v>11333</v>
      </c>
      <c r="D4259" s="115">
        <v>0</v>
      </c>
      <c r="E4259" s="115" t="s">
        <v>7919</v>
      </c>
      <c r="F4259" s="115" t="s">
        <v>7919</v>
      </c>
      <c r="G4259" s="115" t="s">
        <v>7919</v>
      </c>
      <c r="H4259" s="115" t="s">
        <v>11334</v>
      </c>
    </row>
    <row r="4260" spans="1:8" x14ac:dyDescent="0.25">
      <c r="A4260" s="115">
        <v>309</v>
      </c>
      <c r="B4260" s="115" t="s">
        <v>9221</v>
      </c>
      <c r="C4260" s="115" t="s">
        <v>11335</v>
      </c>
      <c r="D4260" s="115">
        <v>0</v>
      </c>
      <c r="E4260" s="115" t="s">
        <v>7921</v>
      </c>
      <c r="F4260" s="115" t="s">
        <v>7922</v>
      </c>
      <c r="G4260" s="115" t="s">
        <v>7921</v>
      </c>
      <c r="H4260" s="115" t="s">
        <v>11336</v>
      </c>
    </row>
    <row r="4261" spans="1:8" x14ac:dyDescent="0.25">
      <c r="A4261" s="115">
        <v>308</v>
      </c>
      <c r="B4261" s="115" t="s">
        <v>9221</v>
      </c>
      <c r="C4261" s="115" t="s">
        <v>11337</v>
      </c>
      <c r="D4261" s="115">
        <v>0</v>
      </c>
      <c r="E4261" s="115" t="s">
        <v>7924</v>
      </c>
      <c r="F4261" s="115" t="s">
        <v>7925</v>
      </c>
      <c r="G4261" s="115" t="s">
        <v>7924</v>
      </c>
      <c r="H4261" s="115" t="s">
        <v>11338</v>
      </c>
    </row>
    <row r="4262" spans="1:8" x14ac:dyDescent="0.25">
      <c r="A4262" s="115">
        <v>307</v>
      </c>
      <c r="B4262" s="115" t="s">
        <v>9221</v>
      </c>
      <c r="C4262" s="115" t="s">
        <v>11339</v>
      </c>
      <c r="D4262" s="115">
        <v>0</v>
      </c>
      <c r="E4262" s="115" t="s">
        <v>7927</v>
      </c>
      <c r="F4262" s="115" t="s">
        <v>7928</v>
      </c>
      <c r="G4262" s="115" t="s">
        <v>11340</v>
      </c>
      <c r="H4262" s="115" t="s">
        <v>11341</v>
      </c>
    </row>
    <row r="4263" spans="1:8" x14ac:dyDescent="0.25">
      <c r="A4263" s="115">
        <v>306</v>
      </c>
      <c r="B4263" s="115" t="s">
        <v>9221</v>
      </c>
      <c r="C4263" s="115" t="s">
        <v>11342</v>
      </c>
      <c r="D4263" s="115">
        <v>0</v>
      </c>
      <c r="E4263" s="115" t="s">
        <v>3483</v>
      </c>
      <c r="F4263" s="115" t="s">
        <v>3484</v>
      </c>
      <c r="G4263" s="115" t="s">
        <v>3483</v>
      </c>
      <c r="H4263" s="115" t="s">
        <v>3485</v>
      </c>
    </row>
    <row r="4264" spans="1:8" x14ac:dyDescent="0.25">
      <c r="A4264" s="115">
        <v>305</v>
      </c>
      <c r="B4264" s="115" t="s">
        <v>9221</v>
      </c>
      <c r="C4264" s="115" t="s">
        <v>11343</v>
      </c>
      <c r="D4264" s="115">
        <v>0</v>
      </c>
      <c r="E4264" s="115" t="s">
        <v>7931</v>
      </c>
      <c r="F4264" s="115" t="s">
        <v>7932</v>
      </c>
      <c r="G4264" s="115" t="s">
        <v>11344</v>
      </c>
      <c r="H4264" s="115" t="s">
        <v>11345</v>
      </c>
    </row>
    <row r="4265" spans="1:8" x14ac:dyDescent="0.25">
      <c r="A4265" s="115">
        <v>304</v>
      </c>
      <c r="B4265" s="115" t="s">
        <v>9221</v>
      </c>
      <c r="C4265" s="115" t="s">
        <v>11346</v>
      </c>
      <c r="D4265" s="115">
        <v>0</v>
      </c>
      <c r="E4265" s="115" t="s">
        <v>11347</v>
      </c>
      <c r="F4265" s="115" t="s">
        <v>11347</v>
      </c>
      <c r="G4265" s="115" t="s">
        <v>11347</v>
      </c>
      <c r="H4265" s="115" t="s">
        <v>3529</v>
      </c>
    </row>
    <row r="4266" spans="1:8" x14ac:dyDescent="0.25">
      <c r="A4266" s="115">
        <v>303</v>
      </c>
      <c r="B4266" s="115" t="s">
        <v>9221</v>
      </c>
      <c r="C4266" s="115" t="s">
        <v>11348</v>
      </c>
      <c r="D4266" s="115">
        <v>0</v>
      </c>
      <c r="E4266" s="115" t="s">
        <v>7935</v>
      </c>
      <c r="F4266" s="115" t="s">
        <v>7936</v>
      </c>
      <c r="G4266" s="115" t="s">
        <v>11349</v>
      </c>
      <c r="H4266" s="115" t="s">
        <v>11350</v>
      </c>
    </row>
    <row r="4267" spans="1:8" x14ac:dyDescent="0.25">
      <c r="A4267" s="115">
        <v>302</v>
      </c>
      <c r="B4267" s="115" t="s">
        <v>9221</v>
      </c>
      <c r="C4267" s="115" t="s">
        <v>11351</v>
      </c>
      <c r="D4267" s="115">
        <v>0</v>
      </c>
      <c r="E4267" s="115" t="s">
        <v>7938</v>
      </c>
      <c r="F4267" s="115" t="s">
        <v>3540</v>
      </c>
      <c r="G4267" s="115" t="s">
        <v>11352</v>
      </c>
      <c r="H4267" s="115" t="s">
        <v>3542</v>
      </c>
    </row>
    <row r="4268" spans="1:8" x14ac:dyDescent="0.25">
      <c r="A4268" s="115">
        <v>301</v>
      </c>
      <c r="B4268" s="115" t="s">
        <v>9221</v>
      </c>
      <c r="C4268" s="115" t="s">
        <v>11353</v>
      </c>
      <c r="D4268" s="115">
        <v>0</v>
      </c>
      <c r="E4268" s="115" t="s">
        <v>3240</v>
      </c>
      <c r="F4268" s="115" t="s">
        <v>7940</v>
      </c>
      <c r="G4268" s="115" t="s">
        <v>11354</v>
      </c>
      <c r="H4268" s="115" t="s">
        <v>3243</v>
      </c>
    </row>
    <row r="4269" spans="1:8" x14ac:dyDescent="0.25">
      <c r="A4269" s="115">
        <v>300</v>
      </c>
      <c r="B4269" s="115" t="s">
        <v>9221</v>
      </c>
      <c r="C4269" s="115" t="s">
        <v>11355</v>
      </c>
      <c r="D4269" s="115">
        <v>0</v>
      </c>
      <c r="E4269" s="115" t="s">
        <v>7942</v>
      </c>
      <c r="F4269" s="115" t="s">
        <v>7943</v>
      </c>
      <c r="G4269" s="115" t="s">
        <v>11356</v>
      </c>
      <c r="H4269" s="115" t="s">
        <v>3233</v>
      </c>
    </row>
    <row r="4270" spans="1:8" x14ac:dyDescent="0.25">
      <c r="A4270" s="115">
        <v>299</v>
      </c>
      <c r="B4270" s="115" t="s">
        <v>9221</v>
      </c>
      <c r="C4270" s="115" t="s">
        <v>11357</v>
      </c>
      <c r="D4270" s="115">
        <v>0</v>
      </c>
      <c r="E4270" s="115" t="s">
        <v>7945</v>
      </c>
      <c r="F4270" s="115" t="s">
        <v>7946</v>
      </c>
      <c r="G4270" s="115" t="s">
        <v>11358</v>
      </c>
      <c r="H4270" s="115" t="s">
        <v>11359</v>
      </c>
    </row>
    <row r="4271" spans="1:8" x14ac:dyDescent="0.25">
      <c r="A4271" s="115">
        <v>298</v>
      </c>
      <c r="B4271" s="115" t="s">
        <v>9221</v>
      </c>
      <c r="C4271" s="115" t="s">
        <v>11360</v>
      </c>
      <c r="D4271" s="115">
        <v>0</v>
      </c>
      <c r="E4271" s="115" t="s">
        <v>7948</v>
      </c>
      <c r="F4271" s="115" t="s">
        <v>7948</v>
      </c>
      <c r="G4271" s="115" t="s">
        <v>11361</v>
      </c>
      <c r="H4271" s="115" t="s">
        <v>11362</v>
      </c>
    </row>
    <row r="4272" spans="1:8" x14ac:dyDescent="0.25">
      <c r="A4272" s="115">
        <v>297</v>
      </c>
      <c r="B4272" s="115" t="s">
        <v>9221</v>
      </c>
      <c r="C4272" s="115" t="s">
        <v>11363</v>
      </c>
      <c r="D4272" s="115">
        <v>0</v>
      </c>
      <c r="E4272" s="115" t="s">
        <v>7950</v>
      </c>
      <c r="F4272" s="115" t="s">
        <v>7950</v>
      </c>
      <c r="G4272" s="115" t="s">
        <v>11364</v>
      </c>
      <c r="H4272" s="115" t="s">
        <v>11365</v>
      </c>
    </row>
    <row r="4273" spans="1:8" x14ac:dyDescent="0.25">
      <c r="A4273" s="115">
        <v>296</v>
      </c>
      <c r="B4273" s="115" t="s">
        <v>9221</v>
      </c>
      <c r="C4273" s="115" t="s">
        <v>11366</v>
      </c>
      <c r="D4273" s="115">
        <v>0</v>
      </c>
      <c r="E4273" s="115" t="s">
        <v>7952</v>
      </c>
      <c r="F4273" s="115" t="s">
        <v>7953</v>
      </c>
      <c r="G4273" s="115" t="s">
        <v>11367</v>
      </c>
      <c r="H4273" s="115" t="s">
        <v>11368</v>
      </c>
    </row>
    <row r="4274" spans="1:8" x14ac:dyDescent="0.25">
      <c r="A4274" s="115">
        <v>295</v>
      </c>
      <c r="B4274" s="115" t="s">
        <v>9221</v>
      </c>
      <c r="C4274" s="115" t="s">
        <v>11369</v>
      </c>
      <c r="D4274" s="115">
        <v>0</v>
      </c>
      <c r="E4274" s="115" t="s">
        <v>7955</v>
      </c>
      <c r="F4274" s="115" t="s">
        <v>7955</v>
      </c>
      <c r="G4274" s="115" t="s">
        <v>7955</v>
      </c>
      <c r="H4274" s="115" t="s">
        <v>11370</v>
      </c>
    </row>
    <row r="4275" spans="1:8" x14ac:dyDescent="0.25">
      <c r="A4275" s="115">
        <v>294</v>
      </c>
      <c r="B4275" s="115" t="s">
        <v>9221</v>
      </c>
      <c r="C4275" s="115" t="s">
        <v>11371</v>
      </c>
      <c r="D4275" s="115">
        <v>0</v>
      </c>
      <c r="E4275" s="115" t="s">
        <v>7957</v>
      </c>
      <c r="F4275" s="115" t="s">
        <v>7958</v>
      </c>
      <c r="G4275" s="115" t="s">
        <v>11372</v>
      </c>
      <c r="H4275" s="115" t="s">
        <v>11373</v>
      </c>
    </row>
    <row r="4276" spans="1:8" x14ac:dyDescent="0.25">
      <c r="A4276" s="115">
        <v>293</v>
      </c>
      <c r="B4276" s="115" t="s">
        <v>9221</v>
      </c>
      <c r="C4276" s="115" t="s">
        <v>11374</v>
      </c>
      <c r="D4276" s="115">
        <v>0</v>
      </c>
      <c r="E4276" s="115" t="s">
        <v>7960</v>
      </c>
      <c r="F4276" s="115" t="s">
        <v>7961</v>
      </c>
      <c r="G4276" s="115" t="s">
        <v>11375</v>
      </c>
      <c r="H4276" s="115" t="s">
        <v>11376</v>
      </c>
    </row>
    <row r="4277" spans="1:8" x14ac:dyDescent="0.25">
      <c r="A4277" s="115">
        <v>292</v>
      </c>
      <c r="B4277" s="115" t="s">
        <v>9221</v>
      </c>
      <c r="C4277" s="115" t="s">
        <v>11377</v>
      </c>
      <c r="D4277" s="115">
        <v>0</v>
      </c>
      <c r="E4277" s="115" t="s">
        <v>7963</v>
      </c>
      <c r="F4277" s="115" t="s">
        <v>7963</v>
      </c>
      <c r="G4277" s="115" t="s">
        <v>11378</v>
      </c>
      <c r="H4277" s="115" t="s">
        <v>11379</v>
      </c>
    </row>
    <row r="4278" spans="1:8" x14ac:dyDescent="0.25">
      <c r="A4278" s="115">
        <v>291</v>
      </c>
      <c r="B4278" s="115" t="s">
        <v>9221</v>
      </c>
      <c r="C4278" s="115" t="s">
        <v>11380</v>
      </c>
      <c r="D4278" s="115">
        <v>0</v>
      </c>
      <c r="E4278" s="115" t="s">
        <v>7965</v>
      </c>
      <c r="F4278" s="115" t="s">
        <v>7966</v>
      </c>
      <c r="G4278" s="115" t="s">
        <v>11381</v>
      </c>
      <c r="H4278" s="115" t="s">
        <v>11382</v>
      </c>
    </row>
    <row r="4279" spans="1:8" x14ac:dyDescent="0.25">
      <c r="A4279" s="115">
        <v>290</v>
      </c>
      <c r="B4279" s="115" t="s">
        <v>9221</v>
      </c>
      <c r="C4279" s="115" t="s">
        <v>11383</v>
      </c>
      <c r="D4279" s="115">
        <v>0</v>
      </c>
      <c r="E4279" s="115" t="s">
        <v>7968</v>
      </c>
      <c r="F4279" s="115" t="s">
        <v>7969</v>
      </c>
      <c r="G4279" s="115" t="s">
        <v>11384</v>
      </c>
      <c r="H4279" s="115" t="s">
        <v>11385</v>
      </c>
    </row>
    <row r="4280" spans="1:8" x14ac:dyDescent="0.25">
      <c r="A4280" s="115">
        <v>289</v>
      </c>
      <c r="B4280" s="115" t="s">
        <v>9221</v>
      </c>
      <c r="C4280" s="115" t="s">
        <v>11386</v>
      </c>
      <c r="D4280" s="115">
        <v>0</v>
      </c>
      <c r="E4280" s="115" t="s">
        <v>7971</v>
      </c>
      <c r="F4280" s="115" t="s">
        <v>7972</v>
      </c>
      <c r="G4280" s="115" t="s">
        <v>11387</v>
      </c>
      <c r="H4280" s="115" t="s">
        <v>11388</v>
      </c>
    </row>
    <row r="4281" spans="1:8" x14ac:dyDescent="0.25">
      <c r="A4281" s="115">
        <v>288</v>
      </c>
      <c r="B4281" s="115" t="s">
        <v>9221</v>
      </c>
      <c r="C4281" s="115" t="s">
        <v>11389</v>
      </c>
      <c r="D4281" s="115">
        <v>0</v>
      </c>
      <c r="E4281" s="115" t="s">
        <v>7974</v>
      </c>
      <c r="F4281" s="115" t="s">
        <v>7975</v>
      </c>
      <c r="G4281" s="115" t="s">
        <v>7974</v>
      </c>
      <c r="H4281" s="115" t="s">
        <v>11390</v>
      </c>
    </row>
    <row r="4282" spans="1:8" x14ac:dyDescent="0.25">
      <c r="A4282" s="115">
        <v>287</v>
      </c>
      <c r="B4282" s="115" t="s">
        <v>9221</v>
      </c>
      <c r="C4282" s="115" t="s">
        <v>11391</v>
      </c>
      <c r="D4282" s="115">
        <v>0</v>
      </c>
      <c r="E4282" s="115" t="s">
        <v>7977</v>
      </c>
      <c r="F4282" s="115" t="s">
        <v>7978</v>
      </c>
      <c r="G4282" s="115" t="s">
        <v>11392</v>
      </c>
      <c r="H4282" s="115" t="s">
        <v>11393</v>
      </c>
    </row>
    <row r="4283" spans="1:8" x14ac:dyDescent="0.25">
      <c r="A4283" s="115">
        <v>286</v>
      </c>
      <c r="B4283" s="115" t="s">
        <v>9221</v>
      </c>
      <c r="C4283" s="115" t="s">
        <v>11394</v>
      </c>
      <c r="D4283" s="115">
        <v>0</v>
      </c>
      <c r="E4283" s="115" t="s">
        <v>7980</v>
      </c>
      <c r="F4283" s="115" t="s">
        <v>11395</v>
      </c>
      <c r="G4283" s="115" t="s">
        <v>7980</v>
      </c>
      <c r="H4283" s="115" t="s">
        <v>11396</v>
      </c>
    </row>
    <row r="4284" spans="1:8" x14ac:dyDescent="0.25">
      <c r="A4284" s="115">
        <v>285</v>
      </c>
      <c r="B4284" s="115" t="s">
        <v>9221</v>
      </c>
      <c r="C4284" s="115" t="s">
        <v>11397</v>
      </c>
      <c r="D4284" s="115">
        <v>0</v>
      </c>
      <c r="E4284" s="115" t="s">
        <v>7982</v>
      </c>
      <c r="F4284" s="115" t="s">
        <v>7983</v>
      </c>
      <c r="G4284" s="115" t="s">
        <v>7982</v>
      </c>
      <c r="H4284" s="115" t="s">
        <v>11398</v>
      </c>
    </row>
    <row r="4285" spans="1:8" x14ac:dyDescent="0.25">
      <c r="A4285" s="115">
        <v>284</v>
      </c>
      <c r="B4285" s="115" t="s">
        <v>9221</v>
      </c>
      <c r="C4285" s="115" t="s">
        <v>11399</v>
      </c>
      <c r="D4285" s="115">
        <v>0</v>
      </c>
      <c r="E4285" s="115" t="s">
        <v>7985</v>
      </c>
      <c r="F4285" s="115" t="s">
        <v>7985</v>
      </c>
      <c r="G4285" s="115" t="s">
        <v>7985</v>
      </c>
      <c r="H4285" s="115" t="s">
        <v>11400</v>
      </c>
    </row>
    <row r="4286" spans="1:8" x14ac:dyDescent="0.25">
      <c r="A4286" s="115">
        <v>283</v>
      </c>
      <c r="B4286" s="115" t="s">
        <v>9221</v>
      </c>
      <c r="C4286" s="115" t="s">
        <v>11401</v>
      </c>
      <c r="D4286" s="115">
        <v>0</v>
      </c>
      <c r="E4286" s="115" t="s">
        <v>7987</v>
      </c>
      <c r="F4286" s="115" t="s">
        <v>7988</v>
      </c>
      <c r="G4286" s="115" t="s">
        <v>11402</v>
      </c>
      <c r="H4286" s="115" t="s">
        <v>11403</v>
      </c>
    </row>
    <row r="4287" spans="1:8" x14ac:dyDescent="0.25">
      <c r="A4287" s="115">
        <v>282</v>
      </c>
      <c r="B4287" s="115" t="s">
        <v>9221</v>
      </c>
      <c r="C4287" s="115" t="s">
        <v>11404</v>
      </c>
      <c r="D4287" s="115">
        <v>0</v>
      </c>
      <c r="E4287" s="115" t="s">
        <v>7990</v>
      </c>
      <c r="F4287" s="115" t="s">
        <v>7991</v>
      </c>
      <c r="G4287" s="115" t="s">
        <v>7990</v>
      </c>
      <c r="H4287" s="115" t="s">
        <v>11405</v>
      </c>
    </row>
    <row r="4288" spans="1:8" x14ac:dyDescent="0.25">
      <c r="A4288" s="115">
        <v>281</v>
      </c>
      <c r="B4288" s="115" t="s">
        <v>9221</v>
      </c>
      <c r="C4288" s="115" t="s">
        <v>11406</v>
      </c>
      <c r="D4288" s="115">
        <v>0</v>
      </c>
      <c r="E4288" s="115" t="s">
        <v>3521</v>
      </c>
      <c r="F4288" s="115" t="s">
        <v>3521</v>
      </c>
      <c r="G4288" s="115" t="s">
        <v>3521</v>
      </c>
      <c r="H4288" s="115" t="s">
        <v>3522</v>
      </c>
    </row>
    <row r="4289" spans="1:8" x14ac:dyDescent="0.25">
      <c r="A4289" s="115">
        <v>280</v>
      </c>
      <c r="B4289" s="115" t="s">
        <v>9221</v>
      </c>
      <c r="C4289" s="115" t="s">
        <v>11407</v>
      </c>
      <c r="D4289" s="115">
        <v>0</v>
      </c>
      <c r="E4289" s="115" t="s">
        <v>7994</v>
      </c>
      <c r="F4289" s="115" t="s">
        <v>7995</v>
      </c>
      <c r="G4289" s="115" t="s">
        <v>11408</v>
      </c>
      <c r="H4289" s="115" t="s">
        <v>11409</v>
      </c>
    </row>
    <row r="4290" spans="1:8" x14ac:dyDescent="0.25">
      <c r="A4290" s="115">
        <v>279</v>
      </c>
      <c r="B4290" s="115" t="s">
        <v>9221</v>
      </c>
      <c r="C4290" s="115" t="s">
        <v>11410</v>
      </c>
      <c r="D4290" s="115">
        <v>0</v>
      </c>
      <c r="E4290" s="115" t="s">
        <v>897</v>
      </c>
      <c r="F4290" s="115" t="s">
        <v>897</v>
      </c>
      <c r="G4290" s="115" t="s">
        <v>897</v>
      </c>
      <c r="H4290" s="115" t="s">
        <v>898</v>
      </c>
    </row>
    <row r="4291" spans="1:8" x14ac:dyDescent="0.25">
      <c r="A4291" s="115">
        <v>278</v>
      </c>
      <c r="B4291" s="115" t="s">
        <v>9221</v>
      </c>
      <c r="C4291" s="115" t="s">
        <v>11411</v>
      </c>
      <c r="D4291" s="115">
        <v>0</v>
      </c>
      <c r="E4291" s="115" t="s">
        <v>7998</v>
      </c>
      <c r="F4291" s="115" t="s">
        <v>11412</v>
      </c>
      <c r="G4291" s="115" t="s">
        <v>7998</v>
      </c>
      <c r="H4291" s="115" t="s">
        <v>11413</v>
      </c>
    </row>
    <row r="4292" spans="1:8" x14ac:dyDescent="0.25">
      <c r="A4292" s="115">
        <v>277</v>
      </c>
      <c r="B4292" s="115" t="s">
        <v>9221</v>
      </c>
      <c r="C4292" s="115" t="s">
        <v>11414</v>
      </c>
      <c r="D4292" s="115">
        <v>0</v>
      </c>
      <c r="E4292" s="115" t="s">
        <v>8000</v>
      </c>
      <c r="F4292" s="115" t="s">
        <v>8001</v>
      </c>
      <c r="G4292" s="115" t="s">
        <v>11415</v>
      </c>
      <c r="H4292" s="115" t="s">
        <v>11416</v>
      </c>
    </row>
    <row r="4293" spans="1:8" x14ac:dyDescent="0.25">
      <c r="A4293" s="115">
        <v>276</v>
      </c>
      <c r="B4293" s="115" t="s">
        <v>9221</v>
      </c>
      <c r="C4293" s="115" t="s">
        <v>11417</v>
      </c>
      <c r="D4293" s="115">
        <v>0</v>
      </c>
      <c r="E4293" s="115" t="s">
        <v>8003</v>
      </c>
      <c r="F4293" s="115" t="s">
        <v>8004</v>
      </c>
      <c r="G4293" s="115" t="s">
        <v>11418</v>
      </c>
      <c r="H4293" s="115" t="s">
        <v>11419</v>
      </c>
    </row>
    <row r="4294" spans="1:8" x14ac:dyDescent="0.25">
      <c r="A4294" s="115">
        <v>275</v>
      </c>
      <c r="B4294" s="115" t="s">
        <v>9221</v>
      </c>
      <c r="C4294" s="115" t="s">
        <v>11420</v>
      </c>
      <c r="D4294" s="115">
        <v>0</v>
      </c>
      <c r="E4294" s="115" t="s">
        <v>8006</v>
      </c>
      <c r="F4294" s="115" t="s">
        <v>11421</v>
      </c>
      <c r="G4294" s="115" t="s">
        <v>11422</v>
      </c>
      <c r="H4294" s="115" t="s">
        <v>11423</v>
      </c>
    </row>
    <row r="4295" spans="1:8" x14ac:dyDescent="0.25">
      <c r="A4295" s="115">
        <v>274</v>
      </c>
      <c r="B4295" s="115" t="s">
        <v>9221</v>
      </c>
      <c r="C4295" s="115" t="s">
        <v>11424</v>
      </c>
      <c r="D4295" s="115">
        <v>0</v>
      </c>
      <c r="E4295" s="115" t="s">
        <v>8008</v>
      </c>
      <c r="F4295" s="115" t="s">
        <v>8008</v>
      </c>
      <c r="G4295" s="115" t="s">
        <v>8008</v>
      </c>
      <c r="H4295" s="115" t="s">
        <v>11425</v>
      </c>
    </row>
    <row r="4296" spans="1:8" x14ac:dyDescent="0.25">
      <c r="A4296" s="115">
        <v>273</v>
      </c>
      <c r="B4296" s="115" t="s">
        <v>9221</v>
      </c>
      <c r="C4296" s="115" t="s">
        <v>11426</v>
      </c>
      <c r="D4296" s="115">
        <v>0</v>
      </c>
      <c r="E4296" s="115" t="s">
        <v>8010</v>
      </c>
      <c r="F4296" s="115" t="s">
        <v>8011</v>
      </c>
      <c r="G4296" s="115" t="s">
        <v>8010</v>
      </c>
      <c r="H4296" s="115" t="s">
        <v>11427</v>
      </c>
    </row>
    <row r="4297" spans="1:8" x14ac:dyDescent="0.25">
      <c r="A4297" s="115">
        <v>272</v>
      </c>
      <c r="B4297" s="115" t="s">
        <v>9221</v>
      </c>
      <c r="C4297" s="115" t="s">
        <v>11428</v>
      </c>
      <c r="D4297" s="115">
        <v>0</v>
      </c>
      <c r="E4297" s="115" t="s">
        <v>4579</v>
      </c>
      <c r="F4297" s="115" t="s">
        <v>4580</v>
      </c>
      <c r="G4297" s="115" t="s">
        <v>4579</v>
      </c>
      <c r="H4297" s="115" t="s">
        <v>4582</v>
      </c>
    </row>
    <row r="4298" spans="1:8" x14ac:dyDescent="0.25">
      <c r="A4298" s="115">
        <v>271</v>
      </c>
      <c r="B4298" s="115" t="s">
        <v>9221</v>
      </c>
      <c r="C4298" s="115" t="s">
        <v>11429</v>
      </c>
      <c r="D4298" s="115">
        <v>0</v>
      </c>
      <c r="E4298" s="115" t="s">
        <v>8014</v>
      </c>
      <c r="F4298" s="115" t="s">
        <v>8015</v>
      </c>
      <c r="G4298" s="115" t="s">
        <v>11430</v>
      </c>
      <c r="H4298" s="115" t="s">
        <v>11431</v>
      </c>
    </row>
    <row r="4299" spans="1:8" x14ac:dyDescent="0.25">
      <c r="A4299" s="115">
        <v>270</v>
      </c>
      <c r="B4299" s="115" t="s">
        <v>9221</v>
      </c>
      <c r="C4299" s="115" t="s">
        <v>27</v>
      </c>
      <c r="D4299" s="115">
        <v>0</v>
      </c>
      <c r="E4299" s="115" t="s">
        <v>8017</v>
      </c>
      <c r="F4299" s="115" t="s">
        <v>8018</v>
      </c>
      <c r="G4299" s="115" t="s">
        <v>8017</v>
      </c>
      <c r="H4299" s="115" t="s">
        <v>11432</v>
      </c>
    </row>
    <row r="4300" spans="1:8" x14ac:dyDescent="0.25">
      <c r="A4300" s="115">
        <v>269</v>
      </c>
      <c r="B4300" s="115" t="s">
        <v>9221</v>
      </c>
      <c r="C4300" s="115" t="s">
        <v>11433</v>
      </c>
      <c r="D4300" s="115">
        <v>0</v>
      </c>
      <c r="E4300" s="115" t="s">
        <v>8020</v>
      </c>
      <c r="F4300" s="115" t="s">
        <v>8021</v>
      </c>
      <c r="G4300" s="115" t="s">
        <v>11434</v>
      </c>
      <c r="H4300" s="115" t="s">
        <v>11435</v>
      </c>
    </row>
    <row r="4301" spans="1:8" x14ac:dyDescent="0.25">
      <c r="A4301" s="115">
        <v>268</v>
      </c>
      <c r="B4301" s="115" t="s">
        <v>9221</v>
      </c>
      <c r="C4301" s="115" t="s">
        <v>11436</v>
      </c>
      <c r="D4301" s="115">
        <v>0</v>
      </c>
      <c r="E4301" s="115" t="s">
        <v>3535</v>
      </c>
      <c r="F4301" s="115" t="s">
        <v>3535</v>
      </c>
      <c r="G4301" s="115" t="s">
        <v>3535</v>
      </c>
      <c r="H4301" s="115" t="s">
        <v>3536</v>
      </c>
    </row>
    <row r="4302" spans="1:8" x14ac:dyDescent="0.25">
      <c r="A4302" s="115">
        <v>267</v>
      </c>
      <c r="B4302" s="115" t="s">
        <v>9221</v>
      </c>
      <c r="C4302" s="115" t="s">
        <v>11437</v>
      </c>
      <c r="D4302" s="115">
        <v>0</v>
      </c>
      <c r="E4302" s="115" t="s">
        <v>8024</v>
      </c>
      <c r="F4302" s="115" t="s">
        <v>8025</v>
      </c>
      <c r="G4302" s="115" t="s">
        <v>8024</v>
      </c>
      <c r="H4302" s="115" t="s">
        <v>11438</v>
      </c>
    </row>
    <row r="4303" spans="1:8" x14ac:dyDescent="0.25">
      <c r="A4303" s="115">
        <v>266</v>
      </c>
      <c r="B4303" s="115" t="s">
        <v>9221</v>
      </c>
      <c r="C4303" s="115" t="s">
        <v>11439</v>
      </c>
      <c r="D4303" s="115">
        <v>0</v>
      </c>
      <c r="E4303" s="115" t="s">
        <v>8027</v>
      </c>
      <c r="F4303" s="115" t="s">
        <v>8028</v>
      </c>
      <c r="G4303" s="115" t="s">
        <v>8027</v>
      </c>
      <c r="H4303" s="115" t="s">
        <v>11440</v>
      </c>
    </row>
    <row r="4304" spans="1:8" x14ac:dyDescent="0.25">
      <c r="A4304" s="115">
        <v>265</v>
      </c>
      <c r="B4304" s="115" t="s">
        <v>9221</v>
      </c>
      <c r="C4304" s="115" t="s">
        <v>11441</v>
      </c>
      <c r="D4304" s="115">
        <v>0</v>
      </c>
      <c r="E4304" s="115" t="s">
        <v>8030</v>
      </c>
      <c r="F4304" s="115" t="s">
        <v>8030</v>
      </c>
      <c r="G4304" s="115" t="s">
        <v>11442</v>
      </c>
      <c r="H4304" s="115" t="s">
        <v>11443</v>
      </c>
    </row>
    <row r="4305" spans="1:8" x14ac:dyDescent="0.25">
      <c r="A4305" s="115">
        <v>264</v>
      </c>
      <c r="B4305" s="115" t="s">
        <v>9221</v>
      </c>
      <c r="C4305" s="115" t="s">
        <v>11444</v>
      </c>
      <c r="D4305" s="115">
        <v>0</v>
      </c>
      <c r="E4305" s="115" t="s">
        <v>8032</v>
      </c>
      <c r="F4305" s="115" t="s">
        <v>8033</v>
      </c>
      <c r="G4305" s="115" t="s">
        <v>11445</v>
      </c>
      <c r="H4305" s="115" t="s">
        <v>11446</v>
      </c>
    </row>
    <row r="4306" spans="1:8" x14ac:dyDescent="0.25">
      <c r="A4306" s="115">
        <v>263</v>
      </c>
      <c r="B4306" s="115" t="s">
        <v>9221</v>
      </c>
      <c r="C4306" s="115" t="s">
        <v>11447</v>
      </c>
      <c r="D4306" s="115">
        <v>0</v>
      </c>
      <c r="E4306" s="115" t="s">
        <v>849</v>
      </c>
      <c r="F4306" s="115" t="s">
        <v>849</v>
      </c>
      <c r="G4306" s="115" t="s">
        <v>3256</v>
      </c>
      <c r="H4306" s="115" t="s">
        <v>850</v>
      </c>
    </row>
    <row r="4307" spans="1:8" x14ac:dyDescent="0.25">
      <c r="A4307" s="115">
        <v>262</v>
      </c>
      <c r="B4307" s="115" t="s">
        <v>9221</v>
      </c>
      <c r="C4307" s="115" t="s">
        <v>11448</v>
      </c>
      <c r="D4307" s="115">
        <v>0</v>
      </c>
      <c r="E4307" s="115" t="s">
        <v>8036</v>
      </c>
      <c r="F4307" s="115" t="s">
        <v>8037</v>
      </c>
      <c r="G4307" s="115" t="s">
        <v>11449</v>
      </c>
      <c r="H4307" s="115" t="s">
        <v>11450</v>
      </c>
    </row>
    <row r="4308" spans="1:8" x14ac:dyDescent="0.25">
      <c r="A4308" s="115">
        <v>261</v>
      </c>
      <c r="B4308" s="115" t="s">
        <v>9221</v>
      </c>
      <c r="C4308" s="115" t="s">
        <v>11451</v>
      </c>
      <c r="D4308" s="115">
        <v>0</v>
      </c>
      <c r="E4308" s="115" t="s">
        <v>8039</v>
      </c>
      <c r="F4308" s="115" t="s">
        <v>8040</v>
      </c>
      <c r="G4308" s="115" t="s">
        <v>8039</v>
      </c>
      <c r="H4308" s="115" t="s">
        <v>11452</v>
      </c>
    </row>
    <row r="4309" spans="1:8" x14ac:dyDescent="0.25">
      <c r="A4309" s="115">
        <v>259</v>
      </c>
      <c r="B4309" s="115" t="s">
        <v>8626</v>
      </c>
      <c r="C4309" s="115" t="s">
        <v>11453</v>
      </c>
      <c r="D4309" s="115">
        <v>1</v>
      </c>
      <c r="E4309" s="115" t="s">
        <v>11454</v>
      </c>
      <c r="F4309" s="115" t="s">
        <v>11455</v>
      </c>
      <c r="G4309" s="115" t="s">
        <v>11456</v>
      </c>
      <c r="H4309" s="115" t="s">
        <v>11457</v>
      </c>
    </row>
    <row r="4310" spans="1:8" x14ac:dyDescent="0.25">
      <c r="A4310" s="115">
        <v>258</v>
      </c>
      <c r="B4310" s="115" t="s">
        <v>178</v>
      </c>
      <c r="C4310" s="115" t="s">
        <v>170</v>
      </c>
      <c r="D4310" s="115">
        <v>1</v>
      </c>
      <c r="E4310" s="115" t="s">
        <v>11458</v>
      </c>
      <c r="F4310" s="115" t="s">
        <v>11459</v>
      </c>
      <c r="G4310" s="115" t="s">
        <v>11460</v>
      </c>
      <c r="H4310" s="115" t="s">
        <v>11461</v>
      </c>
    </row>
    <row r="4311" spans="1:8" x14ac:dyDescent="0.25">
      <c r="A4311" s="115">
        <v>257</v>
      </c>
      <c r="B4311" s="115" t="s">
        <v>178</v>
      </c>
      <c r="C4311" s="115" t="s">
        <v>11462</v>
      </c>
      <c r="D4311" s="115">
        <v>1</v>
      </c>
      <c r="E4311" s="115" t="s">
        <v>11463</v>
      </c>
      <c r="F4311" s="115" t="s">
        <v>11464</v>
      </c>
      <c r="G4311" s="115" t="s">
        <v>11465</v>
      </c>
      <c r="H4311" s="115" t="s">
        <v>11466</v>
      </c>
    </row>
    <row r="4312" spans="1:8" x14ac:dyDescent="0.25">
      <c r="A4312" s="115">
        <v>256</v>
      </c>
      <c r="B4312" s="115" t="s">
        <v>178</v>
      </c>
      <c r="C4312" s="115" t="s">
        <v>168</v>
      </c>
      <c r="D4312" s="115">
        <v>1</v>
      </c>
      <c r="E4312" s="115" t="s">
        <v>169</v>
      </c>
      <c r="F4312" s="115" t="s">
        <v>11467</v>
      </c>
      <c r="G4312" s="115" t="s">
        <v>11468</v>
      </c>
      <c r="H4312" s="115" t="s">
        <v>11469</v>
      </c>
    </row>
    <row r="4313" spans="1:8" x14ac:dyDescent="0.25">
      <c r="A4313" s="115">
        <v>255</v>
      </c>
      <c r="B4313" s="115" t="s">
        <v>178</v>
      </c>
      <c r="C4313" s="115" t="s">
        <v>174</v>
      </c>
      <c r="D4313" s="115">
        <v>1</v>
      </c>
      <c r="E4313" s="115" t="s">
        <v>11470</v>
      </c>
      <c r="F4313" s="115" t="s">
        <v>11471</v>
      </c>
      <c r="G4313" s="115" t="s">
        <v>10049</v>
      </c>
      <c r="H4313" s="115" t="s">
        <v>11472</v>
      </c>
    </row>
    <row r="4314" spans="1:8" ht="30" x14ac:dyDescent="0.25">
      <c r="A4314" s="115">
        <v>254</v>
      </c>
      <c r="B4314" s="115" t="s">
        <v>8832</v>
      </c>
      <c r="C4314" s="115" t="b">
        <v>0</v>
      </c>
      <c r="D4314" s="115">
        <v>1</v>
      </c>
      <c r="E4314" s="115" t="s">
        <v>381</v>
      </c>
      <c r="F4314" s="115" t="s">
        <v>382</v>
      </c>
      <c r="G4314" s="115" t="s">
        <v>381</v>
      </c>
      <c r="H4314" s="115" t="s">
        <v>383</v>
      </c>
    </row>
    <row r="4315" spans="1:8" ht="30" x14ac:dyDescent="0.25">
      <c r="A4315" s="115">
        <v>253</v>
      </c>
      <c r="B4315" s="115" t="s">
        <v>8832</v>
      </c>
      <c r="C4315" s="115" t="b">
        <v>1</v>
      </c>
      <c r="D4315" s="115">
        <v>1</v>
      </c>
      <c r="E4315" s="115" t="s">
        <v>211</v>
      </c>
      <c r="F4315" s="115" t="s">
        <v>384</v>
      </c>
      <c r="G4315" s="115" t="s">
        <v>11473</v>
      </c>
      <c r="H4315" s="115" t="s">
        <v>386</v>
      </c>
    </row>
    <row r="4316" spans="1:8" ht="30" x14ac:dyDescent="0.25">
      <c r="A4316" s="115">
        <v>252</v>
      </c>
      <c r="B4316" s="115" t="s">
        <v>11474</v>
      </c>
      <c r="C4316" s="115" t="s">
        <v>112</v>
      </c>
      <c r="D4316" s="115">
        <v>1</v>
      </c>
      <c r="E4316" s="115" t="s">
        <v>113</v>
      </c>
      <c r="F4316" s="115" t="s">
        <v>11475</v>
      </c>
      <c r="G4316" s="115" t="s">
        <v>11476</v>
      </c>
      <c r="H4316" s="115" t="s">
        <v>11477</v>
      </c>
    </row>
    <row r="4317" spans="1:8" x14ac:dyDescent="0.25">
      <c r="A4317" s="115">
        <v>251</v>
      </c>
      <c r="B4317" s="115" t="s">
        <v>11474</v>
      </c>
      <c r="C4317" s="115" t="s">
        <v>124</v>
      </c>
      <c r="D4317" s="115">
        <v>1</v>
      </c>
      <c r="E4317" s="115" t="s">
        <v>125</v>
      </c>
      <c r="F4317" s="115" t="s">
        <v>11478</v>
      </c>
      <c r="G4317" s="115" t="s">
        <v>11479</v>
      </c>
      <c r="H4317" s="115" t="s">
        <v>11480</v>
      </c>
    </row>
    <row r="4318" spans="1:8" x14ac:dyDescent="0.25">
      <c r="A4318" s="115">
        <v>250</v>
      </c>
      <c r="B4318" s="115" t="s">
        <v>11474</v>
      </c>
      <c r="C4318" s="115" t="s">
        <v>116</v>
      </c>
      <c r="D4318" s="115">
        <v>1</v>
      </c>
      <c r="E4318" s="115" t="s">
        <v>117</v>
      </c>
      <c r="F4318" s="115" t="s">
        <v>11481</v>
      </c>
      <c r="G4318" s="115" t="s">
        <v>11482</v>
      </c>
      <c r="H4318" s="115" t="s">
        <v>11483</v>
      </c>
    </row>
    <row r="4319" spans="1:8" ht="30" x14ac:dyDescent="0.25">
      <c r="A4319" s="115">
        <v>249</v>
      </c>
      <c r="B4319" s="115" t="s">
        <v>11474</v>
      </c>
      <c r="C4319" s="115" t="s">
        <v>118</v>
      </c>
      <c r="D4319" s="115">
        <v>1</v>
      </c>
      <c r="E4319" s="115" t="s">
        <v>119</v>
      </c>
      <c r="F4319" s="115" t="s">
        <v>11484</v>
      </c>
      <c r="G4319" s="115" t="s">
        <v>11485</v>
      </c>
      <c r="H4319" s="115" t="s">
        <v>11486</v>
      </c>
    </row>
    <row r="4320" spans="1:8" ht="30" x14ac:dyDescent="0.25">
      <c r="A4320" s="115">
        <v>248</v>
      </c>
      <c r="B4320" s="115" t="s">
        <v>11474</v>
      </c>
      <c r="C4320" s="115" t="s">
        <v>114</v>
      </c>
      <c r="D4320" s="115">
        <v>1</v>
      </c>
      <c r="E4320" s="115" t="s">
        <v>115</v>
      </c>
      <c r="F4320" s="115" t="s">
        <v>11487</v>
      </c>
      <c r="G4320" s="115" t="s">
        <v>11488</v>
      </c>
      <c r="H4320" s="115" t="s">
        <v>11489</v>
      </c>
    </row>
    <row r="4321" spans="1:8" ht="30" x14ac:dyDescent="0.25">
      <c r="A4321" s="115">
        <v>247</v>
      </c>
      <c r="B4321" s="115" t="s">
        <v>11474</v>
      </c>
      <c r="C4321" s="115" t="s">
        <v>108</v>
      </c>
      <c r="D4321" s="115">
        <v>1</v>
      </c>
      <c r="E4321" s="115" t="s">
        <v>11490</v>
      </c>
      <c r="F4321" s="115" t="s">
        <v>11491</v>
      </c>
      <c r="G4321" s="115" t="s">
        <v>11492</v>
      </c>
      <c r="H4321" s="115" t="s">
        <v>11493</v>
      </c>
    </row>
    <row r="4322" spans="1:8" x14ac:dyDescent="0.25">
      <c r="A4322" s="115">
        <v>246</v>
      </c>
      <c r="B4322" s="115" t="s">
        <v>11474</v>
      </c>
      <c r="C4322" s="115" t="s">
        <v>126</v>
      </c>
      <c r="D4322" s="115">
        <v>1</v>
      </c>
      <c r="E4322" s="115" t="s">
        <v>127</v>
      </c>
      <c r="F4322" s="115" t="s">
        <v>11494</v>
      </c>
      <c r="G4322" s="115" t="s">
        <v>11495</v>
      </c>
      <c r="H4322" s="115" t="s">
        <v>11496</v>
      </c>
    </row>
    <row r="4323" spans="1:8" x14ac:dyDescent="0.25">
      <c r="A4323" s="115">
        <v>245</v>
      </c>
      <c r="B4323" s="115" t="s">
        <v>11474</v>
      </c>
      <c r="C4323" s="115" t="s">
        <v>120</v>
      </c>
      <c r="D4323" s="115">
        <v>1</v>
      </c>
      <c r="E4323" s="115" t="s">
        <v>121</v>
      </c>
      <c r="F4323" s="115" t="s">
        <v>882</v>
      </c>
      <c r="G4323" s="115" t="s">
        <v>11497</v>
      </c>
      <c r="H4323" s="115" t="s">
        <v>11498</v>
      </c>
    </row>
    <row r="4324" spans="1:8" x14ac:dyDescent="0.25">
      <c r="A4324" s="115">
        <v>238</v>
      </c>
      <c r="B4324" s="115" t="s">
        <v>71</v>
      </c>
      <c r="C4324" s="115" t="s">
        <v>8558</v>
      </c>
      <c r="D4324" s="115">
        <v>1</v>
      </c>
      <c r="E4324" s="115" t="s">
        <v>334</v>
      </c>
      <c r="F4324" s="115" t="s">
        <v>335</v>
      </c>
      <c r="G4324" s="115" t="s">
        <v>11499</v>
      </c>
      <c r="H4324" s="115" t="s">
        <v>337</v>
      </c>
    </row>
    <row r="4325" spans="1:8" ht="30" x14ac:dyDescent="0.25">
      <c r="A4325" s="115">
        <v>236</v>
      </c>
      <c r="B4325" s="115" t="s">
        <v>71</v>
      </c>
      <c r="C4325" s="115" t="s">
        <v>9885</v>
      </c>
      <c r="D4325" s="115">
        <v>1</v>
      </c>
      <c r="E4325" s="115" t="s">
        <v>11500</v>
      </c>
      <c r="F4325" s="115" t="s">
        <v>11501</v>
      </c>
      <c r="G4325" s="115" t="s">
        <v>11502</v>
      </c>
      <c r="H4325" s="115" t="s">
        <v>11503</v>
      </c>
    </row>
    <row r="4326" spans="1:8" x14ac:dyDescent="0.25">
      <c r="A4326" s="115">
        <v>235</v>
      </c>
      <c r="B4326" s="115" t="s">
        <v>71</v>
      </c>
      <c r="C4326" s="115" t="s">
        <v>11504</v>
      </c>
      <c r="D4326" s="115">
        <v>1</v>
      </c>
      <c r="E4326" s="115" t="s">
        <v>11505</v>
      </c>
      <c r="F4326" s="115" t="s">
        <v>11506</v>
      </c>
      <c r="G4326" s="115" t="s">
        <v>11507</v>
      </c>
      <c r="H4326" s="115" t="s">
        <v>11508</v>
      </c>
    </row>
    <row r="4327" spans="1:8" x14ac:dyDescent="0.25">
      <c r="A4327" s="115">
        <v>234</v>
      </c>
      <c r="B4327" s="115" t="s">
        <v>71</v>
      </c>
      <c r="C4327" s="115" t="s">
        <v>11509</v>
      </c>
      <c r="D4327" s="115">
        <v>1</v>
      </c>
      <c r="E4327" s="115" t="s">
        <v>11510</v>
      </c>
      <c r="F4327" s="115" t="s">
        <v>11511</v>
      </c>
      <c r="G4327" s="115" t="s">
        <v>11512</v>
      </c>
      <c r="H4327" s="115" t="s">
        <v>11513</v>
      </c>
    </row>
    <row r="4328" spans="1:8" x14ac:dyDescent="0.25">
      <c r="A4328" s="115">
        <v>233</v>
      </c>
      <c r="B4328" s="115" t="s">
        <v>71</v>
      </c>
      <c r="C4328" s="115" t="s">
        <v>9880</v>
      </c>
      <c r="D4328" s="115">
        <v>1</v>
      </c>
      <c r="E4328" s="115" t="s">
        <v>11514</v>
      </c>
      <c r="F4328" s="115" t="s">
        <v>9882</v>
      </c>
      <c r="G4328" s="115" t="s">
        <v>11515</v>
      </c>
      <c r="H4328" s="115" t="s">
        <v>9884</v>
      </c>
    </row>
    <row r="4329" spans="1:8" x14ac:dyDescent="0.25">
      <c r="A4329" s="115">
        <v>232</v>
      </c>
      <c r="B4329" s="115" t="s">
        <v>71</v>
      </c>
      <c r="C4329" s="115" t="s">
        <v>9895</v>
      </c>
      <c r="D4329" s="115">
        <v>1</v>
      </c>
      <c r="E4329" s="115" t="s">
        <v>9896</v>
      </c>
      <c r="F4329" s="115" t="s">
        <v>9897</v>
      </c>
      <c r="G4329" s="115" t="s">
        <v>11516</v>
      </c>
      <c r="H4329" s="115" t="s">
        <v>11517</v>
      </c>
    </row>
    <row r="4330" spans="1:8" ht="30" x14ac:dyDescent="0.25">
      <c r="A4330" s="115">
        <v>231</v>
      </c>
      <c r="B4330" s="115" t="s">
        <v>71</v>
      </c>
      <c r="C4330" s="115" t="s">
        <v>11518</v>
      </c>
      <c r="D4330" s="115">
        <v>1</v>
      </c>
      <c r="E4330" s="115" t="s">
        <v>11519</v>
      </c>
      <c r="F4330" s="115" t="s">
        <v>11520</v>
      </c>
      <c r="G4330" s="115" t="s">
        <v>11521</v>
      </c>
      <c r="H4330" s="115" t="s">
        <v>11522</v>
      </c>
    </row>
    <row r="4331" spans="1:8" x14ac:dyDescent="0.25">
      <c r="A4331" s="115">
        <v>230</v>
      </c>
      <c r="B4331" s="115" t="s">
        <v>313</v>
      </c>
      <c r="C4331" s="115" t="s">
        <v>11523</v>
      </c>
      <c r="D4331" s="115">
        <v>1</v>
      </c>
      <c r="E4331" s="115" t="s">
        <v>11524</v>
      </c>
      <c r="F4331" s="115" t="s">
        <v>9832</v>
      </c>
      <c r="G4331" s="115" t="s">
        <v>11525</v>
      </c>
      <c r="H4331" s="115" t="s">
        <v>11513</v>
      </c>
    </row>
    <row r="4332" spans="1:8" ht="30" x14ac:dyDescent="0.25">
      <c r="A4332" s="115">
        <v>229</v>
      </c>
      <c r="B4332" s="115" t="s">
        <v>71</v>
      </c>
      <c r="C4332" s="115" t="s">
        <v>11526</v>
      </c>
      <c r="D4332" s="115">
        <v>1</v>
      </c>
      <c r="E4332" s="115" t="s">
        <v>5671</v>
      </c>
      <c r="F4332" s="115" t="s">
        <v>11527</v>
      </c>
      <c r="G4332" s="115" t="s">
        <v>5673</v>
      </c>
      <c r="H4332" s="115" t="s">
        <v>11528</v>
      </c>
    </row>
    <row r="4333" spans="1:8" x14ac:dyDescent="0.25">
      <c r="A4333" s="115">
        <v>228</v>
      </c>
      <c r="B4333" s="115" t="s">
        <v>71</v>
      </c>
      <c r="C4333" s="115" t="s">
        <v>11529</v>
      </c>
      <c r="D4333" s="115">
        <v>1</v>
      </c>
      <c r="E4333" s="115" t="s">
        <v>11530</v>
      </c>
      <c r="F4333" s="115" t="s">
        <v>11531</v>
      </c>
      <c r="G4333" s="115" t="s">
        <v>11532</v>
      </c>
      <c r="H4333" s="115" t="s">
        <v>11533</v>
      </c>
    </row>
    <row r="4334" spans="1:8" ht="30" x14ac:dyDescent="0.25">
      <c r="A4334" s="115">
        <v>227</v>
      </c>
      <c r="B4334" s="115" t="s">
        <v>71</v>
      </c>
      <c r="C4334" s="115" t="s">
        <v>11534</v>
      </c>
      <c r="D4334" s="115">
        <v>1</v>
      </c>
      <c r="E4334" s="115" t="s">
        <v>11535</v>
      </c>
      <c r="F4334" s="115" t="s">
        <v>11536</v>
      </c>
      <c r="G4334" s="115" t="s">
        <v>11537</v>
      </c>
      <c r="H4334" s="115" t="s">
        <v>11538</v>
      </c>
    </row>
    <row r="4335" spans="1:8" ht="30" x14ac:dyDescent="0.25">
      <c r="A4335" s="115">
        <v>226</v>
      </c>
      <c r="B4335" s="115" t="s">
        <v>71</v>
      </c>
      <c r="C4335" s="115" t="s">
        <v>11539</v>
      </c>
      <c r="D4335" s="115">
        <v>1</v>
      </c>
      <c r="E4335" s="115" t="s">
        <v>11540</v>
      </c>
      <c r="F4335" s="115" t="s">
        <v>11541</v>
      </c>
      <c r="G4335" s="115" t="s">
        <v>9391</v>
      </c>
      <c r="H4335" s="115" t="s">
        <v>11542</v>
      </c>
    </row>
    <row r="4336" spans="1:8" x14ac:dyDescent="0.25">
      <c r="A4336" s="115">
        <v>225</v>
      </c>
      <c r="B4336" s="115" t="s">
        <v>71</v>
      </c>
      <c r="C4336" s="115" t="s">
        <v>11543</v>
      </c>
      <c r="D4336" s="115">
        <v>1</v>
      </c>
      <c r="E4336" s="115" t="s">
        <v>11544</v>
      </c>
      <c r="F4336" s="115" t="s">
        <v>11545</v>
      </c>
      <c r="G4336" s="115" t="s">
        <v>11546</v>
      </c>
      <c r="H4336" s="115" t="s">
        <v>11547</v>
      </c>
    </row>
    <row r="4337" spans="1:8" x14ac:dyDescent="0.25">
      <c r="A4337" s="115">
        <v>224</v>
      </c>
      <c r="B4337" s="115" t="s">
        <v>45</v>
      </c>
      <c r="C4337" s="115" t="s">
        <v>11548</v>
      </c>
      <c r="D4337" s="115">
        <v>1</v>
      </c>
      <c r="E4337" s="115" t="s">
        <v>11549</v>
      </c>
      <c r="F4337" s="115" t="s">
        <v>11550</v>
      </c>
      <c r="G4337" s="115" t="s">
        <v>11551</v>
      </c>
      <c r="H4337" s="115" t="s">
        <v>11552</v>
      </c>
    </row>
    <row r="4338" spans="1:8" ht="30" x14ac:dyDescent="0.25">
      <c r="A4338" s="115">
        <v>223</v>
      </c>
      <c r="B4338" s="115" t="s">
        <v>45</v>
      </c>
      <c r="C4338" s="115" t="s">
        <v>11553</v>
      </c>
      <c r="D4338" s="115">
        <v>1</v>
      </c>
      <c r="E4338" s="115" t="s">
        <v>11554</v>
      </c>
      <c r="F4338" s="115" t="s">
        <v>11555</v>
      </c>
      <c r="G4338" s="115" t="s">
        <v>11556</v>
      </c>
      <c r="H4338" s="115" t="s">
        <v>11557</v>
      </c>
    </row>
    <row r="4339" spans="1:8" ht="30" x14ac:dyDescent="0.25">
      <c r="A4339" s="115">
        <v>222</v>
      </c>
      <c r="B4339" s="115" t="s">
        <v>313</v>
      </c>
      <c r="C4339" s="115" t="s">
        <v>11558</v>
      </c>
      <c r="D4339" s="115">
        <v>1</v>
      </c>
      <c r="E4339" s="115" t="s">
        <v>11500</v>
      </c>
      <c r="F4339" s="115" t="s">
        <v>11501</v>
      </c>
      <c r="G4339" s="115" t="s">
        <v>11502</v>
      </c>
      <c r="H4339" s="115" t="s">
        <v>11503</v>
      </c>
    </row>
    <row r="4340" spans="1:8" ht="30" x14ac:dyDescent="0.25">
      <c r="A4340" s="115">
        <v>221</v>
      </c>
      <c r="B4340" s="115" t="s">
        <v>313</v>
      </c>
      <c r="C4340" s="115" t="s">
        <v>11559</v>
      </c>
      <c r="D4340" s="115">
        <v>1</v>
      </c>
      <c r="E4340" s="115" t="s">
        <v>11500</v>
      </c>
      <c r="F4340" s="115" t="s">
        <v>11501</v>
      </c>
      <c r="G4340" s="115" t="s">
        <v>11502</v>
      </c>
      <c r="H4340" s="115" t="s">
        <v>11503</v>
      </c>
    </row>
    <row r="4341" spans="1:8" x14ac:dyDescent="0.25">
      <c r="A4341" s="115">
        <v>220</v>
      </c>
      <c r="B4341" s="115" t="s">
        <v>9398</v>
      </c>
      <c r="C4341" s="115" t="s">
        <v>11560</v>
      </c>
      <c r="D4341" s="115">
        <v>1</v>
      </c>
      <c r="E4341" s="115" t="s">
        <v>10066</v>
      </c>
      <c r="F4341" s="115" t="s">
        <v>10067</v>
      </c>
      <c r="G4341" s="115" t="s">
        <v>10068</v>
      </c>
      <c r="H4341" s="115" t="s">
        <v>10496</v>
      </c>
    </row>
    <row r="4342" spans="1:8" x14ac:dyDescent="0.25">
      <c r="A4342" s="115">
        <v>219</v>
      </c>
      <c r="B4342" s="115" t="s">
        <v>9398</v>
      </c>
      <c r="C4342" s="115" t="s">
        <v>11561</v>
      </c>
      <c r="D4342" s="115">
        <v>1</v>
      </c>
      <c r="E4342" s="115" t="s">
        <v>11562</v>
      </c>
      <c r="F4342" s="115" t="s">
        <v>11563</v>
      </c>
      <c r="G4342" s="115" t="s">
        <v>11564</v>
      </c>
      <c r="H4342" s="115" t="s">
        <v>11565</v>
      </c>
    </row>
    <row r="4343" spans="1:8" x14ac:dyDescent="0.25">
      <c r="A4343" s="115">
        <v>218</v>
      </c>
      <c r="B4343" s="115" t="s">
        <v>9398</v>
      </c>
      <c r="C4343" s="115" t="s">
        <v>11566</v>
      </c>
      <c r="D4343" s="115">
        <v>1</v>
      </c>
      <c r="E4343" s="115" t="s">
        <v>11567</v>
      </c>
      <c r="F4343" s="115" t="s">
        <v>9497</v>
      </c>
      <c r="G4343" s="115" t="s">
        <v>11568</v>
      </c>
      <c r="H4343" s="115" t="s">
        <v>11569</v>
      </c>
    </row>
    <row r="4344" spans="1:8" x14ac:dyDescent="0.25">
      <c r="A4344" s="115">
        <v>217</v>
      </c>
      <c r="B4344" s="115" t="s">
        <v>9398</v>
      </c>
      <c r="C4344" s="115" t="s">
        <v>11570</v>
      </c>
      <c r="D4344" s="115">
        <v>1</v>
      </c>
      <c r="E4344" s="115" t="s">
        <v>11567</v>
      </c>
      <c r="F4344" s="115" t="s">
        <v>9497</v>
      </c>
      <c r="G4344" s="115" t="s">
        <v>11568</v>
      </c>
      <c r="H4344" s="115" t="s">
        <v>11571</v>
      </c>
    </row>
    <row r="4345" spans="1:8" x14ac:dyDescent="0.25">
      <c r="A4345" s="115">
        <v>216</v>
      </c>
      <c r="B4345" s="115" t="s">
        <v>9398</v>
      </c>
      <c r="C4345" s="115" t="s">
        <v>11572</v>
      </c>
      <c r="D4345" s="115">
        <v>1</v>
      </c>
      <c r="E4345" s="115" t="s">
        <v>10066</v>
      </c>
      <c r="F4345" s="115" t="s">
        <v>10067</v>
      </c>
      <c r="G4345" s="115" t="s">
        <v>10068</v>
      </c>
      <c r="H4345" s="115" t="s">
        <v>10496</v>
      </c>
    </row>
    <row r="4346" spans="1:8" x14ac:dyDescent="0.25">
      <c r="A4346" s="115">
        <v>215</v>
      </c>
      <c r="B4346" s="115" t="s">
        <v>9398</v>
      </c>
      <c r="C4346" s="115" t="s">
        <v>11573</v>
      </c>
      <c r="D4346" s="115">
        <v>1</v>
      </c>
      <c r="E4346" s="115" t="s">
        <v>9478</v>
      </c>
      <c r="F4346" s="115" t="s">
        <v>9479</v>
      </c>
      <c r="G4346" s="115" t="s">
        <v>9480</v>
      </c>
      <c r="H4346" s="115" t="s">
        <v>11574</v>
      </c>
    </row>
    <row r="4347" spans="1:8" x14ac:dyDescent="0.25">
      <c r="A4347" s="115">
        <v>214</v>
      </c>
      <c r="B4347" s="115" t="s">
        <v>9398</v>
      </c>
      <c r="C4347" s="115" t="s">
        <v>11575</v>
      </c>
      <c r="D4347" s="115">
        <v>1</v>
      </c>
      <c r="E4347" s="115" t="s">
        <v>183</v>
      </c>
      <c r="F4347" s="115" t="s">
        <v>9474</v>
      </c>
      <c r="G4347" s="115" t="s">
        <v>9475</v>
      </c>
      <c r="H4347" s="115" t="s">
        <v>11576</v>
      </c>
    </row>
    <row r="4348" spans="1:8" ht="30" x14ac:dyDescent="0.25">
      <c r="A4348" s="115">
        <v>213</v>
      </c>
      <c r="B4348" s="115" t="s">
        <v>9398</v>
      </c>
      <c r="C4348" s="115" t="s">
        <v>11577</v>
      </c>
      <c r="D4348" s="115">
        <v>1</v>
      </c>
      <c r="E4348" s="115" t="s">
        <v>11578</v>
      </c>
      <c r="F4348" s="115" t="s">
        <v>11579</v>
      </c>
      <c r="G4348" s="115" t="s">
        <v>11580</v>
      </c>
      <c r="H4348" s="115" t="s">
        <v>11581</v>
      </c>
    </row>
    <row r="4349" spans="1:8" x14ac:dyDescent="0.25">
      <c r="A4349" s="115">
        <v>212</v>
      </c>
      <c r="B4349" s="115" t="s">
        <v>9398</v>
      </c>
      <c r="C4349" s="115" t="s">
        <v>11582</v>
      </c>
      <c r="D4349" s="115">
        <v>1</v>
      </c>
      <c r="E4349" s="115" t="s">
        <v>11583</v>
      </c>
      <c r="F4349" s="115" t="s">
        <v>11584</v>
      </c>
      <c r="G4349" s="115" t="s">
        <v>11585</v>
      </c>
      <c r="H4349" s="115" t="s">
        <v>11586</v>
      </c>
    </row>
    <row r="4350" spans="1:8" x14ac:dyDescent="0.25">
      <c r="A4350" s="115">
        <v>211</v>
      </c>
      <c r="B4350" s="115" t="s">
        <v>9398</v>
      </c>
      <c r="C4350" s="115" t="s">
        <v>11587</v>
      </c>
      <c r="D4350" s="115">
        <v>1</v>
      </c>
      <c r="E4350" s="115" t="s">
        <v>11588</v>
      </c>
      <c r="F4350" s="115" t="s">
        <v>11589</v>
      </c>
      <c r="G4350" s="115" t="s">
        <v>11590</v>
      </c>
      <c r="H4350" s="115" t="s">
        <v>11591</v>
      </c>
    </row>
    <row r="4351" spans="1:8" x14ac:dyDescent="0.25">
      <c r="A4351" s="115">
        <v>210</v>
      </c>
      <c r="B4351" s="115" t="s">
        <v>9398</v>
      </c>
      <c r="C4351" s="115" t="s">
        <v>11592</v>
      </c>
      <c r="D4351" s="115">
        <v>1</v>
      </c>
      <c r="E4351" s="115" t="s">
        <v>11593</v>
      </c>
      <c r="F4351" s="115" t="s">
        <v>11594</v>
      </c>
      <c r="G4351" s="115" t="s">
        <v>11595</v>
      </c>
      <c r="H4351" s="115" t="s">
        <v>11596</v>
      </c>
    </row>
    <row r="4352" spans="1:8" x14ac:dyDescent="0.25">
      <c r="A4352" s="115">
        <v>209</v>
      </c>
      <c r="B4352" s="115" t="s">
        <v>9398</v>
      </c>
      <c r="C4352" s="115" t="s">
        <v>11597</v>
      </c>
      <c r="D4352" s="115">
        <v>1</v>
      </c>
      <c r="E4352" s="115" t="s">
        <v>11598</v>
      </c>
      <c r="F4352" s="115" t="s">
        <v>11599</v>
      </c>
      <c r="G4352" s="115" t="s">
        <v>11600</v>
      </c>
      <c r="H4352" s="115" t="s">
        <v>11601</v>
      </c>
    </row>
    <row r="4353" spans="1:8" ht="30" x14ac:dyDescent="0.25">
      <c r="A4353" s="115">
        <v>208</v>
      </c>
      <c r="B4353" s="115" t="s">
        <v>9398</v>
      </c>
      <c r="C4353" s="115" t="s">
        <v>11602</v>
      </c>
      <c r="D4353" s="115">
        <v>1</v>
      </c>
      <c r="E4353" s="115" t="s">
        <v>11603</v>
      </c>
      <c r="F4353" s="115" t="s">
        <v>11604</v>
      </c>
      <c r="G4353" s="115" t="s">
        <v>11605</v>
      </c>
      <c r="H4353" s="115" t="s">
        <v>11606</v>
      </c>
    </row>
    <row r="4354" spans="1:8" x14ac:dyDescent="0.25">
      <c r="A4354" s="115">
        <v>207</v>
      </c>
      <c r="B4354" s="115" t="s">
        <v>9398</v>
      </c>
      <c r="C4354" s="115" t="s">
        <v>11607</v>
      </c>
      <c r="D4354" s="115">
        <v>1</v>
      </c>
      <c r="E4354" s="115" t="s">
        <v>11608</v>
      </c>
      <c r="F4354" s="115" t="s">
        <v>11609</v>
      </c>
      <c r="G4354" s="115" t="s">
        <v>11610</v>
      </c>
      <c r="H4354" s="115" t="s">
        <v>11611</v>
      </c>
    </row>
    <row r="4355" spans="1:8" x14ac:dyDescent="0.25">
      <c r="A4355" s="115">
        <v>206</v>
      </c>
      <c r="B4355" s="115" t="s">
        <v>9398</v>
      </c>
      <c r="C4355" s="115" t="s">
        <v>11612</v>
      </c>
      <c r="D4355" s="115">
        <v>1</v>
      </c>
      <c r="E4355" s="115" t="s">
        <v>416</v>
      </c>
      <c r="F4355" s="115" t="s">
        <v>417</v>
      </c>
      <c r="G4355" s="115" t="s">
        <v>418</v>
      </c>
      <c r="H4355" s="115" t="s">
        <v>419</v>
      </c>
    </row>
    <row r="4356" spans="1:8" x14ac:dyDescent="0.25">
      <c r="A4356" s="115">
        <v>205</v>
      </c>
      <c r="B4356" s="115" t="s">
        <v>8626</v>
      </c>
      <c r="C4356" s="115" t="s">
        <v>11613</v>
      </c>
      <c r="D4356" s="115">
        <v>1</v>
      </c>
      <c r="E4356" s="115" t="s">
        <v>11614</v>
      </c>
      <c r="F4356" s="115" t="s">
        <v>11615</v>
      </c>
      <c r="G4356" s="115" t="s">
        <v>11616</v>
      </c>
      <c r="H4356" s="115" t="s">
        <v>11617</v>
      </c>
    </row>
    <row r="4357" spans="1:8" x14ac:dyDescent="0.25">
      <c r="A4357" s="115">
        <v>204</v>
      </c>
      <c r="B4357" s="115" t="s">
        <v>8626</v>
      </c>
      <c r="C4357" s="115" t="s">
        <v>11618</v>
      </c>
      <c r="D4357" s="115">
        <v>1</v>
      </c>
      <c r="E4357" s="115" t="s">
        <v>11619</v>
      </c>
      <c r="F4357" s="115" t="s">
        <v>11620</v>
      </c>
      <c r="G4357" s="115" t="s">
        <v>11621</v>
      </c>
      <c r="H4357" s="115" t="s">
        <v>11622</v>
      </c>
    </row>
    <row r="4358" spans="1:8" ht="30" x14ac:dyDescent="0.25">
      <c r="A4358" s="115">
        <v>203</v>
      </c>
      <c r="B4358" s="115" t="s">
        <v>8626</v>
      </c>
      <c r="C4358" s="115" t="s">
        <v>11623</v>
      </c>
      <c r="D4358" s="115">
        <v>1</v>
      </c>
      <c r="E4358" s="115" t="s">
        <v>11624</v>
      </c>
      <c r="F4358" s="115" t="s">
        <v>11625</v>
      </c>
      <c r="G4358" s="115" t="s">
        <v>11626</v>
      </c>
      <c r="H4358" s="115" t="s">
        <v>11627</v>
      </c>
    </row>
    <row r="4359" spans="1:8" x14ac:dyDescent="0.25">
      <c r="A4359" s="115">
        <v>202</v>
      </c>
      <c r="B4359" s="115" t="s">
        <v>8626</v>
      </c>
      <c r="C4359" s="115" t="s">
        <v>11628</v>
      </c>
      <c r="D4359" s="115">
        <v>1</v>
      </c>
      <c r="E4359" s="115" t="s">
        <v>159</v>
      </c>
      <c r="F4359" s="115" t="s">
        <v>338</v>
      </c>
      <c r="G4359" s="115" t="s">
        <v>11468</v>
      </c>
      <c r="H4359" s="115" t="s">
        <v>11629</v>
      </c>
    </row>
    <row r="4360" spans="1:8" x14ac:dyDescent="0.25">
      <c r="A4360" s="115">
        <v>201</v>
      </c>
      <c r="B4360" s="115" t="s">
        <v>8626</v>
      </c>
      <c r="C4360" s="115" t="s">
        <v>11630</v>
      </c>
      <c r="D4360" s="115">
        <v>1</v>
      </c>
      <c r="E4360" s="115" t="s">
        <v>11631</v>
      </c>
      <c r="F4360" s="115" t="s">
        <v>11632</v>
      </c>
      <c r="G4360" s="115" t="s">
        <v>11633</v>
      </c>
      <c r="H4360" s="115" t="s">
        <v>11634</v>
      </c>
    </row>
    <row r="4361" spans="1:8" x14ac:dyDescent="0.25">
      <c r="A4361" s="115">
        <v>200</v>
      </c>
      <c r="B4361" s="115" t="s">
        <v>8626</v>
      </c>
      <c r="C4361" s="115" t="s">
        <v>11635</v>
      </c>
      <c r="D4361" s="115">
        <v>1</v>
      </c>
      <c r="E4361" s="115" t="s">
        <v>181</v>
      </c>
      <c r="F4361" s="115" t="s">
        <v>9293</v>
      </c>
      <c r="G4361" s="115" t="s">
        <v>11636</v>
      </c>
      <c r="H4361" s="115" t="s">
        <v>11637</v>
      </c>
    </row>
    <row r="4362" spans="1:8" x14ac:dyDescent="0.25">
      <c r="A4362" s="115">
        <v>199</v>
      </c>
      <c r="B4362" s="115" t="s">
        <v>8626</v>
      </c>
      <c r="C4362" s="115" t="s">
        <v>11638</v>
      </c>
      <c r="D4362" s="115">
        <v>1</v>
      </c>
      <c r="E4362" s="115" t="s">
        <v>185</v>
      </c>
      <c r="F4362" s="115" t="s">
        <v>6750</v>
      </c>
      <c r="G4362" s="115" t="s">
        <v>6749</v>
      </c>
      <c r="H4362" s="115" t="s">
        <v>9922</v>
      </c>
    </row>
    <row r="4363" spans="1:8" x14ac:dyDescent="0.25">
      <c r="A4363" s="115">
        <v>198</v>
      </c>
      <c r="B4363" s="115" t="s">
        <v>8626</v>
      </c>
      <c r="C4363" s="115" t="s">
        <v>11639</v>
      </c>
      <c r="D4363" s="115">
        <v>1</v>
      </c>
      <c r="E4363" s="115" t="s">
        <v>11640</v>
      </c>
      <c r="F4363" s="115" t="s">
        <v>11641</v>
      </c>
      <c r="G4363" s="115" t="s">
        <v>11642</v>
      </c>
      <c r="H4363" s="115" t="s">
        <v>11643</v>
      </c>
    </row>
    <row r="4364" spans="1:8" ht="30" x14ac:dyDescent="0.25">
      <c r="A4364" s="115">
        <v>197</v>
      </c>
      <c r="B4364" s="115" t="s">
        <v>8626</v>
      </c>
      <c r="C4364" s="115" t="s">
        <v>11644</v>
      </c>
      <c r="D4364" s="115">
        <v>1</v>
      </c>
      <c r="E4364" s="115" t="s">
        <v>11645</v>
      </c>
      <c r="F4364" s="115" t="s">
        <v>11646</v>
      </c>
      <c r="G4364" s="115" t="s">
        <v>11647</v>
      </c>
      <c r="H4364" s="115" t="s">
        <v>11648</v>
      </c>
    </row>
    <row r="4365" spans="1:8" ht="30" x14ac:dyDescent="0.25">
      <c r="A4365" s="115">
        <v>196</v>
      </c>
      <c r="B4365" s="115" t="s">
        <v>8626</v>
      </c>
      <c r="C4365" s="115" t="s">
        <v>11649</v>
      </c>
      <c r="D4365" s="115">
        <v>1</v>
      </c>
      <c r="E4365" s="115" t="s">
        <v>11650</v>
      </c>
      <c r="F4365" s="115" t="s">
        <v>11651</v>
      </c>
      <c r="G4365" s="115" t="s">
        <v>11652</v>
      </c>
      <c r="H4365" s="115" t="s">
        <v>11653</v>
      </c>
    </row>
    <row r="4366" spans="1:8" ht="30" x14ac:dyDescent="0.25">
      <c r="A4366" s="115">
        <v>195</v>
      </c>
      <c r="B4366" s="115" t="s">
        <v>8626</v>
      </c>
      <c r="C4366" s="115" t="s">
        <v>11577</v>
      </c>
      <c r="D4366" s="115">
        <v>1</v>
      </c>
      <c r="E4366" s="115" t="s">
        <v>11654</v>
      </c>
      <c r="F4366" s="115" t="s">
        <v>11655</v>
      </c>
      <c r="G4366" s="115" t="s">
        <v>11656</v>
      </c>
      <c r="H4366" s="115" t="s">
        <v>11657</v>
      </c>
    </row>
    <row r="4367" spans="1:8" ht="30" x14ac:dyDescent="0.25">
      <c r="A4367" s="115">
        <v>194</v>
      </c>
      <c r="B4367" s="115" t="s">
        <v>8626</v>
      </c>
      <c r="C4367" s="115" t="s">
        <v>11658</v>
      </c>
      <c r="D4367" s="115">
        <v>1</v>
      </c>
      <c r="E4367" s="115" t="s">
        <v>11659</v>
      </c>
      <c r="F4367" s="115" t="s">
        <v>11660</v>
      </c>
      <c r="G4367" s="115" t="s">
        <v>11661</v>
      </c>
      <c r="H4367" s="115" t="s">
        <v>11662</v>
      </c>
    </row>
    <row r="4368" spans="1:8" x14ac:dyDescent="0.25">
      <c r="A4368" s="115">
        <v>193</v>
      </c>
      <c r="B4368" s="115" t="s">
        <v>8626</v>
      </c>
      <c r="C4368" s="115" t="s">
        <v>11663</v>
      </c>
      <c r="D4368" s="115">
        <v>1</v>
      </c>
      <c r="E4368" s="115" t="s">
        <v>11664</v>
      </c>
      <c r="F4368" s="115" t="s">
        <v>11665</v>
      </c>
      <c r="G4368" s="115" t="s">
        <v>11666</v>
      </c>
      <c r="H4368" s="115" t="s">
        <v>11667</v>
      </c>
    </row>
    <row r="4369" spans="1:8" ht="30" x14ac:dyDescent="0.25">
      <c r="A4369" s="115">
        <v>191</v>
      </c>
      <c r="B4369" s="115" t="s">
        <v>45</v>
      </c>
      <c r="C4369" s="115" t="s">
        <v>11668</v>
      </c>
      <c r="D4369" s="115">
        <v>1</v>
      </c>
      <c r="E4369" s="115" t="s">
        <v>11669</v>
      </c>
      <c r="F4369" s="115" t="s">
        <v>11670</v>
      </c>
      <c r="G4369" s="115" t="s">
        <v>11671</v>
      </c>
      <c r="H4369" s="115" t="s">
        <v>11672</v>
      </c>
    </row>
    <row r="4370" spans="1:8" x14ac:dyDescent="0.25">
      <c r="A4370" s="115">
        <v>190</v>
      </c>
      <c r="B4370" s="115" t="s">
        <v>377</v>
      </c>
      <c r="C4370" s="115" t="s">
        <v>11673</v>
      </c>
      <c r="D4370" s="115">
        <v>0</v>
      </c>
      <c r="E4370" s="115" t="s">
        <v>11674</v>
      </c>
      <c r="F4370" s="115" t="s">
        <v>11674</v>
      </c>
      <c r="G4370" s="115" t="s">
        <v>11674</v>
      </c>
      <c r="H4370" s="115" t="s">
        <v>11674</v>
      </c>
    </row>
    <row r="4371" spans="1:8" x14ac:dyDescent="0.25">
      <c r="A4371" s="115">
        <v>189</v>
      </c>
      <c r="B4371" s="115" t="s">
        <v>377</v>
      </c>
      <c r="C4371" s="115" t="s">
        <v>11675</v>
      </c>
      <c r="D4371" s="115">
        <v>0</v>
      </c>
      <c r="E4371" s="115" t="s">
        <v>11676</v>
      </c>
      <c r="F4371" s="115" t="s">
        <v>11676</v>
      </c>
      <c r="G4371" s="115" t="s">
        <v>11676</v>
      </c>
      <c r="H4371" s="115" t="s">
        <v>11677</v>
      </c>
    </row>
    <row r="4372" spans="1:8" x14ac:dyDescent="0.25">
      <c r="A4372" s="115">
        <v>188</v>
      </c>
      <c r="B4372" s="115" t="s">
        <v>45</v>
      </c>
      <c r="C4372" s="115" t="s">
        <v>11678</v>
      </c>
      <c r="D4372" s="115">
        <v>1</v>
      </c>
      <c r="E4372" s="115" t="s">
        <v>11679</v>
      </c>
      <c r="F4372" s="115" t="s">
        <v>11680</v>
      </c>
      <c r="G4372" s="115" t="s">
        <v>11681</v>
      </c>
      <c r="H4372" s="115" t="s">
        <v>11682</v>
      </c>
    </row>
    <row r="4373" spans="1:8" ht="30" x14ac:dyDescent="0.25">
      <c r="A4373" s="115">
        <v>187</v>
      </c>
      <c r="B4373" s="115" t="s">
        <v>11683</v>
      </c>
      <c r="C4373" s="115" t="s">
        <v>11684</v>
      </c>
      <c r="D4373" s="115">
        <v>1</v>
      </c>
      <c r="E4373" s="115" t="s">
        <v>11685</v>
      </c>
      <c r="F4373" s="115" t="s">
        <v>11686</v>
      </c>
      <c r="G4373" s="115" t="s">
        <v>11687</v>
      </c>
      <c r="H4373" s="115" t="s">
        <v>11688</v>
      </c>
    </row>
    <row r="4374" spans="1:8" ht="30" x14ac:dyDescent="0.25">
      <c r="A4374" s="115">
        <v>186</v>
      </c>
      <c r="B4374" s="115" t="s">
        <v>149</v>
      </c>
      <c r="C4374" s="115" t="s">
        <v>11689</v>
      </c>
      <c r="D4374" s="115">
        <v>0</v>
      </c>
      <c r="E4374" s="115" t="s">
        <v>11690</v>
      </c>
      <c r="F4374" s="115" t="s">
        <v>11691</v>
      </c>
      <c r="G4374" s="115" t="s">
        <v>11692</v>
      </c>
      <c r="H4374" s="115" t="s">
        <v>11693</v>
      </c>
    </row>
    <row r="4375" spans="1:8" x14ac:dyDescent="0.25">
      <c r="A4375" s="115">
        <v>185</v>
      </c>
      <c r="B4375" s="115" t="s">
        <v>149</v>
      </c>
      <c r="C4375" s="115" t="s">
        <v>8626</v>
      </c>
      <c r="D4375" s="115">
        <v>0</v>
      </c>
      <c r="E4375" s="115" t="s">
        <v>11454</v>
      </c>
      <c r="F4375" s="115" t="s">
        <v>11455</v>
      </c>
      <c r="G4375" s="115" t="s">
        <v>11694</v>
      </c>
      <c r="H4375" s="115" t="s">
        <v>11457</v>
      </c>
    </row>
    <row r="4376" spans="1:8" ht="30" x14ac:dyDescent="0.25">
      <c r="A4376" s="115">
        <v>184</v>
      </c>
      <c r="B4376" s="115" t="s">
        <v>149</v>
      </c>
      <c r="C4376" s="115" t="s">
        <v>11695</v>
      </c>
      <c r="D4376" s="115">
        <v>0</v>
      </c>
      <c r="E4376" s="115" t="s">
        <v>11696</v>
      </c>
      <c r="F4376" s="115" t="s">
        <v>11697</v>
      </c>
      <c r="G4376" s="115" t="s">
        <v>11698</v>
      </c>
      <c r="H4376" s="115" t="s">
        <v>11699</v>
      </c>
    </row>
    <row r="4377" spans="1:8" ht="30" x14ac:dyDescent="0.25">
      <c r="A4377" s="115">
        <v>183</v>
      </c>
      <c r="B4377" s="115" t="s">
        <v>149</v>
      </c>
      <c r="C4377" s="115" t="s">
        <v>11700</v>
      </c>
      <c r="D4377" s="115">
        <v>0</v>
      </c>
      <c r="E4377" s="115" t="s">
        <v>11701</v>
      </c>
      <c r="F4377" s="115" t="s">
        <v>11702</v>
      </c>
      <c r="G4377" s="115" t="s">
        <v>11703</v>
      </c>
      <c r="H4377" s="115" t="s">
        <v>11704</v>
      </c>
    </row>
    <row r="4378" spans="1:8" x14ac:dyDescent="0.25">
      <c r="A4378" s="115">
        <v>182</v>
      </c>
      <c r="B4378" s="115" t="s">
        <v>149</v>
      </c>
      <c r="C4378" s="115" t="s">
        <v>11705</v>
      </c>
      <c r="D4378" s="115">
        <v>0</v>
      </c>
      <c r="E4378" s="115" t="s">
        <v>11706</v>
      </c>
      <c r="F4378" s="115" t="s">
        <v>11707</v>
      </c>
      <c r="G4378" s="115" t="s">
        <v>11708</v>
      </c>
      <c r="H4378" s="115" t="s">
        <v>11709</v>
      </c>
    </row>
    <row r="4379" spans="1:8" ht="30" x14ac:dyDescent="0.25">
      <c r="A4379" s="115">
        <v>181</v>
      </c>
      <c r="B4379" s="115" t="s">
        <v>10147</v>
      </c>
      <c r="C4379" s="115" t="s">
        <v>11710</v>
      </c>
      <c r="D4379" s="115">
        <v>1</v>
      </c>
      <c r="E4379" s="115" t="s">
        <v>11711</v>
      </c>
      <c r="F4379" s="115" t="s">
        <v>11712</v>
      </c>
      <c r="G4379" s="115" t="s">
        <v>11713</v>
      </c>
      <c r="H4379" s="115" t="s">
        <v>11714</v>
      </c>
    </row>
    <row r="4380" spans="1:8" ht="30" x14ac:dyDescent="0.25">
      <c r="A4380" s="115">
        <v>180</v>
      </c>
      <c r="B4380" s="115" t="s">
        <v>10147</v>
      </c>
      <c r="C4380" s="115" t="s">
        <v>11715</v>
      </c>
      <c r="D4380" s="115">
        <v>1</v>
      </c>
      <c r="E4380" s="115" t="s">
        <v>185</v>
      </c>
      <c r="F4380" s="115" t="s">
        <v>6750</v>
      </c>
      <c r="G4380" s="115" t="s">
        <v>6749</v>
      </c>
      <c r="H4380" s="115" t="s">
        <v>9922</v>
      </c>
    </row>
    <row r="4381" spans="1:8" ht="30" x14ac:dyDescent="0.25">
      <c r="A4381" s="115">
        <v>179</v>
      </c>
      <c r="B4381" s="115" t="s">
        <v>10147</v>
      </c>
      <c r="C4381" s="115" t="s">
        <v>11716</v>
      </c>
      <c r="D4381" s="115">
        <v>1</v>
      </c>
      <c r="E4381" s="115" t="s">
        <v>11717</v>
      </c>
      <c r="F4381" s="115" t="s">
        <v>11718</v>
      </c>
      <c r="G4381" s="115" t="s">
        <v>11719</v>
      </c>
      <c r="H4381" s="115" t="s">
        <v>11720</v>
      </c>
    </row>
    <row r="4382" spans="1:8" ht="45" x14ac:dyDescent="0.25">
      <c r="A4382" s="115">
        <v>178</v>
      </c>
      <c r="B4382" s="115" t="s">
        <v>10147</v>
      </c>
      <c r="C4382" s="115" t="s">
        <v>180</v>
      </c>
      <c r="D4382" s="115">
        <v>1</v>
      </c>
      <c r="E4382" s="115" t="s">
        <v>11690</v>
      </c>
      <c r="F4382" s="115" t="s">
        <v>11721</v>
      </c>
      <c r="G4382" s="115" t="s">
        <v>11722</v>
      </c>
      <c r="H4382" s="115" t="s">
        <v>11723</v>
      </c>
    </row>
    <row r="4383" spans="1:8" x14ac:dyDescent="0.25">
      <c r="A4383" s="115">
        <v>177</v>
      </c>
      <c r="B4383" s="115" t="s">
        <v>71</v>
      </c>
      <c r="C4383" s="115" t="s">
        <v>9907</v>
      </c>
      <c r="D4383" s="115">
        <v>1</v>
      </c>
      <c r="E4383" s="115" t="s">
        <v>159</v>
      </c>
      <c r="F4383" s="115" t="s">
        <v>338</v>
      </c>
      <c r="G4383" s="115" t="s">
        <v>11468</v>
      </c>
      <c r="H4383" s="115" t="s">
        <v>11724</v>
      </c>
    </row>
    <row r="4384" spans="1:8" ht="30" x14ac:dyDescent="0.25">
      <c r="A4384" s="115">
        <v>176</v>
      </c>
      <c r="B4384" s="115" t="s">
        <v>71</v>
      </c>
      <c r="C4384" s="115" t="s">
        <v>9900</v>
      </c>
      <c r="D4384" s="115">
        <v>1</v>
      </c>
      <c r="E4384" s="115" t="s">
        <v>11725</v>
      </c>
      <c r="F4384" s="115" t="s">
        <v>11726</v>
      </c>
      <c r="G4384" s="115" t="s">
        <v>11727</v>
      </c>
      <c r="H4384" s="115" t="s">
        <v>11728</v>
      </c>
    </row>
    <row r="4385" spans="1:8" x14ac:dyDescent="0.25">
      <c r="A4385" s="115">
        <v>175</v>
      </c>
      <c r="B4385" s="115" t="s">
        <v>71</v>
      </c>
      <c r="C4385" s="115" t="s">
        <v>11729</v>
      </c>
      <c r="D4385" s="115">
        <v>1</v>
      </c>
      <c r="E4385" s="115" t="s">
        <v>11730</v>
      </c>
      <c r="F4385" s="115" t="s">
        <v>11731</v>
      </c>
      <c r="G4385" s="115" t="s">
        <v>11732</v>
      </c>
      <c r="H4385" s="115" t="s">
        <v>11733</v>
      </c>
    </row>
    <row r="4386" spans="1:8" ht="30" x14ac:dyDescent="0.25">
      <c r="A4386" s="115">
        <v>174</v>
      </c>
      <c r="B4386" s="115" t="s">
        <v>71</v>
      </c>
      <c r="C4386" s="115" t="s">
        <v>11734</v>
      </c>
      <c r="D4386" s="115">
        <v>1</v>
      </c>
      <c r="E4386" s="115" t="s">
        <v>11735</v>
      </c>
      <c r="F4386" s="115" t="s">
        <v>11736</v>
      </c>
      <c r="G4386" s="115" t="s">
        <v>11737</v>
      </c>
      <c r="H4386" s="115" t="s">
        <v>11738</v>
      </c>
    </row>
    <row r="4387" spans="1:8" x14ac:dyDescent="0.25">
      <c r="A4387" s="115">
        <v>173</v>
      </c>
      <c r="B4387" s="115" t="s">
        <v>71</v>
      </c>
      <c r="C4387" s="115" t="s">
        <v>11739</v>
      </c>
      <c r="D4387" s="115">
        <v>1</v>
      </c>
      <c r="E4387" s="115" t="s">
        <v>11740</v>
      </c>
      <c r="F4387" s="115" t="s">
        <v>9882</v>
      </c>
      <c r="G4387" s="115" t="s">
        <v>11515</v>
      </c>
      <c r="H4387" s="115" t="s">
        <v>11741</v>
      </c>
    </row>
    <row r="4388" spans="1:8" x14ac:dyDescent="0.25">
      <c r="A4388" s="115">
        <v>172</v>
      </c>
      <c r="B4388" s="115" t="s">
        <v>71</v>
      </c>
      <c r="C4388" s="115" t="s">
        <v>11742</v>
      </c>
      <c r="D4388" s="115">
        <v>1</v>
      </c>
      <c r="E4388" s="115" t="s">
        <v>11743</v>
      </c>
      <c r="F4388" s="115" t="s">
        <v>11744</v>
      </c>
      <c r="G4388" s="115" t="s">
        <v>11745</v>
      </c>
      <c r="H4388" s="115" t="s">
        <v>11746</v>
      </c>
    </row>
    <row r="4389" spans="1:8" ht="30" x14ac:dyDescent="0.25">
      <c r="A4389" s="115">
        <v>171</v>
      </c>
      <c r="B4389" s="115" t="s">
        <v>71</v>
      </c>
      <c r="C4389" s="115" t="s">
        <v>11747</v>
      </c>
      <c r="D4389" s="115">
        <v>1</v>
      </c>
      <c r="E4389" s="115" t="s">
        <v>11748</v>
      </c>
      <c r="F4389" s="115" t="s">
        <v>11749</v>
      </c>
      <c r="G4389" s="115" t="s">
        <v>11750</v>
      </c>
      <c r="H4389" s="115" t="s">
        <v>11751</v>
      </c>
    </row>
    <row r="4390" spans="1:8" x14ac:dyDescent="0.25">
      <c r="A4390" s="115">
        <v>170</v>
      </c>
      <c r="B4390" s="115" t="s">
        <v>313</v>
      </c>
      <c r="C4390" s="115" t="s">
        <v>11752</v>
      </c>
      <c r="D4390" s="115">
        <v>1</v>
      </c>
      <c r="E4390" s="115" t="s">
        <v>11753</v>
      </c>
      <c r="F4390" s="115" t="s">
        <v>11754</v>
      </c>
      <c r="G4390" s="115" t="s">
        <v>11755</v>
      </c>
      <c r="H4390" s="115" t="s">
        <v>11756</v>
      </c>
    </row>
    <row r="4391" spans="1:8" ht="30" x14ac:dyDescent="0.25">
      <c r="A4391" s="115">
        <v>169</v>
      </c>
      <c r="B4391" s="115" t="s">
        <v>313</v>
      </c>
      <c r="C4391" s="115" t="s">
        <v>11757</v>
      </c>
      <c r="D4391" s="115">
        <v>1</v>
      </c>
      <c r="E4391" s="115" t="s">
        <v>11735</v>
      </c>
      <c r="F4391" s="115" t="s">
        <v>11736</v>
      </c>
      <c r="G4391" s="115" t="s">
        <v>11737</v>
      </c>
      <c r="H4391" s="115" t="s">
        <v>11738</v>
      </c>
    </row>
    <row r="4392" spans="1:8" ht="30" x14ac:dyDescent="0.25">
      <c r="A4392" s="115">
        <v>168</v>
      </c>
      <c r="B4392" s="115" t="s">
        <v>313</v>
      </c>
      <c r="C4392" s="115" t="s">
        <v>11758</v>
      </c>
      <c r="D4392" s="115">
        <v>1</v>
      </c>
      <c r="E4392" s="115" t="s">
        <v>10066</v>
      </c>
      <c r="F4392" s="115" t="s">
        <v>10067</v>
      </c>
      <c r="G4392" s="115" t="s">
        <v>10068</v>
      </c>
      <c r="H4392" s="115" t="s">
        <v>10496</v>
      </c>
    </row>
    <row r="4393" spans="1:8" ht="30" x14ac:dyDescent="0.25">
      <c r="A4393" s="115">
        <v>167</v>
      </c>
      <c r="B4393" s="115" t="s">
        <v>313</v>
      </c>
      <c r="C4393" s="115" t="s">
        <v>11759</v>
      </c>
      <c r="D4393" s="115">
        <v>1</v>
      </c>
      <c r="E4393" s="115" t="s">
        <v>11760</v>
      </c>
      <c r="F4393" s="115" t="s">
        <v>11761</v>
      </c>
      <c r="G4393" s="115" t="s">
        <v>9919</v>
      </c>
      <c r="H4393" s="115" t="s">
        <v>9920</v>
      </c>
    </row>
    <row r="4394" spans="1:8" x14ac:dyDescent="0.25">
      <c r="A4394" s="115">
        <v>166</v>
      </c>
      <c r="B4394" s="115" t="s">
        <v>313</v>
      </c>
      <c r="C4394" s="115" t="s">
        <v>11762</v>
      </c>
      <c r="D4394" s="115">
        <v>1</v>
      </c>
      <c r="E4394" s="115" t="s">
        <v>11763</v>
      </c>
      <c r="F4394" s="115" t="s">
        <v>11764</v>
      </c>
      <c r="G4394" s="115" t="s">
        <v>9480</v>
      </c>
      <c r="H4394" s="115" t="s">
        <v>11765</v>
      </c>
    </row>
    <row r="4395" spans="1:8" x14ac:dyDescent="0.25">
      <c r="A4395" s="115">
        <v>165</v>
      </c>
      <c r="B4395" s="115" t="s">
        <v>313</v>
      </c>
      <c r="C4395" s="115" t="s">
        <v>11766</v>
      </c>
      <c r="D4395" s="115">
        <v>1</v>
      </c>
      <c r="E4395" s="115" t="s">
        <v>11767</v>
      </c>
      <c r="F4395" s="115" t="s">
        <v>11768</v>
      </c>
      <c r="G4395" s="115" t="s">
        <v>11769</v>
      </c>
      <c r="H4395" s="115" t="s">
        <v>11770</v>
      </c>
    </row>
    <row r="4396" spans="1:8" ht="30" x14ac:dyDescent="0.25">
      <c r="A4396" s="115">
        <v>164</v>
      </c>
      <c r="B4396" s="115" t="s">
        <v>313</v>
      </c>
      <c r="C4396" s="115" t="s">
        <v>11771</v>
      </c>
      <c r="D4396" s="115">
        <v>1</v>
      </c>
      <c r="E4396" s="115" t="s">
        <v>11772</v>
      </c>
      <c r="F4396" s="115" t="s">
        <v>11773</v>
      </c>
      <c r="G4396" s="115" t="s">
        <v>9475</v>
      </c>
      <c r="H4396" s="115" t="s">
        <v>11774</v>
      </c>
    </row>
    <row r="4397" spans="1:8" ht="30" x14ac:dyDescent="0.25">
      <c r="A4397" s="115">
        <v>163</v>
      </c>
      <c r="B4397" s="115" t="s">
        <v>313</v>
      </c>
      <c r="C4397" s="115" t="s">
        <v>11775</v>
      </c>
      <c r="D4397" s="115">
        <v>1</v>
      </c>
      <c r="E4397" s="115" t="s">
        <v>11776</v>
      </c>
      <c r="F4397" s="115" t="s">
        <v>11777</v>
      </c>
      <c r="G4397" s="115" t="s">
        <v>11778</v>
      </c>
      <c r="H4397" s="115" t="s">
        <v>11779</v>
      </c>
    </row>
    <row r="4398" spans="1:8" x14ac:dyDescent="0.25">
      <c r="A4398" s="115">
        <v>162</v>
      </c>
      <c r="B4398" s="115" t="s">
        <v>313</v>
      </c>
      <c r="C4398" s="115" t="s">
        <v>11780</v>
      </c>
      <c r="D4398" s="115">
        <v>1</v>
      </c>
      <c r="E4398" s="115" t="s">
        <v>11781</v>
      </c>
      <c r="F4398" s="115" t="s">
        <v>11782</v>
      </c>
      <c r="G4398" s="115" t="s">
        <v>9224</v>
      </c>
      <c r="H4398" s="115" t="s">
        <v>11783</v>
      </c>
    </row>
    <row r="4399" spans="1:8" x14ac:dyDescent="0.25">
      <c r="A4399" s="115">
        <v>161</v>
      </c>
      <c r="B4399" s="115" t="s">
        <v>313</v>
      </c>
      <c r="C4399" s="115" t="s">
        <v>11784</v>
      </c>
      <c r="D4399" s="115">
        <v>1</v>
      </c>
      <c r="E4399" s="115" t="s">
        <v>11785</v>
      </c>
      <c r="F4399" s="115" t="s">
        <v>11786</v>
      </c>
      <c r="G4399" s="115" t="s">
        <v>11787</v>
      </c>
      <c r="H4399" s="115" t="s">
        <v>11788</v>
      </c>
    </row>
    <row r="4400" spans="1:8" ht="30" x14ac:dyDescent="0.25">
      <c r="A4400" s="115">
        <v>160</v>
      </c>
      <c r="B4400" s="115" t="s">
        <v>313</v>
      </c>
      <c r="C4400" s="115" t="s">
        <v>11789</v>
      </c>
      <c r="D4400" s="115">
        <v>1</v>
      </c>
      <c r="E4400" s="115" t="s">
        <v>11790</v>
      </c>
      <c r="F4400" s="115" t="s">
        <v>11791</v>
      </c>
      <c r="G4400" s="115" t="s">
        <v>11792</v>
      </c>
      <c r="H4400" s="115" t="s">
        <v>11793</v>
      </c>
    </row>
    <row r="4401" spans="1:8" ht="30" x14ac:dyDescent="0.25">
      <c r="A4401" s="115">
        <v>159</v>
      </c>
      <c r="B4401" s="115" t="s">
        <v>313</v>
      </c>
      <c r="C4401" s="115" t="s">
        <v>11794</v>
      </c>
      <c r="D4401" s="115">
        <v>1</v>
      </c>
      <c r="E4401" s="115" t="s">
        <v>11795</v>
      </c>
      <c r="F4401" s="115" t="s">
        <v>11796</v>
      </c>
      <c r="G4401" s="115" t="s">
        <v>11797</v>
      </c>
      <c r="H4401" s="115" t="s">
        <v>11798</v>
      </c>
    </row>
    <row r="4402" spans="1:8" ht="30" x14ac:dyDescent="0.25">
      <c r="A4402" s="115">
        <v>158</v>
      </c>
      <c r="B4402" s="115" t="s">
        <v>313</v>
      </c>
      <c r="C4402" s="115" t="s">
        <v>11799</v>
      </c>
      <c r="D4402" s="115">
        <v>1</v>
      </c>
      <c r="E4402" s="115" t="s">
        <v>11800</v>
      </c>
      <c r="F4402" s="115" t="s">
        <v>11801</v>
      </c>
      <c r="G4402" s="115" t="s">
        <v>11802</v>
      </c>
      <c r="H4402" s="115" t="s">
        <v>11803</v>
      </c>
    </row>
    <row r="4403" spans="1:8" ht="45" x14ac:dyDescent="0.25">
      <c r="A4403" s="115">
        <v>157</v>
      </c>
      <c r="B4403" s="115" t="s">
        <v>313</v>
      </c>
      <c r="C4403" s="115" t="s">
        <v>11804</v>
      </c>
      <c r="D4403" s="115">
        <v>1</v>
      </c>
      <c r="E4403" s="115" t="s">
        <v>11805</v>
      </c>
      <c r="F4403" s="115" t="s">
        <v>11806</v>
      </c>
      <c r="G4403" s="115" t="s">
        <v>11807</v>
      </c>
      <c r="H4403" s="115" t="s">
        <v>11808</v>
      </c>
    </row>
    <row r="4404" spans="1:8" ht="30" x14ac:dyDescent="0.25">
      <c r="A4404" s="115">
        <v>156</v>
      </c>
      <c r="B4404" s="115" t="s">
        <v>313</v>
      </c>
      <c r="C4404" s="115" t="s">
        <v>11809</v>
      </c>
      <c r="D4404" s="115">
        <v>1</v>
      </c>
      <c r="E4404" s="115" t="s">
        <v>11810</v>
      </c>
      <c r="F4404" s="115" t="s">
        <v>11811</v>
      </c>
      <c r="G4404" s="115" t="s">
        <v>11812</v>
      </c>
      <c r="H4404" s="115" t="s">
        <v>11813</v>
      </c>
    </row>
    <row r="4405" spans="1:8" ht="30" x14ac:dyDescent="0.25">
      <c r="A4405" s="115">
        <v>155</v>
      </c>
      <c r="B4405" s="115" t="s">
        <v>313</v>
      </c>
      <c r="C4405" s="115" t="s">
        <v>11814</v>
      </c>
      <c r="D4405" s="115">
        <v>1</v>
      </c>
      <c r="E4405" s="115" t="s">
        <v>11815</v>
      </c>
      <c r="F4405" s="115" t="s">
        <v>11816</v>
      </c>
      <c r="G4405" s="115" t="s">
        <v>11817</v>
      </c>
      <c r="H4405" s="115" t="s">
        <v>11818</v>
      </c>
    </row>
    <row r="4406" spans="1:8" ht="30" x14ac:dyDescent="0.25">
      <c r="A4406" s="115">
        <v>154</v>
      </c>
      <c r="B4406" s="115" t="s">
        <v>313</v>
      </c>
      <c r="C4406" s="115" t="s">
        <v>11819</v>
      </c>
      <c r="D4406" s="115">
        <v>1</v>
      </c>
      <c r="E4406" s="115" t="s">
        <v>11820</v>
      </c>
      <c r="F4406" s="115" t="s">
        <v>11821</v>
      </c>
      <c r="G4406" s="115" t="s">
        <v>11822</v>
      </c>
      <c r="H4406" s="115" t="s">
        <v>332</v>
      </c>
    </row>
    <row r="4407" spans="1:8" ht="30" x14ac:dyDescent="0.25">
      <c r="A4407" s="115">
        <v>153</v>
      </c>
      <c r="B4407" s="115" t="s">
        <v>45</v>
      </c>
      <c r="C4407" s="115" t="s">
        <v>11823</v>
      </c>
      <c r="D4407" s="115">
        <v>1</v>
      </c>
      <c r="E4407" s="115" t="s">
        <v>11824</v>
      </c>
      <c r="F4407" s="115" t="s">
        <v>11825</v>
      </c>
      <c r="G4407" s="115" t="s">
        <v>11737</v>
      </c>
      <c r="H4407" s="115" t="s">
        <v>11826</v>
      </c>
    </row>
    <row r="4408" spans="1:8" ht="30" x14ac:dyDescent="0.25">
      <c r="A4408" s="115">
        <v>152</v>
      </c>
      <c r="B4408" s="115" t="s">
        <v>45</v>
      </c>
      <c r="C4408" s="115" t="s">
        <v>11827</v>
      </c>
      <c r="D4408" s="115">
        <v>1</v>
      </c>
      <c r="E4408" s="115" t="s">
        <v>11828</v>
      </c>
      <c r="F4408" s="115" t="s">
        <v>11829</v>
      </c>
      <c r="G4408" s="115" t="s">
        <v>11830</v>
      </c>
      <c r="H4408" s="115" t="s">
        <v>11831</v>
      </c>
    </row>
    <row r="4409" spans="1:8" x14ac:dyDescent="0.25">
      <c r="A4409" s="115">
        <v>151</v>
      </c>
      <c r="B4409" s="115" t="s">
        <v>45</v>
      </c>
      <c r="C4409" s="115" t="s">
        <v>11832</v>
      </c>
      <c r="D4409" s="115">
        <v>1</v>
      </c>
      <c r="E4409" s="115" t="s">
        <v>11833</v>
      </c>
      <c r="F4409" s="115" t="s">
        <v>11834</v>
      </c>
      <c r="G4409" s="115" t="s">
        <v>11835</v>
      </c>
      <c r="H4409" s="115" t="s">
        <v>11836</v>
      </c>
    </row>
    <row r="4410" spans="1:8" ht="180" x14ac:dyDescent="0.25">
      <c r="A4410" s="115">
        <v>150</v>
      </c>
      <c r="B4410" s="115" t="s">
        <v>45</v>
      </c>
      <c r="C4410" s="115" t="s">
        <v>11837</v>
      </c>
      <c r="D4410" s="115">
        <v>1</v>
      </c>
      <c r="E4410" s="115" t="s">
        <v>11838</v>
      </c>
      <c r="F4410" s="115" t="s">
        <v>11839</v>
      </c>
      <c r="G4410" s="115" t="s">
        <v>11840</v>
      </c>
      <c r="H4410" s="115" t="s">
        <v>11841</v>
      </c>
    </row>
    <row r="4411" spans="1:8" ht="60" x14ac:dyDescent="0.25">
      <c r="A4411" s="115">
        <v>149</v>
      </c>
      <c r="B4411" s="115" t="s">
        <v>45</v>
      </c>
      <c r="C4411" s="115" t="s">
        <v>11842</v>
      </c>
      <c r="D4411" s="115">
        <v>1</v>
      </c>
      <c r="E4411" s="115" t="s">
        <v>6944</v>
      </c>
      <c r="F4411" s="115" t="s">
        <v>11843</v>
      </c>
      <c r="G4411" s="115" t="s">
        <v>6946</v>
      </c>
      <c r="H4411" s="115" t="s">
        <v>74</v>
      </c>
    </row>
    <row r="4412" spans="1:8" x14ac:dyDescent="0.25">
      <c r="A4412" s="115">
        <v>147</v>
      </c>
      <c r="B4412" s="115" t="s">
        <v>45</v>
      </c>
      <c r="C4412" s="115" t="s">
        <v>11844</v>
      </c>
      <c r="D4412" s="115">
        <v>1</v>
      </c>
      <c r="E4412" s="115" t="s">
        <v>1811</v>
      </c>
      <c r="F4412" s="115" t="s">
        <v>1811</v>
      </c>
      <c r="G4412" s="115" t="s">
        <v>11845</v>
      </c>
      <c r="H4412" s="115" t="s">
        <v>11846</v>
      </c>
    </row>
    <row r="4413" spans="1:8" ht="30" x14ac:dyDescent="0.25">
      <c r="A4413" s="115">
        <v>146</v>
      </c>
      <c r="B4413" s="115" t="s">
        <v>45</v>
      </c>
      <c r="C4413" s="115" t="s">
        <v>11847</v>
      </c>
      <c r="D4413" s="115">
        <v>1</v>
      </c>
      <c r="E4413" s="115" t="s">
        <v>5550</v>
      </c>
      <c r="F4413" s="115" t="s">
        <v>11848</v>
      </c>
      <c r="G4413" s="115" t="s">
        <v>11849</v>
      </c>
      <c r="H4413" s="115" t="s">
        <v>11850</v>
      </c>
    </row>
    <row r="4414" spans="1:8" x14ac:dyDescent="0.25">
      <c r="A4414" s="115">
        <v>145</v>
      </c>
      <c r="B4414" s="115" t="s">
        <v>45</v>
      </c>
      <c r="C4414" s="115" t="s">
        <v>11851</v>
      </c>
      <c r="D4414" s="115">
        <v>1</v>
      </c>
      <c r="E4414" s="115" t="s">
        <v>5577</v>
      </c>
      <c r="F4414" s="115" t="s">
        <v>5578</v>
      </c>
      <c r="G4414" s="115" t="s">
        <v>11852</v>
      </c>
      <c r="H4414" s="115" t="s">
        <v>11853</v>
      </c>
    </row>
    <row r="4415" spans="1:8" x14ac:dyDescent="0.25">
      <c r="A4415" s="115">
        <v>144</v>
      </c>
      <c r="B4415" s="115" t="s">
        <v>45</v>
      </c>
      <c r="C4415" s="115" t="s">
        <v>11854</v>
      </c>
      <c r="D4415" s="115">
        <v>1</v>
      </c>
      <c r="E4415" s="115" t="s">
        <v>5572</v>
      </c>
      <c r="F4415" s="115" t="s">
        <v>5573</v>
      </c>
      <c r="G4415" s="115" t="s">
        <v>11855</v>
      </c>
      <c r="H4415" s="115" t="s">
        <v>11856</v>
      </c>
    </row>
    <row r="4416" spans="1:8" x14ac:dyDescent="0.25">
      <c r="A4416" s="115">
        <v>143</v>
      </c>
      <c r="B4416" s="115" t="s">
        <v>45</v>
      </c>
      <c r="C4416" s="115" t="s">
        <v>11857</v>
      </c>
      <c r="D4416" s="115">
        <v>1</v>
      </c>
      <c r="E4416" s="115" t="s">
        <v>5560</v>
      </c>
      <c r="F4416" s="115" t="s">
        <v>11858</v>
      </c>
      <c r="G4416" s="115" t="s">
        <v>11859</v>
      </c>
      <c r="H4416" s="115" t="s">
        <v>11860</v>
      </c>
    </row>
    <row r="4417" spans="1:8" ht="30" x14ac:dyDescent="0.25">
      <c r="A4417" s="115">
        <v>142</v>
      </c>
      <c r="B4417" s="115" t="s">
        <v>45</v>
      </c>
      <c r="C4417" s="115" t="s">
        <v>11861</v>
      </c>
      <c r="D4417" s="115">
        <v>1</v>
      </c>
      <c r="E4417" s="115" t="s">
        <v>5582</v>
      </c>
      <c r="F4417" s="115" t="s">
        <v>5583</v>
      </c>
      <c r="G4417" s="115" t="s">
        <v>11862</v>
      </c>
      <c r="H4417" s="115" t="s">
        <v>11863</v>
      </c>
    </row>
    <row r="4418" spans="1:8" ht="60" x14ac:dyDescent="0.25">
      <c r="A4418" s="115">
        <v>141</v>
      </c>
      <c r="B4418" s="115" t="s">
        <v>45</v>
      </c>
      <c r="C4418" s="115" t="s">
        <v>11864</v>
      </c>
      <c r="D4418" s="115">
        <v>1</v>
      </c>
      <c r="E4418" s="115" t="s">
        <v>11865</v>
      </c>
      <c r="F4418" s="115" t="s">
        <v>11866</v>
      </c>
      <c r="G4418" s="115" t="s">
        <v>11867</v>
      </c>
      <c r="H4418" s="115" t="s">
        <v>11868</v>
      </c>
    </row>
    <row r="4419" spans="1:8" ht="45" x14ac:dyDescent="0.25">
      <c r="A4419" s="115">
        <v>140</v>
      </c>
      <c r="B4419" s="115" t="s">
        <v>45</v>
      </c>
      <c r="C4419" s="115" t="s">
        <v>11869</v>
      </c>
      <c r="D4419" s="115">
        <v>1</v>
      </c>
      <c r="E4419" s="115" t="s">
        <v>11870</v>
      </c>
      <c r="F4419" s="115" t="s">
        <v>11871</v>
      </c>
      <c r="G4419" s="115" t="s">
        <v>11872</v>
      </c>
      <c r="H4419" s="115" t="s">
        <v>11873</v>
      </c>
    </row>
    <row r="4420" spans="1:8" x14ac:dyDescent="0.25">
      <c r="A4420" s="115">
        <v>139</v>
      </c>
      <c r="B4420" s="115" t="s">
        <v>45</v>
      </c>
      <c r="C4420" s="115" t="s">
        <v>11874</v>
      </c>
      <c r="D4420" s="115">
        <v>1</v>
      </c>
      <c r="E4420" s="115" t="s">
        <v>11875</v>
      </c>
      <c r="F4420" s="115" t="s">
        <v>11876</v>
      </c>
      <c r="G4420" s="115" t="s">
        <v>11877</v>
      </c>
      <c r="H4420" s="115" t="s">
        <v>11878</v>
      </c>
    </row>
    <row r="4421" spans="1:8" x14ac:dyDescent="0.25">
      <c r="A4421" s="115">
        <v>138</v>
      </c>
      <c r="B4421" s="115" t="s">
        <v>45</v>
      </c>
      <c r="C4421" s="115" t="s">
        <v>11879</v>
      </c>
      <c r="D4421" s="115">
        <v>1</v>
      </c>
      <c r="E4421" s="115" t="s">
        <v>11880</v>
      </c>
      <c r="F4421" s="115" t="s">
        <v>11881</v>
      </c>
      <c r="G4421" s="115" t="s">
        <v>11882</v>
      </c>
      <c r="H4421" s="115" t="s">
        <v>11883</v>
      </c>
    </row>
    <row r="4422" spans="1:8" ht="75" x14ac:dyDescent="0.25">
      <c r="A4422" s="115">
        <v>137</v>
      </c>
      <c r="B4422" s="115" t="s">
        <v>45</v>
      </c>
      <c r="C4422" s="115" t="s">
        <v>11884</v>
      </c>
      <c r="D4422" s="115">
        <v>1</v>
      </c>
      <c r="E4422" s="115" t="s">
        <v>11885</v>
      </c>
      <c r="F4422" s="115" t="s">
        <v>11886</v>
      </c>
      <c r="G4422" s="115" t="s">
        <v>11887</v>
      </c>
      <c r="H4422" s="115" t="s">
        <v>11888</v>
      </c>
    </row>
    <row r="4423" spans="1:8" ht="45" x14ac:dyDescent="0.25">
      <c r="A4423" s="115">
        <v>136</v>
      </c>
      <c r="B4423" s="115" t="s">
        <v>45</v>
      </c>
      <c r="C4423" s="115" t="s">
        <v>11889</v>
      </c>
      <c r="D4423" s="115">
        <v>1</v>
      </c>
      <c r="E4423" s="115" t="s">
        <v>11890</v>
      </c>
      <c r="F4423" s="115" t="s">
        <v>11891</v>
      </c>
      <c r="G4423" s="115" t="s">
        <v>11892</v>
      </c>
      <c r="H4423" s="115" t="s">
        <v>11893</v>
      </c>
    </row>
    <row r="4424" spans="1:8" x14ac:dyDescent="0.25">
      <c r="A4424" s="115">
        <v>135</v>
      </c>
      <c r="B4424" s="115" t="s">
        <v>45</v>
      </c>
      <c r="C4424" s="115" t="s">
        <v>11894</v>
      </c>
      <c r="D4424" s="115">
        <v>1</v>
      </c>
      <c r="E4424" s="115" t="s">
        <v>15</v>
      </c>
      <c r="F4424" s="115" t="s">
        <v>15</v>
      </c>
      <c r="G4424" s="115" t="s">
        <v>15</v>
      </c>
      <c r="H4424" s="115" t="s">
        <v>11895</v>
      </c>
    </row>
    <row r="4425" spans="1:8" x14ac:dyDescent="0.25">
      <c r="A4425" s="115">
        <v>134</v>
      </c>
      <c r="B4425" s="115" t="s">
        <v>45</v>
      </c>
      <c r="C4425" s="115" t="s">
        <v>11896</v>
      </c>
      <c r="D4425" s="115">
        <v>1</v>
      </c>
      <c r="E4425" s="115" t="s">
        <v>13</v>
      </c>
      <c r="F4425" s="115" t="s">
        <v>13</v>
      </c>
      <c r="G4425" s="115" t="s">
        <v>13</v>
      </c>
      <c r="H4425" s="115" t="s">
        <v>11897</v>
      </c>
    </row>
    <row r="4426" spans="1:8" x14ac:dyDescent="0.25">
      <c r="A4426" s="115">
        <v>133</v>
      </c>
      <c r="B4426" s="115" t="s">
        <v>45</v>
      </c>
      <c r="C4426" s="115" t="s">
        <v>11898</v>
      </c>
      <c r="D4426" s="115">
        <v>1</v>
      </c>
      <c r="E4426" s="116">
        <v>45997</v>
      </c>
      <c r="F4426" s="116">
        <v>45997</v>
      </c>
      <c r="G4426" s="116">
        <v>45997</v>
      </c>
      <c r="H4426" s="115" t="s">
        <v>11899</v>
      </c>
    </row>
    <row r="4427" spans="1:8" x14ac:dyDescent="0.25">
      <c r="A4427" s="115">
        <v>132</v>
      </c>
      <c r="B4427" s="115" t="s">
        <v>45</v>
      </c>
      <c r="C4427" s="115" t="s">
        <v>11900</v>
      </c>
      <c r="D4427" s="115">
        <v>1</v>
      </c>
      <c r="E4427" s="115" t="s">
        <v>17</v>
      </c>
      <c r="F4427" s="115" t="s">
        <v>17</v>
      </c>
      <c r="G4427" s="115" t="s">
        <v>17</v>
      </c>
      <c r="H4427" s="115" t="s">
        <v>11901</v>
      </c>
    </row>
    <row r="4428" spans="1:8" ht="45" x14ac:dyDescent="0.25">
      <c r="A4428" s="115">
        <v>131</v>
      </c>
      <c r="B4428" s="115" t="s">
        <v>45</v>
      </c>
      <c r="C4428" s="115" t="s">
        <v>11902</v>
      </c>
      <c r="D4428" s="115">
        <v>1</v>
      </c>
      <c r="E4428" s="115" t="s">
        <v>11903</v>
      </c>
      <c r="F4428" s="115" t="s">
        <v>11904</v>
      </c>
      <c r="G4428" s="115" t="s">
        <v>11905</v>
      </c>
      <c r="H4428" s="115" t="s">
        <v>11906</v>
      </c>
    </row>
    <row r="4429" spans="1:8" ht="30" x14ac:dyDescent="0.25">
      <c r="A4429" s="115">
        <v>130</v>
      </c>
      <c r="B4429" s="115" t="s">
        <v>45</v>
      </c>
      <c r="C4429" s="115" t="s">
        <v>11907</v>
      </c>
      <c r="D4429" s="115">
        <v>1</v>
      </c>
      <c r="E4429" s="115" t="s">
        <v>7008</v>
      </c>
      <c r="F4429" s="115" t="s">
        <v>2328</v>
      </c>
      <c r="G4429" s="115" t="s">
        <v>11908</v>
      </c>
      <c r="H4429" s="115" t="s">
        <v>2330</v>
      </c>
    </row>
    <row r="4430" spans="1:8" ht="45" x14ac:dyDescent="0.25">
      <c r="A4430" s="115">
        <v>129</v>
      </c>
      <c r="B4430" s="115" t="s">
        <v>45</v>
      </c>
      <c r="C4430" s="115" t="s">
        <v>11909</v>
      </c>
      <c r="D4430" s="115">
        <v>1</v>
      </c>
      <c r="E4430" s="115" t="s">
        <v>11910</v>
      </c>
      <c r="F4430" s="115" t="s">
        <v>11911</v>
      </c>
      <c r="G4430" s="115" t="s">
        <v>11912</v>
      </c>
      <c r="H4430" s="115" t="s">
        <v>11913</v>
      </c>
    </row>
    <row r="4431" spans="1:8" ht="45" x14ac:dyDescent="0.25">
      <c r="A4431" s="115">
        <v>128</v>
      </c>
      <c r="B4431" s="115" t="s">
        <v>45</v>
      </c>
      <c r="C4431" s="115" t="s">
        <v>11914</v>
      </c>
      <c r="D4431" s="115">
        <v>1</v>
      </c>
      <c r="E4431" s="115" t="s">
        <v>11915</v>
      </c>
      <c r="F4431" s="115" t="s">
        <v>11916</v>
      </c>
      <c r="G4431" s="115" t="s">
        <v>11917</v>
      </c>
      <c r="H4431" s="115" t="s">
        <v>11918</v>
      </c>
    </row>
    <row r="4432" spans="1:8" ht="30" x14ac:dyDescent="0.25">
      <c r="A4432" s="115">
        <v>127</v>
      </c>
      <c r="B4432" s="115" t="s">
        <v>45</v>
      </c>
      <c r="C4432" s="115" t="s">
        <v>11919</v>
      </c>
      <c r="D4432" s="115">
        <v>1</v>
      </c>
      <c r="E4432" s="115" t="s">
        <v>11920</v>
      </c>
      <c r="F4432" s="115" t="s">
        <v>11921</v>
      </c>
      <c r="G4432" s="115" t="s">
        <v>617</v>
      </c>
      <c r="H4432" s="115" t="s">
        <v>11922</v>
      </c>
    </row>
    <row r="4433" spans="1:8" ht="30" x14ac:dyDescent="0.25">
      <c r="A4433" s="115">
        <v>126</v>
      </c>
      <c r="B4433" s="115" t="s">
        <v>45</v>
      </c>
      <c r="C4433" s="115" t="s">
        <v>11923</v>
      </c>
      <c r="D4433" s="115">
        <v>1</v>
      </c>
      <c r="E4433" s="115" t="s">
        <v>11924</v>
      </c>
      <c r="F4433" s="115" t="s">
        <v>11925</v>
      </c>
      <c r="G4433" s="115" t="s">
        <v>11926</v>
      </c>
      <c r="H4433" s="115" t="s">
        <v>11927</v>
      </c>
    </row>
    <row r="4434" spans="1:8" ht="60" x14ac:dyDescent="0.25">
      <c r="A4434" s="115">
        <v>125</v>
      </c>
      <c r="B4434" s="115" t="s">
        <v>377</v>
      </c>
      <c r="C4434" s="115" t="s">
        <v>11928</v>
      </c>
      <c r="D4434" s="115">
        <v>0</v>
      </c>
      <c r="E4434" s="115" t="s">
        <v>11929</v>
      </c>
      <c r="F4434" s="115" t="s">
        <v>11930</v>
      </c>
      <c r="G4434" s="115" t="s">
        <v>11931</v>
      </c>
      <c r="H4434" s="115" t="s">
        <v>11932</v>
      </c>
    </row>
    <row r="4435" spans="1:8" ht="75" x14ac:dyDescent="0.25">
      <c r="A4435" s="115">
        <v>124</v>
      </c>
      <c r="B4435" s="115" t="s">
        <v>377</v>
      </c>
      <c r="C4435" s="115" t="s">
        <v>11933</v>
      </c>
      <c r="D4435" s="115">
        <v>0</v>
      </c>
      <c r="E4435" s="115" t="s">
        <v>11934</v>
      </c>
      <c r="F4435" s="115" t="s">
        <v>11935</v>
      </c>
      <c r="G4435" s="115" t="s">
        <v>11936</v>
      </c>
      <c r="H4435" s="115" t="s">
        <v>11937</v>
      </c>
    </row>
    <row r="4436" spans="1:8" ht="30" x14ac:dyDescent="0.25">
      <c r="A4436" s="115">
        <v>123</v>
      </c>
      <c r="B4436" s="115" t="s">
        <v>45</v>
      </c>
      <c r="C4436" s="115" t="s">
        <v>11938</v>
      </c>
      <c r="D4436" s="115">
        <v>1</v>
      </c>
      <c r="E4436" s="115" t="s">
        <v>11939</v>
      </c>
      <c r="F4436" s="115" t="s">
        <v>11940</v>
      </c>
      <c r="G4436" s="115" t="s">
        <v>11941</v>
      </c>
      <c r="H4436" s="115" t="s">
        <v>11942</v>
      </c>
    </row>
    <row r="4437" spans="1:8" ht="30" x14ac:dyDescent="0.25">
      <c r="A4437" s="115">
        <v>122</v>
      </c>
      <c r="B4437" s="115" t="s">
        <v>45</v>
      </c>
      <c r="C4437" s="115" t="s">
        <v>11943</v>
      </c>
      <c r="D4437" s="115">
        <v>1</v>
      </c>
      <c r="E4437" s="115" t="s">
        <v>11944</v>
      </c>
      <c r="F4437" s="115" t="s">
        <v>11945</v>
      </c>
      <c r="G4437" s="115" t="s">
        <v>11946</v>
      </c>
      <c r="H4437" s="115" t="s">
        <v>11947</v>
      </c>
    </row>
    <row r="4438" spans="1:8" ht="30" x14ac:dyDescent="0.25">
      <c r="A4438" s="115">
        <v>121</v>
      </c>
      <c r="B4438" s="115" t="s">
        <v>45</v>
      </c>
      <c r="C4438" s="115" t="s">
        <v>11948</v>
      </c>
      <c r="D4438" s="115">
        <v>1</v>
      </c>
      <c r="E4438" s="115" t="s">
        <v>11949</v>
      </c>
      <c r="F4438" s="115" t="s">
        <v>11950</v>
      </c>
      <c r="G4438" s="115" t="s">
        <v>11951</v>
      </c>
      <c r="H4438" s="115" t="s">
        <v>11952</v>
      </c>
    </row>
    <row r="4439" spans="1:8" ht="30" x14ac:dyDescent="0.25">
      <c r="A4439" s="115">
        <v>120</v>
      </c>
      <c r="B4439" s="115" t="s">
        <v>377</v>
      </c>
      <c r="C4439" s="115" t="s">
        <v>11953</v>
      </c>
      <c r="D4439" s="115">
        <v>0</v>
      </c>
      <c r="E4439" s="115" t="s">
        <v>11954</v>
      </c>
      <c r="F4439" s="115" t="s">
        <v>11955</v>
      </c>
      <c r="G4439" s="115" t="s">
        <v>11956</v>
      </c>
      <c r="H4439" s="115" t="s">
        <v>11957</v>
      </c>
    </row>
    <row r="4440" spans="1:8" ht="30" x14ac:dyDescent="0.25">
      <c r="A4440" s="115">
        <v>119</v>
      </c>
      <c r="B4440" s="115" t="s">
        <v>377</v>
      </c>
      <c r="C4440" s="115" t="s">
        <v>11958</v>
      </c>
      <c r="D4440" s="115">
        <v>0</v>
      </c>
      <c r="E4440" s="115" t="s">
        <v>11959</v>
      </c>
      <c r="F4440" s="115" t="s">
        <v>11960</v>
      </c>
      <c r="G4440" s="115" t="s">
        <v>11961</v>
      </c>
      <c r="H4440" s="115" t="s">
        <v>11962</v>
      </c>
    </row>
    <row r="4441" spans="1:8" ht="30" x14ac:dyDescent="0.25">
      <c r="A4441" s="115">
        <v>118</v>
      </c>
      <c r="B4441" s="115" t="s">
        <v>45</v>
      </c>
      <c r="C4441" s="115" t="s">
        <v>11963</v>
      </c>
      <c r="D4441" s="115">
        <v>1</v>
      </c>
      <c r="E4441" s="115" t="s">
        <v>11964</v>
      </c>
      <c r="F4441" s="115" t="s">
        <v>11965</v>
      </c>
      <c r="G4441" s="115" t="s">
        <v>11966</v>
      </c>
      <c r="H4441" s="115" t="s">
        <v>11967</v>
      </c>
    </row>
    <row r="4442" spans="1:8" ht="270" x14ac:dyDescent="0.25">
      <c r="A4442" s="115">
        <v>117</v>
      </c>
      <c r="B4442" s="115" t="s">
        <v>45</v>
      </c>
      <c r="C4442" s="115" t="s">
        <v>11968</v>
      </c>
      <c r="D4442" s="115">
        <v>1</v>
      </c>
      <c r="E4442" s="115" t="s">
        <v>11969</v>
      </c>
      <c r="F4442" s="115" t="s">
        <v>11970</v>
      </c>
      <c r="G4442" s="115" t="s">
        <v>11971</v>
      </c>
    </row>
    <row r="4443" spans="1:8" ht="255" x14ac:dyDescent="0.25">
      <c r="A4443" s="115">
        <v>116</v>
      </c>
      <c r="B4443" s="115" t="s">
        <v>45</v>
      </c>
      <c r="C4443" s="115" t="s">
        <v>11972</v>
      </c>
      <c r="D4443" s="115">
        <v>1</v>
      </c>
      <c r="E4443" s="115" t="s">
        <v>11973</v>
      </c>
      <c r="F4443" s="115" t="s">
        <v>11974</v>
      </c>
      <c r="G4443" s="115" t="s">
        <v>11975</v>
      </c>
      <c r="H4443" s="115" t="s">
        <v>11976</v>
      </c>
    </row>
    <row r="4444" spans="1:8" ht="30" x14ac:dyDescent="0.25">
      <c r="A4444" s="115">
        <v>115</v>
      </c>
      <c r="B4444" s="115" t="s">
        <v>45</v>
      </c>
      <c r="C4444" s="115" t="s">
        <v>11977</v>
      </c>
      <c r="D4444" s="115">
        <v>1</v>
      </c>
      <c r="E4444" s="115" t="s">
        <v>11978</v>
      </c>
      <c r="F4444" s="115" t="s">
        <v>11979</v>
      </c>
      <c r="G4444" s="115" t="s">
        <v>11980</v>
      </c>
      <c r="H4444" s="115" t="s">
        <v>11981</v>
      </c>
    </row>
    <row r="4445" spans="1:8" x14ac:dyDescent="0.25">
      <c r="A4445" s="115">
        <v>114</v>
      </c>
      <c r="B4445" s="115" t="s">
        <v>45</v>
      </c>
      <c r="C4445" s="115" t="s">
        <v>120</v>
      </c>
      <c r="D4445" s="115">
        <v>1</v>
      </c>
      <c r="E4445" s="115" t="s">
        <v>121</v>
      </c>
      <c r="F4445" s="115" t="s">
        <v>5719</v>
      </c>
      <c r="G4445" s="115" t="s">
        <v>883</v>
      </c>
      <c r="H4445" s="115" t="s">
        <v>5720</v>
      </c>
    </row>
    <row r="4446" spans="1:8" x14ac:dyDescent="0.25">
      <c r="A4446" s="115">
        <v>113</v>
      </c>
      <c r="B4446" s="115" t="s">
        <v>45</v>
      </c>
      <c r="C4446" s="115" t="s">
        <v>7112</v>
      </c>
      <c r="D4446" s="115">
        <v>1</v>
      </c>
      <c r="E4446" s="115" t="s">
        <v>7109</v>
      </c>
      <c r="F4446" s="115" t="s">
        <v>7110</v>
      </c>
      <c r="G4446" s="115" t="s">
        <v>7110</v>
      </c>
      <c r="H4446" s="115" t="s">
        <v>7111</v>
      </c>
    </row>
    <row r="4447" spans="1:8" x14ac:dyDescent="0.25">
      <c r="A4447" s="115">
        <v>112</v>
      </c>
      <c r="B4447" s="115" t="s">
        <v>45</v>
      </c>
      <c r="C4447" s="115" t="s">
        <v>7107</v>
      </c>
      <c r="D4447" s="115">
        <v>1</v>
      </c>
      <c r="E4447" s="115" t="s">
        <v>6797</v>
      </c>
      <c r="F4447" s="115" t="s">
        <v>7105</v>
      </c>
      <c r="G4447" s="115" t="s">
        <v>7106</v>
      </c>
      <c r="H4447" s="115" t="s">
        <v>1577</v>
      </c>
    </row>
    <row r="4448" spans="1:8" x14ac:dyDescent="0.25">
      <c r="A4448" s="115">
        <v>111</v>
      </c>
      <c r="B4448" s="115" t="s">
        <v>45</v>
      </c>
      <c r="C4448" s="115" t="s">
        <v>11982</v>
      </c>
      <c r="D4448" s="115">
        <v>1</v>
      </c>
      <c r="E4448" s="115" t="s">
        <v>6997</v>
      </c>
      <c r="F4448" s="115" t="s">
        <v>6998</v>
      </c>
      <c r="G4448" s="115" t="s">
        <v>6999</v>
      </c>
      <c r="H4448" s="115" t="s">
        <v>7000</v>
      </c>
    </row>
    <row r="4449" spans="1:8" x14ac:dyDescent="0.25">
      <c r="A4449" s="115">
        <v>110</v>
      </c>
      <c r="B4449" s="115" t="s">
        <v>45</v>
      </c>
      <c r="C4449" s="115" t="s">
        <v>11983</v>
      </c>
      <c r="D4449" s="115">
        <v>1</v>
      </c>
      <c r="E4449" s="115" t="s">
        <v>7042</v>
      </c>
      <c r="F4449" s="115" t="s">
        <v>7043</v>
      </c>
      <c r="G4449" s="115" t="s">
        <v>7044</v>
      </c>
      <c r="H4449" s="115" t="s">
        <v>7045</v>
      </c>
    </row>
    <row r="4450" spans="1:8" ht="30" x14ac:dyDescent="0.25">
      <c r="A4450" s="115">
        <v>109</v>
      </c>
      <c r="B4450" s="115" t="s">
        <v>45</v>
      </c>
      <c r="C4450" s="115" t="s">
        <v>11984</v>
      </c>
      <c r="D4450" s="115">
        <v>1</v>
      </c>
      <c r="E4450" s="115" t="s">
        <v>1676</v>
      </c>
      <c r="F4450" s="115" t="s">
        <v>1677</v>
      </c>
      <c r="G4450" s="115" t="s">
        <v>1678</v>
      </c>
      <c r="H4450" s="115" t="s">
        <v>1679</v>
      </c>
    </row>
    <row r="4451" spans="1:8" ht="30" x14ac:dyDescent="0.25">
      <c r="A4451" s="115">
        <v>108</v>
      </c>
      <c r="B4451" s="115" t="s">
        <v>45</v>
      </c>
      <c r="C4451" s="115" t="s">
        <v>11985</v>
      </c>
      <c r="D4451" s="115">
        <v>1</v>
      </c>
      <c r="E4451" s="115" t="s">
        <v>5849</v>
      </c>
      <c r="F4451" s="115" t="s">
        <v>5850</v>
      </c>
      <c r="G4451" s="115" t="s">
        <v>5851</v>
      </c>
      <c r="H4451" s="115" t="s">
        <v>5852</v>
      </c>
    </row>
    <row r="4452" spans="1:8" x14ac:dyDescent="0.25">
      <c r="A4452" s="115">
        <v>107</v>
      </c>
      <c r="B4452" s="115" t="s">
        <v>45</v>
      </c>
      <c r="C4452" s="115" t="s">
        <v>11986</v>
      </c>
      <c r="D4452" s="115">
        <v>1</v>
      </c>
      <c r="E4452" s="115" t="s">
        <v>5520</v>
      </c>
      <c r="F4452" s="115" t="s">
        <v>5521</v>
      </c>
      <c r="G4452" s="115" t="s">
        <v>5522</v>
      </c>
      <c r="H4452" s="115" t="s">
        <v>5523</v>
      </c>
    </row>
    <row r="4453" spans="1:8" ht="30" x14ac:dyDescent="0.25">
      <c r="A4453" s="115">
        <v>106</v>
      </c>
      <c r="B4453" s="115" t="s">
        <v>45</v>
      </c>
      <c r="C4453" s="115" t="s">
        <v>11987</v>
      </c>
      <c r="D4453" s="115">
        <v>1</v>
      </c>
      <c r="E4453" s="115" t="s">
        <v>11988</v>
      </c>
      <c r="F4453" s="115" t="s">
        <v>1445</v>
      </c>
      <c r="G4453" s="115" t="s">
        <v>1446</v>
      </c>
      <c r="H4453" s="115" t="s">
        <v>1447</v>
      </c>
    </row>
    <row r="4454" spans="1:8" x14ac:dyDescent="0.25">
      <c r="A4454" s="115">
        <v>105</v>
      </c>
      <c r="B4454" s="115" t="s">
        <v>45</v>
      </c>
      <c r="C4454" s="115" t="s">
        <v>11989</v>
      </c>
      <c r="D4454" s="115">
        <v>1</v>
      </c>
      <c r="E4454" s="115" t="s">
        <v>7259</v>
      </c>
      <c r="F4454" s="115" t="s">
        <v>7260</v>
      </c>
      <c r="G4454" s="115" t="s">
        <v>7261</v>
      </c>
      <c r="H4454" s="115" t="s">
        <v>7262</v>
      </c>
    </row>
    <row r="4455" spans="1:8" x14ac:dyDescent="0.25">
      <c r="A4455" s="115">
        <v>104</v>
      </c>
      <c r="B4455" s="115" t="s">
        <v>45</v>
      </c>
      <c r="C4455" s="115" t="s">
        <v>11990</v>
      </c>
      <c r="D4455" s="115">
        <v>1</v>
      </c>
      <c r="E4455" s="115" t="s">
        <v>8042</v>
      </c>
      <c r="F4455" s="115" t="s">
        <v>8043</v>
      </c>
      <c r="G4455" s="115" t="s">
        <v>8044</v>
      </c>
      <c r="H4455" s="115" t="s">
        <v>8045</v>
      </c>
    </row>
    <row r="4456" spans="1:8" x14ac:dyDescent="0.25">
      <c r="A4456" s="115">
        <v>103</v>
      </c>
      <c r="B4456" s="115" t="s">
        <v>45</v>
      </c>
      <c r="C4456" s="115" t="s">
        <v>11991</v>
      </c>
      <c r="D4456" s="115">
        <v>1</v>
      </c>
      <c r="E4456" s="115" t="s">
        <v>7020</v>
      </c>
      <c r="F4456" s="115" t="s">
        <v>7021</v>
      </c>
      <c r="G4456" s="115" t="s">
        <v>7022</v>
      </c>
      <c r="H4456" s="115" t="s">
        <v>7023</v>
      </c>
    </row>
    <row r="4457" spans="1:8" x14ac:dyDescent="0.25">
      <c r="A4457" s="115">
        <v>102</v>
      </c>
      <c r="B4457" s="115" t="s">
        <v>45</v>
      </c>
      <c r="C4457" s="115" t="s">
        <v>11992</v>
      </c>
      <c r="D4457" s="115">
        <v>1</v>
      </c>
      <c r="E4457" s="115" t="s">
        <v>11993</v>
      </c>
      <c r="F4457" s="115" t="s">
        <v>7322</v>
      </c>
      <c r="G4457" s="115" t="s">
        <v>7323</v>
      </c>
      <c r="H4457" s="115" t="s">
        <v>7324</v>
      </c>
    </row>
    <row r="4458" spans="1:8" x14ac:dyDescent="0.25">
      <c r="A4458" s="115">
        <v>101</v>
      </c>
      <c r="B4458" s="115" t="s">
        <v>45</v>
      </c>
      <c r="C4458" s="115" t="s">
        <v>11994</v>
      </c>
      <c r="D4458" s="115">
        <v>1</v>
      </c>
      <c r="E4458" s="115" t="s">
        <v>11995</v>
      </c>
      <c r="F4458" s="115" t="s">
        <v>7215</v>
      </c>
      <c r="G4458" s="115" t="s">
        <v>7216</v>
      </c>
      <c r="H4458" s="115" t="s">
        <v>7217</v>
      </c>
    </row>
    <row r="4459" spans="1:8" ht="45" x14ac:dyDescent="0.25">
      <c r="A4459" s="115">
        <v>100</v>
      </c>
      <c r="B4459" s="115" t="s">
        <v>45</v>
      </c>
      <c r="C4459" s="115" t="s">
        <v>11996</v>
      </c>
      <c r="D4459" s="115">
        <v>1</v>
      </c>
      <c r="E4459" s="115" t="s">
        <v>11997</v>
      </c>
      <c r="F4459" s="115" t="s">
        <v>11998</v>
      </c>
      <c r="G4459" s="115" t="s">
        <v>11999</v>
      </c>
      <c r="H4459" s="115" t="s">
        <v>12000</v>
      </c>
    </row>
    <row r="4460" spans="1:8" x14ac:dyDescent="0.25">
      <c r="A4460" s="115">
        <v>98</v>
      </c>
      <c r="B4460" s="115" t="s">
        <v>45</v>
      </c>
      <c r="C4460" s="115" t="s">
        <v>12001</v>
      </c>
      <c r="D4460" s="115">
        <v>1</v>
      </c>
      <c r="E4460" s="115" t="s">
        <v>12002</v>
      </c>
      <c r="F4460" s="115" t="s">
        <v>5601</v>
      </c>
      <c r="G4460" s="115" t="s">
        <v>5602</v>
      </c>
      <c r="H4460" s="115" t="s">
        <v>12003</v>
      </c>
    </row>
    <row r="4461" spans="1:8" x14ac:dyDescent="0.25">
      <c r="A4461" s="115">
        <v>97</v>
      </c>
      <c r="B4461" s="115" t="s">
        <v>45</v>
      </c>
      <c r="C4461" s="115" t="s">
        <v>12004</v>
      </c>
      <c r="D4461" s="115">
        <v>1</v>
      </c>
      <c r="E4461" s="115" t="s">
        <v>12005</v>
      </c>
      <c r="F4461" s="115" t="s">
        <v>5605</v>
      </c>
      <c r="G4461" s="115" t="s">
        <v>5606</v>
      </c>
      <c r="H4461" s="115" t="s">
        <v>12006</v>
      </c>
    </row>
    <row r="4462" spans="1:8" ht="30" x14ac:dyDescent="0.25">
      <c r="A4462" s="115">
        <v>96</v>
      </c>
      <c r="B4462" s="115" t="s">
        <v>45</v>
      </c>
      <c r="C4462" s="115" t="s">
        <v>12007</v>
      </c>
      <c r="D4462" s="115">
        <v>1</v>
      </c>
      <c r="E4462" s="115" t="s">
        <v>12008</v>
      </c>
      <c r="F4462" s="115" t="s">
        <v>12009</v>
      </c>
      <c r="G4462" s="115" t="s">
        <v>12010</v>
      </c>
      <c r="H4462" s="115" t="s">
        <v>12011</v>
      </c>
    </row>
    <row r="4463" spans="1:8" ht="30" x14ac:dyDescent="0.25">
      <c r="A4463" s="115">
        <v>95</v>
      </c>
      <c r="B4463" s="115" t="s">
        <v>45</v>
      </c>
      <c r="C4463" s="115" t="s">
        <v>12012</v>
      </c>
      <c r="D4463" s="115">
        <v>1</v>
      </c>
      <c r="E4463" s="115" t="s">
        <v>12013</v>
      </c>
      <c r="F4463" s="115" t="s">
        <v>12014</v>
      </c>
      <c r="G4463" s="115" t="s">
        <v>12015</v>
      </c>
      <c r="H4463" s="115" t="s">
        <v>12016</v>
      </c>
    </row>
    <row r="4464" spans="1:8" ht="30" x14ac:dyDescent="0.25">
      <c r="A4464" s="115">
        <v>94</v>
      </c>
      <c r="B4464" s="115" t="s">
        <v>45</v>
      </c>
      <c r="C4464" s="115" t="s">
        <v>12017</v>
      </c>
      <c r="D4464" s="115">
        <v>1</v>
      </c>
      <c r="E4464" s="115" t="s">
        <v>12018</v>
      </c>
      <c r="F4464" s="115" t="s">
        <v>12019</v>
      </c>
      <c r="G4464" s="115" t="s">
        <v>12020</v>
      </c>
      <c r="H4464" s="115" t="s">
        <v>12021</v>
      </c>
    </row>
    <row r="4465" spans="1:8" ht="30" x14ac:dyDescent="0.25">
      <c r="A4465" s="115">
        <v>93</v>
      </c>
      <c r="B4465" s="115" t="s">
        <v>45</v>
      </c>
      <c r="C4465" s="115" t="s">
        <v>12022</v>
      </c>
      <c r="D4465" s="115">
        <v>1</v>
      </c>
      <c r="E4465" s="115" t="s">
        <v>12023</v>
      </c>
      <c r="F4465" s="115" t="s">
        <v>12024</v>
      </c>
      <c r="G4465" s="115" t="s">
        <v>12025</v>
      </c>
      <c r="H4465" s="115" t="s">
        <v>12026</v>
      </c>
    </row>
    <row r="4466" spans="1:8" x14ac:dyDescent="0.25">
      <c r="A4466" s="115">
        <v>92</v>
      </c>
      <c r="B4466" s="115" t="s">
        <v>45</v>
      </c>
      <c r="C4466" s="115" t="s">
        <v>12027</v>
      </c>
      <c r="D4466" s="115">
        <v>1</v>
      </c>
      <c r="E4466" s="115" t="s">
        <v>12028</v>
      </c>
      <c r="F4466" s="115" t="s">
        <v>12029</v>
      </c>
      <c r="G4466" s="115" t="s">
        <v>12030</v>
      </c>
      <c r="H4466" s="115" t="s">
        <v>12031</v>
      </c>
    </row>
    <row r="4467" spans="1:8" ht="30" x14ac:dyDescent="0.25">
      <c r="A4467" s="115">
        <v>91</v>
      </c>
      <c r="B4467" s="115" t="s">
        <v>45</v>
      </c>
      <c r="C4467" s="115" t="s">
        <v>12032</v>
      </c>
      <c r="D4467" s="115">
        <v>1</v>
      </c>
      <c r="E4467" s="115" t="s">
        <v>12033</v>
      </c>
      <c r="F4467" s="115" t="s">
        <v>12034</v>
      </c>
      <c r="G4467" s="115" t="s">
        <v>12035</v>
      </c>
      <c r="H4467" s="115" t="s">
        <v>12036</v>
      </c>
    </row>
    <row r="4468" spans="1:8" x14ac:dyDescent="0.25">
      <c r="A4468" s="115">
        <v>89</v>
      </c>
      <c r="B4468" s="115" t="s">
        <v>45</v>
      </c>
      <c r="C4468" s="115" t="s">
        <v>12037</v>
      </c>
      <c r="D4468" s="115">
        <v>1</v>
      </c>
      <c r="E4468" s="115" t="s">
        <v>10</v>
      </c>
      <c r="F4468" s="115" t="s">
        <v>10</v>
      </c>
      <c r="G4468" s="115" t="s">
        <v>10</v>
      </c>
      <c r="H4468" s="115" t="s">
        <v>12038</v>
      </c>
    </row>
    <row r="4469" spans="1:8" x14ac:dyDescent="0.25">
      <c r="A4469" s="115">
        <v>88</v>
      </c>
      <c r="B4469" s="115" t="s">
        <v>45</v>
      </c>
      <c r="C4469" s="115" t="s">
        <v>12039</v>
      </c>
      <c r="D4469" s="115">
        <v>1</v>
      </c>
      <c r="E4469" s="115" t="s">
        <v>9</v>
      </c>
      <c r="F4469" s="115" t="s">
        <v>9</v>
      </c>
      <c r="G4469" s="115" t="s">
        <v>9</v>
      </c>
      <c r="H4469" s="115" t="s">
        <v>12040</v>
      </c>
    </row>
    <row r="4470" spans="1:8" x14ac:dyDescent="0.25">
      <c r="A4470" s="115">
        <v>87</v>
      </c>
      <c r="B4470" s="115" t="s">
        <v>45</v>
      </c>
      <c r="C4470" s="115" t="s">
        <v>12041</v>
      </c>
      <c r="D4470" s="115">
        <v>1</v>
      </c>
      <c r="E4470" s="115" t="s">
        <v>8</v>
      </c>
      <c r="F4470" s="115" t="s">
        <v>8</v>
      </c>
      <c r="G4470" s="115" t="s">
        <v>8</v>
      </c>
      <c r="H4470" s="115" t="s">
        <v>12042</v>
      </c>
    </row>
    <row r="4471" spans="1:8" x14ac:dyDescent="0.25">
      <c r="A4471" s="115">
        <v>86</v>
      </c>
      <c r="B4471" s="115" t="s">
        <v>45</v>
      </c>
      <c r="C4471" s="115" t="s">
        <v>12043</v>
      </c>
      <c r="D4471" s="115">
        <v>1</v>
      </c>
      <c r="E4471" s="115" t="s">
        <v>12044</v>
      </c>
      <c r="F4471" s="115" t="s">
        <v>12044</v>
      </c>
      <c r="G4471" s="115" t="s">
        <v>12044</v>
      </c>
      <c r="H4471" s="115" t="s">
        <v>12045</v>
      </c>
    </row>
    <row r="4472" spans="1:8" x14ac:dyDescent="0.25">
      <c r="A4472" s="115">
        <v>85</v>
      </c>
      <c r="B4472" s="115" t="s">
        <v>45</v>
      </c>
      <c r="C4472" s="115" t="s">
        <v>12046</v>
      </c>
      <c r="D4472" s="115">
        <v>1</v>
      </c>
      <c r="E4472" s="115" t="s">
        <v>12047</v>
      </c>
      <c r="F4472" s="115" t="s">
        <v>12047</v>
      </c>
      <c r="G4472" s="115" t="s">
        <v>12047</v>
      </c>
      <c r="H4472" s="115" t="s">
        <v>12048</v>
      </c>
    </row>
    <row r="4473" spans="1:8" x14ac:dyDescent="0.25">
      <c r="A4473" s="115">
        <v>84</v>
      </c>
      <c r="B4473" s="115" t="s">
        <v>45</v>
      </c>
      <c r="C4473" s="115" t="s">
        <v>12049</v>
      </c>
      <c r="D4473" s="115">
        <v>1</v>
      </c>
      <c r="E4473" s="115" t="s">
        <v>12050</v>
      </c>
      <c r="F4473" s="115" t="s">
        <v>12050</v>
      </c>
      <c r="G4473" s="115" t="s">
        <v>12050</v>
      </c>
      <c r="H4473" s="115" t="s">
        <v>12051</v>
      </c>
    </row>
    <row r="4474" spans="1:8" x14ac:dyDescent="0.25">
      <c r="A4474" s="115">
        <v>83</v>
      </c>
      <c r="B4474" s="115" t="s">
        <v>45</v>
      </c>
      <c r="C4474" s="115" t="s">
        <v>8640</v>
      </c>
      <c r="D4474" s="115">
        <v>1</v>
      </c>
      <c r="E4474" s="115" t="s">
        <v>815</v>
      </c>
      <c r="F4474" s="115" t="s">
        <v>815</v>
      </c>
      <c r="G4474" s="115" t="s">
        <v>815</v>
      </c>
      <c r="H4474" s="115" t="s">
        <v>12052</v>
      </c>
    </row>
    <row r="4475" spans="1:8" ht="30" x14ac:dyDescent="0.25">
      <c r="A4475" s="115">
        <v>82</v>
      </c>
      <c r="B4475" s="115" t="s">
        <v>45</v>
      </c>
      <c r="C4475" s="115" t="s">
        <v>8649</v>
      </c>
      <c r="D4475" s="115">
        <v>1</v>
      </c>
      <c r="E4475" s="115" t="s">
        <v>1111</v>
      </c>
      <c r="F4475" s="115" t="s">
        <v>1112</v>
      </c>
      <c r="G4475" s="115" t="s">
        <v>1113</v>
      </c>
      <c r="H4475" s="115" t="s">
        <v>8650</v>
      </c>
    </row>
    <row r="4476" spans="1:8" x14ac:dyDescent="0.25">
      <c r="A4476" s="115">
        <v>81</v>
      </c>
      <c r="B4476" s="115" t="s">
        <v>45</v>
      </c>
      <c r="C4476" s="115" t="s">
        <v>8651</v>
      </c>
      <c r="D4476" s="115">
        <v>1</v>
      </c>
      <c r="E4476" s="115" t="s">
        <v>1102</v>
      </c>
      <c r="F4476" s="115" t="s">
        <v>1103</v>
      </c>
      <c r="G4476" s="115" t="s">
        <v>1104</v>
      </c>
      <c r="H4476" s="115" t="s">
        <v>8652</v>
      </c>
    </row>
    <row r="4477" spans="1:8" x14ac:dyDescent="0.25">
      <c r="A4477" s="115">
        <v>80</v>
      </c>
      <c r="B4477" s="115" t="s">
        <v>45</v>
      </c>
      <c r="C4477" s="115" t="s">
        <v>8635</v>
      </c>
      <c r="D4477" s="115">
        <v>1</v>
      </c>
      <c r="E4477" s="115" t="s">
        <v>12053</v>
      </c>
      <c r="F4477" s="115" t="s">
        <v>8637</v>
      </c>
      <c r="G4477" s="115" t="s">
        <v>8638</v>
      </c>
      <c r="H4477" s="115" t="s">
        <v>8639</v>
      </c>
    </row>
    <row r="4478" spans="1:8" x14ac:dyDescent="0.25">
      <c r="A4478" s="115">
        <v>79</v>
      </c>
      <c r="B4478" s="115" t="s">
        <v>45</v>
      </c>
      <c r="C4478" s="115" t="s">
        <v>12054</v>
      </c>
      <c r="D4478" s="115">
        <v>1</v>
      </c>
      <c r="E4478" s="115" t="s">
        <v>12055</v>
      </c>
      <c r="F4478" s="115" t="s">
        <v>12056</v>
      </c>
      <c r="G4478" s="115" t="s">
        <v>12057</v>
      </c>
      <c r="H4478" s="115" t="s">
        <v>1683</v>
      </c>
    </row>
    <row r="4479" spans="1:8" ht="30" x14ac:dyDescent="0.25">
      <c r="A4479" s="115">
        <v>78</v>
      </c>
      <c r="B4479" s="115" t="s">
        <v>45</v>
      </c>
      <c r="C4479" s="115" t="s">
        <v>12058</v>
      </c>
      <c r="D4479" s="115">
        <v>1</v>
      </c>
      <c r="E4479" s="115" t="s">
        <v>1111</v>
      </c>
      <c r="F4479" s="115" t="s">
        <v>7268</v>
      </c>
      <c r="G4479" s="115" t="s">
        <v>12059</v>
      </c>
      <c r="H4479" s="115" t="s">
        <v>8650</v>
      </c>
    </row>
    <row r="4480" spans="1:8" x14ac:dyDescent="0.25">
      <c r="A4480" s="115">
        <v>77</v>
      </c>
      <c r="B4480" s="115" t="s">
        <v>45</v>
      </c>
      <c r="C4480" s="115" t="s">
        <v>12060</v>
      </c>
      <c r="D4480" s="115">
        <v>1</v>
      </c>
      <c r="E4480" s="115" t="s">
        <v>1102</v>
      </c>
      <c r="F4480" s="115" t="s">
        <v>6781</v>
      </c>
      <c r="G4480" s="115" t="s">
        <v>12061</v>
      </c>
      <c r="H4480" s="115" t="s">
        <v>8652</v>
      </c>
    </row>
    <row r="4481" spans="1:8" x14ac:dyDescent="0.25">
      <c r="A4481" s="115">
        <v>76</v>
      </c>
      <c r="B4481" s="115" t="s">
        <v>45</v>
      </c>
      <c r="C4481" s="115" t="s">
        <v>12062</v>
      </c>
      <c r="D4481" s="115">
        <v>1</v>
      </c>
      <c r="E4481" s="115" t="s">
        <v>12063</v>
      </c>
      <c r="F4481" s="115" t="s">
        <v>12064</v>
      </c>
      <c r="G4481" s="115" t="s">
        <v>12065</v>
      </c>
      <c r="H4481" s="115" t="s">
        <v>5340</v>
      </c>
    </row>
    <row r="4482" spans="1:8" ht="45" x14ac:dyDescent="0.25">
      <c r="A4482" s="115">
        <v>75</v>
      </c>
      <c r="B4482" s="115" t="s">
        <v>45</v>
      </c>
      <c r="C4482" s="115" t="s">
        <v>12066</v>
      </c>
      <c r="D4482" s="115">
        <v>1</v>
      </c>
      <c r="E4482" s="115" t="s">
        <v>12067</v>
      </c>
      <c r="F4482" s="115" t="s">
        <v>12068</v>
      </c>
      <c r="G4482" s="115" t="s">
        <v>12069</v>
      </c>
      <c r="H4482" s="115" t="s">
        <v>12070</v>
      </c>
    </row>
    <row r="4483" spans="1:8" ht="30" x14ac:dyDescent="0.25">
      <c r="A4483" s="115">
        <v>74</v>
      </c>
      <c r="B4483" s="115" t="s">
        <v>45</v>
      </c>
      <c r="C4483" s="115" t="s">
        <v>12071</v>
      </c>
      <c r="D4483" s="115">
        <v>1</v>
      </c>
      <c r="E4483" s="115" t="s">
        <v>12072</v>
      </c>
      <c r="F4483" s="115" t="s">
        <v>12073</v>
      </c>
      <c r="G4483" s="115" t="s">
        <v>12074</v>
      </c>
      <c r="H4483" s="115" t="s">
        <v>12075</v>
      </c>
    </row>
    <row r="4484" spans="1:8" ht="30" x14ac:dyDescent="0.25">
      <c r="A4484" s="115">
        <v>73</v>
      </c>
      <c r="B4484" s="115" t="s">
        <v>45</v>
      </c>
      <c r="C4484" s="115" t="s">
        <v>12076</v>
      </c>
      <c r="D4484" s="115">
        <v>1</v>
      </c>
      <c r="E4484" s="115" t="s">
        <v>12077</v>
      </c>
      <c r="F4484" s="115" t="s">
        <v>12078</v>
      </c>
      <c r="G4484" s="115" t="s">
        <v>12079</v>
      </c>
      <c r="H4484" s="115" t="s">
        <v>12080</v>
      </c>
    </row>
    <row r="4485" spans="1:8" ht="60" x14ac:dyDescent="0.25">
      <c r="A4485" s="115">
        <v>72</v>
      </c>
      <c r="B4485" s="115" t="s">
        <v>45</v>
      </c>
      <c r="C4485" s="115" t="s">
        <v>12081</v>
      </c>
      <c r="D4485" s="115">
        <v>1</v>
      </c>
      <c r="E4485" s="115" t="s">
        <v>12082</v>
      </c>
      <c r="F4485" s="115" t="s">
        <v>12083</v>
      </c>
      <c r="G4485" s="115" t="s">
        <v>12084</v>
      </c>
      <c r="H4485" s="115" t="s">
        <v>12085</v>
      </c>
    </row>
    <row r="4486" spans="1:8" x14ac:dyDescent="0.25">
      <c r="A4486" s="115">
        <v>71</v>
      </c>
      <c r="B4486" s="115" t="s">
        <v>45</v>
      </c>
      <c r="C4486" s="115" t="s">
        <v>10236</v>
      </c>
      <c r="D4486" s="115">
        <v>1</v>
      </c>
      <c r="E4486" s="115" t="s">
        <v>10192</v>
      </c>
      <c r="F4486" s="115" t="s">
        <v>10192</v>
      </c>
      <c r="G4486" s="115" t="s">
        <v>10193</v>
      </c>
      <c r="H4486" s="115" t="s">
        <v>12086</v>
      </c>
    </row>
    <row r="4487" spans="1:8" ht="60" x14ac:dyDescent="0.25">
      <c r="A4487" s="115">
        <v>70</v>
      </c>
      <c r="B4487" s="115" t="s">
        <v>45</v>
      </c>
      <c r="C4487" s="115" t="s">
        <v>12087</v>
      </c>
      <c r="D4487" s="115">
        <v>1</v>
      </c>
      <c r="E4487" s="115" t="s">
        <v>12088</v>
      </c>
      <c r="F4487" s="115" t="s">
        <v>12089</v>
      </c>
      <c r="G4487" s="115" t="s">
        <v>12090</v>
      </c>
      <c r="H4487" s="115" t="s">
        <v>12091</v>
      </c>
    </row>
    <row r="4488" spans="1:8" ht="30" x14ac:dyDescent="0.25">
      <c r="A4488" s="115">
        <v>69</v>
      </c>
      <c r="B4488" s="115" t="s">
        <v>45</v>
      </c>
      <c r="C4488" s="115" t="s">
        <v>12092</v>
      </c>
      <c r="D4488" s="115">
        <v>1</v>
      </c>
      <c r="E4488" s="115" t="s">
        <v>12093</v>
      </c>
      <c r="F4488" s="115" t="s">
        <v>12094</v>
      </c>
      <c r="G4488" s="115" t="s">
        <v>12095</v>
      </c>
      <c r="H4488" s="115" t="s">
        <v>12096</v>
      </c>
    </row>
    <row r="4489" spans="1:8" x14ac:dyDescent="0.25">
      <c r="A4489" s="115">
        <v>68</v>
      </c>
      <c r="B4489" s="115" t="s">
        <v>45</v>
      </c>
      <c r="C4489" s="115" t="s">
        <v>12097</v>
      </c>
      <c r="D4489" s="115">
        <v>1</v>
      </c>
      <c r="E4489" s="115" t="s">
        <v>10066</v>
      </c>
      <c r="F4489" s="115" t="s">
        <v>10067</v>
      </c>
      <c r="G4489" s="115" t="s">
        <v>10068</v>
      </c>
      <c r="H4489" s="115" t="s">
        <v>10496</v>
      </c>
    </row>
    <row r="4490" spans="1:8" x14ac:dyDescent="0.25">
      <c r="A4490" s="115">
        <v>67</v>
      </c>
      <c r="B4490" s="115" t="s">
        <v>45</v>
      </c>
      <c r="C4490" s="115" t="s">
        <v>314</v>
      </c>
      <c r="D4490" s="115">
        <v>1</v>
      </c>
      <c r="E4490" s="115" t="s">
        <v>10241</v>
      </c>
      <c r="F4490" s="115" t="s">
        <v>3600</v>
      </c>
      <c r="G4490" s="115" t="s">
        <v>10242</v>
      </c>
      <c r="H4490" s="115" t="s">
        <v>318</v>
      </c>
    </row>
    <row r="4491" spans="1:8" x14ac:dyDescent="0.25">
      <c r="A4491" s="115">
        <v>66</v>
      </c>
      <c r="B4491" s="115" t="s">
        <v>45</v>
      </c>
      <c r="C4491" s="115" t="s">
        <v>415</v>
      </c>
      <c r="D4491" s="115">
        <v>1</v>
      </c>
      <c r="E4491" s="115" t="s">
        <v>416</v>
      </c>
      <c r="F4491" s="115" t="s">
        <v>417</v>
      </c>
      <c r="G4491" s="115" t="s">
        <v>418</v>
      </c>
      <c r="H4491" s="115" t="s">
        <v>419</v>
      </c>
    </row>
    <row r="4492" spans="1:8" ht="45" x14ac:dyDescent="0.25">
      <c r="A4492" s="115">
        <v>65</v>
      </c>
      <c r="B4492" s="115" t="s">
        <v>45</v>
      </c>
      <c r="C4492" s="115" t="s">
        <v>12098</v>
      </c>
      <c r="D4492" s="115">
        <v>1</v>
      </c>
      <c r="E4492" s="115" t="s">
        <v>347</v>
      </c>
      <c r="F4492" s="115" t="s">
        <v>12099</v>
      </c>
      <c r="G4492" s="115" t="s">
        <v>349</v>
      </c>
      <c r="H4492" s="115" t="s">
        <v>12100</v>
      </c>
    </row>
    <row r="4493" spans="1:8" ht="30" x14ac:dyDescent="0.25">
      <c r="A4493" s="115">
        <v>64</v>
      </c>
      <c r="B4493" s="115" t="s">
        <v>71</v>
      </c>
      <c r="C4493" s="115" t="s">
        <v>12101</v>
      </c>
      <c r="D4493" s="115">
        <v>1</v>
      </c>
      <c r="E4493" s="115" t="s">
        <v>11730</v>
      </c>
      <c r="F4493" s="115" t="s">
        <v>11731</v>
      </c>
      <c r="G4493" s="115" t="s">
        <v>11732</v>
      </c>
      <c r="H4493" s="115" t="s">
        <v>11733</v>
      </c>
    </row>
    <row r="4494" spans="1:8" x14ac:dyDescent="0.25">
      <c r="A4494" s="115">
        <v>63</v>
      </c>
      <c r="B4494" s="115" t="s">
        <v>71</v>
      </c>
      <c r="C4494" s="115" t="s">
        <v>12102</v>
      </c>
      <c r="D4494" s="115">
        <v>1</v>
      </c>
      <c r="E4494" s="115" t="s">
        <v>9917</v>
      </c>
      <c r="F4494" s="115" t="s">
        <v>9918</v>
      </c>
      <c r="G4494" s="115" t="s">
        <v>9919</v>
      </c>
      <c r="H4494" s="115" t="s">
        <v>9920</v>
      </c>
    </row>
    <row r="4495" spans="1:8" ht="30" x14ac:dyDescent="0.25">
      <c r="A4495" s="115">
        <v>62</v>
      </c>
      <c r="B4495" s="115" t="s">
        <v>71</v>
      </c>
      <c r="C4495" s="115" t="s">
        <v>12103</v>
      </c>
      <c r="D4495" s="115">
        <v>1</v>
      </c>
      <c r="E4495" s="115" t="s">
        <v>12104</v>
      </c>
      <c r="F4495" s="115" t="s">
        <v>12105</v>
      </c>
      <c r="G4495" s="115" t="s">
        <v>12106</v>
      </c>
      <c r="H4495" s="115" t="s">
        <v>12107</v>
      </c>
    </row>
    <row r="4496" spans="1:8" x14ac:dyDescent="0.25">
      <c r="A4496" s="115">
        <v>61</v>
      </c>
      <c r="B4496" s="115" t="s">
        <v>71</v>
      </c>
      <c r="C4496" s="115" t="s">
        <v>12108</v>
      </c>
      <c r="D4496" s="115">
        <v>1</v>
      </c>
      <c r="E4496" s="115" t="s">
        <v>10241</v>
      </c>
      <c r="F4496" s="115" t="s">
        <v>3600</v>
      </c>
      <c r="G4496" s="115" t="s">
        <v>10242</v>
      </c>
      <c r="H4496" s="115" t="s">
        <v>318</v>
      </c>
    </row>
    <row r="4497" spans="1:8" ht="30" x14ac:dyDescent="0.25">
      <c r="A4497" s="115">
        <v>60</v>
      </c>
      <c r="B4497" s="115" t="s">
        <v>71</v>
      </c>
      <c r="C4497" s="115" t="s">
        <v>12109</v>
      </c>
      <c r="D4497" s="115">
        <v>1</v>
      </c>
      <c r="E4497" s="115" t="s">
        <v>416</v>
      </c>
      <c r="F4497" s="115" t="s">
        <v>417</v>
      </c>
      <c r="G4497" s="115" t="s">
        <v>418</v>
      </c>
      <c r="H4497" s="115" t="s">
        <v>419</v>
      </c>
    </row>
    <row r="4498" spans="1:8" ht="30" x14ac:dyDescent="0.25">
      <c r="A4498" s="115">
        <v>59</v>
      </c>
      <c r="B4498" s="115" t="s">
        <v>71</v>
      </c>
      <c r="C4498" s="115" t="s">
        <v>12110</v>
      </c>
      <c r="D4498" s="115">
        <v>1</v>
      </c>
      <c r="E4498" s="115" t="s">
        <v>412</v>
      </c>
      <c r="F4498" s="115" t="s">
        <v>12111</v>
      </c>
      <c r="G4498" s="115" t="s">
        <v>12112</v>
      </c>
      <c r="H4498" s="115" t="s">
        <v>5463</v>
      </c>
    </row>
    <row r="4499" spans="1:8" ht="30" x14ac:dyDescent="0.25">
      <c r="A4499" s="115">
        <v>58</v>
      </c>
      <c r="B4499" s="115" t="s">
        <v>71</v>
      </c>
      <c r="C4499" s="115" t="s">
        <v>12113</v>
      </c>
      <c r="D4499" s="115">
        <v>1</v>
      </c>
      <c r="E4499" s="115" t="s">
        <v>12114</v>
      </c>
      <c r="F4499" s="115" t="s">
        <v>12115</v>
      </c>
      <c r="G4499" s="115" t="s">
        <v>12116</v>
      </c>
      <c r="H4499" s="115" t="s">
        <v>12117</v>
      </c>
    </row>
    <row r="4500" spans="1:8" ht="30" x14ac:dyDescent="0.25">
      <c r="A4500" s="115">
        <v>57</v>
      </c>
      <c r="B4500" s="115" t="s">
        <v>71</v>
      </c>
      <c r="C4500" s="115" t="s">
        <v>12118</v>
      </c>
      <c r="D4500" s="115">
        <v>1</v>
      </c>
      <c r="E4500" s="115" t="s">
        <v>11740</v>
      </c>
      <c r="F4500" s="115" t="s">
        <v>9882</v>
      </c>
      <c r="G4500" s="115" t="s">
        <v>9883</v>
      </c>
      <c r="H4500" s="115" t="s">
        <v>9884</v>
      </c>
    </row>
    <row r="4501" spans="1:8" ht="30" x14ac:dyDescent="0.25">
      <c r="A4501" s="115">
        <v>56</v>
      </c>
      <c r="B4501" s="115" t="s">
        <v>71</v>
      </c>
      <c r="C4501" s="115" t="s">
        <v>12119</v>
      </c>
      <c r="D4501" s="115">
        <v>1</v>
      </c>
      <c r="E4501" s="115" t="s">
        <v>11514</v>
      </c>
      <c r="F4501" s="115" t="s">
        <v>9882</v>
      </c>
      <c r="G4501" s="115" t="s">
        <v>11515</v>
      </c>
      <c r="H4501" s="115" t="s">
        <v>12117</v>
      </c>
    </row>
    <row r="4502" spans="1:8" x14ac:dyDescent="0.25">
      <c r="A4502" s="115">
        <v>55</v>
      </c>
      <c r="B4502" s="115" t="s">
        <v>71</v>
      </c>
      <c r="C4502" s="115" t="s">
        <v>12120</v>
      </c>
      <c r="D4502" s="115">
        <v>1</v>
      </c>
      <c r="E4502" s="115" t="s">
        <v>159</v>
      </c>
      <c r="F4502" s="115" t="s">
        <v>338</v>
      </c>
      <c r="G4502" s="115" t="s">
        <v>11468</v>
      </c>
      <c r="H4502" s="115" t="s">
        <v>11724</v>
      </c>
    </row>
    <row r="4503" spans="1:8" x14ac:dyDescent="0.25">
      <c r="A4503" s="115">
        <v>54</v>
      </c>
      <c r="B4503" s="115" t="s">
        <v>71</v>
      </c>
      <c r="C4503" s="115" t="s">
        <v>12121</v>
      </c>
      <c r="D4503" s="115">
        <v>1</v>
      </c>
      <c r="E4503" s="115" t="s">
        <v>9909</v>
      </c>
      <c r="F4503" s="115" t="s">
        <v>9909</v>
      </c>
      <c r="G4503" s="115" t="s">
        <v>9910</v>
      </c>
      <c r="H4503" s="115" t="s">
        <v>12122</v>
      </c>
    </row>
    <row r="4504" spans="1:8" x14ac:dyDescent="0.25">
      <c r="A4504" s="115">
        <v>53</v>
      </c>
      <c r="B4504" s="115" t="s">
        <v>71</v>
      </c>
      <c r="C4504" s="115" t="s">
        <v>12123</v>
      </c>
      <c r="D4504" s="115">
        <v>1</v>
      </c>
      <c r="E4504" s="115" t="s">
        <v>9917</v>
      </c>
      <c r="F4504" s="115" t="s">
        <v>9918</v>
      </c>
      <c r="G4504" s="115" t="s">
        <v>9919</v>
      </c>
      <c r="H4504" s="115" t="s">
        <v>9920</v>
      </c>
    </row>
    <row r="4505" spans="1:8" x14ac:dyDescent="0.25">
      <c r="A4505" s="115">
        <v>52</v>
      </c>
      <c r="B4505" s="115" t="s">
        <v>71</v>
      </c>
      <c r="C4505" s="115" t="s">
        <v>12124</v>
      </c>
      <c r="D4505" s="115">
        <v>1</v>
      </c>
      <c r="E4505" s="115" t="s">
        <v>185</v>
      </c>
      <c r="F4505" s="115" t="s">
        <v>6750</v>
      </c>
      <c r="G4505" s="115" t="s">
        <v>9213</v>
      </c>
      <c r="H4505" s="115" t="s">
        <v>9922</v>
      </c>
    </row>
    <row r="4506" spans="1:8" x14ac:dyDescent="0.25">
      <c r="A4506" s="115">
        <v>51</v>
      </c>
      <c r="B4506" s="115" t="s">
        <v>71</v>
      </c>
      <c r="C4506" s="115" t="s">
        <v>12125</v>
      </c>
      <c r="D4506" s="115">
        <v>1</v>
      </c>
      <c r="E4506" s="115" t="s">
        <v>10241</v>
      </c>
      <c r="F4506" s="115" t="s">
        <v>3600</v>
      </c>
      <c r="G4506" s="115" t="s">
        <v>10242</v>
      </c>
      <c r="H4506" s="115" t="s">
        <v>318</v>
      </c>
    </row>
    <row r="4507" spans="1:8" ht="30" x14ac:dyDescent="0.25">
      <c r="A4507" s="115">
        <v>50</v>
      </c>
      <c r="B4507" s="115" t="s">
        <v>71</v>
      </c>
      <c r="C4507" s="115" t="s">
        <v>12126</v>
      </c>
      <c r="D4507" s="115">
        <v>1</v>
      </c>
      <c r="E4507" s="115" t="s">
        <v>12127</v>
      </c>
      <c r="F4507" s="115" t="s">
        <v>8562</v>
      </c>
      <c r="G4507" s="115" t="s">
        <v>12128</v>
      </c>
      <c r="H4507" s="115" t="s">
        <v>12129</v>
      </c>
    </row>
    <row r="4508" spans="1:8" x14ac:dyDescent="0.25">
      <c r="A4508" s="115">
        <v>49</v>
      </c>
      <c r="B4508" s="115" t="s">
        <v>71</v>
      </c>
      <c r="C4508" s="115" t="s">
        <v>12130</v>
      </c>
      <c r="D4508" s="115">
        <v>1</v>
      </c>
      <c r="E4508" s="115" t="s">
        <v>165</v>
      </c>
      <c r="F4508" s="115" t="s">
        <v>9482</v>
      </c>
      <c r="G4508" s="115" t="s">
        <v>9483</v>
      </c>
      <c r="H4508" s="115" t="s">
        <v>12131</v>
      </c>
    </row>
    <row r="4509" spans="1:8" ht="30" x14ac:dyDescent="0.25">
      <c r="A4509" s="115">
        <v>48</v>
      </c>
      <c r="B4509" s="115" t="s">
        <v>71</v>
      </c>
      <c r="C4509" s="115" t="s">
        <v>12132</v>
      </c>
      <c r="D4509" s="115">
        <v>1</v>
      </c>
      <c r="E4509" s="115" t="s">
        <v>12104</v>
      </c>
      <c r="F4509" s="115" t="s">
        <v>12105</v>
      </c>
      <c r="G4509" s="115" t="s">
        <v>12106</v>
      </c>
      <c r="H4509" s="115" t="s">
        <v>12107</v>
      </c>
    </row>
    <row r="4510" spans="1:8" ht="30" x14ac:dyDescent="0.25">
      <c r="A4510" s="115">
        <v>47</v>
      </c>
      <c r="B4510" s="115" t="s">
        <v>71</v>
      </c>
      <c r="C4510" s="115" t="s">
        <v>12133</v>
      </c>
      <c r="D4510" s="115">
        <v>1</v>
      </c>
      <c r="E4510" s="115" t="s">
        <v>416</v>
      </c>
      <c r="F4510" s="115" t="s">
        <v>417</v>
      </c>
      <c r="G4510" s="115" t="s">
        <v>418</v>
      </c>
      <c r="H4510" s="115" t="s">
        <v>419</v>
      </c>
    </row>
    <row r="4511" spans="1:8" x14ac:dyDescent="0.25">
      <c r="A4511" s="115">
        <v>46</v>
      </c>
      <c r="B4511" s="115" t="s">
        <v>71</v>
      </c>
      <c r="C4511" s="115" t="s">
        <v>413</v>
      </c>
      <c r="D4511" s="115">
        <v>1</v>
      </c>
      <c r="E4511" s="115" t="s">
        <v>12134</v>
      </c>
      <c r="F4511" s="115" t="s">
        <v>12134</v>
      </c>
      <c r="G4511" s="115" t="s">
        <v>12135</v>
      </c>
      <c r="H4511" s="115" t="s">
        <v>12136</v>
      </c>
    </row>
    <row r="4512" spans="1:8" ht="30" x14ac:dyDescent="0.25">
      <c r="A4512" s="115">
        <v>45</v>
      </c>
      <c r="B4512" s="115" t="s">
        <v>313</v>
      </c>
      <c r="C4512" s="115" t="s">
        <v>12137</v>
      </c>
      <c r="D4512" s="115">
        <v>1</v>
      </c>
      <c r="E4512" s="115" t="s">
        <v>12138</v>
      </c>
      <c r="F4512" s="115" t="s">
        <v>12139</v>
      </c>
      <c r="G4512" s="115" t="s">
        <v>12140</v>
      </c>
      <c r="H4512" s="115" t="s">
        <v>12141</v>
      </c>
    </row>
    <row r="4513" spans="1:8" x14ac:dyDescent="0.25">
      <c r="A4513" s="115">
        <v>44</v>
      </c>
      <c r="B4513" s="115" t="s">
        <v>313</v>
      </c>
      <c r="C4513" s="115" t="s">
        <v>12142</v>
      </c>
      <c r="D4513" s="115">
        <v>1</v>
      </c>
      <c r="E4513" s="115" t="s">
        <v>12143</v>
      </c>
      <c r="F4513" s="115" t="s">
        <v>12144</v>
      </c>
      <c r="G4513" s="115" t="s">
        <v>12145</v>
      </c>
      <c r="H4513" s="115" t="s">
        <v>12146</v>
      </c>
    </row>
    <row r="4514" spans="1:8" x14ac:dyDescent="0.25">
      <c r="A4514" s="115">
        <v>43</v>
      </c>
      <c r="B4514" s="115" t="s">
        <v>313</v>
      </c>
      <c r="C4514" s="115" t="s">
        <v>12147</v>
      </c>
      <c r="D4514" s="115">
        <v>1</v>
      </c>
      <c r="E4514" s="115" t="s">
        <v>11588</v>
      </c>
      <c r="F4514" s="115" t="s">
        <v>11589</v>
      </c>
      <c r="G4514" s="115" t="s">
        <v>11590</v>
      </c>
      <c r="H4514" s="115" t="s">
        <v>11591</v>
      </c>
    </row>
    <row r="4515" spans="1:8" x14ac:dyDescent="0.25">
      <c r="A4515" s="115">
        <v>42</v>
      </c>
      <c r="B4515" s="115" t="s">
        <v>313</v>
      </c>
      <c r="C4515" s="115" t="s">
        <v>12148</v>
      </c>
      <c r="D4515" s="115">
        <v>1</v>
      </c>
      <c r="E4515" s="115" t="s">
        <v>12149</v>
      </c>
      <c r="F4515" s="115" t="s">
        <v>12150</v>
      </c>
      <c r="G4515" s="115" t="s">
        <v>12151</v>
      </c>
      <c r="H4515" s="115" t="s">
        <v>12152</v>
      </c>
    </row>
    <row r="4516" spans="1:8" x14ac:dyDescent="0.25">
      <c r="A4516" s="115">
        <v>41</v>
      </c>
      <c r="B4516" s="115" t="s">
        <v>313</v>
      </c>
      <c r="C4516" s="115" t="s">
        <v>12153</v>
      </c>
      <c r="D4516" s="115">
        <v>1</v>
      </c>
      <c r="E4516" s="115" t="s">
        <v>10224</v>
      </c>
      <c r="F4516" s="115" t="s">
        <v>10224</v>
      </c>
      <c r="G4516" s="115" t="s">
        <v>10225</v>
      </c>
      <c r="H4516" s="115" t="s">
        <v>12154</v>
      </c>
    </row>
    <row r="4517" spans="1:8" x14ac:dyDescent="0.25">
      <c r="A4517" s="115">
        <v>40</v>
      </c>
      <c r="B4517" s="115" t="s">
        <v>313</v>
      </c>
      <c r="C4517" s="115" t="s">
        <v>12155</v>
      </c>
      <c r="D4517" s="115">
        <v>1</v>
      </c>
      <c r="E4517" s="115" t="s">
        <v>12156</v>
      </c>
      <c r="F4517" s="115" t="s">
        <v>12157</v>
      </c>
      <c r="G4517" s="115" t="s">
        <v>10505</v>
      </c>
      <c r="H4517" s="115" t="s">
        <v>12158</v>
      </c>
    </row>
    <row r="4518" spans="1:8" ht="30" x14ac:dyDescent="0.25">
      <c r="A4518" s="115">
        <v>39</v>
      </c>
      <c r="B4518" s="115" t="s">
        <v>313</v>
      </c>
      <c r="C4518" s="115" t="s">
        <v>12159</v>
      </c>
      <c r="D4518" s="115">
        <v>1</v>
      </c>
      <c r="E4518" s="115" t="s">
        <v>12160</v>
      </c>
      <c r="F4518" s="115" t="s">
        <v>12161</v>
      </c>
      <c r="G4518" s="115" t="s">
        <v>12162</v>
      </c>
      <c r="H4518" s="115" t="s">
        <v>12163</v>
      </c>
    </row>
    <row r="4519" spans="1:8" ht="30" x14ac:dyDescent="0.25">
      <c r="A4519" s="115">
        <v>38</v>
      </c>
      <c r="B4519" s="115" t="s">
        <v>313</v>
      </c>
      <c r="C4519" s="115" t="s">
        <v>12164</v>
      </c>
      <c r="D4519" s="115">
        <v>1</v>
      </c>
      <c r="E4519" s="115" t="s">
        <v>9493</v>
      </c>
      <c r="F4519" s="115" t="s">
        <v>9933</v>
      </c>
      <c r="G4519" s="115" t="s">
        <v>12165</v>
      </c>
      <c r="H4519" s="115" t="s">
        <v>12166</v>
      </c>
    </row>
    <row r="4520" spans="1:8" ht="30" x14ac:dyDescent="0.25">
      <c r="A4520" s="115">
        <v>37</v>
      </c>
      <c r="B4520" s="115" t="s">
        <v>313</v>
      </c>
      <c r="C4520" s="115" t="s">
        <v>12167</v>
      </c>
      <c r="D4520" s="115">
        <v>1</v>
      </c>
      <c r="E4520" s="115" t="s">
        <v>11735</v>
      </c>
      <c r="F4520" s="115" t="s">
        <v>11736</v>
      </c>
      <c r="G4520" s="115" t="s">
        <v>11737</v>
      </c>
      <c r="H4520" s="115" t="s">
        <v>11738</v>
      </c>
    </row>
    <row r="4521" spans="1:8" ht="30" x14ac:dyDescent="0.25">
      <c r="A4521" s="115">
        <v>36</v>
      </c>
      <c r="B4521" s="115" t="s">
        <v>313</v>
      </c>
      <c r="C4521" s="115" t="s">
        <v>12168</v>
      </c>
      <c r="D4521" s="115">
        <v>1</v>
      </c>
      <c r="E4521" s="115" t="s">
        <v>10066</v>
      </c>
      <c r="F4521" s="115" t="s">
        <v>10067</v>
      </c>
      <c r="G4521" s="115" t="s">
        <v>10068</v>
      </c>
      <c r="H4521" s="115" t="s">
        <v>10496</v>
      </c>
    </row>
    <row r="4522" spans="1:8" ht="30" x14ac:dyDescent="0.25">
      <c r="A4522" s="115">
        <v>35</v>
      </c>
      <c r="B4522" s="115" t="s">
        <v>313</v>
      </c>
      <c r="C4522" s="115" t="s">
        <v>12169</v>
      </c>
      <c r="D4522" s="115">
        <v>1</v>
      </c>
      <c r="E4522" s="115" t="s">
        <v>12170</v>
      </c>
      <c r="F4522" s="115" t="s">
        <v>11584</v>
      </c>
      <c r="G4522" s="115" t="s">
        <v>12171</v>
      </c>
      <c r="H4522" s="115" t="s">
        <v>11586</v>
      </c>
    </row>
    <row r="4523" spans="1:8" x14ac:dyDescent="0.25">
      <c r="A4523" s="115">
        <v>34</v>
      </c>
      <c r="B4523" s="115" t="s">
        <v>313</v>
      </c>
      <c r="C4523" s="115" t="s">
        <v>12172</v>
      </c>
      <c r="D4523" s="115">
        <v>1</v>
      </c>
      <c r="E4523" s="115" t="s">
        <v>11588</v>
      </c>
      <c r="F4523" s="115" t="s">
        <v>11589</v>
      </c>
      <c r="G4523" s="115" t="s">
        <v>11590</v>
      </c>
      <c r="H4523" s="115" t="s">
        <v>11591</v>
      </c>
    </row>
    <row r="4524" spans="1:8" ht="45" x14ac:dyDescent="0.25">
      <c r="A4524" s="115">
        <v>33</v>
      </c>
      <c r="B4524" s="115" t="s">
        <v>313</v>
      </c>
      <c r="C4524" s="115" t="s">
        <v>12173</v>
      </c>
      <c r="D4524" s="115">
        <v>1</v>
      </c>
      <c r="E4524" s="115" t="s">
        <v>12174</v>
      </c>
      <c r="F4524" s="115" t="s">
        <v>12175</v>
      </c>
      <c r="G4524" s="115" t="s">
        <v>12176</v>
      </c>
      <c r="H4524" s="115" t="s">
        <v>12177</v>
      </c>
    </row>
    <row r="4525" spans="1:8" ht="30" x14ac:dyDescent="0.25">
      <c r="A4525" s="115">
        <v>32</v>
      </c>
      <c r="B4525" s="115" t="s">
        <v>313</v>
      </c>
      <c r="C4525" s="115" t="s">
        <v>12178</v>
      </c>
      <c r="D4525" s="115">
        <v>1</v>
      </c>
      <c r="E4525" s="115" t="s">
        <v>11608</v>
      </c>
      <c r="F4525" s="115" t="s">
        <v>11609</v>
      </c>
      <c r="G4525" s="115" t="s">
        <v>12179</v>
      </c>
      <c r="H4525" s="115" t="s">
        <v>11611</v>
      </c>
    </row>
    <row r="4526" spans="1:8" ht="30" x14ac:dyDescent="0.25">
      <c r="A4526" s="115">
        <v>31</v>
      </c>
      <c r="B4526" s="115" t="s">
        <v>313</v>
      </c>
      <c r="C4526" s="115" t="s">
        <v>12180</v>
      </c>
      <c r="D4526" s="115">
        <v>1</v>
      </c>
      <c r="E4526" s="115" t="s">
        <v>11598</v>
      </c>
      <c r="F4526" s="115" t="s">
        <v>12181</v>
      </c>
      <c r="G4526" s="115" t="s">
        <v>12182</v>
      </c>
      <c r="H4526" s="115" t="s">
        <v>11601</v>
      </c>
    </row>
    <row r="4527" spans="1:8" ht="30" x14ac:dyDescent="0.25">
      <c r="A4527" s="115">
        <v>30</v>
      </c>
      <c r="B4527" s="115" t="s">
        <v>313</v>
      </c>
      <c r="C4527" s="115" t="s">
        <v>12183</v>
      </c>
      <c r="D4527" s="115">
        <v>1</v>
      </c>
      <c r="E4527" s="115" t="s">
        <v>416</v>
      </c>
      <c r="F4527" s="115" t="s">
        <v>417</v>
      </c>
      <c r="G4527" s="115" t="s">
        <v>418</v>
      </c>
      <c r="H4527" s="115" t="s">
        <v>419</v>
      </c>
    </row>
    <row r="4528" spans="1:8" x14ac:dyDescent="0.25">
      <c r="A4528" s="115">
        <v>29</v>
      </c>
      <c r="B4528" s="115" t="s">
        <v>313</v>
      </c>
      <c r="C4528" s="115" t="s">
        <v>12184</v>
      </c>
      <c r="D4528" s="115">
        <v>1</v>
      </c>
      <c r="E4528" s="115" t="s">
        <v>9478</v>
      </c>
      <c r="F4528" s="115" t="s">
        <v>9479</v>
      </c>
      <c r="G4528" s="115" t="s">
        <v>9480</v>
      </c>
      <c r="H4528" s="115" t="s">
        <v>11765</v>
      </c>
    </row>
    <row r="4529" spans="1:8" x14ac:dyDescent="0.25">
      <c r="A4529" s="115">
        <v>28</v>
      </c>
      <c r="B4529" s="115" t="s">
        <v>313</v>
      </c>
      <c r="C4529" s="115" t="s">
        <v>12185</v>
      </c>
      <c r="D4529" s="115">
        <v>1</v>
      </c>
      <c r="E4529" s="115" t="s">
        <v>183</v>
      </c>
      <c r="F4529" s="115" t="s">
        <v>9474</v>
      </c>
      <c r="G4529" s="115" t="s">
        <v>9475</v>
      </c>
      <c r="H4529" s="115" t="s">
        <v>11774</v>
      </c>
    </row>
    <row r="4530" spans="1:8" ht="30" x14ac:dyDescent="0.25">
      <c r="A4530" s="115">
        <v>27</v>
      </c>
      <c r="B4530" s="115" t="s">
        <v>313</v>
      </c>
      <c r="C4530" s="115" t="s">
        <v>12186</v>
      </c>
      <c r="D4530" s="115">
        <v>1</v>
      </c>
      <c r="E4530" s="115" t="s">
        <v>11562</v>
      </c>
      <c r="F4530" s="115" t="s">
        <v>11563</v>
      </c>
      <c r="G4530" s="115" t="s">
        <v>11564</v>
      </c>
      <c r="H4530" s="115" t="s">
        <v>12187</v>
      </c>
    </row>
    <row r="4531" spans="1:8" ht="30" x14ac:dyDescent="0.25">
      <c r="A4531" s="115">
        <v>26</v>
      </c>
      <c r="B4531" s="115" t="s">
        <v>313</v>
      </c>
      <c r="C4531" s="115" t="s">
        <v>12188</v>
      </c>
      <c r="D4531" s="115">
        <v>1</v>
      </c>
      <c r="E4531" s="115" t="s">
        <v>12189</v>
      </c>
      <c r="F4531" s="115" t="s">
        <v>12190</v>
      </c>
      <c r="G4531" s="115" t="s">
        <v>12191</v>
      </c>
      <c r="H4531" s="115" t="s">
        <v>12192</v>
      </c>
    </row>
    <row r="4532" spans="1:8" x14ac:dyDescent="0.25">
      <c r="A4532" s="115">
        <v>25</v>
      </c>
      <c r="B4532" s="115" t="s">
        <v>313</v>
      </c>
      <c r="C4532" s="115" t="s">
        <v>12193</v>
      </c>
      <c r="D4532" s="115">
        <v>1</v>
      </c>
      <c r="E4532" s="115" t="s">
        <v>12143</v>
      </c>
      <c r="F4532" s="115" t="s">
        <v>12144</v>
      </c>
      <c r="G4532" s="115" t="s">
        <v>12194</v>
      </c>
      <c r="H4532" s="115" t="s">
        <v>12146</v>
      </c>
    </row>
    <row r="4533" spans="1:8" x14ac:dyDescent="0.25">
      <c r="A4533" s="115">
        <v>24</v>
      </c>
      <c r="B4533" s="115" t="s">
        <v>313</v>
      </c>
      <c r="C4533" s="115" t="s">
        <v>12195</v>
      </c>
      <c r="D4533" s="115">
        <v>1</v>
      </c>
      <c r="E4533" s="115" t="s">
        <v>12196</v>
      </c>
      <c r="F4533" s="115" t="s">
        <v>12196</v>
      </c>
      <c r="G4533" s="115" t="s">
        <v>12197</v>
      </c>
      <c r="H4533" s="115" t="s">
        <v>12198</v>
      </c>
    </row>
    <row r="4534" spans="1:8" ht="30" x14ac:dyDescent="0.25">
      <c r="A4534" s="115">
        <v>23</v>
      </c>
      <c r="B4534" s="115" t="s">
        <v>313</v>
      </c>
      <c r="C4534" s="115" t="s">
        <v>12199</v>
      </c>
      <c r="D4534" s="115">
        <v>1</v>
      </c>
      <c r="E4534" s="115" t="s">
        <v>12200</v>
      </c>
      <c r="F4534" s="115" t="s">
        <v>12201</v>
      </c>
      <c r="G4534" s="115" t="s">
        <v>12202</v>
      </c>
      <c r="H4534" s="115" t="s">
        <v>12203</v>
      </c>
    </row>
    <row r="4535" spans="1:8" ht="30" x14ac:dyDescent="0.25">
      <c r="A4535" s="115">
        <v>22</v>
      </c>
      <c r="B4535" s="115" t="s">
        <v>313</v>
      </c>
      <c r="C4535" s="115" t="s">
        <v>12204</v>
      </c>
      <c r="D4535" s="115">
        <v>1</v>
      </c>
      <c r="E4535" s="115" t="s">
        <v>11567</v>
      </c>
      <c r="F4535" s="115" t="s">
        <v>9497</v>
      </c>
      <c r="G4535" s="115" t="s">
        <v>11568</v>
      </c>
      <c r="H4535" s="115" t="s">
        <v>9499</v>
      </c>
    </row>
    <row r="4536" spans="1:8" ht="30" x14ac:dyDescent="0.25">
      <c r="A4536" s="115">
        <v>21</v>
      </c>
      <c r="B4536" s="115" t="s">
        <v>313</v>
      </c>
      <c r="C4536" s="115" t="s">
        <v>12205</v>
      </c>
      <c r="D4536" s="115">
        <v>1</v>
      </c>
      <c r="E4536" s="115" t="s">
        <v>11735</v>
      </c>
      <c r="F4536" s="115" t="s">
        <v>11736</v>
      </c>
      <c r="G4536" s="115" t="s">
        <v>11737</v>
      </c>
      <c r="H4536" s="115" t="s">
        <v>11738</v>
      </c>
    </row>
    <row r="4537" spans="1:8" x14ac:dyDescent="0.25">
      <c r="A4537" s="115">
        <v>20</v>
      </c>
      <c r="B4537" s="115" t="s">
        <v>313</v>
      </c>
      <c r="C4537" s="115" t="s">
        <v>12206</v>
      </c>
      <c r="D4537" s="115">
        <v>1</v>
      </c>
      <c r="E4537" s="115" t="s">
        <v>10066</v>
      </c>
      <c r="F4537" s="115" t="s">
        <v>10067</v>
      </c>
      <c r="G4537" s="115" t="s">
        <v>10068</v>
      </c>
      <c r="H4537" s="115" t="s">
        <v>10496</v>
      </c>
    </row>
    <row r="4538" spans="1:8" x14ac:dyDescent="0.25">
      <c r="A4538" s="115">
        <v>19</v>
      </c>
      <c r="B4538" s="115" t="s">
        <v>313</v>
      </c>
      <c r="C4538" s="115" t="s">
        <v>12207</v>
      </c>
      <c r="D4538" s="115">
        <v>1</v>
      </c>
      <c r="E4538" s="115" t="s">
        <v>183</v>
      </c>
      <c r="F4538" s="115" t="s">
        <v>9474</v>
      </c>
      <c r="G4538" s="115" t="s">
        <v>9475</v>
      </c>
      <c r="H4538" s="115" t="s">
        <v>11774</v>
      </c>
    </row>
    <row r="4539" spans="1:8" x14ac:dyDescent="0.25">
      <c r="A4539" s="115">
        <v>18</v>
      </c>
      <c r="B4539" s="115" t="s">
        <v>313</v>
      </c>
      <c r="C4539" s="115" t="s">
        <v>12208</v>
      </c>
      <c r="D4539" s="115">
        <v>1</v>
      </c>
      <c r="E4539" s="115" t="s">
        <v>9478</v>
      </c>
      <c r="F4539" s="115" t="s">
        <v>9479</v>
      </c>
      <c r="G4539" s="115" t="s">
        <v>9480</v>
      </c>
      <c r="H4539" s="115" t="s">
        <v>11765</v>
      </c>
    </row>
    <row r="4540" spans="1:8" x14ac:dyDescent="0.25">
      <c r="A4540" s="115">
        <v>17</v>
      </c>
      <c r="B4540" s="115" t="s">
        <v>313</v>
      </c>
      <c r="C4540" s="115" t="s">
        <v>12209</v>
      </c>
      <c r="D4540" s="115">
        <v>1</v>
      </c>
      <c r="E4540" s="115" t="s">
        <v>185</v>
      </c>
      <c r="F4540" s="115" t="s">
        <v>6750</v>
      </c>
      <c r="G4540" s="115" t="s">
        <v>6749</v>
      </c>
      <c r="H4540" s="115" t="s">
        <v>9922</v>
      </c>
    </row>
    <row r="4541" spans="1:8" x14ac:dyDescent="0.25">
      <c r="A4541" s="115">
        <v>16</v>
      </c>
      <c r="B4541" s="115" t="s">
        <v>313</v>
      </c>
      <c r="C4541" s="115" t="s">
        <v>12210</v>
      </c>
      <c r="D4541" s="115">
        <v>1</v>
      </c>
      <c r="E4541" s="115" t="s">
        <v>12211</v>
      </c>
      <c r="F4541" s="115" t="s">
        <v>12212</v>
      </c>
      <c r="G4541" s="115" t="s">
        <v>12213</v>
      </c>
      <c r="H4541" s="115" t="s">
        <v>12214</v>
      </c>
    </row>
    <row r="4542" spans="1:8" ht="30" x14ac:dyDescent="0.25">
      <c r="A4542" s="115">
        <v>15</v>
      </c>
      <c r="B4542" s="115" t="s">
        <v>313</v>
      </c>
      <c r="C4542" s="115" t="s">
        <v>12215</v>
      </c>
      <c r="D4542" s="115">
        <v>1</v>
      </c>
      <c r="E4542" s="115" t="s">
        <v>11593</v>
      </c>
      <c r="F4542" s="115" t="s">
        <v>11594</v>
      </c>
      <c r="G4542" s="115" t="s">
        <v>12216</v>
      </c>
      <c r="H4542" s="115" t="s">
        <v>12217</v>
      </c>
    </row>
    <row r="4543" spans="1:8" x14ac:dyDescent="0.25">
      <c r="A4543" s="115">
        <v>14</v>
      </c>
      <c r="B4543" s="115" t="s">
        <v>313</v>
      </c>
      <c r="C4543" s="115" t="s">
        <v>12218</v>
      </c>
      <c r="D4543" s="115">
        <v>1</v>
      </c>
      <c r="E4543" s="115" t="s">
        <v>12219</v>
      </c>
      <c r="F4543" s="115" t="s">
        <v>12220</v>
      </c>
      <c r="G4543" s="115" t="s">
        <v>12221</v>
      </c>
      <c r="H4543" s="115" t="s">
        <v>12222</v>
      </c>
    </row>
    <row r="4544" spans="1:8" x14ac:dyDescent="0.25">
      <c r="A4544" s="115">
        <v>13</v>
      </c>
      <c r="B4544" s="115" t="s">
        <v>313</v>
      </c>
      <c r="C4544" s="115" t="s">
        <v>12223</v>
      </c>
      <c r="D4544" s="115">
        <v>1</v>
      </c>
      <c r="E4544" s="115" t="s">
        <v>159</v>
      </c>
      <c r="F4544" s="115" t="s">
        <v>338</v>
      </c>
      <c r="G4544" s="115" t="s">
        <v>11468</v>
      </c>
      <c r="H4544" s="115" t="s">
        <v>11724</v>
      </c>
    </row>
    <row r="4545" spans="1:9" ht="30" x14ac:dyDescent="0.25">
      <c r="A4545" s="115">
        <v>12</v>
      </c>
      <c r="B4545" s="115" t="s">
        <v>313</v>
      </c>
      <c r="C4545" s="115" t="s">
        <v>12224</v>
      </c>
      <c r="D4545" s="115">
        <v>1</v>
      </c>
      <c r="E4545" s="115" t="s">
        <v>12225</v>
      </c>
      <c r="F4545" s="115" t="s">
        <v>330</v>
      </c>
      <c r="G4545" s="115" t="s">
        <v>12226</v>
      </c>
      <c r="H4545" s="115" t="s">
        <v>332</v>
      </c>
    </row>
    <row r="4546" spans="1:9" ht="30" x14ac:dyDescent="0.25">
      <c r="A4546" s="115">
        <v>11</v>
      </c>
      <c r="B4546" s="115" t="s">
        <v>313</v>
      </c>
      <c r="C4546" s="115" t="s">
        <v>12227</v>
      </c>
      <c r="D4546" s="115">
        <v>1</v>
      </c>
      <c r="E4546" s="115" t="s">
        <v>10015</v>
      </c>
      <c r="F4546" s="115" t="s">
        <v>10016</v>
      </c>
      <c r="G4546" s="115" t="s">
        <v>10017</v>
      </c>
      <c r="H4546" s="115" t="s">
        <v>12228</v>
      </c>
    </row>
    <row r="4547" spans="1:9" ht="30" x14ac:dyDescent="0.25">
      <c r="A4547" s="115">
        <v>10</v>
      </c>
      <c r="B4547" s="115" t="s">
        <v>313</v>
      </c>
      <c r="C4547" s="115" t="s">
        <v>11539</v>
      </c>
      <c r="D4547" s="115">
        <v>1</v>
      </c>
      <c r="E4547" s="115" t="s">
        <v>11540</v>
      </c>
      <c r="F4547" s="115" t="s">
        <v>11541</v>
      </c>
      <c r="G4547" s="115" t="s">
        <v>9391</v>
      </c>
      <c r="H4547" s="115" t="s">
        <v>11542</v>
      </c>
    </row>
    <row r="4548" spans="1:9" ht="30" x14ac:dyDescent="0.25">
      <c r="A4548" s="115">
        <v>9</v>
      </c>
      <c r="B4548" s="115" t="s">
        <v>313</v>
      </c>
      <c r="C4548" s="115" t="s">
        <v>12229</v>
      </c>
      <c r="D4548" s="115">
        <v>1</v>
      </c>
      <c r="E4548" s="115" t="s">
        <v>12230</v>
      </c>
      <c r="F4548" s="115" t="s">
        <v>12231</v>
      </c>
      <c r="G4548" s="115" t="s">
        <v>12232</v>
      </c>
      <c r="H4548" s="115" t="s">
        <v>12233</v>
      </c>
    </row>
    <row r="4549" spans="1:9" ht="30" x14ac:dyDescent="0.25">
      <c r="A4549" s="115">
        <v>8</v>
      </c>
      <c r="B4549" s="115" t="s">
        <v>313</v>
      </c>
      <c r="C4549" s="115" t="s">
        <v>11526</v>
      </c>
      <c r="D4549" s="115">
        <v>1</v>
      </c>
      <c r="E4549" s="115" t="s">
        <v>5671</v>
      </c>
      <c r="F4549" s="115" t="s">
        <v>11527</v>
      </c>
      <c r="G4549" s="115" t="s">
        <v>5673</v>
      </c>
      <c r="H4549" s="115" t="s">
        <v>11528</v>
      </c>
    </row>
    <row r="4550" spans="1:9" x14ac:dyDescent="0.25">
      <c r="A4550" s="115">
        <v>6</v>
      </c>
      <c r="B4550" s="115" t="s">
        <v>149</v>
      </c>
      <c r="C4550" s="115" t="s">
        <v>257</v>
      </c>
      <c r="D4550" s="115">
        <v>0</v>
      </c>
      <c r="E4550" s="115" t="s">
        <v>12234</v>
      </c>
      <c r="F4550" s="115" t="s">
        <v>12235</v>
      </c>
      <c r="G4550" s="115" t="s">
        <v>12236</v>
      </c>
      <c r="H4550" s="115" t="s">
        <v>12237</v>
      </c>
    </row>
    <row r="4551" spans="1:9" x14ac:dyDescent="0.25">
      <c r="A4551" s="115">
        <v>5</v>
      </c>
      <c r="B4551" s="115" t="s">
        <v>149</v>
      </c>
      <c r="C4551" s="115" t="s">
        <v>8555</v>
      </c>
      <c r="D4551" s="115">
        <v>0</v>
      </c>
      <c r="E4551" s="115" t="s">
        <v>5460</v>
      </c>
      <c r="F4551" s="115" t="s">
        <v>8556</v>
      </c>
      <c r="G4551" s="115" t="s">
        <v>8557</v>
      </c>
      <c r="H4551" s="115" t="s">
        <v>12238</v>
      </c>
    </row>
    <row r="4552" spans="1:9" x14ac:dyDescent="0.25">
      <c r="A4552" s="115">
        <v>4</v>
      </c>
      <c r="B4552" s="115" t="s">
        <v>149</v>
      </c>
      <c r="C4552" s="115" t="s">
        <v>12239</v>
      </c>
      <c r="D4552" s="115">
        <v>0</v>
      </c>
      <c r="E4552" s="115" t="s">
        <v>407</v>
      </c>
      <c r="F4552" s="115" t="s">
        <v>12240</v>
      </c>
      <c r="G4552" s="115" t="s">
        <v>12241</v>
      </c>
      <c r="H4552" s="115" t="s">
        <v>12242</v>
      </c>
    </row>
    <row r="4553" spans="1:9" x14ac:dyDescent="0.25">
      <c r="A4553" s="115">
        <v>3</v>
      </c>
      <c r="B4553" s="115" t="s">
        <v>149</v>
      </c>
      <c r="C4553" s="115" t="s">
        <v>71</v>
      </c>
      <c r="D4553" s="115">
        <v>0</v>
      </c>
      <c r="E4553" s="115" t="s">
        <v>12243</v>
      </c>
      <c r="F4553" s="115" t="s">
        <v>12134</v>
      </c>
      <c r="G4553" s="115" t="s">
        <v>12135</v>
      </c>
      <c r="H4553" s="115" t="s">
        <v>12244</v>
      </c>
    </row>
    <row r="4554" spans="1:9" ht="30" x14ac:dyDescent="0.25">
      <c r="A4554" s="115">
        <v>2</v>
      </c>
      <c r="B4554" s="115" t="s">
        <v>149</v>
      </c>
      <c r="C4554" s="115" t="s">
        <v>328</v>
      </c>
      <c r="D4554" s="115">
        <v>0</v>
      </c>
      <c r="E4554" s="115" t="s">
        <v>329</v>
      </c>
      <c r="F4554" s="115" t="s">
        <v>330</v>
      </c>
      <c r="G4554" s="115" t="s">
        <v>331</v>
      </c>
      <c r="H4554" s="115" t="s">
        <v>332</v>
      </c>
    </row>
    <row r="4555" spans="1:9" x14ac:dyDescent="0.25">
      <c r="A4555" s="115">
        <v>1</v>
      </c>
      <c r="B4555" s="115" t="s">
        <v>9954</v>
      </c>
      <c r="C4555" s="115" t="s">
        <v>12245</v>
      </c>
      <c r="D4555" s="115">
        <v>1</v>
      </c>
      <c r="E4555" s="115" t="s">
        <v>12246</v>
      </c>
      <c r="F4555" s="115" t="s">
        <v>12247</v>
      </c>
      <c r="G4555" s="115" t="s">
        <v>12248</v>
      </c>
      <c r="H4555" s="115" t="s">
        <v>12249</v>
      </c>
    </row>
    <row r="4556" spans="1:9" x14ac:dyDescent="0.25">
      <c r="A4556" s="115">
        <v>9001</v>
      </c>
      <c r="B4556" s="115" t="s">
        <v>12250</v>
      </c>
      <c r="E4556" s="115" t="s">
        <v>8646</v>
      </c>
      <c r="F4556" s="115" t="s">
        <v>8647</v>
      </c>
      <c r="G4556" s="115" t="s">
        <v>8648</v>
      </c>
      <c r="H4556" s="127" t="s">
        <v>12251</v>
      </c>
    </row>
    <row r="4557" spans="1:9" ht="30" x14ac:dyDescent="0.25">
      <c r="A4557">
        <v>9002</v>
      </c>
      <c r="B4557" s="115" t="s">
        <v>12250</v>
      </c>
      <c r="C4557" t="s">
        <v>8843</v>
      </c>
      <c r="D4557">
        <v>1</v>
      </c>
      <c r="E4557" s="115" t="s">
        <v>8844</v>
      </c>
      <c r="F4557" s="115" t="s">
        <v>8845</v>
      </c>
      <c r="G4557" s="115" t="s">
        <v>8846</v>
      </c>
      <c r="H4557" s="115" t="s">
        <v>12252</v>
      </c>
    </row>
    <row r="4558" spans="1:9" ht="30" x14ac:dyDescent="0.25">
      <c r="A4558" s="115">
        <v>9003</v>
      </c>
      <c r="B4558" s="115" t="s">
        <v>12250</v>
      </c>
      <c r="E4558" s="115" t="s">
        <v>12253</v>
      </c>
      <c r="F4558" s="115" t="s">
        <v>12254</v>
      </c>
      <c r="G4558" s="115" t="s">
        <v>12255</v>
      </c>
      <c r="H4558" s="115" t="s">
        <v>12256</v>
      </c>
    </row>
    <row r="4559" spans="1:9" ht="45" x14ac:dyDescent="0.25">
      <c r="A4559" s="115">
        <v>9004</v>
      </c>
      <c r="B4559" s="115" t="s">
        <v>12250</v>
      </c>
      <c r="C4559" s="125"/>
      <c r="D4559" s="115">
        <v>1</v>
      </c>
      <c r="E4559" s="115" t="s">
        <v>8840</v>
      </c>
      <c r="F4559" s="115" t="s">
        <v>8841</v>
      </c>
      <c r="G4559" s="115" t="s">
        <v>8842</v>
      </c>
      <c r="H4559" s="115" t="s">
        <v>12257</v>
      </c>
      <c r="I4559" s="115"/>
    </row>
    <row r="4560" spans="1:9" ht="14.45" customHeight="1" x14ac:dyDescent="0.25">
      <c r="A4560" s="115">
        <v>9005</v>
      </c>
      <c r="B4560" s="115" t="s">
        <v>12250</v>
      </c>
      <c r="E4560" s="114" t="s">
        <v>12258</v>
      </c>
      <c r="F4560" s="115" t="s">
        <v>12259</v>
      </c>
      <c r="G4560" s="115" t="s">
        <v>12260</v>
      </c>
      <c r="H4560" s="115" t="s">
        <v>12261</v>
      </c>
      <c r="I4560" s="115"/>
    </row>
    <row r="4561" spans="1:10" ht="30" x14ac:dyDescent="0.25">
      <c r="A4561" s="115">
        <v>9006</v>
      </c>
      <c r="B4561" s="115" t="s">
        <v>12250</v>
      </c>
      <c r="E4561" s="124" t="s">
        <v>12262</v>
      </c>
      <c r="F4561" s="115" t="s">
        <v>12263</v>
      </c>
      <c r="G4561" s="115" t="s">
        <v>12264</v>
      </c>
      <c r="H4561" s="115" t="s">
        <v>12265</v>
      </c>
      <c r="I4561" s="33"/>
      <c r="J4561" s="19"/>
    </row>
    <row r="4562" spans="1:10" ht="14.45" customHeight="1" x14ac:dyDescent="0.25">
      <c r="A4562" s="115">
        <v>9007</v>
      </c>
      <c r="B4562" s="115" t="s">
        <v>12250</v>
      </c>
      <c r="E4562" s="121" t="s">
        <v>12266</v>
      </c>
      <c r="F4562" s="115" t="s">
        <v>12267</v>
      </c>
      <c r="G4562" s="115" t="s">
        <v>12268</v>
      </c>
      <c r="H4562" s="115" t="s">
        <v>12269</v>
      </c>
    </row>
    <row r="4563" spans="1:10" ht="14.45" customHeight="1" x14ac:dyDescent="0.25">
      <c r="A4563" s="115">
        <v>9008</v>
      </c>
      <c r="B4563" s="115" t="s">
        <v>12250</v>
      </c>
      <c r="E4563" s="122" t="s">
        <v>12270</v>
      </c>
      <c r="F4563" s="115" t="s">
        <v>12271</v>
      </c>
      <c r="G4563" s="115" t="s">
        <v>12272</v>
      </c>
      <c r="H4563" s="115" t="s">
        <v>12273</v>
      </c>
    </row>
    <row r="4564" spans="1:10" ht="14.45" customHeight="1" x14ac:dyDescent="0.25">
      <c r="A4564" s="115">
        <v>9009</v>
      </c>
      <c r="B4564" s="115" t="s">
        <v>12250</v>
      </c>
      <c r="E4564" s="123" t="s">
        <v>12274</v>
      </c>
      <c r="F4564" s="115" t="s">
        <v>12275</v>
      </c>
      <c r="G4564" s="115" t="s">
        <v>12276</v>
      </c>
      <c r="H4564" s="115" t="s">
        <v>12277</v>
      </c>
    </row>
    <row r="4565" spans="1:10" ht="14.45" customHeight="1" x14ac:dyDescent="0.25">
      <c r="A4565">
        <v>9010</v>
      </c>
      <c r="B4565" s="115" t="s">
        <v>12250</v>
      </c>
      <c r="E4565" s="115" t="s">
        <v>12278</v>
      </c>
      <c r="F4565" s="115" t="s">
        <v>12279</v>
      </c>
      <c r="G4565" s="115" t="s">
        <v>12280</v>
      </c>
      <c r="H4565" s="115" t="s">
        <v>12281</v>
      </c>
      <c r="I4565" s="115"/>
    </row>
    <row r="4566" spans="1:10" ht="45" x14ac:dyDescent="0.25">
      <c r="A4566" s="115">
        <v>9011</v>
      </c>
      <c r="B4566" s="115" t="s">
        <v>12250</v>
      </c>
      <c r="E4566" s="115" t="s">
        <v>12282</v>
      </c>
      <c r="F4566" s="115" t="s">
        <v>12283</v>
      </c>
      <c r="G4566" s="115" t="s">
        <v>12284</v>
      </c>
      <c r="H4566" s="115" t="s">
        <v>12285</v>
      </c>
    </row>
    <row r="4567" spans="1:10" ht="90" x14ac:dyDescent="0.25">
      <c r="A4567" s="115">
        <v>9012</v>
      </c>
      <c r="B4567" s="115" t="s">
        <v>12250</v>
      </c>
      <c r="E4567" s="115" t="s">
        <v>12286</v>
      </c>
      <c r="F4567" s="115" t="s">
        <v>12287</v>
      </c>
      <c r="G4567" s="115" t="s">
        <v>12288</v>
      </c>
      <c r="H4567" s="115" t="s">
        <v>12289</v>
      </c>
    </row>
    <row r="4568" spans="1:10" ht="29.1" customHeight="1" x14ac:dyDescent="0.25">
      <c r="A4568" s="115">
        <v>9013</v>
      </c>
      <c r="B4568" s="115" t="s">
        <v>12250</v>
      </c>
      <c r="E4568" s="115" t="s">
        <v>12290</v>
      </c>
      <c r="F4568" s="115" t="s">
        <v>12291</v>
      </c>
      <c r="G4568" s="115" t="s">
        <v>12292</v>
      </c>
      <c r="H4568" s="115" t="s">
        <v>12293</v>
      </c>
    </row>
    <row r="4569" spans="1:10" ht="30" x14ac:dyDescent="0.25">
      <c r="A4569" s="115">
        <v>9014</v>
      </c>
      <c r="B4569" s="115" t="s">
        <v>12250</v>
      </c>
      <c r="E4569" s="115" t="s">
        <v>12294</v>
      </c>
      <c r="F4569" s="115" t="s">
        <v>12295</v>
      </c>
      <c r="G4569" s="115" t="s">
        <v>12296</v>
      </c>
      <c r="H4569" s="115" t="s">
        <v>12297</v>
      </c>
    </row>
    <row r="4570" spans="1:10" ht="14.45" customHeight="1" x14ac:dyDescent="0.25">
      <c r="A4570" s="115">
        <v>9015</v>
      </c>
      <c r="B4570" s="115" t="s">
        <v>12250</v>
      </c>
      <c r="E4570" s="115" t="s">
        <v>12298</v>
      </c>
      <c r="F4570" s="115" t="s">
        <v>12299</v>
      </c>
      <c r="G4570" s="115" t="s">
        <v>12300</v>
      </c>
      <c r="H4570" s="115" t="s">
        <v>12301</v>
      </c>
    </row>
    <row r="4571" spans="1:10" x14ac:dyDescent="0.25">
      <c r="A4571" s="115">
        <v>9016</v>
      </c>
      <c r="B4571" s="115" t="s">
        <v>12250</v>
      </c>
      <c r="E4571" s="115" t="s">
        <v>12302</v>
      </c>
      <c r="F4571" s="115" t="s">
        <v>12303</v>
      </c>
      <c r="G4571" s="115" t="s">
        <v>12304</v>
      </c>
      <c r="H4571" s="115" t="s">
        <v>12305</v>
      </c>
    </row>
    <row r="4572" spans="1:10" x14ac:dyDescent="0.25">
      <c r="A4572" s="115">
        <v>9017</v>
      </c>
      <c r="B4572" s="115" t="s">
        <v>12250</v>
      </c>
      <c r="E4572" s="128" t="s">
        <v>185</v>
      </c>
      <c r="F4572" s="115" t="s">
        <v>6750</v>
      </c>
      <c r="G4572" s="115" t="s">
        <v>6749</v>
      </c>
      <c r="H4572" s="115" t="s">
        <v>9922</v>
      </c>
    </row>
    <row r="4573" spans="1:10" x14ac:dyDescent="0.25">
      <c r="A4573">
        <v>9018</v>
      </c>
      <c r="B4573" s="115" t="s">
        <v>12250</v>
      </c>
      <c r="E4573" s="128" t="s">
        <v>183</v>
      </c>
      <c r="F4573" s="115" t="s">
        <v>183</v>
      </c>
      <c r="G4573" s="115" t="s">
        <v>9475</v>
      </c>
      <c r="H4573" s="115" t="s">
        <v>9476</v>
      </c>
    </row>
    <row r="4574" spans="1:10" x14ac:dyDescent="0.25">
      <c r="A4574" s="115">
        <v>9019</v>
      </c>
      <c r="B4574" s="115" t="s">
        <v>12250</v>
      </c>
      <c r="E4574" s="128" t="s">
        <v>12306</v>
      </c>
      <c r="F4574" s="115" t="s">
        <v>12307</v>
      </c>
      <c r="G4574" s="115" t="s">
        <v>12308</v>
      </c>
      <c r="H4574" s="115" t="s">
        <v>12309</v>
      </c>
    </row>
    <row r="4575" spans="1:10" ht="30" x14ac:dyDescent="0.25">
      <c r="A4575" s="115">
        <v>9020</v>
      </c>
      <c r="B4575" s="115" t="s">
        <v>12250</v>
      </c>
      <c r="E4575" s="115" t="s">
        <v>12310</v>
      </c>
      <c r="F4575" s="115" t="s">
        <v>12311</v>
      </c>
      <c r="G4575" s="115" t="s">
        <v>12312</v>
      </c>
      <c r="H4575" s="115" t="s">
        <v>12313</v>
      </c>
    </row>
    <row r="4576" spans="1:10" ht="30" x14ac:dyDescent="0.25">
      <c r="A4576" s="115">
        <v>9021</v>
      </c>
      <c r="B4576" s="115" t="s">
        <v>12250</v>
      </c>
      <c r="E4576" s="129" t="s">
        <v>12314</v>
      </c>
      <c r="F4576" s="115" t="s">
        <v>12315</v>
      </c>
      <c r="G4576" s="115" t="s">
        <v>12316</v>
      </c>
      <c r="H4576" s="115" t="s">
        <v>12317</v>
      </c>
    </row>
    <row r="4577" spans="1:8" ht="29.1" customHeight="1" x14ac:dyDescent="0.25">
      <c r="A4577" s="115">
        <v>9022</v>
      </c>
      <c r="B4577" s="115" t="s">
        <v>12250</v>
      </c>
      <c r="E4577" s="115" t="s">
        <v>12318</v>
      </c>
      <c r="F4577" s="115" t="s">
        <v>12319</v>
      </c>
      <c r="G4577" s="115" t="s">
        <v>12320</v>
      </c>
      <c r="H4577" s="115" t="s">
        <v>12321</v>
      </c>
    </row>
    <row r="4578" spans="1:8" ht="130.5" customHeight="1" x14ac:dyDescent="0.25">
      <c r="A4578" s="115">
        <v>9023</v>
      </c>
      <c r="B4578" s="115" t="s">
        <v>12250</v>
      </c>
      <c r="E4578" s="115" t="s">
        <v>12322</v>
      </c>
      <c r="F4578" s="115" t="s">
        <v>12323</v>
      </c>
      <c r="G4578" s="115" t="s">
        <v>12324</v>
      </c>
      <c r="H4578" s="115" t="s">
        <v>12325</v>
      </c>
    </row>
    <row r="4579" spans="1:8" ht="90" x14ac:dyDescent="0.25">
      <c r="A4579" s="115">
        <v>9024</v>
      </c>
      <c r="B4579" s="115" t="s">
        <v>12250</v>
      </c>
      <c r="E4579" s="115" t="s">
        <v>12326</v>
      </c>
      <c r="F4579" s="115" t="s">
        <v>12327</v>
      </c>
      <c r="G4579" s="115" t="s">
        <v>12328</v>
      </c>
      <c r="H4579" s="115" t="s">
        <v>12329</v>
      </c>
    </row>
    <row r="4580" spans="1:8" ht="270" x14ac:dyDescent="0.25">
      <c r="A4580" s="115">
        <v>9025</v>
      </c>
      <c r="B4580" s="115" t="s">
        <v>12250</v>
      </c>
      <c r="E4580" s="115" t="s">
        <v>12330</v>
      </c>
      <c r="F4580" s="115" t="s">
        <v>12331</v>
      </c>
      <c r="G4580" s="115" t="s">
        <v>12332</v>
      </c>
      <c r="H4580" s="126" t="s">
        <v>12333</v>
      </c>
    </row>
    <row r="4581" spans="1:8" ht="57.95" customHeight="1" x14ac:dyDescent="0.25">
      <c r="A4581">
        <v>9026</v>
      </c>
      <c r="B4581" s="115" t="s">
        <v>12250</v>
      </c>
      <c r="E4581" s="115" t="s">
        <v>12334</v>
      </c>
      <c r="F4581" s="115" t="s">
        <v>12335</v>
      </c>
      <c r="G4581" s="115" t="s">
        <v>12336</v>
      </c>
      <c r="H4581" s="115" t="s">
        <v>12337</v>
      </c>
    </row>
    <row r="4582" spans="1:8" ht="57.95" customHeight="1" x14ac:dyDescent="0.25">
      <c r="A4582" s="115">
        <v>9027</v>
      </c>
      <c r="B4582" s="115" t="s">
        <v>12250</v>
      </c>
      <c r="E4582" s="115" t="s">
        <v>12338</v>
      </c>
      <c r="F4582" s="115" t="s">
        <v>12339</v>
      </c>
      <c r="G4582" s="115" t="s">
        <v>12340</v>
      </c>
      <c r="H4582" s="115" t="s">
        <v>12341</v>
      </c>
    </row>
    <row r="4583" spans="1:8" ht="90" x14ac:dyDescent="0.25">
      <c r="A4583" s="115">
        <v>9028</v>
      </c>
      <c r="B4583" s="115" t="s">
        <v>12250</v>
      </c>
      <c r="E4583" s="115" t="s">
        <v>5806</v>
      </c>
      <c r="F4583" s="115" t="s">
        <v>8944</v>
      </c>
      <c r="G4583" s="115" t="s">
        <v>8945</v>
      </c>
      <c r="H4583" s="115" t="s">
        <v>12342</v>
      </c>
    </row>
    <row r="4584" spans="1:8" ht="225" x14ac:dyDescent="0.25">
      <c r="A4584" s="115">
        <v>9029</v>
      </c>
      <c r="B4584" s="115" t="s">
        <v>12250</v>
      </c>
      <c r="E4584" s="115" t="s">
        <v>8791</v>
      </c>
      <c r="F4584" s="115" t="s">
        <v>12343</v>
      </c>
      <c r="G4584" s="115" t="s">
        <v>12344</v>
      </c>
      <c r="H4584" s="115" t="s">
        <v>12345</v>
      </c>
    </row>
    <row r="4585" spans="1:8" ht="45" x14ac:dyDescent="0.25">
      <c r="A4585" s="115">
        <v>9030</v>
      </c>
      <c r="B4585" s="115" t="s">
        <v>12250</v>
      </c>
      <c r="E4585" s="115" t="s">
        <v>8940</v>
      </c>
      <c r="F4585" s="115" t="s">
        <v>12346</v>
      </c>
      <c r="G4585" s="115" t="s">
        <v>8942</v>
      </c>
      <c r="H4585" s="115" t="s">
        <v>12347</v>
      </c>
    </row>
    <row r="4586" spans="1:8" ht="75" x14ac:dyDescent="0.25">
      <c r="A4586" s="115">
        <v>9031</v>
      </c>
      <c r="B4586" s="115" t="s">
        <v>12250</v>
      </c>
      <c r="E4586" s="115" t="s">
        <v>8963</v>
      </c>
      <c r="F4586" s="115" t="s">
        <v>12348</v>
      </c>
      <c r="G4586" s="115" t="s">
        <v>12349</v>
      </c>
      <c r="H4586" s="115" t="s">
        <v>12350</v>
      </c>
    </row>
    <row r="4587" spans="1:8" ht="60" x14ac:dyDescent="0.25">
      <c r="A4587" s="115">
        <v>9032</v>
      </c>
      <c r="B4587" s="115" t="s">
        <v>12250</v>
      </c>
      <c r="E4587" s="115" t="s">
        <v>8951</v>
      </c>
      <c r="F4587" s="115" t="s">
        <v>12351</v>
      </c>
      <c r="G4587" s="115" t="s">
        <v>12352</v>
      </c>
      <c r="H4587" s="115" t="s">
        <v>12353</v>
      </c>
    </row>
    <row r="4588" spans="1:8" ht="45" x14ac:dyDescent="0.25">
      <c r="A4588" s="115">
        <v>9033</v>
      </c>
      <c r="B4588" s="115" t="s">
        <v>12250</v>
      </c>
      <c r="E4588" s="115" t="s">
        <v>12354</v>
      </c>
      <c r="F4588" s="115" t="s">
        <v>6932</v>
      </c>
      <c r="G4588" s="115" t="s">
        <v>8906</v>
      </c>
      <c r="H4588" s="115" t="s">
        <v>12355</v>
      </c>
    </row>
    <row r="4589" spans="1:8" ht="409.5" x14ac:dyDescent="0.25">
      <c r="A4589" s="115">
        <v>9034</v>
      </c>
      <c r="B4589" s="115" t="s">
        <v>12250</v>
      </c>
      <c r="E4589" s="115" t="s">
        <v>12356</v>
      </c>
      <c r="F4589" s="115" t="s">
        <v>8784</v>
      </c>
      <c r="G4589" s="115" t="s">
        <v>8785</v>
      </c>
      <c r="H4589" s="115" t="s">
        <v>12357</v>
      </c>
    </row>
    <row r="4590" spans="1:8" ht="195" x14ac:dyDescent="0.25">
      <c r="A4590" s="115">
        <v>9035</v>
      </c>
      <c r="B4590" s="115" t="s">
        <v>12250</v>
      </c>
      <c r="E4590" s="115" t="s">
        <v>8778</v>
      </c>
      <c r="F4590" s="115" t="s">
        <v>9007</v>
      </c>
      <c r="G4590" s="115" t="s">
        <v>9008</v>
      </c>
      <c r="H4590" s="115" t="s">
        <v>12358</v>
      </c>
    </row>
    <row r="4591" spans="1:8" ht="75" x14ac:dyDescent="0.25">
      <c r="A4591" s="115">
        <v>9036</v>
      </c>
      <c r="B4591" s="115" t="s">
        <v>12250</v>
      </c>
      <c r="E4591" s="115" t="s">
        <v>8955</v>
      </c>
      <c r="F4591" s="115" t="s">
        <v>12359</v>
      </c>
      <c r="G4591" s="115" t="s">
        <v>8957</v>
      </c>
      <c r="H4591" s="115" t="s">
        <v>12360</v>
      </c>
    </row>
    <row r="4592" spans="1:8" ht="75" x14ac:dyDescent="0.25">
      <c r="A4592" s="115">
        <v>9037</v>
      </c>
      <c r="B4592" s="115" t="s">
        <v>12250</v>
      </c>
      <c r="E4592" s="115" t="s">
        <v>8959</v>
      </c>
      <c r="F4592" s="115" t="s">
        <v>12361</v>
      </c>
      <c r="G4592" s="115" t="s">
        <v>8961</v>
      </c>
      <c r="H4592" s="115" t="s">
        <v>12362</v>
      </c>
    </row>
    <row r="4593" spans="1:8" ht="60" x14ac:dyDescent="0.25">
      <c r="A4593" s="115">
        <v>9038</v>
      </c>
      <c r="B4593" s="115" t="s">
        <v>12250</v>
      </c>
      <c r="E4593" s="115" t="s">
        <v>6944</v>
      </c>
      <c r="F4593" s="115" t="s">
        <v>11843</v>
      </c>
      <c r="G4593" s="115" t="s">
        <v>6946</v>
      </c>
      <c r="H4593" s="115" t="s">
        <v>12363</v>
      </c>
    </row>
    <row r="4594" spans="1:8" ht="300" x14ac:dyDescent="0.25">
      <c r="A4594" s="115">
        <v>9039</v>
      </c>
      <c r="B4594" s="115" t="s">
        <v>12250</v>
      </c>
      <c r="E4594" s="115" t="s">
        <v>8787</v>
      </c>
      <c r="F4594" s="115" t="s">
        <v>8788</v>
      </c>
      <c r="G4594" s="115" t="s">
        <v>8789</v>
      </c>
      <c r="H4594" s="115" t="s">
        <v>12364</v>
      </c>
    </row>
    <row r="4595" spans="1:8" ht="165" x14ac:dyDescent="0.25">
      <c r="A4595" s="115">
        <v>9040</v>
      </c>
      <c r="B4595" s="115" t="s">
        <v>12250</v>
      </c>
      <c r="E4595" s="115" t="s">
        <v>8971</v>
      </c>
      <c r="F4595" s="115" t="s">
        <v>8972</v>
      </c>
      <c r="G4595" s="115" t="s">
        <v>8973</v>
      </c>
      <c r="H4595" s="115" t="s">
        <v>12365</v>
      </c>
    </row>
    <row r="4596" spans="1:8" ht="29.1" customHeight="1" x14ac:dyDescent="0.25">
      <c r="A4596" s="115">
        <v>9041</v>
      </c>
      <c r="B4596" s="115" t="s">
        <v>12250</v>
      </c>
      <c r="E4596" s="115" t="s">
        <v>19</v>
      </c>
      <c r="F4596" s="115" t="s">
        <v>12366</v>
      </c>
      <c r="G4596" s="115" t="s">
        <v>12367</v>
      </c>
      <c r="H4596" s="115" t="s">
        <v>12368</v>
      </c>
    </row>
    <row r="4597" spans="1:8" ht="29.1" customHeight="1" x14ac:dyDescent="0.25">
      <c r="A4597" s="115">
        <v>9042</v>
      </c>
      <c r="B4597" s="115" t="s">
        <v>12250</v>
      </c>
      <c r="E4597" s="115" t="s">
        <v>12369</v>
      </c>
      <c r="F4597" s="115" t="s">
        <v>12370</v>
      </c>
      <c r="G4597" s="115" t="s">
        <v>12371</v>
      </c>
      <c r="H4597" s="115" t="s">
        <v>12372</v>
      </c>
    </row>
    <row r="4598" spans="1:8" x14ac:dyDescent="0.25">
      <c r="A4598" s="115">
        <v>9043</v>
      </c>
      <c r="B4598" s="115" t="s">
        <v>12250</v>
      </c>
      <c r="E4598" s="115" t="s">
        <v>12373</v>
      </c>
      <c r="F4598" s="115" t="s">
        <v>12374</v>
      </c>
      <c r="G4598" s="115" t="s">
        <v>12375</v>
      </c>
      <c r="H4598" s="115" t="s">
        <v>12376</v>
      </c>
    </row>
    <row r="4599" spans="1:8" ht="270" x14ac:dyDescent="0.25">
      <c r="A4599" s="115">
        <v>9044</v>
      </c>
      <c r="B4599" s="115" t="s">
        <v>12250</v>
      </c>
      <c r="E4599" s="115" t="s">
        <v>11973</v>
      </c>
      <c r="F4599" s="115" t="s">
        <v>12377</v>
      </c>
      <c r="G4599" s="115" t="s">
        <v>12378</v>
      </c>
      <c r="H4599" s="115" t="s">
        <v>12379</v>
      </c>
    </row>
    <row r="4600" spans="1:8" ht="30" x14ac:dyDescent="0.25">
      <c r="A4600" s="115">
        <v>9045</v>
      </c>
      <c r="B4600" s="115" t="s">
        <v>12250</v>
      </c>
      <c r="E4600" s="130" t="s">
        <v>12380</v>
      </c>
      <c r="F4600" s="115" t="s">
        <v>12381</v>
      </c>
      <c r="G4600" s="115" t="s">
        <v>12382</v>
      </c>
      <c r="H4600" s="115" t="s">
        <v>12383</v>
      </c>
    </row>
    <row r="4601" spans="1:8" ht="60" x14ac:dyDescent="0.25">
      <c r="A4601" s="115">
        <v>9046</v>
      </c>
      <c r="B4601" s="115" t="s">
        <v>12250</v>
      </c>
      <c r="E4601" s="115" t="s">
        <v>12384</v>
      </c>
      <c r="F4601" s="115" t="s">
        <v>12385</v>
      </c>
      <c r="G4601" s="115" t="s">
        <v>12386</v>
      </c>
      <c r="H4601" s="115" t="s">
        <v>12387</v>
      </c>
    </row>
    <row r="4602" spans="1:8" x14ac:dyDescent="0.25">
      <c r="A4602" s="115">
        <v>9047</v>
      </c>
      <c r="B4602" s="115" t="s">
        <v>12250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fb314bc-7b2d-45ce-a517-7d370eafd82d" xsi:nil="true"/>
    <lcf76f155ced4ddcb4097134ff3c332f xmlns="67bd97f6-f5f5-4f29-8f0d-e757ed3ec3ad">
      <Terms xmlns="http://schemas.microsoft.com/office/infopath/2007/PartnerControls"/>
    </lcf76f155ced4ddcb4097134ff3c332f>
    <Summary xmlns="67bd97f6-f5f5-4f29-8f0d-e757ed3ec3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0A46C601EF784FB4DBF90453A8B30A" ma:contentTypeVersion="20" ma:contentTypeDescription="Create a new document." ma:contentTypeScope="" ma:versionID="04ae43cd61c236257f41580e830362ba">
  <xsd:schema xmlns:xsd="http://www.w3.org/2001/XMLSchema" xmlns:xs="http://www.w3.org/2001/XMLSchema" xmlns:p="http://schemas.microsoft.com/office/2006/metadata/properties" xmlns:ns2="67bd97f6-f5f5-4f29-8f0d-e757ed3ec3ad" xmlns:ns3="ffb314bc-7b2d-45ce-a517-7d370eafd82d" targetNamespace="http://schemas.microsoft.com/office/2006/metadata/properties" ma:root="true" ma:fieldsID="203b84fffd410675164ba71041c58b17" ns2:_="" ns3:_="">
    <xsd:import namespace="67bd97f6-f5f5-4f29-8f0d-e757ed3ec3ad"/>
    <xsd:import namespace="ffb314bc-7b2d-45ce-a517-7d370eafd82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Summar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bd97f6-f5f5-4f29-8f0d-e757ed3ec3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14f832c-f6f1-485d-8901-6765a4832c5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Summary" ma:index="25" nillable="true" ma:displayName="Summary" ma:description="Summary of document content" ma:format="Dropdown" ma:internalName="Summary">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b314bc-7b2d-45ce-a517-7d370eafd82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bd8c229-fb44-4a46-a07d-edf5d86c7a44}" ma:internalName="TaxCatchAll" ma:showField="CatchAllData" ma:web="ffb314bc-7b2d-45ce-a517-7d370eafd8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C118E4-5CFC-486B-BAC3-4BA85742F0C1}">
  <ds:schemaRefs>
    <ds:schemaRef ds:uri="http://schemas.microsoft.com/office/2006/metadata/properties"/>
    <ds:schemaRef ds:uri="http://schemas.microsoft.com/office/infopath/2007/PartnerControls"/>
    <ds:schemaRef ds:uri="ffb314bc-7b2d-45ce-a517-7d370eafd82d"/>
    <ds:schemaRef ds:uri="67bd97f6-f5f5-4f29-8f0d-e757ed3ec3ad"/>
  </ds:schemaRefs>
</ds:datastoreItem>
</file>

<file path=customXml/itemProps2.xml><?xml version="1.0" encoding="utf-8"?>
<ds:datastoreItem xmlns:ds="http://schemas.openxmlformats.org/officeDocument/2006/customXml" ds:itemID="{D1B26752-5685-4B70-BFA3-E8D44461BFD5}">
  <ds:schemaRefs>
    <ds:schemaRef ds:uri="http://schemas.microsoft.com/sharepoint/v3/contenttype/forms"/>
  </ds:schemaRefs>
</ds:datastoreItem>
</file>

<file path=customXml/itemProps3.xml><?xml version="1.0" encoding="utf-8"?>
<ds:datastoreItem xmlns:ds="http://schemas.openxmlformats.org/officeDocument/2006/customXml" ds:itemID="{C9A0FB1E-2FFF-4034-A97C-248213725D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bd97f6-f5f5-4f29-8f0d-e757ed3ec3ad"/>
    <ds:schemaRef ds:uri="ffb314bc-7b2d-45ce-a517-7d370eafd8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Indicator Data</vt:lpstr>
      <vt:lpstr>Translations</vt:lpstr>
      <vt:lpstr>Language</vt:lpstr>
      <vt:lpstr>NoLANG</vt:lpstr>
      <vt:lpstr>YesLANG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Haytham ALSOUFI</dc:creator>
  <cp:keywords/>
  <dc:description/>
  <cp:lastModifiedBy>Milena Gama Dos Reis Fugundes</cp:lastModifiedBy>
  <cp:revision/>
  <dcterms:created xsi:type="dcterms:W3CDTF">2022-03-17T11:37:31Z</dcterms:created>
  <dcterms:modified xsi:type="dcterms:W3CDTF">2026-07-09T13:30:27Z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0x010100690A46C601EF784FB4DBF90453A8B30A</vt:lpwstr>
  </property>
  <property fmtid="{D5CDD505-2E9C-101B-9397-08002B2CF9AE}" pid="3" name="MSIP_Label_6627b15a-80ec-4ef7-8353-f32e3c89bf3e_Enabled">
    <vt:lpwstr>true</vt:lpwstr>
  </property>
  <property fmtid="{D5CDD505-2E9C-101B-9397-08002B2CF9AE}" pid="4" name="MSIP_Label_6627b15a-80ec-4ef7-8353-f32e3c89bf3e_SetDate">
    <vt:lpwstr>2022-04-11T11:46:24Z</vt:lpwstr>
  </property>
  <property fmtid="{D5CDD505-2E9C-101B-9397-08002B2CF9AE}" pid="5" name="MSIP_Label_6627b15a-80ec-4ef7-8353-f32e3c89bf3e_Method">
    <vt:lpwstr>Privileged</vt:lpwstr>
  </property>
  <property fmtid="{D5CDD505-2E9C-101B-9397-08002B2CF9AE}" pid="6" name="MSIP_Label_6627b15a-80ec-4ef7-8353-f32e3c89bf3e_Name">
    <vt:lpwstr>IFRC Internal</vt:lpwstr>
  </property>
  <property fmtid="{D5CDD505-2E9C-101B-9397-08002B2CF9AE}" pid="7" name="MSIP_Label_6627b15a-80ec-4ef7-8353-f32e3c89bf3e_SiteId">
    <vt:lpwstr>a2b53be5-734e-4e6c-ab0d-d184f60fd917</vt:lpwstr>
  </property>
  <property fmtid="{D5CDD505-2E9C-101B-9397-08002B2CF9AE}" pid="8" name="MSIP_Label_6627b15a-80ec-4ef7-8353-f32e3c89bf3e_ActionId">
    <vt:lpwstr>7a2fecd6-4e67-4652-a769-278e14bf7d3f</vt:lpwstr>
  </property>
  <property fmtid="{D5CDD505-2E9C-101B-9397-08002B2CF9AE}" pid="9" name="MSIP_Label_6627b15a-80ec-4ef7-8353-f32e3c89bf3e_ContentBits">
    <vt:lpwstr>2</vt:lpwstr>
  </property>
  <property fmtid="{D5CDD505-2E9C-101B-9397-08002B2CF9AE}" pid="10" name="MediaServiceImageTags">
    <vt:lpwstr/>
  </property>
</Properties>
</file>