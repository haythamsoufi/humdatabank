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drawings/drawing2.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Humanitarian Databank\Backoffice\app\static\templates\"/>
    </mc:Choice>
  </mc:AlternateContent>
  <xr:revisionPtr revIDLastSave="0" documentId="13_ncr:1_{540E122E-B4D9-410D-ACFA-450CD5DBBC53}" xr6:coauthVersionLast="47" xr6:coauthVersionMax="47" xr10:uidLastSave="{00000000-0000-0000-0000-000000000000}"/>
  <workbookProtection workbookAlgorithmName="SHA-512" workbookHashValue="bHNO6KqNN6CvtdClvzwt3bScR4I0OV8nbwwCHWuc9+jmK0/XTkV5b6oifRglvaw8fugB/7iW7plBY+0Q9r1OIA==" workbookSaltValue="OfG9EUUthRg1l38pxF51Dg==" workbookSpinCount="100000" lockStructure="1"/>
  <bookViews>
    <workbookView xWindow="-108" yWindow="-108" windowWidth="23256" windowHeight="13896" tabRatio="793" firstSheet="1" activeTab="1" xr2:uid="{00000000-000D-0000-FFFF-FFFF00000000}"/>
  </bookViews>
  <sheets>
    <sheet name="TemplateData" sheetId="1" state="hidden" r:id="rId1"/>
    <sheet name="Guidance" sheetId="22" r:id="rId2"/>
    <sheet name="Start" sheetId="2" r:id="rId3"/>
    <sheet name="Overall action Indicators" sheetId="23" r:id="rId4"/>
    <sheet name="Indicators list" sheetId="17" r:id="rId5"/>
    <sheet name="Emergency Appeal 1" sheetId="5" r:id="rId6"/>
    <sheet name="Emergency Appeal 2" sheetId="19" r:id="rId7"/>
    <sheet name="Emergency Appeal 3" sheetId="20" r:id="rId8"/>
    <sheet name="Funding" sheetId="16" r:id="rId9"/>
    <sheet name="Bilateral Support" sheetId="3" r:id="rId10"/>
    <sheet name="Comments" sheetId="13" r:id="rId11"/>
  </sheets>
  <definedNames>
    <definedName name="_Column">CountryMap[[#All],[Region]]</definedName>
    <definedName name="_ColumnB">NSMap[[#All],[Region]]</definedName>
    <definedName name="_Indicator">Final[[#Headers],[Indicator Name]]</definedName>
    <definedName name="_SP">Final[[#All],[SP/EF]]</definedName>
    <definedName name="_Start">CountryMap[[#Headers],[Country]]</definedName>
    <definedName name="_StartB">NSMap[[#Headers],[NS name]]</definedName>
    <definedName name="Commetns_overall">Comments!$B$4</definedName>
    <definedName name="Data_branches">Start!$O$29</definedName>
    <definedName name="Data_Country">Start!$K$12</definedName>
    <definedName name="Data_EO1">Start!$E$18</definedName>
    <definedName name="Data_EO2">Start!$L$18</definedName>
    <definedName name="Data_EO3">Start!$E$24</definedName>
    <definedName name="Data_MDR1">Start!$E$16</definedName>
    <definedName name="Data_MDR2">Start!$L$16</definedName>
    <definedName name="Data_MDR3">Start!$E$22</definedName>
    <definedName name="Data_staff">Start!$F$29</definedName>
    <definedName name="Data_units">Start!$L$29</definedName>
    <definedName name="Data_vol">Start!$C$29</definedName>
    <definedName name="ExternalData_1" localSheetId="0" hidden="1">TemplateData!$M$9:$O$650</definedName>
    <definedName name="ExternalData_2" localSheetId="0" hidden="1">TemplateData!#REF!</definedName>
    <definedName name="Region">RegionTable[Region]</definedName>
    <definedName name="SPs">Table16[SP]</definedName>
    <definedName name="Version">TemplateData!$C$2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20" l="1"/>
  <c r="S8" i="20"/>
  <c r="S9" i="20"/>
  <c r="S10" i="20"/>
  <c r="S11" i="20"/>
  <c r="S12" i="20"/>
  <c r="S13" i="20"/>
  <c r="S14" i="20"/>
  <c r="S15" i="20"/>
  <c r="S16" i="20"/>
  <c r="S17" i="20"/>
  <c r="S18" i="20"/>
  <c r="S19" i="20"/>
  <c r="S20" i="20"/>
  <c r="S21" i="20"/>
  <c r="S22" i="20"/>
  <c r="S23" i="20"/>
  <c r="S24" i="20"/>
  <c r="S25" i="20"/>
  <c r="S26" i="20"/>
  <c r="S27" i="20"/>
  <c r="S28" i="20"/>
  <c r="S29" i="20"/>
  <c r="S30" i="20"/>
  <c r="S31" i="20"/>
  <c r="S32" i="20"/>
  <c r="S33" i="20"/>
  <c r="S34" i="20"/>
  <c r="S35" i="20"/>
  <c r="S36" i="20"/>
  <c r="S37" i="20"/>
  <c r="S38" i="20"/>
  <c r="S39" i="20"/>
  <c r="S40" i="20"/>
  <c r="S41" i="20"/>
  <c r="S42" i="20"/>
  <c r="S43" i="20"/>
  <c r="S44" i="20"/>
  <c r="S45" i="20"/>
  <c r="S46" i="20"/>
  <c r="S47" i="20"/>
  <c r="S48" i="20"/>
  <c r="S49" i="20"/>
  <c r="S50" i="20"/>
  <c r="S51" i="20"/>
  <c r="S52" i="20"/>
  <c r="S53" i="20"/>
  <c r="S10" i="19"/>
  <c r="S10" i="5"/>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24" i="20"/>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24" i="19"/>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24" i="5"/>
  <c r="B54" i="23"/>
  <c r="B55" i="23"/>
  <c r="B56" i="23"/>
  <c r="B57" i="23"/>
  <c r="B58" i="23"/>
  <c r="B59" i="23"/>
  <c r="B60" i="23"/>
  <c r="B61" i="23"/>
  <c r="B62" i="23"/>
  <c r="B63" i="23"/>
  <c r="B64" i="23"/>
  <c r="B65" i="23"/>
  <c r="B66" i="23"/>
  <c r="B67" i="23"/>
  <c r="B68" i="23"/>
  <c r="B69" i="23"/>
  <c r="B70" i="23"/>
  <c r="B71" i="23"/>
  <c r="B72" i="23"/>
  <c r="S12" i="23" l="1"/>
  <c r="S54" i="23"/>
  <c r="S55" i="23"/>
  <c r="S56" i="23"/>
  <c r="S57" i="23"/>
  <c r="S58" i="23"/>
  <c r="S59" i="23"/>
  <c r="S60" i="23"/>
  <c r="S61" i="23"/>
  <c r="S62" i="23"/>
  <c r="S63" i="23"/>
  <c r="S64" i="23"/>
  <c r="S65" i="23"/>
  <c r="S66" i="23"/>
  <c r="S67" i="23"/>
  <c r="S68" i="23"/>
  <c r="S69" i="23"/>
  <c r="S70" i="23"/>
  <c r="S71" i="23"/>
  <c r="S72" i="23"/>
  <c r="S13" i="5" l="1"/>
  <c r="S14" i="5"/>
  <c r="S15" i="5"/>
  <c r="S46" i="23"/>
  <c r="S13" i="23"/>
  <c r="S14" i="23"/>
  <c r="S15" i="23"/>
  <c r="S16" i="23"/>
  <c r="S22" i="23"/>
  <c r="S23" i="23"/>
  <c r="S24" i="23"/>
  <c r="S30" i="23"/>
  <c r="S31" i="23"/>
  <c r="S32" i="23"/>
  <c r="S38" i="23"/>
  <c r="S40" i="23"/>
  <c r="C1" i="5"/>
  <c r="C1" i="19"/>
  <c r="C1" i="20"/>
  <c r="S24" i="5"/>
  <c r="S25" i="5"/>
  <c r="S26" i="5"/>
  <c r="S27" i="5"/>
  <c r="S28" i="5"/>
  <c r="S29" i="5"/>
  <c r="S30" i="5"/>
  <c r="S31" i="5"/>
  <c r="S32" i="5"/>
  <c r="S53" i="5"/>
  <c r="S52" i="5"/>
  <c r="S51" i="5"/>
  <c r="S50" i="5"/>
  <c r="S49" i="5"/>
  <c r="S48" i="5"/>
  <c r="S47" i="5"/>
  <c r="S46" i="5"/>
  <c r="S45" i="5"/>
  <c r="S44" i="5"/>
  <c r="S43" i="5"/>
  <c r="S42" i="5"/>
  <c r="S41" i="5"/>
  <c r="S40" i="5"/>
  <c r="S39" i="5"/>
  <c r="S38" i="5"/>
  <c r="S37" i="5"/>
  <c r="S36" i="5"/>
  <c r="S35" i="5"/>
  <c r="S34" i="5"/>
  <c r="S33" i="5"/>
  <c r="S24" i="19"/>
  <c r="S25" i="19"/>
  <c r="S26" i="19"/>
  <c r="S27" i="19"/>
  <c r="S28" i="19"/>
  <c r="S29" i="19"/>
  <c r="S30" i="19"/>
  <c r="S31" i="19"/>
  <c r="S32" i="19"/>
  <c r="S33" i="19"/>
  <c r="S34" i="19"/>
  <c r="S35" i="19"/>
  <c r="S36" i="19"/>
  <c r="S37" i="19"/>
  <c r="S38" i="19"/>
  <c r="S39" i="19"/>
  <c r="S40" i="19"/>
  <c r="S41" i="19"/>
  <c r="S42" i="19"/>
  <c r="S43" i="19"/>
  <c r="S44" i="19"/>
  <c r="S45" i="19"/>
  <c r="S46" i="19"/>
  <c r="S47" i="19"/>
  <c r="S48" i="19"/>
  <c r="S49" i="19"/>
  <c r="S50" i="19"/>
  <c r="S51" i="19"/>
  <c r="S52" i="19"/>
  <c r="S53" i="19"/>
  <c r="S39" i="23"/>
  <c r="S10" i="23"/>
  <c r="S11" i="23"/>
  <c r="S17" i="23"/>
  <c r="S18" i="23"/>
  <c r="S19" i="23"/>
  <c r="S20" i="23"/>
  <c r="S21" i="23"/>
  <c r="S25" i="23"/>
  <c r="S26" i="23"/>
  <c r="S27" i="23"/>
  <c r="S28" i="23"/>
  <c r="S29" i="23"/>
  <c r="S33" i="23"/>
  <c r="S34" i="23"/>
  <c r="S35" i="23"/>
  <c r="S36" i="23"/>
  <c r="S37" i="23"/>
  <c r="S7" i="5"/>
  <c r="S8" i="19"/>
  <c r="S9" i="19"/>
  <c r="S11" i="19"/>
  <c r="S12" i="19"/>
  <c r="S13" i="19"/>
  <c r="S14" i="19"/>
  <c r="S15" i="19"/>
  <c r="S16" i="19"/>
  <c r="S17" i="19"/>
  <c r="S18" i="19"/>
  <c r="S19" i="19"/>
  <c r="S20" i="19"/>
  <c r="S21" i="19"/>
  <c r="S22" i="19"/>
  <c r="S23" i="19"/>
  <c r="S7" i="19"/>
  <c r="S8" i="5"/>
  <c r="S9" i="5"/>
  <c r="S11" i="5"/>
  <c r="S12" i="5"/>
  <c r="S16" i="5"/>
  <c r="S17" i="5"/>
  <c r="S18" i="5"/>
  <c r="S19" i="5"/>
  <c r="S20" i="5"/>
  <c r="S21" i="5"/>
  <c r="S22" i="5"/>
  <c r="S23" i="5"/>
  <c r="S9" i="23"/>
  <c r="S41" i="23"/>
  <c r="S42" i="23"/>
  <c r="S43" i="23"/>
  <c r="S44" i="23"/>
  <c r="S45" i="23"/>
  <c r="S47" i="23"/>
  <c r="S48" i="23"/>
  <c r="C1" i="23" l="1"/>
  <c r="B1" i="3" l="1"/>
  <c r="B1" i="16"/>
  <c r="C8" i="3" l="1" a="1"/>
  <c r="C8" i="3" s="1"/>
  <c r="F29" i="2" a="1"/>
  <c r="F29" i="2" s="1"/>
  <c r="L29" i="2" a="1"/>
  <c r="L29" i="2" s="1"/>
  <c r="O29" i="2" a="1"/>
  <c r="O29" i="2" s="1"/>
  <c r="B31" i="2" l="1"/>
  <c r="O31" i="2" l="1" a="1"/>
  <c r="O31" i="2" s="1"/>
  <c r="H2" i="20"/>
  <c r="M11" i="2"/>
  <c r="H2" i="19" l="1"/>
  <c r="L31" i="2" l="1" a="1"/>
  <c r="L31" i="2" s="1"/>
  <c r="F31" i="2" a="1"/>
  <c r="F31" i="2" s="1"/>
  <c r="C31" i="2" a="1"/>
  <c r="C31" i="2" s="1"/>
  <c r="G13" i="16" l="1"/>
  <c r="F13" i="16"/>
  <c r="H2" i="5" l="1"/>
  <c r="D54" i="3" l="1"/>
  <c r="D55" i="3"/>
  <c r="D56" i="3"/>
  <c r="D57" i="3"/>
  <c r="D58" i="3"/>
  <c r="D59" i="3"/>
  <c r="D60" i="3"/>
  <c r="D42" i="3"/>
  <c r="D43" i="3"/>
  <c r="D44" i="3"/>
  <c r="D45" i="3"/>
  <c r="D46" i="3"/>
  <c r="D47" i="3"/>
  <c r="D48" i="3"/>
  <c r="D49" i="3"/>
  <c r="D50" i="3"/>
  <c r="D51" i="3"/>
  <c r="D52" i="3"/>
  <c r="D53" i="3"/>
  <c r="O24" i="3" l="1"/>
  <c r="M20" i="3"/>
  <c r="M32" i="3"/>
  <c r="K28" i="3"/>
  <c r="I24" i="3"/>
  <c r="G20" i="3"/>
  <c r="G32" i="3"/>
  <c r="E28" i="3"/>
  <c r="O25" i="3"/>
  <c r="M21" i="3"/>
  <c r="K17" i="3"/>
  <c r="K29" i="3"/>
  <c r="I25" i="3"/>
  <c r="G21" i="3"/>
  <c r="E17" i="3"/>
  <c r="E29" i="3"/>
  <c r="O26" i="3"/>
  <c r="M22" i="3"/>
  <c r="K18" i="3"/>
  <c r="K30" i="3"/>
  <c r="I26" i="3"/>
  <c r="G22" i="3"/>
  <c r="E18" i="3"/>
  <c r="E30" i="3"/>
  <c r="O27" i="3"/>
  <c r="M23" i="3"/>
  <c r="K19" i="3"/>
  <c r="K31" i="3"/>
  <c r="I27" i="3"/>
  <c r="G23" i="3"/>
  <c r="E19" i="3"/>
  <c r="E31" i="3"/>
  <c r="O28" i="3"/>
  <c r="M24" i="3"/>
  <c r="K20" i="3"/>
  <c r="K32" i="3"/>
  <c r="I28" i="3"/>
  <c r="G24" i="3"/>
  <c r="E20" i="3"/>
  <c r="E32" i="3"/>
  <c r="O17" i="3"/>
  <c r="O29" i="3"/>
  <c r="M25" i="3"/>
  <c r="K21" i="3"/>
  <c r="I17" i="3"/>
  <c r="I29" i="3"/>
  <c r="G25" i="3"/>
  <c r="E21" i="3"/>
  <c r="O18" i="3"/>
  <c r="O30" i="3"/>
  <c r="M26" i="3"/>
  <c r="K22" i="3"/>
  <c r="I18" i="3"/>
  <c r="I30" i="3"/>
  <c r="G26" i="3"/>
  <c r="E22" i="3"/>
  <c r="O19" i="3"/>
  <c r="O31" i="3"/>
  <c r="M27" i="3"/>
  <c r="K23" i="3"/>
  <c r="I19" i="3"/>
  <c r="I31" i="3"/>
  <c r="G27" i="3"/>
  <c r="E23" i="3"/>
  <c r="O20" i="3"/>
  <c r="O32" i="3"/>
  <c r="M28" i="3"/>
  <c r="K24" i="3"/>
  <c r="I20" i="3"/>
  <c r="I32" i="3"/>
  <c r="G28" i="3"/>
  <c r="E24" i="3"/>
  <c r="O21" i="3"/>
  <c r="M17" i="3"/>
  <c r="M29" i="3"/>
  <c r="K25" i="3"/>
  <c r="I21" i="3"/>
  <c r="G17" i="3"/>
  <c r="G29" i="3"/>
  <c r="E25" i="3"/>
  <c r="O22" i="3"/>
  <c r="M18" i="3"/>
  <c r="M30" i="3"/>
  <c r="K26" i="3"/>
  <c r="I22" i="3"/>
  <c r="G30" i="3"/>
  <c r="G31" i="3"/>
  <c r="E26" i="3"/>
  <c r="E27" i="3"/>
  <c r="O23" i="3"/>
  <c r="M19" i="3"/>
  <c r="M31" i="3"/>
  <c r="K27" i="3"/>
  <c r="I23" i="3"/>
  <c r="G18" i="3"/>
  <c r="G19" i="3"/>
  <c r="O15" i="3"/>
  <c r="O16" i="3"/>
  <c r="O9" i="3"/>
  <c r="O10" i="3"/>
  <c r="O11" i="3"/>
  <c r="O12" i="3"/>
  <c r="K14" i="3"/>
  <c r="O13" i="3"/>
  <c r="E16" i="3"/>
  <c r="O14" i="3"/>
  <c r="K15" i="3"/>
  <c r="K16" i="3"/>
  <c r="B22" i="3"/>
  <c r="B30" i="3"/>
  <c r="B23" i="3"/>
  <c r="B24" i="3"/>
  <c r="B29" i="3"/>
  <c r="B25" i="3"/>
  <c r="B26" i="3"/>
  <c r="B27" i="3"/>
  <c r="B28" i="3"/>
  <c r="D23" i="3"/>
  <c r="D22" i="3"/>
  <c r="D25" i="3"/>
  <c r="D24" i="3"/>
  <c r="D27" i="3"/>
  <c r="D26" i="3"/>
  <c r="D29" i="3"/>
  <c r="D28" i="3"/>
  <c r="D39" i="3"/>
  <c r="D30" i="3"/>
  <c r="D38" i="3"/>
  <c r="D41" i="3"/>
  <c r="D40" i="3"/>
  <c r="B19" i="3"/>
  <c r="B20" i="3"/>
  <c r="B21" i="3"/>
  <c r="B31" i="3"/>
  <c r="D19" i="3"/>
  <c r="D21" i="3"/>
  <c r="D20" i="3"/>
  <c r="O8" i="3"/>
  <c r="D31" i="3"/>
  <c r="D18" i="3"/>
  <c r="D32" i="3"/>
  <c r="D16" i="3"/>
  <c r="D14" i="3"/>
  <c r="D15" i="3"/>
  <c r="D17" i="3"/>
  <c r="D13" i="3" l="1"/>
  <c r="D9" i="3" l="1"/>
  <c r="D12" i="3"/>
  <c r="D10" i="3"/>
  <c r="D11" i="3"/>
  <c r="B18" i="3"/>
  <c r="B17" i="3"/>
  <c r="G16" i="3"/>
  <c r="B14" i="3"/>
  <c r="G10" i="3"/>
  <c r="M15" i="3"/>
  <c r="K11" i="3"/>
  <c r="B13" i="3"/>
  <c r="G9" i="3"/>
  <c r="M14" i="3"/>
  <c r="B12" i="3"/>
  <c r="I12" i="3"/>
  <c r="M13" i="3"/>
  <c r="I11" i="3"/>
  <c r="E15" i="3"/>
  <c r="I10" i="3"/>
  <c r="E14" i="3"/>
  <c r="K13" i="3"/>
  <c r="K12" i="3"/>
  <c r="D8" i="3"/>
  <c r="M16" i="3"/>
  <c r="I13" i="3"/>
  <c r="G11" i="3"/>
  <c r="E9" i="3"/>
  <c r="B15" i="3"/>
  <c r="M9" i="3"/>
  <c r="I14" i="3"/>
  <c r="G12" i="3"/>
  <c r="E10" i="3"/>
  <c r="B16" i="3"/>
  <c r="M10" i="3"/>
  <c r="I15" i="3"/>
  <c r="G13" i="3"/>
  <c r="E11" i="3"/>
  <c r="B9" i="3"/>
  <c r="B32" i="3"/>
  <c r="M11" i="3"/>
  <c r="K9" i="3"/>
  <c r="I16" i="3"/>
  <c r="G14" i="3"/>
  <c r="E12" i="3"/>
  <c r="B10" i="3"/>
  <c r="M12" i="3"/>
  <c r="K10" i="3"/>
  <c r="I9" i="3"/>
  <c r="G15" i="3"/>
  <c r="E13" i="3"/>
  <c r="B11" i="3"/>
  <c r="M8" i="3" l="1"/>
  <c r="E8" i="3"/>
  <c r="K8" i="3"/>
  <c r="B8" i="3"/>
  <c r="I8" i="3"/>
  <c r="G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<sst xmlns="http://schemas.openxmlformats.org/spreadsheetml/2006/main" count="11810" uniqueCount="1660">
  <si>
    <t>Region</t>
  </si>
  <si>
    <t>Asia Pacific</t>
  </si>
  <si>
    <t>Africa</t>
  </si>
  <si>
    <t>Americas</t>
  </si>
  <si>
    <t>Europe &amp; CA</t>
  </si>
  <si>
    <t>MENA</t>
  </si>
  <si>
    <t>FDRS Data</t>
  </si>
  <si>
    <t>Planning 2025 Data</t>
  </si>
  <si>
    <t>P26 Data</t>
  </si>
  <si>
    <t>Country</t>
  </si>
  <si>
    <t>NS</t>
  </si>
  <si>
    <t>NS name</t>
  </si>
  <si>
    <t>SP</t>
  </si>
  <si>
    <t>GRBMP</t>
  </si>
  <si>
    <t>Attribute</t>
  </si>
  <si>
    <t>Value</t>
  </si>
  <si>
    <t>Year</t>
  </si>
  <si>
    <t>ISO3</t>
  </si>
  <si>
    <t>Indicator</t>
  </si>
  <si>
    <t>ValueNum</t>
  </si>
  <si>
    <t>Angola</t>
  </si>
  <si>
    <t>Angola Red Cross</t>
  </si>
  <si>
    <t>Algeria</t>
  </si>
  <si>
    <t>Afghanistan</t>
  </si>
  <si>
    <t>Branches</t>
  </si>
  <si>
    <t>AFG</t>
  </si>
  <si>
    <t>SP4</t>
  </si>
  <si>
    <t>Danish Red Cross</t>
  </si>
  <si>
    <t>Benin</t>
  </si>
  <si>
    <t>Red Cross of Benin</t>
  </si>
  <si>
    <t>Argentina</t>
  </si>
  <si>
    <t>Local Units</t>
  </si>
  <si>
    <t>SP2</t>
  </si>
  <si>
    <t>Staff</t>
  </si>
  <si>
    <t>Botswana</t>
  </si>
  <si>
    <t>Botswana Red Cross Society</t>
  </si>
  <si>
    <t>Belize</t>
  </si>
  <si>
    <t>SP5</t>
  </si>
  <si>
    <t>Burkina Faso</t>
  </si>
  <si>
    <t>Burkinabe Red Cross Society</t>
  </si>
  <si>
    <t>Bolivia, Plurinational State of</t>
  </si>
  <si>
    <t>Volunteers</t>
  </si>
  <si>
    <t>EFs</t>
  </si>
  <si>
    <t>Burundi</t>
  </si>
  <si>
    <t>Burundi Red Cross</t>
  </si>
  <si>
    <t>Brazil</t>
  </si>
  <si>
    <t>Albania</t>
  </si>
  <si>
    <t>SP3</t>
  </si>
  <si>
    <t>DZA</t>
  </si>
  <si>
    <t>Cameroon</t>
  </si>
  <si>
    <t>Cameroon Red Cross Society</t>
  </si>
  <si>
    <t>United Kingdom</t>
  </si>
  <si>
    <t>Norwegian Red Cross</t>
  </si>
  <si>
    <t>Cape Verde</t>
  </si>
  <si>
    <t>Red Cross of Cape Verde</t>
  </si>
  <si>
    <t>Central African Republic</t>
  </si>
  <si>
    <t>Central African Red Cross Society</t>
  </si>
  <si>
    <t>Chad</t>
  </si>
  <si>
    <t>Red Cross of Chad</t>
  </si>
  <si>
    <t>BFA</t>
  </si>
  <si>
    <t>Comoros</t>
  </si>
  <si>
    <t>The Comoros Red Crescent</t>
  </si>
  <si>
    <t>Ethiopia</t>
  </si>
  <si>
    <t>Qatar Red Crescent Society</t>
  </si>
  <si>
    <t>Congo</t>
  </si>
  <si>
    <t>Congolese Red Cross</t>
  </si>
  <si>
    <t>Gambia</t>
  </si>
  <si>
    <t>Congo, the Democratic Republic of the</t>
  </si>
  <si>
    <t>Red Cross of the Democratic Republic of the Congo</t>
  </si>
  <si>
    <t>Côte d'Ivoire</t>
  </si>
  <si>
    <t>Red Cross Society of Côte d'Ivoire</t>
  </si>
  <si>
    <t>Mauritania</t>
  </si>
  <si>
    <t>Andorra</t>
  </si>
  <si>
    <t>Turkish Red Crescent Society</t>
  </si>
  <si>
    <t>BTN</t>
  </si>
  <si>
    <t>Bhutan</t>
  </si>
  <si>
    <t>Djibouti</t>
  </si>
  <si>
    <t>Red Crescent Society of Djibouti</t>
  </si>
  <si>
    <t>Chile</t>
  </si>
  <si>
    <t>Equatorial Guinea</t>
  </si>
  <si>
    <t>Red Cross of Equatorial Guinea</t>
  </si>
  <si>
    <t>Nigeria</t>
  </si>
  <si>
    <t>SP1</t>
  </si>
  <si>
    <t>Eswatini, the Kingdom of</t>
  </si>
  <si>
    <t>Baphalali Eswatini Red Cross Society</t>
  </si>
  <si>
    <t>North Macedonia</t>
  </si>
  <si>
    <t>Ethiopian Red Cross Society</t>
  </si>
  <si>
    <t>Colombia</t>
  </si>
  <si>
    <t>AGO</t>
  </si>
  <si>
    <t>Gabon</t>
  </si>
  <si>
    <t>Gabonese Red Cross Society</t>
  </si>
  <si>
    <t>Costa Rica</t>
  </si>
  <si>
    <t>Gambia Red Cross Society</t>
  </si>
  <si>
    <t>Sudan</t>
  </si>
  <si>
    <t>ALB</t>
  </si>
  <si>
    <t>Austrian Red Cross</t>
  </si>
  <si>
    <t>Ghana</t>
  </si>
  <si>
    <t>Ghana Red Cross Society</t>
  </si>
  <si>
    <t>Croatia</t>
  </si>
  <si>
    <t>Guinea</t>
  </si>
  <si>
    <t>Red Cross Society of Guinea</t>
  </si>
  <si>
    <t>Cuba</t>
  </si>
  <si>
    <t>Antigua and Barbuda</t>
  </si>
  <si>
    <t>Italian Red Cross</t>
  </si>
  <si>
    <t>BRN</t>
  </si>
  <si>
    <t>Brunei Darussalam</t>
  </si>
  <si>
    <t>Guinea-Bissau</t>
  </si>
  <si>
    <t>Red Cross Society of Guinea-Bissau</t>
  </si>
  <si>
    <t>Cyprus</t>
  </si>
  <si>
    <t>Kenya</t>
  </si>
  <si>
    <t>Kenya Red Cross Society</t>
  </si>
  <si>
    <t>Bosnia and Herzegovina</t>
  </si>
  <si>
    <t>Spanish Red Cross</t>
  </si>
  <si>
    <t>Lesotho</t>
  </si>
  <si>
    <t>Lesotho Red Cross Society</t>
  </si>
  <si>
    <t>Dominican Republic</t>
  </si>
  <si>
    <t>KHM</t>
  </si>
  <si>
    <t>Cambodia</t>
  </si>
  <si>
    <t>Liberia</t>
  </si>
  <si>
    <t>Liberian Red Cross Society</t>
  </si>
  <si>
    <t>Ecuador</t>
  </si>
  <si>
    <t>Madagascar</t>
  </si>
  <si>
    <t>Malagasy Red Cross Society</t>
  </si>
  <si>
    <t>Egypt</t>
  </si>
  <si>
    <t>Malawi</t>
  </si>
  <si>
    <t>Malawi Red Cross Society</t>
  </si>
  <si>
    <t>Mali</t>
  </si>
  <si>
    <t>Mali Red Cross</t>
  </si>
  <si>
    <t>Greece</t>
  </si>
  <si>
    <t>Armenia</t>
  </si>
  <si>
    <t>ARG</t>
  </si>
  <si>
    <t>German Red Cross</t>
  </si>
  <si>
    <t>Mauritanian Red Crescent</t>
  </si>
  <si>
    <t>France</t>
  </si>
  <si>
    <t>ARM</t>
  </si>
  <si>
    <t>Mauritius</t>
  </si>
  <si>
    <t>Mauritius Red Cross Society</t>
  </si>
  <si>
    <t>Libya</t>
  </si>
  <si>
    <t>Mozambique</t>
  </si>
  <si>
    <t>Mozambique Red Cross Society</t>
  </si>
  <si>
    <t>Namibia</t>
  </si>
  <si>
    <t>Namibia Red Cross</t>
  </si>
  <si>
    <t>Guatemala</t>
  </si>
  <si>
    <t>Australia</t>
  </si>
  <si>
    <t>COK</t>
  </si>
  <si>
    <t>Cook Islands</t>
  </si>
  <si>
    <t>Niger</t>
  </si>
  <si>
    <t>Red Cross Society of Niger</t>
  </si>
  <si>
    <t>Syrian Arab Republic</t>
  </si>
  <si>
    <t>Swiss Red Cross</t>
  </si>
  <si>
    <t>Nigerian Red Cross Society</t>
  </si>
  <si>
    <t>Haiti</t>
  </si>
  <si>
    <t>Rwanda</t>
  </si>
  <si>
    <t>Rwandan Red Cross</t>
  </si>
  <si>
    <t>Honduras</t>
  </si>
  <si>
    <t>AZE</t>
  </si>
  <si>
    <t>Azerbaijan</t>
  </si>
  <si>
    <t>Sao Tome and Principe</t>
  </si>
  <si>
    <t>Sao Tome and Principe Red Cross</t>
  </si>
  <si>
    <t>Serbia</t>
  </si>
  <si>
    <t>Austria</t>
  </si>
  <si>
    <t>BGD</t>
  </si>
  <si>
    <t>Bangladesh</t>
  </si>
  <si>
    <t>Senegal</t>
  </si>
  <si>
    <t>Senegalese Red Cross Society</t>
  </si>
  <si>
    <t>Slovenia</t>
  </si>
  <si>
    <t>Seychelles</t>
  </si>
  <si>
    <t>Seychelles Red Cross Society</t>
  </si>
  <si>
    <t>Türkiye</t>
  </si>
  <si>
    <t>Sierra Leone</t>
  </si>
  <si>
    <t>Sierra Leone Red Cross Society</t>
  </si>
  <si>
    <t>Italy</t>
  </si>
  <si>
    <t>Somalia</t>
  </si>
  <si>
    <t>Somali Red Crescent Society</t>
  </si>
  <si>
    <t>Jamaica</t>
  </si>
  <si>
    <t>American Red Cross</t>
  </si>
  <si>
    <t>FJI</t>
  </si>
  <si>
    <t>Fiji</t>
  </si>
  <si>
    <t>South Africa</t>
  </si>
  <si>
    <t>The South African Red Cross Society</t>
  </si>
  <si>
    <t>Guyana</t>
  </si>
  <si>
    <t>South Sudan</t>
  </si>
  <si>
    <t>South Sudan Red Cross</t>
  </si>
  <si>
    <t>Lebanon</t>
  </si>
  <si>
    <t>Sudanese Red Crescent</t>
  </si>
  <si>
    <t>Panama</t>
  </si>
  <si>
    <t>Tanzania, United Republic of</t>
  </si>
  <si>
    <t>Tanzania Red Cross National Society</t>
  </si>
  <si>
    <t>Paraguay</t>
  </si>
  <si>
    <t>Bahamas</t>
  </si>
  <si>
    <t>BEN</t>
  </si>
  <si>
    <t>Togo</t>
  </si>
  <si>
    <t>Togolese Red Cross</t>
  </si>
  <si>
    <t>Peru</t>
  </si>
  <si>
    <t>Uganda</t>
  </si>
  <si>
    <t>Uganda Red Cross Society</t>
  </si>
  <si>
    <t>Suriname</t>
  </si>
  <si>
    <t>British Red Cross</t>
  </si>
  <si>
    <t>Zambia</t>
  </si>
  <si>
    <t>Zambia Red Cross Society</t>
  </si>
  <si>
    <t>Trinidad and Tobago</t>
  </si>
  <si>
    <t>Zimbabwe</t>
  </si>
  <si>
    <t>Zimbabwe Red Cross Society</t>
  </si>
  <si>
    <t>Uruguay</t>
  </si>
  <si>
    <t>Bahrain</t>
  </si>
  <si>
    <t>SWZ</t>
  </si>
  <si>
    <t>Antigua and Barbuda Red Cross</t>
  </si>
  <si>
    <t>Venezuela, Bolivarian Republic of</t>
  </si>
  <si>
    <t>Argentine Red Cross</t>
  </si>
  <si>
    <t>Morocco</t>
  </si>
  <si>
    <t>The Bahamas Red Cross Society</t>
  </si>
  <si>
    <t>Barbados</t>
  </si>
  <si>
    <t>The Barbados Red Cross Society</t>
  </si>
  <si>
    <t>Montenegro</t>
  </si>
  <si>
    <t>KIR</t>
  </si>
  <si>
    <t>Kiribati</t>
  </si>
  <si>
    <t>Belize Red Cross Society</t>
  </si>
  <si>
    <t>Bolivian Red Cross</t>
  </si>
  <si>
    <t>Brazilian Red Cross</t>
  </si>
  <si>
    <t>Canada</t>
  </si>
  <si>
    <t>Canadian Red Cross Society</t>
  </si>
  <si>
    <t>Tunisia</t>
  </si>
  <si>
    <t>LAO</t>
  </si>
  <si>
    <t>Lao People's Democratic Republic</t>
  </si>
  <si>
    <t>Chilean Red Cross</t>
  </si>
  <si>
    <t>Spain</t>
  </si>
  <si>
    <t>Colombian Red Cross Society</t>
  </si>
  <si>
    <t>Costa Rican Red Cross</t>
  </si>
  <si>
    <t>Belgium</t>
  </si>
  <si>
    <t>Cuban Red Cross</t>
  </si>
  <si>
    <t>BOL</t>
  </si>
  <si>
    <t>Dominica</t>
  </si>
  <si>
    <t>Dominica Red Cross Society</t>
  </si>
  <si>
    <t>Dominican Red Cross</t>
  </si>
  <si>
    <t>Ecuadorian Red Cross</t>
  </si>
  <si>
    <t>Japanese Red Cross Society</t>
  </si>
  <si>
    <t>El Salvador</t>
  </si>
  <si>
    <t>Salvadorean Red Cross Society</t>
  </si>
  <si>
    <t>BWA</t>
  </si>
  <si>
    <t>Grenada</t>
  </si>
  <si>
    <t>Grenada Red Cross Society</t>
  </si>
  <si>
    <t>Guatemalan Red Cross</t>
  </si>
  <si>
    <t>Guyana Red Cross Society</t>
  </si>
  <si>
    <t>Swedish Red Cross</t>
  </si>
  <si>
    <t>Haiti Red Cross Society</t>
  </si>
  <si>
    <t>BRA</t>
  </si>
  <si>
    <t>Honduran Red Cross</t>
  </si>
  <si>
    <t>Jamaica Red Cross</t>
  </si>
  <si>
    <t>Mexico</t>
  </si>
  <si>
    <t>Mexican Red Cross</t>
  </si>
  <si>
    <t>Nicaragua</t>
  </si>
  <si>
    <t>Nicaraguan Red Cross</t>
  </si>
  <si>
    <t>BDI</t>
  </si>
  <si>
    <t>Red Cross Society of Panama</t>
  </si>
  <si>
    <t>Paraguayan Red Cross</t>
  </si>
  <si>
    <t>Peruvian Red Cross</t>
  </si>
  <si>
    <t>Saint Kitts and Nevis</t>
  </si>
  <si>
    <t>Saint Kitts and Nevis Red Cross Society</t>
  </si>
  <si>
    <t>CMR</t>
  </si>
  <si>
    <t>Saint Lucia</t>
  </si>
  <si>
    <t>Saint Lucia Red Cross</t>
  </si>
  <si>
    <t>Saint Vincent and the Grenadines</t>
  </si>
  <si>
    <t>Saint Vincent and the Grenadines Red Cross</t>
  </si>
  <si>
    <t>Suriname Red Cross</t>
  </si>
  <si>
    <t>The Trinidad and Tobago Red Cross Society</t>
  </si>
  <si>
    <t>CHL</t>
  </si>
  <si>
    <t>United States</t>
  </si>
  <si>
    <t>Uruguayan Red Cross</t>
  </si>
  <si>
    <t>Belgian Red Cross</t>
  </si>
  <si>
    <t>Venezuelan Red Cross</t>
  </si>
  <si>
    <t>Afghan Red Crescent</t>
  </si>
  <si>
    <t>French Red Cross</t>
  </si>
  <si>
    <t>COL</t>
  </si>
  <si>
    <t>Australian Red Cross</t>
  </si>
  <si>
    <t>Bangladesh Red Crescent Society</t>
  </si>
  <si>
    <t>Bhutan Red Cross Society</t>
  </si>
  <si>
    <t>Kuwait Red Crescent Society</t>
  </si>
  <si>
    <t>Brunei Darussalam Red Crescent Society</t>
  </si>
  <si>
    <t>Luxembourg Red Cross</t>
  </si>
  <si>
    <t>COG</t>
  </si>
  <si>
    <t>Cambodian Red Cross Society</t>
  </si>
  <si>
    <t>China</t>
  </si>
  <si>
    <t>Red Cross Society of China</t>
  </si>
  <si>
    <t>Bulgaria</t>
  </si>
  <si>
    <t>Cook Islands Red Cross Society</t>
  </si>
  <si>
    <t>Fiji Red Cross Society</t>
  </si>
  <si>
    <t>CRI</t>
  </si>
  <si>
    <t>India</t>
  </si>
  <si>
    <t>Indian Red Cross Society</t>
  </si>
  <si>
    <t>Finnish Red Cross</t>
  </si>
  <si>
    <t>Indonesia</t>
  </si>
  <si>
    <t>Indonesian Red Cross Society</t>
  </si>
  <si>
    <t>Japan</t>
  </si>
  <si>
    <t>Kiribati Red Cross Society</t>
  </si>
  <si>
    <t>TCD</t>
  </si>
  <si>
    <t>Korea, Democratic People's Republic of</t>
  </si>
  <si>
    <t>Red Cross Society of the Democratic People's Republic of Korea</t>
  </si>
  <si>
    <t>CUB</t>
  </si>
  <si>
    <t>Korea, Republic of</t>
  </si>
  <si>
    <t>The Republic of Korea National Red Cross</t>
  </si>
  <si>
    <t>BIH</t>
  </si>
  <si>
    <t>Lao Red Cross</t>
  </si>
  <si>
    <t>Malaysia</t>
  </si>
  <si>
    <t>Malaysian Red Crescent Society</t>
  </si>
  <si>
    <t>Maldives</t>
  </si>
  <si>
    <t>Maldivian Red Crescent</t>
  </si>
  <si>
    <t>COM</t>
  </si>
  <si>
    <t>Marshall Islands</t>
  </si>
  <si>
    <t>Marshall Islands Red Cross Society</t>
  </si>
  <si>
    <t>Micronesia, Federated States of</t>
  </si>
  <si>
    <t>Micronesia Red Cross</t>
  </si>
  <si>
    <t>Mongolia</t>
  </si>
  <si>
    <t>Mongolian Red Cross Society</t>
  </si>
  <si>
    <t>Myanmar</t>
  </si>
  <si>
    <t>Myanmar Red Cross Society</t>
  </si>
  <si>
    <t>DOM</t>
  </si>
  <si>
    <t>Nepal</t>
  </si>
  <si>
    <t>Nepal Red Cross Society</t>
  </si>
  <si>
    <t>New Zealand</t>
  </si>
  <si>
    <t>New Zealand Red Cross</t>
  </si>
  <si>
    <t>Pakistan</t>
  </si>
  <si>
    <t>Pakistan Red Crescent</t>
  </si>
  <si>
    <t>Red Crescent Society of the United Arab Emirates</t>
  </si>
  <si>
    <t>Palau</t>
  </si>
  <si>
    <t>Palau Red Cross Society</t>
  </si>
  <si>
    <t>COD</t>
  </si>
  <si>
    <t>Papua New Guinea</t>
  </si>
  <si>
    <t>Papua New Guinea Red Cross Society</t>
  </si>
  <si>
    <t>Philippines</t>
  </si>
  <si>
    <t>Philippine Red Cross</t>
  </si>
  <si>
    <t>Samoa</t>
  </si>
  <si>
    <t>Samoa Red Cross Society</t>
  </si>
  <si>
    <t>Singapore</t>
  </si>
  <si>
    <t>Singapore Red Cross Society</t>
  </si>
  <si>
    <t>ECU</t>
  </si>
  <si>
    <t>Solomon Islands</t>
  </si>
  <si>
    <t>The Solomon Islands Red Cross</t>
  </si>
  <si>
    <t>Sri Lanka</t>
  </si>
  <si>
    <t>Sri Lanka Red Cross Society</t>
  </si>
  <si>
    <t>Thailand</t>
  </si>
  <si>
    <t>Thai Red Cross Society</t>
  </si>
  <si>
    <t>Timor-Leste</t>
  </si>
  <si>
    <t>Timor-Leste Red Cross Society</t>
  </si>
  <si>
    <t>The Netherlands Red Cross</t>
  </si>
  <si>
    <t>KEN</t>
  </si>
  <si>
    <t>Tonga</t>
  </si>
  <si>
    <t>Tonga Red Cross Society</t>
  </si>
  <si>
    <t>Tuvalu</t>
  </si>
  <si>
    <t>Tuvalu Red Cross Society</t>
  </si>
  <si>
    <t>Vanuatu</t>
  </si>
  <si>
    <t>Vanuatu Red Cross Society</t>
  </si>
  <si>
    <t>Viet Nam</t>
  </si>
  <si>
    <t>Vietnam Red Cross Society</t>
  </si>
  <si>
    <t>BGR</t>
  </si>
  <si>
    <t>Hong Kong Red Cross, Branch of the Red Cross Society of China</t>
  </si>
  <si>
    <t>EGY</t>
  </si>
  <si>
    <t>Albanian Red Cross</t>
  </si>
  <si>
    <t>Hong Kong Red Cross - branch of Red Cross Society of China</t>
  </si>
  <si>
    <t>Andorran Red Cross</t>
  </si>
  <si>
    <t>Armenian Red Cross Society</t>
  </si>
  <si>
    <t>MWI</t>
  </si>
  <si>
    <t>Red Crescent Society of Azerbaijan</t>
  </si>
  <si>
    <t>ETH</t>
  </si>
  <si>
    <t>Belarus</t>
  </si>
  <si>
    <t>Belarus Red Cross</t>
  </si>
  <si>
    <t>Red Cross Society of Bosnia and Herzegovina</t>
  </si>
  <si>
    <t>Bulgarian Red Cross</t>
  </si>
  <si>
    <t>HTI</t>
  </si>
  <si>
    <t>Croatian Red Cross</t>
  </si>
  <si>
    <t>Cyprus Red Cross Society</t>
  </si>
  <si>
    <t>Czech Republic</t>
  </si>
  <si>
    <t>Czech Red Cross</t>
  </si>
  <si>
    <t>Denmark</t>
  </si>
  <si>
    <t>GAB</t>
  </si>
  <si>
    <t>Estonia</t>
  </si>
  <si>
    <t>Estonian Red Cross</t>
  </si>
  <si>
    <t>Finland</t>
  </si>
  <si>
    <t>Georgia</t>
  </si>
  <si>
    <t>Red Cross Society of Georgia</t>
  </si>
  <si>
    <t>GHA</t>
  </si>
  <si>
    <t>Germany</t>
  </si>
  <si>
    <t>Hellenic Red Cross</t>
  </si>
  <si>
    <t>Hungary</t>
  </si>
  <si>
    <t>Hungarian Red Cross</t>
  </si>
  <si>
    <t>Iceland</t>
  </si>
  <si>
    <t>Icelandic Red Cross</t>
  </si>
  <si>
    <t>DJI</t>
  </si>
  <si>
    <t>Ireland</t>
  </si>
  <si>
    <t>Irish Red Cross Society</t>
  </si>
  <si>
    <t>Red Cross of Monaco</t>
  </si>
  <si>
    <t>Israel</t>
  </si>
  <si>
    <t>Magen David Adom in Israel</t>
  </si>
  <si>
    <t>Kazakhstan</t>
  </si>
  <si>
    <t>Red Crescent Society of the Republic of Kazakhstan</t>
  </si>
  <si>
    <t>GTM</t>
  </si>
  <si>
    <t>Kyrgyzstan</t>
  </si>
  <si>
    <t>Red Crescent Society of Kyrgyzstan</t>
  </si>
  <si>
    <t>Latvia</t>
  </si>
  <si>
    <t>Latvian Red Cross</t>
  </si>
  <si>
    <t>Liechtenstein</t>
  </si>
  <si>
    <t>Liechtenstein Red Cross</t>
  </si>
  <si>
    <t>Lithuania</t>
  </si>
  <si>
    <t>Lithuanian Red Cross Society</t>
  </si>
  <si>
    <t>LBN</t>
  </si>
  <si>
    <t>Luxembourg</t>
  </si>
  <si>
    <t>Malta</t>
  </si>
  <si>
    <t>Malta Red Cross Society</t>
  </si>
  <si>
    <t>Moldova, Republic of</t>
  </si>
  <si>
    <t>Red Cross Society of the Republic of Moldova</t>
  </si>
  <si>
    <t>Monaco</t>
  </si>
  <si>
    <t>HND</t>
  </si>
  <si>
    <t>Red Cross of Montenegro</t>
  </si>
  <si>
    <t>Netherlands</t>
  </si>
  <si>
    <t>Red Cross of the Republic of North Macedonia</t>
  </si>
  <si>
    <t>Norway</t>
  </si>
  <si>
    <t>IDN</t>
  </si>
  <si>
    <t>Poland</t>
  </si>
  <si>
    <t>Polish Red Cross</t>
  </si>
  <si>
    <t>Portugal</t>
  </si>
  <si>
    <t>Portuguese Red Cross</t>
  </si>
  <si>
    <t>Romania</t>
  </si>
  <si>
    <t>Romanian Red Cross</t>
  </si>
  <si>
    <t>Russian Federation</t>
  </si>
  <si>
    <t>Russian Red Cross</t>
  </si>
  <si>
    <t>IRQ</t>
  </si>
  <si>
    <t>Iraq</t>
  </si>
  <si>
    <t>San Marino</t>
  </si>
  <si>
    <t>Red Cross of the Republic of San Marino</t>
  </si>
  <si>
    <t>Red Cross of Serbia</t>
  </si>
  <si>
    <t>Slovakia</t>
  </si>
  <si>
    <t>Slovak Red Cross</t>
  </si>
  <si>
    <t>Slovenian Red Cross</t>
  </si>
  <si>
    <t>GNQ</t>
  </si>
  <si>
    <t>Sweden</t>
  </si>
  <si>
    <t>Switzerland</t>
  </si>
  <si>
    <t>Tajikistan</t>
  </si>
  <si>
    <t>Red Crescent Society of Tajikistan</t>
  </si>
  <si>
    <t>JOR</t>
  </si>
  <si>
    <t>Jordan</t>
  </si>
  <si>
    <t>Turkmenistan</t>
  </si>
  <si>
    <t>Red Crescent Society of Turkmenistan</t>
  </si>
  <si>
    <t>Ukraine</t>
  </si>
  <si>
    <t>Ukrainian Red Cross Society</t>
  </si>
  <si>
    <t>LBY</t>
  </si>
  <si>
    <t>Uzbekistan</t>
  </si>
  <si>
    <t>Red Crescent Society of Uzbekistan</t>
  </si>
  <si>
    <t>Algerian Red Crescent</t>
  </si>
  <si>
    <t>Bahrain Red Crescent Society</t>
  </si>
  <si>
    <t>Egyptian Red Crescent Society</t>
  </si>
  <si>
    <t>CAF</t>
  </si>
  <si>
    <t>MDG</t>
  </si>
  <si>
    <t>Iran, Islamic Republic of</t>
  </si>
  <si>
    <t>Red Crescent Society of the Islamic Republic of Iran</t>
  </si>
  <si>
    <t>Iraqi Red Crescent Society</t>
  </si>
  <si>
    <t>Jordan National Red Crescent Society</t>
  </si>
  <si>
    <t>Kuwait</t>
  </si>
  <si>
    <t>GIN</t>
  </si>
  <si>
    <t>Lebanese Red Cross</t>
  </si>
  <si>
    <t>Libyan Red Crescent</t>
  </si>
  <si>
    <t>Moroccan Red Crescent</t>
  </si>
  <si>
    <t>Palestine, State of</t>
  </si>
  <si>
    <t>Palestine Red Crescent Society</t>
  </si>
  <si>
    <t>GNB</t>
  </si>
  <si>
    <t>Qatar</t>
  </si>
  <si>
    <t>Saudi Arabia</t>
  </si>
  <si>
    <t>Saudi Red Crescent Authority</t>
  </si>
  <si>
    <t>Syrian Arab Red Crescent</t>
  </si>
  <si>
    <t>Tunisian Red Crescent</t>
  </si>
  <si>
    <t>IRN</t>
  </si>
  <si>
    <t>United Arab Emirates</t>
  </si>
  <si>
    <t>Yemen</t>
  </si>
  <si>
    <t>Yemen Red Crescent Society</t>
  </si>
  <si>
    <t>MYS</t>
  </si>
  <si>
    <t>MDV</t>
  </si>
  <si>
    <t>MLI</t>
  </si>
  <si>
    <t>MHL</t>
  </si>
  <si>
    <t>MRT</t>
  </si>
  <si>
    <t>FSM</t>
  </si>
  <si>
    <t>MNG</t>
  </si>
  <si>
    <t>MAR</t>
  </si>
  <si>
    <t>MOZ</t>
  </si>
  <si>
    <t>MMR</t>
  </si>
  <si>
    <t>NAM</t>
  </si>
  <si>
    <t>NPL</t>
  </si>
  <si>
    <t>NER</t>
  </si>
  <si>
    <t>CIV</t>
  </si>
  <si>
    <t>NGA</t>
  </si>
  <si>
    <t>PAK</t>
  </si>
  <si>
    <t>DMA</t>
  </si>
  <si>
    <t>PLW</t>
  </si>
  <si>
    <t>PAN</t>
  </si>
  <si>
    <t>PNG</t>
  </si>
  <si>
    <t>PRY</t>
  </si>
  <si>
    <t>PHL</t>
  </si>
  <si>
    <t>RWA</t>
  </si>
  <si>
    <t>WSM</t>
  </si>
  <si>
    <t>SLV</t>
  </si>
  <si>
    <t>STP</t>
  </si>
  <si>
    <t>SLE</t>
  </si>
  <si>
    <t>SLB</t>
  </si>
  <si>
    <t>SOM</t>
  </si>
  <si>
    <t>ZAF</t>
  </si>
  <si>
    <t>SSD</t>
  </si>
  <si>
    <t>LKA</t>
  </si>
  <si>
    <t>SDN</t>
  </si>
  <si>
    <t>SYR</t>
  </si>
  <si>
    <t>TZA</t>
  </si>
  <si>
    <t>THA</t>
  </si>
  <si>
    <t>TLS</t>
  </si>
  <si>
    <t>TGO</t>
  </si>
  <si>
    <t>TON</t>
  </si>
  <si>
    <t>GMB</t>
  </si>
  <si>
    <t>TUV</t>
  </si>
  <si>
    <t>GEO</t>
  </si>
  <si>
    <t>UGA</t>
  </si>
  <si>
    <t>URY</t>
  </si>
  <si>
    <t>VUT</t>
  </si>
  <si>
    <t>VEN</t>
  </si>
  <si>
    <t>VNM</t>
  </si>
  <si>
    <t>YEM</t>
  </si>
  <si>
    <t>ZMB</t>
  </si>
  <si>
    <t>ZWE</t>
  </si>
  <si>
    <t>IND</t>
  </si>
  <si>
    <t>KAZ</t>
  </si>
  <si>
    <t>KGZ</t>
  </si>
  <si>
    <t>LSO</t>
  </si>
  <si>
    <t>LBR</t>
  </si>
  <si>
    <t>LTU</t>
  </si>
  <si>
    <t>MUS</t>
  </si>
  <si>
    <t>MEX</t>
  </si>
  <si>
    <t>MDA</t>
  </si>
  <si>
    <t>MNE</t>
  </si>
  <si>
    <t>MKD</t>
  </si>
  <si>
    <t>PSE</t>
  </si>
  <si>
    <t>POL</t>
  </si>
  <si>
    <t>ROU</t>
  </si>
  <si>
    <t>KNA</t>
  </si>
  <si>
    <t>LCA</t>
  </si>
  <si>
    <t>VCT</t>
  </si>
  <si>
    <t>SEN</t>
  </si>
  <si>
    <t>SRB</t>
  </si>
  <si>
    <t>SVK</t>
  </si>
  <si>
    <t>TJK</t>
  </si>
  <si>
    <t>TKM</t>
  </si>
  <si>
    <t>TUR</t>
  </si>
  <si>
    <t>UKR</t>
  </si>
  <si>
    <t>Instructions</t>
  </si>
  <si>
    <t>Cell open for input</t>
  </si>
  <si>
    <t>Cell Locked (or Automatically prefilled)</t>
  </si>
  <si>
    <t>Guidance</t>
  </si>
  <si>
    <t>Select your country</t>
  </si>
  <si>
    <t>Region:</t>
  </si>
  <si>
    <t>Country:</t>
  </si>
  <si>
    <t>Emergency Appeal 1</t>
  </si>
  <si>
    <t>Emergency Appeal 2</t>
  </si>
  <si>
    <t>MDR code</t>
  </si>
  <si>
    <t>Name</t>
  </si>
  <si>
    <t>Emergency Appeal 3</t>
  </si>
  <si>
    <t>National Society key data</t>
  </si>
  <si>
    <t>Local units</t>
  </si>
  <si>
    <r>
      <t xml:space="preserve">Figures for volunteers, staff, local units, and branches have been </t>
    </r>
    <r>
      <rPr>
        <b/>
        <sz val="11"/>
        <color rgb="FF3F3F76"/>
        <rFont val="Calibri"/>
        <family val="2"/>
        <scheme val="minor"/>
      </rPr>
      <t xml:space="preserve">prefilled </t>
    </r>
    <r>
      <rPr>
        <sz val="11"/>
        <color rgb="FF3F3F76"/>
        <rFont val="Calibri"/>
        <family val="2"/>
        <scheme val="minor"/>
      </rPr>
      <t xml:space="preserve">if the National Society has provided its 2026 unified  planning data since this is the most recent data we have. </t>
    </r>
    <r>
      <rPr>
        <b/>
        <sz val="11"/>
        <color rgb="FF3F3F76"/>
        <rFont val="Calibri"/>
        <family val="2"/>
        <scheme val="minor"/>
      </rPr>
      <t>These numbers are to be reviewed and updated if needed</t>
    </r>
    <r>
      <rPr>
        <sz val="11"/>
        <color rgb="FF3F3F76"/>
        <rFont val="Calibri"/>
        <family val="2"/>
        <scheme val="minor"/>
      </rPr>
      <t xml:space="preserve">. FDRS 2024 figures have been listed only for reference. </t>
    </r>
  </si>
  <si>
    <r>
      <rPr>
        <b/>
        <i/>
        <sz val="11"/>
        <color theme="1" tint="0.249977111117893"/>
        <rFont val="Calibri"/>
        <family val="2"/>
        <scheme val="minor"/>
      </rPr>
      <t xml:space="preserve">
Local units</t>
    </r>
    <r>
      <rPr>
        <i/>
        <sz val="10"/>
        <color theme="1" tint="0.249977111117893"/>
        <rFont val="Calibri"/>
        <family val="2"/>
        <scheme val="minor"/>
      </rPr>
      <t xml:space="preserve">
</t>
    </r>
    <r>
      <rPr>
        <b/>
        <i/>
        <sz val="10"/>
        <color theme="1" tint="0.249977111117893"/>
        <rFont val="Calibri"/>
        <family val="2"/>
        <scheme val="minor"/>
      </rPr>
      <t>ALL</t>
    </r>
    <r>
      <rPr>
        <i/>
        <sz val="10"/>
        <color theme="1" tint="0.249977111117893"/>
        <rFont val="Calibri"/>
        <family val="2"/>
        <scheme val="minor"/>
      </rPr>
      <t xml:space="preserve"> subdivisions of a National Society that coordinate and deliver services to people. These include </t>
    </r>
    <r>
      <rPr>
        <b/>
        <i/>
        <sz val="10"/>
        <color theme="1" tint="0.249977111117893"/>
        <rFont val="Calibri"/>
        <family val="2"/>
        <scheme val="minor"/>
      </rPr>
      <t>ALL</t>
    </r>
    <r>
      <rPr>
        <i/>
        <sz val="10"/>
        <color theme="1" tint="0.249977111117893"/>
        <rFont val="Calibri"/>
        <family val="2"/>
        <scheme val="minor"/>
      </rPr>
      <t xml:space="preserve"> levels (provincial, state, city, district branches, sections or chapters, headquarters, regional and intermediate offices, as well as community-based units).</t>
    </r>
  </si>
  <si>
    <r>
      <rPr>
        <b/>
        <i/>
        <sz val="11"/>
        <color theme="1" tint="0.249977111117893"/>
        <rFont val="Calibri"/>
        <family val="2"/>
        <scheme val="minor"/>
      </rPr>
      <t>Branches</t>
    </r>
    <r>
      <rPr>
        <i/>
        <sz val="10"/>
        <color theme="1" tint="0.249977111117893"/>
        <rFont val="Calibri"/>
        <family val="2"/>
        <scheme val="minor"/>
      </rPr>
      <t xml:space="preserve">
A Branch has its roles and responsibilities and relationship with the National Headquarters defined through National Societies’ Statutes, including the level of autonomy given especially in the area of its legal status, mobilising local resources and building local partnership, and decisions it makes. It has local level decision making mechanism through its Branch members, board and volunteers, equally defined through National Societies’ Statutes.</t>
    </r>
  </si>
  <si>
    <t>Overall action Indicators</t>
  </si>
  <si>
    <t xml:space="preserve"> - The below list includes all UPR core indicators. If you want to report on an indicator that is not part of this list, go to the bottom of this page and select an indicator from the dropdown.
 - You can go to the 'indicators list' page to search for indicators and their relevant Strategic Priority/Enabling function and copy/paste from there.
 - If an indicator is applicable but you don't have the data available, you have the option to select 'Applicable- data not available'.
 - Data disaggregation: in this reporting round, we will keep the simple disaggregation with adults/children - although this may not be precise. Once a system is in place, standard disaggregation aligned with FDRS will be available.</t>
  </si>
  <si>
    <t xml:space="preserve"> - Data should cover the overall action, including emergency operations (Appeals, DREFs and EAPs).</t>
  </si>
  <si>
    <t>Direct Reach</t>
  </si>
  <si>
    <t>Indirect Reach</t>
  </si>
  <si>
    <t>Total Reach</t>
  </si>
  <si>
    <t>Strategic Priority / Enabling Function</t>
  </si>
  <si>
    <t>Applicable/
Data not available</t>
  </si>
  <si>
    <t>Total Direct</t>
  </si>
  <si>
    <t>Total male</t>
  </si>
  <si>
    <t>Total female</t>
  </si>
  <si>
    <t>Other/ 
Unknown</t>
  </si>
  <si>
    <t>Total
Direct + Indirect</t>
  </si>
  <si>
    <t>Cross-cutting</t>
  </si>
  <si>
    <t>Number of people reached with emergency response and early recovery programmes</t>
  </si>
  <si>
    <t>Number of people reached with livelihoods support</t>
  </si>
  <si>
    <t>Number of people donating blood</t>
  </si>
  <si>
    <t>National Society is developing and implementing strategies and plans that address rising climate and environmental risks</t>
  </si>
  <si>
    <t>Indicators list</t>
  </si>
  <si>
    <t>Use the column filters to select and copy indicators to the reporting pages. 
Please note, we are actively improving the list and appreciate your patience during this process.</t>
  </si>
  <si>
    <t>KPI ID</t>
  </si>
  <si>
    <t>Sector</t>
  </si>
  <si>
    <t>Sub-sector</t>
  </si>
  <si>
    <t>SP/EF</t>
  </si>
  <si>
    <t>Indicator Name</t>
  </si>
  <si>
    <t>Definition</t>
  </si>
  <si>
    <t>Disaggregation</t>
  </si>
  <si>
    <t>Unit of measurement</t>
  </si>
  <si>
    <t>Type of measurement</t>
  </si>
  <si>
    <t>Climate and environment</t>
  </si>
  <si>
    <t>Climate change adaptation</t>
  </si>
  <si>
    <t>Number of towns or cities supported to adapt to longer-term impacts of climate change, including sea level rise</t>
  </si>
  <si>
    <t/>
  </si>
  <si>
    <t>Metrics</t>
  </si>
  <si>
    <t>Environmental sustainability</t>
  </si>
  <si>
    <t>Estimated volume of CO2 emissions generated by deployment of National Society's staff and equipment for emergency operations</t>
  </si>
  <si>
    <t>Measurement Method: Calculate the emissions based on the distance traveled and the type of transportation used (e.g., air, ground, marine). Use standard emission factors for different types of vehicles and equipment to estimate CO2 emissions. Collect data on fuel consumption and operational hours for equipment used in emergency operations. Utilize carbon calculators and software tools to estimate emissions based on activity data.</t>
  </si>
  <si>
    <t>Number</t>
  </si>
  <si>
    <t>National Society's operations include a waste management plan</t>
  </si>
  <si>
    <t>Waste Management Plan: A documented strategy that includes: Waste Segregation: Processes for separating different types of waste (e.g., organic, recyclable, hazardous). Waste Collection: Systems for collecting and transporting waste to disposal or recycling facilities. Disposal Methods: Environmentally safe methods for disposing of different types of waste. Recycling Programs: Initiatives to recycle materials where possible. Training and Awareness: Educating staff and volunteers on waste management practices. Monitoring and Evaluation: Regular assessment of waste management practices and their effectiveness. National Society Operations: National Society emergency response domestically or internationally.</t>
  </si>
  <si>
    <t>Responses</t>
  </si>
  <si>
    <t>YesNo</t>
  </si>
  <si>
    <t>Number of households provided with a sustainable household energy solution</t>
  </si>
  <si>
    <t>Sustainable household energy solutions include providing access to solar lamps/lanterns; improved / fuel-efficient cook stoves; alternative cooking fuels (e.g. replacing firewood with LPG, eco-briquettes etc); solar energy (for charging points, lighting, heating etc); biogas. Can also include design of CVA transfers to cover such costs, as well as in-kind provision.</t>
  </si>
  <si>
    <t>Households</t>
  </si>
  <si>
    <t>Number of trees planted for climate change adaptation, mitigation and/or to reduce disaster risk</t>
  </si>
  <si>
    <t>Number of water pumps or other infrastructure using solar power or other renewable energy</t>
  </si>
  <si>
    <t>Water pumps or other infrastructure: This includes various types of infrastructure critical for services such as water supply, sanitation, and electricity generation, among others. Using solar power or other renewable energy: This specifies that the infrastructure is operated using solar panels, wind turbines, hydroelectric power, or other renewable energy sources, rather than traditional fossil fuels.</t>
  </si>
  <si>
    <t>By energy type.</t>
  </si>
  <si>
    <t>Percentage of contracted local suppliers assessed against environmental sustainability criteria in procurement decisions</t>
  </si>
  <si>
    <t>Numerator: Number of Suppliers Assessed Against Sustainability Criteria. Denominator: Total number of contracted suppliers. Environmental Sustainability Criteria: Specific standards or guidelines used to evaluate suppliers, such as:  Resource Efficiency: Efficient use of energy, water, and materials. Waste Management: Proper handling and reduction of waste. Emission Control: Measures to reduce greenhouse gas emissions and other pollutants. Sustainable Sourcing: Use of renewable or sustainably sourced materials. Environmental Certifications: Possession of certifications such as ISO 14001 or equivalent. Eco-friendly Products: Offering products that are environmentally friendly or have a lower environmental impact. Procurement Process: The steps involved in contracting suppliers, including: Supplier Identification: Finding potential suppliers. Supplier Assessment: Evaluating suppliers against sustainability criteria. Contract Awarding: Choosing suppliers based on assessment results and other factors.</t>
  </si>
  <si>
    <t>Suppliers</t>
  </si>
  <si>
    <t>Percentage</t>
  </si>
  <si>
    <t>National Society adopts greening practices to improve the environmental sustainability of its operations and programmes</t>
  </si>
  <si>
    <t>Greening practices has no firm definition, however it covers a number of features that indicate environmental sustainability (E.S.) has been improved in some way. This includes: formal commitment of the NS to E.S. through development of an environmental policy, or inclusion of E.S. in their long-term Strategy; NS has developed an environmental management plan, or measured their environmental and carbon footprints; changes to supply chain management or other logistics functions that reduce environmental footprint (reducing carbon emissions, waste, improved sustainability of emergency stocks etc); NS has developed capacity to assess environmental risks of their programmes and operations (environmental screening) and/or piloted environmental screening; sectoral interventions have integrated use of clean energy, improved waste management, protection of local natural resources.</t>
  </si>
  <si>
    <t>National Society has received IFRC Network’s support to adapt to longer-term impacts of climate change</t>
  </si>
  <si>
    <t>Support is defined by by IFRC Network support to National Societies in designing and implementing climate change adaptation actions, including to slow-onset hazards such as sea level rise and desertification. It can include financial aid, technical assistance, training, resources, or other forms of programmatic support.</t>
  </si>
  <si>
    <t>Number of people reached with activities to address rising climate risks</t>
  </si>
  <si>
    <t>SAD</t>
  </si>
  <si>
    <t>People</t>
  </si>
  <si>
    <t>Number of people reached with heatwave risk reduction, preparedness or response activities</t>
  </si>
  <si>
    <t>Number of people reached with activities to address environmental problems</t>
  </si>
  <si>
    <t>National Society implements nature-based solutions (including those with a particular focus on the planting of trees and mangroves)</t>
  </si>
  <si>
    <t>Strategies and plans to address rising climate and environmental risks: These are strategies and plans developed by National Societies to address climate and environmental risks, including to achieve their targets under the Climate and Environment Charter for Humanitarian Organisations.  Examples - Environmental Policies - Multi-Year Climate Strategies - Integration of climate-smart programming, operations and environmental sustainability into DRM policies, plans and strategies - National Climate Ris Assessments - NEAT+ environmental assessment</t>
  </si>
  <si>
    <t>This indicator measures the total number of individuals who have participated in or been exposed to public campaigns related to clean-up activities, recycling efforts, or urban greening projects.</t>
  </si>
  <si>
    <t>Number of people reached by environmental awareness and education activities in schools</t>
  </si>
  <si>
    <t>This indicator measures the total number of individuals who have participated in or been exposed to environmental awareness and education activities (e.g., workshops, seminars, campaigns) conducted within schools.</t>
  </si>
  <si>
    <t>Shelter</t>
  </si>
  <si>
    <t>Number of people trained in shelter and settlement vocational programmes</t>
  </si>
  <si>
    <t>Shelter and Settlement Vocational Programmes: Structured training courses that provide practical skills and knowledge related to the construction, repair, and maintenance of shelters and settlements</t>
  </si>
  <si>
    <t>Number of communities / sites provided with shelter-related response</t>
  </si>
  <si>
    <t>Communities/sites: If informal, these are discrete continuous sites which require travel between them. If formally recognised, then they are identified as such by name or number by administrative authorities and should be the lowest in the administrative hierarchy (such as village, commune, camp zone). Shelter-Related Response: Various forms of shelter support, including the provision of emergency shelters, transitional shelters, and assistance for permanent housing reconstruction or repair.</t>
  </si>
  <si>
    <t>shelter type (transitional/durable), phase (response/recovery)</t>
  </si>
  <si>
    <t>Communities</t>
  </si>
  <si>
    <t>Number of people taking part in cash-for-work (CFW) schemes related to shelter and settlement activities</t>
  </si>
  <si>
    <t>Cash-for-Work Schemes: Programs where participants are paid for their labor, which is directed towards specific community projects. Shelter and Settlement Activities: Activities related to the construction, repair, and maintenance of houses and community infrastructure.</t>
  </si>
  <si>
    <t>Training in Emergency Shelter: Structured training programs that cover various aspects of emergency shelter management, including planning, setting up, managing, and demobilizing shelters, as well as addressing the specific needs of different populations during emergencies.</t>
  </si>
  <si>
    <t>SAD, phase (response/recovery)</t>
  </si>
  <si>
    <t>Staff_Volunteers</t>
  </si>
  <si>
    <t>Number of affected people who completed training in emergency shelter</t>
  </si>
  <si>
    <t>Number of households who received rental assistance</t>
  </si>
  <si>
    <t>Rental Assistance: Financial aid given to households to cover the cost of renting a home, apartment, or other living arrangements.</t>
  </si>
  <si>
    <t>Phase (response/recovery)</t>
  </si>
  <si>
    <t>Percentage of households who report being able to meet the basic needs of their households, according to their priorities (minimum expenditure basket)</t>
  </si>
  <si>
    <t>Numerator: number of households reporting that they are able to meet their basic needs according to their priorities. Denominator: total number of households surveyed. This indicator measures the proportion of households that report being able to meet their basic needs based on their own priorities, as defined by a minimum expenditure basket (MEB). The MEB represents the cost of a set of essential goods and services required by a household to cover their basic needs.</t>
  </si>
  <si>
    <t>Percentage of households provided with CVA assistance that have not sold any livelihood assets as a coping strategy</t>
  </si>
  <si>
    <t>Numerator: number of households that have received CVA assistance and have not sold any assets or property. Denominator: total number of households that received CVA assistance. Calculate households by dividing number of people by average number of beneficiaries per household (from census/DHS). Calculate people by multiplying number of households by average number of beneficiaries per household (from census/DHS). Ideally measured in the period of CVA support and the equivalent period length prior to CVA support. This indicator measures the proportion of households that received cash and voucher assistance (CVA) and have not resorted to selling any of their assets or property to meet their basic needs. It reflects the effectiveness of CVA in stabilizing households and preventing negative coping mechanisms. Ideally measured in the period of CVA support and the equivalent period length prior to CVA support. ‘Livelihood assets’ are ‘productive’: physical/material things that increase the household’s labour productivity and production, thereby enabling it to increase its income and food security over time (e.g. agricultural land, tools and equipment, dairy and draft animals, rental properties) and ‘protective’: include physical, financial, and social assets that can readily be converted into cash or goods in time of need (e.g. cash on hand, cash saved in formal or informal institutions, assets held as store of value (such as livestock, jewelry, seed or grain, land, property), moveable household assets (such as TVs, radios, furniture, clothing), social capital. ‘Coping strategy’ refers to actions taken by the household when they do not have enough food or enough money to buy food.</t>
  </si>
  <si>
    <t>Unconditional cash</t>
  </si>
  <si>
    <t>Expenditure as conditional cash assistance</t>
  </si>
  <si>
    <t>by type of programme (migration/FSL/shelter/DRR/education/WASH/health)</t>
  </si>
  <si>
    <t>Funds</t>
  </si>
  <si>
    <t>Currency</t>
  </si>
  <si>
    <t>Voucher assistance</t>
  </si>
  <si>
    <t>Expenditure in CHF as vouchers</t>
  </si>
  <si>
    <t>Number of targeted sites for which debris removal has been completed</t>
  </si>
  <si>
    <t>The number of specific locations identified and targeted for debris removal where the debris has been completely cleared and the site is ready for further recovery activities.</t>
  </si>
  <si>
    <t>National Society implements cash voucher assistance programmes</t>
  </si>
  <si>
    <t>Implementing: The active process of planning, executing, and managing Cash Voucher Assistance programmes, including the distribution of cash or vouchers to beneficiaries.</t>
  </si>
  <si>
    <t>Disaster risk reduction</t>
  </si>
  <si>
    <t>National Society performs environmental risk analysis for their programmes and/or operations</t>
  </si>
  <si>
    <t>National Societies who carry out environmental screening or similar process (using tools like NEAT+) in their projects; or who have integrated a similar step into their own project planning / emergency processes.</t>
  </si>
  <si>
    <t>Number of people reached by disaster risk reduction public awareness messaging and public education campaigns (PAPE)</t>
  </si>
  <si>
    <t>Public Awareness Messaging: Information dissemination through mass media (TV, radio, newspapers). Digital campaigns (social media, websites, online videos). Printed materials (posters, brochures, flyers). Community outreach (public announcements, local events, door-to-door campaigns). Public Education Campaigns: Educational programs in schools and community centers. Workshops and seminars on DRR. Interactive sessions such as quizzes, games, and simulations. Distribution of educational materials and resources.</t>
  </si>
  <si>
    <t>Number of National Society staff and volunteers trained in disaster risk reduction</t>
  </si>
  <si>
    <t>Trained in DRR: trained in DRR related topics, such as: roadmap to community resilience, enhanced vulnerability and capacity assessment, safe school, community contingency planning, and community early warning systems or early warning and early/anticipatory action. Focusing on National Society staff and volunteers only</t>
  </si>
  <si>
    <t>SAD, staff/volunteers</t>
  </si>
  <si>
    <t>Food security and livelihoods</t>
  </si>
  <si>
    <t>Livelihoods</t>
  </si>
  <si>
    <t>Number of surveyed households who have reported that their income is not continuing to fall (and is not zero)</t>
  </si>
  <si>
    <t>Households that that confirm they have some level of income AND indicate through survey responses that their income has either remained constant, increased, or stopped declining over the survey period. Income includes cash or in-kind and any charitable receipts.</t>
  </si>
  <si>
    <t>Food security</t>
  </si>
  <si>
    <t>Percentage of surveyed people receiving food rations are satisfied with the amount/volume received</t>
  </si>
  <si>
    <t>Satisfaction as Likert scale 1-5</t>
  </si>
  <si>
    <t>Percentage of surveyed people receiving food rations are satisfied with the types of food received</t>
  </si>
  <si>
    <t>Percentage of surveyed people receiving food rations are satisfied with how long rations lasted</t>
  </si>
  <si>
    <t>Percentage of surveyed people receiving food rations are satisfied with how frequently rations were received</t>
  </si>
  <si>
    <t>Percentage of surveyed people receiving food rations are satisfied with the time/period that food items were received</t>
  </si>
  <si>
    <t>Percentage of surveyed people whose households received cash transfers / vouchers are satisfied with the amount received</t>
  </si>
  <si>
    <t>Numerator: number of surveyed people who are satisfied. Denominator: total number of surveyed people. Calculate households by dividing number of people by average number of beneficiaries per household (from census/DHS). Calculate people by multiplying number of households by average number of beneficiaries per household (from census/DHS). Satisfaction as Likert scale 1-5</t>
  </si>
  <si>
    <t>Percentage of surveyed people whose households received vouchers are satisfied with the types purpose / items</t>
  </si>
  <si>
    <t>Percentage of surveyed people whose households received cash transfers / vouchers are satisfied with how long the cash / vouchers lasted</t>
  </si>
  <si>
    <t>Percentage of surveyed people whose households received cash transfers / vouchers are satisfied with how frequently cash / vouchers were received</t>
  </si>
  <si>
    <t>Percentage of surveyed people whose households received cash transfers / vouchers are satisfied with the time/period that cash / vouchers were received</t>
  </si>
  <si>
    <t>Number of people reached with essential on-farm and off-farm inputs/materials/tools for agricultural/food production</t>
  </si>
  <si>
    <t>‘On-farm’: crop, horticulture, livestock, fishery, aquaculture, apiculture, forestry (including seasonal and casual labour), ‘Off-farm’: farm-related activities around processing, packaging, storage, transportation. ‘Agriculture production’ encompasses the cultivation and rearing of food sources (crop, livestock, fish, etc.), while ‘food production’ focuses on the processing and preparation of these sources for consumption.</t>
  </si>
  <si>
    <t>Number of people reached with essential inputs/materials/tools for income-generation</t>
  </si>
  <si>
    <t>Inputs/materials/tools may include: Resources provided for farming activities, such as seeds, fertilizers, irrigation equipment, and farming machinery. Resources related to agricultural but not directly involving tilling the soil, such as processing, storage, or packaging equipment. Resources provided for income-generating activities unrelated to agriculture, such as craft supplies, retail inventory, or equipment for service-based businesses.</t>
  </si>
  <si>
    <t>Number of people reached with messages on good nutrition and / or food preparation</t>
  </si>
  <si>
    <t>People reached with messages: Individuals who have been exposed to or have actively participated in educational sessions, campaigns, or communications that impart information on how to make healthy food choices and how to safely and effectively prepare food. Good nutritional choices: Information provided might include guidance on balanced diets, the importance of various food groups, how to read food labels, and tips for maintaining a healthy eating lifestyle. Food preparation: Messages or training could cover topics such as safe food handling, cooking techniques that preserve nutrient content, portion control, and minimizing food waste.</t>
  </si>
  <si>
    <t>Number of people who have completed training in improved agricultural and food production practices</t>
  </si>
  <si>
    <t>Agricultural production' encompasses the cultivation and rearing of food sources (crop, livestock, fish, etc.), while ‘food production’ focuses on the processing and preparation of these sources for consumption.</t>
  </si>
  <si>
    <t>Number of people who have completed training in improved agricultural / food production risk management practices</t>
  </si>
  <si>
    <t>Agricultural production' encompasses the cultivation and rearing of food sources (crop, livestock, fish, etc.), while ‘food production’ focuses on the processing and preparation of these sources for consumption. ‘Risk management practices’are used to reduce risks (e.g. through contributing to savings groups or other social networks, building personal savings, ensuring credit sources, diversifying income-generating activities and social assets based on types of risks, incorporating climate-smart practices into agricultural production activities, etc)</t>
  </si>
  <si>
    <t>Number of people who have completed training or awareness-raising sessions on nutrition-sensitive practices</t>
  </si>
  <si>
    <t>‘Nutrition sensitive practices’ address the underlying cause of malnutrition by aiming to improve human nutrition through incorporating specific nutrition goals and actions into food security and livelihood interventions – e.g. focusing on improved dietary diversity, nutrient intake, and overall diet quality, in addition to increasing food production and incomes or incorporating nutrition education, behavior change communication, and women’s empowerment components alongside food security and livelihood interventions.</t>
  </si>
  <si>
    <t>Number of people who have completed training or awareness-raising sessions on improved income-generation risk management practices</t>
  </si>
  <si>
    <t>‘Risk management practices’are used to reduce risks (e.g. through contributing to savings groups or other social networks, building personal savings, ensuring credit sources, diversifying income-generating activities and social assets based on types of risks, incorporating climate-smart practices into agricultural production activities, etc)</t>
  </si>
  <si>
    <t>Number of targeted community-based organizations and self-help groups providing community food security and livelihood safety nets</t>
  </si>
  <si>
    <t>Organization</t>
  </si>
  <si>
    <t>Number of rehabilitated or restored basic livelihood infrastructure/equipment</t>
  </si>
  <si>
    <t>Basic livelihood infrastructure/equipment: This encompasses a wide range of assets essential for the daily economic activities of a community. Examples include water supply systems, irrigation channels, roads and bridges for transport, marketplaces, fishing boats, agricultural machinery, and processing facilities. Rehabilitated or restored: The process of repairing, refurbishing, or reconstructing infrastructure or equipment that has been damaged, deteriorated, or otherwise rendered partially or wholly dysfunctional, to bring it back to a functional or improved state.</t>
  </si>
  <si>
    <t>Number of restored ecosystem services used by targeted community for their livelihoods</t>
  </si>
  <si>
    <t>Restored ecosystem services: Natural processes and functions that have been rehabilitated or enhanced to provide benefits to people and wildlife. Examples include water purification, pollination, flood regulation, and soil fertility improvement. Used by targeted community for their livelihoods: The use of these restored ecosystem services by local communities to support economic activities such as farming, fishing, forestry, or eco-tourism, which are critical for their sustenance and economic stability.</t>
  </si>
  <si>
    <t>Services</t>
  </si>
  <si>
    <t>Number of community disaster response teams (CDRT) trained</t>
  </si>
  <si>
    <t>Number of households supported in food production in urban and peri-urban areas</t>
  </si>
  <si>
    <t>‘Food production’ focuses on the processing and preparation of agricultural sources (crop, livestock, fish, etc.) for consumption.</t>
  </si>
  <si>
    <t>Number of people supported to start or improve their income generation activities</t>
  </si>
  <si>
    <t>People supported to start or improve income generation activities: Individuals who have been assisted in establishing new income-generating ventures or enhancing existing ones. This support can encompass a range of activities, from small-scale entrepreneurship to agricultural endeavours. Support provided: The nature of the assistance provided may include financial aid (like microloans or grants), provision of equipment or materials, technical training, business coaching, marketing support, and other resources necessary for starting or improving a business or productive activity.</t>
  </si>
  <si>
    <t>Relief and recovery</t>
  </si>
  <si>
    <t>Percentage of humanitarian assistance provided in-kind</t>
  </si>
  <si>
    <t>Numerator: total value of in-kind assistance provided. Denominator: total value of all humanitarian assistance delivered. This indicator measures the proportion of total humanitarian assistance delivered as in-kind support. In-kind assistance includes the direct provision of goods and services, such as food, clothing, medical supplies, and shelter materials, rather than cash or vouchers.</t>
  </si>
  <si>
    <t>Number of cash programmes that provide "cash-plus" assistance to affected populations</t>
  </si>
  <si>
    <t>Programme</t>
  </si>
  <si>
    <t>National Society is able to deliver scalable, timely and accountable cash and voucher assistance</t>
  </si>
  <si>
    <t>Scalable: The capability of the National Societies to increase the scope or reach of cash and voucher assistance programs in response to rising needs or emergencies without compromising the quality of service delivery. Timely: The ability of the National Societies to deliver cash and voucher assistance quickly, ensuring that aid reaches beneficiaries within an appropriate time frame to meet urgent needs. Accountable: The implementation of mechanisms and processes by the National Societies to ensure transparency, proper use of funds, and responsibility in delivering cash and voucher assistance. This includes measures for monitoring, reporting, and addressing any issues of misuse or inefficiency.</t>
  </si>
  <si>
    <t>Number of people reached with disaster risk reduction</t>
  </si>
  <si>
    <t>Percentage of assistance delivered using cash and vouchers</t>
  </si>
  <si>
    <t>Number of people reached with shelter support</t>
  </si>
  <si>
    <t>Amount in CHF of average transfer value</t>
  </si>
  <si>
    <t>Number of people reached - Cash Transfer Programming</t>
  </si>
  <si>
    <t>Cash transfer programming supports and provides the transfer of cash or cash equivalents (e.g. vouchers), including cash for work programmes, in order to cover the short- and/or long-term essential food and non-food needs of vulnerable populations. Transfers may or may not depend on recipients having certain characteristics or doing certain things. Examples include: One-off payments after a disaster as well as repeated payments during a protracted crisis; Blanket provision as well as payments targeted to specific groups; Programmes implemented alone as well as programmes in partnership with government agencies.</t>
  </si>
  <si>
    <t>Number National Societies that have shelter and urban strategies in place, which include city-level coordination, partnerships with development actors and actionable municipal contingency and response plans</t>
  </si>
  <si>
    <t>Shelter and Urban Strategies: Comprehensive plans addressing urban shelter needs and integrating various aspects of urban planning and disaster response. Municipal Contingency and Response Plans: Detailed, actionable plans prepared at the municipal level for responding to emergencies and disasters.</t>
  </si>
  <si>
    <t>Number of national and local plans, legal and regulatory frameworks with references to DRR and Early Warning and Eearly Action, influenced by National Society</t>
  </si>
  <si>
    <t>A new or revised legal instrument (law, regulation, policy, legal agreement) related to disaster will be counted as influenced by the NS through this indicator if the NS and/or iFRC have provided relevant advice, research or advocacy to the government and their advice is reflected in the text. This indicator counts instruments (and there may be more than one instrument adopted at the national, provincial or local level in a given year).</t>
  </si>
  <si>
    <t>Agreements</t>
  </si>
  <si>
    <t>Percentage of rehabilitated facilities and infrastructure in functional use</t>
  </si>
  <si>
    <t>Numerator: Count of Functional Facilities and Infrastructure. Denominator: Total count of rehabilitated Facilities and Infrastructure. Rehabilitated Facilities and Infrastructure: The structures that have undergone rehabilitation efforts, including buildings, roads, utilities, etc. Functional Use: The operational status of the rehabilitated facilities and infrastructure, indicating they are being used as intended.</t>
  </si>
  <si>
    <t>Type (transitional/durable)</t>
  </si>
  <si>
    <t>Number of community centres improved with light repairs</t>
  </si>
  <si>
    <t>Community Centers: Buildings or facilities used for community activities and services. Light Repairs: Minor repair works such as fixing leaks, painting, minor electrical or plumbing work, repairing windows or doors, and other small-scale maintenance tasks.</t>
  </si>
  <si>
    <t>Number of public infrastructure facilities supported with light or medium repair/construction</t>
  </si>
  <si>
    <t>Public Infrastructure Facilities: Buildings or structures used by the public, such as schools, hospitals, community centers, roads, and bridges. Light Repairs/Construction: Minor works such as painting, fixing leaks, minor electrical or plumbing repairs, window or door repairs, and other small-scale maintenance tasks. Medium Repairs/Construction: More substantial works that may include partial reconstruction, roof repairs, significant plumbing or electrical work, structural reinforcements, and other moderate-scale improvements.</t>
  </si>
  <si>
    <t>National Society has prepositioned NFIs for harsh winter conditions</t>
  </si>
  <si>
    <t>Prepositioned NFIs: Non-food items stored in advance to be readily available for distribution. Examples include blankets, heaters, winter clothing, and other items necessary to withstand harsh winter conditions. Harsh Winter Conditions: Severe weather conditions characterized by extremely low temperatures, snow, and ice, which can pose significant risks to health and safety.</t>
  </si>
  <si>
    <t>Food items: These can include a range of products such as grains, canned goods, fresh produce, fortified foods, and other nutritional supplements necessary to meet the dietary needs of affected populations.</t>
  </si>
  <si>
    <t>Number of people supported through Government centralised payments</t>
  </si>
  <si>
    <t>Government Centralized Payments: A method of disbursing financial aid where the government uses a centralized system to distribute payments directly to beneficiaries. This system ensures streamlined, efficient, and transparent distribution of funds.</t>
  </si>
  <si>
    <t>Number of volunteers and staff trained in livelihoods</t>
  </si>
  <si>
    <t>Trained in livelihoods: Training that includes learning about economic development strategies, job skills training methodologies, entrepreneurship, financial literacy, agricultural development, and other related topics that contribute to building and sustaining livelihoods.</t>
  </si>
  <si>
    <t>Conditional cash</t>
  </si>
  <si>
    <t>Number of people provided with conditional cash assistance</t>
  </si>
  <si>
    <t>SAD, by type of programme (migration/FSL/shelter/DRR/education/WASH/health)</t>
  </si>
  <si>
    <t>Expenditure as unconditional cash assistance</t>
  </si>
  <si>
    <t>This indicator measures the total amount of money spent on providing unconditional cash assistance. Unconditional cash assistance refers to financial aid given to beneficiaries without specific conditions on how the funds can be used. Amounts should include transfer value ONLY but no other indirect costs.</t>
  </si>
  <si>
    <t>Expenditure as voucher assistance</t>
  </si>
  <si>
    <t>This indicator measures the total amount of money spent on providing voucher assistance. Voucher assistance refers to financial aid given to beneficiaries with specific conditions on how the funds can be used. Amounts should include transfer value ONLY but no other indirect costs</t>
  </si>
  <si>
    <t>Number of people provided with unconditional cash assistance</t>
  </si>
  <si>
    <t>Number of people provided with voucher assistance</t>
  </si>
  <si>
    <t>Voucher assistance refers to financial aid given to beneficiaries to cover a variety of essential needs.</t>
  </si>
  <si>
    <t>National Society is engaged in Early Warning and Anticipatory Action</t>
  </si>
  <si>
    <t>Early Warning Systems: Established and maintained systems to detect and communicate imminent hazards.
Anticipatory Actions: Measures to prepare for and reduce the impact of potential disasters.</t>
  </si>
  <si>
    <t>WASH</t>
  </si>
  <si>
    <t>WASH in emergencies</t>
  </si>
  <si>
    <t>Number of target communities / sites with National Society's WASH assessments conducted at least once</t>
  </si>
  <si>
    <t>WASH Assessments: Systematic evaluations to determine the state of water, sanitation, and hygiene in the target communities or sites. These assessments identify needs, existing gaps, and opportunities for improvement.</t>
  </si>
  <si>
    <t>Number of WASH assessments conducted</t>
  </si>
  <si>
    <t>Number of communities / sites reached with WASH actions in emergency response</t>
  </si>
  <si>
    <t>Communities/sites: If informal, these are discrete continuous sites which require travel between them. If formally recognised, then they are identified as such by name or number by administrative authorities and should be the lowest in the administrative hierarchy (such as village, commune, camp zone). WASH actions in emergency include the following. Water: Provision of safe drinking water through distribution, installation of water points, and water purification systems. Sanitation: Construction or rehabilitation of emergency latrines, waste management systems, and sanitation facilities. Hygiene: Distribution of hygiene kits, promotion of hygiene practices, and provision of handwashing facilities.</t>
  </si>
  <si>
    <t>Percentage of households that have access to sufficient safe water which meets Sphere and WHO standards in terms of quantity and quality in the response period</t>
  </si>
  <si>
    <t>Numerator: Number of households with sufficient safe water. Denominator: Total number of households surveyed. Sufficient safe water: Water that is safe for drinking, cooking, and personal hygiene, meeting the following specific quantity and quality standards. Quantity: Sphere standards recommend a minimum of 15 liters per person per day. WHO standards also align with ensuring sufficient water for basic needs. Quality: Water free from pathogens, harmful chemicals, and radiological hazards. It should be tested and meet WHO guidelines for drinking water quality.</t>
  </si>
  <si>
    <t>Response/recovery phase.</t>
  </si>
  <si>
    <t>Percentage of households in target community/site which store their drinking water in a safe container</t>
  </si>
  <si>
    <t>Numerator: Number of households using safe containers. Denominator: Total number of households surveyed. Safe storage container: has a single small (5–8 cm) opening that has a cover or can be closed tightly; has a narrow neck or opening/tap so water can be poured out without hands or objects entering the container; made of food-grade plastic, ceramic, or metal that do not leach harmful substances into the water; easy to clean and maintain; ideally can hold a standard volume of water (20 liters) and has a comfortable handle for easy carrying.</t>
  </si>
  <si>
    <t>Number of people who have been provided with an improved protected source of drinking water</t>
  </si>
  <si>
    <t>Improved Protected Source of Drinking Water: Water sources that are designed to protect from outside contamination and provide safe, clean drinking water. Examples include the following. Piped water systems: Water delivered through a network of pipes directly to homes or communal points. Boreholes or tubewells: Deep wells drilled into the ground to access groundwater, equipped with pumps to bring water to the surface. Protected springs: Natural springs that have been enclosed to prevent contamination. Rainwater harvesting systems: Systems that collect and store rainwater for drinking purposes. Protected dug wells: Shallow wells with protective covers to prevent contamination.</t>
  </si>
  <si>
    <t>Average number of litres of safe water distributed per person per day</t>
  </si>
  <si>
    <t>The average number of litres of safe water distributed per person per day is calculated by dividing the total volume of safe water distributed by the total number of people served and the number of days over which the distribution occurred. Safe Water: Water that meets safety standards for drinking and is free from contaminants that can cause disease. This includes treated water distributed in bottles, tanks, or via pipelines.</t>
  </si>
  <si>
    <t>Number of people reached with effective water treatment materials and promotion</t>
  </si>
  <si>
    <t>Water treatment materials: Items such as water purification tablets, chlorine, filters, and other materials used to make water safe for drinking. Promotion: Activities aimed at raising awareness and educating the community on the importance of water treatment and safe water practices. This can include distribution of informational materials, community meetings, and media campaigns.</t>
  </si>
  <si>
    <t>Number of households that received an improved sanitation facility within 50 metres of their home</t>
  </si>
  <si>
    <t>Sanitation facilities: Infrastructure designed for the safe disposal of human excreta, including the following. Flush/pour-flush toilets: Toilets connected to a sewer system, septic tank, or pit latrine. Pit latrines: Simple pits with slabs. Ventilated improved pit (VIP) Latrines: Enhanced pit latrines with ventilation to reduce odors and flies. Composting toilets: Toilets that treat human excreta through aerobic decomposition. Other types of sanitation facilities: Any other facilities designed for the hygienic separation of human excreta from human contact.</t>
  </si>
  <si>
    <t>Response/recovery phase. Male/female</t>
  </si>
  <si>
    <t>Number of sanitation facilities constructed or rehabilitated</t>
  </si>
  <si>
    <t>Male/female, household/communal</t>
  </si>
  <si>
    <t>Number of female sanitation facilities suitable for managing menstruation and for disposing of menstrual hygiene materials constructed or rehabilitated</t>
  </si>
  <si>
    <t>Female sanitation facilities: Sanitation facilities that are designated for female use and provide privacy, safety, and hygiene. Suitable for managing menstruation: Facilities that include provisions for managing menstruation such as access to water, private washing areas, and adequate space for changing sanitary products. Disposal of menstrual hygiene materials: Facilities that include bins or disposal units for sanitary products, ensuring hygienic and environmentally safe disposal. Rehabilitated: Existing facilities upgraded or repaired to include menstrual hygiene management features.</t>
  </si>
  <si>
    <t>Average number of people per toilet / latrine</t>
  </si>
  <si>
    <t>Numerator: Total number of people in the area. Denominator: Total number of functional toilets/latrines.</t>
  </si>
  <si>
    <t>Households served by environmental sanitation activities carried out</t>
  </si>
  <si>
    <t>Environmental sanitation activities: Actions aimed at improving the sanitary conditions of households, including the following. Waste management: Collection, disposal, and recycling of solid waste. Drainage improvement: Construction and maintenance of drainage systems to prevent waterlogging and reduce the risk of waterborne diseases. Vector control: Measures to control or eliminate vectors such as mosquitoes, flies, and rodents. Community clean-up campaigns: Organized efforts to clean public spaces, promote hygiene, and educate the community on proper sanitation practices.</t>
  </si>
  <si>
    <t>Number of people provided with handwashing facilities</t>
  </si>
  <si>
    <t>Handwashing facilities: Structures or areas specifically designated and equipped for handwashing. These facilities may include the following. Public handwashing stations set up in communal areas, handwashing units installed in schools, health centres, or shelters, household handwashing facilities provided to individual families. Constructed facilities: New handwashing stations or units built from the ground up to provide access to hand hygiene. Rehabilitated Facilities: Existing handwashing stations or units that are repaired, upgraded, or otherwise improved to restore or enhance functionality.</t>
  </si>
  <si>
    <t>Response/recovery phase. SAD</t>
  </si>
  <si>
    <t>Number of people provided with bathing facilities</t>
  </si>
  <si>
    <t>Bathing Facilities: Structures or areas specifically designated and equipped for bathing. These may include the following. Temporary or permanent bathing units set up in emergency shelters or camps. Rehabilitated or newly constructed public bathhouses. Mobile bathing units deployed to affected areas.</t>
  </si>
  <si>
    <t>Number of handwashing facilities constructed or rehabilitated</t>
  </si>
  <si>
    <t>Response/recovery phase. Male/female.</t>
  </si>
  <si>
    <t>Number of female bathing facilities suitable for managing menstruation and for disposing of menstrual hygiene materials constructed</t>
  </si>
  <si>
    <t>Female bathing facilities: Bathing facilities that are specifically designed for use by females and include features to support menstrual hygiene management. These features may include the following. Private and secure areas to ensure privacy and dignity. Adequate lighting and ventilation. Access to water and soap for washing. Disposal bins or incinerators for sanitary disposal of menstrual hygiene materials. Shelves or hooks for storing personal items.</t>
  </si>
  <si>
    <t>Health</t>
  </si>
  <si>
    <t>Health strategy, policy and advocacy</t>
  </si>
  <si>
    <t>National Society has a health or WASH strategy for public health in emergencies</t>
  </si>
  <si>
    <t>Health Strategy: A formal document outlining the National Society’s approach, goals, and plans for health interventions. This strategy guides the implementation of programs and activities aimed at improving public health outcomes. WASH Strategy: A formal document detailing the National Society’s plans and initiatives for water, sanitation, and hygiene services. This strategy addresses issues such as access to clean water, sanitation facilities, and hygiene promotion to prevent disease and improve community health. Public health in emergencies: The provision of health services and public health infrastructure or other mitigating support, to reduce the public health impact of crises. Not to be confused with public health emergencies, where the emergency itself is primarily public health related, such as epidemics and pandemics, chemical spills, radiological incidents, etc.</t>
  </si>
  <si>
    <t>Number of assessments and analysis carried out incorporating protection, gender &amp; diversity and inclusion considerations as part of emergency operations</t>
  </si>
  <si>
    <t>Incorporating Protection, Gender, and Inclusion (PGI) Considerations: including questions related to addressing all forms of violence, discrimination, and exclusion towards marginalised groups. Ideally and typically this would be incorporated using the tools based on the IFRC PGI minimum standards for emergency operations: 2.4 PGI assessment and analysis guidance; 2.4.1 PGI assessment question library. Questions can be incorporated from other reliable sources which address the same themes, defined as follows: Protection; gender and diversity analysis; inclusion in emergency programming.</t>
  </si>
  <si>
    <t>Percentage of surveyed people who, during the recovery phase, identify, without prompting, key times to wash hands</t>
  </si>
  <si>
    <t>Numerator: The number of surveyed individuals who correctly identify, without prompting, all key times to wash hands. Denominator: The total number of individuals surveyed. Critical Handwashing Times: after defecation, after changing child’s diapers / cleaning child after defecation, after cleaning the environment, before preparing food, and before eating food.</t>
  </si>
  <si>
    <t>Number of communal or household toilets that have handwashing stations with evidence of use</t>
  </si>
  <si>
    <t>Communal toilets: Shared sanitation facilities used by multiple households or community members. Household toilets: Private sanitation facilities used by individual households.Handwashing stations: Areas designated for handwashing, typically equipped with soap and water or other cleaning agents. This may include sinks, tippy taps, or other handwashing setups. Indicators of Use: Observable signs that the handwashing stations are being regularly used, such as presence of soap or handwashing agents, water availability in handwashing stations, clean and maintained handwashing area, ideally from direct observation during visits or inspections.</t>
  </si>
  <si>
    <t>Number of sectoral or PGI assessments conducted using the PGI Minimum Standards</t>
  </si>
  <si>
    <t>“Using” means that list of standards has been checked against using the relevant sector’s section(s) in the PGI minimum standards and the result of that assessment is included in the assessment report. Ideally and typically this would be using the tools based on the IFRC PGI minimum standards for emergency operations: 2.4 PGI assessment and analysis guidance; 2.4.1 PGI assessment question library.</t>
  </si>
  <si>
    <t>Number of people trained on implementing the PGI Minimum Standards</t>
  </si>
  <si>
    <t>“Trained” refers to any standard PGI training that includes one more module on guidance and exercises on the PGI Minimum Standards, and is provided by a qualified focal point, for a minimum of one day.</t>
  </si>
  <si>
    <t>Percentage of operations which link to an existing referral pathway</t>
  </si>
  <si>
    <t>Referral is “the process of directing a client to another service provider because s/he requires help that is beyond the expertise or scope of work of the current service provider [National Society or IFRC]. A referral can be made to a variety of services, for example, health, psycho-social activities, protection services, nutrition, education, shelter, material or financial assistance, physical rehabilitation, community centre and/ or a social service agency.” ”Referral pathway” is a mapping of that information that has been validated by a competent focal person within the operation (e.g. PSS delegate, PGI delegate, PGI focal point, Social Welfare Officer when applicable) who is responsible for updating referral pathways. “Linking” means the referral pathway can be used: for the referral pathways to be used, it is important that they are well communicated with the staff and volunteers who work directly in communities. Information, education and communication materials should be prepared to raise awareness among field staff and volunteers on how best to provide support to survivors. This should include details on when, how and where to signpost support for an individual who requires assistance, and how to request referral by staff trained in supporting survivors</t>
  </si>
  <si>
    <t>Number of referrals made for survivors of a protection violation, via a common referral pathway</t>
  </si>
  <si>
    <t>“Protection violation” refers to any incident of abuse, exploitation, violence, exclusion or other violation of fundamental rights. “Referral” is “the process of directing a client to another service provider because s/he requires help that is beyond the expertise or scope of work of the National Society or IFRC. A referral can be made to a variety of services, for example health, psychosocial activities, protection services, nutrition, education, shelter, material or financial assistance, physical rehabilitation, community centre and/ or a social service agency.” (from the Guidance on basic referral mapping and case management)
"safe referral mechanism” referes to referral mechanisms that meet the standards described in the IFRC guidance Guidance on basic referral mapping and case management and following the criteria in the Quality assurance checklist 
A ”referral pathway” is a mapping of that information that has been validated by a competent focal person within the operation (e.g. PSS delegate, PGI delegate, PGI focal point, Social Welfare Officer when applicable) who is responsible for updating referral pathways.</t>
  </si>
  <si>
    <t>Number of target locations where a National Society has established safe spaces for people at particularly high risk</t>
  </si>
  <si>
    <t>“People at particularly high risk” should be defined locally based on assessment, but may include female-headed households, orphans, people with disabilities older people, sexual and gender minorities, ethnic minorities etc. Refer to the IFRC PGI minimum standards for a complete definition of 'marginalised/excluded groups'.</t>
  </si>
  <si>
    <t>Number of National Society’s Programmes that have completed the IFRC Child Safeguarding Risk Analysis</t>
  </si>
  <si>
    <t>The child safeguarding risk analysis refers to this tool: https://pgi.ifrc.org/resources/child-safeguarding-risk-analysis-tool</t>
  </si>
  <si>
    <t>Number of children participating in child-friendly consultations to help design, implement, and monitor any programme supporting children</t>
  </si>
  <si>
    <t>"Child-friendly consultations" refer to medical, psychological, or social service interactions specifically designed to meet the unique needs of children, ensuring that they feel comfortable, safe, and engaged during the consultation process. These consultations use age-appropriate communication, tools, and techniques to involve children in their care and decision-making in a way that respects their developmental level and emotional well-being.</t>
  </si>
  <si>
    <t>Sex, Gender, Age, Disability, ethnic background where possible</t>
  </si>
  <si>
    <t>Number of target locations where the National Society is providing suitable response services for child survivors</t>
  </si>
  <si>
    <t>“Suitable response services for child survivors” refers to services which are surivor-centred, child friendly, as well as gender-, age-, disability- and culturally sensitive (following basic guidance in the PGI minumum standards).</t>
  </si>
  <si>
    <t>Percentage of unaccompanied and separated children (UASC) for whom identification/ documentation/ family tracing/reunification/prevention of further separation interventions, begins within 72 hours of registration</t>
  </si>
  <si>
    <t>Numerator: Number of UASC cases for which interventions initiated within 72 hours. Denominator: total UASC registered in the period.</t>
  </si>
  <si>
    <t>Number of National Society staff screened by relevant local authorities for safeguarding risks</t>
  </si>
  <si>
    <t>"Safeguarding risk": any risk related to “our responsibility in taking action to: keep people safe from any form of harm caused by the misuse of power by making sure that our staff, volunteers, programmes and communications do no harm to children and adults, nor expose them to abuse or exploitation. Safeguarding also includes protecting staff and volunteers from harm and inappropriate behaviour such as sexual harassment.” “Screened by local authorities” refers to a vetting process which is reliable and non-discriminatory.</t>
  </si>
  <si>
    <t>Number of people referred to survivor-centred SGBV-dedicated services</t>
  </si>
  <si>
    <t>Referral Process: The procedure through which individuals are directed to SGBV-dedicated services. Survivor-Centred Services: Services that prioritize the dignity, rights, and needs of survivors, including medical care, psychological support, legal assistance, and social services.</t>
  </si>
  <si>
    <t>Percentage of survivors of SGBV presenting to the National Society who are referred to appropriate medical, psychological or other support services within 72 hours of presentation</t>
  </si>
  <si>
    <t>Sexual and gender-based violence (SGBV): categories that include, but are not limited to, sexual violence, intimate partner violence, trafficking, forced/early marriage, sexual harassment, forced prostitution, femicide, female genital mutilation, sexual exploitation and abuse, and denial of resources, opportunities and services. “Appropriate services” refers to services from providers that have been vetted and validated as safe and inclusive, and therefore included in the referral pathway or other established mechanism.</t>
  </si>
  <si>
    <t>Percentage of volunteers and staff trained on basic SGBV awareness and survivor-centred response, including receiving and managing sensitive SGBV (including safeguarding) -related disclosures</t>
  </si>
  <si>
    <t>Numerator: number of trained volunteers. Denominator: total number of registered volunteers. Sexual and gender-based violence (SGBV): categories that include, but are not limited to, sexual violence, intimate partner violence, trafficking, forced/early marriage, sexual harassment, forced prostitution, femicide, female genital mutilation, sexual exploitation and abuse, and denial of resources, opportunities and services. "Trained” refers to to a minumum of three days training run by a PGI or other protection -related professional on the core principles of survivor-centred approaches, and covers the do’s and don’ts on disclosure from the Guidance on basic referral mapping and case management .</t>
  </si>
  <si>
    <t>Number of National Society health care facilities which have adopted protocols of clinical management of rape</t>
  </si>
  <si>
    <t>Validated and approved protocols based on the WHO guidance on CMR The formal acceptance and implementation of specific clinical guidelines and procedures designed to manage and support rape survivors. These protocols typically include steps for medical treatment, psychological support, forensic examination, and referrals for additional services. Clinical Management of Rape: Comprehensive medical care provided to survivors of rape, including physical examination, treatment of injuries, prevention of sexually transmitted infections (STIs) and unwanted pregnancies, psychological support, and documentation for legal purposes.</t>
  </si>
  <si>
    <t>Number of health staff trained on clinical management of rape</t>
  </si>
  <si>
    <t>“Trained” refers to established and validated training provided by reputable agencies with specialised knowledge on SGBV and CMR in particular, e.g. the WHO guide &amp; training on CMR, UNFPA.</t>
  </si>
  <si>
    <t>Number of safe and accessible water points for cooking and drinking water which are culturally appropriate, constructed or rehabilitated</t>
  </si>
  <si>
    <t>Rehabilitated: Existing water points upgraded or repaired to meet improved standards of safety, accessibility, and cultural appropriateness. “Cultural appropriateness” refers for example to the placement of the pump, whether it is in a location that can be accessed by all and local customs (e.g. women being seen by men who are not relatives) or practices (if caste issues may prevent accessing the water pump) etc. “Safe and accessible” means that all members of the community can use the facilities at any time without restraint or difficulty and without any fear of harrassment, intimidation, exploitation or violence. The PGI minimum standards section on WASH provides further guidance.</t>
  </si>
  <si>
    <t>Number of safe, accessible and private bathing facilities which are culturally appropriate, constructed or rehabilitated</t>
  </si>
  <si>
    <t>Rehabilitated: Existing bathing facilities upgraded or repaired to meet improved standards of safety, accessibility, privacy, and cultural appropriateness.</t>
  </si>
  <si>
    <t>Number of people reached by information dissemination sessions on menstrual hygiene management (MHM)</t>
  </si>
  <si>
    <t>Information dissemination sessions may include workshops and seminars, community meetings, school programs and various media discussing MHM, including the importance of menstrual hygiene, proper use and disposal of menstrual products, and addressing myths and taboos and other barriers to menstrual hygiene.</t>
  </si>
  <si>
    <t>Number of separate latrines for men and women with locks on the inside and adequate lighting constructed or rehabilitated</t>
  </si>
  <si>
    <t>Latrines designated specifically for male and female users to ensure privacy and dignity. Locks on the inside: Security features ensuring that latrines can be locked from the inside to provide users with privacy and safety. Adequate lighting: Proper lighting inside and around the latrines to enhance safety and usability, especially during nighttime. Lighting has been discussed and agreed with the community using the services, including a diverse group of stakeholder. Further recommedations in the PGI minimum standards, supplemented by the detailed guidance available from Oxfam. Rehabilitated: Existing latrines upgraded or repaired to meet improved standards of safety, privacy, and usability.</t>
  </si>
  <si>
    <t>Number of houses / shelters constructed which incorporate adaptations based on the specific needs of the users linked to impairments</t>
  </si>
  <si>
    <t>Houses/Shelters Constructed: Total number of new housing units or shelters built within a specified period. Adaptations for Impairments: Specific modifications or design features included to address the needs of individuals with impairments. Examples include ramps, widened doorways, grab bars, visual alarms, tactile indicators, and accessible bathrooms. “Those with impairments” refers to those people who respond “2. Some difficulty 3. A lot of difficulty 4. Cannot do at all” to one or more of the Washington Short Set of questions on disability. Note this includes cognitive impairments as the facilities should be easily accessible for people with these impairments also.</t>
  </si>
  <si>
    <t>Number of National Society’s humanitarian diplomacy initiatives on prevention and response to SGBV and violence against children</t>
  </si>
  <si>
    <t>Humanitarian Diplomacy Initiatives: Activities and efforts undertaken by National Societies to influence decision-makers, advocate for policy changes, and engage with stakeholders to address and mitigate SGBV and violence against children. These initiatives may include public campaigns, policy dialogues, legislative advocacy, and collaborations with government agencies and other organizations.</t>
  </si>
  <si>
    <t>National Society implements humanitarian diplomacy initiatives promoting a safe and inclusive environment in state policies or legal frameworks</t>
  </si>
  <si>
    <t>Humanitarian Diplomacy Initiatives: Activities and efforts undertaken by National Societies to influence decision-makers, advocate for policy changes, and promote legal frameworks that ensure safety, protection, and inclusion for all individuals. These initiatives may include advocacy campaigns, policy dialogue, legislative engagement, and collaboration with government agencies and other stakeholders. “Promoting a safe and inclusive environment” refers to addressing any issues that fall within the scope of the PGI policy, i.e. addressing the specific needs of “marignalised and excluded groups”. Those groups should be defined locally based on assessment, but may include female-headed households, orphans, people with disabilities older people, sexual and gender minorities, ethnic minorities etc. Refer to the IFRC PGI minimum standards for a complete definition of 'marginalised/excluded groups'</t>
  </si>
  <si>
    <t>Number of safe and accessible referral pathways which are culturally appropriate</t>
  </si>
  <si>
    <t>“Referral” is “the process of directing a client to another service provider because s/he requires help that is beyond the expertise or scope of work of the National Society or IFRC. A referral can be made to a variety of services, for example health, psychosocial activities, protection services, nutrition, education, shelter, material or financial assistance, physical rehabilitation, community centre and/ or a social service agency.” (from the Guidance on basic referral mapping and case management). A “referral pathway” is a mapping of that information that has been validated by a competent focal person within the operation (e.g. PSS delegate, PGI delegate, PGI focal point, Social Welfare Officer when applicable) who is responsible for updating referral pathways. “Safe and inclusive” means that it follows the guiding principles of the survivor centred approach: safety, confidentiality, non-discrimination &amp; respect</t>
  </si>
  <si>
    <t>Pathway type (TBD)</t>
  </si>
  <si>
    <t>Number of inviduals who have access to safe reporting and referral mechanisms for sexual exploitation and abuse and child safeguarding incidents</t>
  </si>
  <si>
    <t>“Referral” is “the process of directing a client to another service provider because s/he requires help that is beyond the expertise or scope of work of the National Society or IFRC. A referral can be made to a variety of services, for example health, psychosocial activities, protection services, nutrition, education, shelter, material or financial assistance, physical rehabilitation, community centre and/ or a social service agency.” (from the Guidance on basic referral mapping and case management. "Safe reporting and referral mechanism” referes to referral mechanisms that meet the standards described in the IFRC guidance Guidance on basic referral mapping and case management and following the criteria in the Quality assurance checklist</t>
  </si>
  <si>
    <t>Number of National Society staff and volunteers trained on prevention and protection of sexual exploitation and abuse (PSEA) and or all forms of child safeguarding</t>
  </si>
  <si>
    <t>Prevention and Response to Sexual Exploitation and Abuse (PSEA): policy, rules and actions intended to prevent Personnel from engaging in any form of sexual exploitation and abuse and to respond where it has occurred.</t>
  </si>
  <si>
    <t>“Child safeguarding policy” refers to a policy which clearly outlines the broad obligation on personnel, partners, suppliers, and contractors to ensure that the design and delivery of programmes and organisational operations do not expose children to adverse impacts, including the risk of violence, abuse, exploitation, or neglect and that any concerns about children’s safety within the communities where they work are appropriately reported.</t>
  </si>
  <si>
    <t>Percentage of National Society's programmes which conducted the IFRC child safeguarding risk analysis</t>
  </si>
  <si>
    <t>The child safeguarding risk analysis refers to this tool: https://pgi.ifrc.org/resources/child-safeguarding-risk-analysis-tool.</t>
  </si>
  <si>
    <t>National Society has a safeguarding focal person</t>
  </si>
  <si>
    <t>“focal person” means a member of staff who has clearly designated responsibilities to ensure sufficient safeguarding measures are in place, but does not necessarily have to be a dedicated role.</t>
  </si>
  <si>
    <t>Number of staff and volunteers trained on receiving and managing safeguarding-related disclosures</t>
  </si>
  <si>
    <t>“Training” refers to training provided by a qualified individual (PGI focal point or other qualified professional) and covers 	the basic points on disclosure set out in the do’s and don’ts on page 14-15 of the 3.2 Guidance on basic referral mapping and case management. 	The minimum requirements of the training is to convey the guiding principles of safety, confidentiality, non- discrimination &amp; respect.</t>
  </si>
  <si>
    <t>Restoring family links</t>
  </si>
  <si>
    <t>Number of people reached with restoring family links (RFL) services</t>
  </si>
  <si>
    <t>RFL Services: A range of activities and support services provided to assist individuals in re-establishing contact with family members. These services include: Tracing and locating missing family members; Facilitating communication through letters, phone calls, and other means; Reuniting separated family members; Providing information on the whereabouts and safety of family members; Supporting the exchange of Red Cross messages.</t>
  </si>
  <si>
    <t>Number of people who have been reunited with their families through restoring family links (RFL) services</t>
  </si>
  <si>
    <t>MHPSS</t>
  </si>
  <si>
    <t>Psychological services include psychological first aid, linking people with psychological problems or resources and services, case management, psychological counselling, psychotherapy or other psychological interventions.</t>
  </si>
  <si>
    <t>SAD, emergency/non-emergency.</t>
  </si>
  <si>
    <t>First aid</t>
  </si>
  <si>
    <t>Number of people reached with first aid and pre-hospital care by trained volunteers or staff in a crisis, disaster or conflict</t>
  </si>
  <si>
    <t>SAD, migrants</t>
  </si>
  <si>
    <t>Epidemic preparedness and response</t>
  </si>
  <si>
    <t>Number of health promotion campaigns on prevention and control of common communicable diseases in targeted communities</t>
  </si>
  <si>
    <t>Percentage of community-based surveillance (CBS) alerts which were responded to through public health action within 48 hours</t>
  </si>
  <si>
    <t>Percentage of targeted communities with active community-based surveillance (CBS) volunteers</t>
  </si>
  <si>
    <t>Blood services</t>
  </si>
  <si>
    <t>National Society has an active voluntary non-remunerated blood donation (VNRBD) service</t>
  </si>
  <si>
    <t>Active means promoted and recruiting donors. This should be specified in the service description as voluntary non-remunerated blood donation – VNRBD.</t>
  </si>
  <si>
    <t>National Society applies the IFRC minimum standards for protection, gender and inclusion in emergencies</t>
  </si>
  <si>
    <t>Numerator: National Societies that apply the IFRC minimum standards for PGI in their emergency operations. Denominator: total number of National Societies. "Applying": analysis has been conducted using the PGI minimum standards and included in the emergency response plan at any stage of operation as demonstrated by a clear reference to applying the PGI minimum standards in the operational plans. Assessing the quality of application should be made using the PGI marker http://tiny.cc/PGIMarker and reporting the &amp; of operations scoring 0, 1 or 2 using that marker.</t>
  </si>
  <si>
    <t>Number of people reached by epidemic and pandemic preparedness and response activities</t>
  </si>
  <si>
    <t>National Society has a child safeguarding system in place</t>
  </si>
  <si>
    <t>Indicator to be aggregated as total of submitting NS. “System” refers to the different systems – Survivor support, HR, legal, investigation – that need to be in place for adequate child safeguarding.</t>
  </si>
  <si>
    <t>National Society has standalone, integrated or mainstreamed programming addressing SGBV that meets agreed minimum standards</t>
  </si>
  <si>
    <t>Sexual and gender-based violence (SGBV): categories that include, but are not limited to, sexual violence, intimate partner violence, trafficking, forced/early marriage, sexual harassment, forced prostitution, femicide, female genital mutilation, sexual exploitation and abuse, and denial of resources, opportunities and services. The mainstreamed SGBV programmes are those described in the PGI minimum standards, the standalone or integrated are similar programming in any context that meets those same standards and/or equivalent international or national guidance and recommendations on SGBV programming (e.g. gbvguidelines.org for integrated programming and www.unfpa.org/minimum-standards for standalone programming, and national legislation for non-emergency programming).</t>
  </si>
  <si>
    <t>Inclusion</t>
  </si>
  <si>
    <t>National Society has its data on “people reached” disaggregated by sex, age and disability</t>
  </si>
  <si>
    <t>Indicator to be aggregated as total of submitting NS. data on people reached' refers to at least one people reached indicator as provided to FDRS. 'Disaggregated by sex, age and disability' refers to the guidance provided by FDRS, on sex and age disaggregation, and for disability refers to the use of the Washington Group Short Set questions (or more detailed).</t>
  </si>
  <si>
    <t>Number of National Society staff, whose job descriptions include gender and diversity-related and actions as part of their professional responsibilities</t>
  </si>
  <si>
    <t>National Society Job Descriptions: Refers to the formal written descriptions outlining the roles, duties, and responsibilities for positions within a National Society. Gender and Diversity-Related Actions: Gender-Related Actions: Initiatives and responsibilities aimed at promoting gender equality, addressing gender-specific needs, and ensuring that both men and women benefit equally from services and programs. Diversity-Related Actions: Efforts to recognize, respect, and address the variety of characteristics that make individuals unique, including but not limited to age, disability, ethnicity, sexual orientation, and socio-economic status.</t>
  </si>
  <si>
    <t>Number of people reached through RCCE in the viral respiratory disease response</t>
  </si>
  <si>
    <t>Viral respiratory diseases are illnessed that affect the respiratory (breathing) system. There are a wide variety of different respiratory viruses, the most well-known being influenza (commonly known as 'flu') and coronaviruses. Respiratory viruses can affect any age group but may affect some groups more severely.</t>
  </si>
  <si>
    <t>Health services</t>
  </si>
  <si>
    <t>Through programme activity 2.6, the National Society increases its capacity to prepare for and respond to health emergencies. This includes strengthening the health services it manages.  Conducting infection prevention and control (IPC) assessments of National Society managed health facilities (hospitals, clinics, outpatient care centres and specialized care centres) provides useful information to identify key strengths and weaknesses that need to be addressed. For large facilities, it is recommended to use the Infection Prevention and Control Assessment Framework at the facility level (IPCAF, available online: https://www.who.int/infection-prevention/tools/core-components/IPCAF-facility.PDF) or other tools recommended by the Ministry of Health. Small facilities can use simplified assessments, which should be discussed with the Ministry of Health. IFRC can provide technical guidance if required.  Planning various assessments of each facility allows National Societies to assess progress over time. Only include the number of health facilities managed by the National Society as this indicator is related to National Society preparedness. Each facility is only counted once, even if several assessments are conducted in the same facility over time.</t>
  </si>
  <si>
    <t>Number of people reached with psychosocial and mental health services</t>
  </si>
  <si>
    <t>Immunization</t>
  </si>
  <si>
    <t>Number of people reached with immunization services</t>
  </si>
  <si>
    <t>Number of people reached by protection, gender and inclusion programming</t>
  </si>
  <si>
    <t>Number of national plans for vaccines uptake integrated into national immunization plan</t>
  </si>
  <si>
    <t>Plans for vaccine uptake include activities, timelines, responsibilities, indicators, and budget, with specific deliverables for vaccination uptake and is part of the overall immunization plan. RCCE is risk communication and community engagement.</t>
  </si>
  <si>
    <t>Nation</t>
  </si>
  <si>
    <t>Number of National Society community health workers (CHWs) or community health volunteers responding to a public health emergency</t>
  </si>
  <si>
    <t>Community health workers are public health workers. Their goal is to connect communities with their health care systems and state health departments. Community health worker (CHW) is an umbrella term that includes a range of community health aides. They are typically citizens of the community they serve and support the health system as a volunteer or paid aide. Community health workers go through a much shorter training period than professional workers. A community health volunteer would be expected to have similar functions to a CHW.</t>
  </si>
  <si>
    <t>Percentage of households who express satisfaction with health services they received</t>
  </si>
  <si>
    <t>Number of respondents responding positively to question on specific aspect of service quality divided by total surveyed.</t>
  </si>
  <si>
    <t>Number of National Society community health workers CHW or community health volunteers per 100,000 people</t>
  </si>
  <si>
    <t>Number of CHWs / covered population * 100,000. Average per year. Community health workers are public health workers. Their goal is to connect communities with their health care systems and state health departments. Community health worker (CHW) is an umbrella term that includes a range of community health aides. They are typically citizens of the community they serve and support the health system as a volunteer or paid aide. Community health workers go through a much shorter training period than professional workers. A community health volunteer would be expected to have similar functions to a CHW.</t>
  </si>
  <si>
    <t>IFRC Integrity line (or similar internal Hotline and Case Management System) means 1) "IFRC integrity line” refers to the dedicated transparent, confidential, and independent central reporting mechanism for the IFRC https://ifrc.integrityline.org/ where issues related to National Societies can also be reported. 2) “similar internal hotline” refers to a transparent, confidential, and independent central reporting mechanism is in place, equipped with a well-defined case management and data management system 3) “Case management” refers to systems which can comprehensively address any issues reported, including: 1) Referrals and victims-assistance ; 2) Investigation capacity and procedures 3) Disciplinary processes. Full guidance available in the Pilot IFRC Safeguarding Framework</t>
  </si>
  <si>
    <t>National Society is in a cholera-affected country and has a gap analysis and a plan to address the main gaps for cholera</t>
  </si>
  <si>
    <t>Cholera-affected countries: Countries where cholera outbreaks have been reported, necessitating intervention and response efforts.</t>
  </si>
  <si>
    <t>National Society has undertaken annual cholera global donor mapping</t>
  </si>
  <si>
    <t>Cholera donor mapping: a summary of donors contributing to the National Society preparedness or response for cholera or acute watery diarrhoea.</t>
  </si>
  <si>
    <t>Number of people provided with access to safely managed drinking water services or an improved drinking water source constructed or rehabilitated</t>
  </si>
  <si>
    <t>Safely Managed Drinking Water Services: Water services that are accessible on premises, available when needed, and free from contamination. Improved Drinking Water Source: Water sources that are likely to provide safe water, including piped water, boreholes, protected dug wells, protected springs, and rainwater collection. Rehabilitated: Existing drinking water facilities upgraded or repaired to meet improved standards of safety and accessibility.</t>
  </si>
  <si>
    <t>Number of people provided with access to safely managed sanitation services or to improved sanitation facilities</t>
  </si>
  <si>
    <t>Safely Managed Sanitation Services: Sanitation services that hygienically separate human excreta from human contact and ensure that excreta are treated and disposed of safely. This includes facilities that are regularly cleaned, maintained, and monitored for functionality and hygiene. Improved Sanitation Facilities: Facilities that ensure hygienic separation of human excreta from human contact. Examples include flush/pour-flush toilets connected to a sewer system, septic tank, or pit latrine, ventilated improved pit latrines, composting toilets, and pit latrines with slabs.</t>
  </si>
  <si>
    <t>Number of people covered with hygiene promotion activities</t>
  </si>
  <si>
    <t>Hygiene promotion: a general term used to cover a range of strategies aimed to improve people’s hygiene and so prevent the spread of disease. It focuses on knowledge and access to resources to enable adequate hygiene.</t>
  </si>
  <si>
    <t>Health promotion services</t>
  </si>
  <si>
    <t>Percentage of target population with knowledge on the correct preparation and use of Oral Rehydration Solution or Salts (ORS)</t>
  </si>
  <si>
    <t>Correct preparation of ORS: appropriate volume of water for powder given dose, clean water, clear container and utensils.</t>
  </si>
  <si>
    <t>Registered: Individuals who have formally enrolled or signed up as volunteers with the Red Cross or Red Crescent. Trained: Individuals who have completed training programs provided by the Red Cross or Red Crescent in health and/or WASH topics including health education and promotion; disease prevention and control; first aid and emergency response; WASH practices and implementation; hygiene promotion and behavior change communication; operation and maintenance of WASH facilities.</t>
  </si>
  <si>
    <t>National Society has surveillance and early detection capacity for cholera / acute watery diarrhoea</t>
  </si>
  <si>
    <t>Early detection for cholera: should involve a notification system within National Society health facilities and/or community-based surveillance using community actors such as CBHA volunteers or community health workers (CHW) and a functioning system for communicating through the various hierarchical levels of the organization.</t>
  </si>
  <si>
    <t>National Society has cholera preparedness and Response Plan (or contingency plan)</t>
  </si>
  <si>
    <t>A cholera plan is a multisectoral and comprehensive document that states a National Society’s goal regarding cholera control or elimination and details all aspects of the national cholera prevention and control strategy. The NCP should be country-led and context-specific. The activities included in the NCP should be budgeted and aligned with the objectives and axes stated in the Global Roadmap. It is also a dynamic, multi-year and operational document that contains detailed implementation and monitoring plans. It will define milestones to measure progress and implement any corrective action to improve results and efforts toward the goals set. As activities move forward, the operational plans should be reviewed and revised on a regular basis - at a minimum annually - and updated to reflect ongoing cholera epidemiology.</t>
  </si>
  <si>
    <t>Number of people reached with WASH actions in emergency response</t>
  </si>
  <si>
    <t>WASH actions in emergency response include the following. Water: Provision of safe drinking water through distribution, installation of water points, and water purification systems. Sanitation: Construction or rehabilitation of emergency latrines, waste management systems, and sanitation facilities. Hygiene: Distribution of hygiene kits, promotion of hygiene practices, and provision of handwashing facilities.</t>
  </si>
  <si>
    <t>Number of people reached by cholera response</t>
  </si>
  <si>
    <t>Emergency health services</t>
  </si>
  <si>
    <t>National Society has oral rehydration salt (ORS) distribution capacity (kit, SOPs) at branch / hotspot level</t>
  </si>
  <si>
    <t>ORS is oral rehydration salt/solution. SOP is standard operating procedure. Hotspot refers to geographical area with repeated cholera/acute watery diarrhoea outbreaks.</t>
  </si>
  <si>
    <t>Number of target population provided by  with access to safely managed drinking water services or an improved drinking water source</t>
  </si>
  <si>
    <t>Safely Managed Drinking Water Services: Water services that are accessible on premises, available when needed, and free from contamination. These services include measures to ensure safe storage, distribution, and regular quality monitoring. Improved Drinking Water Source: Piped water into a dwelling, plot, or yard; public taps or standpipes; tubewells or boreholes; protected dug wells; protected springs; rainwater collection systems.</t>
  </si>
  <si>
    <t>Number of target population provided  with access to safely managed sanitation services or to improved sanitation facilities</t>
  </si>
  <si>
    <t>Percentage of target population with access to a handwashing facility with soap and water on premises</t>
  </si>
  <si>
    <t>Numerator: number of people with a handwashing facility (extrapolated from average household size). Denominator: number of people surveyed (extrapolated from average household size). Handwashing facility: A designated place for handwashing that includes soap (any substance that, when used with water, removes dirt and microorganisms from hands) and clean water. On premises: The handwashing facility is located within or in close proximity to the living quarters or area where the target population resides or spends a significant amount of time, ensuring easy and consistent access. Numerator: Total target population. Denominator: Number of people with access</t>
  </si>
  <si>
    <t>Percentage of target population with knowledge and awareness of cholera and AWD symptoms and common means of transmission</t>
  </si>
  <si>
    <t>Cholera: Diarrhea due to cholera often has a pale, milky appearance that resembles water in which rice has been rinsed. Nausea and vomiting. Vomiting occurs especially in the early stages of cholera and can last for hours. Dehydration. Transmission: Predominantly waterborne especially where hygiene is poor and water stored in unprotected containers. Foodborne often. Person-to-person rarely recorded.</t>
  </si>
  <si>
    <t>National Society is supported by Country Support Platform (CSP) for cholera</t>
  </si>
  <si>
    <t>Country Support Platform (CSP): an operational entity that leads the multi sectoral support that the GTFCC provides to countries for the implementation of their National Control Plans (NCPs). The CSP ensures that activities are conducted in close adherence with the global 2030 ending cholera roadmap. Ideally this support should includ technical support and consultancies.</t>
  </si>
  <si>
    <t>Percentage of Country Support Platforms CSP supported countries with National Cholera Plan endorsed by the Global Taskforce on Cholera Control Independent Review Panel</t>
  </si>
  <si>
    <t>Country Support Platform (CSP): led by IFRC and supports efforts – primarily at national level – to control and eliminate cholera. National Cholera Plan: An NCP is a dynamic, multi-year and operational document used by cholera-endemic countries or countries experiencing recurrent cholera outbreaks to prepare for and implement long-term prevention and control interventions. It is endorsed by ministries, government agencies, and institutions at the national level.</t>
  </si>
  <si>
    <t>Number of communities covered regularly with mobile health units or health outreach activities</t>
  </si>
  <si>
    <t>Number of staff and volunteers trained in PGI including referrals</t>
  </si>
  <si>
    <t>“Trained in PGI” = introductory PGI training modules (online or face to face), that cover themese from the IFRC PGI policy, often with a focus on Dignity, Access, Participation, Safety) and/or specific training on safeguarding, gender-based violence, sexual exploitation and abuse, exclusion. “including referrals” means training which covers the guidance on making a safe referall for all staff/volunteers. Training on establishing a referral pathway is for PGI or other protection-related professionals. The training should cover the following 8 steps: 1. Identify the needs and capacities of the client/survivor; 2. In cooperation with the client/survivor, identify which organisation and/or agency can meet the most immediate needs; 3. Contact the service provider to confirm the eligibility criteria for the client/survivor; 4. Explain the referral process to the client/survivor; 5. Document informed consent from the client/survivor; 6. Make the referral according to the procedure agreed upon with the service provider; 7. Follow-up with the client/survivor and the receiving agency according to the procedure agreed upon with the service provider; 8. Store information in a safe, ethical and confidential manner. See 3.2 Guidance on basic referral mapping and case management for more details.</t>
  </si>
  <si>
    <t>Number of social workers engaged</t>
  </si>
  <si>
    <t>A social worker is a trained professional who helps individuals, families, and communities cope with challenges and improve their well-being by providing emotional support, guidance, and practical assistance. Social workers work in various settings, including healthcare, education, child welfare, mental health, and community development. Their goal is to enhance the quality of life for vulnerable populations, advocate for social justice, and connect people to necessary resources and services.</t>
  </si>
  <si>
    <t>S</t>
  </si>
  <si>
    <t>Number of home-based care beneficiaries served</t>
  </si>
  <si>
    <t>"Home-based care" refers to health, social, or supportive services provided to individuals in their own homes rather than in a hospital, clinic, or care facility. These services are designed to help individuals manage chronic illness, disability, or recovery from surgery, while promoting independence and quality of life within their home environment.</t>
  </si>
  <si>
    <t>Number of people who received social or home-based care</t>
  </si>
  <si>
    <t>"Social care" refers to a range of services and support provided to individuals who need help with daily living activities, personal care, and maintaining independence, particularly due to age, disability, illness, or social disadvantages. Unlike healthcare, which focuses on medical treatment, social care is aimed at improving well-being, promoting dignity, and ensuring quality of life. "Home-based care" refers to health, social, or supportive services provided to individuals in their own homes rather than in a hospital, clinic, or care facility. These services are designed to help individuals manage chronic illness, disability, or recovery from surgery, while promoting independence and quality of life within their home environment.</t>
  </si>
  <si>
    <t>Number of people trained in social or home-based care</t>
  </si>
  <si>
    <t>Number of active ageing services established</t>
  </si>
  <si>
    <t>Active Ageing or Healthy Ageing: activities and services facilitated by a National Society that focus on promoting the health, well-being, and active involvement of older adults. Activities may include health education, physical exercise, social activities, mental health support, and access to health services.</t>
  </si>
  <si>
    <t>Number of people who have access to active ageing services</t>
  </si>
  <si>
    <t>Number of community health promotion volunteers trained and engaged in active ageing</t>
  </si>
  <si>
    <t>Community health volunteers are public health volunteers. Their goal is to connect communities with their health care systems and state health departments. Community health worker (CHW) is an umbrella term that includes a range of community health aides. They are typically citizens of the community they serve and support the health system as a volunteer or paid aide. Community health workers go through a much shorter training period than professional workers. A community health volunteer would be expected to have similar functions to a CHW. Active Ageing or Healthy Ageing: activities and services facilitated by a National Society that focus on promoting the health, well-being, and active involvement of older adults. Activities may include health education, physical exercise, social activities, mental health support, and access to health services.</t>
  </si>
  <si>
    <t>Number of social workers, volunteers and staff who participated in psychological first aid training, psycho-social educational activities or support</t>
  </si>
  <si>
    <t xml:space="preserve">A social worker is a trained professional who helps individuals, families, and communities cope with challenges and improve their well-being by providing emotional support, guidance, and practical assistance. Social workers work in various settings, including healthcare, education, child welfare, mental health, and community development. Their goal is to enhance the quality of life for vulnerable populations, advocate for social justice, and connect people to necessary resources and services. "Psychological First Aid" (PFA) is a supportive and evidence-informed intervention aimed at helping individuals in the immediate aftermath of a traumatic event, crisis, or disaster. It involves providing practical care and support, ensuring safety, listening to concerns, and connecting individuals to essential services and further resources, while reducing stress and promoting short- and long-term adaptive functioning. "Psycho-educational activities" refer to organized interventions that combine psychological principles and educational methods to help individuals better understand and manage psychological issues or mental health challenges. The goal is to provide participants with both knowledge and coping strategies, enabling them to deal with emotional, behavioural, or mental health difficulties more effectively.
</t>
  </si>
  <si>
    <t>SAD &amp; staff, volunteers and social workers</t>
  </si>
  <si>
    <t>Number of support meetings or psycho-educational activities organised for social workers, staff and volunteers</t>
  </si>
  <si>
    <t>"Psycho-educational activities" refer to organized interventions that combine psychological principles and educational methods to help individuals better understand and manage psychological issues or mental health challenges. The goal is to provide participants with both knowledge and coping strategies, enabling them to deal with emotional, behavioural, or mental health difficulties more effectively.</t>
  </si>
  <si>
    <t>Number of people reached with mobile health services (MHU/MHT)</t>
  </si>
  <si>
    <t>Number of unique patients that received primary health care including medical care and RHS in mobile services run by the National Society. Mobile clinics offer flexible and viable options for treating isolated and vulnerable groups as well as to newly displaced populations. When coordinating crisis response, the NS arranges for mobile health care teams to go by foot, bike, moto, boat or vehicle.</t>
  </si>
  <si>
    <t>Number of mobile health service units functional to provide quality primary health care</t>
  </si>
  <si>
    <t>Number of Mobile Clinics / Mobile Health Units or similar mobile service which is equipped and staffed to serve population health. Mobile clinics offer flexible and viable options for treating isolated and vulnerable groups as well as to newly displaced populations. When coordinating crisis response, the NS arranges for mobile health care teams to go by foot, bike, moto, boat or vehicle.</t>
  </si>
  <si>
    <t>Percentage of [name of service] staff and volunteers trained on prevention of sexual exploitation and abuse (PSEA) and all forms of child safeguarding</t>
  </si>
  <si>
    <t>Numerator: number of staff and volunteers trained on PSEA and child safeguarding. Denominator: total number of staff and volunteers. Prevention and Response to Sexual Exploitation and Abuse (PSEA): policy, rules and actions intended to prevent Personnel from engaging in any form of sexual exploitation and abuse and to respond where it has occurred. “Child safeguarding” refers to the broad obligation on personnel, partners, suppliers, and contractors to ensure that the design and delivery of programmes and organisational operations do not expose children to adverse impacts, including the risk of violence, abuse, exploitation, or neglect and that any concerns about children’s safety within the communities where they work are appropriately reported.</t>
  </si>
  <si>
    <t>Social care</t>
  </si>
  <si>
    <t>Number of National Society branches with social or home-based care services</t>
  </si>
  <si>
    <t>The branch in this case is the smallest sub-unit in the administrative hierarchy which has managed services.</t>
  </si>
  <si>
    <t>Branch</t>
  </si>
  <si>
    <t>Number of people supported by National Society emergency response team(s) (ERT)</t>
  </si>
  <si>
    <t>Number of conflict and other emergencies-affected people, served by ERTs.</t>
  </si>
  <si>
    <t>Number of people (including staff and volunteers) referred to external mental health and psychosocial support services whose main aim was to prevent further psychological distress and/or treat mental health conditions</t>
  </si>
  <si>
    <t>Referral to government mental health service or other mental health provider, to a peer-support group, to group therapy. Indicator subset. Combines to form the associated core FDRS/P&amp;B indicator.</t>
  </si>
  <si>
    <t>SAD, migrant/IDP/refugee</t>
  </si>
  <si>
    <t>Number of people who have received psychological support delivered by National Society trained staff/volunteer under supervision</t>
  </si>
  <si>
    <t>These could be delivered face-to-face, online or by telephone and include e.g. listening centre services, professional or lay counselling, counselling hotlines, psychological interventions.Indicator subset. Combines to form the associated core FDRS/P&amp;B indicator</t>
  </si>
  <si>
    <t>Number of people who received individualized psychosocial support, including Psychological First Aid (PFA), by a trained staff member or volunteer</t>
  </si>
  <si>
    <t>These could be delivered face-to-face, online or by telephone and include e.g.listening centre services, home visits, assistance provided in HSP or shelters for people affected by emergencies, etc. Exclusions: If services aim primarily to provide personal care and other practical assistance for children, young people and adults who need extra support due to physical or mental characteristic(s), it is not mental health or psychosocial, it is social care. Indicator subset. Combines to form the associated core FDRS/P&amp;B indicator</t>
  </si>
  <si>
    <t>Number of people who were engaged in focused psychosocial activities delivered by the National Society whose main aim was to protect or promote their mental health and psychological wellbeing</t>
  </si>
  <si>
    <t>Examples of activities: play, recreational, creative, sports activities and art for children/youth after distressing  events, group support for people experiencing grief or psychological distress, group support for people with addiction problems, resilience programs for IDPs/migrants/refugees, peer-support groups. Exclusions: If services aim primarily to provide personal care and other practical assistance for children, young people and adults who need extra support due to physical or mental characteristic(s), it is not mental health or psychosocial, it is social care. Indicator subset. Combines to form the associated core FDRS/P&amp;B indicator</t>
  </si>
  <si>
    <t>Number of persons reached with awareness-raising sessions focused on promotion of positive mental health and psychosocial wellbeing, and prevention of mental health conditions</t>
  </si>
  <si>
    <t>These can include awareness delivered by theatre plays, social/community gatherings, Social Media campaigns, radio programs, podcasts, individual dissemination of public health messages related to mental health. Topics can cover aspects such as dealing with emotions, grieving, reactions to distressful events and positive coping, problem management techniques,etc. Exclusions: If services aim primarily to provide personal care and other practical assistance for children, young people and adults who need extra support due to physical or mental characteristic(s), it is not mental health or psychosocial, it is social care. Indicator subset. Combines to form the associated core FDRS/P&amp;B indicator</t>
  </si>
  <si>
    <t>Number of policies, procedures and activities developed and implemented by the National Society related to staff and volunteer care</t>
  </si>
  <si>
    <t>Qualitative: case studies with hyperlink to effective case study format. Activities can include supervision sessions, team meetings, buddy-systems, peer support, referrals to external counselling/ psychological assistance, wellbeing surveys, volunteer appreciatoin and recognition sessions.</t>
  </si>
  <si>
    <t>Documents_activities</t>
  </si>
  <si>
    <t>Number of people receiving psychosocial materials from the National Society with the aim of protecting or promoting their mental health and psychological wellbeing</t>
  </si>
  <si>
    <t>Materials can include IEC products with the aim of increasing psychological literacy and positive coping, psychosocial kits, recreational kits, sports material.</t>
  </si>
  <si>
    <t>Number of people who receive mental health and psychosocial services in emergency situation</t>
  </si>
  <si>
    <t>Focused psychological and psychosocial care, includes: psychological first aid, linking people with psychological problems or resources and services, case management, psychological counselling, psychotherapy or other psychological interventions.</t>
  </si>
  <si>
    <t>Number of psychosocial support kits delivered for children, teenagers, and adults</t>
  </si>
  <si>
    <t>Number of people reached by all National Society social care services (including both care in the home or in institutions or day care centres)</t>
  </si>
  <si>
    <t>Services include both care in the home or in institutions or day care centres. Social care is a term that describes all forms of personal care and other practical assistance for children, young people and adults who need extra support due to physical or mental characteristic(s). As such, it often covers care for older people or people with disabilities or learning difficulties. E.g. Reading or companionship through to household chores like cleaning or cooking, assistance to access health services, support with food or water, household warmth, assistance with personal hygiene, assistance in social interaction, healthy ageing*, etc *Healthy Ageing is the process of developing and maintaining the functional ability that enables wellbeing in older age - WHO. Exclusions: If there are no personal physical or mental characteristics which require them to need extra support, this is not social care. For example, migrants who have no right to work may be supported with cash, goods or access to social welfare payments, but these would be livelihood activities; although a service may include people with a disability, if the same service is offered to all people (e.g. food distribution) it does not make it social care it is simply relief; similarly social services which are related to safeguarding or protection are not social care (e.g. women or children in refuges escaping domestic violence – and though there may be services offered which are health and wellbeing related –these would be included under Psychosocial support and mental health, or medical care); integrated care of complex medical conditions, where this is a medical intervention, is not social care and they would be covered in Primary or secondary healthcare services or, if by volunteers, care in the community. Indicator subset. Combines to form the associated core FDRS/P&amp;B indicator Indicator subset. Combines to form the associated core FDRS/P&amp;B indicator</t>
  </si>
  <si>
    <t>Number of people who were members of a National Society healthy ageing group</t>
  </si>
  <si>
    <t>Healthy Ageing Group: A structured group or program facilitated by a National Society that focuses on promoting the health, well-being, and active involvement of older adults. Activities may include health education, physical exercise, social activities, mental health support, and access to health services. Members: Individuals who are formally registered as participants in the healthy ageing group. Membership typically involves regular attendance and participation in group activities and programs.</t>
  </si>
  <si>
    <t>Number of people who had attended day care / social centres</t>
  </si>
  <si>
    <t>Day Care Centres: Facilities that provide care and supervision to individuals, typically children or the elderly, during the day. These centres offer a range of activities and services aimed at supporting the physical, emotional, and social well-being of attendees. Social Centres: Community-based facilities that offer social services, recreational activities, educational programs, and support groups to various segments of the population, including children, youth, adults, and seniors.</t>
  </si>
  <si>
    <t>Number of people who received social care home visits from the National Society</t>
  </si>
  <si>
    <t>Social Care Home Visits: Visits made by social care workers or volunteers from the National Society to individuals' homes to provide a range of services. These services can include health monitoring, personal care, emotional support, assistance with daily activities, and social interaction.</t>
  </si>
  <si>
    <t>Number of National Society volunteers providing social care</t>
  </si>
  <si>
    <t>Providing Social Care: Activities performed by volunteers that involve offering support and assistance to individuals in need. This includes personal care, emotional support, assistance with daily living activities, health monitoring, and facilitating access to social services.</t>
  </si>
  <si>
    <t>Number of people reached by National Society health promotion / awareness activities for the prevention and control of non-communicable diseases (NCDs include long-term respiratory disease, diabetes, cardiovascular disease, risk-managed cancers)</t>
  </si>
  <si>
    <t>e.g. smoking awareness, tobacco cessation services, school health promotion for NCDs, alcohol awareness, physical activity awareness, health promotion, behaviour change activities. This measurement EXCLUDES activities with a mental health and psychosocial support focus, which should be reported under that respective sub-sector. Indicator subset. Combines to form the associated core FDRS/P&amp;B indicator Indicator subset. Combines to form the associated core FDRS/P&amp;B indicator- Exclusions: not reached through social/mass media - persons should be reached directly.</t>
  </si>
  <si>
    <t>Number of people supported by National Society health care and disease management services for non-communicable diseases</t>
  </si>
  <si>
    <t>e.g. volunteer and health staff screening for NCDs and long-term effects – blood pressure, cholesterol, glucose monitoring, HbA1c, retinopathy and podiatry checks - BMI measures clinical care, clinical care, dietitian consultations, and treatment adherence. This measurement EXCLUDES activities with a mental health and psychosocial support focus, which should be reported under that respective sub-sector. Indicator subset. Combines to form the associated core FDRS/P&amp;B indicator Indicator subset. Combines to form the associated core FDRS/P&amp;B indicator. Exclusions: not reached through social/mass media - persons should be reached directly.</t>
  </si>
  <si>
    <t>Number of people referred to non-National Society run health care and disease management services for non-communicable diseases</t>
  </si>
  <si>
    <t>e.g. referral to Ministry/Department of Health or other governmental NCD services, referral to NGO service, etc. This measurement EXCLUDES activities with a mental health and psychosocial support focus, which should be reported under that respective sub-sector. Indicator subset. Combines to form the associated core FDRS/P&amp;B indicator Indicator subset. Combines to form the associated core FDRS/P&amp;B indicator. Exclusions: not reached through social/mass media - persons should be reached directly.</t>
  </si>
  <si>
    <t>SAD, migrant/IDP/refugee (if limited age information, include 0-17, 18-64, 65+).</t>
  </si>
  <si>
    <t>Number of people reached by National Society health promotion / awareness messages in social / mass media or large gatherings for the prevention and control of non-communicable diseases</t>
  </si>
  <si>
    <t>NCDs include long-term respiratory disease, diabetes, cardiovascular disease, risk-managed cancers. Messages topics could include smoking awareness, tobacco cessation services, alcohol awareness, physical activity awareness, health promotion, behaviour change activities. This measurement EXCLUDES activities with a mental health and psychosocial support focus, which should be reported under that respective sub-sector.</t>
  </si>
  <si>
    <t>Number of self-support groups for non-communicable disease (NCD) risk or disease control</t>
  </si>
  <si>
    <t>This indicator measures the total number of self-support groups established and active for the purpose of managing and controlling non-communicable diseases (NCDs) or mitigating their risk factors. It reflects the community’s engagement in peer support and collective action to improve health outcomes related to NCDs.
The measurement EXCLUDES activities with a mental health and psychosocial support focus, which should be reported under that respective sub-sector.</t>
  </si>
  <si>
    <t>Number of people reached with health promotion activities related to non-communicable diseases (NCDs) management in emergencies</t>
  </si>
  <si>
    <t>Health Promotion Activities: Interventions designed to educate and inform the public about managing NCDs during emergencies. These activities can include the following. Community workshops and seminar. Distribution of flyers, brochures, and posters. Radio and television broadcasts. Social media campaigns. Health education through schools and workplaces. Online webinars and virtual workshops. This measurement EXCLUDES activities with a mental health and psychosocial support focus, which should be reported under that respective sub-sector.</t>
  </si>
  <si>
    <t>Number of people supported with home health or disease management for non-communicable diseases (NCDs) in emergencies</t>
  </si>
  <si>
    <t>Home Health Services: Healthcare services provided in the patient's home. These services can include the following. Routine health check-ups. Medication management. Nutrition counselling. Physical therapy. Health education and self-management training. Disease Management for NCDs: Interventions designed to help patients manage their chronic conditions effectively. These can include the following. Regular monitoring of health status. Personalized care plans. Remote consultations and telemedicine. Emergency preparedness and contingency planning for NCD care. This measurement EXCLUDES activities with a mental health and psychosocial support focus, which should be reported under that respective sub-sector.</t>
  </si>
  <si>
    <t>Number of people referred for non-National Society run healthcare services for non-communicable diseases (NCDs) during emergencies</t>
  </si>
  <si>
    <t>Non-National Society Run Healthcare Services: Healthcare services provided by entities other than the National Society. These can include the following. Government hospitals and clinics. Private healthcare providers. Non-governmental organizations (NGOs). Specialized medical centers. Community health centers. This measurement EXCLUDES activities with a mental health and psychosocial support focus, which should be reported under that respective sub-sector.</t>
  </si>
  <si>
    <t>Number of people in migrant programmes reached with contextually appropriate National Society services aimed at improving or maintaining their health and wellbeing (where not already included in other health and care service categories)</t>
  </si>
  <si>
    <t>e.g. detention health, migrant health promotion activities, referrals, health visits, health screening, reception centre health activities, child/ youth/ mother-baby friendly spaces, nutrition for migrant children, provision of hygiene kits in camps, referral to health services, but where not included in other health and care activity numbers. Exclusions: Health activities which are not specific to migrants. If they access medical or preventive programmes that are included elsewhere in this framework, use the specific category and record as migrant numbers; Do not include numbers already included in other health activities. Only include here numbers of migrants reached with NS health programmes (prevention, diagnosis/screening, treatment). Indicator subset. Combines to form the associated core FDRS/P&amp;B indicator</t>
  </si>
  <si>
    <t>Number of people included in National Society’s programmes in support of migrants who were referred by the programme to access health (including mental health) services not provided by the National Society</t>
  </si>
  <si>
    <t>e.g. detention health, migrant health promotion activities, referrals, health visits, health screening, reception centre health activities, child/ youth/ mother-baby friendly spaces, nutrition for migrant children, provision of hygiene kits in camps, referral to health services, but where not included in other health and care activity numbers. Exclusions: Health activities which are not specific to migrants. If they access medical or preventive programmes that are included elsewhere in this framework, use the specific category and record as migrant numbers; Do not include numbers already included in other health activities. Only include here numbers of migrants reached with NS health programmes (prevention, diagnosis/screening, treatment).</t>
  </si>
  <si>
    <t>Number of migrants reached with targeted health services for needs created by emergencies</t>
  </si>
  <si>
    <t>Targeted Health Services: Health services specifically tailored to meet the needs of migrants affected by emergencies. These services can include the following. Emergency medical care. Vaccinations. Mental health and psychosocial support. Maternal and child health services. Treatment of infectious diseases. Health education and promotion. Access to clean water and sanitation.</t>
  </si>
  <si>
    <t>Care for persistent infections</t>
  </si>
  <si>
    <t>Number of people in National Society care programmes for those with persistent infections who receive material support, care or other non-medical services</t>
  </si>
  <si>
    <t>Individuals diagnosed with chronic or long-term infections such as HIV/AIDS, tuberculosis (TB), hepatitis, and other similar conditions. Types of support may include the following. Material Support: Provision of essential items such as nutritional supplements, hygiene kits, clothing, and household supplies. Psychosocial Support: Counseling, mental health services, support groups, and other forms of emotional and psychological assistance. Social Support: Assistance with social integration, access to community resources, and support networks. Educational Support: Health education, life skills training, and information on managing chronic infections. Financial Assistance: Direct financial aid or help in accessing financial resources and benefits. Indicator subset. Combines to form the associated core FDRS/P&amp;B indicator</t>
  </si>
  <si>
    <t>Number of new smear-positive TB cases registered under a TB treatment/control programme in a given year referred by, or operated by, the National Society</t>
  </si>
  <si>
    <t>Number of old smear-positive TB cases re-registered (previously dropped out) under a TB treatment/control programme in a given year referred by, or operated by, the National Society</t>
  </si>
  <si>
    <t>Individuals who were previously diagnosed with smear-positive TB and started treatment but discontinued before completion and are now re-registered to resume treatment. Indicator subset. Combines to form the associated core FDRS/P&amp;B indicator</t>
  </si>
  <si>
    <t>Number of new smear-positive TB cases registered under a TB control programme in a given year that successfully completed treatment, with or without bacteriological evidence of success</t>
  </si>
  <si>
    <t>WHO indicator Treatment success rate for new pulmonary smear-positive tuberculosis cases: The proportion of cases with previous TB treatment history registered under a national TB control programme in a given year that successfully completed treatment, whether with or without bacteriological evidence of success (“cured” or “treatment completed” respectively).</t>
  </si>
  <si>
    <t>Harm reduction and drug use</t>
  </si>
  <si>
    <t>Number of substance users enrolled in National Society substance abuse preventive activities including peer support and harm reduction activities</t>
  </si>
  <si>
    <t>Excluding activities with a mental health and psychosocial support focus, should be reported under that respective indicator Indicator subset. Combines to form the associated core FDRS/P&amp;B indicator</t>
  </si>
  <si>
    <t>Number of consultations / visits by community-based health workers (CBHWs/CHWs) / community volunteers / community prescribers funded or supported by the National Society</t>
  </si>
  <si>
    <t>Health workers based in communities are volunteers conducting outreach beyond primary health care facilities, who are supporting for early diagnosis (such as screening for diabetes by measuring blood glucose levels, rapid testing for malaria, identification of simple diarrhoea and dehydration) and basic treatment with close coordination and supervision from the formal health sector . These indicators are dependent on the country law regarding diagnosis and prescribing outside the traditional medical professions. Excluding activities with a mental health and psychosocial support focus, which should be reported under that respective indicator. Indicator subset. Combines to form the associated core FDRS/P&amp;B indicator.</t>
  </si>
  <si>
    <t>Number of active trained volunteers community-based health workers (CBHWs/CHWs) / community volunteers / community prescribers (responsible for screening, testing, referral or treatment)</t>
  </si>
  <si>
    <t>If supplementary indicator is included, this would give the average number of consultations/visits per CBHW</t>
  </si>
  <si>
    <t>Number of people reached with integrated community case management (ICCM) or other community-level treatment interventions adapted to meet health needs in emergencies</t>
  </si>
  <si>
    <t>Integrated Community Case Management (ICCM) is a global approach to improving health outcomes in emergency situations focusing on providing basic health care and treatment such as management of acute respiratory infections, diarrhoea, malaria in the communities. ICCM relies on trained community health workers (CHWs).</t>
  </si>
  <si>
    <t>Number of childbirths attended by a midwife / auxiliary midwife / other skilled health worker supported/trained/funded by the National Society</t>
  </si>
  <si>
    <t>Health workers based in communities are volunteers who are responsible for diagnosis and treatment. ANC / PNC – antenatal / postnatal care. WHO recommends: 8+ ANC contacts to reduce perinatal mortality; Counselling on eating; Daily oral Fe + folic acid; Tetanus toxoid; One ultrasound scan before 24 weeks; Ask about alcohol/drug use. Because the complexity, varied number of consultations and depth of consultations, further in dicators are not recommended. Exclusions: Activities with a mental health and psychosocial support focus (e.g., maternal mental health, infant stimulation, infant care practices) should be reported under the MHPSS respective indicator. Indicator subset. Combines to form the associated core FDRS/P&amp;B indicator.</t>
  </si>
  <si>
    <t>Number of childbirths where access to skilled attendance for childbirth is assisted by (but not delivered by) RC supported/trained/funded community-based health workers (CBHWs/CHWs) / community volunteers / community prescribers in the community</t>
  </si>
  <si>
    <t>Number of pregnancies where care (PNC or ANC) is delivered by RC supported/trained/funded midwife / auxiliary midwife / other skilled health worker in the community</t>
  </si>
  <si>
    <t>Health workers based in communities are volunteers who are responsible for diagnosis and treatment. ANC / PNC – antenatal / postnatal care. WHO recommends: 8+ ANC contacts to reduce perinatal mortality; Counselling on eating; Daily oral Fe + folic acid; Tetanus toxoid; One ultrasound scan before 24 weeks; Ask about alcohol/drug use. Because the complexity, varied number of consultations and depth of consultations, further in dicators are not recommended. Exclusions: Activities with a mental health and psychosocial support focus (e.g., maternal mental health, infant stimulation, infant care practices) should be reported under the MHPSS respective indicator. Indicator subset. Combines to form the associated core FDRS/P&amp;B indicator</t>
  </si>
  <si>
    <t>Number of pregnancies where access to postnatal or antenatal care is assisted by (but not delivered by) National Society supported/trained/funded CBHW* / CHWs / community volunteers / community prescribers in the community</t>
  </si>
  <si>
    <t>Health workers based in communities are volunteers who are responsible for diagnosis and treatment. ANC / PNC – antenatal / postnatal care. WHO recommends: 8+ ANC contacts to reduce perinatal mortality; Counselling on eating; Daily oral Fe + folic acid; Tetanus toxoid; One ultrasound scan before 24 weeks; Ask about alcohol/drug use. Because the complexity, varied number of consultations and depth of consultations, further indicators are not recommended. Exclusions: Activities with a mental health and psychosocial support focus (e.g., maternal mental health, infant stimulation, infant care practices) should be reported under the MHPSS respective indicator. Indicator subset. Combines to form the associated core FDRS/P&amp;B indicator</t>
  </si>
  <si>
    <t>Percentage of childbirths in the project catchment area delivered by a skilled health worker</t>
  </si>
  <si>
    <t>Numerator: number of childbirths attended by skilled health workers. Denominator: total number of childbirths in the project catchment area. Skilled healthcare worker: A healthcare professional who is trained and competent to manage normal deliveries and recognize, manage, or refer complications. Skilled health workers include the following. Obstetricians. Midwives. Nurses trained in midwifery.</t>
  </si>
  <si>
    <t>Households with disability, migrant/IDP/refugee.</t>
  </si>
  <si>
    <t>Percentage of most recent pregnancies in last 5 years in the project catchment area receiving 4 or more antenatal care consultations by a skilled health worker</t>
  </si>
  <si>
    <t>Numerator: number of most recent pregnancies that received four or more ANC consultations by a skilled health worker. Denominator: number of most recent pregnancies in the project catchment area in the last five years. Skilled care worker: A healthcare professional who is trained and competent to manage normal deliveries and recognize, manage, or refer complications. Skilled health workers include the following. Obstetricians. Midwives. Nurses trained in midwifery. Antenatal Care (ANC) Consultations: Visits by a pregnant woman to a healthcare provider for monitoring and managing her pregnancy. These consultations typically include the following. Health assessments and screenings. Nutritional counselling. Education on pregnancy, childbirth, and postnatal care. Management of pregnancy-related complications.</t>
  </si>
  <si>
    <t>Households with disability, migrant/IDP/refugee</t>
  </si>
  <si>
    <t>Percentage of most recent pregnancies in last 5 years in the project catchment area receiving a postnatal care consultation within 6 weeks of the birth</t>
  </si>
  <si>
    <t>Postnatal Care (PNC) Consultation: A health check-up conducted by a healthcare provider within six weeks after the birth. This consultation typically includes the following. Assessment of the mother’s physical and emotional well-being. Monitoring of the newborn’s health and development. Guidance on breastfeeding and nutrition. Counselling on family planning and maternal health.</t>
  </si>
  <si>
    <t>Percentage of women of reproductive age (15-49y) who used a modern family planning method in the last 12 months</t>
  </si>
  <si>
    <t>Numerator: number of women aged 15-49 years who have used a modern family planning method in the last 12 months. Denominator: total number of women aged 15-49 years in the population. It refers to the proportion of women within the specified age range who have utilized a contemporary and effective method of birth control or contraception within the past year. Modern Family Planning Methods: Contraceptive methods that are considered effective and scientifically validated. These methods include the following. Oral contraceptive pills. Intrauterine devices (IUDs). Injectable contraceptives. Implants. Condoms (male and female). Sterilization (male and female). Emergency contraception. Contraceptive patches. Vaginal rings. They do NOT include abortions</t>
  </si>
  <si>
    <t>AD, migrant/IDP/refugee</t>
  </si>
  <si>
    <t>Number of people reached by National Society health service delivery activities not already classified in other categories</t>
  </si>
  <si>
    <t>Exclusions: Do not include numbers already included in other health activities. Only include here numbers reached with NS health programmes relating to care/treatment in the community that are not included elsewhere. Indicator subset. Combines to form the associated core FDRS/P&amp;B indicator</t>
  </si>
  <si>
    <t>SAD, migrant/IDP/refugee.</t>
  </si>
  <si>
    <t>Number of people reached by National Society health service delivery activities not already classified in other categories, delivered during emergencies</t>
  </si>
  <si>
    <t>Exclusions: Do not include numbers already included in other health activities. Only include here numbers reached with NS health programmes relating to care/treatment in the community that are not included elsewhere. Do not include numbers outside emergency situations</t>
  </si>
  <si>
    <t>Number of people reached by the National Society with improved sanitation (not including solid waste/household waste)</t>
  </si>
  <si>
    <t>Improved sanitation includes sanitation facilities that hygienically separate human excreta from human contact. E.g. sewer connections, septic system connections, pour-flush latrines, ventilated improved pit latrines and pit latrines with a slab or covered pit. Shared facilities include public toilets and are NOT considered improved. - WHO. Exclusions: Do not include hygiene promotion without hardware (handwashing, bathing facilities). This should be included under integrated community-based health promotion activities. Indicator subset. Combines to form the associated core FDRS/P&amp;B indicator</t>
  </si>
  <si>
    <t>SAD, migrant/IDP/refugee, response/recovery phase</t>
  </si>
  <si>
    <t>Number of people provided with hygiene facilities by the National Society</t>
  </si>
  <si>
    <t>Population living in households that have a handwashing facility with soap and water at home. Handwashing facilities can consist of a sink with tap water, but can also include other devices that contain, transport or regulate the flow of water. Buckets with taps, tippy-taps and portable basins are all examples of handwashing facilities. Bar soap, liquid soap, powder detergent and soapy water all count as soap for monitoring purposes.- WHO. Exclusions: Do not include hygiene promotion without hardware (handwashing, bathing facilities). This should be included under integrated community-based health promotion activities. Indicator subset. Combines to form the associated core FDRS/P&amp;B indicator</t>
  </si>
  <si>
    <t>Number of people reached by the National Society with solid waste disposal service</t>
  </si>
  <si>
    <t>This is a service for removal from community not merely containers for storage, though these can be part of the service. Exclusions: Do not include hygiene promotion without hardware (handwashing, bathing facilities). This should be included under integrated community-based health promotion activities.</t>
  </si>
  <si>
    <t>Number of WASH facilities constructed/adapted to enable hygienic and private menstrual hygiene management</t>
  </si>
  <si>
    <t>WASH Facilities: Infrastructure related to water supply, sanitation, and hygiene, including toilets, latrines, showers, handwashing stations, and water points. These facilities are essential for maintaining public health and hygiene. Constructed: The creation of new WASH facilities designed with features that support menstrual hygiene management from the ground up. Adapted: Modifications or upgrades to existing WASH facilities to incorporate features that support menstrual hygiene management. This can include the addition of private washing areas, disposal mechanisms for menstrual products, and improved cleanliness standards. Hygienic and Private Menstrual Hygiene Management: The ability to manage menstruation in a clean and private environment. This includes access to water, soap, safe disposal methods for menstrual products, and facilities that ensure privacy and dignity. Exclusions: Do not include hygiene promotion without hardware (handwashing, bathing facilities). This should be included under integrated community-based health promotion activities. Indicator subset. Combines to form the associated core FDRS/P&amp;B indicator.</t>
  </si>
  <si>
    <t>Number of people reached by faecal sludge management services</t>
  </si>
  <si>
    <t>FSM is the removal of human waste from latrines, transport of waste, treatment of waste and safe disposal of the by-products.</t>
  </si>
  <si>
    <t>Number of people received personal hygiene kit which include menstrual hygiene management (MHM)</t>
  </si>
  <si>
    <t>Can be in emergencies or non-emergencies. Kits which account for MHM consider menstruating girls and women. They include materials used for managing menstruation with dignity across different cultures and contexts and safe and appropriate means of disposal or hygienic care of reusable pads.- ELHRA</t>
  </si>
  <si>
    <t>AD</t>
  </si>
  <si>
    <t>Number of people reached for improved water source in emergencies</t>
  </si>
  <si>
    <t>Outbreak response and prevention in emergencies. Improved - by nature of its construction, adequately protects the water from outside contamination, in particular from faecal matter. E.g. chlorine-treated emergency water, restoration of protected sources - piped household water connection, public standpipe, borehole, protected dug well, protected spring, rainwater collection. - WHO. Exclusions: Do not include hygiene promotion without hardware (handwashing, bathing facilities). This should be included under integrated community-based health promotion activities. Do not include non-emergency activities. It is important to separate emergency response from programme WASH as the quality, durability and sustainability often differs, and those delivering activities are not always the NS.</t>
  </si>
  <si>
    <t>National Society is able to respond to outbreaks with WASH and/or treatment workforce (volunteers, staff) and materials</t>
  </si>
  <si>
    <t>Outbreaks which are responsive to WASH interventions are not limited to cholera and faecal-oral disease, but include many which are person-to-person spread where hygiene plays a role. This indicator requires that hardware interventions are included. Exclusions: Do not include hygiene promotion without hardware (handwashing, bathing facilities). This should be included under integrated community-based health promotion activities. Do not include non-emergency activities. It is important to separate emergency response from programme WASH as the quality, durability and sustainability often differs, and those delivering activities are not always the NS.</t>
  </si>
  <si>
    <t>Number of people who have completed at least one first aid course led or facilitated by the reporting National Society during the reporting year</t>
  </si>
  <si>
    <t>FDRS definition: People who have completed at least one first aid course led or facilitated by the reporting National Society. Courses can be facilitated at any level, either online or face to face.</t>
  </si>
  <si>
    <t>Number of first aid volunteers trained in at least one first aid course led, or facilitated, by the National Society</t>
  </si>
  <si>
    <t>Training may be online or face-to-face. Volunteers include e those in communities as part of community health and risk reduction programmes. Indicator subset. Combines to form the associated core FDRS/P&amp;B indicator</t>
  </si>
  <si>
    <t>Number of people in the general public and workplaces trained in at least one first aid course led, or facilitated, by the National Society</t>
  </si>
  <si>
    <t>Training may be online or face-to-face. May be for the public good or workplace first aid business. Indicator subset. Combines to form the associated core FDRS/P&amp;B indicator</t>
  </si>
  <si>
    <t>Number of active volunteers trained in first aid</t>
  </si>
  <si>
    <t>Total number of volunteers who are currently engaged and actively participating in volunteer activities in the National Society who have received training in first aid at least once (any period of time).</t>
  </si>
  <si>
    <t>Number of people reached with search and rescue activities conducted</t>
  </si>
  <si>
    <t>The total number of individuals who have been located, assisted, or rescued during SAR operations. This includes people found alive, provided with medical aid, or evacuated to safer locations. Search and Rescue (SAR) Activities: Operations carried out to locate, assist, and rescue people in distress or danger. These activities can include the following. Land search and rescue missions. Water and marine rescues. Urban search and rescue operations during disasters. Mountain or wilderness rescues. Evacuation and medical aid provision.</t>
  </si>
  <si>
    <t>Number of people who have been newly recruited during the reporting year by the National Society, for voluntary unpaid blood donation, whether or not the National Society runs its own blood donation centre or blood bank,</t>
  </si>
  <si>
    <t>This is the number of new donors recruited, not the total. *This should be specified in the definition as voluntary non-remunerated blood donation – VNRBD. Recruited for blood donation: recruited by the National Society for either its own or another agency’s service.</t>
  </si>
  <si>
    <t>Number of people who have been newly recruited during the reporting year by, the National Society, for voluntary unpaid blood donation, where the blood centre or blood bank or similar is run by the National Society,</t>
  </si>
  <si>
    <t>Run by the National Society: recruited by the NS for donation to RC own blood service. This may be entirely new donors or lapsed donors who the NS is active in recruiting to blood donation, through campaigns/ drives, events, etc. Indicator subset. Combines to form the associated core FDRS/P&amp;B indicator</t>
  </si>
  <si>
    <t>Number of people who have been newly recruited during the reporting year by, the National Society, for voluntary unpaid blood donation, where the blood centre or blood bank or similar is not run by the National Society</t>
  </si>
  <si>
    <t>Recruited for blood donation: recruited by the National Society for either its own or another agency’s service. This may be entirely new donors or lapsed donors who the NS is active in recruiting to blood donation, through campaigns/ drives, events, etc. Indicator subset. Combines to form the associated core FDRS/P&amp;B indicator</t>
  </si>
  <si>
    <t>Number of people whose attendance at a blood donation centre/blood bank or similar was facilitated by the National Society during the reporting year through transportation, escort or other assistance in attending</t>
  </si>
  <si>
    <t>This measures the NS’s work in facilitating access to voluntary non-remunerated blood donation even when centres are not operated by them, and so includes donors not included under the main FDRS indicator.</t>
  </si>
  <si>
    <t>Number of blood collection campaigns for the reporting period</t>
  </si>
  <si>
    <t>A blood campaign is considered though not limited to any activity beyond the daily schedule of services that is done with the intent of increasing blood donations.</t>
  </si>
  <si>
    <t>Number of blood units collected at blood donation centres/blood banks or similar, owned or run by the reporting National Society, which were screened for transfusion transmissible Infections</t>
  </si>
  <si>
    <t>Numbers of people transported / escorted. This indicator along with number of bags together give an indication of quality assurance and an estimate of the number of units of blood which were used in life saving procedures. A unit is typically 450-525ml depending on local regulations.</t>
  </si>
  <si>
    <t>Number of blood bags (units) collected at blood donation centres/blood banks or similar, owned or run by the reporting National Society which were discharged due to expiry or other quality standards</t>
  </si>
  <si>
    <t>Numbers of units (blood quality). This indicator along with number of units together give an indication of quality assurance and an estimate of the number of units of blood which were used in life saving procedures. A unit is typically 450-525ml depending on local regulations.</t>
  </si>
  <si>
    <t>Ambulance services</t>
  </si>
  <si>
    <t>Number of people transported by National Society’s ambulances / medical transport to health facilities</t>
  </si>
  <si>
    <t>Individuals who receive medical transportation services from the National Society’s ambulances or medical transport vehicles to reach health facilities for treatment, emergency care, or other medical services. Indicator subset. Combines to form the associated core FDRS/P&amp;B indicator</t>
  </si>
  <si>
    <t>Number of ambulances operated by the National Society to provide medical transportation and pre-hospital care</t>
  </si>
  <si>
    <t>An ambulance can be any vehicle equipped for use as patient transport</t>
  </si>
  <si>
    <t>Land, sea, rotor wing or fixed wing</t>
  </si>
  <si>
    <t>Number of people reached, assisted by the National Society, with immunisation through routine services</t>
  </si>
  <si>
    <t>Includes: BCG by girls / boys; polio by girls / boys; DP* (*single and combined diphtheria/pertussis – whooping cough - containing vaccines. DPT, DP, D. P, etc.) by girls / boys; measles** (**single and combined vaccines containing measles – MR, M, MMR, MMRV, etc) by girls / boys; also vitamin A‡ (‡often with immunisation) by girls / boys; yellow fever people all ages; OCV/cholera people all ages; SARS-CoV2 people all ages; Influenza people all ages. This includes direct administering of vaccines through NS managed services. It DOES NOT INCLUDE delivery of mass media messages or support in mobilising people for vaccination (this can be included under Campaigns).</t>
  </si>
  <si>
    <t>SAD, migrant/IDP/refugee, vaccine type</t>
  </si>
  <si>
    <t>Number of people reached through primary health care / outreach services / mobile units / clinics operated by the National Society</t>
  </si>
  <si>
    <t>Primary Health Care: Basic health services provided to individuals, including preventive, promotive, curative, and rehabilitative services. These services typically include general medical consultations, vaccinations, maternal and child health services, health education, and basic diagnostics. Outreach Services: Health services delivered outside traditional health facilities, often targeting remote or underserved populations. Outreach services can include community health worker visits, health camps, and health education sessions. Mobile Units: Mobile clinics or health units that travel to various locations to provide health services, particularly in areas lacking fixed health facilities. These units are equipped to deliver a range of medical services and may include staff such as doctors, nurses, and health educators. Clinics: Fixed health facilities operated by the National Society providing primary health care services to the community. These clinics may offer a variety of services, including general consultations, maternal and child health, and minor treatments.</t>
  </si>
  <si>
    <t>Number of consultations through primary health care rooms / outreach services / mobile units / clinics operated by the National Society</t>
  </si>
  <si>
    <t>Primary Health Care Rooms: Designated areas within health facilities operated by the National Society that provide basic health services, including general consultations, preventive care, and health education. Outreach Services: Health services delivered outside traditional health facilities, targeting remote or underserved populations. Outreach services include community health worker visits, health camps, and health education sessions. Mobile Units: Mobile clinics or health units that travel to various locations to provide health services, particularly in areas lacking fixed health facilities. These units are equipped to deliver a range of medical services and may include staff such as doctors, nurses, and health educators. Clinics: Fixed health facilities operated by the National Society providing primary health care services to the community. These clinics offer various services, including general consultations, maternal and child health care, and minor treatments.</t>
  </si>
  <si>
    <t>Percentage of children 12-23 months in health facility catchment area who have received [target vaccine]</t>
  </si>
  <si>
    <t>Nominator: number of most recent pregnancies that received four or more ANC consultations by a skilled health worker. Denominator: total number of most recent pregnancies in the catchment area in the last five years. Baseline-endline indicator. Population representative survey of experience of most senior woman of childbearing age (15-49y) in household. Child health/vaccination cards or parental recollection relating to any children aged 12-23 months (must include age and sex). [following WHO question structure]</t>
  </si>
  <si>
    <t>Number of local health facilities supported with staff, equipment and/or running costs for the provision of medical services in emergencies</t>
  </si>
  <si>
    <t>This metric is meant to capture the non ERU health facilties. It will be up to the local actor if ORPs with health care will be included though at the minimum any clinical care rendered at a fixed or mobile location not captured in another location will be captured by this indicator.</t>
  </si>
  <si>
    <t>Number of consultations through the National Society’s medical services or clinical ERU</t>
  </si>
  <si>
    <t>The World Health Organization (WHO) defines a patient visit as an encounter between a patient and a healthcare provider or healthcare facility for the purpose of receiving medical care, treatment, or consultation. This encounter typically involves the patient providing information about their medical history, current symptoms, and any relevant concerns, followed by an assessment by the healthcare provider, which may include a physical examination, diagnostic tests, and the development of a treatment plan. Patient visits for this context will be counted if the interaction occurs in either of the previously noted locations. The definition of NS medical services will be left to the NS to define. Clinical ERU will be a fixed or mobile RC/RC Emergency Clinic or Emergency Hospital. Other clinical services may exist in the future and should be included though at the time of writing these are the only clinical services that are provided as ERUs. The spirit of this definition is to be inclusive of any clinical services that meet the WHO definition and are rendered by the RC/RC movement moving forward.</t>
  </si>
  <si>
    <t>Number of people reached, assisted by ERUs / ERTs, with immunisation</t>
  </si>
  <si>
    <t>Includes: BCG by girls / boys; polio by girls / boys; DP* (*single and combined diphtheria/pertussis – whooping cough - containing vaccines. DPT, DP, D. P, etc.) by girls / boys; measles** (**single and combined vaccines containing measles – MR, M, MMR, MMRV, etc) by girls / boys; also vitamin A‡ (‡often with immunisation) by girls / boys; yellow fever people all ages; OCV/cholera people all ages; SARS-CoV2 people all ages; Influenza people all ages. This includes direct administering of vaccines through the facility. It DOES NOT INCLUDE delivery of mass media messages or support in mobilising people for vaccination (this can be included under Campaigns).</t>
  </si>
  <si>
    <t>Number of emergency health kits (IEHK) distributed</t>
  </si>
  <si>
    <t>Emergency health kits (IEHK): Pre-packaged sets of medical supplies and equipment designed to meet the immediate health needs of a population affected by emergencies. These kits typically include the following. Basic medical supplies (bandages, gauze, gloves). Medications (antibiotics, analgesics, antimalarials). Medical equipment (stethoscopes, thermometers). Reproductive health supplies. Water purification tablets</t>
  </si>
  <si>
    <t>Number of people reached through secondary and tertiary health care services operated by the National Society</t>
  </si>
  <si>
    <t>Indicator subset. Combines to form the associated core FDRS/P&amp;B indicator. Secondary Health Care Services: Medical care provided by specialists who generally do not have first contact with patients. These services include the following. Specialized outpatient clinics. Emergency and trauma care. Inpatient hospital services. Basic surgical procedures. Specialist consultations (e.g., cardiology, dermatology, orthopedics). Tertiary Health Care Services: Advanced medical care typically provided in hospitals or specialized centers, often involving complex procedures and treatments. These services include the following. Advanced surgical procedures. Intensive care units (ICUs). Specialized medical and surgical services (e.g., oncology, neurosurgery, cardiothoracic surgery). Comprehensive diagnostic services (e.g., MRI, CT scans). Rehabilitation services.</t>
  </si>
  <si>
    <t>Number of consultations through secondary and tertiary health care services operated by the National Society</t>
  </si>
  <si>
    <t>If 'people reached' is not feasible Indicator subset. Combines to form the associated core FDRS/P&amp;B indicator. Secondary Health Care Services: Medical care provided by specialists who generally do not have first contact with patients. These services include the following. Specialized outpatient clinics. Emergency and trauma care. Inpatient hospital services. Basic surgical procedures. Specialist consultations (e.g., cardiology, dermatology, orthopedics). Tertiary Health Care Services: Advanced medical care typically provided in hospitals or specialized centers, often involving complex procedures and treatments. These services include the following. Advanced surgical procedures. Intensive care units (ICUs). Specialized medical and surgical services (e.g., oncology, neurosurgery, cardiothoracic surgery). Comprehensive diagnostic services (e.g., MRI, CT scans). Rehabilitation services.</t>
  </si>
  <si>
    <t>Number of patient visits at health care facility ERUs / ERTs</t>
  </si>
  <si>
    <t>Visits</t>
  </si>
  <si>
    <t>Number of consultations through secondary health care facility Emergency Response Units / Emergency Response Teams</t>
  </si>
  <si>
    <t>This measure should be used if it is not possible to identify unique users of the service. ERUs are emergency response units - multilateral. ERTs are emergency response teams - NS.</t>
  </si>
  <si>
    <t>Number of childbirths attended by a skilled health worker in a health facility operated by the National Society</t>
  </si>
  <si>
    <t>Indicator subset. Combines to form the associated core FDRS/P&amp;B indicator. Skilled Health Worker: A healthcare professional trained and competent to manage normal deliveries and recognize, manage, or refer complications. Skilled health workers include the following. Obstetricians. Midwives. Nurses trained in midwifery.</t>
  </si>
  <si>
    <t>Number of pregnancies where postnatal or antenatal care is delivered by a skilled health worker in a health facility operated by the National Society</t>
  </si>
  <si>
    <t>Indicator subset. Combines to form the associated core FDRS/P&amp;B indicator. Skilled Health Worker: A healthcare professional trained and competent to provide maternal health services. Skilled health workers include the following. Obstetricians. Midwives. Nurses trained in midwifery. Health Facility Operated by the National Society: Medical facilities managed and run by the National Society, including hospitals, clinics, and specialized maternity centres.</t>
  </si>
  <si>
    <t>Number of pregnancies where postnatal care is delivered by a skilled health worker in a health facility operated by the National Society within 6 weeks of a delivery</t>
  </si>
  <si>
    <t>PNC is postnatal care. Indicator subset. Combines to form the associated core FDRS/P&amp;B indicator. Skilled healthcare worker: A healthcare professional who is trained and competent to manage normal deliveries and recognize, manage, or refer complications. Skilled health workers include the following. Obstetricians. Midwives. Nurses trained in midwifery.</t>
  </si>
  <si>
    <t>Disability, migrant/IDP/refugee.</t>
  </si>
  <si>
    <t>Number of women of reproductive age (15-49y) reached by reproductive and sexual health services delivered by a skilled health worker in a health facility operated by the National Society</t>
  </si>
  <si>
    <t>Reproductive health services exclude antenatal care, safe delivery and post-natal care and are: family planning counselling, prevention and appropriate treatment of infertility, prevention of unsafe abortion and the management of the consequences of abortion, treatment of reproductive tract infections, sexually transmitted diseases and other reproductive health conditions; and education, counselling, as appropriate, on human sexuality, reproductive health and responsible parenthood, services regarding HIV/AIDS, teratogenic infections and conception, breast cancer, infertility, delivery, hormone therapy, sex reassignment therapy, abortion, active discouragement of female genital mutilation (FGM). It also includes information or materials offered on any of the above. Health Facility Records: Logs and documentation from health facilities capturing the number of women receiving reproductive and sexual health services. Patient Records: Individual health records documenting the services received by women of reproductive age. Program Reports: Detailed reports from reproductive and sexual health programs and initiatives conducted by the National Society, including the number of women reached. Monitoring and Evaluation Reports: Regular reports assessing the implementation and impact of reproductive and sexual health services, including data on the number of women reached.Indicator subset. Combines to form the associated core FDRS/P&amp;B indicator</t>
  </si>
  <si>
    <t>Number of facilities operated by the National Society providing sexual and reproductive health services</t>
  </si>
  <si>
    <t>Sexual and Reproductive Health Services: A broad range of health services related to reproductive and sexual health, including the following. Family planning and contraceptive services. Prenatal and postnatal care. Screening and treatment for sexually transmitted infections (STIs). Cervical and breast cancer screenings. Sexual health education and counseling. Services related to menstrual health and hygiene. Infertility services. Services for gender-based violence survivors.</t>
  </si>
  <si>
    <t>Percentage of most recent pregnancies in last 5 years in the catchment area of the National Society health facility receiving 4 or more antenatal care consultations by a skilled health worker</t>
  </si>
  <si>
    <t>Baseline-endline recommended measure. Numerator: number of most recent pregnancies that received four or more ANC consultations by a skilled health worker. Denominator: total number of most recent pregnancies in the catchment area in the last five years. Antenatal Care (ANC) Consultations: Visits by a pregnant woman to a healthcare provider for monitoring and managing her pregnancy. These consultations typically include the following. Health assessments and screenings. Nutritional counselling. Education on pregnancy, childbirth, and postnatal care. Management of pregnancy-related complications. Skilled health workers include the following. Obstetricians. Midwives. Nurses trained in midwifery.</t>
  </si>
  <si>
    <t>Percentage of most recent pregnancies in last 5 years in the catchment area of the National Society health facility receiving a postnatal care consultation by a skilled health worker within 6 weeks of a delivery</t>
  </si>
  <si>
    <t>Numerator: pregnancies in last 5 years with PNC by skilled health worker within 6 weeks of delivery. Denominator: total pregnancies within last 5 years. Baseline-endline recommended measure. Postnatal Care (PNC) Consultation: A health check-up conducted by a healthcare provider within six weeks after the birth. This consultation typically includes the following. Assessment of the mother’s physical and emotional well-being. Monitoring of the newborn’s health and development. Guidance on breastfeeding and nutrition. Counselling on family planning and maternal health. Skilled health workers include the following. Obstetricians. Midwives. Nurses trained in midwifery.</t>
  </si>
  <si>
    <t>Percentage of women of reproductive age (15-49y either using contraception or women who want to stop or delay childbearing but are not using any)  in the catchment area of the NS health facility who were provided with (or whose male partner was provided with) a modern family planning method in the last 12 months</t>
  </si>
  <si>
    <t>Contraceptive prevalence- adapted SDG 3.7.1. Baseline-endline recommended measure. Numerator: number of women aged 15-49 years (or their male partners) who were provided with a modern family planning method. Denominator: total number of women aged 15-49 years in the catchment area who either are using contraception or want to stop or delay childbearing but are not using any method. Modern Family Planning Methods: Contraceptive methods that are considered effective and scientifically validated. These methods include the following. Oral contraceptive pills. Intrauterine devices (IUDs). Injectable contraceptives. Implants. Condoms (male and female). Sterilization (male and female). Emergency contraception. Contraceptive patches. Vaginal rings. They do NOT include abortions.</t>
  </si>
  <si>
    <t>Number people reached with clinical reproductive, maternal, newborn, and child health (RMNCH) services in emergencies</t>
  </si>
  <si>
    <t>Disability equipment and rehabilitation</t>
  </si>
  <si>
    <t>Number of people who were provided by the National Society, on loan or as a gift, at least one assistive device designed to reduce the impact of a temporary or permanent disability</t>
  </si>
  <si>
    <t>Devices may include computers, wheelchairs, hearing aids, prosthetics, safety and communications devices, etc. Indicator subset. Combines to form the associated core FDRS/P&amp;B indicator</t>
  </si>
  <si>
    <t>SAD, type of disability (Mobility, hearing problems or psychosocial disability (mental health condition)</t>
  </si>
  <si>
    <t>Number of patient visits by physical rehabilitation services</t>
  </si>
  <si>
    <t>Rehabilitation therapies may include physiotherapy, stroke management, support after amputations and accidents, prosthetics and orthotics services, speech therapy, etc. (includes survivors of UXOs unexploded ordnance, ERW explosive remnants of war, and anti-personnel or landmines). Indicator subset. Combines to form the associated core FDRS/P&amp;B indicator</t>
  </si>
  <si>
    <t>Type of disability (Mobility, hearing problems or psychosocial disability (mental health condition)</t>
  </si>
  <si>
    <t>People visits</t>
  </si>
  <si>
    <t>Nutrition</t>
  </si>
  <si>
    <t>Number of children under 5 years who have been enrolled in supplementary feeding delivered by the National Society following assessment</t>
  </si>
  <si>
    <t>Supplementary Feeding: Provision of additional food to children who are at risk of malnutrition or are already malnourished. This includes providing nutrient-rich foods or supplements to improve their nutritional intake and support their growth and development. Exclusions: Do not include general food distributions during emergencies. These are Relief, not Health. Indicator subset. Combines to form the associated core FDRS/P&amp;B indicator</t>
  </si>
  <si>
    <t>Number of children under 5 years who have been enrolled in a supplementary feeding programme of another agency following assessment by the National Society</t>
  </si>
  <si>
    <t>Supplementary Feeding Programme: Provision of additional food to children who are at risk of malnutrition or are already malnourished. This includes providing nutrient-rich foods or supplements to improve their nutritional intake and support their growth and development. Following Assessment: The Enrolment of children in the supplementary feeding program is based on a formal assessment process conducted by the National Society that identifies those who are in need of nutritional support. This assessment may include health screenings, growth monitoring, and nutritional status evaluations. Exclusions: Do not include general food distributions during emergencies. These are Relief, not Health. Indicator subset. Combines to form the associated core FDRS/P&amp;B indicator</t>
  </si>
  <si>
    <t>Number of caregivers who received guidance on psychosocial stimulation for their children</t>
  </si>
  <si>
    <t>Examples of guidance: (e.g. awareness raising on infant care practices, baby massage sessions, counselling sessions, mother-baby support groups) Caregivers: Individuals responsible for the care and upbringing of children. This includes parents, guardians, and other family members who play a primary role in a child’s daily life and development. Guidance on Psychosocial Stimulation: Information and training provided to caregivers on practices that promote the mental, emotional, and social development of children. This may include activities such as interactive play, communication, emotional support, and creating a stimulating environment. Indicator subset. Combines to form the associated core FDRS/P&amp;B indicator</t>
  </si>
  <si>
    <t>Percentage of cases of acute malnutrition identified through volunteer screenings referred for treatment</t>
  </si>
  <si>
    <t>Acute Malnutrition Cases Identified: Children who have been identified as having acute malnutrition based on specific clinical criteria during screenings conducted by volunteers. This typically includes measures such as Mid-Upper Arm Circumference (MUAC), weight-for-height Z-scores, or the presence of bilateral pitting edema. Volunteer Screenings: Screening activities conducted by trained volunteers to identify children with acute malnutrition. These screenings are typically carried out in community settings and may involve home visits, community health centers, or during local events. Referred for Treatment: The process of directing identified cases of acute malnutrition to appropriate treatment services, which may include outpatient therapeutic programs (OTPs), stabilization centers, or supplementary feeding programs. Referral involves informing caregivers about the condition, providing necessary information and guidance, and ensuring access to treatment facilities. Exclusions: Do not include general food distributions during emergencies. These are Relief, not Health. Indicator subset. Combines to form the associated core FDRS/P&amp;B indicator</t>
  </si>
  <si>
    <t>Number of people reached by National Society’s community health promotion</t>
  </si>
  <si>
    <t>Includes WASH; nutrition / breastfeeding; first aid; RMNCAH (reproductive, maternal, neonatal, child and adolescent health); specific disease health promotion (malaria, dengue, zika, HIV, tuberculosis); accidents including traffic; other community health promotion (Communities are defined as sites – villages, towns, districts, schools, workplaces, prisons, camps, slums. Health promotion can be practical communication in any form relating to these areas of risk. This is exclusive of hardware (covered under WASH or vector control or care in the community respectively). This area covers most of what is in CBHFA (community-based health and first aid). If only a sub-group of the population, this can be estimated by multiplying the population (e.g. population of 10 villages =2400) by the percentage (%) comprising that subgroup e.g. All women of child-bearing age, 26% (from the national population pyramid). 26% x 2400 = 624. Again, if covering the whole community, the community is counted ONE TIME for each year, NOT for each health promotion activity (ensuring no duplication). Exclusion: Activities with a mental health and psychosocial support focus should be reported under that indicator. Indicator subset. Combines to form the associated core FDRS/P&amp;B indicator</t>
  </si>
  <si>
    <t>Percentage of women of reproductive age (15-49y either using contraception or women who want to stop or delay childbearing but are not using any) in the community who were provided with (or whose male partner was provided with) a modern family planning method in the last 12 months</t>
  </si>
  <si>
    <t>Contraceptive prevalence- SDG 3.7.1. Baseline-endline recommended measure. CBHFA indicators (outcomes) - these were accepted by a development and consultation process as the main measures of community-based health programmes in 2011 and revised in 2013. See at base of table. Modern Family Planning Methods: Contraceptive methods that are considered effective and scientifically validated. These methods include the following. Oral contraceptive pills. Intrauterine devices (IUDs). Injectable contraceptives. Implants. Condoms (male and female). Sterilization (male and female). Emergency contraception. Contraceptive patches. Vaginal rings. They do NOT include abortions.</t>
  </si>
  <si>
    <t>Percentage of target population reached with health promotion as a response to an emergency</t>
  </si>
  <si>
    <t>Numerator: number of individuals reached by health promotion activities. Denominator: total number of individuals in the target population. Health Promotion Activities: Interventions designed to educate and inform the target population about health practices that can prevent disease and promote well-being during an emergency. These activities can include the following. Community workshops and seminars. Distribution of informational materials (flyers, brochures, posters). Radio and television broadcasts. Social media campaigns. Health education through schools and workplaces. Support groups and counseling sessions. Online webinars and virtual workshops. This measurement EXCLUDES activities with a mental health and psychosocial support focus, which should be reported under that respective sub-sector.</t>
  </si>
  <si>
    <t>Number of people reached with health promotion as a response to an emergency by community-based volunteers</t>
  </si>
  <si>
    <t>Health Promotion Activities: Interventions designed to educate and inform the target population about health practices that can prevent disease and promote well-being during an emergency. These activities can include the following. Community workshops and seminars. Distribution of informational materials (flyers, brochures, posters). Radio and television broadcasts. Social media campaigns. Health education through schools and workplaces. Support groups and counseling sessions. Online webinars and virtual workshops. This measurement EXCLUDES activities with a mental health and psychosocial support focus, which should be reported under that respective sub-sector.</t>
  </si>
  <si>
    <t>Number of community-based health and First Aid (CBHFA) volunteers active during emergency (includes first aid trained volunteers)</t>
  </si>
  <si>
    <t>Volunteers who are actively participating in emergency response activities. This includes the following. Providing first aid and basic healthcare. Assisting in health promotion and disease prevention. Supporting evacuation and shelter operations. Participating in search and rescue efforts. Distributing relief supplies and health resources.</t>
  </si>
  <si>
    <t>Number of people receiving insecticide treated net (ITN) distributed by the National Society in non-emergency situations</t>
  </si>
  <si>
    <t>Malaria. This may include activities where another agency is a lead but where RC volunteers or staff may play a supportive role as in distribution. Indicator subset. Combines to form the associated core FDRS/P&amp;B indicator</t>
  </si>
  <si>
    <t>Number of people in communities reached with vector control supported by the National Society excluding individual insecticide treated nets (ITN) for malaria</t>
  </si>
  <si>
    <t>The total number of individuals living in areas where vector control interventions (excluding ITN distribution) have been implemented within a specified period. Examples of activities: (e.g. use of larvicide in water, residual spraying, treated water jar covers, ovicidal traps, insecticide treated curtains, environmental clean-ups, etc.). This may include activities where another agency is a lead but where RC volunteers or staff may play a supportive role as in distribution. Indicator subset. Combines to form the associated core FDRS/P&amp;B indicator</t>
  </si>
  <si>
    <t>Number of volunteers trained in vector control</t>
  </si>
  <si>
    <t>Includes chemical vector control - larvicide and adulticide, non-chemical vector control including environmental assessment, environmental clean-up and larval source reduction, long life insecticide treated nets (LLIN) distribution and use, insecticide resistance testing, entomological surveillance, entomology, commodities for vector control. Excludes LLIN distribution</t>
  </si>
  <si>
    <t>Number and percentage of household members (especially children &lt;5y and pregnant women) who spent the last night under insecticide treated net (ITN)</t>
  </si>
  <si>
    <t>Number of Household Members: The total number of household members, specifically children under 5 years and pregnant women, who slept under ITN the previous night. Percentage Calculation: The proportion of household members who slept under ITN, calculated separately for the overall household, children under 5, and pregnant women.
Baseline-endline recommended measure. This indicator measures the total number and percentage of household members, particularly focusing on children under 5 years of age and pregnant women, who slept under insecticide treated nets (ITN) the previous night. ITNs are a key intervention for preventing malaria and other vector-borne diseases.</t>
  </si>
  <si>
    <t>Number and percentage</t>
  </si>
  <si>
    <t>Percentage of households aware of the causes and preventive measures for the main vector-borne disease(s) in the country</t>
  </si>
  <si>
    <t>Baseline-endline recommended measure. Numerator: Number of households aware of causes and preventive measures. Denominator: Total number of households surveyed. Survey questions will include the number (both &lt;5y and pregnant women) who stayed in the house the previous night and the number (both &lt;5y and pregnant women) who slept beneath a long life insecticide treated nets (LLINs) (for malaria context). Similarly, depending on the context, the number of people that use repellent or the number of people that effectively eliminates mosquito breeding sites.</t>
  </si>
  <si>
    <t>SAD, migrant/IDP/refugee, type of VBD</t>
  </si>
  <si>
    <t>Percentage of children under 5 years/pregnant women who receive preventive antimalarials each month</t>
  </si>
  <si>
    <t>Baseline-endline recommended measure. Indicator should be split. 1) Number of pregnant women that receive preventive antimalarials each month from National Society volunteers. 2) Number of pregnant women that receive full number of preventive treatments according to national policy from National Society volunteers. 3) Number of children under five (or other target group as applicable) that receive malaria chemoprevention each month from National Society volunteers. 4) Number of children under five (or other target group as applicable) that receive full malaria chemoprevention doses from National Society volunteers. 5) Emergency specific (MDA). Number of children under five (or other target group as applicable) that receive malaria chemoprevention.</t>
  </si>
  <si>
    <t>SAD, migrant/IDP/refugee, season (rainy/no).</t>
  </si>
  <si>
    <t>Number of people receiving insecticide treated nets (ITN) distributed</t>
  </si>
  <si>
    <t>Number of people reached with vector control in emergencies</t>
  </si>
  <si>
    <t>Includes chemical vector control - larvicide and adulticide, non-chemical vector control including environmental assessment, environmental clean-up and larval source reduction, commodities for vector control. Type of vector control provided (should be defined in categories).</t>
  </si>
  <si>
    <t>Number of people reached, assisted by National Societies, with immunisation campaigns</t>
  </si>
  <si>
    <t>Excludes routine services. Includes: BCG by girls / boys; polio by girls / boys; DP* (*single and combined diphtheria/pertussis – whooping cough - containing vaccines. DPT, DP, D. P, etc.) by girls / boys; measles** (**single and combined vaccines containing measles – MR, M, MMR, MMRV, etc) by girls / boys; also vitamin A‡ (‡often with immunisation) by girls / boys; yellow fever people all ages; OCV/cholera people all ages; SARS-CoV2 people all ages; Influenza people all ages; Ebola virus disease (support in ring vaccination) Indicator subset. Combines to form the associated core FDRS/P&amp;B indicator</t>
  </si>
  <si>
    <t>Percentage of children 12-23 months who have received the target vaccine</t>
  </si>
  <si>
    <t>Nominator: Number of children 12-23 months who received the target vaccine. Denominator: Total number of children 12-23 month. Assistance includes administering vaccines, support in logistics, mobilizing, transporting or registering potential recipients for vaccination. Assistance DOES NOT INCLUDE delivery of mass media messages. Indicator subset. Combines to form the associated core FDRS/P&amp;B indicator</t>
  </si>
  <si>
    <t>Number of persons who, due to suspected infection*, were cared for in, a health facility without isolation capabilities</t>
  </si>
  <si>
    <t>Examples of infections: *Viral haemorrhagic fevers (VHF)VHF – Ebola, Marburg – or cholera / oral rehydration points, COVID-19, etc. Indicator subset. Combines to form the associated core FDRS/P&amp;B indicator</t>
  </si>
  <si>
    <t>Number of persons who, due to suspected infection*, were cared for in, an isolation centre</t>
  </si>
  <si>
    <t>Infections: Viral hemorrhagic fevers (VHF) – Ebola, Marburg – or cholera / oral rehydration points, COVID-19, etc. For MHPSS related to epidemics, include under MHPSS Indicator subset. Combines to form the associated core FDRS/P&amp;B indicator.</t>
  </si>
  <si>
    <t>Number of people attending burials / funerals which were attended and made safer by the National Society with the purpose of reducing spread of infection of person-to-person disease</t>
  </si>
  <si>
    <t>Made Safer: Interventions implemented by the National Society to ensure that burials and funerals are conducted in a manner that minimizes the risk of disease transmission. These interventions can include the following. Educating families and communities on safe burial practices. Providing personal protective equipment (PPE) to those involved in the burial process. Ensuring proper handling and disposal of the deceased’s body. Monitoring and enforcing physical distancing measures. Disinfecting burial sites and tools. Combines to form the associated core FDRS/P&amp;B indicator</t>
  </si>
  <si>
    <t>Number of burials / funerals which were attended and made safer by the National Society with the purpose of reducing spread of infection of person-to-person disease</t>
  </si>
  <si>
    <t>Number of people with suspected viral hemorrhagic fevers (VHF) infection assisted by National Societies into isolation, observation or treatment centres</t>
  </si>
  <si>
    <t>For MHPSS related to epidemics, include under MHPSS Indicator subset. Combines to form the associated core FDRS/P&amp;B indicator</t>
  </si>
  <si>
    <t>Percentage of RC-assigned contacts successfully followed up</t>
  </si>
  <si>
    <t>Numerator: Number of contacts followed by RC volunteers per day. Denominator: Number of contacts assigned to RC for follow-up per day.</t>
  </si>
  <si>
    <t>Percentage of population with access to appropriate testing</t>
  </si>
  <si>
    <t>Numerator: The number of individuals within the population who have access to appropriate testing services. Denominator: The total number of individuals in the population. This indicator measures the proportion of the population that has access to appropriate testing services for a specified condition or disease. Appropriate testing refers to the availability and accessibility of diagnostic tests that meet clinical standards and are suitable for the detection, diagnosis, or monitoring of specific health conditions.. Baseline-endline recommended measure. For MHPSS related to epidemics, include under MHPSS Indicator subset. Combines to form the associated core FDRS/P&amp;B indicator. Baseline-endline recommended measure. For MHPSS related to epidemics, include under MHPSS Indicator subset. Combines to form the associated core FDRS/P&amp;B indicator</t>
  </si>
  <si>
    <t>This can include support to institutions (schools, prisons, colleges, workplaces), community events, household visits, or one-to-one engagement towards reducing further transmission. It does NOT include social media, online, radio, print or television whose reach cannot be meaningfully quantified.</t>
  </si>
  <si>
    <t>Percentage of target population who can recall two or more protective measures for disease being responded to</t>
  </si>
  <si>
    <t>Numerator: Number of persons in the target population who correctly identify 2 or more protective measures at the time of the survey. Denominator: Total number of persons in the target population at the time the survey was conducted. This indicator measures the proportion of the target population that can accurately recall at least two protective measures for preventing or controlling the spread of a specific disease that is currently being addressed by health interventions. This can include support to institutions (schools, prisons, colleges, workplaces), community events, household visits, or one-to-one engagement towards reducing further transmission. It does NOT include social media, online, radio, print or television who</t>
  </si>
  <si>
    <t>SAD, pregnancy (SDB), migrant/IDP/refugee</t>
  </si>
  <si>
    <t>Number of people trained in epidemic control</t>
  </si>
  <si>
    <t>Number of people reached with epidemic-related health promotion activities</t>
  </si>
  <si>
    <t>CBS alerts escalated to Health authorities within 24 hours / All CBS alerts submitted</t>
  </si>
  <si>
    <t>Percentage of safe a dignified burial (SDB) alerts which were responded to through public health action within 48 hours</t>
  </si>
  <si>
    <t>Numerator: Number of alerts - SDB; Immunization campaign; Contact tracing; etc. - responded through a public health action within 48 hours. Denominator: of all alerts raised during the reporting period. Interventions carried out by trained personnel to ensure that burials are conducted in a manner that prevents the spread of infectious diseases and respects the dignity of the deceased. Actions include proper handling of the body, use of personal protective equipment (PPE), and engagement with the deceased's family and community.</t>
  </si>
  <si>
    <t>Numerator: Number of communities where volunteers submitting reports. Denominator: Number of communities targeted by CBS</t>
  </si>
  <si>
    <t>Percentage of frontline responders with adequate access to personal protective equipment (PPE) (based on requirements for the infection risk)</t>
  </si>
  <si>
    <t>Numerator: The number of frontline responders with adequate access to PPE based on infection risk requirements. Denominator: The total number of frontline responders involved in the response activities. This indicator measures the proportion of frontline responders who have adequate access to personal protective equipment (PPE) as per the requirements for the infection risk they face. Adequate access means that responders have sufficient quantities and appropriate types of PPE to perform their duties safely.</t>
  </si>
  <si>
    <t>Percentage of deceased for which safe and dignified burials (SDB) were successfully carried out</t>
  </si>
  <si>
    <t>Numberator: Number of cases who died and received a SDB within a given time period. Denominator: Number of suspect and probable cases who died within the same time period.</t>
  </si>
  <si>
    <t>National Society has a Health and/or WASH Strategy</t>
  </si>
  <si>
    <t>Health Strategy: A formal document outlining the National Society’s approach, goals, and plans for health interventions. This strategy guides the implementation of programs and activities aimed at improving public health outcomes. WASH Strategy: A formal document detailing the National Society’s plans and initiatives for water, sanitation, and hygiene services. This strategy addresses issues such as access to clean water, sanitation facilities, and hygiene promotion to prevent disease and improve community health.</t>
  </si>
  <si>
    <t>Health, WASH, both</t>
  </si>
  <si>
    <t>National Society has a Health / WASH Strategy which references Universal Health Coverage</t>
  </si>
  <si>
    <t>Health / WASH Strategy: A documented plan or framework developed by a National Society outlining its approach, goals, and actions related to health and/or WASH. This strategy guides the organization's efforts to improve health outcomes and access to clean water, sanitation, and hygiene.</t>
  </si>
  <si>
    <t>National Society has a Health and/or WASH Strategy which references Sustainable Development</t>
  </si>
  <si>
    <t>Health Strategy: A formal document outlining the National Society’s approach, goals, and plans for health interventions. This strategy guides the implementation of programs and activities aimed at improving public health outcomes. WASH Strategy: A formal document detailing the National Society’s plans and initiatives for water, sanitation, and hygiene services. This strategy addresses issues such as access to clean water, sanitation facilities, and hygiene promotion to prevent disease and improve community health. References to Sustainable Development: The strategy includes explicit mention of sustainable development principles, goals, or frameworks, such as the Sustainable Development Goals (SDGs). This includes commitments to long-term environmental, social, and economic sustainability in health and WASH services.</t>
  </si>
  <si>
    <t>National Society is formally recognised within law or other agreements to have an auxiliary role in public health emergencies</t>
  </si>
  <si>
    <t>Formally Recognized: Acknowledged through legal frameworks, official agreements, or formal partnerships with the national government. Auxiliary Role: A supportive role where the National Society assists and collaborates with the government in responding to public health emergencies, leveraging their resources and expertise. Public Health Emergencies: Situations that pose a serious health risk to the population, requiring immediate and coordinated response efforts. These can include outbreaks of infectious diseases, natural disasters affecting health, and other crises impacting public health.</t>
  </si>
  <si>
    <t>National Society has epidemic control within its Corporate Strategy or Health Strategy</t>
  </si>
  <si>
    <t>Indicator subset. Combines to form the associated core FDRS/P&amp;B indicator. Epidemic Control: Measures and activities aimed at preventing, detecting, and responding to the spread of infectious diseases within a population. This includes surveillance, vaccination campaigns, public health education, rapid response teams, and coordination with health authorities. Corporate Strategy: The overarching strategic plan of a National Society, outlining its mission, vision, priorities, and objectives across all areas of operation, including health. Health Strategy: A specific strategic plan focusing on the health-related activities and goals of a National Society, detailing initiatives and programs aimed at improving public health outcomes. Included formally recognised within relevant documentation: National Societies and/or the IFRC are identified by name within relevant policy, laws and other documentation outlining the roles and responsibilities of relevant stakeholders with regards to national epidemic/pandemic preparedness and response frameworks, mechanisms and platforms.</t>
  </si>
  <si>
    <t>Number of litres of safe water distributed</t>
  </si>
  <si>
    <t>Safe Water: Water that meets safety standards for drinking and is free from contaminants that can cause disease. This includes treated water distributed in bottles, tanks, or via pipelines.</t>
  </si>
  <si>
    <t>National Society is partnering with organisations led by a marginalized group (eg Disabled Persons’ Organisation, LGBT+- led organisations, women’s rights-related groups and migrants or IDPs led groups)</t>
  </si>
  <si>
    <t>"Partnering" means that the NS is taking advice, guidance, collaboration or co-implementing an initiative that aims at meeting the needs of the specific group. "Led by" means that the majority of the staff are from the group whose needs are being met.</t>
  </si>
  <si>
    <t>by type of organisation collaborated with (disability, women’s rights, migrants etc)</t>
  </si>
  <si>
    <t>National Society has standalone, integrated or mainstreamed PGI programming that meets agreed minimum standards</t>
  </si>
  <si>
    <t>“Trafficking in persons” means “the recruitment, transportation, transfer, harbouring or receipt of persons, by means of the threat, use of force or other forms of coercion, of abduction, of fraud, of deception, of abuse of power or of a position of vulnerability or of the giving or receiving of payments or benefits to achieve the consent of a person having control over another person for the purposes of exploitation.” “Agreed minimum standards” for emergency response refers to the provisions for sexual and gender minorities elaborated in the PGI minimum standards. For other contexts, it refers to the Guidance for European Red Cross National Societies on Assistance and Protection to Victims of Human Trafficking. “Mainstreamed” refers to ensuring that any programme, project, operation or service implemented by a National Society is designed to consider issues of Dignity, Access, Participation and Safety through a comprehensive PGI analysis as they relate to the needs and welfare of people at risk of or who have experienced trafficking. “Integrated” refers to work done by trafficking in persons specialists that is embedded into other programmes. “Standalone” refers to work done by trafficking in persons specialists that is carried out as part of dedicated anti-trafficking programme.</t>
  </si>
  <si>
    <t>by type of programme (trafficking in persons, child protection, disability inclusion, protection and inclusion of Sexual and Gender Minorities, child protection, protection and inclusion of racialised people, ethnic and religious minorities)</t>
  </si>
  <si>
    <t>Percentage of unaccompanied and separated children (UASC) who have disclosed (or suspected to be at risk of) a protection violation that have been referred to further servces using and established referral pathway</t>
  </si>
  <si>
    <t>“Unaccompanied children” (also termed “unaccompanied minors”): Children who have been separated from both parents and other relatives and are not being cared for by an adult who, by law or custom, is responsible for doing so. “Separated children”: Children separated from both parents, or from their previous legal or customary primary caregiver, but not necessarily from other relatives. These may, therefore, include children accompanied by other adult family members. (Inter-agency Working Group on Unaccompanied and Separated Children. (2004). Inter-agency Guiding Principles on Unaccompanied and Separated Children. https://www.icrc.org/en/publication/1101-inter-agency-guiding-principles-unaccompanied-and-separated-children.) “Referral” is “the process of directing a client to another service provider because s/he requires help that is beyond the expertise or scope of work of the National Society or IFRC. A referral can be made to a variety of services, for example health, psychosocial activities, protection services, nutrition, education, shelter, material or financial assistance, physical rehabilitation, community centre and/ or a social service agency.” (from the Guidance on basic referral mapping and case management). "safe referral mechanism” referes to referral mechanisms that meet the standards described in the IFRC guidance Guidance on basic referral mapping and case management and following the criteria in the Quality assurance checklist.</t>
  </si>
  <si>
    <t>Percentage of unaccompanied and separated children (UASC) for whom access to essential services (nutritional support, education, medical health care, MHPSS and/or legal services) is provided</t>
  </si>
  <si>
    <t>“Unaccompanied children” (also termed “unaccompanied minors”): Children who have been separated from both parents and other relatives and are not being cared for by an adult who, by law or custom, is responsible for doing so. “Separated children”: Children separated from both parents, or from their previous legal or customary primary caregiver, but not necessarily from other relatives. These may, therefore, include children accompanied by other adult family members. (Inter-agency Working Group on Unaccompanied and Separated Children. (2004). Inter-agency Guiding Principles on Unaccompanied and Separated Children. https://www.icrc.org/en/publication/1101-inter-agency-guiding-principles-unaccompanied-and-separated-children .) “Essential services”: typically refers to nutritional support, education, medical health care, MHPSS and/or legal services but may include othere services depending on the context.</t>
  </si>
  <si>
    <t>Migration</t>
  </si>
  <si>
    <t>Migration (assistance)</t>
  </si>
  <si>
    <t>Number of people reached by social cohesion activities to improve relations between migrants , internally displaced people and host communities</t>
  </si>
  <si>
    <t>Social cohesion refers to the strength of relationships and the sense of solidarity among members of a community aimed at encouraging dialogue and interaction between migrants and host communities and supporting host communities in receiving migrants. Examples include the following. Community dialogue: Facilitated discussions and forums where migrants, displaced people, and host community members can share experiences, express concerns, and work towards mutual understanding and cooperation. Cultural events: Festivals, exhibitions, and performances that celebrate cultural diversity and encourage interaction between different community groups. Sports and recreational activities: Joint sports events, games, and recreational activities that bring together migrants and host community members. Educational programs: Workshops and seminars focusing on cultural sensitivity, conflict resolution, and the benefits of diversity. Volunteer initiatives: Collaborative projects where migrants and host community members work together on community service and development initiatives.</t>
  </si>
  <si>
    <t>Number of people reached through humanitarian service points (migrants, internally displaced persons and host communities) with humanitarian assistance and/or protection services</t>
  </si>
  <si>
    <t>For this indicator, please provide data on the number of people on the move transiting or moving along migration routes (within and between countries of origin, transit, and destination) who were provided with humanitarian services including through HSP. Please do not include data on the number of refugees, asylum seekers, or internally displaced people living longer-term in camps or settlements who were provided with humanitarian services. 
Humanitarian services offer a variety of support services aimed at addressing the diverse needs of vulnerable population (people on the move, people displaced because a crisis or people from the host community where migrants and IDPs are displaced or passing through), including but not limited to food, first aid, health care, mental health, psychosocial support, relief (essential household items), cash and vouchers, information and accompaniment, connectivity (wifi, phone cards), shelter/accommodation, water, sanitation and hygiene promotion (WASH), transportation, evacuation, safe referrals to service providers, including government, UNHCR, UNICEF, restoring family links (RFL), legal aid providers, NGOs etc, child protection activities, anti-trafficking activities and Immigration detention related activities. “Protection” refers to any actions covered under the PGI policy – protection from violence, discrimination or exclusion.</t>
  </si>
  <si>
    <t>Number of specific advocacy representations made towards meeting the needs of migrants</t>
  </si>
  <si>
    <t>Specific advocacy representation refers to any Red Cross Red Crescent attendance or participation in global, regional, national or local level relevant forums to raise needs of migrants.</t>
  </si>
  <si>
    <t>Number of people offered international protection within the specifical legal frameworks for displacement and migration</t>
  </si>
  <si>
    <t>‘Protection within the specifical legal frameworks for disaplacement and migration includes legal assistance, litigation, support for right to stay or tenure, etc. Other forms of protection such as gender and child protection should be recorded under the general “Protection” measures included in other migration indicators mentioning “protection and assistance”, and would include any protection fitting under the PGI policy – protection from violence, discrimination and exclusion.</t>
  </si>
  <si>
    <t>Number of staff and volunteers trained in Migration &amp; Displacement</t>
  </si>
  <si>
    <t>Training in migration &amp; displacement may cover the following topics (even if it is not an exhaust list); migration dynamics; displacement issues; legal and policy frameworks; protection and human rights; cultural competency; health services; psychosocial support; data collection and management; crisis response.</t>
  </si>
  <si>
    <t>Training</t>
  </si>
  <si>
    <t>Migration (NS capacity)</t>
  </si>
  <si>
    <t>National Society has established Humanitarian Service Points along migratory routes</t>
  </si>
  <si>
    <t>National Society implements programs to support migrants and/or displaced persons</t>
  </si>
  <si>
    <t>Programs to Support Migrants and Displaced Persons: programs specifically targeting migrants and displaced persons and providing the services that may include health services, shelter and housing, legal assistance, psychosocial support, livelihood support and integration programs.</t>
  </si>
  <si>
    <t>National Society is impacted by large scale population movements and has a preparedness and response plan in place</t>
  </si>
  <si>
    <t>Preparedness and Response Plan сomponents should include: risk assessment; resource allocation; coordination mechanisms; training and capacity building; communication strategies; and contingency plans.</t>
  </si>
  <si>
    <t>National Society has clear or strengthened auxiliary role in situations of migration and displacement</t>
  </si>
  <si>
    <t>A clear auxiliary role in situations of migration or displacement may be reflected in laws, policies, MOUs or specific agreements, while a strengthened auxiliary role may include new or revised laws, policies, MOUs or agreements with relevant authorities addressing the scope of migration or displacement activities or operationally carrying out new migration activities.</t>
  </si>
  <si>
    <t>Number of migrants and displaced persons reached with services for assistance and protection</t>
  </si>
  <si>
    <t>National Society has undertaken any advocacy, dialogues, educational or communication initiatives to change the legal, policy, or operational environment to better assist and protect people on the move</t>
  </si>
  <si>
    <t>National Society has undertaken any data collection, research, analysis or other information management initiatives to better assist and protect people on the move</t>
  </si>
  <si>
    <t>Number of people in host communities along migration routes who are provided with humanitarian services (assistance, protection, or both)</t>
  </si>
  <si>
    <t>Humanitarian services offer a variety of support services aimed at addressing the diverse needs of vulnerable population (people on the move, people displaced because a crisis or people from the host community where migrants and IDPs are displaced or passing through), including but not limited to food, first aid, health care, mental health, psychosocial support, relief (essential household items), cash and vouchers, information and accompaniment, connectivity (wifi, phone cards), shelter/accommodation, water, sanitation and hygiene promotion (WASH), transportation, evacuation, safe referrals to service providers, including government, UNHCR, UNICEF, restoring family links (RFL), legal aid providers, NGOs etc, child protection activities, anti-trafficking activities and Immigration detention related activities. “Protection” refers to any actions covered under the PGI policy – protection from violence, discrimination or exclusion. QUESTIONS: How many people in host communities living along migration routes were provided with humanitarian services (assistance, protection, or both)?</t>
  </si>
  <si>
    <t>Number of staff and volunteers trained on assisting or protecting people on the move along migration routes</t>
  </si>
  <si>
    <t>Training may cover different topics on migration and displacement or themes such as HSPs, PGI, CEA, advocacy and HD, IM, return and reintegration programming, etc., as they relate to migration and displacement contexts. The list of training is not intended to be exhaustive. What matters is that there is some relationship between the topic of training and the ability to assist or protect people on the move along migration routes. “Protecting” refers to any actions covered under the PGI policy – protection from violence, discrimination or exclusion (rather than limited to legal protection of refugees based on migration and displacement-related legislation). QUESTION: How many staff and volunteers were trained on assisting and protecting people on the move?</t>
  </si>
  <si>
    <t>National Society has undertaken any coordination, collaboration or cooperative activities to better assist and protect people on the move along migration routes</t>
  </si>
  <si>
    <t>Such efforts might include the following. New or strengthened cross-border initiatives or activities with Federation (or Movement) actors. Such initiatives may relate to information sharing, joined up activities, joint advocacy, peer-exchanges, etc. New or strengthened within country initiatives or activities with Federation (or Movement) actors. Such initiatives may relate to information sharing between branches or between headquarters and branches, lessons learned initiatives between branches located along migration routes, national level advocacy drawing on evidence from multiple branches along migration routes etc. New or strengthened engagement in relevant government or inter-agency coordination mechanisms. Examples include participating in government coordination mechanisms or inter-agency working groups related to people on the move or humanitarian assistance to such populations. New or strengthened partnerships with non-Movement actors. Such actors may include UNHCR, IOM, and other intergovernmental or civil society working with people on the move.</t>
  </si>
  <si>
    <t>Migrants supported with employment activities</t>
  </si>
  <si>
    <t>Employment Activities: Support services and programs aimed at helping migrants gain employment. These can include job placement, vocational training, skills development, and employment counseling.</t>
  </si>
  <si>
    <t>National Society is running, or has presence in, reception centres for migrants</t>
  </si>
  <si>
    <t>National Society has undertaken any other activities to strengthen its capacity to assist and protect people on the move along migration routes</t>
  </si>
  <si>
    <t>Types of activities to strengthen capacity include training and capacity building, resource development, partnerships and collaboration, infrastructure improvements and technology and information systems.</t>
  </si>
  <si>
    <t>Number of people who have returned to the country and have been supported with immediate assistance and protection upon initial return</t>
  </si>
  <si>
    <t>Immediate Assistance: Support provided promptly upon arrival, such as food, water, temporary shelter, medical services, or transportation, and other. Protection Services: Efforts to safeguard the rights and dignity of returnees, such as legal aid, psychosocial support, or protection against violence and exploitation.</t>
  </si>
  <si>
    <t>SAD, type of support, direct/referral</t>
  </si>
  <si>
    <t>Number of (temporary) safe spaces established or operated by the National Society for the purpose of learning, psychosocial support or recreation</t>
  </si>
  <si>
    <t>“(Temporary) safe spaces” include, but are not limited to, child-friendly spaces and transitional learning spaces. These are designated areas created or managed by National Society that provide a secure and supportive environment. They can be set up in various locations such as community centers, tents, schools, or other structures, often in response to crises where regular facilities are unavailable or unsafe.</t>
  </si>
  <si>
    <t>Number of people with access to (temporary) safe spaces established or operated by the National Society for the purpose of learning, psychosocial support or recreation</t>
  </si>
  <si>
    <t>Education</t>
  </si>
  <si>
    <t>Number of National Society branches with education programming</t>
  </si>
  <si>
    <t>Type of education-related work (i.e., delivery/provision, access/continuity)</t>
  </si>
  <si>
    <t>Number of methods used to enable communities to participate in planning and managing services, programmes and operations</t>
  </si>
  <si>
    <t>Number of different methods / approaches used to enable community members, groups and representatives to actively participate in designing, planning and implementing NS services, programmes and operations. Methods / approaches must be two-way i.e., community members are asked to share their input on service, programme or operation design, plans and implementation - for example outcomes, activities, roles, responsibilities, timeline, preferred community engagement approaches, selection criteria, targeting and distribution processes, construction location and design, changes, delays, challenges, feedback issues, closure and exit. This could include working through community or project committees, community meetings with key representatives, community planning workshops, focus group discussions, town hall meetings, human-centred or co-design approaches etc. Participation methods should consult a diverse range of community members, not only community leaders. Indicator used to track if we are offering opportunities for communities to participate in making decisions about services, programmes and operations.</t>
  </si>
  <si>
    <t>Percentage of people surveyed who trust the organisation to put the people it supports and their needs first, above anything else</t>
  </si>
  <si>
    <t>Question: Do you think [insert NS name] puts the people it supports and their needs first, above anything else? a. Yes completely b. Mostly yes c. Not so much d. Not at all e. Don’t know. Percentage of all people surveyed who answer yes completely or mostly yes to the survey question. Indicator is a measure of humanity / goodwill value within the Community Trust Index and can be used as a standalone question if full Trust Index is not being implemented yet.</t>
  </si>
  <si>
    <t>Percentage of people surveyed who say they trust the information and services provided by the organisation (option to add about climate, early warning, health, hygiene, disaster risk reduction etc)</t>
  </si>
  <si>
    <t>Percentage of all people surveyed who answer yes completely or mostly yes to the survey question. Do you trust the information and services provided by &lt;insert name of National Society&gt; about…(list issues being tackled)? If not, why not? 5-point Likert scale. 1=Not at all, 2=Not very much, 3=Somewhat, 4=Mostly yes, 5=Yes completely. Indicator helps to track levels of community trust in the services and information provided by Movement partners.</t>
  </si>
  <si>
    <t>Percentage of people surveyed who report they know how to provide feedback about the organisation/programme/operation (delete as appropriate)</t>
  </si>
  <si>
    <t>Percentage of all people surveyed who answer yes to the survey question. Indicator can be used to track if people are aware of our feedback mechanisms and how to use them. Do you know how to share suggestions, comments, questions or complaints with &lt;insert name of National Society&gt;? Resonses – Yes/No</t>
  </si>
  <si>
    <t>Number of staff, volunteers and leadership trained on community engagement and accountability</t>
  </si>
  <si>
    <t>Number of both staff and volunteers who have attended any CEA training of at least 4 hours long i.e., foundation training, CEA in emergencies, branch level training, RCCE training. Indicator helps to track if Movement partners are investing in strengthening the capacity of their staff and volunteers in CEA approaches.</t>
  </si>
  <si>
    <t>SAD &amp; staff, volunteers and leadership</t>
  </si>
  <si>
    <t>Number of people receiving any form of education support provided by the National Society</t>
  </si>
  <si>
    <t>‘Education support’ includes homework assistance, remedial or catch-up classes, language classes, (functional) literacy or numeracy classes, schooling support for specific needs, etc.</t>
  </si>
  <si>
    <t>Number of people able to travel to/from schools or other educational spaces through the National Society's assistance (including vouchers)</t>
  </si>
  <si>
    <t>Number of teachers or and other education personnel (incl volunteer facilitators) trained by the National Society</t>
  </si>
  <si>
    <t>Teachers or other education personnel include professional teachers, volunteer/incentive teachers, non-professional community facilitators, education authorities and administrators (e.g., headmasters), school counsellors/psychologists, education assistants, school supervisors/monitors, etc. “Trained by National Society” = who participated in a training course of any duration delivered by IFRC or National Society staff or volunteers on any relevant topic (e.g., teaching and learning approaches, first aid and/or psychological first aid, safety behaviours, early warning or early action protocols, contingency or evacuation plans, distance learning/e-learning support, inclusive/adapted services, etc.)</t>
  </si>
  <si>
    <t>SAD, profession (i.e., volunteer facilitator, teacher, education administration, other)</t>
  </si>
  <si>
    <t>SAD, profession (i.e., volunteer facilitator, teacher, education administration, other), training topic if appropriate (i.e., climate and environmental change, risk reduction, emergency preparedness/anticipatory action, other)</t>
  </si>
  <si>
    <t>Number of teachers or other education personnel trained on first aid, health, water, sanitation or hygiene related matters</t>
  </si>
  <si>
    <t>SAD, profession (i.e., volunteer facilitator, teacher, education administration, other), training topic (i.e., first aid, health, WASH)</t>
  </si>
  <si>
    <t>Number of teachers and education personnel (incl volunteer facilitators) trained on safeguarding, protection, gender or inclusion (PGI) in affected areas</t>
  </si>
  <si>
    <t>SAD, profession (i.e., volunteer facilitator, teacher, education administration, other).</t>
  </si>
  <si>
    <t>Number of people receiving hygiene items or packages distributed in schools or other educational spaces</t>
  </si>
  <si>
    <t>“People” include, but is not limited to, children, adolescents or young adults, students, teachers or other education personnel (including professional teachers, volunteer/incentive teachers, non-professional community facilitators, education authorities or administrators (e.g., headmasters), school counsellors/psychologists, education assistants, school supervisors/monitors, etc.). “Hygiene items or packages” comprise, but is not limited to, dignity kits, disinfection items, soap, toothbrush or other personal hygiene items (including gender-specific ones). “Schools”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t>
  </si>
  <si>
    <t>Number of damaged or occupied schools or other educational spaces subsequently rehabilitated and reopened</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</si>
  <si>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”Occupied” includes use for military or election purposes, as temporary evacuation or accommodation centre, quarantine or medical treatment centre, etc. “Reopened” means continuous learning sessions are being conducted in their own designated spaces within the school or other educational space.</t>
  </si>
  <si>
    <t>Educational level (i.e., pre-primary, primary, lower secondary, upper secondary, tertiary, other)</t>
  </si>
  <si>
    <t>Number of schools or other educational spaces constructed or established, rehabilitated or improved</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</si>
  <si>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“Improved” includes security, safety or emergency-related considerations (e.g., equipment like fire extinguishers or first aid kits, emergency provisions like blankets, water or food, etc.), adaptations to facilitate access and use for people living with disabilities, environmental/greening considerations, etc.</t>
  </si>
  <si>
    <t>Number of schools or other educational spaces provided with a power source</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</si>
  <si>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t>
  </si>
  <si>
    <t>Number of people with access to schools or other educational spaces constructed or established, rehabilitated or improved</t>
  </si>
  <si>
    <t>“People” include, but is not limited to, children, adolescents, young adults, students, teachers or other education personnel (including professional teachers, volunteer/incentive teachers, non-professional community facilitators, education authorities or administrators (e.g., headmasters), school counsellors/psychologists, education assistants, school supervisors/monitors, etc.). “Schools”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t>
  </si>
  <si>
    <t>Number of schools or other educational spaces used as temporary evacuation or accommodation centres or for other purposes than education</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</si>
  <si>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“Other purposes than education” include quarantine, medical treatment, elections, etc.</t>
  </si>
  <si>
    <t>Number of schools or other educational spaces used as temporary evacuation or accommodation centres or for other purposes than education, which were returned in a useable state or improved state</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</si>
  <si>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“Other purposes than education” include quarantine, medical treatment, elections, etc.</t>
  </si>
  <si>
    <t>Number of educational facilities or learning spaces provided with hygiene non-food items or dignity kits in affected areas</t>
  </si>
  <si>
    <t>Hygiene non-food items (NFIs): Any of the following items. Soap, hand sanitizer, toothpaste, toothbrushes, sanitary pads, menstrual hygiene products, towels, and other personal hygiene products. Dignity Kits: Kits that include essential hygiene items, often tailored to meet the specific needs of women and girls, such as menstrual hygiene products, underwear, and culturally appropriate clothing items.</t>
  </si>
  <si>
    <t>Number of schools or other educational spaces in which National Society distributes a daily meal, snack or take-away food ration</t>
  </si>
  <si>
    <t>Number of people receiving a daily meal, snack or take-away food ration in schools or other educational spaces</t>
  </si>
  <si>
    <t>Number of people provided or supported with formal or informal technical, vocational or professional education or training opportunities</t>
  </si>
  <si>
    <t>“Technical and vocational education and training” comprise education, training and skills development opportunities relating to a wide range of occupational fields, production, services and livelihoods (e.g., agriculture, construction, aesthetics, transport, textile, finance, hotel trade or restaurant industries). It is often mainly designed for learners to develop the practical skills, know-how and understanding necessary to directly enter into a particular occupation or trade (or class of occupations or trades). It can take place at secondary, post-secondary and tertiary levels. It generally includes work-based learning and continuing training and professional development which may lead to labour-market relevant qualifications recognized by the national competent authority (e.g., Ministry of Education, employers’ associations). It can also include the development of (functional) literacy or numeracy skills or other transversal skills (e.g., interpersonal skills, life skills, etc.).</t>
  </si>
  <si>
    <t>Number of people provided or supported with functional literacy or numeracy classes or any other form of support to facilitate employment/self-employment, vocational training, or formal education</t>
  </si>
  <si>
    <t>‘Other forms of support’ include consultation, resume support, coaching, transversal or other specific skills training. ‘Functional literacy and numeracy’ refer to the capacity of a person to use basic literacy and numeracy required for the effective functioning of economic activities of her or his household, group and/or community.</t>
  </si>
  <si>
    <t>If informal, these are discrete continuous sites which require travel between them. If formally recognised, then they are identified as such by name or number by administrative authorities and should be the lowest in the administrative hierarchy (such as village, commune, camp zone).</t>
  </si>
  <si>
    <t>Percentage of surveyed affected people who feel their opinion is taken into account in decisions about services/programmes/operations (choose most appropriate word depending on context)</t>
  </si>
  <si>
    <t>Percentage of all people surveyed who answer yes completely or mostly yes to the survey question. Indicator tracks if people feel they are able to influence decision-making. 
Question: Does the &lt;insert name of National Society&gt; take your opinion into account when providing support? 5-point Likert scale. 1=Not at all, 2=Not very much, 3=Somewhat, 4=Mostly yes, 5=Yes completely. This indicator refers to individuals who (1) have received services from the National Society in the reporting period and (2) who feel they were able to have a say in the support they receive. A baseline perception survey should be conducted among communities targeted by the National Society / programme / operation, and follow-up survey should be conducted periodically. Take the average those responding in surveys in the affirmative (“Yes completely”, “Mostly yes”).</t>
  </si>
  <si>
    <t>Number of schools or other educational spaces in which National Society's staff or volunteers carry out educational interventions</t>
  </si>
  <si>
    <t>Number of schools or other educational spaces in which National Society's programming takes place</t>
  </si>
  <si>
    <t>Educational level (i.e., pre-primary, primary, lower secondary, upper secondary, tertiary, other), type of intervention (i.e., construction/renovation, feeding programme, in-kind distribution (NFI), CVA, foundational/functional learning provision/support,</t>
  </si>
  <si>
    <t>National Society has a signed agreement with education authority or other relevant authorities or stakeholders in education</t>
  </si>
  <si>
    <t>“Education authority” can be national or local such as the Ministry of Education, school headmasters or management/direction personnel of other educational spaces. “Other authorities” include Ministries of Health, Disaster Management, Labour, Family and Social Affairs, Environment and Protection, Youth and Sport. ”Stakeholders” include UN agencies (e.g., UNESCO, UNICEF, UNHCR), (I)NGOs, donors, foundations, private companies, academic institutions.</t>
  </si>
  <si>
    <t>Type of partner (i.e., education authority, other authorities, education stakeholders)</t>
  </si>
  <si>
    <t>Number of community engagement and accountability coordination forums attended</t>
  </si>
  <si>
    <t>Includes any internal and external CEA, AAP coordination meetings or working groups. Indicator used to track Movement member engagement in internal coordination and external interagency coordination. A minimum target for Movement member to be considered as engaging in internal or external coordination will be set to aggregate the number of organisations engaging in internal and external CEA coordination globally.</t>
  </si>
  <si>
    <t>Internal (Movement) / external</t>
  </si>
  <si>
    <t>Meetings</t>
  </si>
  <si>
    <t>National Society has community engagement and accountability integrated in its strategy or plan with clear goals, designated CEA budget lines, and key performance indicators</t>
  </si>
  <si>
    <t>The organisational-wide strategy or annual plan must include CEA narrative, activities, budget and monitoring indicators. Can be aggregated for region and global level. Indicator helps to track the number of Movement members who have institutionalized CEA by integrating it in organisation-wide strategy and plans.</t>
  </si>
  <si>
    <t>Number of people reached by the National Society's educational programmes</t>
  </si>
  <si>
    <t>Number of people whose access to education is facilitated through National Society's programming</t>
  </si>
  <si>
    <t>Type of intervention (i.e., construction/renovation, feeding programme, in-kind distribution (NFI), CVA, foundational/functional learning provision/support, vocational/professional education provision/support, MHPSS, transportation, documents’ tracing</t>
  </si>
  <si>
    <t>National Society has a Community Engagement and Accountability policy, strategy or plan</t>
  </si>
  <si>
    <t>Number of opportunities for communities to participate in planning and managing the programme/operation (eg, number of community committee meetings, planning workshops, focus group discussions, town hall meetings etc)</t>
  </si>
  <si>
    <t>Includes any meeting with community members, groups and representatives where they are asked to share their input on programme/operation plans and implementation - for example outcomes, activities, roles, responsibilities, timeline, preferred community engagement approaches, selection criteria, targeting and distribution processes, construction location and design, changes, delays, challenges, feedback issues, closure and exit. Meetings should consult a diverse range of community members, not only community leaders. Indicator used to track if we are offering opportunities for communities to participate in making decisions about programmes and operations.</t>
  </si>
  <si>
    <t>Percentage of operational strategy budget allocated to community engagement and accountability</t>
  </si>
  <si>
    <t>Percentage of all operational strategies published within one calendar year which include CEA activities and corresponding budget lines, including DREFs and Appeals. To track how many operations include adequate funding for CEA activities and budget each year - as a measure of integration.</t>
  </si>
  <si>
    <t>Percentage of people surveyed who feel the National Society’s support/services meets their most important needs/provides useful support</t>
  </si>
  <si>
    <t>Percentage of all people surveyed who answer yes completely or mostly yes to the survey question. Question can be worded slightly differently depending on the context - i.e., 'support meets their most important needs' for emergency response and 'services provides useful support' for non-emergency work. Indicator can help to track if Movement members understand and meet peoples' needs and provide useful support through programmes, operations and services. Question: Does the support/services you receive from the &lt;insert name of National Society&gt; currently cover your most important needs/provide useful support? If not, what needs are not being covered? 5-point Likert scale. 1=Not at all, 2=Not very much, 3=Somewhat, 4=Mostly yes, 5=Yes completely. 
Follow up question open ended.</t>
  </si>
  <si>
    <t>SAD by programmatic sector / programmatic service</t>
  </si>
  <si>
    <t>Percentage of surveyed people who feel the organisation/programme/operation has communicated well about plans and activities</t>
  </si>
  <si>
    <t>Question: Do you feel informed about the kind of support available to you from the &lt;insert name of National Society&gt;? 5-point Likert scale. 1=Not at all, 2=Not very much, 3=Somewhat, 4=Mostly yes, 5=Yes completely. Percentage of all people surveyed who answer "yes completely" or "mostly yes" to the survey question. Indicator used to track the effectiveness and transparency of our communication with communities about our organisations and work.</t>
  </si>
  <si>
    <t>Percentage of people surveyed who feel treated with respect by the organisation's/programme's/operation's staff and volunteers</t>
  </si>
  <si>
    <t>Question: Do staff and volunteers from the &lt;insert name of National Society&gt; treat you with respect? 5-point Likert scale. 1=Not at all, 2=Not very much, 3=Somewhat, 4=Mostly yes, 5=Yes completely. Percentage of all people surveyed who answer yes completely or mostly yes to the survey question. Indicator used to track if CEA capacity strengthening measures, especially through trainings, are having an impact at the community level.</t>
  </si>
  <si>
    <t>Number of schools or other educational spaces constructed or established, rehabilitated or improved that comply with safe site selection, design and construction regulations (when in place) or international standards</t>
  </si>
  <si>
    <t>NS disaster management capacity</t>
  </si>
  <si>
    <t>National Society has strengthened its security systems and improved the inclusion of security activities in preparedness, contingency and response plans</t>
  </si>
  <si>
    <t>Strengthened refers to the enhancement and improvement of existing security systems to a higher level of robustness, effectiveness, and resilience. This involves implementing new measures, upgrading current protocols, increasing resources, and ensuring that the systems are more comprehensive and capable of addressing potential security risks.Improved inclusion refers to the systematic and thorough integration of security activities and considerations into the National Society’s preparedness, contingency, and response plans. This means that security is no longer an afterthought but a fundamental part of all stages of planning and operations.</t>
  </si>
  <si>
    <t>Percentage of volunteers provided with equipment for protection, safety and support appropriate to the emergency</t>
  </si>
  <si>
    <t>Protection Equipment: Gear provided to volunteers to ensure their physical safety, such as helmets, gloves, masks, and protective clothing. Safety Equipment: Items that ensure volunteers can operate safely in hazardous environments, such as first aid kits, reflective vests, and emergency communication devices. Support Equipment: Tools and resources that aid volunteers in performing their tasks effectively, including water purification tablets, flashlights, and multi-tools. Appropriateness: Suitability of the equipment for the specific type of emergency and the conditions volunteers will face.</t>
  </si>
  <si>
    <t>National Society is part of its national government’s disaster response management (DRM) plans</t>
  </si>
  <si>
    <t>Official Recognition: Formal acknowledgment of the National Society in the national DRM plans. Defined Roles and Responsibilities: Clear specification of the National Society’s roles and responsibilities within the national DRM plans. Participation in Planning: Active involvement of the National Society in the development and revision of national DRM plans.</t>
  </si>
  <si>
    <t>National Society has an active coordination mechanism for operations</t>
  </si>
  <si>
    <t>Coordination Structure: The presence of a defined structure or committee responsible for coordination.</t>
  </si>
  <si>
    <t>National Society has National Disaster Response teams trained and systems in place for their management</t>
  </si>
  <si>
    <t>Training Programs: Availability and completion of relevant training programs for response teams. Management Systems: Established systems for managing disaster response operations. Standard Operating Procedures (SOPs): Documented procedures for disaster response.</t>
  </si>
  <si>
    <t>National Society's staff received training on disaster law and legislative advocacy</t>
  </si>
  <si>
    <t>Training on disaster law: Formal training focused on the legal principles and frameworks that govern international and national disaster response and preparedness, including understanding specific laws that impact humanitarian actions during disasters. Legislative advocacy: Training that equips staff with skills and knowledge to advocate for the creation, amendment, or repeal of laws to improve disaster response and management, enhancing the legal environment for effective humanitarian aid.</t>
  </si>
  <si>
    <t>Disaster law and legal frameworks</t>
  </si>
  <si>
    <t>Disaster Law</t>
  </si>
  <si>
    <t>New legal instruments: These include laws, regulations, decrees, policies, or other formal legal documents that have been officially enacted by governmental bodies. Formally recognize the National Society's auxiliary role: These legal instruments explicitly mention and establish the role of National Societies as key partners in disaster risk management and climate adaptation efforts, detailing their responsibilities, rights, and the scope of their involvement. Disaster Risk Management and climate adaptation: Areas of involvement that might be recognized include planning and executing disaster preparedness programs, participating in emergency response and recovery, contributing to climate resilience strategies, and influencing policies related to climate change mitigation and adaptation.</t>
  </si>
  <si>
    <t>Coordination and cooperation</t>
  </si>
  <si>
    <t>Membership coordination</t>
  </si>
  <si>
    <t>National Society has a membership coordination mechanism is in place</t>
  </si>
  <si>
    <t>Membership coordination mechanism is defined through different coordination platforms (strategic, operational and technical) with the HNS, PNS and IFRC to ensure a coordinated approach in the country.</t>
  </si>
  <si>
    <t>National Society uses a Federation-wide approach for planning, monitoring and reporting the impact of the IFRC network</t>
  </si>
  <si>
    <t>Federation-wide approach: development of Unified plan and/or a Federation-wide Emergency Appeal.</t>
  </si>
  <si>
    <t>National Society is partnering with more than two IFRC members and is implementing at least one form of shared leadership model</t>
  </si>
  <si>
    <t>Shared leadership models depend on the HNS, partners and context, and range from joint needs analysis, joint planning to joint implementation where for example a partner, in agreement with the HNS, is designated an implementation or coordination role for a specific thematic sector.</t>
  </si>
  <si>
    <t>Movement cooperation</t>
  </si>
  <si>
    <t>National Society is engaged in the SMCC 20 process at either strategic or operational level</t>
  </si>
  <si>
    <t>Engaged in the SMCC 2.0 process: Participation in the activities, planning, or implementation phases of the Strategy for the Movement of the Red Cross and Red Crescent, version 2.0.</t>
  </si>
  <si>
    <t>National Society supports crisis and disaster response and recovery outside its own territory, with finance, personnel, technical, material assistance or equipment (including through reference centres and hubs)</t>
  </si>
  <si>
    <t>Support with finance, personnel, technical, material assistance or equipment (including through reference centres and hubs) – any one or combination of several.</t>
  </si>
  <si>
    <t>Type of support (finance, personnel, technical, material assistance or equipment, reference centre/hub)</t>
  </si>
  <si>
    <t>External coordination</t>
  </si>
  <si>
    <t>Number of government-led coordination platforms the National Society is part of</t>
  </si>
  <si>
    <t>A Movement Cooperation Agreement has been signed in the country in line with the Seville 20 Agreement</t>
  </si>
  <si>
    <t>Seville 2.0 Agreement Compliance: Ensuring that the agreements align with the provisions and guidelines of the Seville 2.0 Agreement</t>
  </si>
  <si>
    <t>Number of strategic partnership the National Society is engaged in</t>
  </si>
  <si>
    <t>A strategic partnership is defined as a formal agreement or collaboration that aims to achieve specific goals, objectives, or mutual benefits and includes shared resources, knowledge, or activities.</t>
  </si>
  <si>
    <t>National Society volunteer annual retention rate</t>
  </si>
  <si>
    <t>Total Volunteers at Start: The number of active volunteers at the beginning of the year. Total Volunteers at End: The number of those initial volunteers who are still active at the end of the year. Retention Rate Calculation: The percentage calculated by dividing the number of retained volunteers by the total number of volunteers at the start of the year.</t>
  </si>
  <si>
    <t>Number of branches supported through "Red Ready" Initiative to be ready to respond to disasters</t>
  </si>
  <si>
    <t>National Society has a Disaster Management Policy and Strategy</t>
  </si>
  <si>
    <t>National Society has contingency plans for 3 identified main hazards</t>
  </si>
  <si>
    <t>Diversity of National Society’s staff at senior level</t>
  </si>
  <si>
    <t>Calculation: The proportion of senior-level staff who belong to different demographic groups. This can be measured using various metrics, such as the percentage of women, ethnic minorities, individuals with disabilities, and youth in senior positions. This indicator measures the diversity of staff at senior levels within National Societies, reflecting the representation of various demographic groups in high-level positions. Diversity at senior levels includes gender, age, ethnicity, disability status, and other under-represented groups. “Male and female” refer to individuals identifying as that gender.</t>
  </si>
  <si>
    <t>National Society's governing board includes youth members and other under-represented groups</t>
  </si>
  <si>
    <t>Indicator to be aggregated as total of submitting NS. Numerator: NS with youth and/or underrepresented on board. Denominator: NS reporting on indicator. Governing Board: The highest decision-making body within a National Society, responsible for setting policies, strategic direction, and overall governance. Youth Members: Individuals typically aged 18-30 who are part of the governing board, ensuring that the perspectives and voices of younger generations are included in decision-making processes. “under-represented groups” should be defined locally based on assessment, but may consider in this assessment the example categories of commonly under-represented groups in the PGI policy defintion of “diversity” = “the full range of different social backgrounds and identities that make up populations. It includes, but is not limited to, gender identity, ethnic origin, nationality or citizenship, age, disability, language, political opinions, religious beliefs, social background, sexual orientation, physical appearance, colour and racialized identity”.</t>
  </si>
  <si>
    <t>National Society is engaged in structured preparedness and capacity building processes</t>
  </si>
  <si>
    <t>Indicator to be aggregated as total of submitting NS. Engaged in structured preparedness and capacity building process: NS that after having orientation sessions agreed/take an informed decision to work in enhance their response capacities applying the Preparedness for Effective Response approach Capacity building processes: such as preparedness for effective response- PER, cash preparedness, logistics</t>
  </si>
  <si>
    <t>National Society has developed and/or implemented a strategy for strengthening their auxiliary role</t>
  </si>
  <si>
    <t>Volunteering and youth</t>
  </si>
  <si>
    <t>National Society has created and implemented youth engagement strategies</t>
  </si>
  <si>
    <t>Number of people on the National Society 
Governing Board</t>
  </si>
  <si>
    <t>The National Society Governing Board is the highest, national level decision-making governing body between sessions of the General Assembly. The Governing Board uses its authority to direct and make decisions on behalf of the National Society, in particular
in regard to setting direction and priorities, being accountable to stakeholders and ensuring compliance with internal rules and agreements. The Governing Board traditionally includes the President, Vice President(s), Treasurer and other elected or appointed members. Do not include governing boards related to branches,
sections or local units.</t>
  </si>
  <si>
    <t>Number of people volunteering</t>
  </si>
  <si>
    <t>People that have given their time voluntarily to support the delivery of services of the reporting National Society for at least four hours during the Reporting Year. This includes young people and/or participants in youth programs, while it excludes blood donors, who are counted separately.</t>
  </si>
  <si>
    <t>Number of volunteers covered by accident insurance</t>
  </si>
  <si>
    <t>Active volunteers: registered as volunteer in a current year. Covered by accident insurance: Volunteers who are included in an insurance policy that provides financial protection and coverage for medical expenses, disability, or death resulting from accidents that occur during their volunteer activities. Covers health, accident, and death compensation: Provision of insurance policies or compensation schemes that offer financial protection for medical expenses, injuries sustained during volunteer activities, and compensation in the event of death.</t>
  </si>
  <si>
    <t>Number of volunteer deaths on duty</t>
  </si>
  <si>
    <t>FDRS disaggregation</t>
  </si>
  <si>
    <t>Number of paid staff covered by accident insurance</t>
  </si>
  <si>
    <t>Covered by accident insurance:  People who are covered under an accident insurance scheme of the National Society (e.g., the IFRC global accident insurance scheme or another similar scheme) during their activities for the National Society in the reporting year.</t>
  </si>
  <si>
    <t>Number of staff deaths on duty</t>
  </si>
  <si>
    <t>People who have died during the Reporting Year while performing duties for the reporting National Society.</t>
  </si>
  <si>
    <t>staff/volunteers</t>
  </si>
  <si>
    <t>Number of organized training sessions for staff and volunteers per year</t>
  </si>
  <si>
    <t>Training sessions: Structured educational or instructional events planned and conducted by the National Society. These can include workshops, seminars, courses, and other training formats.</t>
  </si>
  <si>
    <t>Role in the National Society (Staff/Volunteer)</t>
  </si>
  <si>
    <t>The National Society generates more than 50% of its annual income domestically with sustainable core cost recovery policy</t>
  </si>
  <si>
    <t>Numerator: annual income generated from domestic sources. Denominator: total annual income.</t>
  </si>
  <si>
    <t>The National Society has a risk management framework in place</t>
  </si>
  <si>
    <t>The framework includes policies, procedures, and tools for identifying, assessing, mitigating, and monitoring risks.</t>
  </si>
  <si>
    <t>Humanitarian diplomacy and communication</t>
  </si>
  <si>
    <t>National Society participates in IFRC-led campaigns</t>
  </si>
  <si>
    <t>National Society has a domestic advocacy strategy developed aligning, at least in part, with global IFRC advocacy strategies</t>
  </si>
  <si>
    <t>Number of countries that have a humanitarian diplomacy strategy is in place for cholera</t>
  </si>
  <si>
    <t>National Society has a functioning data management system</t>
  </si>
  <si>
    <t>Functioning Data Management Systems: Integrated systems and processes for managing data effectively, including software, hardware, and procedural components. Operational Status: The systems must be actively used and maintained to support data-driven decision-making and operations.</t>
  </si>
  <si>
    <t>National Society  includes innovation in plans and budgetary allocations</t>
  </si>
  <si>
    <t>Budgetary Allocations: Financial planning documents that detail the allocation of funds specifically earmarked for innovative projects or initiatives. Innovation Initiatives: Specific programs or projects that are designed to foster new ideas, technologies, or methodologies.</t>
  </si>
  <si>
    <t>Digital transformation</t>
  </si>
  <si>
    <t>National Society has a digital transformation strategy</t>
  </si>
  <si>
    <t>Digital transformation strategy: A comprehensive plan that outlines how the National Society will integrate digital technologies into their operations and services. This strategy typically includes elements such as digitizing records, implementing new communication and data management tools, automating processes, and using technology to enhance service delivery and engagement with beneficiaries.</t>
  </si>
  <si>
    <t>Number of specific innovation teams or hubs operating in the National Society</t>
  </si>
  <si>
    <t>For purposes of this indicator, an 'innovation team' is group of National Society staff or volunteers organised to develop or support novel practices to improve ways of working which have potential to serve as an example for wider changes in practice, policy or strategy.</t>
  </si>
  <si>
    <t>Team</t>
  </si>
  <si>
    <t>Number of innovations developed at the branch level by local volunteers or community members that are financially supported by the National Society and/or the IFRC Network</t>
  </si>
  <si>
    <t>For purposes of this indicator, 'innovation' is defined as a substantially novel practice aimed at increasing a community's resilience, safety, well-being or recovery and which has potential to serve as an example for wider changes in practice, policy or strategy.</t>
  </si>
  <si>
    <t>Role in the National Society (Staff/Volunteer), community member</t>
  </si>
  <si>
    <t>Innovations</t>
  </si>
  <si>
    <t>National Society reports that it has a homogeneous system that applies to the entire organisation, either their own or shared, for managing volunteers’ data through a digital platform</t>
  </si>
  <si>
    <t>System: A consistent and standardized system used uniformly across the entire NS. Data includes data related to volunteer registration, deployment, training, performance, and personal information.</t>
  </si>
  <si>
    <t>Number of National Society personnel (staff and volunteers) receiving digital and/or data training</t>
  </si>
  <si>
    <t>Digital training: Training that covers various aspects of digital literacy, such as the use of computers, software applications, internet safety, and online communication tools. Data training: Training focused on data management skills, including data collection, analysis, visualization, storage, and security.</t>
  </si>
  <si>
    <t>Integrity and accountability</t>
  </si>
  <si>
    <t>Number of National Society staff trained in risk management</t>
  </si>
  <si>
    <t>Number of current IFRC staff who have completed compulsory online risk management training. Percent could be calculated and would be more compelling</t>
  </si>
  <si>
    <t>National Society is implementing a digital transformation roadmap in line with the IFRC strategy</t>
  </si>
  <si>
    <t>National Society has submitted an annual externally audited financial statement to the IFRC</t>
  </si>
  <si>
    <t>The audited financial statement is a document that provides a complete National Society's financial information 
for the fiscal year Financial statement would be externally audited by an independent certified public accountant and have 
signatures from all the relevant authorised officials</t>
  </si>
  <si>
    <t>National Society has revised statutes according to Guidance for National Society Statutes</t>
  </si>
  <si>
    <t xml:space="preserve"> - Please select relevant indicators from the dropdown (from the indicator bank). First select the SP and then the indicator.
 - You can go to the 'indicators list' page to search for indicators and their relevant Strategic Priority/Enabling function and copy/paste.</t>
  </si>
  <si>
    <r>
      <rPr>
        <b/>
        <sz val="11"/>
        <color rgb="FF3F3F76"/>
        <rFont val="Calibri"/>
        <family val="2"/>
        <scheme val="minor"/>
      </rPr>
      <t xml:space="preserve">- PNS data: </t>
    </r>
    <r>
      <rPr>
        <sz val="11"/>
        <color rgb="FF3F3F76"/>
        <rFont val="Calibri"/>
        <family val="2"/>
        <scheme val="minor"/>
      </rPr>
      <t xml:space="preserve">A separate data collection will gather PNSs funding data (through PNSs HQs) that will also reflect PNSs operating costs and staff in-country.
</t>
    </r>
    <r>
      <rPr>
        <b/>
        <sz val="11"/>
        <color rgb="FF3F3F76"/>
        <rFont val="Calibri"/>
        <family val="2"/>
        <scheme val="minor"/>
      </rPr>
      <t>- IFRC Secretariat</t>
    </r>
    <r>
      <rPr>
        <sz val="11"/>
        <color rgb="FF3F3F76"/>
        <rFont val="Calibri"/>
        <family val="2"/>
        <scheme val="minor"/>
      </rPr>
      <t xml:space="preserve"> funding (income + opening balance), and expenditure will be reported through formal IFRC financial systems (ERP).
</t>
    </r>
    <r>
      <rPr>
        <b/>
        <sz val="11"/>
        <color rgb="FF3F3F76"/>
        <rFont val="Calibri"/>
        <family val="2"/>
        <scheme val="minor"/>
      </rPr>
      <t>- HNS other sources:</t>
    </r>
    <r>
      <rPr>
        <sz val="11"/>
        <color rgb="FF3F3F76"/>
        <rFont val="Calibri"/>
        <family val="2"/>
        <scheme val="minor"/>
      </rPr>
      <t xml:space="preserve"> Host National Society all other funding sources beyond IFRC Network (including Gov, ICRC, UN, other org..)</t>
    </r>
  </si>
  <si>
    <t>Total</t>
  </si>
  <si>
    <t>Funding sources
breakdown</t>
  </si>
  <si>
    <t>IFRC Secretariat</t>
  </si>
  <si>
    <t>IFRC</t>
  </si>
  <si>
    <t>PNSs</t>
  </si>
  <si>
    <t>PNS</t>
  </si>
  <si>
    <t>HNS other sources</t>
  </si>
  <si>
    <t>HNS</t>
  </si>
  <si>
    <t xml:space="preserve">Funding </t>
  </si>
  <si>
    <t>Expenditure</t>
  </si>
  <si>
    <r>
      <t xml:space="preserve">Total
</t>
    </r>
    <r>
      <rPr>
        <b/>
        <i/>
        <sz val="12"/>
        <rFont val="Calibri"/>
        <family val="2"/>
        <scheme val="minor"/>
      </rPr>
      <t>Optional</t>
    </r>
    <r>
      <rPr>
        <i/>
        <sz val="12"/>
        <rFont val="Calibri"/>
        <family val="2"/>
        <scheme val="minor"/>
      </rPr>
      <t xml:space="preserve"> breakdown</t>
    </r>
  </si>
  <si>
    <t>Bilateral Support</t>
  </si>
  <si>
    <t xml:space="preserve">- Areas that were included in 2025 Unified Plans have been automatically listed and ticked under the "Planned" columns. 
- Please tick the areas that are supported by PNSs bilaterally (or through PNS consortia) - whether these activities are completed or still ongoing. If there are new activities that were not planned initially under an existing PNS, please tick them too. </t>
  </si>
  <si>
    <t>Enabling functions</t>
  </si>
  <si>
    <t>National Society name</t>
  </si>
  <si>
    <t>Planned</t>
  </si>
  <si>
    <t>Supported</t>
  </si>
  <si>
    <t>SP1_Planned</t>
  </si>
  <si>
    <t>SP1_Supported</t>
  </si>
  <si>
    <t>SP2_Planned</t>
  </si>
  <si>
    <t>SP2_Supported</t>
  </si>
  <si>
    <t>SP3_Planned</t>
  </si>
  <si>
    <t>SP3_Supported</t>
  </si>
  <si>
    <t>SP4_Planned</t>
  </si>
  <si>
    <t>SP4_Supported</t>
  </si>
  <si>
    <t>SP5_Planned</t>
  </si>
  <si>
    <t>SP5_Supported</t>
  </si>
  <si>
    <t>EFs_Planned</t>
  </si>
  <si>
    <t>EFs_Supported</t>
  </si>
  <si>
    <t>From the plan 2025</t>
  </si>
  <si>
    <r>
      <t xml:space="preserve">List below any other National Societies </t>
    </r>
    <r>
      <rPr>
        <i/>
        <sz val="11"/>
        <color rgb="FF3F3F76"/>
        <rFont val="Calibri"/>
        <family val="2"/>
        <scheme val="minor"/>
      </rPr>
      <t>(</t>
    </r>
    <r>
      <rPr>
        <b/>
        <i/>
        <sz val="11"/>
        <color rgb="FF3F3F76"/>
        <rFont val="Calibri"/>
        <family val="2"/>
        <scheme val="minor"/>
      </rPr>
      <t xml:space="preserve">first, </t>
    </r>
    <r>
      <rPr>
        <i/>
        <sz val="11"/>
        <color rgb="FF3F3F76"/>
        <rFont val="Calibri"/>
        <family val="2"/>
        <scheme val="minor"/>
      </rPr>
      <t>select the region of the NS from the dropdown, and then select the NS)</t>
    </r>
  </si>
  <si>
    <t>Comments</t>
  </si>
  <si>
    <r>
      <rPr>
        <b/>
        <sz val="22"/>
        <rFont val="Calibri"/>
        <family val="2"/>
        <scheme val="minor"/>
      </rPr>
      <t>2026 Midyear Reporting</t>
    </r>
    <r>
      <rPr>
        <sz val="22"/>
        <rFont val="Calibri"/>
        <family val="2"/>
        <scheme val="minor"/>
      </rPr>
      <t xml:space="preserve"> - </t>
    </r>
    <r>
      <rPr>
        <b/>
        <sz val="22"/>
        <color theme="5" tint="-0.249977111117893"/>
        <rFont val="Calibri"/>
        <family val="2"/>
        <scheme val="minor"/>
      </rPr>
      <t>Start here</t>
    </r>
  </si>
  <si>
    <t xml:space="preserve">NS 2026 Total
Funding </t>
  </si>
  <si>
    <t>NS 2026 Total
Expenditure</t>
  </si>
  <si>
    <t>This page should reflect the National Society's own funding and expenditure for the year 2026 (not IFRC delegation)</t>
  </si>
  <si>
    <t>Response - Disasters and Crises</t>
  </si>
  <si>
    <t>Resilience - Climate and environment</t>
  </si>
  <si>
    <t>Resilience - Health and wellbeing</t>
  </si>
  <si>
    <t>Resilience - Migration and displacement</t>
  </si>
  <si>
    <t>Respect - Values, power and inclusion</t>
  </si>
  <si>
    <t>MYR26.V1.0</t>
  </si>
  <si>
    <r>
      <rPr>
        <b/>
        <u/>
        <sz val="12"/>
        <color rgb="FF011E41"/>
        <rFont val="Calibri Light"/>
        <family val="2"/>
        <scheme val="major"/>
      </rPr>
      <t>Data guidance for Unified Planning and Reporting</t>
    </r>
    <r>
      <rPr>
        <sz val="11"/>
        <color theme="1"/>
        <rFont val="Calibri Light"/>
        <family val="2"/>
        <scheme val="major"/>
      </rPr>
      <t xml:space="preserve">
Unified planning and reporting adopts a results-based management approach, which includes setting objectives and targets during the planning phase, and reporting against them. Unified plans are reported upon on a bi-yearly basis (January-June mid-year progress report and January-December annual report) for both narrative and quantitative data. Collected data is primarily meant for evidence-based decision-making, regular monitoring, and prioritization. Mandatory core indicators are used to prepare the aggregated view of the IFRC network in the Global Plan and Annual Report, and country-level views through IFRC network country plans, to  support resource mobilization globally and at the country level. </t>
    </r>
  </si>
  <si>
    <r>
      <rPr>
        <b/>
        <u/>
        <sz val="12"/>
        <color rgb="FF011E41"/>
        <rFont val="Calibri Light"/>
        <family val="2"/>
        <scheme val="major"/>
      </rPr>
      <t>Unified reporting data step-by-step</t>
    </r>
    <r>
      <rPr>
        <b/>
        <u/>
        <sz val="11"/>
        <color rgb="FF011E41"/>
        <rFont val="Calibri Light"/>
        <family val="2"/>
        <scheme val="major"/>
      </rPr>
      <t xml:space="preserve">
</t>
    </r>
    <r>
      <rPr>
        <b/>
        <sz val="11"/>
        <color rgb="FFF5333F"/>
        <rFont val="Calibri Light"/>
        <family val="2"/>
        <scheme val="major"/>
      </rPr>
      <t xml:space="preserve">1. START
</t>
    </r>
    <r>
      <rPr>
        <sz val="11"/>
        <color theme="1"/>
        <rFont val="Calibri Light"/>
        <family val="2"/>
        <scheme val="major"/>
      </rPr>
      <t>Select your country and the region, and enter key National Society data (staff, volunteers, branches, local unites). Include the Emergency Appeal name(s) and MDR code(s) only for the ongoing emergencies during the 
reporting year. Use the parent grouped appeal codes and not the child appeal codes.</t>
    </r>
    <r>
      <rPr>
        <b/>
        <sz val="11"/>
        <color rgb="FFF5333F"/>
        <rFont val="Calibri Light"/>
        <family val="2"/>
        <scheme val="major"/>
      </rPr>
      <t xml:space="preserve"> 
         </t>
    </r>
    <r>
      <rPr>
        <i/>
        <sz val="11"/>
        <color rgb="FFF5333F"/>
        <rFont val="Calibri Light"/>
        <family val="2"/>
        <scheme val="major"/>
      </rPr>
      <t xml:space="preserve">  </t>
    </r>
    <r>
      <rPr>
        <b/>
        <i/>
        <sz val="11"/>
        <color rgb="FFF5333F"/>
        <rFont val="Calibri"/>
        <family val="2"/>
        <scheme val="minor"/>
      </rPr>
      <t xml:space="preserve"> !</t>
    </r>
    <r>
      <rPr>
        <i/>
        <sz val="11"/>
        <color rgb="FFF5333F"/>
        <rFont val="Calibri Light"/>
        <family val="2"/>
        <scheme val="major"/>
      </rPr>
      <t xml:space="preserve"> Do not include DREFs, EAPs, projects, or anything other than IFRC Emergency Appeals. 
</t>
    </r>
    <r>
      <rPr>
        <b/>
        <sz val="11"/>
        <color rgb="FFF5333F"/>
        <rFont val="Calibri Light"/>
        <family val="2"/>
        <scheme val="major"/>
      </rPr>
      <t>2. OVERALL ACTION INDICATORS</t>
    </r>
    <r>
      <rPr>
        <i/>
        <sz val="11"/>
        <color rgb="FFF5333F"/>
        <rFont val="Calibri Light"/>
        <family val="2"/>
        <scheme val="major"/>
      </rPr>
      <t xml:space="preserve">
</t>
    </r>
    <r>
      <rPr>
        <sz val="11"/>
        <rFont val="Calibri Light"/>
        <family val="2"/>
        <scheme val="major"/>
      </rPr>
      <t xml:space="preserve">This sheet includes first a list of Unified Planning and Reporting core indicators. These indicators are mandatory to report on, so National Societies should start by first clarifying if each indicator is applicable or not. To reporton additional indicators that are not part of the core indicators list, there is another table at the bottom of the page where indicators can be selected from a dropdown list to open the reporting. 
            </t>
    </r>
    <r>
      <rPr>
        <i/>
        <sz val="11"/>
        <color rgb="FF00B050"/>
        <rFont val="Calibri Light"/>
        <family val="2"/>
        <scheme val="major"/>
      </rPr>
      <t xml:space="preserve">You can go to the 'indicators list' page to search for indicators and copy/paste from there into the overall action sheet. 
</t>
    </r>
    <r>
      <rPr>
        <sz val="11"/>
        <rFont val="Calibri Light"/>
        <family val="2"/>
        <scheme val="major"/>
      </rPr>
      <t xml:space="preserve">If an indicator is applicable but you don't have the data available, you have the option to select 'Applicable- data not available'. Indicators in a statement format (e.g., "National Society is participating in IFRC-led campaigns") don’t require sex and age breakdown or additional figures—simply selecting "Applicable" is enough and leave blank if not applicable. 
</t>
    </r>
    <r>
      <rPr>
        <b/>
        <sz val="11"/>
        <color rgb="FFF5333F"/>
        <rFont val="Calibri Light"/>
        <family val="2"/>
        <scheme val="major"/>
      </rPr>
      <t xml:space="preserve">3. INDICATOR LIST
</t>
    </r>
    <r>
      <rPr>
        <sz val="11"/>
        <rFont val="Calibri Light"/>
        <family val="2"/>
        <scheme val="major"/>
      </rPr>
      <t xml:space="preserve">This sheet includes all indicators from the indicator bank, use the column filters to search for indicators using the indicator name, sector, sub-sector, Strategic Priority/Enabling function, or related programme. Once you find the indicator you can copy/paste from there. The indicator bank can also be consulted online for further details: indicatorbank.ifrc.org </t>
    </r>
    <r>
      <rPr>
        <b/>
        <i/>
        <sz val="11"/>
        <color rgb="FF00B050"/>
        <rFont val="Calibri Light"/>
        <family val="2"/>
        <scheme val="major"/>
      </rPr>
      <t xml:space="preserve">
</t>
    </r>
    <r>
      <rPr>
        <b/>
        <sz val="11"/>
        <color rgb="FFF5333F"/>
        <rFont val="Calibri Light"/>
        <family val="2"/>
        <scheme val="major"/>
      </rPr>
      <t>4. EMERGENCY APPEALS</t>
    </r>
    <r>
      <rPr>
        <sz val="11"/>
        <color theme="1"/>
        <rFont val="Calibri Light"/>
        <family val="2"/>
        <scheme val="major"/>
      </rPr>
      <t xml:space="preserve">
Select relevant indicators from the dropdown (from the indicator bank). First select the Strategic Priority and then the indicator. You can go to the 'indicators list' page to search for indicators and copy/paste from there into the emergency sheets. 
</t>
    </r>
    <r>
      <rPr>
        <b/>
        <sz val="11"/>
        <color rgb="FFF5333F"/>
        <rFont val="Calibri Light"/>
        <family val="2"/>
        <scheme val="major"/>
      </rPr>
      <t xml:space="preserve">5. FUNDING
</t>
    </r>
    <r>
      <rPr>
        <sz val="11"/>
        <rFont val="Calibri Light"/>
        <family val="2"/>
        <scheme val="major"/>
      </rPr>
      <t xml:space="preserve">   • HNS other sources: Host National Society all other funding sources beyond IFRC network (including Gov, ICRC, UN, others...) 
   • PNS data: A separate data collection will gather PNSs funding data (through PNSs HQs) that will also reflect PNSs operating costs and staff in-country. 
   • IFRC Secretariat funding (income + opening balance), and expenditure will be reported through formal 
IFRC financial systems (ERP). </t>
    </r>
    <r>
      <rPr>
        <sz val="11"/>
        <color theme="1"/>
        <rFont val="Calibri Light"/>
        <family val="2"/>
        <scheme val="major"/>
      </rPr>
      <t xml:space="preserve">
</t>
    </r>
    <r>
      <rPr>
        <b/>
        <sz val="11"/>
        <color rgb="FFF5333F"/>
        <rFont val="Calibri Light"/>
        <family val="2"/>
        <scheme val="major"/>
      </rPr>
      <t>6. BILATERAL SUPPORT</t>
    </r>
    <r>
      <rPr>
        <sz val="11"/>
        <color theme="1"/>
        <rFont val="Calibri Light"/>
        <family val="2"/>
        <scheme val="major"/>
      </rPr>
      <t xml:space="preserve">
Areas that were included in 2024 Unified Plans have been automatically listed and ticked under the "Planned" columns.  
Tick the areas that are supported by PNSs bilaterally (or through PNS consortia) - whether these activities are completed or still ongoing. If there are new activities that were not planned initially under an existing PNS, tick them too.
</t>
    </r>
    <r>
      <rPr>
        <b/>
        <sz val="11"/>
        <color rgb="FFF5333F"/>
        <rFont val="Calibri Light"/>
        <family val="2"/>
        <scheme val="major"/>
      </rPr>
      <t>7. COMMENTS</t>
    </r>
    <r>
      <rPr>
        <sz val="11"/>
        <color theme="1"/>
        <rFont val="Calibri Light"/>
        <family val="2"/>
        <scheme val="major"/>
      </rPr>
      <t xml:space="preserve">
Add any comments or additional information regarding any figure or part in the data you reported. These comments will be used by the Federation-wide Data Systems team when validating the data and will save us time to avoid asking you questions after you submit your data. </t>
    </r>
  </si>
  <si>
    <t>Strategic and operational coordination</t>
  </si>
  <si>
    <t>National Society development</t>
  </si>
  <si>
    <t>Accountability and agility</t>
  </si>
  <si>
    <r>
      <rPr>
        <b/>
        <u/>
        <sz val="12"/>
        <color rgb="FF011E41"/>
        <rFont val="Calibri Light"/>
        <family val="2"/>
        <scheme val="major"/>
      </rPr>
      <t>Contact, feedback and questions</t>
    </r>
    <r>
      <rPr>
        <sz val="11"/>
        <color theme="1"/>
        <rFont val="Calibri Light"/>
        <family val="2"/>
        <scheme val="major"/>
      </rPr>
      <t xml:space="preserve">
If you want to discuss any part of this document and the process in general, please reach out to: 
    Rania ALERKSOUSSI at rania.alerksoussi@ifrc.org
    Haytham ALSOUFI at haytham.alsoufi@ifrc.org 
    Eszter MADOS at eszter.mados@ifrc.org</t>
    </r>
  </si>
  <si>
    <t>National Society implements environmental or climate campaigns focused on behaviour change, plastic reduction, clean-ups or reducing GHG emissions</t>
  </si>
  <si>
    <t>Number of people reached with contextually appropriate health services</t>
  </si>
  <si>
    <t>Number of people reached with contextually appropriate water, sanitation and hygiene services</t>
  </si>
  <si>
    <t>Number of people trained in first aid</t>
  </si>
  <si>
    <t>Number of Humanitarian Service Points (HSPs) providing assistance and/or protection to people on the move along migration routes</t>
  </si>
  <si>
    <t>National Society has conducted migration and displacement needs assessment</t>
  </si>
  <si>
    <r>
      <t xml:space="preserve">If the indicator you would like to report on is not listed above, list below from the indicator bank
</t>
    </r>
    <r>
      <rPr>
        <b/>
        <sz val="11"/>
        <color rgb="FF3F3F76"/>
        <rFont val="Calibri"/>
        <family val="2"/>
        <scheme val="minor"/>
      </rPr>
      <t xml:space="preserve">First, </t>
    </r>
    <r>
      <rPr>
        <sz val="11"/>
        <color rgb="FF3F3F76"/>
        <rFont val="Calibri"/>
        <family val="2"/>
        <scheme val="minor"/>
      </rPr>
      <t>select the relevant Strategic Priority or Enabling Function, then select from the appropriate indicators in the provided list.</t>
    </r>
  </si>
  <si>
    <t>Indirectly reached</t>
  </si>
  <si>
    <t>Response - Crises and Disasters</t>
  </si>
  <si>
    <t>Resilience - Climate and Environment</t>
  </si>
  <si>
    <t>Respect - Values, Power and Inclusion</t>
  </si>
  <si>
    <t>Number of people reached with long-term services and programmes</t>
  </si>
  <si>
    <t>National Society has safe and inclusive referral pathways to support survivors of violence to access services</t>
  </si>
  <si>
    <t>National Society has a functioning community feedback mechanism in place for all its work</t>
  </si>
  <si>
    <t>There is a National Society Development plan in place</t>
  </si>
  <si>
    <t>National Society has an official branch development framework, model or guidance that defines the expected role and standards of branches</t>
  </si>
  <si>
    <t>Number of staff and volunteers trained on the Fundamental Principles of the International Red Cross and Red Crescent Movement</t>
  </si>
  <si>
    <t>National Society has a safe and accessible mechanism (such as the IFRC Integrity Line) in place to report integrity concerns, misconduct and breaches of rules and policies</t>
  </si>
  <si>
    <t>National Society has a Protection from Sexual Exploitation and Abuse (PSEA) policy to enforce prevention and support survivors</t>
  </si>
  <si>
    <t>National Society has a Protection from Sexual Exploitation and Abuse (PSEA) Action Plan to enforce prevention and support survivors</t>
  </si>
  <si>
    <t>National Society has a functioning data management system that informs decision making and supports monitoring and reporting on the impact and evidence of its actions</t>
  </si>
  <si>
    <t>Code</t>
  </si>
  <si>
    <t>EF1</t>
  </si>
  <si>
    <t>EF2</t>
  </si>
  <si>
    <t>EF3</t>
  </si>
  <si>
    <t>EF4</t>
  </si>
  <si>
    <t>Protection, Gender and Inclusion (PGI)</t>
  </si>
  <si>
    <t>Mental Health and Psychosocial Support (MHPSS)</t>
  </si>
  <si>
    <t>National Society disaster management capacity</t>
  </si>
  <si>
    <t>Cash and voucher assistance (CVA)</t>
  </si>
  <si>
    <t>Community Engagement and Accountability (CEA)</t>
  </si>
  <si>
    <t>Number of National Societies that have conducted data collection, research, analysis, or other information management activities specifically aimed at improving assistance and protection for people on the move during a specified reporting period.</t>
  </si>
  <si>
    <t>Number of National Societies that have reviewed and revised their statutes in accordance with the standards and recommendations provided in the Guidance for National Society Statutes.</t>
  </si>
  <si>
    <t>Number of National Society health facilities (with their attached population reached) that have conducted an infection prevention and control (IPC) assessment</t>
  </si>
  <si>
    <t>"Cash-plus" assistance includes the provision of cash transfers combined with additional support services, such as training, counseling, or in-kind support, aimed at enhancing the overall impact and sustainability of the assistance.</t>
  </si>
  <si>
    <t>An HSP is operated by a Red Cross Red Crescent National Society and is a safe, neutral, and welcoming physical space that provides context-specific humanitarian services (assistance, protection, or both) to people on the move, irrespective of their status.  HSPs can be accessed without fear of interference from government authorities.  There is no one size-fits-all model of operation. HSP may be a fixed or mobile structure, and can include local branches, gazebos, tents, kiosks, information desks or equipped buses or vans that provide humanitarian services. “Protection” refers to any actions covered under the PGI policy – protection from violence, discrimination or exclusion.
Humanitarian services offer a variety of support services aimed at addressing the diverse needs of vulnerable population (people on the move, people displaced because a crisis or people from the host community where migrants and IDPs are displaced or passing through), including but not limited to food, first aid, health care, mental health, psychosocial support, relief (essential household items), cash and vouchers, information and accompaniment, connectivity (wifi, phone cards), shelter/accommodation, water, sanitation and hygiene promotion (WASH), transportation, evacuation, safe referrals to service providers, including government, UNHCR, UNICEF, restoring family links (RFL), legal aid providers, NGOs etc, child protection activities, anti-trafficking activities and Immigration detention related activities. “Protection” refers to any actions covered under the PGI policy – protection from violence, discrimination or exclusion.</t>
  </si>
  <si>
    <t>Safely Managed Sanitation Services: Sanitation services that hygienically separate human excreta from human contact and ensure that excreta are treated and disposed of safely. These services include facilities that are regularly cleaned, maintained, and monitored for functionality and hygiene. Improved Sanitation Facilities: facilities that ensure hygienic separation of human excreta from human contact including flush/pour-flush toilets connected to a sewer system, septic tank, or pit latrine, ventilated improved pit latrines, composting toilets, pit latrines with slabs. Facilities must have been constructed or rehabilitated by the National Society.</t>
  </si>
  <si>
    <t>Number of countries that have officially established and implemented a humanitarian diplomacy strategy aimed at addressing cholera. This strategy includes advocacy, policy-making, resource mobilization, and international cooperation efforts.</t>
  </si>
  <si>
    <t>Number of community members, National Society staff/volunteers and other stakeholders reached with epidemic preparedness and response activities including water/sanitation/hygiene services, health promotion activities, community mobilization during immunization campaigns, education activities with schools, and other capacity strengthening activities related to epidemic preparedness and response targeting a range of key stakeholders.</t>
  </si>
  <si>
    <t>Number of target population registered and trained as National Society health and/or WASH volunteers</t>
  </si>
  <si>
    <t>People who have died during the Reporting Year while volunteering for the reporting National Society.</t>
  </si>
  <si>
    <t>Number of people on the move along migration routes who are provided with humanitarian services (assistance, protection, or both) through Humanitarian Service Points (HSPs)</t>
  </si>
  <si>
    <t>For this indicator, please provide data on the number of people on the move transiting or moving along migration routes (within and between countries of origin, transit, and destination) who were provided with humanitarian services.  Please do not include data on the number of refugees, asylum seekers, or internally displaced people living longer-term in camps or settlements who were provided with humanitarian services. Humanitarian services offer a variety of support services aimed at addressing the diverse needs of vulnerable population (people on the move, people displaced because a crisis or people from the host community where migrants and IDPs are displaced or passing through), including but not limited to food, first aid, health care, mental health, psychosocial support, relief (essential household items), cash and vouchers, information and accompaniment, connectivity (wifi, phone cards), shelter/accommodation, water, sanitation and hygiene promotion (WASH), transportation, evacuation, safe referrals to service providers, including government, UNHCR, UNICEF, restoring family links (RFL), legal aid providers, NGOs etc, child protection activities, anti-trafficking activities and Immigration detention related activities. “Protection” refers to any actions covered under the PGI policy – protection from violence, discrimination or exclusion.</t>
  </si>
  <si>
    <t>Cholera Response: Activities carried out by National Society to prevent, control, and treat cholera. These may include the following. Distribution of safe drinking water and water purification supplies. Provision of sanitation facilities and services. Health education and awareness campaigns on cholera prevention and hygiene practices. Distribution of oral rehydration salts (ORS) and other medical supplies. Treatment services at health facilities and mobile clinics or attendance at oral rehydration point. Cholera vaccination campaigns.</t>
  </si>
  <si>
    <t>Number of teachers or other education personnel trained by the National Society on comprehensive school safety related matters, including climate and environmental change, risk reduction and safe schools’ protocols in affected areas</t>
  </si>
  <si>
    <t>"Teachers or other education personnel" include professional teachers, volunteer/incentive teachers, non-professional community facilitators, education authorities or administrators (e.g., headmasters), school counsellors/psychologists, education assistants, school supervisors/monitors, etc. "Trained by the National Society” = who participated in a training course of any duration delivered by National Society staff or volunteers. “Comprehensive school safety related matters” refer mainly, but not only, to school-based risk management (including prevention, preparedness, anticipatory action, contingency and response planning and coordination, adaptation, mitigation and recovery measures, (environmental) sustainability considerations) in the face of any hazard, shock or stress (including conflict, violence, disasters, climate and environmental change, health-related emergencies, and road safety related issues)</t>
  </si>
  <si>
    <t>“Teachers or other education personnel” include professional teachers, volunteer/incentive teachers, non-professional community facilitators, education authorities or administrators (e.g., headmasters), school counsellors/psychologists, education assistants, school supervisors/monitors, etc. "Trained by National Society” = who participated in a training course of any duration delivered by the National Society staff or volunteers. “First aid related matters” include, but are not limited to, the principles and four main steps of basic first aid, fainting, unconsciousness, resuscitation, stroke, choking, skin wounds, burns, bleeding, injuries, poisoning, stings and bites, fever, diarrhoea, convulsions. “Health-related matters” include, but are not limited to, communicable and non-communicable diseases, sexual and reproductive health, mental health and psychosocial support, voluntary non-remunerated blood donation, immunization, substance misuse and abuse. “Water, sanitation or hygiene related matters” include, but are not limited to, water purification and storage, daily hygiene practices (e.g., proper latrine use, handwashing, tooth bushing, face washing and body cleaning), menstrual hygiene management and waste management.</t>
  </si>
  <si>
    <t>"Teachers or other education personnel" include professional teachers, volunteer/incentive teachers, non-professional community facilitators, education authorities or administrators (e.g., headmasters), school counsellors/psychologists, education assistants, school supervisors/monitors, etc. “Trained by National Society” = who participated in a training course of any duration delivered by the National Society staff or volunteers. ”Protection, gender or inclusion related matters” include, but are not limited to, safeguarding, child protection, gender-based violence, sexual exploitation and abuse, discrimination, bullying, child marriage, recruitment to armed forces, harmful practices, social exclusion, violence prevention, mediation, gender equality, case identification and safe referral. PGI training’ includes introductory PGI training modules (online or face to face), focuse on Dignity, Access, Participation, Safety) and/or specific training on safeguarding, gender-based violence, sexual exploitation and abuse, exclusion</t>
  </si>
  <si>
    <t>Number of communities / sites provided with education-related activities in the National Society's response</t>
  </si>
  <si>
    <t>Sexual and Gender Based Violence (SGBV) and child protection</t>
  </si>
  <si>
    <t>National Society has adopted a child safeguarding policy to enforce prevention and support survivors</t>
  </si>
  <si>
    <t>National Society has a Protection, Gender and Inclusion (PGI) focal person</t>
  </si>
  <si>
    <t>“PGI focal person” refers to a staff member who has been clearly designated with responsibilities to support the integration of Protection, Gender and Inclusion (PGI) across operations and programmes. This does not necessarily need to be a full-time or dedicated role, but the responsibilities must be clearly defined and documented. Note: PGI activities refer to those defined under IFRC Indicator 635, which include interventions aimed at preventing, mitigating and responding to violence, discrimination and exclusion, and promoting dignity, access, participation and safety (DAPS), as per the IFRC PGI policy and minimum standards.</t>
  </si>
  <si>
    <t>Innovation</t>
  </si>
  <si>
    <t>Number of new legal instruments that formally recognize the National Society's auxiliary role in the area of Disaster Risk Management and climate adaptation within relevant laws</t>
  </si>
  <si>
    <t>National Society has a Results-Based Management or Monitoring and Evaluation framework in place</t>
  </si>
  <si>
    <t>This indicator measures whether a National Society has formally adopted a Results-Based Management or Monitoring and Evaluation framework. Such a framework includes policies, processes, tools, and capacities that guide the systematic collection, analysis, use, and reporting of performance information to improve decision-making, effectiveness, and accountability.</t>
  </si>
  <si>
    <t>National Society is using a results matrix with defined objectives and outputs for all its programmes</t>
  </si>
  <si>
    <t xml:space="preserve">This indicator measures whether the National Society uses a results matrix - a planning tool that sets out the hierarchy of results, typically including objectives (outcomes) and outputs, along with indicators, baselines, targets, and means of verification. </t>
  </si>
  <si>
    <t>National Society has an evaluation plan in place and reviewed on a yearly basis</t>
  </si>
  <si>
    <t>This indicator measures the existence and regular review of a formal evaluation plan that outlines scheduled evaluation activities (e.g., reviewes, real-time, midterm and final evaluations) across programmes and operations. A yearly review ensures the plan remains relevant, aligned with strategic priorities, and responsive to emerging needs.</t>
  </si>
  <si>
    <t>Number of people who received food items through National Society response</t>
  </si>
  <si>
    <t>National Society has a Civil-Military relations strategy and/or related standard operating procedures in place</t>
  </si>
  <si>
    <t>This indicator measures whether a National Society has formally established a strategy and/or standard operating procedures (SOPs) to guide its interaction and coordination with military actors during humanitarian operations.</t>
  </si>
  <si>
    <t>Number of communities that have developed a risk informed community plan of action with National Society's support, based on vulnerability and capacity assessment</t>
  </si>
  <si>
    <t>Community Plan of Action: A document developed by the community outlining specific actions to address identified risks (especially climate-change related) and increase resilience to them. National Society Support: Assistance provided by the National Society, which can include technical guidance, facilitation of the VCA process, training, and funding.</t>
  </si>
  <si>
    <t>Number of trees planted with the intention of contributing to climate change adaptation and mitigation, as well as reducing disaster risk. This includes activities aimed at enhancing carbon sequestration, stabilizing soils, reducing erosion, improving water retention, and creating windbreaks.</t>
  </si>
  <si>
    <t>Number of migrants who have been provided with volunteering opportunities within National Society services</t>
  </si>
  <si>
    <t>Volunteering Opportunities: Availability and accessibility of various volunteering roles and activities within National Society services.</t>
  </si>
  <si>
    <t>WASH Assessments: Comprehensive evaluations that determine the state of water, sanitation, and hygiene in communities or facilities. These assessments identify needs, existing gaps, and opportunities for intervention by the National Society.</t>
  </si>
  <si>
    <t>Total amount of money spent on providing conditional cash assistance. Conditional cash assistance refers to financial aid given to beneficiaries with specific conditions on how the funds can be used. Amounts should include transfer value ONLY but no other indirect costs</t>
  </si>
  <si>
    <t>The total amount of money spent on providing voucher assistance. Amounts should include transfer value ONLY but no other indirect costs.</t>
  </si>
  <si>
    <t>Number of National Society staff and volunteers who completed training in emergency shelter</t>
  </si>
  <si>
    <t>Any National Society branch engaged in any of the following education-related type of work: - the delivery/provision of educational interventions (i.e., a learning session of any duration, with a desired learning outcome, delivered either as part of the curriculum or as an extra-curricular activity. It can target children, adolescents, young adults, students, teachers or other education personnel (including professional teachers, volunteer/incentive teachers, non-professional community facilitators, education authorities or administrators (e.g., headmasters), school counsellors/psychologists, education assistants, school supervisors/monitors, etc.). It can be on any topic of National Society expertise such as first aid, health, water, sanitation or hygiene, international humanitarian law, humanitarian principles and values, humanitarian action (including IFRC network history and emblems, disaster law and auxiliary role), comprehensive school safety, (including climate and environmental change, risk reduction, emergency preparedness or anticipatory action), protection, gender or inclusion (including safeguarding, child protection, gender-based violence, sexual exploitation and abuse, discrimination, bullying, child marriage, recruitment to armed forces, harmful practices, social exclusion, violence prevention, mediation, gender equality, case identification and safe referral), mental health or psycho-social support (including socio-emotional learning and life skills), or foundational subject matters (e.g., literacy, numeracy, sciences (including computer sciences));- interventions contributing to facilitate access to/continuity of education (e.g., the (re)construction, rehabilitation or improvement of schools or other educational spaces or of water and sanitation facilities in or nearby schools or other educational spaces; the distribution of educational or recreational kits, supplies or equipment [e.g., school furniture (e.g., tables, chairs, desks, boards), school uniforms (including clothes and shoes), teaching and learning materials (e.g., resources, school kits including stationery (e.g., pens, pencils, etc.), textbooks, guides, etc.), connectivity and assistive devices (e.g., tech devices such as laptops or tablets, hearing aids, glasses, etc.), sports equipment, games, colouring or painting materials, etc.]; scholarships, cash or voucher assistance for education (e.g., purchase of transportation tickets or of educational or recreational supplies/equipment, payment of tuition or exam fees or of school meals); the distribution of daily meals or snacks or take-away food rations in schools or other educational spaces; the distribution of hygiene items or packages (e.g., dignity kits, disinfection, soap, toothbush or other personal hygiene items including gender-specific ones) in schools or other educational spaces; the establishment or running of (temporary) safe spaces for learning, psychosocial support or recreation purposes (e.g., child-friendly spaces, transitional learning spaces); the establishment or running of schools or other educational spaces; the provision of (functional) literacy or numeracy classes, foreign language courses, remedial or catch-up classes; homework assistance or other forms of schooling support (e.g., to learners with disabilities); the provision of formal or non-formal technical, vocational or professional education and training; the provision of MHPSS services to students, teachers or other education personnel; safe transportation services from/to schools or other educational spaces; the tracing of documents required for school enrolment or continuing education; advocacy for safe, continued or equitable access to education (e.g., for the protection of schools or other educational spaces from attacks or military use, for the limited use of schools or other educational spaces as temporary evacuation or accommodation centers or for other purposes than education (e.g., quarantine, medical treatment, elections), for inclusive curricula, educational resources or pedagogical approaches).</t>
  </si>
  <si>
    <t>Number of towns or cities that have received technical, financial, or material support from the National Society to implement adaptation strategies aimed at mitigating the long-term impacts of climate change, such as sea level rise, extreme weather events, and changing climate patterns. Narrative description including locations and implementing organisations. ‘Support’: defined by implementing climate change adaptation actions and providing advice to cities on how to adapt or work with municipal authorities.</t>
  </si>
  <si>
    <t>‘Self-help groups’ include savings and loans groups, farmer groups, economic associations] that have received National Society's technical/material support. Providing community food security: Activities could include managing community gardens, food co-ops, nutritional education programs, or emergency food distribution services. Livelihood safety nets: Initiatives aimed at ensuring sustainable income sources or economic stability for community members, such as micro-loan programs, vocational training, job placement services, or cooperative businesses.</t>
  </si>
  <si>
    <t>“Schools” refer to primary or secondary schools. “Other educational spaces” include kindergartens, universities, youth/RCRC clubs, child-friendly or temporary learning spaces, community (education/training) centers, technical/vocational education/training.
Children are 5-12y, adolescents 13-17y and young adults 18-30y.</t>
  </si>
  <si>
    <t>SAD, children/adolescents/young adults</t>
  </si>
  <si>
    <t>Number of National Society facilities using solar or other renewable power source</t>
  </si>
  <si>
    <t>Renewable Energy Sources: Types of renewable energy used to power facilities, including: Solar Power: Solar panels and solar thermal systems. Wind Power: Wind turbines. Hydro Power: Small-scale hydroelectric systems. Biomass: Biomass boilers and biogas systems. National Society Facilities: e.g. Administrative and operational offices. Storage facilities for relief goods and equipment. Health Facilities: Clinics, hospitals, and health posts. Facilities used for training and workshops.</t>
  </si>
  <si>
    <t>Staff, Volunteers</t>
  </si>
  <si>
    <t>Number of community-based teams that have completed a formal training program designed to equip them with the skills and knowledge necessary for effective disaster response.</t>
  </si>
  <si>
    <t>Ratio of people reached by the National Society disaster response operations to the people affected by these emergencies</t>
  </si>
  <si>
    <t>Proportion of individuals who have received aid or services from the National Society disaster response operations in relation to the total number of individuals affected by these emergencies. Numerator: The number of people reached by National Society disaster response operations. Denominator: The total number of people affected by the emergencies.</t>
  </si>
  <si>
    <t>Number of local branches that have received support (e.g., training, equipment, funding, technical assistance) through the "Red Ready" Initiative aimed at enhancing their preparedness and capacity to respond effectively to disasters.</t>
  </si>
  <si>
    <t>Number of National Societies that have formally adopted and implemented a disaster management policy and strategy, which outlines their approach to preparing for, responding to, and recovering from disasters.</t>
  </si>
  <si>
    <t>Number of National Societies that have developed and implemented contingency plans specifically for the three main hazards they have identified as most critical to their regions. This may include separate plans for each identified type of hazards.</t>
  </si>
  <si>
    <t>“Schools” refer to primary or secondary schools. “Other educational spaces” include kindergartens, universities, youth/National Society clubs, child-friendly or temporary learning spaces, community (education/training) centers, technical/vocational education/training centers, institutions for people with specific needs, etc. “Educational intervention”= a learning session of any duration, with a desired learning outcome, delivered either as part of the curriculum or as an extra-curricular activity. It can target children, adolescents or young adults, students, teachers or other education personnel (including professional teachers, volunteer/incentive teachers, non-professional community facilitators, education authorities or administrators (e.g., headmasters), school counsellors/psychologists, education assistants, school supervisors/monitors, etc.). It can be on any topic of National Society expertise such as first aid, health, water, sanitation or hygiene, international humanitarian law, humanitarian principles and values, humanitarian action (including IFRC network history and emblems, disaster law and auxiliary role), comprehensive school safety, (including climate and environmental change, risk reduction, emergency preparedness or anticipatory action), protection, gender or inclusion (including safeguarding, child protection, gender-based violence, sexual exploitation and abuse, discrimination, bullying, child marriage, recruitment to armed forces, harmful practices, social exclusion, violence prevention, mediation, gender equality, case identification and safe referral), mental health or psycho-social support (including socio-emotional learning and life skills), or foundational subject matters (e.g., literacy, numeracy, sciences (including computer sciences), etc.</t>
  </si>
  <si>
    <t>National Society's programming includes at least one of the following interventions: - the (re)construction, rehabilitation or improvement of schools or other educational spaces or of water and sanitation facilities in or nearby schools or other educational spaces, - the distribution of educational or recreational kits, supplies or equipment [e.g., school furniture (e.g., tables, chairs, desks, boards), school uniforms (including clothes and shoes), teaching and learning materials (e.g., resources, school kits including stationery (e.g., pens, pencils, etc.), textbooks, guides, etc.), connectivity and assistive devices (e.g., tech devices such as laptops or tablets, hearing aids, glasses, etc.), sports equipment, games, colouring or painting materials, etc.], - scholarships, cash or voucher assistance for education (e.g., purchase of transportation tickets or of educational or recreational supplies/equipment, payment of tuition or exam fees or of school meals), - the distribution of daily meals or snacks or take-away food rations in schools or other educational spaces, - the distribution of personal, gender-sensitive hygiene items or packages (e.g., dignity kits, disinfection, soap, toothbrush, or other) in schools or other educational spaces, - the establishment or running of (temporary) safe spaces for learning, psychosocial support or recreation purposes (e.g., child-friendly spaces, transitional learning spaces), - the establishment or running of schools or other educational spaces, - the provision of (functional) literacy or numeracy classes, foreign language courses, remedial or catch-up classes, - homework assistance or other forms of schooling support (e.g., to learners with disabilities), - the provision of formal or non-formal technical, vocational or professional education or training, - the provision of MHPSS services to students, teachers or other education personnel, - safe transportation services from/to schools or other educational spaces, - the tracing of documents required for school enrolment or continuing education, - advocacy for safe, continued or equitable access to education (e.g. for the protection of schools or other educational spaces from attacks or military use, for the limited use of schools or other educational spaces as temporary evacuation or accommodation centers or for other purposes than education (e.g., quarantine, medical treatment, elections), for inclusive curricula, educational resources or pedagogical approaches).</t>
  </si>
  <si>
    <t>National Society programming includes at least one of the following interventions: - the (re)construction, rehabilitation or improvement of schools or other educational spaces or of water and sanitation facilities in or nearby schools or other educational spaces, - the distribution of educational or recreational kits, supplies or equipment [e.g., school furniture (e.g., tables, desks, chairs, boards), school uniforms (including clothes and shoes), teaching and learning materials (e.g., resources, school kits including stationery (e.g., pens, pencils, etc.), textbooks, guides, etc.), connectivity and assistive devices (e.g., tech devices such as laptops or tablets, hearing aids, glasses, etc.), sports equipment, games, colouring or painting materials, etc.], - scholarships, cash or voucher assistance for education (e.g., purchase of transportation tickets or of educational or recreational supplies/equipment, payment of tuition or exam fees or of school meals), - the distribution of daily meals or snacks or take-away food rations in schools or other educational spaces, - the distribution of hygiene items or packages (e.g., dignity kits, disinfection items, soap, toothbush or other personal hygiene items including gender-specific ones) in schools or other educational spaces, - the establishment or running of (temporary) safe spaces for learning, psychosocial support or recreation purposes (e.g., child-friendly spaces, transitional learning spaces), - the establishment or running of schools or other educational spaces, - the provision of (functional) literacy or numeracy classes, foreign language courses, remedial or catch-up classes, - homework assistance or other forms of schooling support (e.g., to learners with disabilities), - the provision of formal or non-formal technical, vocational or professional education and training, - the provision of MHPSS services to students, teachers or other education personnel, - safe transportation services from/to schools or other educational spaces, - the tracing of documents required for school enrolment or continuing education, - advocacy for safe, continued or equitable access to education (e.g., for the protection of schools or other educational spaces from attacks or military use, for the limited use of schools or other educational spaces as temporary evacuation or accommodation centers or for other purposes than education (e.g., quarantine, medical treatment, elections), for inclusive curricula, educational resources or pedagogical approaches). Note that the access does not need to be necessarily provided, but only contributed to.</t>
  </si>
  <si>
    <t>Average amount of money transferred to beneficiaries in Swiss Francs (CHF) as part of a cash assistance program. It reflects the typical value of cash transfers provided to individuals or households to meet their needs. Is calculated as the total value of all cash transfers provided in CHF divided by the total number of transfers.</t>
  </si>
  <si>
    <t>Number of National Society centres supporting integration and inclusion of migrants and host communities</t>
  </si>
  <si>
    <t>Total count of established National Society centres specifically dedicated to supporting the integration and inclusion of migrants and host communities. These centres serve as focal points for providing various services and activities A National Society centre supporting integration and inclusion refers to a facility (outside of a National Society branch) where migrants and host communities can access a large range of services under the following pillars: Socio-economic (employment, housing and education), well-being and protection (health, mental health and protection) socio-cultural (orientation and information, language knowledge and social connections) with accountability and meaningful participation as the main enabler factor.</t>
  </si>
  <si>
    <t>Number of new legal and regulatory instruments adopted due to the influence from the National Society</t>
  </si>
  <si>
    <t>The indicator measures the count of newly adopted legal or regulatory instruments - for example on disaster risk management, climate adaptation, sectoral legislation, pre-disaster agreements - for which the National Society can demonstrate a meaningful contribution to their development, modification, or adoption through advocacy, technical input, consultations, or other forms of influence.</t>
  </si>
  <si>
    <t>This indicator measures the total number of individuals who receive cash assistance that is conditional for specific uses. Subset of indicator 765.</t>
  </si>
  <si>
    <t>Unconditional cash assistance refers to financial aid given to beneficiaries to cover a variety of essential needs. Subset of indicator 765.</t>
  </si>
  <si>
    <t>Number of people reached by public campaigns involving clean-up, recycling or urban greening </t>
  </si>
  <si>
    <t>Number of methods established to communicate with communities about what is happening in the organisation/programme/operation, including selection criteria if these are being used</t>
  </si>
  <si>
    <t>Number of different methods / approaches or channels for sharing and discussing information about what we are doing with community members. For example, house-to-house visits, community meetings, information desks, mobile cinemas, community theatre, FGDs, megaphones, sound trucks, leaflets/posters/wall murals, noticeboards, radio shows, radio spots, telephone hotlines, messaging apps (WhatsApp, Telegram etc), social media, SMS, chatbots, TV shows, TV spots, newspapers. Indicator used to track if programmes and operations and organisations are putting in place mechanisms to share information with communities.</t>
  </si>
  <si>
    <t>Method</t>
  </si>
  <si>
    <t>Number of people reached with relief assistance for basic needs</t>
  </si>
  <si>
    <t>Number of individuals who received direct assistance intended to meet immediate basic needs during the reporting period. A person is counted as “reached” when at least one member of their household receives relief assistance that benefits the household.
Examples of relief assistance for basic needs include but are not limited to:
- Food parcels or ready-to-eat meals
- Essential household items (blankets, clothing)</t>
  </si>
  <si>
    <t>Number of people reached with mental health and psychosocial services (MHPSS) from the National Society</t>
  </si>
  <si>
    <t>Communities are villages, towns, etc. targeted by the National Society but here should be consistent with the health administrative hierarchy or the country.</t>
  </si>
  <si>
    <t>Number of people reached by first aid or CBHFA volunteers, National Society paramedics or other trained health workers in emergency settings, with first aid.</t>
  </si>
  <si>
    <t>Nominator: Number of alerts - SDB; Immunization campaign; Contact tracing; etc. - responded through a public health action within 48 hours. Denominator: Number of all alerts raised during the reporting period</t>
  </si>
  <si>
    <t>Total number of new smear-positive tuberculosis (TB) cases that are registered under a TB treatment or control program within a given year. These cases are either directly referred by the National Society or managed under programs operated by the National Society. Indicator subset. Combines to form the associated core FDRS/P&amp;B indicator</t>
  </si>
  <si>
    <t>Number of people reached, assisted with emergency health care and medical treatment through IFRC network primary healthcare services or different clinical Emergency Response Unit (ERU) configurations of the IFRC network</t>
  </si>
  <si>
    <t>This number will be in addition to the formal IFRC network Emergency Clinic ERU or Emergency Health ERU. This indicator will include care locations such as but not limited to primary health centers that are surge staffed by IFRC Network staff, volunteers, or delegates. Primary Healthcare Services: Basic healthcare services provided by the IFRC network, including preventative care, treatment of common illnesses, maternal and child health services, immunizations, and health education. Clinical ERU Configurations (Emergency Response Units) include the following. Basic Health Care Units: Provide essential primary health care services; Surgical Units: Offer emergency surgical interventions. Hospital Units: Deliver comprehensive inpatient and outpatient care. Specialized Care Units: Provide specific medical services like maternal and child health or infectious disease management.</t>
  </si>
  <si>
    <t>Total number of patient visits to healthcare facilities, specifically Emergency Response Units (ERUs) or Emergency Response Teams (ERTs), operated by the IFRC network within a specified period</t>
  </si>
  <si>
    <t>Total number of individuals who receive clinical Reproductive, Maternal, Newborn, and Child Health (RMNCH) services provided by the National Society during emergency situations. Clinical RMNCH Services: Reproductive Health: Services including family planning, contraception, prevention and treatment of sexually transmitted infections (STIs), and reproductive health education. Maternal Health: Services for pregnant and postpartum women, including antenatal care, skilled birth attendance, postnatal care, and management of complications during pregnancy and childbirth. Newborn Health: Services for newborns, including neonatal care, early initiation of breastfeeding, immunizations, and treatment of newborn illnesses. Child Health: Services for children, including immunizations, growth monitoring, nutrition support, treatment of common childhood illnesses, and health education.</t>
  </si>
  <si>
    <t>Total number of individuals who have received long life insecticide treated net (LLIN) distributed by the National Society during emergency situations. It reflects the reach and impact of efforts to prevent malaria and other mosquito-borne diseases in affected populations.</t>
  </si>
  <si>
    <t>Number of people trained in Mental Health and Psychosocial Support</t>
  </si>
  <si>
    <t>Number of individuals who have completed an MHPSS training session delivered or supported by the National Society during the reporting period.</t>
  </si>
  <si>
    <t>Percentage of community based surveillance (CBS) true alerts escalated to health authorities within 24 hours</t>
  </si>
  <si>
    <t>Singapore Red Cross Society Society</t>
  </si>
  <si>
    <t>Male &lt;5</t>
  </si>
  <si>
    <t>Male 5-17</t>
  </si>
  <si>
    <t>Male 18-49</t>
  </si>
  <si>
    <t>Male 50+</t>
  </si>
  <si>
    <t>Female &lt;5</t>
  </si>
  <si>
    <t>Female 5-17</t>
  </si>
  <si>
    <t>Female 18-49</t>
  </si>
  <si>
    <t>Female 50+</t>
  </si>
  <si>
    <t>Response - Disasters and crises</t>
  </si>
  <si>
    <t>Number of discrete health promotion campaigns. Include both preventive and response/control campaigns.
This can include support to institutions (schools, prisons, colleges, workplaces), community events, household visits, or one-to-one engagement towards reducing further transmission. It does NOT include social media, online, radio, print or television whose reach cannot be meaningfully quantified.</t>
  </si>
  <si>
    <t>ID</t>
  </si>
  <si>
    <t>Number of formal interagency/international coordination platforms the National Society is part of</t>
  </si>
  <si>
    <t xml:space="preserve">USE THIS TEMPLATE ONLY IF YOU HAVE CONNECTIVITY ISSUES AND CAN'T ACCESS THE </t>
  </si>
  <si>
    <t xml:space="preserve">DATABANK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</si>
</sst>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CHF&quot;\ * #,##0.00_ ;_ &quot;CHF&quot;\ * \-#,##0.00_ ;_ &quot;CHF&quot;\ * &quot;-&quot;??_ ;_ @_ "/>
    <numFmt numFmtId="165" formatCode="_ * #,##0.00_ ;_ * \-#,##0.00_ ;_ * &quot;-&quot;??_ ;_ @_ "/>
    <numFmt numFmtId="166" formatCode="_ * #,##0_ ;_ * \-#,##0_ ;_ * &quot;-&quot;??_ ;_ @_ "/>
    <numFmt numFmtId="167" formatCode="_ &quot;CHF&quot;\ * #,##0_ ;_ &quot;CHF&quot;\ * \-#,##0_ ;_ &quot;CHF&quot;\ * &quot;-&quot;??_ ;_ @_ "/>
    <numFmt numFmtId="168" formatCode="0.0"/>
    <numFmt numFmtId="169" formatCode="_ * #,##0_ ;_ * \-#,##0_ ;_ * &quot;&quot;??_ ;_ @_ "/>
  </numFmts>
  <fonts count="46" x14ac:knownFonts="1">
    <font>
      <sz val="11"/>
      <color theme="1"/>
      <name val="Calibri"/>
      <family val="2"/>
      <scheme val="minor"/>
    </font>
    <font>
      <sz val="11"/>
      <color theme="1"/>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4"/>
      <color theme="0"/>
      <name val="Calibri"/>
      <family val="2"/>
      <scheme val="minor"/>
    </font>
    <font>
      <b/>
      <sz val="11"/>
      <color rgb="FFFF0000"/>
      <name val="Calibri"/>
      <family val="2"/>
      <scheme val="minor"/>
    </font>
    <font>
      <b/>
      <sz val="11"/>
      <name val="Calibri"/>
      <family val="2"/>
      <scheme val="minor"/>
    </font>
    <font>
      <b/>
      <sz val="12"/>
      <name val="Calibri"/>
      <family val="2"/>
      <scheme val="minor"/>
    </font>
    <font>
      <sz val="11"/>
      <name val="Calibri"/>
      <family val="2"/>
      <scheme val="minor"/>
    </font>
    <font>
      <sz val="22"/>
      <name val="Calibri"/>
      <family val="2"/>
      <scheme val="minor"/>
    </font>
    <font>
      <b/>
      <sz val="22"/>
      <name val="Calibri"/>
      <family val="2"/>
      <scheme val="minor"/>
    </font>
    <font>
      <i/>
      <sz val="11"/>
      <color theme="1" tint="0.34998626667073579"/>
      <name val="Calibri"/>
      <family val="2"/>
      <scheme val="minor"/>
    </font>
    <font>
      <b/>
      <sz val="22"/>
      <color theme="5" tint="-0.249977111117893"/>
      <name val="Calibri"/>
      <family val="2"/>
      <scheme val="minor"/>
    </font>
    <font>
      <i/>
      <sz val="10"/>
      <color theme="1" tint="0.249977111117893"/>
      <name val="Calibri"/>
      <family val="2"/>
      <scheme val="minor"/>
    </font>
    <font>
      <b/>
      <i/>
      <sz val="11"/>
      <color theme="1" tint="0.249977111117893"/>
      <name val="Calibri"/>
      <family val="2"/>
      <scheme val="minor"/>
    </font>
    <font>
      <i/>
      <sz val="11"/>
      <color rgb="FF3F3F76"/>
      <name val="Calibri"/>
      <family val="2"/>
      <scheme val="minor"/>
    </font>
    <font>
      <b/>
      <sz val="11"/>
      <color rgb="FF3F3F76"/>
      <name val="Calibri"/>
      <family val="2"/>
      <scheme val="minor"/>
    </font>
    <font>
      <b/>
      <i/>
      <sz val="14"/>
      <color theme="4" tint="-0.249977111117893"/>
      <name val="Calibri"/>
      <family val="2"/>
      <scheme val="minor"/>
    </font>
    <font>
      <b/>
      <sz val="10"/>
      <name val="Calibri"/>
      <family val="2"/>
      <scheme val="minor"/>
    </font>
    <font>
      <b/>
      <i/>
      <sz val="14"/>
      <color theme="0"/>
      <name val="Calibri"/>
      <family val="2"/>
      <scheme val="minor"/>
    </font>
    <font>
      <b/>
      <sz val="18"/>
      <color theme="0"/>
      <name val="Calibri"/>
      <family val="2"/>
      <scheme val="minor"/>
    </font>
    <font>
      <b/>
      <i/>
      <sz val="11"/>
      <color rgb="FF3F3F76"/>
      <name val="Calibri"/>
      <family val="2"/>
      <scheme val="minor"/>
    </font>
    <font>
      <b/>
      <sz val="12"/>
      <color theme="0" tint="-4.9989318521683403E-2"/>
      <name val="Calibri"/>
      <family val="2"/>
      <scheme val="minor"/>
    </font>
    <font>
      <i/>
      <sz val="11"/>
      <color theme="1"/>
      <name val="Calibri"/>
      <family val="2"/>
      <scheme val="minor"/>
    </font>
    <font>
      <i/>
      <sz val="12"/>
      <name val="Calibri"/>
      <family val="2"/>
      <scheme val="minor"/>
    </font>
    <font>
      <b/>
      <i/>
      <sz val="12"/>
      <name val="Calibri"/>
      <family val="2"/>
      <scheme val="minor"/>
    </font>
    <font>
      <b/>
      <sz val="11"/>
      <color theme="5" tint="-0.249977111117893"/>
      <name val="Calibri"/>
      <family val="2"/>
      <scheme val="minor"/>
    </font>
    <font>
      <b/>
      <i/>
      <sz val="10"/>
      <color theme="1" tint="0.249977111117893"/>
      <name val="Calibri"/>
      <family val="2"/>
      <scheme val="minor"/>
    </font>
    <font>
      <b/>
      <i/>
      <sz val="12"/>
      <color rgb="FFFF0000"/>
      <name val="Calibri"/>
      <family val="2"/>
      <scheme val="minor"/>
    </font>
    <font>
      <b/>
      <sz val="11"/>
      <color theme="0"/>
      <name val="Calibri"/>
      <family val="2"/>
      <scheme val="minor"/>
    </font>
    <font>
      <sz val="16"/>
      <color theme="1"/>
      <name val="Calibri"/>
      <family val="2"/>
      <scheme val="minor"/>
    </font>
    <font>
      <sz val="11"/>
      <color rgb="FF9C0006"/>
      <name val="Calibri"/>
      <family val="2"/>
      <scheme val="minor"/>
    </font>
    <font>
      <b/>
      <sz val="11"/>
      <color rgb="FF9C0006"/>
      <name val="Calibri"/>
      <family val="2"/>
      <scheme val="minor"/>
    </font>
    <font>
      <b/>
      <u/>
      <sz val="12"/>
      <color rgb="FF011E41"/>
      <name val="Calibri Light"/>
      <family val="2"/>
      <scheme val="major"/>
    </font>
    <font>
      <sz val="11"/>
      <color theme="1"/>
      <name val="Calibri Light"/>
      <family val="2"/>
      <scheme val="major"/>
    </font>
    <font>
      <b/>
      <u/>
      <sz val="11"/>
      <color rgb="FF011E41"/>
      <name val="Calibri Light"/>
      <family val="2"/>
      <scheme val="major"/>
    </font>
    <font>
      <b/>
      <sz val="11"/>
      <color rgb="FFF5333F"/>
      <name val="Calibri Light"/>
      <family val="2"/>
      <scheme val="major"/>
    </font>
    <font>
      <sz val="11"/>
      <name val="Calibri Light"/>
      <family val="2"/>
      <scheme val="major"/>
    </font>
    <font>
      <i/>
      <sz val="11"/>
      <color rgb="FFF5333F"/>
      <name val="Calibri Light"/>
      <family val="2"/>
      <scheme val="major"/>
    </font>
    <font>
      <b/>
      <i/>
      <sz val="11"/>
      <color rgb="FFF5333F"/>
      <name val="Calibri"/>
      <family val="2"/>
      <scheme val="minor"/>
    </font>
    <font>
      <i/>
      <sz val="11"/>
      <color rgb="FF00B050"/>
      <name val="Calibri Light"/>
      <family val="2"/>
      <scheme val="major"/>
    </font>
    <font>
      <b/>
      <i/>
      <sz val="11"/>
      <color rgb="FF00B050"/>
      <name val="Calibri Light"/>
      <family val="2"/>
      <scheme val="major"/>
    </font>
    <font>
      <sz val="8"/>
      <name val="Calibri"/>
      <family val="2"/>
      <scheme val="minor"/>
    </font>
    <font>
      <b/>
      <u/>
      <sz val="14"/>
      <color theme="8" tint="-0.249977111117893"/>
      <name val="Calibri"/>
      <family val="2"/>
      <scheme val="minor"/>
    </font>
  </fonts>
  <fills count="27">
    <fill>
      <patternFill patternType="none"/>
    </fill>
    <fill>
      <patternFill patternType="gray125"/>
    </fill>
    <fill>
      <patternFill patternType="solid">
        <fgColor rgb="FFFFCC99"/>
      </patternFill>
    </fill>
    <fill>
      <patternFill patternType="solid">
        <fgColor theme="8" tint="-0.49998474074526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249977111117893"/>
        <bgColor indexed="64"/>
      </patternFill>
    </fill>
    <fill>
      <patternFill patternType="solid">
        <fgColor theme="6" tint="0.79998168889431442"/>
        <bgColor theme="6" tint="0.79998168889431442"/>
      </patternFill>
    </fill>
    <fill>
      <patternFill patternType="solid">
        <fgColor theme="7" tint="0.79998168889431442"/>
        <bgColor theme="6" tint="0.79998168889431442"/>
      </patternFill>
    </fill>
    <fill>
      <patternFill patternType="solid">
        <fgColor theme="6" tint="0.79998168889431442"/>
        <bgColor indexed="64"/>
      </patternFill>
    </fill>
    <fill>
      <patternFill patternType="solid">
        <fgColor theme="0"/>
        <bgColor theme="6" tint="0.79998168889431442"/>
      </patternFill>
    </fill>
    <fill>
      <patternFill patternType="solid">
        <fgColor theme="0" tint="-0.34998626667073579"/>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bgColor theme="9"/>
      </patternFill>
    </fill>
    <fill>
      <patternFill patternType="solid">
        <fgColor rgb="FFFFC7CE"/>
      </patternFill>
    </fill>
    <fill>
      <patternFill patternType="solid">
        <fgColor theme="4" tint="0.79998168889431442"/>
        <bgColor theme="4" tint="0.79998168889431442"/>
      </patternFill>
    </fill>
    <fill>
      <patternFill patternType="solid">
        <fgColor rgb="FFF9FBFD"/>
        <bgColor indexed="64"/>
      </patternFill>
    </fill>
    <fill>
      <patternFill patternType="solid">
        <fgColor theme="2"/>
        <bgColor indexed="64"/>
      </patternFill>
    </fill>
    <fill>
      <patternFill patternType="solid">
        <fgColor theme="0" tint="-0.499984740745262"/>
        <bgColor indexed="64"/>
      </patternFill>
    </fill>
    <fill>
      <patternFill patternType="solid">
        <fgColor theme="1" tint="0.499984740745262"/>
        <bgColor indexed="64"/>
      </patternFill>
    </fill>
  </fills>
  <borders count="67">
    <border>
      <left/>
      <right/>
      <top/>
      <bottom/>
      <diagonal/>
    </border>
    <border>
      <left style="thin">
        <color rgb="FF7F7F7F"/>
      </left>
      <right style="thin">
        <color rgb="FF7F7F7F"/>
      </right>
      <top style="thin">
        <color rgb="FF7F7F7F"/>
      </top>
      <bottom style="thin">
        <color rgb="FF7F7F7F"/>
      </bottom>
      <diagonal/>
    </border>
    <border>
      <left/>
      <right/>
      <top/>
      <bottom style="thick">
        <color theme="5" tint="-0.24994659260841701"/>
      </bottom>
      <diagonal/>
    </border>
    <border>
      <left style="thick">
        <color theme="7" tint="-0.24994659260841701"/>
      </left>
      <right/>
      <top/>
      <bottom/>
      <diagonal/>
    </border>
    <border>
      <left style="thick">
        <color theme="6" tint="-0.24994659260841701"/>
      </left>
      <right/>
      <top/>
      <bottom/>
      <diagonal/>
    </border>
    <border>
      <left style="thin">
        <color indexed="64"/>
      </left>
      <right style="thin">
        <color indexed="64"/>
      </right>
      <top style="thin">
        <color indexed="64"/>
      </top>
      <bottom style="thin">
        <color indexed="64"/>
      </bottom>
      <diagonal/>
    </border>
    <border>
      <left style="thick">
        <color theme="5" tint="-0.24994659260841701"/>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top/>
      <bottom style="thin">
        <color theme="0" tint="-0.34998626667073579"/>
      </bottom>
      <diagonal/>
    </border>
    <border>
      <left/>
      <right style="thin">
        <color theme="0" tint="-0.34998626667073579"/>
      </right>
      <top/>
      <bottom/>
      <diagonal/>
    </border>
    <border>
      <left style="medium">
        <color theme="4" tint="-0.24994659260841701"/>
      </left>
      <right style="medium">
        <color theme="4" tint="-0.24994659260841701"/>
      </right>
      <top style="thin">
        <color theme="0" tint="-0.34998626667073579"/>
      </top>
      <bottom style="thin">
        <color theme="0" tint="-0.34998626667073579"/>
      </bottom>
      <diagonal/>
    </border>
    <border>
      <left style="medium">
        <color theme="4" tint="-0.24994659260841701"/>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4" tint="-0.24994659260841701"/>
      </right>
      <top style="thin">
        <color theme="0" tint="-0.34998626667073579"/>
      </top>
      <bottom style="thin">
        <color theme="0" tint="-0.34998626667073579"/>
      </bottom>
      <diagonal/>
    </border>
    <border>
      <left style="medium">
        <color theme="4" tint="-0.24994659260841701"/>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medium">
        <color theme="4" tint="-0.24994659260841701"/>
      </right>
      <top style="thin">
        <color theme="0" tint="-0.34998626667073579"/>
      </top>
      <bottom style="thin">
        <color theme="0" tint="-0.34998626667073579"/>
      </bottom>
      <diagonal/>
    </border>
    <border>
      <left style="medium">
        <color theme="4" tint="-0.24994659260841701"/>
      </left>
      <right style="medium">
        <color theme="4" tint="-0.24994659260841701"/>
      </right>
      <top/>
      <bottom style="thin">
        <color theme="0" tint="-0.34998626667073579"/>
      </bottom>
      <diagonal/>
    </border>
    <border>
      <left style="medium">
        <color theme="4" tint="-0.24994659260841701"/>
      </left>
      <right style="thin">
        <color theme="0" tint="-0.34998626667073579"/>
      </right>
      <top/>
      <bottom style="thin">
        <color theme="0" tint="-0.34998626667073579"/>
      </bottom>
      <diagonal/>
    </border>
    <border>
      <left/>
      <right/>
      <top/>
      <bottom style="thin">
        <color rgb="FF7F7F7F"/>
      </bottom>
      <diagonal/>
    </border>
    <border>
      <left style="thin">
        <color theme="0" tint="-0.34998626667073579"/>
      </left>
      <right/>
      <top/>
      <bottom/>
      <diagonal/>
    </border>
    <border>
      <left style="thin">
        <color indexed="64"/>
      </left>
      <right style="thin">
        <color indexed="64"/>
      </right>
      <top style="thin">
        <color indexed="64"/>
      </top>
      <bottom/>
      <diagonal/>
    </border>
    <border>
      <left style="thin">
        <color theme="0" tint="-0.34998626667073579"/>
      </left>
      <right style="thin">
        <color theme="0" tint="-0.499984740745262"/>
      </right>
      <top style="thin">
        <color theme="0" tint="-0.34998626667073579"/>
      </top>
      <bottom style="thin">
        <color theme="0" tint="-0.34998626667073579"/>
      </bottom>
      <diagonal/>
    </border>
    <border>
      <left style="thin">
        <color theme="0" tint="-0.499984740745262"/>
      </left>
      <right style="medium">
        <color theme="4" tint="-0.24994659260841701"/>
      </right>
      <top style="thin">
        <color theme="0" tint="-0.34998626667073579"/>
      </top>
      <bottom style="thin">
        <color theme="0" tint="-0.3499862666707357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thin">
        <color theme="0" tint="-0.34998626667073579"/>
      </left>
      <right style="thin">
        <color theme="0" tint="-0.499984740745262"/>
      </right>
      <top/>
      <bottom style="thin">
        <color theme="0" tint="-0.34998626667073579"/>
      </bottom>
      <diagonal/>
    </border>
    <border>
      <left style="thin">
        <color theme="0" tint="-0.499984740745262"/>
      </left>
      <right style="medium">
        <color theme="4" tint="-0.24994659260841701"/>
      </right>
      <top/>
      <bottom style="thin">
        <color theme="0" tint="-0.3499862666707357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theme="0" tint="-0.34998626667073579"/>
      </right>
      <top style="medium">
        <color indexed="64"/>
      </top>
      <bottom style="thin">
        <color indexed="64"/>
      </bottom>
      <diagonal/>
    </border>
    <border>
      <left style="thin">
        <color theme="0" tint="-0.34998626667073579"/>
      </left>
      <right style="thin">
        <color theme="0" tint="-0.499984740745262"/>
      </right>
      <top style="medium">
        <color indexed="64"/>
      </top>
      <bottom style="thin">
        <color indexed="64"/>
      </bottom>
      <diagonal/>
    </border>
    <border>
      <left style="thin">
        <color theme="0" tint="-0.499984740745262"/>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theme="4" tint="-0.24994659260841701"/>
      </right>
      <top/>
      <bottom style="thin">
        <color theme="0" tint="-0.34998626667073579"/>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theme="4" tint="-0.24994659260841701"/>
      </right>
      <top style="medium">
        <color indexed="64"/>
      </top>
      <bottom style="thin">
        <color indexed="64"/>
      </bottom>
      <diagonal/>
    </border>
  </borders>
  <cellStyleXfs count="6">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33" fillId="21" borderId="0" applyNumberFormat="0" applyBorder="0" applyAlignment="0" applyProtection="0"/>
  </cellStyleXfs>
  <cellXfs count="293">
    <xf numFmtId="0" fontId="0" fillId="0" borderId="0" xfId="0"/>
    <xf numFmtId="0" fontId="0" fillId="6" borderId="0" xfId="0" applyFill="1" applyProtection="1">
      <protection hidden="1"/>
    </xf>
    <xf numFmtId="0" fontId="5" fillId="6" borderId="0" xfId="0" applyFont="1" applyFill="1" applyAlignment="1" applyProtection="1">
      <alignment horizontal="left" vertical="center" indent="2"/>
      <protection hidden="1"/>
    </xf>
    <xf numFmtId="0" fontId="10" fillId="6" borderId="0" xfId="0" applyFont="1" applyFill="1" applyAlignment="1" applyProtection="1">
      <alignment horizontal="left" vertical="center" indent="2"/>
      <protection hidden="1"/>
    </xf>
    <xf numFmtId="0" fontId="8" fillId="6" borderId="0" xfId="0" applyFont="1" applyFill="1" applyAlignment="1" applyProtection="1">
      <alignment horizontal="centerContinuous" vertical="center" wrapText="1"/>
      <protection hidden="1"/>
    </xf>
    <xf numFmtId="0" fontId="10" fillId="6" borderId="0" xfId="0" applyFont="1" applyFill="1" applyAlignment="1" applyProtection="1">
      <alignment horizontal="centerContinuous" vertical="center"/>
      <protection hidden="1"/>
    </xf>
    <xf numFmtId="0" fontId="0" fillId="6" borderId="0" xfId="0" applyFill="1"/>
    <xf numFmtId="0" fontId="10" fillId="6" borderId="0" xfId="0" applyFont="1" applyFill="1" applyProtection="1">
      <protection hidden="1"/>
    </xf>
    <xf numFmtId="0" fontId="11" fillId="6" borderId="0" xfId="0" applyFont="1" applyFill="1" applyProtection="1">
      <protection hidden="1"/>
    </xf>
    <xf numFmtId="0" fontId="10" fillId="6" borderId="0" xfId="0" applyFont="1" applyFill="1" applyAlignment="1" applyProtection="1">
      <alignment vertical="center"/>
      <protection hidden="1"/>
    </xf>
    <xf numFmtId="0" fontId="10" fillId="6" borderId="0" xfId="0" applyFont="1" applyFill="1" applyAlignment="1" applyProtection="1">
      <alignment horizontal="left" vertical="center" indent="1"/>
      <protection hidden="1"/>
    </xf>
    <xf numFmtId="0" fontId="8" fillId="6" borderId="7" xfId="0" applyFont="1" applyFill="1" applyBorder="1" applyAlignment="1" applyProtection="1">
      <alignment horizontal="centerContinuous" vertical="center" wrapText="1"/>
      <protection hidden="1"/>
    </xf>
    <xf numFmtId="0" fontId="10" fillId="6" borderId="0" xfId="0" applyFont="1" applyFill="1" applyAlignment="1" applyProtection="1">
      <alignment horizontal="right" vertical="center" indent="1"/>
      <protection hidden="1"/>
    </xf>
    <xf numFmtId="0" fontId="8" fillId="6" borderId="8" xfId="0" applyFont="1" applyFill="1" applyBorder="1" applyAlignment="1" applyProtection="1">
      <alignment horizontal="centerContinuous" vertical="center" wrapText="1"/>
      <protection hidden="1"/>
    </xf>
    <xf numFmtId="0" fontId="10" fillId="6" borderId="7" xfId="0" applyFont="1" applyFill="1" applyBorder="1" applyAlignment="1" applyProtection="1">
      <alignment horizontal="left" vertical="center" indent="2"/>
      <protection hidden="1"/>
    </xf>
    <xf numFmtId="0" fontId="10" fillId="6" borderId="8" xfId="0" applyFont="1" applyFill="1" applyBorder="1" applyAlignment="1" applyProtection="1">
      <alignment horizontal="left" vertical="center" indent="2"/>
      <protection hidden="1"/>
    </xf>
    <xf numFmtId="0" fontId="10" fillId="6" borderId="12" xfId="0" applyFont="1" applyFill="1" applyBorder="1" applyAlignment="1" applyProtection="1">
      <alignment horizontal="left" vertical="center" indent="2"/>
      <protection hidden="1"/>
    </xf>
    <xf numFmtId="0" fontId="10" fillId="6" borderId="13" xfId="0" applyFont="1" applyFill="1" applyBorder="1" applyAlignment="1" applyProtection="1">
      <alignment horizontal="left" vertical="center" indent="2"/>
      <protection hidden="1"/>
    </xf>
    <xf numFmtId="0" fontId="10" fillId="6" borderId="14" xfId="0" applyFont="1" applyFill="1" applyBorder="1" applyAlignment="1" applyProtection="1">
      <alignment horizontal="left" vertical="center" indent="2"/>
      <protection hidden="1"/>
    </xf>
    <xf numFmtId="0" fontId="8" fillId="0" borderId="18" xfId="0" applyFont="1" applyBorder="1" applyAlignment="1">
      <alignment horizontal="center" vertical="center" wrapText="1"/>
    </xf>
    <xf numFmtId="0" fontId="8" fillId="9" borderId="18"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0" fontId="10" fillId="8" borderId="18" xfId="0" applyFont="1" applyFill="1" applyBorder="1" applyAlignment="1" applyProtection="1">
      <alignment horizontal="left" vertical="center" indent="1"/>
      <protection hidden="1"/>
    </xf>
    <xf numFmtId="0" fontId="8" fillId="8" borderId="18" xfId="0" applyFont="1" applyFill="1" applyBorder="1" applyAlignment="1" applyProtection="1">
      <alignment horizontal="center" vertical="center"/>
      <protection hidden="1"/>
    </xf>
    <xf numFmtId="0" fontId="10" fillId="9" borderId="18" xfId="0" applyFont="1" applyFill="1" applyBorder="1" applyAlignment="1" applyProtection="1">
      <alignment horizontal="left" vertical="center" indent="1"/>
      <protection locked="0"/>
    </xf>
    <xf numFmtId="0" fontId="8" fillId="0" borderId="18" xfId="0" applyFont="1" applyBorder="1" applyAlignment="1">
      <alignment horizontal="left" vertical="center" wrapText="1" indent="1"/>
    </xf>
    <xf numFmtId="0" fontId="10" fillId="9" borderId="22" xfId="0" applyFont="1" applyFill="1" applyBorder="1" applyAlignment="1" applyProtection="1">
      <alignment horizontal="left" vertical="center" indent="1"/>
      <protection locked="0"/>
    </xf>
    <xf numFmtId="0" fontId="8" fillId="4" borderId="22" xfId="0" applyFont="1" applyFill="1" applyBorder="1" applyAlignment="1" applyProtection="1">
      <alignment horizontal="center" vertical="center"/>
      <protection locked="0"/>
    </xf>
    <xf numFmtId="0" fontId="2" fillId="6" borderId="28" xfId="4" applyFill="1" applyBorder="1" applyAlignment="1">
      <alignment horizontal="left" vertical="center" wrapText="1" indent="1"/>
    </xf>
    <xf numFmtId="0" fontId="4" fillId="6" borderId="0" xfId="0" applyFont="1" applyFill="1" applyAlignment="1">
      <alignment horizontal="center" vertical="center"/>
    </xf>
    <xf numFmtId="0" fontId="8" fillId="11" borderId="0" xfId="0" applyFont="1" applyFill="1" applyAlignment="1" applyProtection="1">
      <alignment horizontal="center" vertical="center"/>
      <protection hidden="1"/>
    </xf>
    <xf numFmtId="0" fontId="8" fillId="6" borderId="0" xfId="0" applyFont="1" applyFill="1" applyAlignment="1" applyProtection="1">
      <alignment horizontal="center" vertical="center"/>
      <protection locked="0"/>
    </xf>
    <xf numFmtId="1" fontId="0" fillId="4" borderId="30" xfId="1" applyNumberFormat="1" applyFont="1" applyFill="1" applyBorder="1" applyAlignment="1" applyProtection="1">
      <alignment horizontal="center" vertical="center"/>
      <protection locked="0"/>
    </xf>
    <xf numFmtId="1" fontId="0" fillId="4" borderId="31" xfId="1" applyNumberFormat="1" applyFont="1" applyFill="1" applyBorder="1" applyAlignment="1" applyProtection="1">
      <alignment horizontal="center" vertical="center"/>
      <protection locked="0"/>
    </xf>
    <xf numFmtId="1" fontId="0" fillId="4" borderId="32" xfId="1" applyNumberFormat="1" applyFont="1" applyFill="1" applyBorder="1" applyAlignment="1" applyProtection="1">
      <alignment horizontal="center" vertical="center"/>
      <protection locked="0"/>
    </xf>
    <xf numFmtId="1" fontId="0" fillId="4" borderId="18" xfId="1" applyNumberFormat="1" applyFont="1" applyFill="1" applyBorder="1" applyAlignment="1" applyProtection="1">
      <alignment horizontal="center" vertical="center"/>
      <protection locked="0"/>
    </xf>
    <xf numFmtId="9" fontId="0" fillId="4" borderId="30" xfId="3" applyFont="1" applyFill="1" applyBorder="1" applyAlignment="1" applyProtection="1">
      <alignment horizontal="center" vertical="center"/>
      <protection locked="0"/>
    </xf>
    <xf numFmtId="166" fontId="1" fillId="4" borderId="19" xfId="1" applyNumberFormat="1" applyFont="1" applyFill="1" applyBorder="1" applyAlignment="1" applyProtection="1">
      <alignment horizontal="center" vertical="center" wrapText="1"/>
      <protection locked="0"/>
    </xf>
    <xf numFmtId="0" fontId="4" fillId="10" borderId="23" xfId="0" applyFont="1" applyFill="1" applyBorder="1" applyAlignment="1">
      <alignment horizontal="center" vertical="center" wrapText="1"/>
    </xf>
    <xf numFmtId="0" fontId="4" fillId="10" borderId="36" xfId="0" applyFont="1" applyFill="1" applyBorder="1" applyAlignment="1">
      <alignment horizontal="center" vertical="center" wrapText="1"/>
    </xf>
    <xf numFmtId="0" fontId="4" fillId="10" borderId="37" xfId="0" applyFont="1" applyFill="1" applyBorder="1" applyAlignment="1">
      <alignment horizontal="center" vertical="center" wrapText="1"/>
    </xf>
    <xf numFmtId="0" fontId="4" fillId="10" borderId="22" xfId="0" applyFont="1" applyFill="1" applyBorder="1" applyAlignment="1">
      <alignment horizontal="center" vertical="center" wrapText="1"/>
    </xf>
    <xf numFmtId="0" fontId="4" fillId="10" borderId="28" xfId="0" applyFont="1" applyFill="1" applyBorder="1" applyAlignment="1">
      <alignment horizontal="center" vertical="center" wrapText="1"/>
    </xf>
    <xf numFmtId="0" fontId="8" fillId="6" borderId="27" xfId="0" applyFont="1" applyFill="1" applyBorder="1" applyAlignment="1" applyProtection="1">
      <alignment horizontal="center" vertical="center"/>
      <protection locked="0"/>
    </xf>
    <xf numFmtId="0" fontId="2" fillId="6" borderId="38" xfId="4" applyFill="1" applyBorder="1" applyAlignment="1">
      <alignment horizontal="left" vertical="center" indent="1"/>
    </xf>
    <xf numFmtId="0" fontId="2" fillId="6" borderId="38" xfId="4" applyFill="1" applyBorder="1" applyAlignment="1">
      <alignment vertical="center"/>
    </xf>
    <xf numFmtId="0" fontId="12" fillId="6" borderId="0" xfId="0" applyFont="1" applyFill="1" applyAlignment="1" applyProtection="1">
      <alignment horizontal="center" vertical="center"/>
      <protection hidden="1"/>
    </xf>
    <xf numFmtId="0" fontId="19" fillId="6" borderId="0" xfId="0" applyFont="1" applyFill="1" applyAlignment="1" applyProtection="1">
      <alignment horizontal="left" vertical="top" indent="1"/>
      <protection hidden="1"/>
    </xf>
    <xf numFmtId="0" fontId="0" fillId="13" borderId="0" xfId="0" applyFill="1" applyAlignment="1">
      <alignment vertical="center"/>
    </xf>
    <xf numFmtId="0" fontId="21" fillId="13" borderId="0" xfId="0" applyFont="1" applyFill="1" applyAlignment="1">
      <alignment vertical="center"/>
    </xf>
    <xf numFmtId="0" fontId="0" fillId="14" borderId="0" xfId="0" applyFill="1"/>
    <xf numFmtId="0" fontId="22" fillId="14" borderId="0" xfId="0" applyFont="1" applyFill="1"/>
    <xf numFmtId="0" fontId="10" fillId="8" borderId="18" xfId="0" applyFont="1" applyFill="1" applyBorder="1" applyAlignment="1" applyProtection="1">
      <alignment horizontal="left" vertical="center" wrapText="1" indent="1"/>
      <protection hidden="1"/>
    </xf>
    <xf numFmtId="0" fontId="10" fillId="10" borderId="18" xfId="0" applyFont="1" applyFill="1" applyBorder="1" applyAlignment="1" applyProtection="1">
      <alignment horizontal="left" vertical="center" wrapText="1" indent="1"/>
      <protection hidden="1"/>
    </xf>
    <xf numFmtId="0" fontId="10" fillId="10" borderId="18" xfId="0" applyFont="1" applyFill="1" applyBorder="1" applyAlignment="1" applyProtection="1">
      <alignment horizontal="left" vertical="center" indent="1"/>
      <protection hidden="1"/>
    </xf>
    <xf numFmtId="166" fontId="0" fillId="4" borderId="30" xfId="1" applyNumberFormat="1" applyFont="1" applyFill="1" applyBorder="1" applyAlignment="1" applyProtection="1">
      <alignment horizontal="center" vertical="center"/>
      <protection locked="0"/>
    </xf>
    <xf numFmtId="166" fontId="0" fillId="4" borderId="31" xfId="1" applyNumberFormat="1" applyFont="1" applyFill="1" applyBorder="1" applyAlignment="1" applyProtection="1">
      <alignment horizontal="center" vertical="center"/>
      <protection locked="0"/>
    </xf>
    <xf numFmtId="166" fontId="0" fillId="4" borderId="18" xfId="1" applyNumberFormat="1" applyFont="1" applyFill="1" applyBorder="1" applyAlignment="1" applyProtection="1">
      <alignment horizontal="center" vertical="center"/>
      <protection locked="0"/>
    </xf>
    <xf numFmtId="0" fontId="2" fillId="6" borderId="5" xfId="4" applyFill="1" applyBorder="1" applyAlignment="1">
      <alignment horizontal="center" vertical="center" wrapText="1"/>
    </xf>
    <xf numFmtId="0" fontId="4" fillId="10" borderId="20" xfId="0" applyFont="1" applyFill="1" applyBorder="1" applyAlignment="1">
      <alignment horizontal="center" vertical="center" wrapText="1"/>
    </xf>
    <xf numFmtId="0" fontId="4" fillId="10" borderId="21" xfId="0" applyFont="1" applyFill="1" applyBorder="1" applyAlignment="1">
      <alignment horizontal="center" vertical="center"/>
    </xf>
    <xf numFmtId="0" fontId="0" fillId="4" borderId="20" xfId="0" applyFill="1" applyBorder="1" applyAlignment="1" applyProtection="1">
      <alignment horizontal="left" vertical="center" wrapText="1" indent="1"/>
      <protection locked="0"/>
    </xf>
    <xf numFmtId="0" fontId="0" fillId="4" borderId="18" xfId="0" applyFill="1" applyBorder="1" applyAlignment="1" applyProtection="1">
      <alignment horizontal="left" vertical="center" wrapText="1" indent="1"/>
      <protection locked="0"/>
    </xf>
    <xf numFmtId="0" fontId="19" fillId="6" borderId="0" xfId="0" applyFont="1" applyFill="1" applyAlignment="1">
      <alignment horizontal="left" vertical="top" indent="1"/>
    </xf>
    <xf numFmtId="0" fontId="12" fillId="6" borderId="0" xfId="0" applyFont="1" applyFill="1" applyAlignment="1">
      <alignment horizontal="center" vertical="center"/>
    </xf>
    <xf numFmtId="0" fontId="2" fillId="6" borderId="0" xfId="4" applyFill="1" applyBorder="1" applyAlignment="1" applyProtection="1">
      <alignment horizontal="left" vertical="center" wrapText="1" indent="1"/>
    </xf>
    <xf numFmtId="0" fontId="2" fillId="6" borderId="0" xfId="4" applyFill="1" applyBorder="1" applyAlignment="1" applyProtection="1">
      <alignment vertical="center" wrapText="1"/>
    </xf>
    <xf numFmtId="0" fontId="10" fillId="6" borderId="0" xfId="0" applyFont="1" applyFill="1"/>
    <xf numFmtId="0" fontId="13" fillId="6" borderId="0" xfId="0" applyFont="1" applyFill="1" applyAlignment="1">
      <alignment horizontal="center"/>
    </xf>
    <xf numFmtId="0" fontId="15" fillId="6" borderId="0" xfId="0" applyFont="1" applyFill="1"/>
    <xf numFmtId="0" fontId="0" fillId="7" borderId="0" xfId="0" applyFill="1"/>
    <xf numFmtId="0" fontId="10" fillId="8" borderId="20" xfId="0" applyFont="1" applyFill="1" applyBorder="1" applyAlignment="1" applyProtection="1">
      <alignment horizontal="left" vertical="center" wrapText="1" indent="1"/>
      <protection hidden="1"/>
    </xf>
    <xf numFmtId="0" fontId="8" fillId="9" borderId="19"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21" xfId="0" applyFont="1" applyBorder="1" applyAlignment="1">
      <alignment horizontal="left" vertical="center" wrapText="1" inden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10" fillId="8" borderId="24" xfId="0" applyFont="1" applyFill="1" applyBorder="1" applyAlignment="1" applyProtection="1">
      <alignment horizontal="left" vertical="center" wrapText="1" indent="1"/>
      <protection hidden="1"/>
    </xf>
    <xf numFmtId="0" fontId="8" fillId="4" borderId="25" xfId="0" applyFont="1" applyFill="1" applyBorder="1" applyAlignment="1" applyProtection="1">
      <alignment horizontal="center" vertical="center"/>
      <protection locked="0"/>
    </xf>
    <xf numFmtId="0" fontId="8" fillId="4" borderId="26" xfId="0" applyFont="1" applyFill="1" applyBorder="1" applyAlignment="1" applyProtection="1">
      <alignment horizontal="center" vertical="center"/>
      <protection locked="0"/>
    </xf>
    <xf numFmtId="0" fontId="2" fillId="6" borderId="0" xfId="4" applyFill="1" applyBorder="1" applyAlignment="1">
      <alignment horizontal="left" vertical="center" indent="1"/>
    </xf>
    <xf numFmtId="0" fontId="2" fillId="6" borderId="39" xfId="4" applyFill="1" applyBorder="1" applyAlignment="1">
      <alignment vertical="center"/>
    </xf>
    <xf numFmtId="0" fontId="8" fillId="4" borderId="23" xfId="0" applyFont="1" applyFill="1" applyBorder="1" applyAlignment="1" applyProtection="1">
      <alignment horizontal="center" vertical="center"/>
      <protection locked="0"/>
    </xf>
    <xf numFmtId="0" fontId="2" fillId="15" borderId="6" xfId="4" applyFill="1" applyBorder="1" applyAlignment="1">
      <alignment horizontal="left" vertical="center" indent="1"/>
    </xf>
    <xf numFmtId="0" fontId="2" fillId="15" borderId="39" xfId="4" applyFill="1" applyBorder="1" applyAlignment="1">
      <alignment vertical="center"/>
    </xf>
    <xf numFmtId="0" fontId="2" fillId="15" borderId="0" xfId="4" applyFill="1" applyBorder="1" applyAlignment="1">
      <alignment vertical="center"/>
    </xf>
    <xf numFmtId="0" fontId="10" fillId="11" borderId="27" xfId="0" applyFont="1" applyFill="1" applyBorder="1" applyAlignment="1" applyProtection="1">
      <alignment horizontal="left" vertical="center" indent="1"/>
      <protection hidden="1"/>
    </xf>
    <xf numFmtId="0" fontId="10" fillId="6" borderId="27" xfId="0" applyFont="1" applyFill="1" applyBorder="1" applyAlignment="1" applyProtection="1">
      <alignment horizontal="left" vertical="center" indent="1"/>
      <protection hidden="1"/>
    </xf>
    <xf numFmtId="166" fontId="0" fillId="4" borderId="41" xfId="1" applyNumberFormat="1" applyFont="1" applyFill="1" applyBorder="1" applyAlignment="1" applyProtection="1">
      <alignment horizontal="center" vertical="center"/>
      <protection locked="0"/>
    </xf>
    <xf numFmtId="166" fontId="0" fillId="4" borderId="42" xfId="1" applyNumberFormat="1" applyFont="1" applyFill="1" applyBorder="1" applyAlignment="1" applyProtection="1">
      <alignment horizontal="center" vertical="center"/>
      <protection locked="0"/>
    </xf>
    <xf numFmtId="0" fontId="2" fillId="6" borderId="0" xfId="4" applyFill="1" applyBorder="1" applyAlignment="1">
      <alignment horizontal="left" vertical="center" wrapText="1" indent="1"/>
    </xf>
    <xf numFmtId="0" fontId="18" fillId="6" borderId="17" xfId="4" applyFont="1" applyFill="1" applyBorder="1" applyAlignment="1">
      <alignment horizontal="center" vertical="center" wrapText="1"/>
    </xf>
    <xf numFmtId="0" fontId="10" fillId="4" borderId="22" xfId="0" applyFont="1" applyFill="1" applyBorder="1" applyAlignment="1" applyProtection="1">
      <alignment horizontal="left" vertical="center" indent="1"/>
      <protection locked="0"/>
    </xf>
    <xf numFmtId="0" fontId="10" fillId="4" borderId="21" xfId="0" applyFont="1" applyFill="1" applyBorder="1" applyAlignment="1" applyProtection="1">
      <alignment horizontal="left" vertical="center" indent="1"/>
      <protection locked="0"/>
    </xf>
    <xf numFmtId="0" fontId="8" fillId="9" borderId="22" xfId="0" applyFont="1" applyFill="1" applyBorder="1" applyAlignment="1" applyProtection="1">
      <alignment horizontal="center" vertical="center"/>
      <protection locked="0"/>
    </xf>
    <xf numFmtId="0" fontId="10" fillId="4" borderId="18" xfId="0" applyFont="1" applyFill="1" applyBorder="1" applyAlignment="1" applyProtection="1">
      <alignment horizontal="left" vertical="center" indent="1"/>
      <protection locked="0"/>
    </xf>
    <xf numFmtId="0" fontId="10" fillId="4" borderId="29" xfId="0" applyFont="1" applyFill="1" applyBorder="1" applyAlignment="1" applyProtection="1">
      <alignment horizontal="left" vertical="center" indent="1"/>
      <protection locked="0"/>
    </xf>
    <xf numFmtId="0" fontId="8" fillId="9" borderId="25" xfId="0" applyFont="1" applyFill="1" applyBorder="1" applyAlignment="1" applyProtection="1">
      <alignment horizontal="center" vertical="center"/>
      <protection locked="0"/>
    </xf>
    <xf numFmtId="167" fontId="4" fillId="4" borderId="5" xfId="2" applyNumberFormat="1" applyFont="1" applyFill="1" applyBorder="1" applyAlignment="1" applyProtection="1">
      <alignment horizontal="center" vertical="center"/>
      <protection locked="0"/>
    </xf>
    <xf numFmtId="167" fontId="0" fillId="4" borderId="5" xfId="2" applyNumberFormat="1" applyFont="1" applyFill="1" applyBorder="1" applyAlignment="1" applyProtection="1">
      <alignment horizontal="center" vertical="center"/>
      <protection locked="0"/>
    </xf>
    <xf numFmtId="167" fontId="0" fillId="4" borderId="15" xfId="2" applyNumberFormat="1" applyFont="1" applyFill="1" applyBorder="1" applyAlignment="1" applyProtection="1">
      <alignment horizontal="center" vertical="center"/>
      <protection locked="0"/>
    </xf>
    <xf numFmtId="167" fontId="0" fillId="4" borderId="40" xfId="2" applyNumberFormat="1" applyFont="1" applyFill="1" applyBorder="1" applyAlignment="1" applyProtection="1">
      <alignment horizontal="center" vertical="center"/>
      <protection locked="0"/>
    </xf>
    <xf numFmtId="167" fontId="0" fillId="4" borderId="9" xfId="2" applyNumberFormat="1" applyFont="1" applyFill="1" applyBorder="1" applyAlignment="1" applyProtection="1">
      <alignment horizontal="center" vertical="center"/>
      <protection locked="0"/>
    </xf>
    <xf numFmtId="0" fontId="0" fillId="13" borderId="0" xfId="0" applyFill="1" applyAlignment="1" applyProtection="1">
      <alignment vertical="center"/>
      <protection hidden="1"/>
    </xf>
    <xf numFmtId="0" fontId="21" fillId="13" borderId="0" xfId="0" applyFont="1" applyFill="1" applyAlignment="1" applyProtection="1">
      <alignment vertical="center"/>
      <protection hidden="1"/>
    </xf>
    <xf numFmtId="0" fontId="20" fillId="10" borderId="5" xfId="0" applyFont="1" applyFill="1" applyBorder="1" applyAlignment="1" applyProtection="1">
      <alignment horizontal="center" vertical="center" wrapText="1"/>
      <protection hidden="1"/>
    </xf>
    <xf numFmtId="0" fontId="20" fillId="6" borderId="0" xfId="0" applyFont="1" applyFill="1" applyAlignment="1" applyProtection="1">
      <alignment horizontal="center" vertical="center" wrapText="1"/>
      <protection hidden="1"/>
    </xf>
    <xf numFmtId="0" fontId="4" fillId="17" borderId="5" xfId="0" applyFont="1" applyFill="1" applyBorder="1" applyAlignment="1" applyProtection="1">
      <alignment horizontal="center" vertical="center"/>
      <protection hidden="1"/>
    </xf>
    <xf numFmtId="167" fontId="4" fillId="6" borderId="0" xfId="2" applyNumberFormat="1" applyFont="1" applyFill="1" applyBorder="1" applyAlignment="1" applyProtection="1">
      <alignment horizontal="center" vertical="center"/>
      <protection hidden="1"/>
    </xf>
    <xf numFmtId="0" fontId="4" fillId="18" borderId="5" xfId="0" applyFont="1" applyFill="1" applyBorder="1" applyAlignment="1" applyProtection="1">
      <alignment horizontal="center" vertical="center"/>
      <protection hidden="1"/>
    </xf>
    <xf numFmtId="0" fontId="0" fillId="6" borderId="0" xfId="0" applyFill="1" applyAlignment="1" applyProtection="1">
      <alignment vertical="center"/>
      <protection hidden="1"/>
    </xf>
    <xf numFmtId="0" fontId="25" fillId="6" borderId="0" xfId="0" applyFont="1" applyFill="1" applyAlignment="1" applyProtection="1">
      <alignment vertical="top" wrapText="1"/>
      <protection hidden="1"/>
    </xf>
    <xf numFmtId="0" fontId="20" fillId="10" borderId="15" xfId="0" applyFont="1" applyFill="1" applyBorder="1" applyAlignment="1" applyProtection="1">
      <alignment horizontal="center" vertical="center" wrapText="1"/>
      <protection hidden="1"/>
    </xf>
    <xf numFmtId="167" fontId="8" fillId="10" borderId="5" xfId="0" applyNumberFormat="1" applyFont="1" applyFill="1" applyBorder="1" applyAlignment="1" applyProtection="1">
      <alignment horizontal="center" vertical="center" wrapText="1"/>
      <protection hidden="1"/>
    </xf>
    <xf numFmtId="167" fontId="8" fillId="10" borderId="15" xfId="0" applyNumberFormat="1" applyFont="1" applyFill="1" applyBorder="1" applyAlignment="1" applyProtection="1">
      <alignment horizontal="center" vertical="center" wrapText="1"/>
      <protection hidden="1"/>
    </xf>
    <xf numFmtId="167" fontId="8" fillId="6" borderId="0" xfId="0" applyNumberFormat="1" applyFont="1" applyFill="1" applyAlignment="1" applyProtection="1">
      <alignment horizontal="center" vertical="center" wrapText="1"/>
      <protection hidden="1"/>
    </xf>
    <xf numFmtId="0" fontId="0" fillId="6" borderId="5" xfId="0" applyFill="1" applyBorder="1" applyAlignment="1" applyProtection="1">
      <alignment horizontal="right" vertical="center" indent="1"/>
      <protection hidden="1"/>
    </xf>
    <xf numFmtId="167" fontId="0" fillId="6" borderId="0" xfId="2" applyNumberFormat="1" applyFont="1" applyFill="1" applyBorder="1" applyAlignment="1" applyProtection="1">
      <alignment horizontal="center" vertical="center"/>
      <protection hidden="1"/>
    </xf>
    <xf numFmtId="0" fontId="0" fillId="6" borderId="40" xfId="0" applyFill="1" applyBorder="1" applyAlignment="1" applyProtection="1">
      <alignment horizontal="right" vertical="center" indent="1"/>
      <protection hidden="1"/>
    </xf>
    <xf numFmtId="168" fontId="0" fillId="4" borderId="30" xfId="1" applyNumberFormat="1" applyFont="1" applyFill="1" applyBorder="1" applyAlignment="1" applyProtection="1">
      <alignment horizontal="center" vertical="center"/>
      <protection locked="0"/>
    </xf>
    <xf numFmtId="0" fontId="8" fillId="9" borderId="26" xfId="0" applyFont="1" applyFill="1" applyBorder="1" applyAlignment="1" applyProtection="1">
      <alignment horizontal="center" vertical="center"/>
      <protection locked="0"/>
    </xf>
    <xf numFmtId="0" fontId="0" fillId="0" borderId="21" xfId="0" applyBorder="1" applyAlignment="1">
      <alignment horizontal="left" vertical="center" wrapText="1"/>
    </xf>
    <xf numFmtId="0" fontId="0" fillId="0" borderId="22" xfId="0" applyBorder="1" applyAlignment="1">
      <alignment horizontal="center" vertical="center" wrapText="1"/>
    </xf>
    <xf numFmtId="0" fontId="0" fillId="0" borderId="22" xfId="0" applyBorder="1" applyAlignment="1">
      <alignment horizontal="center" wrapText="1"/>
    </xf>
    <xf numFmtId="0" fontId="0" fillId="0" borderId="23" xfId="0" applyBorder="1" applyAlignment="1">
      <alignment horizontal="center" vertical="center" wrapText="1"/>
    </xf>
    <xf numFmtId="0" fontId="0" fillId="0" borderId="18" xfId="0" applyBorder="1" applyAlignment="1">
      <alignment vertical="center" wrapText="1"/>
    </xf>
    <xf numFmtId="0" fontId="0" fillId="0" borderId="19" xfId="0" applyBorder="1" applyAlignment="1">
      <alignment vertical="center" wrapText="1"/>
    </xf>
    <xf numFmtId="0" fontId="30" fillId="6" borderId="0" xfId="0" quotePrefix="1" applyFont="1" applyFill="1" applyAlignment="1" applyProtection="1">
      <alignment horizontal="left" vertical="top" indent="1"/>
      <protection hidden="1"/>
    </xf>
    <xf numFmtId="0" fontId="10" fillId="6" borderId="0" xfId="0" applyFont="1" applyFill="1" applyAlignment="1">
      <alignment vertical="top"/>
    </xf>
    <xf numFmtId="0" fontId="8" fillId="19" borderId="0" xfId="0" applyFont="1" applyFill="1" applyAlignment="1">
      <alignment horizontal="right" vertical="center" wrapText="1"/>
    </xf>
    <xf numFmtId="0" fontId="21" fillId="13" borderId="0" xfId="0" applyFont="1" applyFill="1" applyAlignment="1" applyProtection="1">
      <alignment horizontal="left" vertical="center" indent="4"/>
      <protection hidden="1"/>
    </xf>
    <xf numFmtId="0" fontId="31" fillId="20" borderId="49" xfId="0" applyFont="1" applyFill="1" applyBorder="1"/>
    <xf numFmtId="166" fontId="0" fillId="0" borderId="0" xfId="1" applyNumberFormat="1" applyFont="1"/>
    <xf numFmtId="166" fontId="10" fillId="4" borderId="5" xfId="1" applyNumberFormat="1" applyFont="1" applyFill="1" applyBorder="1" applyAlignment="1" applyProtection="1">
      <alignment vertical="center"/>
      <protection locked="0" hidden="1"/>
    </xf>
    <xf numFmtId="0" fontId="7" fillId="6" borderId="0" xfId="0" applyFont="1" applyFill="1" applyAlignment="1" applyProtection="1">
      <alignment vertical="center"/>
      <protection hidden="1"/>
    </xf>
    <xf numFmtId="0" fontId="7" fillId="6" borderId="0" xfId="0" applyFont="1" applyFill="1" applyAlignment="1" applyProtection="1">
      <alignment horizontal="center" vertical="center"/>
      <protection hidden="1"/>
    </xf>
    <xf numFmtId="166" fontId="13" fillId="19" borderId="0" xfId="1" applyNumberFormat="1" applyFont="1" applyFill="1" applyAlignment="1" applyProtection="1">
      <alignment horizontal="center"/>
      <protection hidden="1"/>
    </xf>
    <xf numFmtId="166" fontId="10" fillId="19" borderId="0" xfId="1" applyNumberFormat="1" applyFont="1" applyFill="1" applyProtection="1">
      <protection hidden="1"/>
    </xf>
    <xf numFmtId="166" fontId="10" fillId="19" borderId="0" xfId="1" applyNumberFormat="1" applyFont="1" applyFill="1"/>
    <xf numFmtId="0" fontId="0" fillId="22" borderId="50" xfId="0" applyFill="1" applyBorder="1"/>
    <xf numFmtId="0" fontId="0" fillId="22" borderId="51" xfId="0" applyFill="1" applyBorder="1"/>
    <xf numFmtId="166" fontId="0" fillId="10" borderId="34" xfId="1" applyNumberFormat="1" applyFont="1" applyFill="1" applyBorder="1" applyAlignment="1" applyProtection="1">
      <alignment horizontal="center" vertical="center" wrapText="1"/>
      <protection hidden="1"/>
    </xf>
    <xf numFmtId="166" fontId="3" fillId="12" borderId="33" xfId="1" applyNumberFormat="1" applyFont="1" applyFill="1" applyBorder="1" applyAlignment="1" applyProtection="1">
      <alignment horizontal="center" vertical="center"/>
      <protection locked="0"/>
    </xf>
    <xf numFmtId="166" fontId="3" fillId="12" borderId="34" xfId="1" applyNumberFormat="1" applyFont="1" applyFill="1" applyBorder="1" applyAlignment="1" applyProtection="1">
      <alignment horizontal="center" vertical="center"/>
      <protection locked="0"/>
    </xf>
    <xf numFmtId="166" fontId="3" fillId="12" borderId="35" xfId="1" applyNumberFormat="1" applyFont="1" applyFill="1" applyBorder="1" applyAlignment="1" applyProtection="1">
      <alignment horizontal="center" vertical="center"/>
      <protection locked="0"/>
    </xf>
    <xf numFmtId="166" fontId="3" fillId="12" borderId="30" xfId="1" applyNumberFormat="1" applyFont="1" applyFill="1" applyBorder="1" applyAlignment="1" applyProtection="1">
      <alignment horizontal="center" vertical="center"/>
      <protection locked="0"/>
    </xf>
    <xf numFmtId="0" fontId="0" fillId="6" borderId="17" xfId="0" applyFill="1" applyBorder="1" applyAlignment="1" applyProtection="1">
      <alignment horizontal="right" vertical="center" indent="1"/>
      <protection hidden="1"/>
    </xf>
    <xf numFmtId="0" fontId="0" fillId="0" borderId="15" xfId="0" applyBorder="1" applyProtection="1">
      <protection hidden="1"/>
    </xf>
    <xf numFmtId="0" fontId="0" fillId="0" borderId="7" xfId="0" applyBorder="1" applyProtection="1">
      <protection hidden="1"/>
    </xf>
    <xf numFmtId="166" fontId="0" fillId="10" borderId="18" xfId="1" applyNumberFormat="1" applyFont="1" applyFill="1" applyBorder="1" applyAlignment="1" applyProtection="1">
      <alignment horizontal="left" vertical="center" wrapText="1" indent="1"/>
      <protection locked="0"/>
    </xf>
    <xf numFmtId="0" fontId="0" fillId="10" borderId="18" xfId="0" applyFill="1" applyBorder="1" applyAlignment="1" applyProtection="1">
      <alignment horizontal="left" vertical="center" wrapText="1" indent="1"/>
      <protection locked="0"/>
    </xf>
    <xf numFmtId="166" fontId="0" fillId="10" borderId="18" xfId="1" applyNumberFormat="1" applyFont="1" applyFill="1" applyBorder="1" applyAlignment="1" applyProtection="1">
      <alignment horizontal="left" vertical="center" wrapText="1" indent="1"/>
    </xf>
    <xf numFmtId="166" fontId="0" fillId="10" borderId="34" xfId="1" applyNumberFormat="1" applyFont="1" applyFill="1" applyBorder="1" applyAlignment="1" applyProtection="1">
      <alignment horizontal="center" vertical="center"/>
      <protection hidden="1"/>
    </xf>
    <xf numFmtId="166" fontId="3" fillId="12" borderId="33" xfId="1" applyNumberFormat="1" applyFont="1" applyFill="1" applyBorder="1" applyAlignment="1" applyProtection="1">
      <alignment horizontal="center" vertical="center"/>
    </xf>
    <xf numFmtId="166" fontId="3" fillId="12" borderId="34" xfId="1" applyNumberFormat="1" applyFont="1" applyFill="1" applyBorder="1" applyAlignment="1" applyProtection="1">
      <alignment horizontal="center" vertical="center"/>
    </xf>
    <xf numFmtId="166" fontId="3" fillId="12" borderId="35" xfId="1" applyNumberFormat="1" applyFont="1" applyFill="1" applyBorder="1" applyAlignment="1" applyProtection="1">
      <alignment horizontal="center" vertical="center"/>
    </xf>
    <xf numFmtId="9" fontId="0" fillId="10" borderId="34" xfId="3" applyFont="1" applyFill="1" applyBorder="1" applyAlignment="1" applyProtection="1">
      <alignment horizontal="center" vertical="center"/>
      <protection hidden="1"/>
    </xf>
    <xf numFmtId="0" fontId="0" fillId="6" borderId="0" xfId="0" applyFill="1" applyAlignment="1">
      <alignment horizontal="left" vertical="center" indent="1"/>
    </xf>
    <xf numFmtId="0" fontId="0" fillId="6" borderId="29" xfId="0" applyFill="1" applyBorder="1" applyAlignment="1">
      <alignment horizontal="left" vertical="center" indent="1"/>
    </xf>
    <xf numFmtId="0" fontId="4" fillId="10" borderId="21" xfId="0" applyFont="1" applyFill="1" applyBorder="1" applyAlignment="1">
      <alignment horizontal="center" vertical="center" wrapText="1"/>
    </xf>
    <xf numFmtId="0" fontId="4" fillId="10" borderId="22" xfId="0" applyFont="1" applyFill="1" applyBorder="1" applyAlignment="1">
      <alignment horizontal="center" vertical="center"/>
    </xf>
    <xf numFmtId="0" fontId="0" fillId="4" borderId="20" xfId="0" applyFill="1" applyBorder="1" applyAlignment="1" applyProtection="1">
      <alignment horizontal="left" vertical="center" wrapText="1" indent="1"/>
      <protection locked="0" hidden="1"/>
    </xf>
    <xf numFmtId="0" fontId="0" fillId="4" borderId="18" xfId="0" applyFill="1" applyBorder="1" applyAlignment="1" applyProtection="1">
      <alignment horizontal="left" vertical="center" wrapText="1" indent="1"/>
      <protection locked="0" hidden="1"/>
    </xf>
    <xf numFmtId="166" fontId="0" fillId="10" borderId="19" xfId="1" applyNumberFormat="1" applyFont="1" applyFill="1" applyBorder="1" applyAlignment="1" applyProtection="1">
      <alignment horizontal="center" vertical="center"/>
      <protection hidden="1"/>
    </xf>
    <xf numFmtId="166" fontId="0" fillId="10" borderId="26" xfId="1" applyNumberFormat="1" applyFont="1" applyFill="1" applyBorder="1" applyAlignment="1" applyProtection="1">
      <alignment horizontal="center" vertical="center"/>
      <protection hidden="1"/>
    </xf>
    <xf numFmtId="0" fontId="36" fillId="19" borderId="52" xfId="0" applyFont="1" applyFill="1" applyBorder="1" applyAlignment="1">
      <alignment horizontal="left" vertical="center" wrapText="1" indent="1"/>
    </xf>
    <xf numFmtId="0" fontId="36" fillId="23" borderId="52" xfId="0" applyFont="1" applyFill="1" applyBorder="1" applyAlignment="1">
      <alignment horizontal="left" vertical="center" wrapText="1" indent="1"/>
    </xf>
    <xf numFmtId="0" fontId="0" fillId="10" borderId="18" xfId="0" applyFill="1" applyBorder="1" applyAlignment="1">
      <alignment horizontal="left" vertical="center" wrapText="1" indent="1"/>
    </xf>
    <xf numFmtId="166" fontId="0" fillId="4" borderId="19" xfId="1" applyNumberFormat="1" applyFont="1" applyFill="1" applyBorder="1" applyAlignment="1" applyProtection="1">
      <alignment horizontal="center" vertical="center" wrapText="1"/>
      <protection locked="0"/>
    </xf>
    <xf numFmtId="0" fontId="32" fillId="6" borderId="0" xfId="0" applyFont="1" applyFill="1" applyAlignment="1" applyProtection="1">
      <alignment vertical="center" textRotation="90"/>
      <protection hidden="1"/>
    </xf>
    <xf numFmtId="0" fontId="10" fillId="10" borderId="18" xfId="0" applyFont="1" applyFill="1" applyBorder="1" applyAlignment="1" applyProtection="1">
      <alignment horizontal="left" vertical="center" wrapText="1" indent="1"/>
      <protection locked="0"/>
    </xf>
    <xf numFmtId="169" fontId="0" fillId="12" borderId="34" xfId="1" applyNumberFormat="1" applyFont="1" applyFill="1" applyBorder="1" applyAlignment="1" applyProtection="1">
      <alignment horizontal="center" vertical="center"/>
      <protection hidden="1"/>
    </xf>
    <xf numFmtId="166" fontId="0" fillId="12" borderId="33" xfId="1" applyNumberFormat="1" applyFont="1" applyFill="1" applyBorder="1" applyAlignment="1" applyProtection="1">
      <alignment horizontal="center" vertical="center"/>
      <protection locked="0"/>
    </xf>
    <xf numFmtId="0" fontId="18" fillId="6" borderId="52" xfId="4" applyFont="1" applyFill="1" applyBorder="1" applyAlignment="1" applyProtection="1">
      <alignment horizontal="center" vertical="center" wrapText="1"/>
    </xf>
    <xf numFmtId="166" fontId="0" fillId="4" borderId="36" xfId="1" applyNumberFormat="1" applyFont="1" applyFill="1" applyBorder="1" applyAlignment="1" applyProtection="1">
      <alignment horizontal="center" vertical="center"/>
      <protection locked="0"/>
    </xf>
    <xf numFmtId="166" fontId="0" fillId="4" borderId="37" xfId="1" applyNumberFormat="1" applyFont="1" applyFill="1" applyBorder="1" applyAlignment="1" applyProtection="1">
      <alignment horizontal="center" vertical="center"/>
      <protection locked="0"/>
    </xf>
    <xf numFmtId="166" fontId="0" fillId="4" borderId="53" xfId="1" applyNumberFormat="1" applyFont="1" applyFill="1" applyBorder="1" applyAlignment="1" applyProtection="1">
      <alignment horizontal="center" vertical="center"/>
      <protection locked="0"/>
    </xf>
    <xf numFmtId="166" fontId="0" fillId="4" borderId="54" xfId="1" applyNumberFormat="1" applyFont="1" applyFill="1" applyBorder="1" applyAlignment="1" applyProtection="1">
      <alignment horizontal="center" vertical="center"/>
      <protection locked="0"/>
    </xf>
    <xf numFmtId="166" fontId="0" fillId="4" borderId="22" xfId="1" applyNumberFormat="1" applyFont="1" applyFill="1" applyBorder="1" applyAlignment="1" applyProtection="1">
      <alignment horizontal="center" vertical="center"/>
      <protection locked="0"/>
    </xf>
    <xf numFmtId="166" fontId="0" fillId="12" borderId="30" xfId="1" applyNumberFormat="1" applyFont="1" applyFill="1" applyBorder="1" applyAlignment="1" applyProtection="1">
      <alignment horizontal="center" vertical="center"/>
      <protection locked="0"/>
    </xf>
    <xf numFmtId="9" fontId="0" fillId="24" borderId="34" xfId="3" applyFont="1" applyFill="1" applyBorder="1" applyAlignment="1" applyProtection="1">
      <alignment horizontal="center" vertical="center"/>
      <protection hidden="1"/>
    </xf>
    <xf numFmtId="0" fontId="4" fillId="10" borderId="5" xfId="0" applyFont="1" applyFill="1" applyBorder="1" applyAlignment="1">
      <alignment horizontal="center" vertical="center" wrapText="1"/>
    </xf>
    <xf numFmtId="166" fontId="0" fillId="10" borderId="28" xfId="1" applyNumberFormat="1" applyFont="1" applyFill="1" applyBorder="1" applyAlignment="1" applyProtection="1">
      <alignment horizontal="center" vertical="center"/>
      <protection hidden="1"/>
    </xf>
    <xf numFmtId="0" fontId="4" fillId="10" borderId="58" xfId="0" applyFont="1" applyFill="1" applyBorder="1" applyAlignment="1">
      <alignment horizontal="center" vertical="center" wrapText="1"/>
    </xf>
    <xf numFmtId="0" fontId="4" fillId="10" borderId="59" xfId="0" applyFont="1" applyFill="1" applyBorder="1" applyAlignment="1">
      <alignment horizontal="center" vertical="center" wrapText="1"/>
    </xf>
    <xf numFmtId="0" fontId="4" fillId="10" borderId="60" xfId="0" applyFont="1" applyFill="1" applyBorder="1" applyAlignment="1">
      <alignment horizontal="center" vertical="center" wrapText="1"/>
    </xf>
    <xf numFmtId="0" fontId="4" fillId="10" borderId="61" xfId="0" applyFont="1" applyFill="1" applyBorder="1" applyAlignment="1">
      <alignment horizontal="center" vertical="center" wrapText="1"/>
    </xf>
    <xf numFmtId="0" fontId="4" fillId="10" borderId="62" xfId="0" applyFont="1" applyFill="1" applyBorder="1" applyAlignment="1">
      <alignment horizontal="center" vertical="center" wrapText="1"/>
    </xf>
    <xf numFmtId="1" fontId="0" fillId="4" borderId="37" xfId="1" applyNumberFormat="1" applyFont="1" applyFill="1" applyBorder="1" applyAlignment="1" applyProtection="1">
      <alignment horizontal="center" vertical="center"/>
      <protection locked="0"/>
    </xf>
    <xf numFmtId="1" fontId="0" fillId="4" borderId="22" xfId="1" applyNumberFormat="1" applyFont="1" applyFill="1" applyBorder="1" applyAlignment="1" applyProtection="1">
      <alignment horizontal="center" vertical="center"/>
      <protection locked="0"/>
    </xf>
    <xf numFmtId="0" fontId="4" fillId="10" borderId="63" xfId="0" applyFont="1" applyFill="1" applyBorder="1" applyAlignment="1">
      <alignment horizontal="center" vertical="center" wrapText="1"/>
    </xf>
    <xf numFmtId="0" fontId="4" fillId="10" borderId="53" xfId="0" applyFont="1" applyFill="1" applyBorder="1" applyAlignment="1">
      <alignment horizontal="center" vertical="center" wrapText="1"/>
    </xf>
    <xf numFmtId="0" fontId="4" fillId="10" borderId="54" xfId="0" applyFont="1" applyFill="1" applyBorder="1" applyAlignment="1">
      <alignment horizontal="center" vertical="center" wrapText="1"/>
    </xf>
    <xf numFmtId="0" fontId="4" fillId="10" borderId="64" xfId="0" applyFont="1" applyFill="1" applyBorder="1" applyAlignment="1">
      <alignment horizontal="center" vertical="center" wrapText="1"/>
    </xf>
    <xf numFmtId="0" fontId="4" fillId="10" borderId="14" xfId="0" applyFont="1" applyFill="1" applyBorder="1" applyAlignment="1">
      <alignment horizontal="center" vertical="center" wrapText="1"/>
    </xf>
    <xf numFmtId="166" fontId="0" fillId="4" borderId="20" xfId="1" applyNumberFormat="1" applyFont="1" applyFill="1" applyBorder="1" applyAlignment="1" applyProtection="1">
      <alignment horizontal="center" vertical="center"/>
      <protection locked="0"/>
    </xf>
    <xf numFmtId="0" fontId="4" fillId="10" borderId="65" xfId="0" applyFont="1" applyFill="1" applyBorder="1" applyAlignment="1">
      <alignment horizontal="center" vertical="center" wrapText="1"/>
    </xf>
    <xf numFmtId="0" fontId="4" fillId="10" borderId="66" xfId="0" applyFont="1" applyFill="1" applyBorder="1" applyAlignment="1">
      <alignment horizontal="center" vertical="center" wrapText="1"/>
    </xf>
    <xf numFmtId="166" fontId="0" fillId="4" borderId="32" xfId="1" applyNumberFormat="1" applyFont="1" applyFill="1" applyBorder="1" applyAlignment="1" applyProtection="1">
      <alignment horizontal="center" vertical="center"/>
      <protection locked="0"/>
    </xf>
    <xf numFmtId="0" fontId="0" fillId="0" borderId="20" xfId="0" applyBorder="1" applyAlignment="1">
      <alignment horizontal="center"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18" xfId="0" applyBorder="1" applyAlignment="1">
      <alignment horizontal="left" vertical="center" wrapText="1" indent="1"/>
    </xf>
    <xf numFmtId="0" fontId="0" fillId="0" borderId="34" xfId="0" applyBorder="1" applyAlignment="1">
      <alignment horizontal="center" vertical="center" wrapText="1"/>
    </xf>
    <xf numFmtId="0" fontId="0" fillId="0" borderId="19" xfId="0" applyBorder="1" applyAlignment="1">
      <alignment horizontal="left" vertical="center" wrapText="1" indent="1"/>
    </xf>
    <xf numFmtId="0" fontId="0" fillId="0" borderId="34" xfId="0" applyBorder="1" applyAlignment="1">
      <alignment horizontal="left" vertical="center" wrapText="1" indent="1"/>
    </xf>
    <xf numFmtId="0" fontId="0" fillId="0" borderId="20" xfId="0" applyBorder="1" applyAlignment="1">
      <alignment horizontal="left" vertical="center" wrapText="1" indent="1"/>
    </xf>
    <xf numFmtId="0" fontId="0" fillId="0" borderId="20" xfId="0" applyBorder="1" applyAlignment="1">
      <alignment vertical="center" wrapText="1"/>
    </xf>
    <xf numFmtId="0" fontId="0" fillId="0" borderId="27" xfId="0" applyBorder="1" applyAlignment="1">
      <alignment horizontal="center" vertical="center" wrapText="1"/>
    </xf>
    <xf numFmtId="0" fontId="0" fillId="0" borderId="26" xfId="0" applyBorder="1" applyAlignment="1">
      <alignment horizontal="left" vertical="center" wrapText="1" indent="1"/>
    </xf>
    <xf numFmtId="0" fontId="0" fillId="0" borderId="27" xfId="0" applyBorder="1" applyAlignment="1">
      <alignment horizontal="left" vertical="center" wrapText="1" indent="1"/>
    </xf>
    <xf numFmtId="0" fontId="0" fillId="0" borderId="24" xfId="0" applyBorder="1" applyAlignment="1">
      <alignment horizontal="left" vertical="center" wrapText="1" indent="1"/>
    </xf>
    <xf numFmtId="0" fontId="0" fillId="0" borderId="24" xfId="0" applyBorder="1" applyAlignment="1">
      <alignment vertical="center" wrapText="1"/>
    </xf>
    <xf numFmtId="0" fontId="0" fillId="23" borderId="0" xfId="0" applyFill="1"/>
    <xf numFmtId="1" fontId="0" fillId="25" borderId="28" xfId="1" applyNumberFormat="1" applyFont="1" applyFill="1" applyBorder="1" applyAlignment="1" applyProtection="1">
      <alignment horizontal="center" vertical="center"/>
      <protection hidden="1"/>
    </xf>
    <xf numFmtId="1" fontId="0" fillId="25" borderId="34" xfId="1" applyNumberFormat="1" applyFont="1" applyFill="1" applyBorder="1" applyAlignment="1" applyProtection="1">
      <alignment horizontal="center" vertical="center"/>
      <protection hidden="1"/>
    </xf>
    <xf numFmtId="1" fontId="0" fillId="25" borderId="27" xfId="1" applyNumberFormat="1" applyFont="1" applyFill="1" applyBorder="1" applyAlignment="1" applyProtection="1">
      <alignment horizontal="center" vertical="center"/>
      <protection hidden="1"/>
    </xf>
    <xf numFmtId="1" fontId="0" fillId="26" borderId="28" xfId="1" applyNumberFormat="1" applyFont="1" applyFill="1" applyBorder="1" applyAlignment="1" applyProtection="1">
      <alignment horizontal="left" vertical="center" wrapText="1" indent="1"/>
      <protection hidden="1"/>
    </xf>
    <xf numFmtId="1" fontId="0" fillId="26" borderId="34" xfId="1" applyNumberFormat="1" applyFont="1" applyFill="1" applyBorder="1" applyAlignment="1" applyProtection="1">
      <alignment horizontal="left" vertical="center" wrapText="1" indent="1"/>
      <protection hidden="1"/>
    </xf>
    <xf numFmtId="1" fontId="0" fillId="26" borderId="34" xfId="0" applyNumberFormat="1" applyFill="1" applyBorder="1" applyAlignment="1" applyProtection="1">
      <alignment horizontal="left" vertical="center" wrapText="1" indent="1"/>
      <protection hidden="1"/>
    </xf>
    <xf numFmtId="0" fontId="0" fillId="26" borderId="28" xfId="1" applyNumberFormat="1" applyFont="1" applyFill="1" applyBorder="1" applyAlignment="1" applyProtection="1">
      <alignment horizontal="left" vertical="center" wrapText="1" indent="1"/>
      <protection hidden="1"/>
    </xf>
    <xf numFmtId="0" fontId="0" fillId="26" borderId="34" xfId="1" applyNumberFormat="1" applyFont="1" applyFill="1" applyBorder="1" applyAlignment="1" applyProtection="1">
      <alignment horizontal="left" vertical="center" wrapText="1" indent="1"/>
      <protection hidden="1"/>
    </xf>
    <xf numFmtId="0" fontId="0" fillId="26" borderId="34" xfId="0" applyFill="1" applyBorder="1" applyAlignment="1" applyProtection="1">
      <alignment horizontal="left" vertical="center" wrapText="1" indent="1"/>
      <protection hidden="1"/>
    </xf>
    <xf numFmtId="0" fontId="0" fillId="26" borderId="28" xfId="0" applyFill="1" applyBorder="1" applyAlignment="1" applyProtection="1">
      <alignment horizontal="left" vertical="center" wrapText="1" indent="1"/>
      <protection hidden="1"/>
    </xf>
    <xf numFmtId="0" fontId="0" fillId="26" borderId="27" xfId="0" applyFill="1" applyBorder="1" applyAlignment="1" applyProtection="1">
      <alignment horizontal="left" vertical="center" wrapText="1" indent="1"/>
      <protection hidden="1"/>
    </xf>
    <xf numFmtId="0" fontId="4" fillId="19" borderId="43" xfId="0" applyFont="1" applyFill="1" applyBorder="1" applyAlignment="1">
      <alignment horizontal="center" vertical="center"/>
    </xf>
    <xf numFmtId="0" fontId="4" fillId="19" borderId="44" xfId="0" applyFont="1" applyFill="1" applyBorder="1" applyAlignment="1">
      <alignment horizontal="center" vertical="center"/>
    </xf>
    <xf numFmtId="0" fontId="4" fillId="19" borderId="45" xfId="0" applyFont="1" applyFill="1" applyBorder="1" applyAlignment="1">
      <alignment horizontal="center" vertical="center"/>
    </xf>
    <xf numFmtId="0" fontId="4" fillId="19" borderId="46" xfId="0" applyFont="1" applyFill="1" applyBorder="1" applyAlignment="1">
      <alignment horizontal="center" vertical="center"/>
    </xf>
    <xf numFmtId="0" fontId="4" fillId="19" borderId="47" xfId="0" applyFont="1" applyFill="1" applyBorder="1" applyAlignment="1">
      <alignment horizontal="center" vertical="center"/>
    </xf>
    <xf numFmtId="0" fontId="4" fillId="19" borderId="48" xfId="0" applyFont="1" applyFill="1" applyBorder="1" applyAlignment="1">
      <alignment horizontal="center" vertical="center"/>
    </xf>
    <xf numFmtId="0" fontId="15" fillId="15" borderId="6" xfId="0" applyFont="1" applyFill="1" applyBorder="1" applyAlignment="1">
      <alignment horizontal="left" vertical="center" wrapText="1" indent="1"/>
    </xf>
    <xf numFmtId="0" fontId="15" fillId="15" borderId="0" xfId="0" applyFont="1" applyFill="1" applyAlignment="1">
      <alignment horizontal="left" vertical="center" wrapText="1" indent="1"/>
    </xf>
    <xf numFmtId="0" fontId="8" fillId="6" borderId="9" xfId="0" applyFont="1" applyFill="1" applyBorder="1" applyAlignment="1" applyProtection="1">
      <alignment horizontal="center" vertical="center"/>
      <protection hidden="1"/>
    </xf>
    <xf numFmtId="0" fontId="8" fillId="6" borderId="10" xfId="0" applyFont="1" applyFill="1" applyBorder="1" applyAlignment="1" applyProtection="1">
      <alignment horizontal="center" vertical="center"/>
      <protection hidden="1"/>
    </xf>
    <xf numFmtId="0" fontId="8" fillId="6" borderId="11" xfId="0" applyFont="1" applyFill="1" applyBorder="1" applyAlignment="1" applyProtection="1">
      <alignment horizontal="center" vertical="center"/>
      <protection hidden="1"/>
    </xf>
    <xf numFmtId="0" fontId="2" fillId="15" borderId="6" xfId="0" applyFont="1" applyFill="1" applyBorder="1" applyAlignment="1">
      <alignment horizontal="left" vertical="center" wrapText="1" indent="1"/>
    </xf>
    <xf numFmtId="0" fontId="15" fillId="15" borderId="6" xfId="0" applyFont="1" applyFill="1" applyBorder="1" applyAlignment="1">
      <alignment horizontal="left" vertical="top" wrapText="1" indent="1"/>
    </xf>
    <xf numFmtId="0" fontId="15" fillId="15" borderId="0" xfId="0" applyFont="1" applyFill="1" applyAlignment="1">
      <alignment horizontal="left" vertical="top" wrapText="1" indent="1"/>
    </xf>
    <xf numFmtId="0" fontId="6" fillId="3" borderId="2" xfId="0" applyFont="1" applyFill="1" applyBorder="1" applyAlignment="1" applyProtection="1">
      <alignment horizontal="center" vertical="center"/>
      <protection hidden="1"/>
    </xf>
    <xf numFmtId="166" fontId="13" fillId="6" borderId="0" xfId="1" applyNumberFormat="1" applyFont="1" applyFill="1" applyAlignment="1" applyProtection="1">
      <alignment horizontal="center" vertical="center"/>
    </xf>
    <xf numFmtId="166" fontId="10" fillId="4" borderId="15" xfId="1" applyNumberFormat="1" applyFont="1" applyFill="1" applyBorder="1" applyAlignment="1" applyProtection="1">
      <alignment horizontal="center" vertical="center"/>
      <protection locked="0" hidden="1"/>
    </xf>
    <xf numFmtId="166" fontId="10" fillId="4" borderId="17" xfId="1" applyNumberFormat="1" applyFont="1" applyFill="1" applyBorder="1" applyAlignment="1" applyProtection="1">
      <alignment horizontal="center" vertical="center"/>
      <protection locked="0" hidden="1"/>
    </xf>
    <xf numFmtId="166" fontId="13" fillId="19" borderId="0" xfId="1" applyNumberFormat="1" applyFont="1" applyFill="1" applyAlignment="1" applyProtection="1">
      <alignment horizontal="center"/>
      <protection hidden="1"/>
    </xf>
    <xf numFmtId="0" fontId="8" fillId="4" borderId="5" xfId="0" applyFont="1" applyFill="1" applyBorder="1" applyAlignment="1" applyProtection="1">
      <alignment horizontal="center" vertical="center" wrapText="1"/>
      <protection locked="0"/>
    </xf>
    <xf numFmtId="0" fontId="8" fillId="4" borderId="15" xfId="0" applyFont="1" applyFill="1" applyBorder="1" applyAlignment="1" applyProtection="1">
      <alignment horizontal="center" vertical="center" wrapText="1"/>
      <protection locked="0"/>
    </xf>
    <xf numFmtId="0" fontId="8" fillId="4" borderId="16" xfId="0" applyFont="1" applyFill="1" applyBorder="1" applyAlignment="1" applyProtection="1">
      <alignment horizontal="center" vertical="center" wrapText="1"/>
      <protection locked="0"/>
    </xf>
    <xf numFmtId="0" fontId="8" fillId="4" borderId="17" xfId="0" applyFont="1" applyFill="1" applyBorder="1" applyAlignment="1" applyProtection="1">
      <alignment horizontal="center" vertical="center" wrapText="1"/>
      <protection locked="0"/>
    </xf>
    <xf numFmtId="0" fontId="10" fillId="6" borderId="0" xfId="0" applyFont="1" applyFill="1" applyAlignment="1" applyProtection="1">
      <alignment horizontal="center" vertical="center" wrapText="1"/>
      <protection hidden="1"/>
    </xf>
    <xf numFmtId="0" fontId="10" fillId="6" borderId="8" xfId="0" applyFont="1" applyFill="1" applyBorder="1" applyAlignment="1" applyProtection="1">
      <alignment horizontal="center" vertical="center" wrapText="1"/>
      <protection hidden="1"/>
    </xf>
    <xf numFmtId="166" fontId="18" fillId="15" borderId="6" xfId="4" applyNumberFormat="1" applyFont="1" applyFill="1" applyBorder="1" applyAlignment="1" applyProtection="1">
      <alignment horizontal="center" vertical="center"/>
      <protection hidden="1"/>
    </xf>
    <xf numFmtId="166" fontId="18" fillId="15" borderId="0" xfId="4" applyNumberFormat="1" applyFont="1" applyFill="1" applyBorder="1" applyAlignment="1" applyProtection="1">
      <alignment horizontal="center" vertical="center"/>
      <protection hidden="1"/>
    </xf>
    <xf numFmtId="0" fontId="10" fillId="6" borderId="0" xfId="0" applyFont="1" applyFill="1" applyAlignment="1" applyProtection="1">
      <alignment horizontal="right" vertical="center" indent="1"/>
      <protection hidden="1"/>
    </xf>
    <xf numFmtId="0" fontId="8" fillId="4" borderId="5" xfId="0" applyFont="1" applyFill="1" applyBorder="1" applyAlignment="1" applyProtection="1">
      <alignment horizontal="left" vertical="center" wrapText="1" indent="1"/>
      <protection locked="0"/>
    </xf>
    <xf numFmtId="0" fontId="9" fillId="4" borderId="5" xfId="0" applyFont="1" applyFill="1" applyBorder="1" applyAlignment="1" applyProtection="1">
      <alignment horizontal="left" vertical="center" wrapText="1" indent="1"/>
      <protection locked="0"/>
    </xf>
    <xf numFmtId="0" fontId="10" fillId="6" borderId="7" xfId="0" applyFont="1" applyFill="1" applyBorder="1" applyAlignment="1" applyProtection="1">
      <alignment horizontal="right" vertical="center" indent="1"/>
      <protection hidden="1"/>
    </xf>
    <xf numFmtId="0" fontId="10" fillId="6" borderId="8" xfId="0" applyFont="1" applyFill="1" applyBorder="1" applyAlignment="1" applyProtection="1">
      <alignment horizontal="right" vertical="center" indent="1"/>
      <protection hidden="1"/>
    </xf>
    <xf numFmtId="166" fontId="0" fillId="4" borderId="3" xfId="1" applyNumberFormat="1" applyFont="1" applyFill="1" applyBorder="1" applyAlignment="1" applyProtection="1">
      <alignment horizontal="center" vertical="center"/>
      <protection hidden="1"/>
    </xf>
    <xf numFmtId="166" fontId="0" fillId="4" borderId="0" xfId="1" applyNumberFormat="1" applyFont="1" applyFill="1" applyBorder="1" applyAlignment="1" applyProtection="1">
      <alignment horizontal="center" vertical="center"/>
      <protection hidden="1"/>
    </xf>
    <xf numFmtId="166" fontId="0" fillId="5" borderId="4" xfId="1" applyNumberFormat="1" applyFont="1" applyFill="1" applyBorder="1" applyAlignment="1" applyProtection="1">
      <alignment horizontal="center" vertical="center"/>
      <protection hidden="1"/>
    </xf>
    <xf numFmtId="166" fontId="0" fillId="5" borderId="0" xfId="1" applyNumberFormat="1" applyFont="1" applyFill="1" applyBorder="1" applyAlignment="1" applyProtection="1">
      <alignment horizontal="center" vertical="center"/>
      <protection hidden="1"/>
    </xf>
    <xf numFmtId="0" fontId="34" fillId="21" borderId="0" xfId="5" applyFont="1" applyAlignment="1" applyProtection="1">
      <alignment horizontal="right" vertical="center" wrapText="1" indent="1"/>
      <protection hidden="1"/>
    </xf>
    <xf numFmtId="0" fontId="45" fillId="21" borderId="0" xfId="5" applyFont="1" applyAlignment="1" applyProtection="1">
      <alignment horizontal="left" vertical="center"/>
      <protection hidden="1"/>
    </xf>
    <xf numFmtId="0" fontId="2" fillId="15" borderId="6" xfId="4" applyFill="1" applyBorder="1" applyAlignment="1" applyProtection="1">
      <alignment horizontal="left" vertical="center" wrapText="1" indent="1"/>
    </xf>
    <xf numFmtId="0" fontId="2" fillId="15" borderId="0" xfId="4" applyFill="1" applyBorder="1" applyAlignment="1" applyProtection="1">
      <alignment horizontal="left" vertical="center" wrapText="1" indent="1"/>
    </xf>
    <xf numFmtId="0" fontId="24" fillId="16" borderId="6" xfId="4" applyFont="1" applyFill="1" applyBorder="1" applyAlignment="1" applyProtection="1">
      <alignment horizontal="left" vertical="center" wrapText="1" indent="1"/>
    </xf>
    <xf numFmtId="0" fontId="24" fillId="16" borderId="0" xfId="4" applyFont="1" applyFill="1" applyBorder="1" applyAlignment="1" applyProtection="1">
      <alignment horizontal="left" vertical="center" wrapText="1" indent="1"/>
    </xf>
    <xf numFmtId="0" fontId="2" fillId="15" borderId="6" xfId="4" applyFill="1" applyBorder="1" applyAlignment="1">
      <alignment horizontal="left" vertical="center" wrapText="1" indent="1"/>
    </xf>
    <xf numFmtId="0" fontId="2" fillId="15" borderId="0" xfId="4" applyFill="1" applyBorder="1" applyAlignment="1">
      <alignment horizontal="left" vertical="center" wrapText="1" indent="1"/>
    </xf>
    <xf numFmtId="0" fontId="18" fillId="6" borderId="55" xfId="4" applyFont="1" applyFill="1" applyBorder="1" applyAlignment="1" applyProtection="1">
      <alignment horizontal="center" vertical="center" wrapText="1"/>
    </xf>
    <xf numFmtId="0" fontId="18" fillId="6" borderId="56" xfId="4" applyFont="1" applyFill="1" applyBorder="1" applyAlignment="1" applyProtection="1">
      <alignment horizontal="center" vertical="center" wrapText="1"/>
    </xf>
    <xf numFmtId="0" fontId="18" fillId="6" borderId="44" xfId="4" applyFont="1" applyFill="1" applyBorder="1" applyAlignment="1" applyProtection="1">
      <alignment horizontal="center" vertical="center" wrapText="1"/>
    </xf>
    <xf numFmtId="0" fontId="18" fillId="6" borderId="45" xfId="4" applyFont="1" applyFill="1" applyBorder="1" applyAlignment="1" applyProtection="1">
      <alignment horizontal="center" vertical="center" wrapText="1"/>
    </xf>
    <xf numFmtId="0" fontId="18" fillId="6" borderId="55" xfId="4" applyFont="1" applyFill="1" applyBorder="1" applyAlignment="1">
      <alignment horizontal="center" vertical="center" wrapText="1"/>
    </xf>
    <xf numFmtId="0" fontId="18" fillId="6" borderId="56" xfId="4" applyFont="1" applyFill="1" applyBorder="1" applyAlignment="1">
      <alignment horizontal="center" vertical="center" wrapText="1"/>
    </xf>
    <xf numFmtId="0" fontId="18" fillId="6" borderId="44" xfId="4" applyFont="1" applyFill="1" applyBorder="1" applyAlignment="1">
      <alignment horizontal="center" vertical="center" wrapText="1"/>
    </xf>
    <xf numFmtId="0" fontId="18" fillId="6" borderId="45" xfId="4" applyFont="1" applyFill="1" applyBorder="1" applyAlignment="1">
      <alignment horizontal="center" vertical="center" wrapText="1"/>
    </xf>
    <xf numFmtId="0" fontId="18" fillId="6" borderId="57" xfId="4" applyFont="1" applyFill="1" applyBorder="1" applyAlignment="1">
      <alignment horizontal="center" vertical="center" wrapText="1"/>
    </xf>
    <xf numFmtId="0" fontId="34" fillId="21" borderId="0" xfId="5" quotePrefix="1" applyFont="1" applyAlignment="1" applyProtection="1">
      <alignment vertical="center"/>
      <protection hidden="1"/>
    </xf>
    <xf numFmtId="0" fontId="2" fillId="15" borderId="0" xfId="4" quotePrefix="1" applyFill="1" applyBorder="1" applyAlignment="1" applyProtection="1">
      <alignment horizontal="left" vertical="center" wrapText="1" indent="1"/>
      <protection hidden="1"/>
    </xf>
    <xf numFmtId="0" fontId="26" fillId="6" borderId="13" xfId="0" applyFont="1" applyFill="1" applyBorder="1" applyAlignment="1" applyProtection="1">
      <alignment horizontal="right" vertical="center" wrapText="1" indent="1"/>
      <protection hidden="1"/>
    </xf>
    <xf numFmtId="0" fontId="26" fillId="6" borderId="16" xfId="0" applyFont="1" applyFill="1" applyBorder="1" applyAlignment="1" applyProtection="1">
      <alignment horizontal="right" vertical="center" indent="1"/>
      <protection hidden="1"/>
    </xf>
    <xf numFmtId="0" fontId="26" fillId="6" borderId="10" xfId="0" applyFont="1" applyFill="1" applyBorder="1" applyAlignment="1" applyProtection="1">
      <alignment horizontal="right" vertical="center" indent="1"/>
      <protection hidden="1"/>
    </xf>
    <xf numFmtId="0" fontId="28" fillId="6" borderId="0" xfId="0" applyFont="1" applyFill="1" applyAlignment="1" applyProtection="1">
      <alignment horizontal="right" vertical="center" wrapText="1" indent="1"/>
      <protection hidden="1"/>
    </xf>
    <xf numFmtId="0" fontId="28" fillId="6" borderId="0" xfId="0" applyFont="1" applyFill="1" applyAlignment="1" applyProtection="1">
      <alignment horizontal="right" vertical="center" indent="1"/>
      <protection hidden="1"/>
    </xf>
    <xf numFmtId="0" fontId="4" fillId="17" borderId="40" xfId="0" applyFont="1" applyFill="1" applyBorder="1" applyAlignment="1" applyProtection="1">
      <alignment horizontal="center" vertical="center"/>
      <protection hidden="1"/>
    </xf>
    <xf numFmtId="0" fontId="4" fillId="17" borderId="5" xfId="0" applyFont="1" applyFill="1" applyBorder="1" applyAlignment="1" applyProtection="1">
      <alignment horizontal="center" vertical="center"/>
      <protection hidden="1"/>
    </xf>
    <xf numFmtId="0" fontId="4" fillId="18" borderId="5" xfId="0" applyFont="1" applyFill="1" applyBorder="1" applyAlignment="1" applyProtection="1">
      <alignment horizontal="center" vertical="center"/>
      <protection hidden="1"/>
    </xf>
    <xf numFmtId="0" fontId="8" fillId="0" borderId="18" xfId="0" applyFont="1" applyBorder="1" applyAlignment="1">
      <alignment horizontal="center" vertical="center" wrapText="1"/>
    </xf>
    <xf numFmtId="0" fontId="2" fillId="15" borderId="6" xfId="4" quotePrefix="1" applyFill="1" applyBorder="1" applyAlignment="1">
      <alignment horizontal="left" vertical="center" wrapText="1" indent="1"/>
    </xf>
    <xf numFmtId="0" fontId="4" fillId="6" borderId="0" xfId="0" applyFont="1" applyFill="1" applyAlignment="1">
      <alignment horizontal="center" vertical="center"/>
    </xf>
    <xf numFmtId="0" fontId="0" fillId="10" borderId="29" xfId="0" applyFill="1" applyBorder="1" applyAlignment="1">
      <alignment horizontal="center" vertical="center" textRotation="90"/>
    </xf>
    <xf numFmtId="0" fontId="0" fillId="0" borderId="0" xfId="0" applyAlignment="1" applyProtection="1">
      <alignment horizontal="left" vertical="center" indent="1"/>
      <protection locked="0"/>
    </xf>
  </cellXfs>
  <cellStyles count="6">
    <cellStyle name="Bad" xfId="5" builtinId="27"/>
    <cellStyle name="Comma" xfId="1" builtinId="3"/>
    <cellStyle name="Currency" xfId="2" builtinId="4"/>
    <cellStyle name="Input" xfId="4" builtinId="20"/>
    <cellStyle name="Normal" xfId="0" builtinId="0"/>
    <cellStyle name="Percent" xfId="3" builtinId="5"/>
  </cellStyles>
  <dxfs count="217">
    <dxf>
      <font>
        <color rgb="FFFF0000"/>
      </font>
      <fill>
        <patternFill>
          <bgColor theme="6" tint="0.79998168889431442"/>
        </patternFill>
      </fill>
    </dxf>
    <dxf>
      <font>
        <color rgb="FF9C0006"/>
      </font>
      <fill>
        <patternFill>
          <bgColor rgb="FFFFC7CE"/>
        </patternFill>
      </fill>
    </dxf>
    <dxf>
      <font>
        <b val="0"/>
        <i/>
        <color theme="0" tint="-0.499984740745262"/>
      </font>
    </dxf>
    <dxf>
      <fill>
        <patternFill>
          <bgColor theme="6" tint="0.79998168889431442"/>
        </patternFill>
      </fill>
    </dxf>
    <dxf>
      <font>
        <color rgb="FFFF0000"/>
      </font>
      <fill>
        <patternFill>
          <bgColor rgb="FFFFC7CE"/>
        </patternFill>
      </fill>
    </dxf>
    <dxf>
      <font>
        <color rgb="FFFF0000"/>
      </font>
      <fill>
        <patternFill>
          <bgColor rgb="FFFFC7CE"/>
        </patternFill>
      </fill>
    </dxf>
    <dxf>
      <font>
        <color rgb="FFFF0000"/>
      </font>
      <fill>
        <patternFill>
          <bgColor theme="0" tint="-0.34998626667073579"/>
        </patternFill>
      </fill>
      <border>
        <left/>
        <right/>
        <top/>
        <bottom/>
        <vertical/>
        <horizontal/>
      </border>
    </dxf>
    <dxf>
      <font>
        <color rgb="FFFF0000"/>
      </font>
      <fill>
        <patternFill>
          <bgColor theme="0" tint="-0.34998626667073579"/>
        </patternFill>
      </fill>
      <border>
        <left/>
        <right/>
        <top/>
        <bottom/>
        <vertical/>
        <horizontal/>
      </border>
    </dxf>
    <dxf>
      <font>
        <color rgb="FF9C0006"/>
      </font>
      <fill>
        <patternFill>
          <bgColor rgb="FFFFC7CE"/>
        </patternFill>
      </fill>
    </dxf>
    <dxf>
      <font>
        <color rgb="FFFF0000"/>
      </font>
      <fill>
        <patternFill>
          <bgColor rgb="FFFFC7CE"/>
        </patternFill>
      </fill>
    </dxf>
    <dxf>
      <font>
        <color rgb="FFFF0000"/>
      </font>
      <fill>
        <patternFill>
          <bgColor theme="0" tint="-0.34998626667073579"/>
        </patternFill>
      </fill>
      <border>
        <left/>
        <right/>
        <top/>
        <bottom/>
        <vertical/>
        <horizontal/>
      </border>
    </dxf>
    <dxf>
      <font>
        <color rgb="FFFF0000"/>
      </font>
      <fill>
        <patternFill>
          <bgColor theme="0" tint="-0.34998626667073579"/>
        </patternFill>
      </fill>
      <border>
        <left/>
        <right/>
        <top/>
        <bottom/>
        <vertical/>
        <horizontal/>
      </border>
    </dxf>
    <dxf>
      <font>
        <color rgb="FF9C0006"/>
      </font>
      <fill>
        <patternFill>
          <bgColor rgb="FFFFC7CE"/>
        </patternFill>
      </fill>
    </dxf>
    <dxf>
      <font>
        <color rgb="FFFF0000"/>
      </font>
      <fill>
        <patternFill>
          <bgColor rgb="FFFFC7CE"/>
        </patternFill>
      </fill>
    </dxf>
    <dxf>
      <font>
        <color rgb="FFFF0000"/>
      </font>
      <fill>
        <patternFill>
          <bgColor theme="0" tint="-0.34998626667073579"/>
        </patternFill>
      </fill>
      <border>
        <left/>
        <right/>
        <top/>
        <bottom/>
        <vertical/>
        <horizontal/>
      </border>
    </dxf>
    <dxf>
      <font>
        <color rgb="FF9C0006"/>
      </font>
      <fill>
        <patternFill>
          <bgColor rgb="FFFFC7CE"/>
        </patternFill>
      </fill>
    </dxf>
    <dxf>
      <font>
        <color rgb="FFFF0000"/>
      </font>
      <fill>
        <patternFill>
          <bgColor rgb="FFFFC7CE"/>
        </patternFill>
      </fill>
    </dxf>
    <dxf>
      <font>
        <color rgb="FF9C0006"/>
      </font>
      <fill>
        <patternFill>
          <bgColor rgb="FFFFC7CE"/>
        </patternFill>
      </fill>
    </dxf>
    <dxf>
      <font>
        <color rgb="FFFF0000"/>
      </font>
      <fill>
        <patternFill>
          <bgColor theme="0" tint="-0.34998626667073579"/>
        </patternFill>
      </fill>
      <border>
        <left/>
        <right/>
        <top/>
        <bottom/>
        <vertical/>
        <horizontal/>
      </border>
    </dxf>
    <dxf>
      <font>
        <color rgb="FFFF0000"/>
      </font>
      <fill>
        <patternFill>
          <bgColor theme="0" tint="-0.34998626667073579"/>
        </patternFill>
      </fill>
      <border>
        <left/>
        <right/>
        <top/>
        <bottom/>
        <vertical/>
        <horizontal/>
      </border>
    </dxf>
    <dxf>
      <font>
        <color rgb="FF9C0006"/>
      </font>
      <fill>
        <patternFill>
          <bgColor rgb="FFFFC7CE"/>
        </patternFill>
      </fill>
    </dxf>
    <dxf>
      <font>
        <color rgb="FF9C0006"/>
      </font>
      <fill>
        <patternFill>
          <bgColor rgb="FFFFC7CE"/>
        </patternFill>
      </fill>
    </dxf>
    <dxf>
      <font>
        <color rgb="FFFF0000"/>
      </font>
      <fill>
        <patternFill>
          <bgColor rgb="FFFFC7CE"/>
        </patternFill>
      </fill>
    </dxf>
    <dxf>
      <font>
        <color rgb="FF9C5700"/>
      </font>
      <fill>
        <patternFill>
          <bgColor rgb="FFFFEB9C"/>
        </patternFill>
      </fill>
    </dxf>
    <dxf>
      <font>
        <color rgb="FF9C0006"/>
      </font>
      <fill>
        <patternFill>
          <bgColor rgb="FFFFC7CE"/>
        </patternFill>
      </fill>
    </dxf>
    <dxf>
      <font>
        <b val="0"/>
        <i/>
        <color rgb="FF9C0006"/>
      </font>
      <fill>
        <patternFill>
          <bgColor rgb="FFFFC7CE"/>
        </patternFill>
      </fill>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7" tint="0.79998168889431442"/>
        </patternFill>
      </fill>
      <alignment horizontal="left" vertical="center" textRotation="0" wrapText="0" indent="1" justifyLastLine="0" shrinkToFit="0" readingOrder="0"/>
      <border diagonalUp="0" diagonalDown="0">
        <left/>
        <right style="thin">
          <color theme="0" tint="-0.34998626667073579"/>
        </right>
        <top/>
        <bottom style="thin">
          <color theme="0" tint="-0.34998626667073579"/>
        </bottom>
        <vertical/>
        <horizontal/>
      </border>
      <protection locked="0" hidden="0"/>
    </dxf>
    <dxf>
      <border outline="0">
        <left style="thin">
          <color theme="0" tint="-0.34998626667073579"/>
        </left>
        <right style="thin">
          <color theme="0" tint="-0.34998626667073579"/>
        </right>
        <top style="thin">
          <color theme="0" tint="-0.34998626667073579"/>
        </top>
        <bottom style="thin">
          <color theme="0" tint="-0.34998626667073579"/>
        </bottom>
      </border>
    </dxf>
    <dxf>
      <protection locked="0" hidden="0"/>
    </dxf>
    <dxf>
      <border outline="0">
        <bottom style="thin">
          <color theme="0" tint="-0.34998626667073579"/>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numFmt numFmtId="0" formatCode="General"/>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i val="0"/>
        <strike val="0"/>
        <condense val="0"/>
        <extend val="0"/>
        <outline val="0"/>
        <shadow val="0"/>
        <u val="none"/>
        <vertAlign val="baseline"/>
        <sz val="11"/>
        <color auto="1"/>
        <name val="Calibri"/>
        <family val="2"/>
        <scheme val="minor"/>
      </font>
      <fill>
        <patternFill patternType="solid">
          <fgColor theme="6" tint="0.79998168889431442"/>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solid">
          <fgColor theme="6" tint="0.79998168889431442"/>
          <bgColor theme="6" tint="0.79998168889431442"/>
        </patternFill>
      </fill>
      <alignment horizontal="left" vertical="center" textRotation="0" wrapText="1" indent="1"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border outline="0">
        <bottom style="thin">
          <color theme="0" tint="-0.34998626667073579"/>
        </bottom>
      </border>
    </dxf>
    <dxf>
      <font>
        <b/>
        <i val="0"/>
        <strike val="0"/>
        <condense val="0"/>
        <extend val="0"/>
        <outline val="0"/>
        <shadow val="0"/>
        <u val="none"/>
        <vertAlign val="baseline"/>
        <sz val="11"/>
        <color auto="1"/>
        <name val="Calibri"/>
        <family val="2"/>
        <scheme val="minor"/>
      </font>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167" formatCode="_ &quot;CHF&quot;\ * #,##0_ ;_ &quot;CHF&quot;\ * \-#,##0_ ;_ &quot;CHF&quot;\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11"/>
        <color theme="1"/>
        <name val="Calibri"/>
        <family val="2"/>
        <scheme val="minor"/>
      </font>
      <numFmt numFmtId="167" formatCode="_ &quot;CHF&quot;\ * #,##0_ ;_ &quot;CHF&quot;\ * \-#,##0_ ;_ &quot;CHF&quot;\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ill>
        <patternFill patternType="solid">
          <fgColor indexed="64"/>
          <bgColor theme="0"/>
        </patternFill>
      </fill>
      <alignment horizontal="righ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border outline="0">
        <right style="thin">
          <color indexed="64"/>
        </right>
        <bottom style="thin">
          <color indexed="64"/>
        </bottom>
      </border>
    </dxf>
    <dxf>
      <protection locked="1" hidden="1"/>
    </dxf>
    <dxf>
      <protection locked="1" hidden="1"/>
    </dxf>
    <dxf>
      <fill>
        <patternFill patternType="solid">
          <fgColor indexed="64"/>
          <bgColor theme="0"/>
        </patternFill>
      </fill>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Calibri"/>
        <family val="2"/>
        <scheme val="minor"/>
      </font>
      <numFmt numFmtId="167" formatCode="_ &quot;CHF&quot;\ * #,##0_ ;_ &quot;CHF&quot;\ * \-#,##0_ ;_ &quot;CHF&quot;\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protection locked="1" hidden="1"/>
    </dxf>
    <dxf>
      <protection locked="1" hidden="1"/>
    </dxf>
    <dxf>
      <font>
        <b val="0"/>
        <i val="0"/>
        <strike val="0"/>
        <condense val="0"/>
        <extend val="0"/>
        <outline val="0"/>
        <shadow val="0"/>
        <u val="none"/>
        <vertAlign val="baseline"/>
        <sz val="11"/>
        <color theme="1"/>
        <name val="Calibri"/>
        <family val="2"/>
        <scheme val="minor"/>
      </font>
      <numFmt numFmtId="1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1"/>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499984740745262"/>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499984740745262"/>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68"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0" hidden="0"/>
    </dxf>
    <dxf>
      <numFmt numFmtId="1" formatCode="0"/>
      <fill>
        <patternFill patternType="solid">
          <fgColor indexed="64"/>
          <bgColor theme="1" tint="0.49998474074526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7" tint="0.79998168889431442"/>
        </patternFill>
      </fill>
      <protection locked="0"/>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1"/>
    </dxf>
    <dxf>
      <font>
        <color rgb="FFFF0000"/>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font>
        <color rgb="FFFF0000"/>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horizontal/>
      </border>
      <protection locked="0" hidden="0"/>
    </dxf>
    <dxf>
      <font>
        <color rgb="FFFF0000"/>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color rgb="FFFF0000"/>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color rgb="FFFF0000"/>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font>
        <color rgb="FFFF0000"/>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499984740745262"/>
        </left>
        <right style="medium">
          <color theme="4" tint="-0.24994659260841701"/>
        </right>
        <top style="thin">
          <color theme="0" tint="-0.34998626667073579"/>
        </top>
        <bottom style="thin">
          <color theme="0" tint="-0.34998626667073579"/>
        </bottom>
        <vertical/>
        <horizontal/>
      </border>
      <protection locked="0" hidden="0"/>
    </dxf>
    <dxf>
      <font>
        <color rgb="FFFF0000"/>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499984740745262"/>
        </right>
        <top style="thin">
          <color theme="0" tint="-0.34998626667073579"/>
        </top>
        <bottom style="thin">
          <color theme="0" tint="-0.34998626667073579"/>
        </bottom>
        <vertical/>
        <horizontal/>
      </border>
      <protection locked="0" hidden="0"/>
    </dxf>
    <dxf>
      <font>
        <color rgb="FFFF0000"/>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68"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0" hidden="0"/>
    </dxf>
    <dxf>
      <numFmt numFmtId="0" formatCode="General"/>
      <fill>
        <patternFill patternType="solid">
          <fgColor indexed="64"/>
          <bgColor theme="1" tint="0.49998474074526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7" tint="0.79998168889431442"/>
        </patternFill>
      </fill>
      <protection locked="0"/>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1"/>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medium">
          <color theme="4" tint="-0.24994659260841701"/>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68"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0" hidden="0"/>
    </dxf>
    <dxf>
      <numFmt numFmtId="1" formatCode="0"/>
      <fill>
        <patternFill patternType="solid">
          <fgColor indexed="64"/>
          <bgColor theme="1" tint="0.49998474074526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7" tint="0.79998168889431442"/>
        </patternFill>
      </fill>
      <protection locked="0"/>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numFmt numFmtId="0" formatCode="General"/>
      <alignment horizontal="left" vertical="center" textRotation="0" wrapText="1" relativeIndent="1" justifyLastLine="0" shrinkToFit="0" readingOrder="0"/>
      <border diagonalUp="0" diagonalDown="0" outline="0">
        <left/>
        <right style="thin">
          <color theme="0" tint="-0.34998626667073579"/>
        </right>
        <top style="thin">
          <color theme="0" tint="-0.34998626667073579"/>
        </top>
        <bottom style="thin">
          <color theme="0" tint="-0.34998626667073579"/>
        </bottom>
      </border>
    </dxf>
    <dxf>
      <numFmt numFmtId="0" formatCode="General"/>
      <alignment horizontal="left" vertical="center" textRotation="0" wrapText="1" relativeIndent="1" justifyLastLine="0" shrinkToFit="0" readingOrder="0"/>
      <border diagonalUp="0" diagonalDown="0" outline="0">
        <left/>
        <right/>
        <top style="thin">
          <color theme="0" tint="-0.34998626667073579"/>
        </top>
        <bottom style="thin">
          <color theme="0" tint="-0.34998626667073579"/>
        </bottom>
      </border>
    </dxf>
    <dxf>
      <alignment horizontal="left" vertical="center" textRotation="0" wrapText="1" relativeIndent="1" justifyLastLine="0" shrinkToFit="0" readingOrder="0"/>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center" textRotation="0" wrapText="1" relativeIndent="1" justifyLastLine="0" shrinkToFit="0" readingOrder="0"/>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center" textRotation="0" wrapText="1" relativeIndent="1" justifyLastLine="0" shrinkToFit="0" readingOrder="0"/>
      <border diagonalUp="0" diagonalDown="0" outline="0">
        <left style="thin">
          <color theme="0" tint="-0.34998626667073579"/>
        </left>
        <right/>
        <top style="thin">
          <color theme="0" tint="-0.34998626667073579"/>
        </top>
        <bottom style="thin">
          <color theme="0" tint="-0.34998626667073579"/>
        </bottom>
      </border>
    </dxf>
    <dxf>
      <numFmt numFmtId="0" formatCode="General"/>
      <alignment horizontal="center" vertical="center" textRotation="0" wrapText="1" indent="0" justifyLastLine="0" shrinkToFit="0" readingOrder="0"/>
      <border diagonalUp="0" diagonalDown="0" outline="0">
        <left/>
        <right/>
        <top style="thin">
          <color theme="0" tint="-0.34998626667073579"/>
        </top>
        <bottom style="thin">
          <color theme="0" tint="-0.34998626667073579"/>
        </bottom>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alignment horizontal="general" vertical="center" textRotation="0" wrapText="1" indent="0" justifyLastLine="0" shrinkToFit="0" readingOrder="0"/>
    </dxf>
    <dxf>
      <border>
        <bottom style="thin">
          <color theme="0" tint="-0.34998626667073579"/>
        </bottom>
      </border>
    </dxf>
    <dxf>
      <alignment horizontal="center" vertical="center" textRotation="0" wrapText="1"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1"/>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style="medium">
          <color theme="4" tint="-0.24994659260841701"/>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rgb="FFFF0000"/>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rgb="FFFF0000"/>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rgb="FFFF0000"/>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rgb="FFFF0000"/>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34998626667073579"/>
        </patternFill>
      </fill>
      <alignment horizontal="center" vertical="center" textRotation="0" wrapText="0" indent="0" justifyLastLine="0" shrinkToFit="0" readingOrder="0"/>
      <border diagonalUp="0" diagonalDown="0">
        <left style="thin">
          <color theme="0" tint="-0.499984740745262"/>
        </left>
        <right/>
        <top style="thin">
          <color theme="0" tint="-0.34998626667073579"/>
        </top>
        <bottom style="thin">
          <color theme="0" tint="-0.34998626667073579"/>
        </bottom>
        <vertical style="thin">
          <color theme="0" tint="-0.499984740745262"/>
        </vertical>
        <horizontal style="thin">
          <color theme="0" tint="-0.34998626667073579"/>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right style="thin">
          <color theme="0" tint="-0.499984740745262"/>
        </right>
        <top style="thin">
          <color theme="0" tint="-0.34998626667073579"/>
        </top>
        <bottom style="thin">
          <color theme="0" tint="-0.34998626667073579"/>
        </bottom>
        <vertical style="thin">
          <color theme="0" tint="-0.499984740745262"/>
        </vertical>
        <horizontal style="thin">
          <color theme="0" tint="-0.34998626667073579"/>
        </horizontal>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0" tint="-0.499984740745262"/>
        </patternFill>
      </fill>
      <alignment horizontal="center" vertical="center" textRotation="0" wrapText="0" indent="0" justifyLastLine="0" shrinkToFit="0" readingOrder="0"/>
      <border diagonalUp="0" diagonalDown="0">
        <left style="medium">
          <color theme="4" tint="-0.24994659260841701"/>
        </left>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border>
      <protection locked="0"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0" hidden="0"/>
    </dxf>
    <dxf>
      <fill>
        <patternFill patternType="solid">
          <fgColor indexed="64"/>
          <bgColor theme="6"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1" hidden="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left" vertical="center" textRotation="0" wrapText="1" indent="1" justifyLastLine="0" shrinkToFit="0" readingOrder="0"/>
      <border diagonalUp="0" diagonalDown="0" outline="0">
        <left/>
        <right style="thin">
          <color theme="0" tint="-0.34998626667073579"/>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0" tint="-0.499984740745262"/>
        </patternFill>
      </fill>
      <alignment horizontal="center" vertical="center" textRotation="0" wrapText="0" indent="0" justifyLastLine="0" shrinkToFit="0" readingOrder="0"/>
      <border diagonalUp="0" diagonalDown="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Calibri"/>
        <family val="2"/>
        <scheme val="minor"/>
      </font>
      <fill>
        <patternFill patternType="solid">
          <fgColor indexed="64"/>
          <bgColor theme="0" tint="-0.499984740745262"/>
        </patternFill>
      </fill>
      <alignment horizontal="center" vertical="center" textRotation="0" wrapText="0" indent="0" justifyLastLine="0" shrinkToFit="0" readingOrder="0"/>
      <protection locked="0" hidden="0"/>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6" formatCode="_ * #,##0_ ;_ * \-#,##0_ ;_ * &quot;-&quot;??_ ;_ @_ "/>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protection locked="1" hidden="1"/>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font>
        <b val="0"/>
        <i val="0"/>
        <strike val="0"/>
        <condense val="0"/>
        <extend val="0"/>
        <outline val="0"/>
        <shadow val="0"/>
        <u val="none"/>
        <vertAlign val="baseline"/>
        <sz val="11"/>
        <color theme="1"/>
        <name val="Calibri"/>
        <family val="2"/>
        <scheme val="minor"/>
      </font>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protection locked="0" hidden="0"/>
    </dxf>
    <dxf>
      <numFmt numFmtId="1" formatCode="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thin">
          <color theme="0" tint="-0.34998626667073579"/>
        </right>
        <top style="thin">
          <color theme="0" tint="-0.34998626667073579"/>
        </top>
        <bottom style="thin">
          <color theme="0" tint="-0.34998626667073579"/>
        </bottom>
        <vertical/>
        <horizontal/>
      </border>
      <protection locked="0" hidden="0"/>
    </dxf>
    <dxf>
      <numFmt numFmtId="168" formatCode="0.0"/>
      <fill>
        <patternFill patternType="solid">
          <fgColor indexed="64"/>
          <bgColor theme="7" tint="0.79998168889431442"/>
        </patternFill>
      </fill>
      <alignment horizontal="center" vertical="center" textRotation="0" wrapText="0" indent="0" justifyLastLine="0" shrinkToFit="0" readingOrder="0"/>
      <border diagonalUp="0" diagonalDown="0">
        <left style="medium">
          <color theme="4" tint="-0.24994659260841701"/>
        </left>
        <right style="medium">
          <color theme="4" tint="-0.24994659260841701"/>
        </right>
        <top style="thin">
          <color theme="0" tint="-0.34998626667073579"/>
        </top>
        <bottom style="thin">
          <color theme="0" tint="-0.34998626667073579"/>
        </bottom>
        <vertical/>
        <horizontal/>
      </border>
      <protection locked="0" hidden="0"/>
    </dxf>
    <dxf>
      <numFmt numFmtId="166" formatCode="_ * #,##0_ ;_ * \-#,##0_ ;_ * &quot;-&quot;??_ ;_ @_ "/>
      <fill>
        <patternFill patternType="solid">
          <fgColor indexed="64"/>
          <bgColor theme="7" tint="0.79998168889431442"/>
        </patternFill>
      </fill>
      <alignment horizontal="center" vertical="center" textRotation="0" wrapText="1" indent="0" justifyLastLine="0" shrinkToFit="0" readingOrder="0"/>
      <border diagonalUp="0" diagonalDown="0">
        <left/>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border>
      <protection locked="0" hidden="0"/>
    </dxf>
    <dxf>
      <fill>
        <patternFill patternType="solid">
          <fgColor indexed="64"/>
          <bgColor theme="7" tint="0.7999816888943144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0" hidden="0"/>
    </dxf>
    <dxf>
      <numFmt numFmtId="0" formatCode="General"/>
      <fill>
        <patternFill patternType="solid">
          <fgColor indexed="64"/>
          <bgColor theme="1" tint="0.499984740745262"/>
        </patternFill>
      </fill>
      <alignment horizontal="left" vertical="center" textRotation="0" wrapText="1" indent="1" justifyLastLine="0" shrinkToFit="0" readingOrder="0"/>
      <border diagonalUp="0" diagonalDown="0" outline="0">
        <left/>
        <right/>
        <top style="thin">
          <color theme="0" tint="-0.34998626667073579"/>
        </top>
        <bottom style="thin">
          <color theme="0" tint="-0.34998626667073579"/>
        </bottom>
      </border>
      <protection locked="1" hidden="1"/>
    </dxf>
    <dxf>
      <border outline="0">
        <top style="thin">
          <color theme="0" tint="-0.34998626667073579"/>
        </top>
      </border>
    </dxf>
    <dxf>
      <border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7" tint="0.79998168889431442"/>
        </patternFill>
      </fill>
    </dxf>
    <dxf>
      <border outline="0">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bottom/>
      </border>
    </dxf>
    <dxf>
      <font>
        <b val="0"/>
        <i val="0"/>
        <strike val="0"/>
        <condense val="0"/>
        <extend val="0"/>
        <outline val="0"/>
        <shadow val="0"/>
        <u val="none"/>
        <vertAlign val="baseline"/>
        <sz val="11"/>
        <color theme="1"/>
        <name val="Calibri"/>
        <family val="2"/>
        <scheme val="minor"/>
      </font>
      <numFmt numFmtId="166" formatCode="_ * #,##0_ ;_ * \-#,##0_ ;_ * &quot;-&quot;??_ ;_ @_ "/>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top style="thin">
          <color theme="9" tint="0.39997558519241921"/>
        </top>
        <bottom style="thin">
          <color theme="9" tint="0.39997558519241921"/>
        </bottom>
      </border>
    </dxf>
    <dxf>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30" formatCode="@"/>
    </dxf>
    <dxf>
      <numFmt numFmtId="166" formatCode="_ * #,##0_ ;_ * \-#,##0_ ;_ * &quot;-&quot;??_ ;_ @_ "/>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auto="1"/>
        </patternFill>
      </fill>
    </dxf>
  </dxfs>
  <tableStyles count="0" defaultTableStyle="TableStyleLight4" defaultPivotStyle="PivotStyleLight16"/>
  <colors>
    <mruColors>
      <color rgb="FFF9FBFD"/>
      <color rgb="FF011E41"/>
      <color rgb="FFF5333F"/>
      <color rgb="FFFFC7CE"/>
      <color rgb="FFFF7C80"/>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179071</xdr:colOff>
      <xdr:row>0</xdr:row>
      <xdr:rowOff>59057</xdr:rowOff>
    </xdr:from>
    <xdr:to>
      <xdr:col>1</xdr:col>
      <xdr:colOff>803540</xdr:colOff>
      <xdr:row>2</xdr:row>
      <xdr:rowOff>117476</xdr:rowOff>
    </xdr:to>
    <xdr:pic>
      <xdr:nvPicPr>
        <xdr:cNvPr id="3" name="Picture 2">
          <a:extLst>
            <a:ext uri="{FF2B5EF4-FFF2-40B4-BE49-F238E27FC236}">
              <a16:creationId xmlns:a16="http://schemas.microsoft.com/office/drawing/2014/main" id="{1DD8A432-5163-0E62-8CF8-D39520C4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071" y="59057"/>
          <a:ext cx="651774" cy="619124"/>
        </a:xfrm>
        <a:prstGeom prst="rect">
          <a:avLst/>
        </a:prstGeom>
      </xdr:spPr>
    </xdr:pic>
    <xdr:clientData/>
  </xdr:twoCellAnchor>
  <xdr:twoCellAnchor editAs="oneCell">
    <xdr:from>
      <xdr:col>13</xdr:col>
      <xdr:colOff>685800</xdr:colOff>
      <xdr:row>7</xdr:row>
      <xdr:rowOff>76200</xdr:rowOff>
    </xdr:from>
    <xdr:to>
      <xdr:col>14</xdr:col>
      <xdr:colOff>207645</xdr:colOff>
      <xdr:row>7</xdr:row>
      <xdr:rowOff>283845</xdr:rowOff>
    </xdr:to>
    <xdr:pic>
      <xdr:nvPicPr>
        <xdr:cNvPr id="2" name="Graphic 1" descr="Link with solid fill">
          <a:extLst>
            <a:ext uri="{FF2B5EF4-FFF2-40B4-BE49-F238E27FC236}">
              <a16:creationId xmlns:a16="http://schemas.microsoft.com/office/drawing/2014/main" id="{D088FDEE-0E53-43D1-A817-F2F54CAF49F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458200" y="1657350"/>
          <a:ext cx="219075" cy="219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495300</xdr:colOff>
      <xdr:row>5</xdr:row>
      <xdr:rowOff>149087</xdr:rowOff>
    </xdr:from>
    <xdr:to>
      <xdr:col>1</xdr:col>
      <xdr:colOff>1731218</xdr:colOff>
      <xdr:row>5</xdr:row>
      <xdr:rowOff>149087</xdr:rowOff>
    </xdr:to>
    <xdr:cxnSp macro="">
      <xdr:nvCxnSpPr>
        <xdr:cNvPr id="16" name="Straight Connector 15">
          <a:extLst>
            <a:ext uri="{FF2B5EF4-FFF2-40B4-BE49-F238E27FC236}">
              <a16:creationId xmlns:a16="http://schemas.microsoft.com/office/drawing/2014/main" id="{99AE0C19-56FF-5302-E915-D50A4FD429CD}"/>
            </a:ext>
          </a:extLst>
        </xdr:cNvPr>
        <xdr:cNvCxnSpPr/>
      </xdr:nvCxnSpPr>
      <xdr:spPr>
        <a:xfrm flipH="1">
          <a:off x="666750" y="2444612"/>
          <a:ext cx="123591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492152</xdr:colOff>
      <xdr:row>5</xdr:row>
      <xdr:rowOff>149678</xdr:rowOff>
    </xdr:from>
    <xdr:to>
      <xdr:col>1</xdr:col>
      <xdr:colOff>492152</xdr:colOff>
      <xdr:row>12</xdr:row>
      <xdr:rowOff>207728</xdr:rowOff>
    </xdr:to>
    <xdr:cxnSp macro="">
      <xdr:nvCxnSpPr>
        <xdr:cNvPr id="18" name="Straight Connector 17">
          <a:extLst>
            <a:ext uri="{FF2B5EF4-FFF2-40B4-BE49-F238E27FC236}">
              <a16:creationId xmlns:a16="http://schemas.microsoft.com/office/drawing/2014/main" id="{34386203-4016-01E6-3B20-C2D84F46B0C3}"/>
            </a:ext>
          </a:extLst>
        </xdr:cNvPr>
        <xdr:cNvCxnSpPr/>
      </xdr:nvCxnSpPr>
      <xdr:spPr>
        <a:xfrm>
          <a:off x="663602" y="2445203"/>
          <a:ext cx="0" cy="200115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504825</xdr:colOff>
      <xdr:row>12</xdr:row>
      <xdr:rowOff>211538</xdr:rowOff>
    </xdr:from>
    <xdr:to>
      <xdr:col>1</xdr:col>
      <xdr:colOff>1730657</xdr:colOff>
      <xdr:row>12</xdr:row>
      <xdr:rowOff>211538</xdr:rowOff>
    </xdr:to>
    <xdr:cxnSp macro="">
      <xdr:nvCxnSpPr>
        <xdr:cNvPr id="22" name="Straight Arrow Connector 21">
          <a:extLst>
            <a:ext uri="{FF2B5EF4-FFF2-40B4-BE49-F238E27FC236}">
              <a16:creationId xmlns:a16="http://schemas.microsoft.com/office/drawing/2014/main" id="{EDD75894-C701-DF79-55E1-40DB8A293654}"/>
            </a:ext>
          </a:extLst>
        </xdr:cNvPr>
        <xdr:cNvCxnSpPr/>
      </xdr:nvCxnSpPr>
      <xdr:spPr>
        <a:xfrm>
          <a:off x="676275" y="4450163"/>
          <a:ext cx="1225832"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onTable" displayName="RegionTable" ref="A1:A6" totalsRowShown="0" headerRowDxfId="216" dataDxfId="215">
  <autoFilter ref="A1:A6" xr:uid="{00000000-0009-0000-0100-000001000000}"/>
  <tableColumns count="1">
    <tableColumn id="1" xr3:uid="{00000000-0010-0000-0000-000001000000}" name="Region" dataDxfId="21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DD3A068-D7BA-44F5-AE58-CD35FB8F4E89}" name="CountryMap" displayName="CountryMap" ref="A9:C201" totalsRowShown="0">
  <autoFilter ref="A9:C201" xr:uid="{7DD3A068-D7BA-44F5-AE58-CD35FB8F4E89}"/>
  <tableColumns count="3">
    <tableColumn id="1" xr3:uid="{E4D1DF15-8DB3-41F5-9309-4CD66B74EBCD}" name="Region"/>
    <tableColumn id="2" xr3:uid="{06AD6B25-6E4B-4CCE-8B8C-3176FBDC040A}" name="Country"/>
    <tableColumn id="3" xr3:uid="{0957E375-1697-47E1-9557-E8D696491532}" name="NS" dataDxfId="2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A0B7608-B3F2-4E1E-88C8-7EFF05E6629B}" name="FDRS" displayName="FDRS" ref="M9:P650" totalsRowShown="0">
  <autoFilter ref="M9:P650" xr:uid="{8A0B7608-B3F2-4E1E-88C8-7EFF05E6629B}"/>
  <tableColumns count="4">
    <tableColumn id="1" xr3:uid="{BE75F0C3-40CE-44A8-A546-C0F4BCBAA63B}" name="Country" dataDxfId="212"/>
    <tableColumn id="2" xr3:uid="{69158F76-7B5C-439D-A898-4584EF10C1B3}" name="Attribute" dataDxfId="211"/>
    <tableColumn id="3" xr3:uid="{54CCF06B-E7B2-44CD-AF65-F8525C714E65}" name="Value" dataDxfId="210" dataCellStyle="Comma"/>
    <tableColumn id="4" xr3:uid="{0407903C-3854-444C-B993-9CF77F4D77C3}" name="Year" dataDxfId="20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FB99F58-6706-45EB-BB31-D1916FBFA84F}" name="PlannedActivities" displayName="PlannedActivities" ref="R9:U1148" totalsRowShown="0">
  <autoFilter ref="R9:U1148" xr:uid="{BFB99F58-6706-45EB-BB31-D1916FBFA84F}"/>
  <tableColumns count="4">
    <tableColumn id="1" xr3:uid="{13EAA684-347C-4351-861A-E861A6E7C7EF}" name="ISO3"/>
    <tableColumn id="2" xr3:uid="{BBE65378-BF72-4182-8273-F5489CEFA770}" name="Country"/>
    <tableColumn id="3" xr3:uid="{98279C4B-9ED9-4768-9D2C-4816BB27C469}" name="Attribute"/>
    <tableColumn id="4" xr3:uid="{7300FD27-1BEA-43D0-85C4-2613E6EFADCC}" name="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212E37-348C-4B65-88EF-3816B06FD0A1}" name="NSMap" displayName="NSMap" ref="E9:F202" totalsRowShown="0">
  <autoFilter ref="E9:F202" xr:uid="{48212E37-348C-4B65-88EF-3816B06FD0A1}"/>
  <tableColumns count="2">
    <tableColumn id="2" xr3:uid="{DEEE74BD-7CD7-48FC-93CE-490E0F02F17C}" name="Region"/>
    <tableColumn id="1" xr3:uid="{9A8B0117-123C-4250-9ABE-3A0D5AC72F74}" name="NS nam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6EDFF39-1201-45B8-998D-F3A01976B10B}" name="Table16" displayName="Table16" ref="H9:I18" totalsRowShown="0">
  <autoFilter ref="H9:I18" xr:uid="{E6EDFF39-1201-45B8-998D-F3A01976B10B}"/>
  <sortState xmlns:xlrd2="http://schemas.microsoft.com/office/spreadsheetml/2017/richdata2" ref="H10:H17">
    <sortCondition ref="H1:H9"/>
  </sortState>
  <tableColumns count="2">
    <tableColumn id="1" xr3:uid="{BE45C093-E7F0-4E72-B270-872BE589D930}" name="SP"/>
    <tableColumn id="2" xr3:uid="{EA47F8F6-87E9-429B-9837-F49FAF64F64E}" name="Cod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B34CBC-BEA9-4BAE-B420-C1535F4C585B}" name="GRBMP" displayName="GRBMP" ref="K9:K66" totalsRowShown="0" headerRowDxfId="208" dataDxfId="206" headerRowBorderDxfId="207" tableBorderDxfId="205" totalsRowBorderDxfId="204">
  <autoFilter ref="K9:K66" xr:uid="{FBB34CBC-BEA9-4BAE-B420-C1535F4C585B}"/>
  <tableColumns count="1">
    <tableColumn id="2" xr3:uid="{79DB1679-0401-4A12-BB94-C3745C8B3B48}" name="GRBMP" dataDxfId="203"/>
  </tableColumns>
  <tableStyleInfo name="TableStyleLight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02C0B1-4E1B-449D-8199-68EA26230625}" name="Key_data" displayName="Key_data" ref="W9:Z381" totalsRowShown="0" headerRowDxfId="202" headerRowBorderDxfId="201">
  <autoFilter ref="W9:Z381" xr:uid="{9702C0B1-4E1B-449D-8199-68EA26230625}"/>
  <tableColumns count="4">
    <tableColumn id="1" xr3:uid="{737C0EE4-4926-4A81-A3CB-B7A98932DF9D}" name="ISO3"/>
    <tableColumn id="2" xr3:uid="{69A9B2D0-0DB9-4052-A49D-42B1AC503F69}" name="Country"/>
    <tableColumn id="3" xr3:uid="{B9C4A316-5305-4AE5-92CD-8293FA3C8105}" name="Indicator"/>
    <tableColumn id="4" xr3:uid="{F16BD25F-B40D-4230-895E-2FF5799278B4}" name="ValueNum" dataDxfId="200" dataCellStyle="Comma"/>
  </tableColumns>
  <tableStyleInfo name="TableStyleLight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FA4039-6876-4FFE-8D58-F426D13F528D}" name="Data_other" displayName="Data_other" ref="B53:S72" totalsRowShown="0" headerRowDxfId="199" dataDxfId="197" headerRowBorderDxfId="198" tableBorderDxfId="196" totalsRowBorderDxfId="195">
  <autoFilter ref="B53:S7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8" xr3:uid="{F2F0B41E-515F-41D1-8F91-9489395DFEA4}" name="ID" dataDxfId="194">
      <calculatedColumnFormula>IFERROR(_xlfn.XLOOKUP(Data_other[[#This Row],[Indicator]],Final[Indicator Name],Final[KPI ID]),"")</calculatedColumnFormula>
    </tableColumn>
    <tableColumn id="1" xr3:uid="{4040639E-41B1-4625-B4F4-EB8405744D21}" name="Strategic Priority / Enabling Function" dataDxfId="193"/>
    <tableColumn id="2" xr3:uid="{3F3CD113-712C-4566-A1BC-C97D612389A3}" name="Indicator" dataDxfId="192"/>
    <tableColumn id="3" xr3:uid="{2E9364A9-9085-4FD1-BB29-193A1E6F242A}" name="Applicable/_x000a_Data not available" dataDxfId="191" dataCellStyle="Comma"/>
    <tableColumn id="4" xr3:uid="{91864CA4-078E-416B-8879-5143A8F203B7}" name="Total Direct" dataDxfId="190" dataCellStyle="Comma"/>
    <tableColumn id="5" xr3:uid="{46488917-9824-4CCF-8916-9DF39B819291}" name="Total male" dataDxfId="189" dataCellStyle="Comma"/>
    <tableColumn id="6" xr3:uid="{55CD350F-A4DC-42AF-88A8-A50425EE86FF}" name="Total female" dataDxfId="188" dataCellStyle="Comma"/>
    <tableColumn id="11" xr3:uid="{EB4BD096-CCD5-4839-987D-18ABCF42370E}" name="Other/ _x000a_Unknown" dataDxfId="187" dataCellStyle="Comma"/>
    <tableColumn id="7" xr3:uid="{7736A5AE-A631-4A27-B62D-36E658088CB2}" name="Male &lt;5" dataDxfId="186" dataCellStyle="Comma"/>
    <tableColumn id="8" xr3:uid="{B03B4EBF-DF73-4442-8EFF-3BD8DDDB627D}" name="Male 5-17" dataDxfId="185" dataCellStyle="Comma"/>
    <tableColumn id="9" xr3:uid="{0D873DE8-C04C-4E49-BFF9-056486F397B1}" name="Male 18-49" dataDxfId="184" dataCellStyle="Comma"/>
    <tableColumn id="17" xr3:uid="{8AAD037F-813D-430E-8DFA-BAA94EB304D7}" name="Male 50+" dataDxfId="183" dataCellStyle="Comma"/>
    <tableColumn id="16" xr3:uid="{A1B2B7C5-A17F-4F33-8D0E-E4E656E54AD9}" name="Female &lt;5" dataDxfId="182" dataCellStyle="Comma"/>
    <tableColumn id="15" xr3:uid="{FC960773-3563-4DE6-808F-90FA252A0BA4}" name="Female 5-17" dataDxfId="181" dataCellStyle="Comma"/>
    <tableColumn id="14" xr3:uid="{B813C432-507E-4F14-84FF-99FF34CA94A0}" name="Female 18-49" dataDxfId="180" dataCellStyle="Comma"/>
    <tableColumn id="10" xr3:uid="{1C11645D-8783-47FF-8D51-51B41D226C26}" name="Female 50+" dataDxfId="179" dataCellStyle="Comma"/>
    <tableColumn id="12" xr3:uid="{D472DC8E-4A29-4B3E-BF4B-00065F13BFA8}" name="Indirectly reached" dataDxfId="178" dataCellStyle="Comma"/>
    <tableColumn id="13" xr3:uid="{72E63E28-C90B-4CC7-B457-39726A7C6951}" name="Total_x000a_Direct + Indirect" dataDxfId="177" dataCellStyle="Comma">
      <calculatedColumnFormula>IF(COUNTA(F54:R54)=0,"",MAX(Data_other[[#This Row],[Total Direct]],
MAX(SUM(Data_other[[#This Row],[Total male]:[Total female]]),SUM(Data_other[[#This Row],[Male &lt;5]:[Female 50+]]))+Data_other[[#This Row],[Other/ 
Unknown]])+Data_other[[#This Row],[Indirectly reached]])</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7BB30F-0AE6-41C8-AF85-F75DE32381F6}" name="Data_core" displayName="Data_core" ref="B8:S48" totalsRowShown="0" headerRowDxfId="176" dataDxfId="174" headerRowBorderDxfId="175" tableBorderDxfId="173" totalsRowBorderDxfId="172" dataCellStyle="Comma">
  <autoFilter ref="B8:S48" xr:uid="{3E7BB30F-0AE6-41C8-AF85-F75DE32381F6}"/>
  <tableColumns count="18">
    <tableColumn id="19" xr3:uid="{AFF16C68-FDA1-4FDF-82E1-6F17CB089B87}" name="ID" dataDxfId="171" dataCellStyle="Comma"/>
    <tableColumn id="13" xr3:uid="{EDE3DCC9-153C-4D54-9770-46991D935AF3}" name="Strategic Priority / Enabling Function" dataDxfId="170" dataCellStyle="Comma"/>
    <tableColumn id="1" xr3:uid="{39E0B857-CB0D-4680-93F0-DD086F739456}" name="Indicator" dataDxfId="169"/>
    <tableColumn id="2" xr3:uid="{39DC8F15-C70C-4741-9B6E-9CFD399288E3}" name="Applicable/_x000a_Data not available" dataDxfId="168" dataCellStyle="Comma"/>
    <tableColumn id="3" xr3:uid="{5DCA718D-A88D-4DDF-8D2A-37864EBA254A}" name="Total Direct" dataDxfId="167" dataCellStyle="Comma"/>
    <tableColumn id="4" xr3:uid="{EF7390C3-91A3-44AD-B196-F797DFBA12BB}" name="Total male" dataDxfId="166" dataCellStyle="Comma"/>
    <tableColumn id="5" xr3:uid="{6E2D0046-EFE7-42BE-9FEA-F9FDE04C467B}" name="Total female" dataDxfId="165" dataCellStyle="Comma"/>
    <tableColumn id="10" xr3:uid="{DED6E69F-1135-481C-8B3D-8E018B50068F}" name="Other/ _x000a_Unknown" dataDxfId="164" dataCellStyle="Comma"/>
    <tableColumn id="17" xr3:uid="{6E61B0A7-9F54-4B8A-9815-AA6174252393}" name="Male &lt;5" dataDxfId="163" dataCellStyle="Comma"/>
    <tableColumn id="16" xr3:uid="{35813039-790C-43B3-8D2F-C0B46A4A5E30}" name="Male 5-17" dataDxfId="162" dataCellStyle="Comma"/>
    <tableColumn id="15" xr3:uid="{D8CC370F-6489-4C76-AAAE-E394492640B9}" name="Male 18-49" dataDxfId="161" dataCellStyle="Comma"/>
    <tableColumn id="14" xr3:uid="{94097B63-BC25-472D-A118-B178C67EE8CB}" name="Male 50+" dataDxfId="160" dataCellStyle="Comma"/>
    <tableColumn id="6" xr3:uid="{EA3D2FF9-2C22-4D81-9F6F-C5C944DBABF9}" name="Female &lt;5" dataDxfId="159" dataCellStyle="Comma"/>
    <tableColumn id="7" xr3:uid="{95DE059F-2F04-4A12-B1BF-E60DCEF44FB6}" name="Female 5-17" dataDxfId="158" dataCellStyle="Comma"/>
    <tableColumn id="8" xr3:uid="{3CF99BDD-0649-435A-B878-4917DE7ED886}" name="Female 18-49" dataDxfId="157" dataCellStyle="Comma"/>
    <tableColumn id="9" xr3:uid="{07E2DFDF-85A0-4DBD-8229-6B8FFD9D62AC}" name="Female 50+" dataDxfId="156" dataCellStyle="Comma"/>
    <tableColumn id="11" xr3:uid="{71CF59B3-A38C-4EAD-AEB7-C9194EB203BF}" name="Indirectly reached" dataDxfId="155" dataCellStyle="Comma"/>
    <tableColumn id="12" xr3:uid="{8050E9FC-C4E3-4276-8E7E-0CFEB95A2425}" name="Total_x000a_Direct + Indirect" dataDxfId="154" dataCellStyle="Comma">
      <calculatedColumnFormula>IF(COUNTA(F9:R9)=0,"",MAX(Data_core[[#This Row],[Total Direct]],SUM(Data_core[[#This Row],[Total male]:[Total female]]),SUM(Data_core[[#This Row],[Female &lt;5]:[Other/ 
Unknown]])+Data_core[[#This Row],[Indirectly reached]]))</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7B1BCB-47CC-4CA3-88A1-615BBF78270E}" name="Final" displayName="Final" ref="B5:J426" totalsRowShown="0" headerRowDxfId="153" dataDxfId="151" headerRowBorderDxfId="152" tableBorderDxfId="150" totalsRowBorderDxfId="149">
  <autoFilter ref="B5:J426" xr:uid="{257B1BCB-47CC-4CA3-88A1-615BBF78270E}"/>
  <tableColumns count="9">
    <tableColumn id="6" xr3:uid="{4B62FB53-8208-4535-97ED-1573FBAD37A3}" name="KPI ID" dataDxfId="148"/>
    <tableColumn id="2" xr3:uid="{1882B8AF-35CA-4C06-89EB-1DE90F79845A}" name="Sector" dataDxfId="147"/>
    <tableColumn id="3" xr3:uid="{656C72F6-A5B1-4091-87E3-513AD3F92F86}" name="Sub-sector" dataDxfId="146"/>
    <tableColumn id="1" xr3:uid="{FA24DFC5-6CED-4654-A595-D10A68C6F2EF}" name="SP/EF" dataDxfId="145"/>
    <tableColumn id="4" xr3:uid="{6C29028F-7EE9-4150-9A24-C8211BAA0A8E}" name="Indicator Name" dataDxfId="144"/>
    <tableColumn id="5" xr3:uid="{54ADBA50-926D-414D-8433-5C53D022305E}" name="Definition" dataDxfId="143"/>
    <tableColumn id="7" xr3:uid="{00CF578A-4CF0-43E9-A84D-675BFE0C00D8}" name="Disaggregation" dataDxfId="142"/>
    <tableColumn id="8" xr3:uid="{642642D0-7787-49BA-A628-B9B8264F8F27}" name="Unit of measurement" dataDxfId="141"/>
    <tableColumn id="9" xr3:uid="{2A7EBE78-52EA-4919-B608-F1303EC045FE}" name="Type of measurement" dataDxfId="140"/>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ata_emergency1" displayName="Data_emergency1" ref="B6:S53" totalsRowShown="0" headerRowDxfId="139" dataDxfId="137" headerRowBorderDxfId="138" tableBorderDxfId="136" totalsRowBorderDxfId="135">
  <autoFilter ref="B6:S53" xr:uid="{00000000-000C-0000-FFFF-FFFF04000000}"/>
  <tableColumns count="18">
    <tableColumn id="14" xr3:uid="{0312B1F5-7465-4CCA-BC5F-7F08510D050E}" name="ID" dataDxfId="134"/>
    <tableColumn id="1" xr3:uid="{00000000-0010-0000-0400-000001000000}" name="Strategic Priority / Enabling Function" dataDxfId="133"/>
    <tableColumn id="2" xr3:uid="{00000000-0010-0000-0400-000002000000}" name="Indicator" dataDxfId="132"/>
    <tableColumn id="3" xr3:uid="{00000000-0010-0000-0400-000003000000}" name="Applicable/_x000a_Data not available" dataDxfId="131" dataCellStyle="Comma"/>
    <tableColumn id="4" xr3:uid="{00000000-0010-0000-0400-000004000000}" name="Total Direct" dataDxfId="130" dataCellStyle="Comma"/>
    <tableColumn id="5" xr3:uid="{00000000-0010-0000-0400-000005000000}" name="Total male" dataDxfId="129" dataCellStyle="Comma"/>
    <tableColumn id="6" xr3:uid="{00000000-0010-0000-0400-000006000000}" name="Total female" dataDxfId="128" dataCellStyle="Comma"/>
    <tableColumn id="11" xr3:uid="{00000000-0010-0000-0400-00000B000000}" name="Other/ _x000a_Unknown" dataDxfId="127" dataCellStyle="Comma"/>
    <tableColumn id="7" xr3:uid="{00000000-0010-0000-0400-000007000000}" name="Male &lt;5" dataDxfId="126" dataCellStyle="Comma"/>
    <tableColumn id="8" xr3:uid="{00000000-0010-0000-0400-000008000000}" name="Male 5-17" dataDxfId="125" dataCellStyle="Comma"/>
    <tableColumn id="9" xr3:uid="{00000000-0010-0000-0400-000009000000}" name="Male 18-49" dataDxfId="124" dataCellStyle="Comma"/>
    <tableColumn id="20" xr3:uid="{5C5AF6C0-F9B2-4F7A-B9DD-04EECC2D0437}" name="Male 50+" dataDxfId="123" dataCellStyle="Comma"/>
    <tableColumn id="19" xr3:uid="{21D1D1DC-9395-4A57-9D3F-6B52FAED790A}" name="Female &lt;5" dataDxfId="122" dataCellStyle="Comma"/>
    <tableColumn id="18" xr3:uid="{764AC283-8F38-4BCD-872B-69315C99733E}" name="Female 5-17" dataDxfId="121" dataCellStyle="Comma"/>
    <tableColumn id="17" xr3:uid="{9CF088FB-D361-424E-B688-AB99A98CF18F}" name="Female 18-49" dataDxfId="120" dataCellStyle="Comma"/>
    <tableColumn id="10" xr3:uid="{00000000-0010-0000-0400-00000A000000}" name="Female 50+" dataDxfId="119" dataCellStyle="Comma"/>
    <tableColumn id="12" xr3:uid="{00000000-0010-0000-0400-00000C000000}" name="Indirectly reached" dataDxfId="118" dataCellStyle="Comma"/>
    <tableColumn id="13" xr3:uid="{00000000-0010-0000-0400-00000D000000}" name="Total_x000a_Direct + Indirect" dataDxfId="117" dataCellStyle="Comma">
      <calculatedColumnFormula>IF(COUNTA(F7:R7)=0,"",MAX(Data_emergency1[[#This Row],[Total Direct]],
MAX(SUM(Data_emergency1[[#This Row],[Total male]:[Total female]]),SUM(Data_emergency1[[#This Row],[Male &lt;5]:[Female 50+]]))+Data_emergency1[[#This Row],[Other/ 
Unknown]])+Data_emergency1[[#This Row],[Indirectly reached]])</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1F782BF-4B0D-43B8-B113-5B292FCC7230}" name="Data_emergency2" displayName="Data_emergency2" ref="B6:S53" totalsRowShown="0" headerRowDxfId="116" dataDxfId="114" headerRowBorderDxfId="115" tableBorderDxfId="113" totalsRowBorderDxfId="112">
  <autoFilter ref="B6:S53" xr:uid="{01F782BF-4B0D-43B8-B113-5B292FCC7230}"/>
  <tableColumns count="18">
    <tableColumn id="18" xr3:uid="{37A2A85E-8F09-4ACB-A493-22C9A030DA12}" name="ID" dataDxfId="111"/>
    <tableColumn id="1" xr3:uid="{F1BEB29A-15B0-4AAB-B65A-B5F68ADCB049}" name="Strategic Priority / Enabling Function" dataDxfId="110"/>
    <tableColumn id="2" xr3:uid="{FE0A286C-BCB9-4604-85C0-B009F66E5CA7}" name="Indicator" dataDxfId="109"/>
    <tableColumn id="3" xr3:uid="{34E8F13A-0740-4754-8506-C4467BE89290}" name="Applicable/_x000a_Data not available" dataDxfId="108" dataCellStyle="Comma"/>
    <tableColumn id="4" xr3:uid="{28B8B2B0-AD87-4834-9684-C7F5841CC3AF}" name="Total Direct" dataDxfId="107" dataCellStyle="Comma"/>
    <tableColumn id="5" xr3:uid="{81408632-E479-4F8D-A7EF-F0BEDC1E3669}" name="Total male" dataDxfId="106" dataCellStyle="Comma"/>
    <tableColumn id="6" xr3:uid="{531995FB-702C-47E7-ABE6-1B01B5AC114F}" name="Total female" dataDxfId="105" dataCellStyle="Comma"/>
    <tableColumn id="11" xr3:uid="{B8BF197D-599D-4A75-957E-7EDD00403729}" name="Other/ _x000a_Unknown" dataDxfId="104" dataCellStyle="Comma"/>
    <tableColumn id="7" xr3:uid="{83233489-B7AB-4D6E-8BED-9D5175AB6B69}" name="Male &lt;5" dataDxfId="103" dataCellStyle="Comma"/>
    <tableColumn id="8" xr3:uid="{A21B0E0E-5CD3-4A29-AEE8-88AFEBBF4080}" name="Male 5-17" dataDxfId="102" dataCellStyle="Comma"/>
    <tableColumn id="9" xr3:uid="{4F55DB6F-1ECE-4076-9AE5-3C2BE1AB0375}" name="Male 18-49" dataDxfId="101" dataCellStyle="Comma"/>
    <tableColumn id="17" xr3:uid="{BF1CFCEE-2810-4A98-B11E-42514880A6AA}" name="Male 50+" dataDxfId="100" dataCellStyle="Comma"/>
    <tableColumn id="16" xr3:uid="{1744A76F-DAA6-46E5-B6C0-C3E08943F2F2}" name="Female &lt;5" dataDxfId="99" dataCellStyle="Comma"/>
    <tableColumn id="15" xr3:uid="{35D88846-32EC-44B8-A059-B96ED6967F4E}" name="Female 5-17" dataDxfId="98" dataCellStyle="Comma"/>
    <tableColumn id="14" xr3:uid="{B9160EFF-7CC7-43D4-8BEE-69453A60EE11}" name="Female 18-49" dataDxfId="97" dataCellStyle="Comma"/>
    <tableColumn id="10" xr3:uid="{AF543678-5536-45A8-8961-DE7DD0D11AB4}" name="Female 50+" dataDxfId="96" dataCellStyle="Comma"/>
    <tableColumn id="12" xr3:uid="{21DB42B2-DD70-4743-BC90-39F1FEAF1400}" name="Indirectly reached" dataDxfId="95" dataCellStyle="Comma"/>
    <tableColumn id="13" xr3:uid="{66D634A7-7F90-44DD-A805-A302DDAE9EAE}" name="Total_x000a_Direct + Indirect" dataDxfId="94" dataCellStyle="Comma">
      <calculatedColumnFormula>IF(COUNTA(F7:R7)=0,"",MAX(Data_emergency2[[#This Row],[Total Direct]],
MAX(SUM(Data_emergency2[[#This Row],[Total male]:[Total female]]),SUM(Data_emergency2[[#This Row],[Male &lt;5]:[Female 50+]]))+Data_emergency2[[#This Row],[Other/ 
Unknown]])+Data_emergency2[[#This Row],[Indirectly reached]])</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363A15B-0C26-457B-AF63-F1AB908B9508}" name="Data_emergency3" displayName="Data_emergency3" ref="B6:S53" totalsRowShown="0" headerRowDxfId="93" dataDxfId="91" headerRowBorderDxfId="92" tableBorderDxfId="90" totalsRowBorderDxfId="89">
  <autoFilter ref="B6:S53" xr:uid="{D363A15B-0C26-457B-AF63-F1AB908B9508}"/>
  <tableColumns count="18">
    <tableColumn id="18" xr3:uid="{919EFD20-1E4B-4222-A0CC-7700BEF284C2}" name="ID" dataDxfId="88"/>
    <tableColumn id="1" xr3:uid="{A6CF3645-D93B-4764-AEDF-F2F3B00E207E}" name="Strategic Priority / Enabling Function" dataDxfId="87"/>
    <tableColumn id="2" xr3:uid="{72B42D7E-6140-4FD2-A631-A93082A8E29E}" name="Indicator" dataDxfId="86"/>
    <tableColumn id="3" xr3:uid="{3FE27ED8-01DF-455A-B690-757155614BDA}" name="Applicable/_x000a_Data not available" dataDxfId="85" dataCellStyle="Comma"/>
    <tableColumn id="4" xr3:uid="{5AD6E210-469B-4A84-8E37-D702BDD3275F}" name="Total Direct" dataDxfId="84" dataCellStyle="Comma"/>
    <tableColumn id="5" xr3:uid="{E67BB692-88BF-4495-8C83-55E87BC9B4CF}" name="Total male" dataDxfId="83" dataCellStyle="Comma"/>
    <tableColumn id="6" xr3:uid="{60C27D2E-95BA-4454-A368-AD3CCFEE193F}" name="Total female" dataDxfId="82" dataCellStyle="Comma"/>
    <tableColumn id="11" xr3:uid="{01E9E07E-D87A-4058-8D2D-D44FFFB5476A}" name="Other/ _x000a_Unknown" dataDxfId="81" dataCellStyle="Comma"/>
    <tableColumn id="7" xr3:uid="{4F368FCA-DF05-4510-8869-50E6C2F49685}" name="Male &lt;5" dataDxfId="80" dataCellStyle="Comma"/>
    <tableColumn id="8" xr3:uid="{14710A51-1113-41D6-B851-B81B4BFBFD1C}" name="Male 5-17" dataDxfId="79" dataCellStyle="Comma"/>
    <tableColumn id="15" xr3:uid="{5C62F725-76FA-497D-86BA-B8C903CEDC12}" name="Male 18-49" dataDxfId="78" dataCellStyle="Comma"/>
    <tableColumn id="16" xr3:uid="{B63EE7FD-3239-4D32-ABC5-803A4F8C6438}" name="Male 50+" dataDxfId="77" dataCellStyle="Comma"/>
    <tableColumn id="14" xr3:uid="{FC345237-C111-46C6-8034-73F457B1B15B}" name="Female &lt;5" dataDxfId="76" dataCellStyle="Comma"/>
    <tableColumn id="9" xr3:uid="{0D536CC8-45F0-4F53-9AC4-AF730F5D59EC}" name="Female 5-17" dataDxfId="75" dataCellStyle="Comma"/>
    <tableColumn id="17" xr3:uid="{C2E2EA54-4013-4D0E-BB04-A4FA483BF786}" name="Female 18-49" dataDxfId="74" dataCellStyle="Comma"/>
    <tableColumn id="10" xr3:uid="{EF1B1D2A-10A6-40EE-A301-7EF15B5823B1}" name="Female 50+" dataDxfId="73" dataCellStyle="Comma"/>
    <tableColumn id="12" xr3:uid="{E5621F8B-0CA4-48CE-B3EB-CE1034FA326F}" name="Indirectly reached" dataDxfId="72" dataCellStyle="Comma"/>
    <tableColumn id="13" xr3:uid="{E46109AD-C128-44CF-B6CD-C2E310979610}" name="Total_x000a_Direct + Indirect" dataDxfId="71" dataCellStyle="Comma">
      <calculatedColumnFormula>IF(Data_emergency3[[#This Row],[Total Direct]]="","",Data_emergency3[[#This Row],[Total Direct]])</calculatedColumnFormula>
    </tableColumn>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99BD9B0-77EC-4F75-81C8-D8C053CED51A}" name="Data_funding1" displayName="Data_funding1" ref="E5:G9" totalsRowShown="0" headerRowDxfId="70" dataDxfId="69">
  <autoFilter ref="E5:G9" xr:uid="{299BD9B0-77EC-4F75-81C8-D8C053CED51A}">
    <filterColumn colId="0" hiddenButton="1"/>
    <filterColumn colId="1" hiddenButton="1"/>
    <filterColumn colId="2" hiddenButton="1"/>
  </autoFilter>
  <tableColumns count="3">
    <tableColumn id="1" xr3:uid="{16A71377-F154-468B-A048-148DF670F08B}" name="Attribute" dataDxfId="68"/>
    <tableColumn id="2" xr3:uid="{1BA1F9AD-1009-4F4A-B8AB-8700CBB176E9}" name="NS 2026 Total_x000a_Funding " dataDxfId="67" dataCellStyle="Currency"/>
    <tableColumn id="3" xr3:uid="{A56452B2-4958-49C7-91D4-BDEA502E3DF1}" name="NS 2026 Total_x000a_Expenditure" dataDxfId="66"/>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735009F-B237-458E-8BF9-F1018DF1CA21}" name="Data_funding2" displayName="Data_funding2" ref="E12:G19" totalsRowShown="0" headerRowDxfId="65" dataDxfId="64" tableBorderDxfId="63">
  <autoFilter ref="E12:G19" xr:uid="{4735009F-B237-458E-8BF9-F1018DF1CA21}">
    <filterColumn colId="0" hiddenButton="1"/>
    <filterColumn colId="1" hiddenButton="1"/>
    <filterColumn colId="2" hiddenButton="1"/>
  </autoFilter>
  <tableColumns count="3">
    <tableColumn id="1" xr3:uid="{50256BE2-C72B-4174-A80C-8F2481EF8F18}" name="Attribute" dataDxfId="62"/>
    <tableColumn id="2" xr3:uid="{C41E41AE-A959-471C-AC7E-3A7ECAFE1839}" name="Funding " dataDxfId="61" dataCellStyle="Currency">
      <calculatedColumnFormula>F6</calculatedColumnFormula>
    </tableColumn>
    <tableColumn id="3" xr3:uid="{6F15588B-9DDB-4322-A151-B5B33C7601DD}" name="Expenditure" dataDxfId="60" dataCellStyle="Currency">
      <calculatedColumnFormula>G6</calculatedColumnFormula>
    </tableColumn>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9AFE019-9EC5-441F-8C90-EB05DDC6B227}" name="Data_act" displayName="Data_act" ref="D7:P32" totalsRowShown="0" headerRowDxfId="59" headerRowBorderDxfId="58" tableBorderDxfId="57" totalsRowBorderDxfId="56">
  <autoFilter ref="D7:P32" xr:uid="{C9AFE019-9EC5-441F-8C90-EB05DDC6B2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3FDE55C-2F0D-45BE-8E8B-4648E3CB9E84}" name="NS" dataDxfId="55">
      <calculatedColumnFormula>IF(C8="","",C8)</calculatedColumnFormula>
    </tableColumn>
    <tableColumn id="2" xr3:uid="{A1297DF0-7E05-453C-BD1E-4BE49CC63D67}" name="SP2_Planned" dataDxfId="54">
      <calculatedColumnFormula>IF(COUNTIFS(PlannedActivities[Country],Data_Country,PlannedActivities[Attribute],"SP1",PlannedActivities[Value],C8)=1,"X","")</calculatedColumnFormula>
    </tableColumn>
    <tableColumn id="3" xr3:uid="{D660934B-A2AD-4B76-9A8E-CE3464DFB81B}" name="SP2_Supported" dataDxfId="53"/>
    <tableColumn id="4" xr3:uid="{986C6806-846E-4E9D-9374-80D0C78608B6}" name="SP1_Planned" dataDxfId="52">
      <calculatedColumnFormula>IF(COUNTIFS(PlannedActivities[Country],Data_Country,PlannedActivities[Attribute],"SP2",PlannedActivities[Value],C8)=1,"X","")</calculatedColumnFormula>
    </tableColumn>
    <tableColumn id="5" xr3:uid="{08463FFB-466A-4BAE-AC7C-799EA46317D6}" name="SP1_Supported" dataDxfId="51"/>
    <tableColumn id="6" xr3:uid="{A620E746-16A0-4BB8-AD3F-55666929B6BA}" name="SP3_Planned" dataDxfId="50">
      <calculatedColumnFormula>IF(COUNTIFS(PlannedActivities[Country],Data_Country,PlannedActivities[Attribute],"SP3",PlannedActivities[Value],C8)=1,"X","")</calculatedColumnFormula>
    </tableColumn>
    <tableColumn id="7" xr3:uid="{DC436A3A-B782-4338-A3A3-03097AD5B626}" name="SP3_Supported" dataDxfId="49"/>
    <tableColumn id="8" xr3:uid="{C31CF679-D5D7-4238-91B7-304DB429F4F2}" name="SP4_Planned" dataDxfId="48">
      <calculatedColumnFormula>IF(COUNTIFS(PlannedActivities[Country],Data_Country,PlannedActivities[Attribute],"SP4",PlannedActivities[Value],C8)=1,"X","")</calculatedColumnFormula>
    </tableColumn>
    <tableColumn id="9" xr3:uid="{2C5DDDB7-22E6-4E4C-8F92-3E6115D7E916}" name="SP4_Supported" dataDxfId="47"/>
    <tableColumn id="10" xr3:uid="{993C747F-1537-4835-B445-8B2E9AF8E6E0}" name="SP5_Planned" dataDxfId="46">
      <calculatedColumnFormula>IF(COUNTIFS(PlannedActivities[Country],Data_Country,PlannedActivities[Attribute],"SP5",PlannedActivities[Value],C8)=1,"X","")</calculatedColumnFormula>
    </tableColumn>
    <tableColumn id="11" xr3:uid="{0D5E1B5A-EC2C-421F-B0DE-747663EBE3DB}" name="SP5_Supported" dataDxfId="45"/>
    <tableColumn id="12" xr3:uid="{522D2CBA-CE18-445A-9DEE-D0F1D8102667}" name="EFs_Planned" dataDxfId="44">
      <calculatedColumnFormula>IF(COUNTIFS(PlannedActivities[Country],Data_Country,PlannedActivities[Attribute],"EF",PlannedActivities[Value],C8)=1,"X","")</calculatedColumnFormula>
    </tableColumn>
    <tableColumn id="13" xr3:uid="{E8B3825D-7E8D-4B6C-A9F6-EE4DA7E52DF2}" name="EFs_Supported" dataDxfId="43"/>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516C29-5857-4A13-B2FF-132A834830F1}" name="Data_act2" displayName="Data_act2" ref="D36:P60" totalsRowShown="0" headerRowDxfId="42" dataDxfId="40" headerRowBorderDxfId="41" tableBorderDxfId="39">
  <autoFilter ref="D36:P60" xr:uid="{BD516C29-5857-4A13-B2FF-132A834830F1}"/>
  <tableColumns count="13">
    <tableColumn id="1" xr3:uid="{A59B6F5E-2689-4418-BAF1-051E84A2FD04}" name="NS" dataDxfId="38">
      <calculatedColumnFormula>IF(C37="","",C37)</calculatedColumnFormula>
    </tableColumn>
    <tableColumn id="2" xr3:uid="{E3C5C5DE-4C87-4898-8BB9-5D968EADFCC5}" name="SP1_Planned" dataDxfId="37"/>
    <tableColumn id="3" xr3:uid="{B8F1BD1C-60F3-4640-821F-CD14AAAD7A05}" name="SP1_Supported" dataDxfId="36"/>
    <tableColumn id="4" xr3:uid="{32C2C775-4DA0-4B0F-BBD1-38BD00556130}" name="SP2_Planned" dataDxfId="35"/>
    <tableColumn id="5" xr3:uid="{B83C9C25-0C7E-45D9-B54A-22B6AB43A15D}" name="SP2_Supported" dataDxfId="34"/>
    <tableColumn id="6" xr3:uid="{EF72C029-ADA8-471A-8937-EDFC763907E8}" name="SP3_Planned" dataDxfId="33"/>
    <tableColumn id="7" xr3:uid="{2B759C31-0415-470E-8193-B451B548D424}" name="SP3_Supported" dataDxfId="32"/>
    <tableColumn id="8" xr3:uid="{D9E7EB38-06E3-49AC-BB70-07BDA01A1C19}" name="SP4_Planned" dataDxfId="31"/>
    <tableColumn id="9" xr3:uid="{7C05D78B-E53E-4F92-8F5D-E262290FE08F}" name="SP4_Supported" dataDxfId="30"/>
    <tableColumn id="10" xr3:uid="{63F113B4-DA53-4212-9261-8A38DBF7CD2C}" name="SP5_Planned" dataDxfId="29"/>
    <tableColumn id="11" xr3:uid="{515C480C-0BE7-42B9-835C-B5D3AF0A733B}" name="SP5_Supported" dataDxfId="28"/>
    <tableColumn id="12" xr3:uid="{0A327334-E947-4A5A-9E29-E0C5EC41136F}" name="EFs_Planned" dataDxfId="27"/>
    <tableColumn id="13" xr3:uid="{F4D4A4FF-F8E8-42DF-88FB-F67926DC58B6}" name="EFs_Supported" dataDxfId="2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bank.ifrc.org/"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148"/>
  <sheetViews>
    <sheetView topLeftCell="F3" workbookViewId="0">
      <selection activeCell="H17" sqref="H17"/>
    </sheetView>
  </sheetViews>
  <sheetFormatPr defaultRowHeight="14.4" x14ac:dyDescent="0.3"/>
  <cols>
    <col min="1" max="1" width="26" bestFit="1" customWidth="1"/>
    <col min="2" max="2" width="35.44140625" bestFit="1" customWidth="1"/>
    <col min="3" max="3" width="35.44140625" customWidth="1"/>
    <col min="4" max="4" width="5.6640625" bestFit="1" customWidth="1"/>
    <col min="5" max="5" width="26" bestFit="1" customWidth="1"/>
    <col min="6" max="6" width="56.5546875" bestFit="1" customWidth="1"/>
    <col min="7" max="7" width="5.33203125" customWidth="1"/>
    <col min="8" max="8" width="39.33203125" bestFit="1" customWidth="1"/>
    <col min="9" max="9" width="7.6640625" bestFit="1" customWidth="1"/>
    <col min="10" max="10" width="7.33203125" customWidth="1"/>
    <col min="11" max="11" width="29.33203125" bestFit="1" customWidth="1"/>
    <col min="13" max="13" width="35.44140625" bestFit="1" customWidth="1"/>
    <col min="14" max="14" width="24.33203125" bestFit="1" customWidth="1"/>
    <col min="15" max="15" width="12.33203125" bestFit="1" customWidth="1"/>
    <col min="16" max="16" width="8.6640625" customWidth="1"/>
    <col min="17" max="17" width="4.5546875" customWidth="1"/>
    <col min="18" max="18" width="7.33203125" bestFit="1" customWidth="1"/>
    <col min="19" max="19" width="34.6640625" bestFit="1" customWidth="1"/>
    <col min="20" max="20" width="11.33203125" bestFit="1" customWidth="1"/>
    <col min="21" max="21" width="46" bestFit="1" customWidth="1"/>
    <col min="22" max="22" width="4" customWidth="1"/>
    <col min="23" max="23" width="19.5546875" bestFit="1" customWidth="1"/>
    <col min="24" max="24" width="12.6640625" customWidth="1"/>
    <col min="25" max="25" width="13.6640625" bestFit="1" customWidth="1"/>
    <col min="26" max="26" width="33.6640625" bestFit="1" customWidth="1"/>
  </cols>
  <sheetData>
    <row r="1" spans="1:26" x14ac:dyDescent="0.3">
      <c r="A1" t="s">
        <v>0</v>
      </c>
    </row>
    <row r="2" spans="1:26" x14ac:dyDescent="0.3">
      <c r="A2" t="s">
        <v>1</v>
      </c>
      <c r="C2" t="s">
        <v>1522</v>
      </c>
    </row>
    <row r="3" spans="1:26" x14ac:dyDescent="0.3">
      <c r="A3" t="s">
        <v>2</v>
      </c>
    </row>
    <row r="4" spans="1:26" x14ac:dyDescent="0.3">
      <c r="A4" t="s">
        <v>3</v>
      </c>
    </row>
    <row r="5" spans="1:26" ht="15" thickBot="1" x14ac:dyDescent="0.35">
      <c r="A5" t="s">
        <v>4</v>
      </c>
    </row>
    <row r="6" spans="1:26" x14ac:dyDescent="0.3">
      <c r="A6" t="s">
        <v>5</v>
      </c>
      <c r="M6" s="225" t="s">
        <v>6</v>
      </c>
      <c r="N6" s="226"/>
      <c r="O6" s="226"/>
      <c r="P6" s="227"/>
      <c r="R6" s="225" t="s">
        <v>7</v>
      </c>
      <c r="S6" s="226"/>
      <c r="T6" s="226"/>
      <c r="U6" s="227"/>
      <c r="W6" s="225" t="s">
        <v>8</v>
      </c>
      <c r="X6" s="226"/>
      <c r="Y6" s="226"/>
      <c r="Z6" s="227"/>
    </row>
    <row r="7" spans="1:26" ht="15" thickBot="1" x14ac:dyDescent="0.35">
      <c r="M7" s="228"/>
      <c r="N7" s="229"/>
      <c r="O7" s="229"/>
      <c r="P7" s="230"/>
      <c r="R7" s="228"/>
      <c r="S7" s="229"/>
      <c r="T7" s="229"/>
      <c r="U7" s="230"/>
      <c r="W7" s="228"/>
      <c r="X7" s="229"/>
      <c r="Y7" s="229"/>
      <c r="Z7" s="230"/>
    </row>
    <row r="9" spans="1:26" x14ac:dyDescent="0.3">
      <c r="A9" t="s">
        <v>0</v>
      </c>
      <c r="B9" t="s">
        <v>9</v>
      </c>
      <c r="C9" t="s">
        <v>10</v>
      </c>
      <c r="E9" t="s">
        <v>0</v>
      </c>
      <c r="F9" t="s">
        <v>11</v>
      </c>
      <c r="H9" t="s">
        <v>12</v>
      </c>
      <c r="I9" t="s">
        <v>1550</v>
      </c>
      <c r="K9" s="131" t="s">
        <v>13</v>
      </c>
      <c r="M9" t="s">
        <v>9</v>
      </c>
      <c r="N9" t="s">
        <v>14</v>
      </c>
      <c r="O9" t="s">
        <v>15</v>
      </c>
      <c r="P9" t="s">
        <v>16</v>
      </c>
      <c r="R9" t="s">
        <v>17</v>
      </c>
      <c r="S9" t="s">
        <v>9</v>
      </c>
      <c r="T9" t="s">
        <v>14</v>
      </c>
      <c r="U9" t="s">
        <v>15</v>
      </c>
      <c r="W9" s="131" t="s">
        <v>17</v>
      </c>
      <c r="X9" s="131" t="s">
        <v>9</v>
      </c>
      <c r="Y9" s="131" t="s">
        <v>18</v>
      </c>
      <c r="Z9" s="131" t="s">
        <v>19</v>
      </c>
    </row>
    <row r="10" spans="1:26" x14ac:dyDescent="0.3">
      <c r="A10" t="s">
        <v>2</v>
      </c>
      <c r="B10" t="s">
        <v>20</v>
      </c>
      <c r="C10" t="s">
        <v>21</v>
      </c>
      <c r="E10" t="s">
        <v>2</v>
      </c>
      <c r="F10" t="s">
        <v>21</v>
      </c>
      <c r="H10" t="s">
        <v>1654</v>
      </c>
      <c r="I10" t="s">
        <v>32</v>
      </c>
      <c r="K10" t="s">
        <v>22</v>
      </c>
      <c r="M10" t="s">
        <v>23</v>
      </c>
      <c r="N10" t="s">
        <v>24</v>
      </c>
      <c r="O10" s="132">
        <v>34</v>
      </c>
      <c r="P10">
        <v>2024</v>
      </c>
      <c r="R10" t="s">
        <v>25</v>
      </c>
      <c r="S10" t="s">
        <v>23</v>
      </c>
      <c r="T10" t="s">
        <v>26</v>
      </c>
      <c r="U10" t="s">
        <v>27</v>
      </c>
      <c r="W10" t="s">
        <v>25</v>
      </c>
      <c r="X10" t="s">
        <v>23</v>
      </c>
      <c r="Y10" t="s">
        <v>24</v>
      </c>
      <c r="Z10" s="132">
        <v>34</v>
      </c>
    </row>
    <row r="11" spans="1:26" x14ac:dyDescent="0.3">
      <c r="A11" t="s">
        <v>2</v>
      </c>
      <c r="B11" t="s">
        <v>28</v>
      </c>
      <c r="C11" t="s">
        <v>29</v>
      </c>
      <c r="E11" t="s">
        <v>2</v>
      </c>
      <c r="F11" t="s">
        <v>29</v>
      </c>
      <c r="H11" t="s">
        <v>1518</v>
      </c>
      <c r="I11" t="s">
        <v>82</v>
      </c>
      <c r="K11" t="s">
        <v>30</v>
      </c>
      <c r="M11" t="s">
        <v>23</v>
      </c>
      <c r="N11" t="s">
        <v>31</v>
      </c>
      <c r="O11" s="132">
        <v>329</v>
      </c>
      <c r="P11">
        <v>2024</v>
      </c>
      <c r="R11" t="s">
        <v>25</v>
      </c>
      <c r="S11" t="s">
        <v>23</v>
      </c>
      <c r="T11" t="s">
        <v>32</v>
      </c>
      <c r="U11" t="s">
        <v>27</v>
      </c>
      <c r="W11" t="s">
        <v>25</v>
      </c>
      <c r="X11" t="s">
        <v>23</v>
      </c>
      <c r="Y11" t="s">
        <v>33</v>
      </c>
      <c r="Z11" s="132">
        <v>3900</v>
      </c>
    </row>
    <row r="12" spans="1:26" x14ac:dyDescent="0.3">
      <c r="A12" t="s">
        <v>2</v>
      </c>
      <c r="B12" t="s">
        <v>34</v>
      </c>
      <c r="C12" t="s">
        <v>35</v>
      </c>
      <c r="E12" t="s">
        <v>2</v>
      </c>
      <c r="F12" t="s">
        <v>35</v>
      </c>
      <c r="H12" t="s">
        <v>1519</v>
      </c>
      <c r="I12" t="s">
        <v>47</v>
      </c>
      <c r="K12" t="s">
        <v>36</v>
      </c>
      <c r="M12" t="s">
        <v>23</v>
      </c>
      <c r="N12" t="s">
        <v>33</v>
      </c>
      <c r="O12" s="132">
        <v>4663</v>
      </c>
      <c r="P12">
        <v>2024</v>
      </c>
      <c r="R12" t="s">
        <v>25</v>
      </c>
      <c r="S12" t="s">
        <v>23</v>
      </c>
      <c r="T12" t="s">
        <v>37</v>
      </c>
      <c r="U12" t="s">
        <v>27</v>
      </c>
      <c r="W12" t="s">
        <v>25</v>
      </c>
      <c r="X12" t="s">
        <v>23</v>
      </c>
      <c r="Y12" t="s">
        <v>31</v>
      </c>
      <c r="Z12" s="132">
        <v>329</v>
      </c>
    </row>
    <row r="13" spans="1:26" x14ac:dyDescent="0.3">
      <c r="A13" t="s">
        <v>2</v>
      </c>
      <c r="B13" t="s">
        <v>38</v>
      </c>
      <c r="C13" t="s">
        <v>39</v>
      </c>
      <c r="E13" t="s">
        <v>2</v>
      </c>
      <c r="F13" t="s">
        <v>39</v>
      </c>
      <c r="H13" t="s">
        <v>1520</v>
      </c>
      <c r="I13" t="s">
        <v>26</v>
      </c>
      <c r="K13" t="s">
        <v>40</v>
      </c>
      <c r="M13" t="s">
        <v>23</v>
      </c>
      <c r="N13" t="s">
        <v>41</v>
      </c>
      <c r="O13" s="132">
        <v>29908</v>
      </c>
      <c r="P13">
        <v>2024</v>
      </c>
      <c r="R13" t="s">
        <v>25</v>
      </c>
      <c r="S13" t="s">
        <v>23</v>
      </c>
      <c r="T13" t="s">
        <v>42</v>
      </c>
      <c r="U13" t="s">
        <v>27</v>
      </c>
      <c r="W13" t="s">
        <v>25</v>
      </c>
      <c r="X13" t="s">
        <v>23</v>
      </c>
      <c r="Y13" t="s">
        <v>41</v>
      </c>
      <c r="Z13" s="132">
        <v>31447</v>
      </c>
    </row>
    <row r="14" spans="1:26" x14ac:dyDescent="0.3">
      <c r="A14" t="s">
        <v>2</v>
      </c>
      <c r="B14" t="s">
        <v>43</v>
      </c>
      <c r="C14" t="s">
        <v>44</v>
      </c>
      <c r="E14" t="s">
        <v>2</v>
      </c>
      <c r="F14" t="s">
        <v>44</v>
      </c>
      <c r="H14" t="s">
        <v>1521</v>
      </c>
      <c r="I14" t="s">
        <v>37</v>
      </c>
      <c r="K14" t="s">
        <v>45</v>
      </c>
      <c r="M14" t="s">
        <v>46</v>
      </c>
      <c r="N14" t="s">
        <v>24</v>
      </c>
      <c r="O14" s="132">
        <v>39</v>
      </c>
      <c r="P14">
        <v>2024</v>
      </c>
      <c r="R14" t="s">
        <v>25</v>
      </c>
      <c r="S14" t="s">
        <v>23</v>
      </c>
      <c r="T14" t="s">
        <v>47</v>
      </c>
      <c r="U14" t="s">
        <v>27</v>
      </c>
      <c r="W14" t="s">
        <v>48</v>
      </c>
      <c r="X14" t="s">
        <v>22</v>
      </c>
      <c r="Y14" t="s">
        <v>24</v>
      </c>
      <c r="Z14" s="132">
        <v>58</v>
      </c>
    </row>
    <row r="15" spans="1:26" x14ac:dyDescent="0.3">
      <c r="A15" t="s">
        <v>2</v>
      </c>
      <c r="B15" t="s">
        <v>49</v>
      </c>
      <c r="C15" t="s">
        <v>50</v>
      </c>
      <c r="E15" t="s">
        <v>2</v>
      </c>
      <c r="F15" t="s">
        <v>50</v>
      </c>
      <c r="H15" t="s">
        <v>1525</v>
      </c>
      <c r="I15" t="s">
        <v>1551</v>
      </c>
      <c r="K15" t="s">
        <v>51</v>
      </c>
      <c r="M15" t="s">
        <v>46</v>
      </c>
      <c r="N15" t="s">
        <v>31</v>
      </c>
      <c r="O15" s="132">
        <v>39</v>
      </c>
      <c r="P15">
        <v>2024</v>
      </c>
      <c r="R15" t="s">
        <v>25</v>
      </c>
      <c r="S15" t="s">
        <v>23</v>
      </c>
      <c r="T15" t="s">
        <v>42</v>
      </c>
      <c r="U15" t="s">
        <v>52</v>
      </c>
      <c r="W15" t="s">
        <v>48</v>
      </c>
      <c r="X15" t="s">
        <v>22</v>
      </c>
      <c r="Y15" t="s">
        <v>33</v>
      </c>
      <c r="Z15" s="132">
        <v>181</v>
      </c>
    </row>
    <row r="16" spans="1:26" x14ac:dyDescent="0.3">
      <c r="A16" t="s">
        <v>2</v>
      </c>
      <c r="B16" t="s">
        <v>53</v>
      </c>
      <c r="C16" t="s">
        <v>54</v>
      </c>
      <c r="E16" t="s">
        <v>2</v>
      </c>
      <c r="F16" t="s">
        <v>54</v>
      </c>
      <c r="H16" t="s">
        <v>1526</v>
      </c>
      <c r="I16" t="s">
        <v>1552</v>
      </c>
      <c r="K16" t="s">
        <v>28</v>
      </c>
      <c r="M16" t="s">
        <v>46</v>
      </c>
      <c r="N16" t="s">
        <v>33</v>
      </c>
      <c r="O16" s="132">
        <v>58</v>
      </c>
      <c r="P16">
        <v>2024</v>
      </c>
      <c r="R16" t="s">
        <v>25</v>
      </c>
      <c r="S16" t="s">
        <v>23</v>
      </c>
      <c r="T16" t="s">
        <v>26</v>
      </c>
      <c r="U16" t="s">
        <v>52</v>
      </c>
      <c r="W16" t="s">
        <v>48</v>
      </c>
      <c r="X16" t="s">
        <v>22</v>
      </c>
      <c r="Y16" t="s">
        <v>31</v>
      </c>
      <c r="Z16" s="132">
        <v>592</v>
      </c>
    </row>
    <row r="17" spans="1:26" x14ac:dyDescent="0.3">
      <c r="A17" t="s">
        <v>2</v>
      </c>
      <c r="B17" t="s">
        <v>55</v>
      </c>
      <c r="C17" t="s">
        <v>56</v>
      </c>
      <c r="E17" t="s">
        <v>2</v>
      </c>
      <c r="F17" t="s">
        <v>56</v>
      </c>
      <c r="H17" t="s">
        <v>1450</v>
      </c>
      <c r="I17" t="s">
        <v>1553</v>
      </c>
      <c r="K17" t="s">
        <v>38</v>
      </c>
      <c r="M17" t="s">
        <v>46</v>
      </c>
      <c r="N17" t="s">
        <v>41</v>
      </c>
      <c r="O17" s="132">
        <v>2800</v>
      </c>
      <c r="P17">
        <v>2024</v>
      </c>
      <c r="R17" t="s">
        <v>25</v>
      </c>
      <c r="S17" t="s">
        <v>23</v>
      </c>
      <c r="T17" t="s">
        <v>47</v>
      </c>
      <c r="U17" t="s">
        <v>52</v>
      </c>
      <c r="W17" t="s">
        <v>48</v>
      </c>
      <c r="X17" t="s">
        <v>22</v>
      </c>
      <c r="Y17" t="s">
        <v>41</v>
      </c>
      <c r="Z17" s="132">
        <v>36000</v>
      </c>
    </row>
    <row r="18" spans="1:26" x14ac:dyDescent="0.3">
      <c r="A18" t="s">
        <v>2</v>
      </c>
      <c r="B18" t="s">
        <v>57</v>
      </c>
      <c r="C18" t="s">
        <v>58</v>
      </c>
      <c r="E18" t="s">
        <v>2</v>
      </c>
      <c r="F18" t="s">
        <v>58</v>
      </c>
      <c r="H18" t="s">
        <v>1527</v>
      </c>
      <c r="I18" t="s">
        <v>1554</v>
      </c>
      <c r="K18" t="s">
        <v>57</v>
      </c>
      <c r="M18" t="s">
        <v>22</v>
      </c>
      <c r="N18" t="s">
        <v>24</v>
      </c>
      <c r="O18" s="132">
        <v>58</v>
      </c>
      <c r="P18">
        <v>2024</v>
      </c>
      <c r="R18" t="s">
        <v>25</v>
      </c>
      <c r="S18" t="s">
        <v>23</v>
      </c>
      <c r="T18" t="s">
        <v>32</v>
      </c>
      <c r="U18" t="s">
        <v>52</v>
      </c>
      <c r="W18" t="s">
        <v>59</v>
      </c>
      <c r="X18" t="s">
        <v>38</v>
      </c>
      <c r="Y18" t="s">
        <v>24</v>
      </c>
      <c r="Z18" s="132">
        <v>45</v>
      </c>
    </row>
    <row r="19" spans="1:26" x14ac:dyDescent="0.3">
      <c r="A19" t="s">
        <v>2</v>
      </c>
      <c r="B19" t="s">
        <v>60</v>
      </c>
      <c r="C19" t="s">
        <v>61</v>
      </c>
      <c r="E19" t="s">
        <v>2</v>
      </c>
      <c r="F19" t="s">
        <v>61</v>
      </c>
      <c r="K19" t="s">
        <v>62</v>
      </c>
      <c r="M19" t="s">
        <v>22</v>
      </c>
      <c r="N19" t="s">
        <v>31</v>
      </c>
      <c r="O19" s="132">
        <v>592</v>
      </c>
      <c r="P19">
        <v>2024</v>
      </c>
      <c r="R19" t="s">
        <v>25</v>
      </c>
      <c r="S19" t="s">
        <v>23</v>
      </c>
      <c r="T19" t="s">
        <v>47</v>
      </c>
      <c r="U19" t="s">
        <v>63</v>
      </c>
      <c r="W19" t="s">
        <v>59</v>
      </c>
      <c r="X19" t="s">
        <v>38</v>
      </c>
      <c r="Y19" t="s">
        <v>33</v>
      </c>
      <c r="Z19" s="132">
        <v>324</v>
      </c>
    </row>
    <row r="20" spans="1:26" x14ac:dyDescent="0.3">
      <c r="A20" t="s">
        <v>2</v>
      </c>
      <c r="B20" t="s">
        <v>64</v>
      </c>
      <c r="C20" t="s">
        <v>65</v>
      </c>
      <c r="E20" t="s">
        <v>2</v>
      </c>
      <c r="F20" t="s">
        <v>65</v>
      </c>
      <c r="K20" t="s">
        <v>66</v>
      </c>
      <c r="M20" t="s">
        <v>22</v>
      </c>
      <c r="N20" t="s">
        <v>33</v>
      </c>
      <c r="O20" s="132">
        <v>181</v>
      </c>
      <c r="P20">
        <v>2024</v>
      </c>
      <c r="R20" t="s">
        <v>25</v>
      </c>
      <c r="S20" t="s">
        <v>23</v>
      </c>
      <c r="T20" t="s">
        <v>26</v>
      </c>
      <c r="U20" t="s">
        <v>63</v>
      </c>
      <c r="W20" t="s">
        <v>59</v>
      </c>
      <c r="X20" t="s">
        <v>38</v>
      </c>
      <c r="Y20" t="s">
        <v>31</v>
      </c>
      <c r="Z20" s="132">
        <v>45</v>
      </c>
    </row>
    <row r="21" spans="1:26" x14ac:dyDescent="0.3">
      <c r="A21" t="s">
        <v>2</v>
      </c>
      <c r="B21" t="s">
        <v>67</v>
      </c>
      <c r="C21" t="s">
        <v>68</v>
      </c>
      <c r="E21" t="s">
        <v>2</v>
      </c>
      <c r="F21" t="s">
        <v>68</v>
      </c>
      <c r="K21" t="s">
        <v>49</v>
      </c>
      <c r="M21" t="s">
        <v>22</v>
      </c>
      <c r="N21" t="s">
        <v>41</v>
      </c>
      <c r="O21" s="132">
        <v>36000</v>
      </c>
      <c r="P21">
        <v>2024</v>
      </c>
      <c r="R21" t="s">
        <v>25</v>
      </c>
      <c r="S21" t="s">
        <v>23</v>
      </c>
      <c r="T21" t="s">
        <v>32</v>
      </c>
      <c r="U21" t="s">
        <v>63</v>
      </c>
      <c r="W21" t="s">
        <v>59</v>
      </c>
      <c r="X21" t="s">
        <v>38</v>
      </c>
      <c r="Y21" t="s">
        <v>41</v>
      </c>
      <c r="Z21" s="132">
        <v>45707</v>
      </c>
    </row>
    <row r="22" spans="1:26" x14ac:dyDescent="0.3">
      <c r="A22" t="s">
        <v>2</v>
      </c>
      <c r="B22" t="s">
        <v>69</v>
      </c>
      <c r="C22" t="s">
        <v>70</v>
      </c>
      <c r="E22" t="s">
        <v>2</v>
      </c>
      <c r="F22" t="s">
        <v>70</v>
      </c>
      <c r="K22" t="s">
        <v>71</v>
      </c>
      <c r="M22" t="s">
        <v>72</v>
      </c>
      <c r="N22" t="s">
        <v>24</v>
      </c>
      <c r="O22" s="132">
        <v>1</v>
      </c>
      <c r="P22">
        <v>2024</v>
      </c>
      <c r="R22" t="s">
        <v>25</v>
      </c>
      <c r="S22" t="s">
        <v>23</v>
      </c>
      <c r="T22" t="s">
        <v>47</v>
      </c>
      <c r="U22" t="s">
        <v>73</v>
      </c>
      <c r="W22" t="s">
        <v>74</v>
      </c>
      <c r="X22" t="s">
        <v>75</v>
      </c>
      <c r="Y22" t="s">
        <v>24</v>
      </c>
      <c r="Z22" s="132">
        <v>22</v>
      </c>
    </row>
    <row r="23" spans="1:26" x14ac:dyDescent="0.3">
      <c r="A23" t="s">
        <v>2</v>
      </c>
      <c r="B23" t="s">
        <v>76</v>
      </c>
      <c r="C23" t="s">
        <v>77</v>
      </c>
      <c r="E23" t="s">
        <v>2</v>
      </c>
      <c r="F23" t="s">
        <v>77</v>
      </c>
      <c r="K23" t="s">
        <v>78</v>
      </c>
      <c r="M23" t="s">
        <v>72</v>
      </c>
      <c r="N23" t="s">
        <v>31</v>
      </c>
      <c r="O23" s="132">
        <v>1</v>
      </c>
      <c r="P23">
        <v>2024</v>
      </c>
      <c r="R23" t="s">
        <v>25</v>
      </c>
      <c r="S23" t="s">
        <v>23</v>
      </c>
      <c r="T23" t="s">
        <v>32</v>
      </c>
      <c r="U23" t="s">
        <v>73</v>
      </c>
      <c r="W23" t="s">
        <v>74</v>
      </c>
      <c r="X23" t="s">
        <v>75</v>
      </c>
      <c r="Y23" t="s">
        <v>33</v>
      </c>
      <c r="Z23" s="132">
        <v>18</v>
      </c>
    </row>
    <row r="24" spans="1:26" x14ac:dyDescent="0.3">
      <c r="A24" t="s">
        <v>2</v>
      </c>
      <c r="B24" t="s">
        <v>79</v>
      </c>
      <c r="C24" t="s">
        <v>80</v>
      </c>
      <c r="E24" t="s">
        <v>2</v>
      </c>
      <c r="F24" t="s">
        <v>80</v>
      </c>
      <c r="K24" t="s">
        <v>81</v>
      </c>
      <c r="M24" t="s">
        <v>72</v>
      </c>
      <c r="N24" t="s">
        <v>33</v>
      </c>
      <c r="O24" s="132">
        <v>76</v>
      </c>
      <c r="P24">
        <v>2024</v>
      </c>
      <c r="R24" t="s">
        <v>25</v>
      </c>
      <c r="S24" t="s">
        <v>23</v>
      </c>
      <c r="T24" t="s">
        <v>82</v>
      </c>
      <c r="U24" t="s">
        <v>73</v>
      </c>
      <c r="W24" t="s">
        <v>74</v>
      </c>
      <c r="X24" t="s">
        <v>75</v>
      </c>
      <c r="Y24" t="s">
        <v>31</v>
      </c>
      <c r="Z24" s="132">
        <v>22</v>
      </c>
    </row>
    <row r="25" spans="1:26" x14ac:dyDescent="0.3">
      <c r="A25" t="s">
        <v>2</v>
      </c>
      <c r="B25" t="s">
        <v>83</v>
      </c>
      <c r="C25" t="s">
        <v>84</v>
      </c>
      <c r="E25" t="s">
        <v>2</v>
      </c>
      <c r="F25" t="s">
        <v>84</v>
      </c>
      <c r="K25" t="s">
        <v>85</v>
      </c>
      <c r="M25" t="s">
        <v>72</v>
      </c>
      <c r="N25" t="s">
        <v>41</v>
      </c>
      <c r="O25" s="132">
        <v>413</v>
      </c>
      <c r="P25">
        <v>2024</v>
      </c>
      <c r="R25" t="s">
        <v>25</v>
      </c>
      <c r="S25" t="s">
        <v>23</v>
      </c>
      <c r="T25" t="s">
        <v>42</v>
      </c>
      <c r="U25" t="s">
        <v>73</v>
      </c>
      <c r="W25" t="s">
        <v>74</v>
      </c>
      <c r="X25" t="s">
        <v>75</v>
      </c>
      <c r="Y25" t="s">
        <v>41</v>
      </c>
      <c r="Z25" s="132">
        <v>8022</v>
      </c>
    </row>
    <row r="26" spans="1:26" x14ac:dyDescent="0.3">
      <c r="A26" t="s">
        <v>2</v>
      </c>
      <c r="B26" t="s">
        <v>62</v>
      </c>
      <c r="C26" t="s">
        <v>86</v>
      </c>
      <c r="E26" t="s">
        <v>2</v>
      </c>
      <c r="F26" t="s">
        <v>86</v>
      </c>
      <c r="K26" t="s">
        <v>87</v>
      </c>
      <c r="M26" t="s">
        <v>20</v>
      </c>
      <c r="N26" t="s">
        <v>24</v>
      </c>
      <c r="O26" s="132">
        <v>18</v>
      </c>
      <c r="P26">
        <v>2024</v>
      </c>
      <c r="R26" t="s">
        <v>25</v>
      </c>
      <c r="S26" t="s">
        <v>23</v>
      </c>
      <c r="T26" t="s">
        <v>37</v>
      </c>
      <c r="U26" t="s">
        <v>73</v>
      </c>
      <c r="W26" t="s">
        <v>88</v>
      </c>
      <c r="X26" t="s">
        <v>20</v>
      </c>
      <c r="Y26" t="s">
        <v>24</v>
      </c>
      <c r="Z26" s="132">
        <v>18</v>
      </c>
    </row>
    <row r="27" spans="1:26" x14ac:dyDescent="0.3">
      <c r="A27" t="s">
        <v>2</v>
      </c>
      <c r="B27" t="s">
        <v>89</v>
      </c>
      <c r="C27" t="s">
        <v>90</v>
      </c>
      <c r="E27" t="s">
        <v>2</v>
      </c>
      <c r="F27" t="s">
        <v>90</v>
      </c>
      <c r="K27" t="s">
        <v>91</v>
      </c>
      <c r="M27" t="s">
        <v>20</v>
      </c>
      <c r="N27" t="s">
        <v>31</v>
      </c>
      <c r="O27" s="132">
        <v>19</v>
      </c>
      <c r="P27">
        <v>2024</v>
      </c>
      <c r="R27" t="s">
        <v>25</v>
      </c>
      <c r="S27" t="s">
        <v>23</v>
      </c>
      <c r="T27" t="s">
        <v>26</v>
      </c>
      <c r="U27" t="s">
        <v>73</v>
      </c>
      <c r="W27" t="s">
        <v>88</v>
      </c>
      <c r="X27" t="s">
        <v>20</v>
      </c>
      <c r="Y27" t="s">
        <v>33</v>
      </c>
      <c r="Z27" s="132">
        <v>77</v>
      </c>
    </row>
    <row r="28" spans="1:26" x14ac:dyDescent="0.3">
      <c r="A28" t="s">
        <v>2</v>
      </c>
      <c r="B28" t="s">
        <v>66</v>
      </c>
      <c r="C28" t="s">
        <v>92</v>
      </c>
      <c r="E28" t="s">
        <v>2</v>
      </c>
      <c r="F28" t="s">
        <v>92</v>
      </c>
      <c r="K28" t="s">
        <v>93</v>
      </c>
      <c r="M28" t="s">
        <v>20</v>
      </c>
      <c r="N28" t="s">
        <v>33</v>
      </c>
      <c r="O28" s="132">
        <v>77</v>
      </c>
      <c r="P28">
        <v>2024</v>
      </c>
      <c r="R28" t="s">
        <v>94</v>
      </c>
      <c r="S28" t="s">
        <v>46</v>
      </c>
      <c r="T28" t="s">
        <v>32</v>
      </c>
      <c r="U28" t="s">
        <v>95</v>
      </c>
      <c r="W28" t="s">
        <v>88</v>
      </c>
      <c r="X28" t="s">
        <v>20</v>
      </c>
      <c r="Y28" t="s">
        <v>31</v>
      </c>
      <c r="Z28" s="132">
        <v>326</v>
      </c>
    </row>
    <row r="29" spans="1:26" x14ac:dyDescent="0.3">
      <c r="A29" t="s">
        <v>2</v>
      </c>
      <c r="B29" t="s">
        <v>96</v>
      </c>
      <c r="C29" t="s">
        <v>97</v>
      </c>
      <c r="E29" t="s">
        <v>2</v>
      </c>
      <c r="F29" t="s">
        <v>97</v>
      </c>
      <c r="K29" t="s">
        <v>98</v>
      </c>
      <c r="M29" t="s">
        <v>20</v>
      </c>
      <c r="N29" t="s">
        <v>41</v>
      </c>
      <c r="O29" s="132">
        <v>4665</v>
      </c>
      <c r="P29">
        <v>2024</v>
      </c>
      <c r="R29" t="s">
        <v>94</v>
      </c>
      <c r="S29" t="s">
        <v>46</v>
      </c>
      <c r="T29" t="s">
        <v>47</v>
      </c>
      <c r="U29" t="s">
        <v>95</v>
      </c>
      <c r="W29" t="s">
        <v>88</v>
      </c>
      <c r="X29" t="s">
        <v>20</v>
      </c>
      <c r="Y29" t="s">
        <v>41</v>
      </c>
      <c r="Z29" s="132">
        <v>4665</v>
      </c>
    </row>
    <row r="30" spans="1:26" x14ac:dyDescent="0.3">
      <c r="A30" t="s">
        <v>2</v>
      </c>
      <c r="B30" t="s">
        <v>99</v>
      </c>
      <c r="C30" t="s">
        <v>100</v>
      </c>
      <c r="E30" t="s">
        <v>2</v>
      </c>
      <c r="F30" t="s">
        <v>100</v>
      </c>
      <c r="K30" t="s">
        <v>101</v>
      </c>
      <c r="M30" t="s">
        <v>102</v>
      </c>
      <c r="N30" t="s">
        <v>31</v>
      </c>
      <c r="O30" s="132">
        <v>1</v>
      </c>
      <c r="P30">
        <v>2024</v>
      </c>
      <c r="R30" t="s">
        <v>94</v>
      </c>
      <c r="S30" t="s">
        <v>46</v>
      </c>
      <c r="T30" t="s">
        <v>47</v>
      </c>
      <c r="U30" t="s">
        <v>103</v>
      </c>
      <c r="W30" t="s">
        <v>104</v>
      </c>
      <c r="X30" t="s">
        <v>105</v>
      </c>
      <c r="Y30" t="s">
        <v>24</v>
      </c>
      <c r="Z30" s="132">
        <v>4</v>
      </c>
    </row>
    <row r="31" spans="1:26" x14ac:dyDescent="0.3">
      <c r="A31" t="s">
        <v>2</v>
      </c>
      <c r="B31" t="s">
        <v>106</v>
      </c>
      <c r="C31" t="s">
        <v>107</v>
      </c>
      <c r="E31" t="s">
        <v>2</v>
      </c>
      <c r="F31" t="s">
        <v>107</v>
      </c>
      <c r="K31" t="s">
        <v>108</v>
      </c>
      <c r="M31" t="s">
        <v>102</v>
      </c>
      <c r="N31" t="s">
        <v>33</v>
      </c>
      <c r="O31" s="132">
        <v>5</v>
      </c>
      <c r="P31">
        <v>2024</v>
      </c>
      <c r="R31" t="s">
        <v>94</v>
      </c>
      <c r="S31" t="s">
        <v>46</v>
      </c>
      <c r="T31" t="s">
        <v>47</v>
      </c>
      <c r="U31" t="s">
        <v>63</v>
      </c>
      <c r="W31" t="s">
        <v>104</v>
      </c>
      <c r="X31" t="s">
        <v>105</v>
      </c>
      <c r="Y31" t="s">
        <v>31</v>
      </c>
      <c r="Z31" s="132">
        <v>4</v>
      </c>
    </row>
    <row r="32" spans="1:26" x14ac:dyDescent="0.3">
      <c r="A32" t="s">
        <v>2</v>
      </c>
      <c r="B32" t="s">
        <v>109</v>
      </c>
      <c r="C32" t="s">
        <v>110</v>
      </c>
      <c r="E32" t="s">
        <v>2</v>
      </c>
      <c r="F32" t="s">
        <v>110</v>
      </c>
      <c r="K32" t="s">
        <v>111</v>
      </c>
      <c r="M32" t="s">
        <v>102</v>
      </c>
      <c r="N32" t="s">
        <v>41</v>
      </c>
      <c r="O32" s="132">
        <v>66</v>
      </c>
      <c r="P32">
        <v>2024</v>
      </c>
      <c r="R32" t="s">
        <v>48</v>
      </c>
      <c r="S32" t="s">
        <v>22</v>
      </c>
      <c r="T32" t="s">
        <v>47</v>
      </c>
      <c r="U32" t="s">
        <v>112</v>
      </c>
      <c r="W32" t="s">
        <v>104</v>
      </c>
      <c r="X32" t="s">
        <v>105</v>
      </c>
      <c r="Y32" t="s">
        <v>41</v>
      </c>
      <c r="Z32" s="132">
        <v>1780</v>
      </c>
    </row>
    <row r="33" spans="1:26" x14ac:dyDescent="0.3">
      <c r="A33" t="s">
        <v>2</v>
      </c>
      <c r="B33" t="s">
        <v>113</v>
      </c>
      <c r="C33" t="s">
        <v>114</v>
      </c>
      <c r="E33" t="s">
        <v>2</v>
      </c>
      <c r="F33" t="s">
        <v>114</v>
      </c>
      <c r="K33" t="s">
        <v>115</v>
      </c>
      <c r="M33" t="s">
        <v>30</v>
      </c>
      <c r="N33" t="s">
        <v>24</v>
      </c>
      <c r="O33" s="132">
        <v>63</v>
      </c>
      <c r="P33">
        <v>2024</v>
      </c>
      <c r="R33" t="s">
        <v>48</v>
      </c>
      <c r="S33" t="s">
        <v>22</v>
      </c>
      <c r="T33" t="s">
        <v>42</v>
      </c>
      <c r="U33" t="s">
        <v>112</v>
      </c>
      <c r="W33" t="s">
        <v>116</v>
      </c>
      <c r="X33" t="s">
        <v>117</v>
      </c>
      <c r="Y33" t="s">
        <v>24</v>
      </c>
      <c r="Z33" s="132">
        <v>25</v>
      </c>
    </row>
    <row r="34" spans="1:26" x14ac:dyDescent="0.3">
      <c r="A34" t="s">
        <v>2</v>
      </c>
      <c r="B34" t="s">
        <v>118</v>
      </c>
      <c r="C34" t="s">
        <v>119</v>
      </c>
      <c r="E34" t="s">
        <v>2</v>
      </c>
      <c r="F34" t="s">
        <v>119</v>
      </c>
      <c r="K34" t="s">
        <v>120</v>
      </c>
      <c r="M34" t="s">
        <v>30</v>
      </c>
      <c r="N34" t="s">
        <v>31</v>
      </c>
      <c r="O34" s="132">
        <v>65</v>
      </c>
      <c r="P34">
        <v>2024</v>
      </c>
      <c r="R34" t="s">
        <v>48</v>
      </c>
      <c r="S34" t="s">
        <v>22</v>
      </c>
      <c r="T34" t="s">
        <v>26</v>
      </c>
      <c r="U34" t="s">
        <v>112</v>
      </c>
      <c r="W34" t="s">
        <v>116</v>
      </c>
      <c r="X34" t="s">
        <v>117</v>
      </c>
      <c r="Y34" t="s">
        <v>33</v>
      </c>
      <c r="Z34" s="132">
        <v>358</v>
      </c>
    </row>
    <row r="35" spans="1:26" x14ac:dyDescent="0.3">
      <c r="A35" t="s">
        <v>2</v>
      </c>
      <c r="B35" t="s">
        <v>121</v>
      </c>
      <c r="C35" t="s">
        <v>122</v>
      </c>
      <c r="E35" t="s">
        <v>2</v>
      </c>
      <c r="F35" t="s">
        <v>122</v>
      </c>
      <c r="K35" t="s">
        <v>123</v>
      </c>
      <c r="M35" t="s">
        <v>30</v>
      </c>
      <c r="N35" t="s">
        <v>33</v>
      </c>
      <c r="O35" s="132">
        <v>1843</v>
      </c>
      <c r="P35">
        <v>2024</v>
      </c>
      <c r="R35" t="s">
        <v>48</v>
      </c>
      <c r="S35" t="s">
        <v>22</v>
      </c>
      <c r="T35" t="s">
        <v>37</v>
      </c>
      <c r="U35" t="s">
        <v>112</v>
      </c>
      <c r="W35" t="s">
        <v>116</v>
      </c>
      <c r="X35" t="s">
        <v>117</v>
      </c>
      <c r="Y35" t="s">
        <v>31</v>
      </c>
      <c r="Z35" s="132">
        <v>1881</v>
      </c>
    </row>
    <row r="36" spans="1:26" x14ac:dyDescent="0.3">
      <c r="A36" t="s">
        <v>2</v>
      </c>
      <c r="B36" t="s">
        <v>124</v>
      </c>
      <c r="C36" t="s">
        <v>125</v>
      </c>
      <c r="E36" t="s">
        <v>2</v>
      </c>
      <c r="F36" t="s">
        <v>125</v>
      </c>
      <c r="K36" t="s">
        <v>96</v>
      </c>
      <c r="M36" t="s">
        <v>30</v>
      </c>
      <c r="N36" t="s">
        <v>41</v>
      </c>
      <c r="O36" s="132">
        <v>7160</v>
      </c>
      <c r="P36">
        <v>2024</v>
      </c>
      <c r="R36" t="s">
        <v>88</v>
      </c>
      <c r="S36" t="s">
        <v>20</v>
      </c>
      <c r="T36" t="s">
        <v>42</v>
      </c>
      <c r="U36" t="s">
        <v>103</v>
      </c>
      <c r="W36" t="s">
        <v>116</v>
      </c>
      <c r="X36" t="s">
        <v>117</v>
      </c>
      <c r="Y36" t="s">
        <v>41</v>
      </c>
      <c r="Z36" s="132">
        <v>61492</v>
      </c>
    </row>
    <row r="37" spans="1:26" x14ac:dyDescent="0.3">
      <c r="A37" t="s">
        <v>2</v>
      </c>
      <c r="B37" t="s">
        <v>126</v>
      </c>
      <c r="C37" t="s">
        <v>127</v>
      </c>
      <c r="E37" t="s">
        <v>2</v>
      </c>
      <c r="F37" t="s">
        <v>127</v>
      </c>
      <c r="K37" t="s">
        <v>128</v>
      </c>
      <c r="M37" t="s">
        <v>129</v>
      </c>
      <c r="N37" t="s">
        <v>24</v>
      </c>
      <c r="O37" s="132">
        <v>12</v>
      </c>
      <c r="P37">
        <v>2024</v>
      </c>
      <c r="R37" t="s">
        <v>130</v>
      </c>
      <c r="S37" t="s">
        <v>30</v>
      </c>
      <c r="T37" t="s">
        <v>32</v>
      </c>
      <c r="U37" t="s">
        <v>131</v>
      </c>
      <c r="W37" t="s">
        <v>130</v>
      </c>
      <c r="X37" t="s">
        <v>30</v>
      </c>
      <c r="Y37" t="s">
        <v>24</v>
      </c>
      <c r="Z37" s="132">
        <v>63</v>
      </c>
    </row>
    <row r="38" spans="1:26" x14ac:dyDescent="0.3">
      <c r="A38" t="s">
        <v>2</v>
      </c>
      <c r="B38" t="s">
        <v>71</v>
      </c>
      <c r="C38" t="s">
        <v>132</v>
      </c>
      <c r="E38" t="s">
        <v>2</v>
      </c>
      <c r="F38" t="s">
        <v>132</v>
      </c>
      <c r="K38" t="s">
        <v>133</v>
      </c>
      <c r="M38" t="s">
        <v>129</v>
      </c>
      <c r="N38" t="s">
        <v>31</v>
      </c>
      <c r="O38" s="132">
        <v>52</v>
      </c>
      <c r="P38">
        <v>2024</v>
      </c>
      <c r="R38" t="s">
        <v>134</v>
      </c>
      <c r="S38" t="s">
        <v>129</v>
      </c>
      <c r="T38" t="s">
        <v>47</v>
      </c>
      <c r="U38" t="s">
        <v>95</v>
      </c>
      <c r="W38" t="s">
        <v>130</v>
      </c>
      <c r="X38" t="s">
        <v>30</v>
      </c>
      <c r="Y38" t="s">
        <v>33</v>
      </c>
      <c r="Z38" s="132">
        <v>1855</v>
      </c>
    </row>
    <row r="39" spans="1:26" x14ac:dyDescent="0.3">
      <c r="A39" t="s">
        <v>2</v>
      </c>
      <c r="B39" t="s">
        <v>135</v>
      </c>
      <c r="C39" t="s">
        <v>136</v>
      </c>
      <c r="E39" t="s">
        <v>2</v>
      </c>
      <c r="F39" t="s">
        <v>136</v>
      </c>
      <c r="K39" t="s">
        <v>137</v>
      </c>
      <c r="M39" t="s">
        <v>129</v>
      </c>
      <c r="N39" t="s">
        <v>33</v>
      </c>
      <c r="O39" s="132">
        <v>371</v>
      </c>
      <c r="P39">
        <v>2024</v>
      </c>
      <c r="R39" t="s">
        <v>134</v>
      </c>
      <c r="S39" t="s">
        <v>129</v>
      </c>
      <c r="T39" t="s">
        <v>32</v>
      </c>
      <c r="U39" t="s">
        <v>95</v>
      </c>
      <c r="W39" t="s">
        <v>130</v>
      </c>
      <c r="X39" t="s">
        <v>30</v>
      </c>
      <c r="Y39" t="s">
        <v>31</v>
      </c>
      <c r="Z39" s="132">
        <v>65</v>
      </c>
    </row>
    <row r="40" spans="1:26" x14ac:dyDescent="0.3">
      <c r="A40" t="s">
        <v>2</v>
      </c>
      <c r="B40" t="s">
        <v>138</v>
      </c>
      <c r="C40" t="s">
        <v>139</v>
      </c>
      <c r="E40" t="s">
        <v>2</v>
      </c>
      <c r="F40" t="s">
        <v>139</v>
      </c>
      <c r="K40" t="s">
        <v>126</v>
      </c>
      <c r="M40" t="s">
        <v>129</v>
      </c>
      <c r="N40" t="s">
        <v>41</v>
      </c>
      <c r="O40" s="132">
        <v>1792</v>
      </c>
      <c r="P40">
        <v>2024</v>
      </c>
      <c r="R40" t="s">
        <v>134</v>
      </c>
      <c r="S40" t="s">
        <v>129</v>
      </c>
      <c r="T40" t="s">
        <v>37</v>
      </c>
      <c r="U40" t="s">
        <v>103</v>
      </c>
      <c r="W40" t="s">
        <v>130</v>
      </c>
      <c r="X40" t="s">
        <v>30</v>
      </c>
      <c r="Y40" t="s">
        <v>41</v>
      </c>
      <c r="Z40" s="132">
        <v>7160</v>
      </c>
    </row>
    <row r="41" spans="1:26" x14ac:dyDescent="0.3">
      <c r="A41" t="s">
        <v>2</v>
      </c>
      <c r="B41" t="s">
        <v>140</v>
      </c>
      <c r="C41" t="s">
        <v>141</v>
      </c>
      <c r="E41" t="s">
        <v>2</v>
      </c>
      <c r="F41" t="s">
        <v>141</v>
      </c>
      <c r="K41" t="s">
        <v>142</v>
      </c>
      <c r="M41" t="s">
        <v>143</v>
      </c>
      <c r="N41" t="s">
        <v>24</v>
      </c>
      <c r="O41" s="132">
        <v>402</v>
      </c>
      <c r="P41">
        <v>2024</v>
      </c>
      <c r="R41" t="s">
        <v>134</v>
      </c>
      <c r="S41" t="s">
        <v>129</v>
      </c>
      <c r="T41" t="s">
        <v>42</v>
      </c>
      <c r="U41" t="s">
        <v>103</v>
      </c>
      <c r="W41" t="s">
        <v>144</v>
      </c>
      <c r="X41" t="s">
        <v>145</v>
      </c>
      <c r="Y41" t="s">
        <v>24</v>
      </c>
      <c r="Z41" s="132">
        <v>12</v>
      </c>
    </row>
    <row r="42" spans="1:26" x14ac:dyDescent="0.3">
      <c r="A42" t="s">
        <v>2</v>
      </c>
      <c r="B42" t="s">
        <v>146</v>
      </c>
      <c r="C42" t="s">
        <v>147</v>
      </c>
      <c r="E42" t="s">
        <v>2</v>
      </c>
      <c r="F42" t="s">
        <v>147</v>
      </c>
      <c r="K42" t="s">
        <v>148</v>
      </c>
      <c r="M42" t="s">
        <v>143</v>
      </c>
      <c r="N42" t="s">
        <v>31</v>
      </c>
      <c r="O42" s="132">
        <v>690</v>
      </c>
      <c r="P42">
        <v>2024</v>
      </c>
      <c r="R42" t="s">
        <v>134</v>
      </c>
      <c r="S42" t="s">
        <v>129</v>
      </c>
      <c r="T42" t="s">
        <v>42</v>
      </c>
      <c r="U42" t="s">
        <v>149</v>
      </c>
      <c r="W42" t="s">
        <v>144</v>
      </c>
      <c r="X42" t="s">
        <v>145</v>
      </c>
      <c r="Y42" t="s">
        <v>33</v>
      </c>
      <c r="Z42" s="132">
        <v>6</v>
      </c>
    </row>
    <row r="43" spans="1:26" x14ac:dyDescent="0.3">
      <c r="A43" t="s">
        <v>2</v>
      </c>
      <c r="B43" t="s">
        <v>81</v>
      </c>
      <c r="C43" t="s">
        <v>150</v>
      </c>
      <c r="E43" t="s">
        <v>2</v>
      </c>
      <c r="F43" t="s">
        <v>150</v>
      </c>
      <c r="K43" t="s">
        <v>151</v>
      </c>
      <c r="M43" t="s">
        <v>143</v>
      </c>
      <c r="N43" t="s">
        <v>33</v>
      </c>
      <c r="O43" s="132">
        <v>5407</v>
      </c>
      <c r="P43">
        <v>2024</v>
      </c>
      <c r="R43" t="s">
        <v>134</v>
      </c>
      <c r="S43" t="s">
        <v>129</v>
      </c>
      <c r="T43" t="s">
        <v>47</v>
      </c>
      <c r="U43" t="s">
        <v>149</v>
      </c>
      <c r="W43" t="s">
        <v>144</v>
      </c>
      <c r="X43" t="s">
        <v>145</v>
      </c>
      <c r="Y43" t="s">
        <v>31</v>
      </c>
      <c r="Z43" s="132">
        <v>12</v>
      </c>
    </row>
    <row r="44" spans="1:26" x14ac:dyDescent="0.3">
      <c r="A44" t="s">
        <v>2</v>
      </c>
      <c r="B44" t="s">
        <v>152</v>
      </c>
      <c r="C44" t="s">
        <v>153</v>
      </c>
      <c r="E44" t="s">
        <v>2</v>
      </c>
      <c r="F44" t="s">
        <v>153</v>
      </c>
      <c r="K44" t="s">
        <v>154</v>
      </c>
      <c r="M44" t="s">
        <v>143</v>
      </c>
      <c r="N44" t="s">
        <v>41</v>
      </c>
      <c r="O44" s="132">
        <v>10351</v>
      </c>
      <c r="P44">
        <v>2024</v>
      </c>
      <c r="R44" t="s">
        <v>155</v>
      </c>
      <c r="S44" t="s">
        <v>156</v>
      </c>
      <c r="T44" t="s">
        <v>37</v>
      </c>
      <c r="U44" t="s">
        <v>103</v>
      </c>
      <c r="W44" t="s">
        <v>144</v>
      </c>
      <c r="X44" t="s">
        <v>145</v>
      </c>
      <c r="Y44" t="s">
        <v>41</v>
      </c>
      <c r="Z44" s="132">
        <v>233</v>
      </c>
    </row>
    <row r="45" spans="1:26" x14ac:dyDescent="0.3">
      <c r="A45" t="s">
        <v>2</v>
      </c>
      <c r="B45" t="s">
        <v>157</v>
      </c>
      <c r="C45" t="s">
        <v>158</v>
      </c>
      <c r="E45" t="s">
        <v>2</v>
      </c>
      <c r="F45" t="s">
        <v>158</v>
      </c>
      <c r="K45" t="s">
        <v>159</v>
      </c>
      <c r="M45" t="s">
        <v>160</v>
      </c>
      <c r="N45" t="s">
        <v>24</v>
      </c>
      <c r="O45" s="132">
        <v>9</v>
      </c>
      <c r="P45">
        <v>2024</v>
      </c>
      <c r="R45" t="s">
        <v>155</v>
      </c>
      <c r="S45" t="s">
        <v>156</v>
      </c>
      <c r="T45" t="s">
        <v>32</v>
      </c>
      <c r="U45" t="s">
        <v>103</v>
      </c>
      <c r="W45" t="s">
        <v>161</v>
      </c>
      <c r="X45" t="s">
        <v>162</v>
      </c>
      <c r="Y45" t="s">
        <v>24</v>
      </c>
      <c r="Z45" s="132">
        <v>68</v>
      </c>
    </row>
    <row r="46" spans="1:26" x14ac:dyDescent="0.3">
      <c r="A46" t="s">
        <v>2</v>
      </c>
      <c r="B46" t="s">
        <v>163</v>
      </c>
      <c r="C46" t="s">
        <v>164</v>
      </c>
      <c r="E46" t="s">
        <v>2</v>
      </c>
      <c r="F46" t="s">
        <v>164</v>
      </c>
      <c r="K46" t="s">
        <v>165</v>
      </c>
      <c r="M46" t="s">
        <v>160</v>
      </c>
      <c r="N46" t="s">
        <v>31</v>
      </c>
      <c r="O46" s="132">
        <v>132</v>
      </c>
      <c r="P46">
        <v>2024</v>
      </c>
      <c r="R46" t="s">
        <v>155</v>
      </c>
      <c r="S46" t="s">
        <v>156</v>
      </c>
      <c r="T46" t="s">
        <v>47</v>
      </c>
      <c r="U46" t="s">
        <v>73</v>
      </c>
      <c r="W46" t="s">
        <v>161</v>
      </c>
      <c r="X46" t="s">
        <v>162</v>
      </c>
      <c r="Y46" t="s">
        <v>33</v>
      </c>
      <c r="Z46" s="132">
        <v>2639</v>
      </c>
    </row>
    <row r="47" spans="1:26" x14ac:dyDescent="0.3">
      <c r="A47" t="s">
        <v>2</v>
      </c>
      <c r="B47" t="s">
        <v>166</v>
      </c>
      <c r="C47" t="s">
        <v>167</v>
      </c>
      <c r="E47" t="s">
        <v>2</v>
      </c>
      <c r="F47" t="s">
        <v>167</v>
      </c>
      <c r="K47" t="s">
        <v>168</v>
      </c>
      <c r="M47" t="s">
        <v>160</v>
      </c>
      <c r="N47" t="s">
        <v>33</v>
      </c>
      <c r="O47" s="132">
        <v>10719</v>
      </c>
      <c r="P47">
        <v>2024</v>
      </c>
      <c r="R47" t="s">
        <v>155</v>
      </c>
      <c r="S47" t="s">
        <v>156</v>
      </c>
      <c r="T47" t="s">
        <v>37</v>
      </c>
      <c r="U47" t="s">
        <v>73</v>
      </c>
      <c r="W47" t="s">
        <v>161</v>
      </c>
      <c r="X47" t="s">
        <v>162</v>
      </c>
      <c r="Y47" t="s">
        <v>31</v>
      </c>
      <c r="Z47" s="132">
        <v>155</v>
      </c>
    </row>
    <row r="48" spans="1:26" x14ac:dyDescent="0.3">
      <c r="A48" t="s">
        <v>2</v>
      </c>
      <c r="B48" t="s">
        <v>169</v>
      </c>
      <c r="C48" t="s">
        <v>170</v>
      </c>
      <c r="E48" t="s">
        <v>2</v>
      </c>
      <c r="F48" t="s">
        <v>170</v>
      </c>
      <c r="K48" t="s">
        <v>171</v>
      </c>
      <c r="M48" t="s">
        <v>160</v>
      </c>
      <c r="N48" t="s">
        <v>41</v>
      </c>
      <c r="O48" s="132">
        <v>79713</v>
      </c>
      <c r="P48">
        <v>2024</v>
      </c>
      <c r="R48" t="s">
        <v>155</v>
      </c>
      <c r="S48" t="s">
        <v>156</v>
      </c>
      <c r="T48" t="s">
        <v>42</v>
      </c>
      <c r="U48" t="s">
        <v>73</v>
      </c>
      <c r="W48" t="s">
        <v>161</v>
      </c>
      <c r="X48" t="s">
        <v>162</v>
      </c>
      <c r="Y48" t="s">
        <v>41</v>
      </c>
      <c r="Z48" s="132">
        <v>132319</v>
      </c>
    </row>
    <row r="49" spans="1:26" x14ac:dyDescent="0.3">
      <c r="A49" t="s">
        <v>2</v>
      </c>
      <c r="B49" t="s">
        <v>172</v>
      </c>
      <c r="C49" t="s">
        <v>173</v>
      </c>
      <c r="E49" t="s">
        <v>2</v>
      </c>
      <c r="F49" t="s">
        <v>173</v>
      </c>
      <c r="K49" t="s">
        <v>174</v>
      </c>
      <c r="M49" t="s">
        <v>156</v>
      </c>
      <c r="N49" t="s">
        <v>24</v>
      </c>
      <c r="O49" s="132">
        <v>86</v>
      </c>
      <c r="P49">
        <v>2024</v>
      </c>
      <c r="R49" t="s">
        <v>161</v>
      </c>
      <c r="S49" t="s">
        <v>162</v>
      </c>
      <c r="T49" t="s">
        <v>47</v>
      </c>
      <c r="U49" t="s">
        <v>175</v>
      </c>
      <c r="W49" t="s">
        <v>176</v>
      </c>
      <c r="X49" t="s">
        <v>177</v>
      </c>
      <c r="Y49" t="s">
        <v>24</v>
      </c>
      <c r="Z49" s="132">
        <v>16</v>
      </c>
    </row>
    <row r="50" spans="1:26" x14ac:dyDescent="0.3">
      <c r="A50" t="s">
        <v>2</v>
      </c>
      <c r="B50" t="s">
        <v>178</v>
      </c>
      <c r="C50" t="s">
        <v>179</v>
      </c>
      <c r="E50" t="s">
        <v>2</v>
      </c>
      <c r="F50" t="s">
        <v>179</v>
      </c>
      <c r="K50" t="s">
        <v>180</v>
      </c>
      <c r="M50" t="s">
        <v>156</v>
      </c>
      <c r="N50" t="s">
        <v>31</v>
      </c>
      <c r="O50" s="132">
        <v>86</v>
      </c>
      <c r="P50">
        <v>2024</v>
      </c>
      <c r="R50" t="s">
        <v>161</v>
      </c>
      <c r="S50" t="s">
        <v>162</v>
      </c>
      <c r="T50" t="s">
        <v>32</v>
      </c>
      <c r="U50" t="s">
        <v>175</v>
      </c>
      <c r="W50" t="s">
        <v>176</v>
      </c>
      <c r="X50" t="s">
        <v>177</v>
      </c>
      <c r="Y50" t="s">
        <v>33</v>
      </c>
      <c r="Z50" s="132">
        <v>31</v>
      </c>
    </row>
    <row r="51" spans="1:26" x14ac:dyDescent="0.3">
      <c r="A51" t="s">
        <v>2</v>
      </c>
      <c r="B51" t="s">
        <v>181</v>
      </c>
      <c r="C51" t="s">
        <v>182</v>
      </c>
      <c r="E51" t="s">
        <v>2</v>
      </c>
      <c r="F51" t="s">
        <v>182</v>
      </c>
      <c r="K51" t="s">
        <v>183</v>
      </c>
      <c r="M51" t="s">
        <v>156</v>
      </c>
      <c r="N51" t="s">
        <v>33</v>
      </c>
      <c r="O51" s="132">
        <v>175</v>
      </c>
      <c r="P51">
        <v>2024</v>
      </c>
      <c r="R51" t="s">
        <v>161</v>
      </c>
      <c r="S51" t="s">
        <v>162</v>
      </c>
      <c r="T51" t="s">
        <v>42</v>
      </c>
      <c r="U51" t="s">
        <v>175</v>
      </c>
      <c r="W51" t="s">
        <v>176</v>
      </c>
      <c r="X51" t="s">
        <v>177</v>
      </c>
      <c r="Y51" t="s">
        <v>31</v>
      </c>
      <c r="Z51" s="132">
        <v>16</v>
      </c>
    </row>
    <row r="52" spans="1:26" x14ac:dyDescent="0.3">
      <c r="A52" t="s">
        <v>2</v>
      </c>
      <c r="B52" t="s">
        <v>93</v>
      </c>
      <c r="C52" t="s">
        <v>184</v>
      </c>
      <c r="E52" t="s">
        <v>2</v>
      </c>
      <c r="F52" t="s">
        <v>184</v>
      </c>
      <c r="K52" t="s">
        <v>185</v>
      </c>
      <c r="M52" t="s">
        <v>156</v>
      </c>
      <c r="N52" t="s">
        <v>41</v>
      </c>
      <c r="O52" s="132">
        <v>6000</v>
      </c>
      <c r="P52">
        <v>2024</v>
      </c>
      <c r="R52" t="s">
        <v>161</v>
      </c>
      <c r="S52" t="s">
        <v>162</v>
      </c>
      <c r="T52" t="s">
        <v>82</v>
      </c>
      <c r="U52" t="s">
        <v>175</v>
      </c>
      <c r="W52" t="s">
        <v>176</v>
      </c>
      <c r="X52" t="s">
        <v>177</v>
      </c>
      <c r="Y52" t="s">
        <v>41</v>
      </c>
      <c r="Z52" s="132">
        <v>838</v>
      </c>
    </row>
    <row r="53" spans="1:26" x14ac:dyDescent="0.3">
      <c r="A53" t="s">
        <v>2</v>
      </c>
      <c r="B53" t="s">
        <v>186</v>
      </c>
      <c r="C53" t="s">
        <v>187</v>
      </c>
      <c r="E53" t="s">
        <v>2</v>
      </c>
      <c r="F53" t="s">
        <v>187</v>
      </c>
      <c r="K53" t="s">
        <v>188</v>
      </c>
      <c r="M53" t="s">
        <v>189</v>
      </c>
      <c r="N53" t="s">
        <v>24</v>
      </c>
      <c r="O53" s="132">
        <v>1</v>
      </c>
      <c r="P53">
        <v>2024</v>
      </c>
      <c r="R53" t="s">
        <v>161</v>
      </c>
      <c r="S53" t="s">
        <v>162</v>
      </c>
      <c r="T53" t="s">
        <v>37</v>
      </c>
      <c r="U53" t="s">
        <v>175</v>
      </c>
      <c r="W53" t="s">
        <v>190</v>
      </c>
      <c r="X53" t="s">
        <v>28</v>
      </c>
      <c r="Y53" t="s">
        <v>24</v>
      </c>
      <c r="Z53" s="132">
        <v>24</v>
      </c>
    </row>
    <row r="54" spans="1:26" x14ac:dyDescent="0.3">
      <c r="A54" t="s">
        <v>2</v>
      </c>
      <c r="B54" t="s">
        <v>191</v>
      </c>
      <c r="C54" t="s">
        <v>192</v>
      </c>
      <c r="E54" t="s">
        <v>2</v>
      </c>
      <c r="F54" t="s">
        <v>192</v>
      </c>
      <c r="K54" t="s">
        <v>193</v>
      </c>
      <c r="M54" t="s">
        <v>189</v>
      </c>
      <c r="N54" t="s">
        <v>31</v>
      </c>
      <c r="O54" s="132">
        <v>16</v>
      </c>
      <c r="P54">
        <v>2024</v>
      </c>
      <c r="R54" t="s">
        <v>161</v>
      </c>
      <c r="S54" t="s">
        <v>162</v>
      </c>
      <c r="T54" t="s">
        <v>26</v>
      </c>
      <c r="U54" t="s">
        <v>175</v>
      </c>
      <c r="W54" t="s">
        <v>190</v>
      </c>
      <c r="X54" t="s">
        <v>28</v>
      </c>
      <c r="Y54" t="s">
        <v>33</v>
      </c>
      <c r="Z54" s="132">
        <v>85</v>
      </c>
    </row>
    <row r="55" spans="1:26" x14ac:dyDescent="0.3">
      <c r="A55" t="s">
        <v>2</v>
      </c>
      <c r="B55" t="s">
        <v>194</v>
      </c>
      <c r="C55" t="s">
        <v>195</v>
      </c>
      <c r="E55" t="s">
        <v>2</v>
      </c>
      <c r="F55" t="s">
        <v>195</v>
      </c>
      <c r="K55" t="s">
        <v>196</v>
      </c>
      <c r="M55" t="s">
        <v>189</v>
      </c>
      <c r="N55" t="s">
        <v>33</v>
      </c>
      <c r="O55" s="132">
        <v>15</v>
      </c>
      <c r="P55">
        <v>2024</v>
      </c>
      <c r="R55" t="s">
        <v>161</v>
      </c>
      <c r="S55" t="s">
        <v>162</v>
      </c>
      <c r="T55" t="s">
        <v>42</v>
      </c>
      <c r="U55" t="s">
        <v>197</v>
      </c>
      <c r="W55" t="s">
        <v>190</v>
      </c>
      <c r="X55" t="s">
        <v>28</v>
      </c>
      <c r="Y55" t="s">
        <v>31</v>
      </c>
      <c r="Z55" s="132">
        <v>103</v>
      </c>
    </row>
    <row r="56" spans="1:26" x14ac:dyDescent="0.3">
      <c r="A56" t="s">
        <v>2</v>
      </c>
      <c r="B56" t="s">
        <v>198</v>
      </c>
      <c r="C56" t="s">
        <v>199</v>
      </c>
      <c r="E56" t="s">
        <v>2</v>
      </c>
      <c r="F56" t="s">
        <v>199</v>
      </c>
      <c r="K56" t="s">
        <v>200</v>
      </c>
      <c r="M56" t="s">
        <v>189</v>
      </c>
      <c r="N56" t="s">
        <v>41</v>
      </c>
      <c r="O56" s="132">
        <v>841</v>
      </c>
      <c r="P56">
        <v>2024</v>
      </c>
      <c r="R56" t="s">
        <v>161</v>
      </c>
      <c r="S56" t="s">
        <v>162</v>
      </c>
      <c r="T56" t="s">
        <v>37</v>
      </c>
      <c r="U56" t="s">
        <v>197</v>
      </c>
      <c r="W56" t="s">
        <v>190</v>
      </c>
      <c r="X56" t="s">
        <v>28</v>
      </c>
      <c r="Y56" t="s">
        <v>41</v>
      </c>
      <c r="Z56" s="132">
        <v>12600</v>
      </c>
    </row>
    <row r="57" spans="1:26" x14ac:dyDescent="0.3">
      <c r="A57" t="s">
        <v>2</v>
      </c>
      <c r="B57" t="s">
        <v>201</v>
      </c>
      <c r="C57" t="s">
        <v>202</v>
      </c>
      <c r="E57" t="s">
        <v>2</v>
      </c>
      <c r="F57" t="s">
        <v>202</v>
      </c>
      <c r="K57" t="s">
        <v>203</v>
      </c>
      <c r="M57" t="s">
        <v>204</v>
      </c>
      <c r="N57" t="s">
        <v>24</v>
      </c>
      <c r="O57" s="132">
        <v>1</v>
      </c>
      <c r="P57">
        <v>2024</v>
      </c>
      <c r="R57" t="s">
        <v>161</v>
      </c>
      <c r="S57" t="s">
        <v>162</v>
      </c>
      <c r="T57" t="s">
        <v>26</v>
      </c>
      <c r="U57" t="s">
        <v>197</v>
      </c>
      <c r="W57" t="s">
        <v>205</v>
      </c>
      <c r="X57" t="s">
        <v>83</v>
      </c>
      <c r="Y57" t="s">
        <v>24</v>
      </c>
      <c r="Z57" s="132">
        <v>5</v>
      </c>
    </row>
    <row r="58" spans="1:26" x14ac:dyDescent="0.3">
      <c r="A58" t="s">
        <v>3</v>
      </c>
      <c r="B58" t="s">
        <v>102</v>
      </c>
      <c r="C58" t="s">
        <v>206</v>
      </c>
      <c r="E58" t="s">
        <v>3</v>
      </c>
      <c r="F58" t="s">
        <v>206</v>
      </c>
      <c r="K58" t="s">
        <v>207</v>
      </c>
      <c r="M58" t="s">
        <v>204</v>
      </c>
      <c r="N58" t="s">
        <v>31</v>
      </c>
      <c r="O58" s="132">
        <v>1</v>
      </c>
      <c r="P58">
        <v>2024</v>
      </c>
      <c r="R58" t="s">
        <v>161</v>
      </c>
      <c r="S58" t="s">
        <v>162</v>
      </c>
      <c r="T58" t="s">
        <v>32</v>
      </c>
      <c r="U58" t="s">
        <v>197</v>
      </c>
      <c r="W58" t="s">
        <v>205</v>
      </c>
      <c r="X58" t="s">
        <v>83</v>
      </c>
      <c r="Y58" t="s">
        <v>33</v>
      </c>
      <c r="Z58" s="132">
        <v>65</v>
      </c>
    </row>
    <row r="59" spans="1:26" x14ac:dyDescent="0.3">
      <c r="A59" t="s">
        <v>3</v>
      </c>
      <c r="B59" t="s">
        <v>30</v>
      </c>
      <c r="C59" t="s">
        <v>208</v>
      </c>
      <c r="E59" t="s">
        <v>3</v>
      </c>
      <c r="F59" t="s">
        <v>208</v>
      </c>
      <c r="K59" t="s">
        <v>209</v>
      </c>
      <c r="M59" t="s">
        <v>204</v>
      </c>
      <c r="N59" t="s">
        <v>33</v>
      </c>
      <c r="O59" s="132">
        <v>22</v>
      </c>
      <c r="P59">
        <v>2024</v>
      </c>
      <c r="R59" t="s">
        <v>161</v>
      </c>
      <c r="S59" t="s">
        <v>162</v>
      </c>
      <c r="T59" t="s">
        <v>82</v>
      </c>
      <c r="U59" t="s">
        <v>197</v>
      </c>
      <c r="W59" t="s">
        <v>205</v>
      </c>
      <c r="X59" t="s">
        <v>83</v>
      </c>
      <c r="Y59" t="s">
        <v>31</v>
      </c>
      <c r="Z59" s="132">
        <v>150</v>
      </c>
    </row>
    <row r="60" spans="1:26" x14ac:dyDescent="0.3">
      <c r="A60" t="s">
        <v>3</v>
      </c>
      <c r="B60" t="s">
        <v>189</v>
      </c>
      <c r="C60" t="s">
        <v>210</v>
      </c>
      <c r="E60" t="s">
        <v>3</v>
      </c>
      <c r="F60" t="s">
        <v>210</v>
      </c>
      <c r="K60" t="s">
        <v>69</v>
      </c>
      <c r="M60" t="s">
        <v>204</v>
      </c>
      <c r="N60" t="s">
        <v>41</v>
      </c>
      <c r="O60" s="132">
        <v>49</v>
      </c>
      <c r="P60">
        <v>2024</v>
      </c>
      <c r="R60" t="s">
        <v>161</v>
      </c>
      <c r="S60" t="s">
        <v>162</v>
      </c>
      <c r="T60" t="s">
        <v>47</v>
      </c>
      <c r="U60" t="s">
        <v>27</v>
      </c>
      <c r="W60" t="s">
        <v>205</v>
      </c>
      <c r="X60" t="s">
        <v>83</v>
      </c>
      <c r="Y60" t="s">
        <v>41</v>
      </c>
      <c r="Z60" s="132">
        <v>5200</v>
      </c>
    </row>
    <row r="61" spans="1:26" x14ac:dyDescent="0.3">
      <c r="A61" t="s">
        <v>3</v>
      </c>
      <c r="B61" t="s">
        <v>211</v>
      </c>
      <c r="C61" t="s">
        <v>212</v>
      </c>
      <c r="E61" t="s">
        <v>3</v>
      </c>
      <c r="F61" t="s">
        <v>212</v>
      </c>
      <c r="K61" t="s">
        <v>213</v>
      </c>
      <c r="M61" t="s">
        <v>162</v>
      </c>
      <c r="N61" t="s">
        <v>24</v>
      </c>
      <c r="O61" s="132">
        <v>68</v>
      </c>
      <c r="P61">
        <v>2024</v>
      </c>
      <c r="R61" t="s">
        <v>161</v>
      </c>
      <c r="S61" t="s">
        <v>162</v>
      </c>
      <c r="T61" t="s">
        <v>37</v>
      </c>
      <c r="U61" t="s">
        <v>27</v>
      </c>
      <c r="W61" t="s">
        <v>214</v>
      </c>
      <c r="X61" t="s">
        <v>215</v>
      </c>
      <c r="Y61" t="s">
        <v>24</v>
      </c>
      <c r="Z61" s="132">
        <v>4</v>
      </c>
    </row>
    <row r="62" spans="1:26" x14ac:dyDescent="0.3">
      <c r="A62" t="s">
        <v>3</v>
      </c>
      <c r="B62" t="s">
        <v>36</v>
      </c>
      <c r="C62" t="s">
        <v>216</v>
      </c>
      <c r="E62" t="s">
        <v>3</v>
      </c>
      <c r="F62" t="s">
        <v>216</v>
      </c>
      <c r="K62" t="s">
        <v>146</v>
      </c>
      <c r="M62" t="s">
        <v>162</v>
      </c>
      <c r="N62" t="s">
        <v>31</v>
      </c>
      <c r="O62" s="132">
        <v>155</v>
      </c>
      <c r="P62">
        <v>2024</v>
      </c>
      <c r="R62" t="s">
        <v>161</v>
      </c>
      <c r="S62" t="s">
        <v>162</v>
      </c>
      <c r="T62" t="s">
        <v>82</v>
      </c>
      <c r="U62" t="s">
        <v>27</v>
      </c>
      <c r="W62" t="s">
        <v>214</v>
      </c>
      <c r="X62" t="s">
        <v>215</v>
      </c>
      <c r="Y62" t="s">
        <v>33</v>
      </c>
      <c r="Z62" s="132">
        <v>13</v>
      </c>
    </row>
    <row r="63" spans="1:26" x14ac:dyDescent="0.3">
      <c r="A63" t="s">
        <v>3</v>
      </c>
      <c r="B63" t="s">
        <v>40</v>
      </c>
      <c r="C63" t="s">
        <v>217</v>
      </c>
      <c r="E63" t="s">
        <v>3</v>
      </c>
      <c r="F63" t="s">
        <v>217</v>
      </c>
      <c r="K63" t="s">
        <v>163</v>
      </c>
      <c r="M63" t="s">
        <v>162</v>
      </c>
      <c r="N63" t="s">
        <v>33</v>
      </c>
      <c r="O63" s="132">
        <v>2639</v>
      </c>
      <c r="P63">
        <v>2024</v>
      </c>
      <c r="R63" t="s">
        <v>161</v>
      </c>
      <c r="S63" t="s">
        <v>162</v>
      </c>
      <c r="T63" t="s">
        <v>26</v>
      </c>
      <c r="U63" t="s">
        <v>27</v>
      </c>
      <c r="W63" t="s">
        <v>214</v>
      </c>
      <c r="X63" t="s">
        <v>215</v>
      </c>
      <c r="Y63" t="s">
        <v>31</v>
      </c>
      <c r="Z63" s="132">
        <v>5</v>
      </c>
    </row>
    <row r="64" spans="1:26" x14ac:dyDescent="0.3">
      <c r="A64" t="s">
        <v>3</v>
      </c>
      <c r="B64" t="s">
        <v>45</v>
      </c>
      <c r="C64" t="s">
        <v>218</v>
      </c>
      <c r="E64" t="s">
        <v>3</v>
      </c>
      <c r="F64" t="s">
        <v>218</v>
      </c>
      <c r="K64" t="s">
        <v>191</v>
      </c>
      <c r="M64" t="s">
        <v>162</v>
      </c>
      <c r="N64" t="s">
        <v>41</v>
      </c>
      <c r="O64" s="132">
        <v>132319</v>
      </c>
      <c r="P64">
        <v>2024</v>
      </c>
      <c r="R64" t="s">
        <v>161</v>
      </c>
      <c r="S64" t="s">
        <v>162</v>
      </c>
      <c r="T64" t="s">
        <v>32</v>
      </c>
      <c r="U64" t="s">
        <v>27</v>
      </c>
      <c r="W64" t="s">
        <v>214</v>
      </c>
      <c r="X64" t="s">
        <v>215</v>
      </c>
      <c r="Y64" t="s">
        <v>41</v>
      </c>
      <c r="Z64" s="132">
        <v>116</v>
      </c>
    </row>
    <row r="65" spans="1:26" x14ac:dyDescent="0.3">
      <c r="A65" t="s">
        <v>3</v>
      </c>
      <c r="B65" t="s">
        <v>219</v>
      </c>
      <c r="C65" t="s">
        <v>220</v>
      </c>
      <c r="E65" t="s">
        <v>3</v>
      </c>
      <c r="F65" t="s">
        <v>220</v>
      </c>
      <c r="K65" t="s">
        <v>221</v>
      </c>
      <c r="M65" t="s">
        <v>211</v>
      </c>
      <c r="N65" t="s">
        <v>31</v>
      </c>
      <c r="O65" s="132">
        <v>1</v>
      </c>
      <c r="P65">
        <v>2024</v>
      </c>
      <c r="R65" t="s">
        <v>161</v>
      </c>
      <c r="S65" t="s">
        <v>162</v>
      </c>
      <c r="T65" t="s">
        <v>42</v>
      </c>
      <c r="U65" t="s">
        <v>27</v>
      </c>
      <c r="W65" t="s">
        <v>222</v>
      </c>
      <c r="X65" t="s">
        <v>223</v>
      </c>
      <c r="Y65" t="s">
        <v>24</v>
      </c>
      <c r="Z65" s="132">
        <v>18</v>
      </c>
    </row>
    <row r="66" spans="1:26" x14ac:dyDescent="0.3">
      <c r="A66" t="s">
        <v>3</v>
      </c>
      <c r="B66" t="s">
        <v>78</v>
      </c>
      <c r="C66" t="s">
        <v>224</v>
      </c>
      <c r="E66" t="s">
        <v>3</v>
      </c>
      <c r="F66" t="s">
        <v>224</v>
      </c>
      <c r="K66" t="s">
        <v>225</v>
      </c>
      <c r="M66" t="s">
        <v>211</v>
      </c>
      <c r="N66" t="s">
        <v>33</v>
      </c>
      <c r="O66" s="132">
        <v>7</v>
      </c>
      <c r="P66">
        <v>2024</v>
      </c>
      <c r="R66" t="s">
        <v>161</v>
      </c>
      <c r="S66" t="s">
        <v>162</v>
      </c>
      <c r="T66" t="s">
        <v>42</v>
      </c>
      <c r="U66" t="s">
        <v>131</v>
      </c>
      <c r="W66" t="s">
        <v>222</v>
      </c>
      <c r="X66" t="s">
        <v>223</v>
      </c>
      <c r="Y66" t="s">
        <v>33</v>
      </c>
      <c r="Z66" s="132">
        <v>508</v>
      </c>
    </row>
    <row r="67" spans="1:26" x14ac:dyDescent="0.3">
      <c r="A67" t="s">
        <v>3</v>
      </c>
      <c r="B67" t="s">
        <v>87</v>
      </c>
      <c r="C67" t="s">
        <v>226</v>
      </c>
      <c r="E67" t="s">
        <v>3</v>
      </c>
      <c r="F67" t="s">
        <v>226</v>
      </c>
      <c r="M67" t="s">
        <v>211</v>
      </c>
      <c r="N67" t="s">
        <v>41</v>
      </c>
      <c r="O67" s="132">
        <v>65</v>
      </c>
      <c r="P67">
        <v>2024</v>
      </c>
      <c r="R67" t="s">
        <v>161</v>
      </c>
      <c r="S67" t="s">
        <v>162</v>
      </c>
      <c r="T67" t="s">
        <v>47</v>
      </c>
      <c r="U67" t="s">
        <v>131</v>
      </c>
      <c r="W67" t="s">
        <v>222</v>
      </c>
      <c r="X67" t="s">
        <v>223</v>
      </c>
      <c r="Y67" t="s">
        <v>31</v>
      </c>
      <c r="Z67" s="132">
        <v>74</v>
      </c>
    </row>
    <row r="68" spans="1:26" x14ac:dyDescent="0.3">
      <c r="A68" t="s">
        <v>3</v>
      </c>
      <c r="B68" t="s">
        <v>91</v>
      </c>
      <c r="C68" t="s">
        <v>227</v>
      </c>
      <c r="E68" t="s">
        <v>3</v>
      </c>
      <c r="F68" t="s">
        <v>227</v>
      </c>
      <c r="M68" t="s">
        <v>228</v>
      </c>
      <c r="N68" t="s">
        <v>24</v>
      </c>
      <c r="O68" s="132">
        <v>364</v>
      </c>
      <c r="P68">
        <v>2024</v>
      </c>
      <c r="R68" t="s">
        <v>161</v>
      </c>
      <c r="S68" t="s">
        <v>162</v>
      </c>
      <c r="T68" t="s">
        <v>82</v>
      </c>
      <c r="U68" t="s">
        <v>131</v>
      </c>
      <c r="W68" t="s">
        <v>222</v>
      </c>
      <c r="X68" t="s">
        <v>223</v>
      </c>
      <c r="Y68" t="s">
        <v>41</v>
      </c>
      <c r="Z68" s="132">
        <v>1055</v>
      </c>
    </row>
    <row r="69" spans="1:26" x14ac:dyDescent="0.3">
      <c r="A69" t="s">
        <v>3</v>
      </c>
      <c r="B69" t="s">
        <v>101</v>
      </c>
      <c r="C69" t="s">
        <v>229</v>
      </c>
      <c r="E69" t="s">
        <v>3</v>
      </c>
      <c r="F69" t="s">
        <v>229</v>
      </c>
      <c r="M69" t="s">
        <v>228</v>
      </c>
      <c r="N69" t="s">
        <v>31</v>
      </c>
      <c r="O69" s="132">
        <v>364</v>
      </c>
      <c r="P69">
        <v>2024</v>
      </c>
      <c r="R69" t="s">
        <v>161</v>
      </c>
      <c r="S69" t="s">
        <v>162</v>
      </c>
      <c r="T69" t="s">
        <v>37</v>
      </c>
      <c r="U69" t="s">
        <v>131</v>
      </c>
      <c r="W69" t="s">
        <v>230</v>
      </c>
      <c r="X69" t="s">
        <v>40</v>
      </c>
      <c r="Y69" t="s">
        <v>24</v>
      </c>
      <c r="Z69" s="132">
        <v>9</v>
      </c>
    </row>
    <row r="70" spans="1:26" x14ac:dyDescent="0.3">
      <c r="A70" t="s">
        <v>3</v>
      </c>
      <c r="B70" t="s">
        <v>231</v>
      </c>
      <c r="C70" t="s">
        <v>232</v>
      </c>
      <c r="E70" t="s">
        <v>3</v>
      </c>
      <c r="F70" t="s">
        <v>232</v>
      </c>
      <c r="M70" t="s">
        <v>228</v>
      </c>
      <c r="N70" t="s">
        <v>33</v>
      </c>
      <c r="O70" s="132">
        <v>4046</v>
      </c>
      <c r="P70">
        <v>2024</v>
      </c>
      <c r="R70" t="s">
        <v>161</v>
      </c>
      <c r="S70" t="s">
        <v>162</v>
      </c>
      <c r="T70" t="s">
        <v>32</v>
      </c>
      <c r="U70" t="s">
        <v>131</v>
      </c>
      <c r="W70" t="s">
        <v>230</v>
      </c>
      <c r="X70" t="s">
        <v>40</v>
      </c>
      <c r="Y70" t="s">
        <v>33</v>
      </c>
      <c r="Z70" s="132">
        <v>17</v>
      </c>
    </row>
    <row r="71" spans="1:26" x14ac:dyDescent="0.3">
      <c r="A71" t="s">
        <v>3</v>
      </c>
      <c r="B71" t="s">
        <v>115</v>
      </c>
      <c r="C71" t="s">
        <v>233</v>
      </c>
      <c r="E71" t="s">
        <v>3</v>
      </c>
      <c r="F71" t="s">
        <v>233</v>
      </c>
      <c r="M71" t="s">
        <v>228</v>
      </c>
      <c r="N71" t="s">
        <v>41</v>
      </c>
      <c r="O71" s="132">
        <v>24964</v>
      </c>
      <c r="P71">
        <v>2024</v>
      </c>
      <c r="R71" t="s">
        <v>161</v>
      </c>
      <c r="S71" t="s">
        <v>162</v>
      </c>
      <c r="T71" t="s">
        <v>26</v>
      </c>
      <c r="U71" t="s">
        <v>131</v>
      </c>
      <c r="W71" t="s">
        <v>230</v>
      </c>
      <c r="X71" t="s">
        <v>40</v>
      </c>
      <c r="Y71" t="s">
        <v>31</v>
      </c>
      <c r="Z71" s="132">
        <v>17</v>
      </c>
    </row>
    <row r="72" spans="1:26" x14ac:dyDescent="0.3">
      <c r="A72" t="s">
        <v>3</v>
      </c>
      <c r="B72" t="s">
        <v>120</v>
      </c>
      <c r="C72" t="s">
        <v>234</v>
      </c>
      <c r="E72" t="s">
        <v>3</v>
      </c>
      <c r="F72" t="s">
        <v>234</v>
      </c>
      <c r="M72" t="s">
        <v>36</v>
      </c>
      <c r="N72" t="s">
        <v>24</v>
      </c>
      <c r="O72" s="132">
        <v>6</v>
      </c>
      <c r="P72">
        <v>2024</v>
      </c>
      <c r="R72" t="s">
        <v>161</v>
      </c>
      <c r="S72" t="s">
        <v>162</v>
      </c>
      <c r="T72" t="s">
        <v>47</v>
      </c>
      <c r="U72" t="s">
        <v>235</v>
      </c>
      <c r="W72" t="s">
        <v>230</v>
      </c>
      <c r="X72" t="s">
        <v>40</v>
      </c>
      <c r="Y72" t="s">
        <v>41</v>
      </c>
      <c r="Z72" s="132">
        <v>1089</v>
      </c>
    </row>
    <row r="73" spans="1:26" x14ac:dyDescent="0.3">
      <c r="A73" t="s">
        <v>3</v>
      </c>
      <c r="B73" t="s">
        <v>236</v>
      </c>
      <c r="C73" t="s">
        <v>237</v>
      </c>
      <c r="E73" t="s">
        <v>3</v>
      </c>
      <c r="F73" t="s">
        <v>237</v>
      </c>
      <c r="M73" t="s">
        <v>36</v>
      </c>
      <c r="N73" t="s">
        <v>31</v>
      </c>
      <c r="O73" s="132">
        <v>5</v>
      </c>
      <c r="P73">
        <v>2024</v>
      </c>
      <c r="R73" t="s">
        <v>161</v>
      </c>
      <c r="S73" t="s">
        <v>162</v>
      </c>
      <c r="T73" t="s">
        <v>42</v>
      </c>
      <c r="U73" t="s">
        <v>235</v>
      </c>
      <c r="W73" t="s">
        <v>238</v>
      </c>
      <c r="X73" t="s">
        <v>34</v>
      </c>
      <c r="Y73" t="s">
        <v>24</v>
      </c>
      <c r="Z73" s="132">
        <v>10</v>
      </c>
    </row>
    <row r="74" spans="1:26" x14ac:dyDescent="0.3">
      <c r="A74" t="s">
        <v>3</v>
      </c>
      <c r="B74" t="s">
        <v>239</v>
      </c>
      <c r="C74" t="s">
        <v>240</v>
      </c>
      <c r="E74" t="s">
        <v>3</v>
      </c>
      <c r="F74" t="s">
        <v>240</v>
      </c>
      <c r="M74" t="s">
        <v>36</v>
      </c>
      <c r="N74" t="s">
        <v>33</v>
      </c>
      <c r="O74" s="132">
        <v>9</v>
      </c>
      <c r="P74">
        <v>2024</v>
      </c>
      <c r="R74" t="s">
        <v>161</v>
      </c>
      <c r="S74" t="s">
        <v>162</v>
      </c>
      <c r="T74" t="s">
        <v>32</v>
      </c>
      <c r="U74" t="s">
        <v>63</v>
      </c>
      <c r="W74" t="s">
        <v>238</v>
      </c>
      <c r="X74" t="s">
        <v>34</v>
      </c>
      <c r="Y74" t="s">
        <v>33</v>
      </c>
      <c r="Z74" s="132">
        <v>63</v>
      </c>
    </row>
    <row r="75" spans="1:26" x14ac:dyDescent="0.3">
      <c r="A75" t="s">
        <v>3</v>
      </c>
      <c r="B75" t="s">
        <v>142</v>
      </c>
      <c r="C75" t="s">
        <v>241</v>
      </c>
      <c r="E75" t="s">
        <v>3</v>
      </c>
      <c r="F75" t="s">
        <v>241</v>
      </c>
      <c r="M75" t="s">
        <v>36</v>
      </c>
      <c r="N75" t="s">
        <v>41</v>
      </c>
      <c r="O75" s="132">
        <v>391</v>
      </c>
      <c r="P75">
        <v>2024</v>
      </c>
      <c r="R75" t="s">
        <v>161</v>
      </c>
      <c r="S75" t="s">
        <v>162</v>
      </c>
      <c r="T75" t="s">
        <v>47</v>
      </c>
      <c r="U75" t="s">
        <v>63</v>
      </c>
      <c r="W75" t="s">
        <v>238</v>
      </c>
      <c r="X75" t="s">
        <v>34</v>
      </c>
      <c r="Y75" t="s">
        <v>31</v>
      </c>
      <c r="Z75" s="132">
        <v>45</v>
      </c>
    </row>
    <row r="76" spans="1:26" x14ac:dyDescent="0.3">
      <c r="A76" t="s">
        <v>3</v>
      </c>
      <c r="B76" t="s">
        <v>180</v>
      </c>
      <c r="C76" t="s">
        <v>242</v>
      </c>
      <c r="E76" t="s">
        <v>3</v>
      </c>
      <c r="F76" t="s">
        <v>242</v>
      </c>
      <c r="M76" t="s">
        <v>28</v>
      </c>
      <c r="N76" t="s">
        <v>24</v>
      </c>
      <c r="O76" s="132">
        <v>24</v>
      </c>
      <c r="P76">
        <v>2024</v>
      </c>
      <c r="R76" t="s">
        <v>161</v>
      </c>
      <c r="S76" t="s">
        <v>162</v>
      </c>
      <c r="T76" t="s">
        <v>82</v>
      </c>
      <c r="U76" t="s">
        <v>243</v>
      </c>
      <c r="W76" t="s">
        <v>238</v>
      </c>
      <c r="X76" t="s">
        <v>34</v>
      </c>
      <c r="Y76" t="s">
        <v>41</v>
      </c>
      <c r="Z76" s="132">
        <v>13000</v>
      </c>
    </row>
    <row r="77" spans="1:26" x14ac:dyDescent="0.3">
      <c r="A77" t="s">
        <v>3</v>
      </c>
      <c r="B77" t="s">
        <v>151</v>
      </c>
      <c r="C77" t="s">
        <v>244</v>
      </c>
      <c r="E77" t="s">
        <v>3</v>
      </c>
      <c r="F77" t="s">
        <v>244</v>
      </c>
      <c r="M77" t="s">
        <v>28</v>
      </c>
      <c r="N77" t="s">
        <v>31</v>
      </c>
      <c r="O77" s="132">
        <v>103</v>
      </c>
      <c r="P77">
        <v>2024</v>
      </c>
      <c r="R77" t="s">
        <v>161</v>
      </c>
      <c r="S77" t="s">
        <v>162</v>
      </c>
      <c r="T77" t="s">
        <v>37</v>
      </c>
      <c r="U77" t="s">
        <v>243</v>
      </c>
      <c r="W77" t="s">
        <v>245</v>
      </c>
      <c r="X77" t="s">
        <v>45</v>
      </c>
      <c r="Y77" t="s">
        <v>24</v>
      </c>
      <c r="Z77" s="132">
        <v>15</v>
      </c>
    </row>
    <row r="78" spans="1:26" x14ac:dyDescent="0.3">
      <c r="A78" t="s">
        <v>3</v>
      </c>
      <c r="B78" t="s">
        <v>154</v>
      </c>
      <c r="C78" t="s">
        <v>246</v>
      </c>
      <c r="E78" t="s">
        <v>3</v>
      </c>
      <c r="F78" t="s">
        <v>246</v>
      </c>
      <c r="M78" t="s">
        <v>28</v>
      </c>
      <c r="N78" t="s">
        <v>33</v>
      </c>
      <c r="O78" s="132">
        <v>65</v>
      </c>
      <c r="P78">
        <v>2024</v>
      </c>
      <c r="R78" t="s">
        <v>161</v>
      </c>
      <c r="S78" t="s">
        <v>162</v>
      </c>
      <c r="T78" t="s">
        <v>42</v>
      </c>
      <c r="U78" t="s">
        <v>243</v>
      </c>
      <c r="W78" t="s">
        <v>245</v>
      </c>
      <c r="X78" t="s">
        <v>45</v>
      </c>
      <c r="Y78" t="s">
        <v>33</v>
      </c>
      <c r="Z78" s="132">
        <v>1810</v>
      </c>
    </row>
    <row r="79" spans="1:26" x14ac:dyDescent="0.3">
      <c r="A79" t="s">
        <v>3</v>
      </c>
      <c r="B79" t="s">
        <v>174</v>
      </c>
      <c r="C79" t="s">
        <v>247</v>
      </c>
      <c r="E79" t="s">
        <v>3</v>
      </c>
      <c r="F79" t="s">
        <v>247</v>
      </c>
      <c r="M79" t="s">
        <v>28</v>
      </c>
      <c r="N79" t="s">
        <v>41</v>
      </c>
      <c r="O79" s="132">
        <v>12600</v>
      </c>
      <c r="P79">
        <v>2024</v>
      </c>
      <c r="R79" t="s">
        <v>161</v>
      </c>
      <c r="S79" t="s">
        <v>162</v>
      </c>
      <c r="T79" t="s">
        <v>32</v>
      </c>
      <c r="U79" t="s">
        <v>243</v>
      </c>
      <c r="W79" t="s">
        <v>245</v>
      </c>
      <c r="X79" t="s">
        <v>45</v>
      </c>
      <c r="Y79" t="s">
        <v>31</v>
      </c>
      <c r="Z79" s="132">
        <v>69</v>
      </c>
    </row>
    <row r="80" spans="1:26" x14ac:dyDescent="0.3">
      <c r="A80" t="s">
        <v>3</v>
      </c>
      <c r="B80" t="s">
        <v>248</v>
      </c>
      <c r="C80" t="s">
        <v>249</v>
      </c>
      <c r="E80" t="s">
        <v>3</v>
      </c>
      <c r="F80" t="s">
        <v>249</v>
      </c>
      <c r="M80" t="s">
        <v>75</v>
      </c>
      <c r="N80" t="s">
        <v>24</v>
      </c>
      <c r="O80" s="132">
        <v>21</v>
      </c>
      <c r="P80">
        <v>2024</v>
      </c>
      <c r="R80" t="s">
        <v>161</v>
      </c>
      <c r="S80" t="s">
        <v>162</v>
      </c>
      <c r="T80" t="s">
        <v>47</v>
      </c>
      <c r="U80" t="s">
        <v>243</v>
      </c>
      <c r="W80" t="s">
        <v>245</v>
      </c>
      <c r="X80" t="s">
        <v>45</v>
      </c>
      <c r="Y80" t="s">
        <v>41</v>
      </c>
      <c r="Z80" s="132">
        <v>12000</v>
      </c>
    </row>
    <row r="81" spans="1:26" x14ac:dyDescent="0.3">
      <c r="A81" t="s">
        <v>3</v>
      </c>
      <c r="B81" t="s">
        <v>250</v>
      </c>
      <c r="C81" t="s">
        <v>251</v>
      </c>
      <c r="E81" t="s">
        <v>3</v>
      </c>
      <c r="F81" t="s">
        <v>251</v>
      </c>
      <c r="M81" t="s">
        <v>75</v>
      </c>
      <c r="N81" t="s">
        <v>31</v>
      </c>
      <c r="O81" s="132">
        <v>22</v>
      </c>
      <c r="P81">
        <v>2024</v>
      </c>
      <c r="R81" t="s">
        <v>161</v>
      </c>
      <c r="S81" t="s">
        <v>162</v>
      </c>
      <c r="T81" t="s">
        <v>26</v>
      </c>
      <c r="U81" t="s">
        <v>149</v>
      </c>
      <c r="W81" t="s">
        <v>252</v>
      </c>
      <c r="X81" t="s">
        <v>43</v>
      </c>
      <c r="Y81" t="s">
        <v>24</v>
      </c>
      <c r="Z81" s="132">
        <v>42</v>
      </c>
    </row>
    <row r="82" spans="1:26" x14ac:dyDescent="0.3">
      <c r="A82" t="s">
        <v>3</v>
      </c>
      <c r="B82" t="s">
        <v>185</v>
      </c>
      <c r="C82" t="s">
        <v>253</v>
      </c>
      <c r="E82" t="s">
        <v>3</v>
      </c>
      <c r="F82" t="s">
        <v>253</v>
      </c>
      <c r="M82" t="s">
        <v>75</v>
      </c>
      <c r="N82" t="s">
        <v>33</v>
      </c>
      <c r="O82" s="132">
        <v>13</v>
      </c>
      <c r="P82">
        <v>2024</v>
      </c>
      <c r="R82" t="s">
        <v>161</v>
      </c>
      <c r="S82" t="s">
        <v>162</v>
      </c>
      <c r="T82" t="s">
        <v>47</v>
      </c>
      <c r="U82" t="s">
        <v>149</v>
      </c>
      <c r="W82" t="s">
        <v>252</v>
      </c>
      <c r="X82" t="s">
        <v>43</v>
      </c>
      <c r="Y82" t="s">
        <v>33</v>
      </c>
      <c r="Z82" s="132">
        <v>350</v>
      </c>
    </row>
    <row r="83" spans="1:26" x14ac:dyDescent="0.3">
      <c r="A83" t="s">
        <v>3</v>
      </c>
      <c r="B83" t="s">
        <v>188</v>
      </c>
      <c r="C83" t="s">
        <v>254</v>
      </c>
      <c r="E83" t="s">
        <v>3</v>
      </c>
      <c r="F83" t="s">
        <v>254</v>
      </c>
      <c r="M83" t="s">
        <v>75</v>
      </c>
      <c r="N83" t="s">
        <v>41</v>
      </c>
      <c r="O83" s="132">
        <v>7831</v>
      </c>
      <c r="P83">
        <v>2024</v>
      </c>
      <c r="R83" t="s">
        <v>161</v>
      </c>
      <c r="S83" t="s">
        <v>162</v>
      </c>
      <c r="T83" t="s">
        <v>42</v>
      </c>
      <c r="U83" t="s">
        <v>149</v>
      </c>
      <c r="W83" t="s">
        <v>252</v>
      </c>
      <c r="X83" t="s">
        <v>43</v>
      </c>
      <c r="Y83" t="s">
        <v>31</v>
      </c>
      <c r="Z83" s="132">
        <v>3044</v>
      </c>
    </row>
    <row r="84" spans="1:26" x14ac:dyDescent="0.3">
      <c r="A84" t="s">
        <v>3</v>
      </c>
      <c r="B84" t="s">
        <v>193</v>
      </c>
      <c r="C84" t="s">
        <v>255</v>
      </c>
      <c r="E84" t="s">
        <v>3</v>
      </c>
      <c r="F84" t="s">
        <v>255</v>
      </c>
      <c r="M84" t="s">
        <v>40</v>
      </c>
      <c r="N84" t="s">
        <v>24</v>
      </c>
      <c r="O84" s="132">
        <v>37</v>
      </c>
      <c r="P84">
        <v>2024</v>
      </c>
      <c r="R84" t="s">
        <v>161</v>
      </c>
      <c r="S84" t="s">
        <v>162</v>
      </c>
      <c r="T84" t="s">
        <v>82</v>
      </c>
      <c r="U84" t="s">
        <v>149</v>
      </c>
      <c r="W84" t="s">
        <v>252</v>
      </c>
      <c r="X84" t="s">
        <v>43</v>
      </c>
      <c r="Y84" t="s">
        <v>41</v>
      </c>
      <c r="Z84" s="132">
        <v>614583</v>
      </c>
    </row>
    <row r="85" spans="1:26" x14ac:dyDescent="0.3">
      <c r="A85" t="s">
        <v>3</v>
      </c>
      <c r="B85" t="s">
        <v>256</v>
      </c>
      <c r="C85" t="s">
        <v>257</v>
      </c>
      <c r="E85" t="s">
        <v>3</v>
      </c>
      <c r="F85" t="s">
        <v>257</v>
      </c>
      <c r="M85" t="s">
        <v>40</v>
      </c>
      <c r="N85" t="s">
        <v>31</v>
      </c>
      <c r="O85" s="132">
        <v>30</v>
      </c>
      <c r="P85">
        <v>2024</v>
      </c>
      <c r="R85" t="s">
        <v>161</v>
      </c>
      <c r="S85" t="s">
        <v>162</v>
      </c>
      <c r="T85" t="s">
        <v>32</v>
      </c>
      <c r="U85" t="s">
        <v>149</v>
      </c>
      <c r="W85" t="s">
        <v>258</v>
      </c>
      <c r="X85" t="s">
        <v>49</v>
      </c>
      <c r="Y85" t="s">
        <v>24</v>
      </c>
      <c r="Z85" s="132">
        <v>58</v>
      </c>
    </row>
    <row r="86" spans="1:26" x14ac:dyDescent="0.3">
      <c r="A86" t="s">
        <v>3</v>
      </c>
      <c r="B86" t="s">
        <v>259</v>
      </c>
      <c r="C86" t="s">
        <v>260</v>
      </c>
      <c r="E86" t="s">
        <v>3</v>
      </c>
      <c r="F86" t="s">
        <v>260</v>
      </c>
      <c r="M86" t="s">
        <v>40</v>
      </c>
      <c r="N86" t="s">
        <v>33</v>
      </c>
      <c r="O86" s="132">
        <v>22</v>
      </c>
      <c r="P86">
        <v>2024</v>
      </c>
      <c r="R86" t="s">
        <v>161</v>
      </c>
      <c r="S86" t="s">
        <v>162</v>
      </c>
      <c r="T86" t="s">
        <v>47</v>
      </c>
      <c r="U86" t="s">
        <v>73</v>
      </c>
      <c r="W86" t="s">
        <v>258</v>
      </c>
      <c r="X86" t="s">
        <v>49</v>
      </c>
      <c r="Y86" t="s">
        <v>33</v>
      </c>
      <c r="Z86" s="132">
        <v>148</v>
      </c>
    </row>
    <row r="87" spans="1:26" x14ac:dyDescent="0.3">
      <c r="A87" t="s">
        <v>3</v>
      </c>
      <c r="B87" t="s">
        <v>261</v>
      </c>
      <c r="C87" t="s">
        <v>262</v>
      </c>
      <c r="E87" t="s">
        <v>3</v>
      </c>
      <c r="F87" t="s">
        <v>262</v>
      </c>
      <c r="M87" t="s">
        <v>40</v>
      </c>
      <c r="N87" t="s">
        <v>41</v>
      </c>
      <c r="O87" s="132">
        <v>1268</v>
      </c>
      <c r="P87">
        <v>2024</v>
      </c>
      <c r="R87" t="s">
        <v>161</v>
      </c>
      <c r="S87" t="s">
        <v>162</v>
      </c>
      <c r="T87" t="s">
        <v>26</v>
      </c>
      <c r="U87" t="s">
        <v>73</v>
      </c>
      <c r="W87" t="s">
        <v>258</v>
      </c>
      <c r="X87" t="s">
        <v>49</v>
      </c>
      <c r="Y87" t="s">
        <v>31</v>
      </c>
      <c r="Z87" s="132">
        <v>320</v>
      </c>
    </row>
    <row r="88" spans="1:26" x14ac:dyDescent="0.3">
      <c r="A88" t="s">
        <v>3</v>
      </c>
      <c r="B88" t="s">
        <v>196</v>
      </c>
      <c r="C88" t="s">
        <v>263</v>
      </c>
      <c r="E88" t="s">
        <v>3</v>
      </c>
      <c r="F88" t="s">
        <v>263</v>
      </c>
      <c r="M88" t="s">
        <v>34</v>
      </c>
      <c r="N88" t="s">
        <v>24</v>
      </c>
      <c r="O88" s="132">
        <v>10</v>
      </c>
      <c r="P88">
        <v>2024</v>
      </c>
      <c r="R88" t="s">
        <v>161</v>
      </c>
      <c r="S88" t="s">
        <v>162</v>
      </c>
      <c r="T88" t="s">
        <v>37</v>
      </c>
      <c r="U88" t="s">
        <v>73</v>
      </c>
      <c r="W88" t="s">
        <v>258</v>
      </c>
      <c r="X88" t="s">
        <v>49</v>
      </c>
      <c r="Y88" t="s">
        <v>41</v>
      </c>
      <c r="Z88" s="132">
        <v>75000</v>
      </c>
    </row>
    <row r="89" spans="1:26" x14ac:dyDescent="0.3">
      <c r="A89" t="s">
        <v>3</v>
      </c>
      <c r="B89" t="s">
        <v>200</v>
      </c>
      <c r="C89" t="s">
        <v>264</v>
      </c>
      <c r="E89" t="s">
        <v>3</v>
      </c>
      <c r="F89" t="s">
        <v>264</v>
      </c>
      <c r="M89" t="s">
        <v>34</v>
      </c>
      <c r="N89" t="s">
        <v>31</v>
      </c>
      <c r="O89" s="132">
        <v>45</v>
      </c>
      <c r="P89">
        <v>2024</v>
      </c>
      <c r="R89" t="s">
        <v>161</v>
      </c>
      <c r="S89" t="s">
        <v>162</v>
      </c>
      <c r="T89" t="s">
        <v>32</v>
      </c>
      <c r="U89" t="s">
        <v>73</v>
      </c>
      <c r="W89" t="s">
        <v>265</v>
      </c>
      <c r="X89" t="s">
        <v>78</v>
      </c>
      <c r="Y89" t="s">
        <v>24</v>
      </c>
      <c r="Z89" s="132">
        <v>156</v>
      </c>
    </row>
    <row r="90" spans="1:26" x14ac:dyDescent="0.3">
      <c r="A90" t="s">
        <v>3</v>
      </c>
      <c r="B90" t="s">
        <v>266</v>
      </c>
      <c r="C90" t="s">
        <v>175</v>
      </c>
      <c r="E90" t="s">
        <v>3</v>
      </c>
      <c r="F90" t="s">
        <v>175</v>
      </c>
      <c r="M90" t="s">
        <v>34</v>
      </c>
      <c r="N90" t="s">
        <v>33</v>
      </c>
      <c r="O90" s="132">
        <v>64</v>
      </c>
      <c r="P90">
        <v>2024</v>
      </c>
      <c r="R90" t="s">
        <v>190</v>
      </c>
      <c r="S90" t="s">
        <v>28</v>
      </c>
      <c r="T90" t="s">
        <v>47</v>
      </c>
      <c r="U90" t="s">
        <v>175</v>
      </c>
      <c r="W90" t="s">
        <v>265</v>
      </c>
      <c r="X90" t="s">
        <v>78</v>
      </c>
      <c r="Y90" t="s">
        <v>33</v>
      </c>
      <c r="Z90" s="132">
        <v>30</v>
      </c>
    </row>
    <row r="91" spans="1:26" x14ac:dyDescent="0.3">
      <c r="A91" t="s">
        <v>3</v>
      </c>
      <c r="B91" t="s">
        <v>203</v>
      </c>
      <c r="C91" t="s">
        <v>267</v>
      </c>
      <c r="E91" t="s">
        <v>3</v>
      </c>
      <c r="F91" t="s">
        <v>267</v>
      </c>
      <c r="M91" t="s">
        <v>34</v>
      </c>
      <c r="N91" t="s">
        <v>41</v>
      </c>
      <c r="O91" s="132">
        <v>13000</v>
      </c>
      <c r="P91">
        <v>2024</v>
      </c>
      <c r="R91" t="s">
        <v>190</v>
      </c>
      <c r="S91" t="s">
        <v>28</v>
      </c>
      <c r="T91" t="s">
        <v>32</v>
      </c>
      <c r="U91" t="s">
        <v>268</v>
      </c>
      <c r="W91" t="s">
        <v>265</v>
      </c>
      <c r="X91" t="s">
        <v>78</v>
      </c>
      <c r="Y91" t="s">
        <v>31</v>
      </c>
      <c r="Z91" s="132">
        <v>156</v>
      </c>
    </row>
    <row r="92" spans="1:26" x14ac:dyDescent="0.3">
      <c r="A92" t="s">
        <v>3</v>
      </c>
      <c r="B92" t="s">
        <v>207</v>
      </c>
      <c r="C92" t="s">
        <v>269</v>
      </c>
      <c r="E92" t="s">
        <v>3</v>
      </c>
      <c r="F92" t="s">
        <v>269</v>
      </c>
      <c r="M92" t="s">
        <v>45</v>
      </c>
      <c r="N92" t="s">
        <v>24</v>
      </c>
      <c r="O92" s="132">
        <v>15</v>
      </c>
      <c r="P92">
        <v>2024</v>
      </c>
      <c r="R92" t="s">
        <v>190</v>
      </c>
      <c r="S92" t="s">
        <v>28</v>
      </c>
      <c r="T92" t="s">
        <v>47</v>
      </c>
      <c r="U92" t="s">
        <v>268</v>
      </c>
      <c r="W92" t="s">
        <v>265</v>
      </c>
      <c r="X92" t="s">
        <v>78</v>
      </c>
      <c r="Y92" t="s">
        <v>41</v>
      </c>
      <c r="Z92" s="132">
        <v>4450</v>
      </c>
    </row>
    <row r="93" spans="1:26" x14ac:dyDescent="0.3">
      <c r="A93" t="s">
        <v>1</v>
      </c>
      <c r="B93" t="s">
        <v>23</v>
      </c>
      <c r="C93" t="s">
        <v>270</v>
      </c>
      <c r="E93" t="s">
        <v>1</v>
      </c>
      <c r="F93" t="s">
        <v>270</v>
      </c>
      <c r="M93" t="s">
        <v>45</v>
      </c>
      <c r="N93" t="s">
        <v>31</v>
      </c>
      <c r="O93" s="132">
        <v>69</v>
      </c>
      <c r="P93">
        <v>2024</v>
      </c>
      <c r="R93" t="s">
        <v>190</v>
      </c>
      <c r="S93" t="s">
        <v>28</v>
      </c>
      <c r="T93" t="s">
        <v>42</v>
      </c>
      <c r="U93" t="s">
        <v>271</v>
      </c>
      <c r="W93" t="s">
        <v>272</v>
      </c>
      <c r="X93" t="s">
        <v>87</v>
      </c>
      <c r="Y93" t="s">
        <v>24</v>
      </c>
      <c r="Z93" s="132">
        <v>31</v>
      </c>
    </row>
    <row r="94" spans="1:26" x14ac:dyDescent="0.3">
      <c r="A94" t="s">
        <v>1</v>
      </c>
      <c r="B94" t="s">
        <v>143</v>
      </c>
      <c r="C94" t="s">
        <v>273</v>
      </c>
      <c r="E94" t="s">
        <v>1</v>
      </c>
      <c r="F94" t="s">
        <v>273</v>
      </c>
      <c r="M94" t="s">
        <v>45</v>
      </c>
      <c r="N94" t="s">
        <v>33</v>
      </c>
      <c r="O94" s="132">
        <v>1810</v>
      </c>
      <c r="P94">
        <v>2024</v>
      </c>
      <c r="R94" t="s">
        <v>190</v>
      </c>
      <c r="S94" t="s">
        <v>28</v>
      </c>
      <c r="T94" t="s">
        <v>47</v>
      </c>
      <c r="U94" t="s">
        <v>271</v>
      </c>
      <c r="W94" t="s">
        <v>272</v>
      </c>
      <c r="X94" t="s">
        <v>87</v>
      </c>
      <c r="Y94" t="s">
        <v>33</v>
      </c>
      <c r="Z94" s="132">
        <v>2900</v>
      </c>
    </row>
    <row r="95" spans="1:26" x14ac:dyDescent="0.3">
      <c r="A95" t="s">
        <v>1</v>
      </c>
      <c r="B95" t="s">
        <v>162</v>
      </c>
      <c r="C95" t="s">
        <v>274</v>
      </c>
      <c r="E95" t="s">
        <v>1</v>
      </c>
      <c r="F95" t="s">
        <v>274</v>
      </c>
      <c r="M95" t="s">
        <v>45</v>
      </c>
      <c r="N95" t="s">
        <v>41</v>
      </c>
      <c r="O95" s="132">
        <v>12000</v>
      </c>
      <c r="P95">
        <v>2024</v>
      </c>
      <c r="R95" t="s">
        <v>190</v>
      </c>
      <c r="S95" t="s">
        <v>28</v>
      </c>
      <c r="T95" t="s">
        <v>32</v>
      </c>
      <c r="U95" t="s">
        <v>271</v>
      </c>
      <c r="W95" t="s">
        <v>272</v>
      </c>
      <c r="X95" t="s">
        <v>87</v>
      </c>
      <c r="Y95" t="s">
        <v>31</v>
      </c>
      <c r="Z95" s="132">
        <v>209</v>
      </c>
    </row>
    <row r="96" spans="1:26" x14ac:dyDescent="0.3">
      <c r="A96" t="s">
        <v>1</v>
      </c>
      <c r="B96" t="s">
        <v>75</v>
      </c>
      <c r="C96" t="s">
        <v>275</v>
      </c>
      <c r="E96" t="s">
        <v>1</v>
      </c>
      <c r="F96" t="s">
        <v>275</v>
      </c>
      <c r="M96" t="s">
        <v>105</v>
      </c>
      <c r="N96" t="s">
        <v>24</v>
      </c>
      <c r="O96" s="132">
        <v>4</v>
      </c>
      <c r="P96">
        <v>2024</v>
      </c>
      <c r="R96" t="s">
        <v>190</v>
      </c>
      <c r="S96" t="s">
        <v>28</v>
      </c>
      <c r="T96" t="s">
        <v>47</v>
      </c>
      <c r="U96" t="s">
        <v>276</v>
      </c>
      <c r="W96" t="s">
        <v>272</v>
      </c>
      <c r="X96" t="s">
        <v>87</v>
      </c>
      <c r="Y96" t="s">
        <v>41</v>
      </c>
      <c r="Z96" s="132">
        <v>20220</v>
      </c>
    </row>
    <row r="97" spans="1:26" x14ac:dyDescent="0.3">
      <c r="A97" t="s">
        <v>1</v>
      </c>
      <c r="B97" t="s">
        <v>105</v>
      </c>
      <c r="C97" t="s">
        <v>277</v>
      </c>
      <c r="E97" t="s">
        <v>1</v>
      </c>
      <c r="F97" t="s">
        <v>277</v>
      </c>
      <c r="M97" t="s">
        <v>105</v>
      </c>
      <c r="N97" t="s">
        <v>31</v>
      </c>
      <c r="O97" s="132">
        <v>4</v>
      </c>
      <c r="P97">
        <v>2024</v>
      </c>
      <c r="R97" t="s">
        <v>190</v>
      </c>
      <c r="S97" t="s">
        <v>28</v>
      </c>
      <c r="T97" t="s">
        <v>32</v>
      </c>
      <c r="U97" t="s">
        <v>278</v>
      </c>
      <c r="W97" t="s">
        <v>279</v>
      </c>
      <c r="X97" t="s">
        <v>64</v>
      </c>
      <c r="Y97" t="s">
        <v>24</v>
      </c>
      <c r="Z97" s="132">
        <v>15</v>
      </c>
    </row>
    <row r="98" spans="1:26" x14ac:dyDescent="0.3">
      <c r="A98" t="s">
        <v>1</v>
      </c>
      <c r="B98" t="s">
        <v>117</v>
      </c>
      <c r="C98" t="s">
        <v>280</v>
      </c>
      <c r="E98" t="s">
        <v>1</v>
      </c>
      <c r="F98" t="s">
        <v>280</v>
      </c>
      <c r="M98" t="s">
        <v>105</v>
      </c>
      <c r="N98" t="s">
        <v>41</v>
      </c>
      <c r="O98" s="132">
        <v>1780</v>
      </c>
      <c r="P98">
        <v>2024</v>
      </c>
      <c r="R98" t="s">
        <v>190</v>
      </c>
      <c r="S98" t="s">
        <v>28</v>
      </c>
      <c r="T98" t="s">
        <v>47</v>
      </c>
      <c r="U98" t="s">
        <v>278</v>
      </c>
      <c r="W98" t="s">
        <v>279</v>
      </c>
      <c r="X98" t="s">
        <v>64</v>
      </c>
      <c r="Y98" t="s">
        <v>33</v>
      </c>
      <c r="Z98" s="132">
        <v>31</v>
      </c>
    </row>
    <row r="99" spans="1:26" x14ac:dyDescent="0.3">
      <c r="A99" t="s">
        <v>1</v>
      </c>
      <c r="B99" t="s">
        <v>281</v>
      </c>
      <c r="C99" t="s">
        <v>282</v>
      </c>
      <c r="E99" t="s">
        <v>1</v>
      </c>
      <c r="F99" t="s">
        <v>282</v>
      </c>
      <c r="M99" t="s">
        <v>283</v>
      </c>
      <c r="N99" t="s">
        <v>24</v>
      </c>
      <c r="O99" s="132">
        <v>28</v>
      </c>
      <c r="P99">
        <v>2024</v>
      </c>
      <c r="R99" t="s">
        <v>190</v>
      </c>
      <c r="S99" t="s">
        <v>28</v>
      </c>
      <c r="T99" t="s">
        <v>37</v>
      </c>
      <c r="U99" t="s">
        <v>278</v>
      </c>
      <c r="W99" t="s">
        <v>279</v>
      </c>
      <c r="X99" t="s">
        <v>64</v>
      </c>
      <c r="Y99" t="s">
        <v>31</v>
      </c>
      <c r="Z99" s="132">
        <v>96</v>
      </c>
    </row>
    <row r="100" spans="1:26" x14ac:dyDescent="0.3">
      <c r="A100" t="s">
        <v>1</v>
      </c>
      <c r="B100" t="s">
        <v>145</v>
      </c>
      <c r="C100" t="s">
        <v>284</v>
      </c>
      <c r="E100" t="s">
        <v>1</v>
      </c>
      <c r="F100" t="s">
        <v>284</v>
      </c>
      <c r="M100" t="s">
        <v>283</v>
      </c>
      <c r="N100" t="s">
        <v>31</v>
      </c>
      <c r="O100" s="132">
        <v>379</v>
      </c>
      <c r="P100">
        <v>2024</v>
      </c>
      <c r="R100" t="s">
        <v>190</v>
      </c>
      <c r="S100" t="s">
        <v>28</v>
      </c>
      <c r="T100" t="s">
        <v>42</v>
      </c>
      <c r="U100" t="s">
        <v>149</v>
      </c>
      <c r="W100" t="s">
        <v>279</v>
      </c>
      <c r="X100" t="s">
        <v>64</v>
      </c>
      <c r="Y100" t="s">
        <v>41</v>
      </c>
      <c r="Z100" s="132">
        <v>30500</v>
      </c>
    </row>
    <row r="101" spans="1:26" x14ac:dyDescent="0.3">
      <c r="A101" t="s">
        <v>1</v>
      </c>
      <c r="B101" t="s">
        <v>177</v>
      </c>
      <c r="C101" t="s">
        <v>285</v>
      </c>
      <c r="E101" t="s">
        <v>1</v>
      </c>
      <c r="F101" t="s">
        <v>285</v>
      </c>
      <c r="M101" t="s">
        <v>283</v>
      </c>
      <c r="N101" t="s">
        <v>33</v>
      </c>
      <c r="O101" s="132">
        <v>449</v>
      </c>
      <c r="P101">
        <v>2024</v>
      </c>
      <c r="R101" t="s">
        <v>190</v>
      </c>
      <c r="S101" t="s">
        <v>28</v>
      </c>
      <c r="T101" t="s">
        <v>47</v>
      </c>
      <c r="U101" t="s">
        <v>149</v>
      </c>
      <c r="W101" t="s">
        <v>286</v>
      </c>
      <c r="X101" t="s">
        <v>91</v>
      </c>
      <c r="Y101" t="s">
        <v>24</v>
      </c>
      <c r="Z101" s="132">
        <v>134</v>
      </c>
    </row>
    <row r="102" spans="1:26" x14ac:dyDescent="0.3">
      <c r="A102" t="s">
        <v>1</v>
      </c>
      <c r="B102" t="s">
        <v>287</v>
      </c>
      <c r="C102" t="s">
        <v>288</v>
      </c>
      <c r="E102" t="s">
        <v>1</v>
      </c>
      <c r="F102" t="s">
        <v>288</v>
      </c>
      <c r="M102" t="s">
        <v>283</v>
      </c>
      <c r="N102" t="s">
        <v>41</v>
      </c>
      <c r="O102" s="132">
        <v>17021</v>
      </c>
      <c r="P102">
        <v>2024</v>
      </c>
      <c r="R102" t="s">
        <v>74</v>
      </c>
      <c r="S102" t="s">
        <v>75</v>
      </c>
      <c r="T102" t="s">
        <v>42</v>
      </c>
      <c r="U102" t="s">
        <v>289</v>
      </c>
      <c r="W102" t="s">
        <v>286</v>
      </c>
      <c r="X102" t="s">
        <v>91</v>
      </c>
      <c r="Y102" t="s">
        <v>33</v>
      </c>
      <c r="Z102" s="132">
        <v>1374</v>
      </c>
    </row>
    <row r="103" spans="1:26" x14ac:dyDescent="0.3">
      <c r="A103" t="s">
        <v>1</v>
      </c>
      <c r="B103" t="s">
        <v>290</v>
      </c>
      <c r="C103" t="s">
        <v>291</v>
      </c>
      <c r="E103" t="s">
        <v>1</v>
      </c>
      <c r="F103" t="s">
        <v>291</v>
      </c>
      <c r="M103" t="s">
        <v>38</v>
      </c>
      <c r="N103" t="s">
        <v>24</v>
      </c>
      <c r="O103" s="132">
        <v>45</v>
      </c>
      <c r="P103">
        <v>2024</v>
      </c>
      <c r="R103" t="s">
        <v>74</v>
      </c>
      <c r="S103" t="s">
        <v>75</v>
      </c>
      <c r="T103" t="s">
        <v>26</v>
      </c>
      <c r="U103" t="s">
        <v>149</v>
      </c>
      <c r="W103" t="s">
        <v>286</v>
      </c>
      <c r="X103" t="s">
        <v>91</v>
      </c>
      <c r="Y103" t="s">
        <v>31</v>
      </c>
      <c r="Z103" s="132">
        <v>134</v>
      </c>
    </row>
    <row r="104" spans="1:26" x14ac:dyDescent="0.3">
      <c r="A104" t="s">
        <v>1</v>
      </c>
      <c r="B104" t="s">
        <v>292</v>
      </c>
      <c r="C104" t="s">
        <v>235</v>
      </c>
      <c r="E104" t="s">
        <v>1</v>
      </c>
      <c r="F104" t="s">
        <v>235</v>
      </c>
      <c r="M104" t="s">
        <v>38</v>
      </c>
      <c r="N104" t="s">
        <v>31</v>
      </c>
      <c r="O104" s="132">
        <v>45</v>
      </c>
      <c r="P104">
        <v>2024</v>
      </c>
      <c r="R104" t="s">
        <v>230</v>
      </c>
      <c r="S104" t="s">
        <v>40</v>
      </c>
      <c r="T104" t="s">
        <v>82</v>
      </c>
      <c r="U104" t="s">
        <v>149</v>
      </c>
      <c r="W104" t="s">
        <v>286</v>
      </c>
      <c r="X104" t="s">
        <v>91</v>
      </c>
      <c r="Y104" t="s">
        <v>41</v>
      </c>
      <c r="Z104" s="132">
        <v>5336</v>
      </c>
    </row>
    <row r="105" spans="1:26" x14ac:dyDescent="0.3">
      <c r="A105" t="s">
        <v>1</v>
      </c>
      <c r="B105" t="s">
        <v>215</v>
      </c>
      <c r="C105" t="s">
        <v>293</v>
      </c>
      <c r="E105" t="s">
        <v>1</v>
      </c>
      <c r="F105" t="s">
        <v>293</v>
      </c>
      <c r="M105" t="s">
        <v>38</v>
      </c>
      <c r="N105" t="s">
        <v>33</v>
      </c>
      <c r="O105" s="132">
        <v>301</v>
      </c>
      <c r="P105">
        <v>2024</v>
      </c>
      <c r="R105" t="s">
        <v>230</v>
      </c>
      <c r="S105" t="s">
        <v>40</v>
      </c>
      <c r="T105" t="s">
        <v>47</v>
      </c>
      <c r="U105" t="s">
        <v>149</v>
      </c>
      <c r="W105" t="s">
        <v>294</v>
      </c>
      <c r="X105" t="s">
        <v>57</v>
      </c>
      <c r="Y105" t="s">
        <v>24</v>
      </c>
      <c r="Z105" s="132">
        <v>23</v>
      </c>
    </row>
    <row r="106" spans="1:26" x14ac:dyDescent="0.3">
      <c r="A106" t="s">
        <v>1</v>
      </c>
      <c r="B106" t="s">
        <v>295</v>
      </c>
      <c r="C106" t="s">
        <v>296</v>
      </c>
      <c r="E106" t="s">
        <v>1</v>
      </c>
      <c r="F106" t="s">
        <v>296</v>
      </c>
      <c r="M106" t="s">
        <v>38</v>
      </c>
      <c r="N106" t="s">
        <v>41</v>
      </c>
      <c r="O106" s="132">
        <v>45705</v>
      </c>
      <c r="P106">
        <v>2024</v>
      </c>
      <c r="R106" t="s">
        <v>230</v>
      </c>
      <c r="S106" t="s">
        <v>40</v>
      </c>
      <c r="T106" t="s">
        <v>42</v>
      </c>
      <c r="U106" t="s">
        <v>149</v>
      </c>
      <c r="W106" t="s">
        <v>297</v>
      </c>
      <c r="X106" t="s">
        <v>101</v>
      </c>
      <c r="Y106" t="s">
        <v>24</v>
      </c>
      <c r="Z106" s="132">
        <v>183</v>
      </c>
    </row>
    <row r="107" spans="1:26" x14ac:dyDescent="0.3">
      <c r="A107" t="s">
        <v>1</v>
      </c>
      <c r="B107" t="s">
        <v>298</v>
      </c>
      <c r="C107" t="s">
        <v>299</v>
      </c>
      <c r="E107" t="s">
        <v>1</v>
      </c>
      <c r="F107" t="s">
        <v>299</v>
      </c>
      <c r="M107" t="s">
        <v>43</v>
      </c>
      <c r="N107" t="s">
        <v>24</v>
      </c>
      <c r="O107" s="132">
        <v>18</v>
      </c>
      <c r="P107">
        <v>2024</v>
      </c>
      <c r="R107" t="s">
        <v>300</v>
      </c>
      <c r="S107" t="s">
        <v>111</v>
      </c>
      <c r="T107" t="s">
        <v>32</v>
      </c>
      <c r="U107" t="s">
        <v>95</v>
      </c>
      <c r="W107" t="s">
        <v>297</v>
      </c>
      <c r="X107" t="s">
        <v>101</v>
      </c>
      <c r="Y107" t="s">
        <v>33</v>
      </c>
      <c r="Z107" s="132">
        <v>546</v>
      </c>
    </row>
    <row r="108" spans="1:26" x14ac:dyDescent="0.3">
      <c r="A108" t="s">
        <v>1</v>
      </c>
      <c r="B108" t="s">
        <v>223</v>
      </c>
      <c r="C108" t="s">
        <v>301</v>
      </c>
      <c r="E108" t="s">
        <v>1</v>
      </c>
      <c r="F108" t="s">
        <v>301</v>
      </c>
      <c r="M108" t="s">
        <v>43</v>
      </c>
      <c r="N108" t="s">
        <v>31</v>
      </c>
      <c r="O108" s="132">
        <v>2928</v>
      </c>
      <c r="P108">
        <v>2024</v>
      </c>
      <c r="R108" t="s">
        <v>300</v>
      </c>
      <c r="S108" t="s">
        <v>111</v>
      </c>
      <c r="T108" t="s">
        <v>47</v>
      </c>
      <c r="U108" t="s">
        <v>27</v>
      </c>
      <c r="W108" t="s">
        <v>297</v>
      </c>
      <c r="X108" t="s">
        <v>101</v>
      </c>
      <c r="Y108" t="s">
        <v>31</v>
      </c>
      <c r="Z108" s="132">
        <v>1437</v>
      </c>
    </row>
    <row r="109" spans="1:26" x14ac:dyDescent="0.3">
      <c r="A109" t="s">
        <v>1</v>
      </c>
      <c r="B109" t="s">
        <v>302</v>
      </c>
      <c r="C109" t="s">
        <v>303</v>
      </c>
      <c r="E109" t="s">
        <v>1</v>
      </c>
      <c r="F109" t="s">
        <v>303</v>
      </c>
      <c r="M109" t="s">
        <v>43</v>
      </c>
      <c r="N109" t="s">
        <v>33</v>
      </c>
      <c r="O109" s="132">
        <v>350</v>
      </c>
      <c r="P109">
        <v>2024</v>
      </c>
      <c r="R109" t="s">
        <v>300</v>
      </c>
      <c r="S109" t="s">
        <v>111</v>
      </c>
      <c r="T109" t="s">
        <v>82</v>
      </c>
      <c r="U109" t="s">
        <v>27</v>
      </c>
      <c r="W109" t="s">
        <v>297</v>
      </c>
      <c r="X109" t="s">
        <v>101</v>
      </c>
      <c r="Y109" t="s">
        <v>41</v>
      </c>
      <c r="Z109" s="132">
        <v>39648</v>
      </c>
    </row>
    <row r="110" spans="1:26" x14ac:dyDescent="0.3">
      <c r="A110" t="s">
        <v>1</v>
      </c>
      <c r="B110" t="s">
        <v>304</v>
      </c>
      <c r="C110" t="s">
        <v>305</v>
      </c>
      <c r="E110" t="s">
        <v>1</v>
      </c>
      <c r="F110" t="s">
        <v>305</v>
      </c>
      <c r="M110" t="s">
        <v>43</v>
      </c>
      <c r="N110" t="s">
        <v>41</v>
      </c>
      <c r="O110" s="132">
        <v>611171</v>
      </c>
      <c r="P110">
        <v>2024</v>
      </c>
      <c r="R110" t="s">
        <v>300</v>
      </c>
      <c r="S110" t="s">
        <v>111</v>
      </c>
      <c r="T110" t="s">
        <v>47</v>
      </c>
      <c r="U110" t="s">
        <v>131</v>
      </c>
      <c r="W110" t="s">
        <v>306</v>
      </c>
      <c r="X110" t="s">
        <v>60</v>
      </c>
      <c r="Y110" t="s">
        <v>24</v>
      </c>
      <c r="Z110" s="132">
        <v>3</v>
      </c>
    </row>
    <row r="111" spans="1:26" x14ac:dyDescent="0.3">
      <c r="A111" t="s">
        <v>1</v>
      </c>
      <c r="B111" t="s">
        <v>307</v>
      </c>
      <c r="C111" t="s">
        <v>308</v>
      </c>
      <c r="E111" t="s">
        <v>1</v>
      </c>
      <c r="F111" t="s">
        <v>308</v>
      </c>
      <c r="M111" t="s">
        <v>117</v>
      </c>
      <c r="N111" t="s">
        <v>24</v>
      </c>
      <c r="O111" s="132">
        <v>25</v>
      </c>
      <c r="P111">
        <v>2024</v>
      </c>
      <c r="R111" t="s">
        <v>300</v>
      </c>
      <c r="S111" t="s">
        <v>111</v>
      </c>
      <c r="T111" t="s">
        <v>82</v>
      </c>
      <c r="U111" t="s">
        <v>131</v>
      </c>
      <c r="W111" t="s">
        <v>306</v>
      </c>
      <c r="X111" t="s">
        <v>60</v>
      </c>
      <c r="Y111" t="s">
        <v>33</v>
      </c>
      <c r="Z111" s="132">
        <v>32</v>
      </c>
    </row>
    <row r="112" spans="1:26" x14ac:dyDescent="0.3">
      <c r="A112" t="s">
        <v>1</v>
      </c>
      <c r="B112" t="s">
        <v>309</v>
      </c>
      <c r="C112" t="s">
        <v>310</v>
      </c>
      <c r="E112" t="s">
        <v>1</v>
      </c>
      <c r="F112" t="s">
        <v>310</v>
      </c>
      <c r="M112" t="s">
        <v>117</v>
      </c>
      <c r="N112" t="s">
        <v>31</v>
      </c>
      <c r="O112" s="132">
        <v>1886</v>
      </c>
      <c r="P112">
        <v>2024</v>
      </c>
      <c r="R112" t="s">
        <v>300</v>
      </c>
      <c r="S112" t="s">
        <v>111</v>
      </c>
      <c r="T112" t="s">
        <v>32</v>
      </c>
      <c r="U112" t="s">
        <v>103</v>
      </c>
      <c r="W112" t="s">
        <v>306</v>
      </c>
      <c r="X112" t="s">
        <v>60</v>
      </c>
      <c r="Y112" t="s">
        <v>31</v>
      </c>
      <c r="Z112" s="132">
        <v>236</v>
      </c>
    </row>
    <row r="113" spans="1:26" x14ac:dyDescent="0.3">
      <c r="A113" t="s">
        <v>1</v>
      </c>
      <c r="B113" t="s">
        <v>311</v>
      </c>
      <c r="C113" t="s">
        <v>312</v>
      </c>
      <c r="E113" t="s">
        <v>1</v>
      </c>
      <c r="F113" t="s">
        <v>312</v>
      </c>
      <c r="M113" t="s">
        <v>117</v>
      </c>
      <c r="N113" t="s">
        <v>33</v>
      </c>
      <c r="O113" s="132">
        <v>350</v>
      </c>
      <c r="P113">
        <v>2024</v>
      </c>
      <c r="R113" t="s">
        <v>300</v>
      </c>
      <c r="S113" t="s">
        <v>111</v>
      </c>
      <c r="T113" t="s">
        <v>82</v>
      </c>
      <c r="U113" t="s">
        <v>103</v>
      </c>
      <c r="W113" t="s">
        <v>306</v>
      </c>
      <c r="X113" t="s">
        <v>60</v>
      </c>
      <c r="Y113" t="s">
        <v>41</v>
      </c>
      <c r="Z113" s="132">
        <v>6000</v>
      </c>
    </row>
    <row r="114" spans="1:26" x14ac:dyDescent="0.3">
      <c r="A114" t="s">
        <v>1</v>
      </c>
      <c r="B114" t="s">
        <v>313</v>
      </c>
      <c r="C114" t="s">
        <v>314</v>
      </c>
      <c r="E114" t="s">
        <v>1</v>
      </c>
      <c r="F114" t="s">
        <v>314</v>
      </c>
      <c r="M114" t="s">
        <v>117</v>
      </c>
      <c r="N114" t="s">
        <v>41</v>
      </c>
      <c r="O114" s="132">
        <v>61492</v>
      </c>
      <c r="P114">
        <v>2024</v>
      </c>
      <c r="R114" t="s">
        <v>300</v>
      </c>
      <c r="S114" t="s">
        <v>111</v>
      </c>
      <c r="T114" t="s">
        <v>26</v>
      </c>
      <c r="U114" t="s">
        <v>103</v>
      </c>
      <c r="W114" t="s">
        <v>315</v>
      </c>
      <c r="X114" t="s">
        <v>115</v>
      </c>
      <c r="Y114" t="s">
        <v>24</v>
      </c>
      <c r="Z114" s="132">
        <v>157</v>
      </c>
    </row>
    <row r="115" spans="1:26" x14ac:dyDescent="0.3">
      <c r="A115" t="s">
        <v>1</v>
      </c>
      <c r="B115" t="s">
        <v>316</v>
      </c>
      <c r="C115" t="s">
        <v>317</v>
      </c>
      <c r="E115" t="s">
        <v>1</v>
      </c>
      <c r="F115" t="s">
        <v>317</v>
      </c>
      <c r="M115" t="s">
        <v>49</v>
      </c>
      <c r="N115" t="s">
        <v>24</v>
      </c>
      <c r="O115" s="132">
        <v>58</v>
      </c>
      <c r="P115">
        <v>2024</v>
      </c>
      <c r="R115" t="s">
        <v>300</v>
      </c>
      <c r="S115" t="s">
        <v>111</v>
      </c>
      <c r="T115" t="s">
        <v>47</v>
      </c>
      <c r="U115" t="s">
        <v>103</v>
      </c>
      <c r="W115" t="s">
        <v>315</v>
      </c>
      <c r="X115" t="s">
        <v>115</v>
      </c>
      <c r="Y115" t="s">
        <v>33</v>
      </c>
      <c r="Z115" s="132">
        <v>1300</v>
      </c>
    </row>
    <row r="116" spans="1:26" x14ac:dyDescent="0.3">
      <c r="A116" t="s">
        <v>1</v>
      </c>
      <c r="B116" t="s">
        <v>318</v>
      </c>
      <c r="C116" t="s">
        <v>319</v>
      </c>
      <c r="E116" t="s">
        <v>1</v>
      </c>
      <c r="F116" t="s">
        <v>319</v>
      </c>
      <c r="M116" t="s">
        <v>49</v>
      </c>
      <c r="N116" t="s">
        <v>31</v>
      </c>
      <c r="O116" s="132">
        <v>320</v>
      </c>
      <c r="P116">
        <v>2024</v>
      </c>
      <c r="R116" t="s">
        <v>300</v>
      </c>
      <c r="S116" t="s">
        <v>111</v>
      </c>
      <c r="T116" t="s">
        <v>47</v>
      </c>
      <c r="U116" t="s">
        <v>63</v>
      </c>
      <c r="W116" t="s">
        <v>315</v>
      </c>
      <c r="X116" t="s">
        <v>115</v>
      </c>
      <c r="Y116" t="s">
        <v>31</v>
      </c>
      <c r="Z116" s="132">
        <v>157</v>
      </c>
    </row>
    <row r="117" spans="1:26" x14ac:dyDescent="0.3">
      <c r="A117" t="s">
        <v>1</v>
      </c>
      <c r="B117" t="s">
        <v>320</v>
      </c>
      <c r="C117" t="s">
        <v>321</v>
      </c>
      <c r="E117" t="s">
        <v>1</v>
      </c>
      <c r="F117" t="s">
        <v>321</v>
      </c>
      <c r="M117" t="s">
        <v>49</v>
      </c>
      <c r="N117" t="s">
        <v>33</v>
      </c>
      <c r="O117" s="132">
        <v>148</v>
      </c>
      <c r="P117">
        <v>2024</v>
      </c>
      <c r="R117" t="s">
        <v>300</v>
      </c>
      <c r="S117" t="s">
        <v>111</v>
      </c>
      <c r="T117" t="s">
        <v>82</v>
      </c>
      <c r="U117" t="s">
        <v>322</v>
      </c>
      <c r="W117" t="s">
        <v>315</v>
      </c>
      <c r="X117" t="s">
        <v>115</v>
      </c>
      <c r="Y117" t="s">
        <v>41</v>
      </c>
      <c r="Z117" s="132">
        <v>11252</v>
      </c>
    </row>
    <row r="118" spans="1:26" x14ac:dyDescent="0.3">
      <c r="A118" t="s">
        <v>1</v>
      </c>
      <c r="B118" t="s">
        <v>323</v>
      </c>
      <c r="C118" t="s">
        <v>324</v>
      </c>
      <c r="E118" t="s">
        <v>1</v>
      </c>
      <c r="F118" t="s">
        <v>324</v>
      </c>
      <c r="M118" t="s">
        <v>49</v>
      </c>
      <c r="N118" t="s">
        <v>41</v>
      </c>
      <c r="O118" s="132">
        <v>75000</v>
      </c>
      <c r="P118">
        <v>2024</v>
      </c>
      <c r="R118" t="s">
        <v>300</v>
      </c>
      <c r="S118" t="s">
        <v>111</v>
      </c>
      <c r="T118" t="s">
        <v>82</v>
      </c>
      <c r="U118" t="s">
        <v>149</v>
      </c>
      <c r="W118" t="s">
        <v>325</v>
      </c>
      <c r="X118" t="s">
        <v>67</v>
      </c>
      <c r="Y118" t="s">
        <v>24</v>
      </c>
      <c r="Z118" s="132">
        <v>26</v>
      </c>
    </row>
    <row r="119" spans="1:26" x14ac:dyDescent="0.3">
      <c r="A119" t="s">
        <v>1</v>
      </c>
      <c r="B119" t="s">
        <v>326</v>
      </c>
      <c r="C119" t="s">
        <v>327</v>
      </c>
      <c r="E119" t="s">
        <v>1</v>
      </c>
      <c r="F119" t="s">
        <v>327</v>
      </c>
      <c r="M119" t="s">
        <v>219</v>
      </c>
      <c r="N119" t="s">
        <v>31</v>
      </c>
      <c r="O119" s="132">
        <v>136</v>
      </c>
      <c r="P119">
        <v>2024</v>
      </c>
      <c r="R119" t="s">
        <v>300</v>
      </c>
      <c r="S119" t="s">
        <v>111</v>
      </c>
      <c r="T119" t="s">
        <v>32</v>
      </c>
      <c r="U119" t="s">
        <v>149</v>
      </c>
      <c r="W119" t="s">
        <v>325</v>
      </c>
      <c r="X119" t="s">
        <v>67</v>
      </c>
      <c r="Y119" t="s">
        <v>33</v>
      </c>
      <c r="Z119" s="132">
        <v>118</v>
      </c>
    </row>
    <row r="120" spans="1:26" x14ac:dyDescent="0.3">
      <c r="A120" t="s">
        <v>1</v>
      </c>
      <c r="B120" t="s">
        <v>328</v>
      </c>
      <c r="C120" t="s">
        <v>329</v>
      </c>
      <c r="E120" t="s">
        <v>1</v>
      </c>
      <c r="F120" t="s">
        <v>329</v>
      </c>
      <c r="M120" t="s">
        <v>219</v>
      </c>
      <c r="N120" t="s">
        <v>33</v>
      </c>
      <c r="O120" s="132">
        <v>2630</v>
      </c>
      <c r="P120">
        <v>2024</v>
      </c>
      <c r="R120" t="s">
        <v>300</v>
      </c>
      <c r="S120" t="s">
        <v>111</v>
      </c>
      <c r="T120" t="s">
        <v>47</v>
      </c>
      <c r="U120" t="s">
        <v>149</v>
      </c>
      <c r="W120" t="s">
        <v>325</v>
      </c>
      <c r="X120" t="s">
        <v>67</v>
      </c>
      <c r="Y120" t="s">
        <v>31</v>
      </c>
      <c r="Z120" s="132">
        <v>307</v>
      </c>
    </row>
    <row r="121" spans="1:26" x14ac:dyDescent="0.3">
      <c r="A121" t="s">
        <v>1</v>
      </c>
      <c r="B121" t="s">
        <v>330</v>
      </c>
      <c r="C121" t="s">
        <v>331</v>
      </c>
      <c r="E121" t="s">
        <v>1</v>
      </c>
      <c r="F121" t="s">
        <v>331</v>
      </c>
      <c r="M121" t="s">
        <v>219</v>
      </c>
      <c r="N121" t="s">
        <v>41</v>
      </c>
      <c r="O121" s="132">
        <v>13911</v>
      </c>
      <c r="P121">
        <v>2024</v>
      </c>
      <c r="R121" t="s">
        <v>300</v>
      </c>
      <c r="S121" t="s">
        <v>111</v>
      </c>
      <c r="T121" t="s">
        <v>37</v>
      </c>
      <c r="U121" t="s">
        <v>149</v>
      </c>
      <c r="W121" t="s">
        <v>325</v>
      </c>
      <c r="X121" t="s">
        <v>67</v>
      </c>
      <c r="Y121" t="s">
        <v>41</v>
      </c>
      <c r="Z121" s="132">
        <v>503311</v>
      </c>
    </row>
    <row r="122" spans="1:26" x14ac:dyDescent="0.3">
      <c r="A122" t="s">
        <v>1</v>
      </c>
      <c r="B122" t="s">
        <v>332</v>
      </c>
      <c r="C122" t="s">
        <v>333</v>
      </c>
      <c r="E122" t="s">
        <v>1</v>
      </c>
      <c r="F122" t="s">
        <v>333</v>
      </c>
      <c r="M122" t="s">
        <v>53</v>
      </c>
      <c r="N122" t="s">
        <v>24</v>
      </c>
      <c r="O122" s="132">
        <v>19</v>
      </c>
      <c r="P122">
        <v>2024</v>
      </c>
      <c r="R122" t="s">
        <v>300</v>
      </c>
      <c r="S122" t="s">
        <v>111</v>
      </c>
      <c r="T122" t="s">
        <v>26</v>
      </c>
      <c r="U122" t="s">
        <v>149</v>
      </c>
      <c r="W122" t="s">
        <v>334</v>
      </c>
      <c r="X122" t="s">
        <v>120</v>
      </c>
      <c r="Y122" t="s">
        <v>24</v>
      </c>
      <c r="Z122" s="132">
        <v>24</v>
      </c>
    </row>
    <row r="123" spans="1:26" x14ac:dyDescent="0.3">
      <c r="A123" t="s">
        <v>1</v>
      </c>
      <c r="B123" t="s">
        <v>335</v>
      </c>
      <c r="C123" t="s">
        <v>336</v>
      </c>
      <c r="E123" t="s">
        <v>1</v>
      </c>
      <c r="F123" t="s">
        <v>336</v>
      </c>
      <c r="M123" t="s">
        <v>53</v>
      </c>
      <c r="N123" t="s">
        <v>31</v>
      </c>
      <c r="O123" s="132">
        <v>46</v>
      </c>
      <c r="P123">
        <v>2024</v>
      </c>
      <c r="R123" t="s">
        <v>300</v>
      </c>
      <c r="S123" t="s">
        <v>111</v>
      </c>
      <c r="T123" t="s">
        <v>82</v>
      </c>
      <c r="U123" t="s">
        <v>220</v>
      </c>
      <c r="W123" t="s">
        <v>334</v>
      </c>
      <c r="X123" t="s">
        <v>120</v>
      </c>
      <c r="Y123" t="s">
        <v>33</v>
      </c>
      <c r="Z123" s="132">
        <v>829</v>
      </c>
    </row>
    <row r="124" spans="1:26" x14ac:dyDescent="0.3">
      <c r="A124" t="s">
        <v>1</v>
      </c>
      <c r="B124" t="s">
        <v>337</v>
      </c>
      <c r="C124" t="s">
        <v>338</v>
      </c>
      <c r="E124" t="s">
        <v>1</v>
      </c>
      <c r="F124" t="s">
        <v>338</v>
      </c>
      <c r="M124" t="s">
        <v>53</v>
      </c>
      <c r="N124" t="s">
        <v>33</v>
      </c>
      <c r="O124" s="132">
        <v>137</v>
      </c>
      <c r="P124">
        <v>2024</v>
      </c>
      <c r="R124" t="s">
        <v>300</v>
      </c>
      <c r="S124" t="s">
        <v>111</v>
      </c>
      <c r="T124" t="s">
        <v>47</v>
      </c>
      <c r="U124" t="s">
        <v>220</v>
      </c>
      <c r="W124" t="s">
        <v>334</v>
      </c>
      <c r="X124" t="s">
        <v>120</v>
      </c>
      <c r="Y124" t="s">
        <v>31</v>
      </c>
      <c r="Z124" s="132">
        <v>200</v>
      </c>
    </row>
    <row r="125" spans="1:26" x14ac:dyDescent="0.3">
      <c r="A125" t="s">
        <v>1</v>
      </c>
      <c r="B125" t="s">
        <v>339</v>
      </c>
      <c r="C125" t="s">
        <v>340</v>
      </c>
      <c r="E125" t="s">
        <v>1</v>
      </c>
      <c r="F125" t="s">
        <v>340</v>
      </c>
      <c r="M125" t="s">
        <v>53</v>
      </c>
      <c r="N125" t="s">
        <v>41</v>
      </c>
      <c r="O125" s="132">
        <v>2200</v>
      </c>
      <c r="P125">
        <v>2024</v>
      </c>
      <c r="R125" t="s">
        <v>300</v>
      </c>
      <c r="S125" t="s">
        <v>111</v>
      </c>
      <c r="T125" t="s">
        <v>47</v>
      </c>
      <c r="U125" t="s">
        <v>73</v>
      </c>
      <c r="W125" t="s">
        <v>334</v>
      </c>
      <c r="X125" t="s">
        <v>120</v>
      </c>
      <c r="Y125" t="s">
        <v>41</v>
      </c>
      <c r="Z125" s="132">
        <v>7721</v>
      </c>
    </row>
    <row r="126" spans="1:26" x14ac:dyDescent="0.3">
      <c r="A126" t="s">
        <v>1</v>
      </c>
      <c r="B126" t="s">
        <v>341</v>
      </c>
      <c r="C126" t="s">
        <v>342</v>
      </c>
      <c r="E126" t="s">
        <v>1</v>
      </c>
      <c r="F126" t="s">
        <v>342</v>
      </c>
      <c r="M126" t="s">
        <v>55</v>
      </c>
      <c r="N126" t="s">
        <v>24</v>
      </c>
      <c r="O126" s="132">
        <v>1194</v>
      </c>
      <c r="P126">
        <v>2024</v>
      </c>
      <c r="R126" t="s">
        <v>238</v>
      </c>
      <c r="S126" t="s">
        <v>34</v>
      </c>
      <c r="T126" t="s">
        <v>32</v>
      </c>
      <c r="U126" t="s">
        <v>343</v>
      </c>
      <c r="W126" t="s">
        <v>344</v>
      </c>
      <c r="X126" t="s">
        <v>109</v>
      </c>
      <c r="Y126" t="s">
        <v>24</v>
      </c>
      <c r="Z126" s="132">
        <v>47</v>
      </c>
    </row>
    <row r="127" spans="1:26" x14ac:dyDescent="0.3">
      <c r="A127" t="s">
        <v>1</v>
      </c>
      <c r="B127" t="s">
        <v>345</v>
      </c>
      <c r="C127" t="s">
        <v>346</v>
      </c>
      <c r="E127" t="s">
        <v>1</v>
      </c>
      <c r="F127" t="s">
        <v>346</v>
      </c>
      <c r="M127" t="s">
        <v>55</v>
      </c>
      <c r="N127" t="s">
        <v>31</v>
      </c>
      <c r="O127" s="132">
        <v>84</v>
      </c>
      <c r="P127">
        <v>2024</v>
      </c>
      <c r="R127" t="s">
        <v>104</v>
      </c>
      <c r="S127" t="s">
        <v>105</v>
      </c>
      <c r="T127" t="s">
        <v>47</v>
      </c>
      <c r="U127" t="s">
        <v>291</v>
      </c>
      <c r="W127" t="s">
        <v>344</v>
      </c>
      <c r="X127" t="s">
        <v>109</v>
      </c>
      <c r="Y127" t="s">
        <v>33</v>
      </c>
      <c r="Z127" s="132">
        <v>739</v>
      </c>
    </row>
    <row r="128" spans="1:26" x14ac:dyDescent="0.3">
      <c r="A128" t="s">
        <v>1</v>
      </c>
      <c r="B128" t="s">
        <v>347</v>
      </c>
      <c r="C128" t="s">
        <v>348</v>
      </c>
      <c r="E128" t="s">
        <v>1</v>
      </c>
      <c r="F128" t="s">
        <v>348</v>
      </c>
      <c r="M128" t="s">
        <v>55</v>
      </c>
      <c r="N128" t="s">
        <v>33</v>
      </c>
      <c r="O128" s="132">
        <v>111</v>
      </c>
      <c r="P128">
        <v>2024</v>
      </c>
      <c r="R128" t="s">
        <v>104</v>
      </c>
      <c r="S128" t="s">
        <v>105</v>
      </c>
      <c r="T128" t="s">
        <v>47</v>
      </c>
      <c r="U128" t="s">
        <v>329</v>
      </c>
      <c r="W128" t="s">
        <v>344</v>
      </c>
      <c r="X128" t="s">
        <v>109</v>
      </c>
      <c r="Y128" t="s">
        <v>31</v>
      </c>
      <c r="Z128" s="132">
        <v>65</v>
      </c>
    </row>
    <row r="129" spans="1:26" x14ac:dyDescent="0.3">
      <c r="A129" t="s">
        <v>1</v>
      </c>
      <c r="B129" t="s">
        <v>349</v>
      </c>
      <c r="C129" t="s">
        <v>350</v>
      </c>
      <c r="E129" t="s">
        <v>1</v>
      </c>
      <c r="F129" t="s">
        <v>350</v>
      </c>
      <c r="M129" t="s">
        <v>55</v>
      </c>
      <c r="N129" t="s">
        <v>41</v>
      </c>
      <c r="O129" s="132">
        <v>18040</v>
      </c>
      <c r="P129">
        <v>2024</v>
      </c>
      <c r="R129" t="s">
        <v>104</v>
      </c>
      <c r="S129" t="s">
        <v>105</v>
      </c>
      <c r="T129" t="s">
        <v>47</v>
      </c>
      <c r="U129" t="s">
        <v>1645</v>
      </c>
      <c r="W129" t="s">
        <v>344</v>
      </c>
      <c r="X129" t="s">
        <v>109</v>
      </c>
      <c r="Y129" t="s">
        <v>41</v>
      </c>
      <c r="Z129" s="132">
        <v>280263</v>
      </c>
    </row>
    <row r="130" spans="1:26" x14ac:dyDescent="0.3">
      <c r="A130" t="s">
        <v>1</v>
      </c>
      <c r="B130" t="s">
        <v>351</v>
      </c>
      <c r="C130" t="s">
        <v>352</v>
      </c>
      <c r="E130" t="s">
        <v>1</v>
      </c>
      <c r="F130" t="s">
        <v>352</v>
      </c>
      <c r="M130" t="s">
        <v>78</v>
      </c>
      <c r="N130" t="s">
        <v>24</v>
      </c>
      <c r="O130" s="132">
        <v>11</v>
      </c>
      <c r="P130">
        <v>2024</v>
      </c>
      <c r="R130" t="s">
        <v>353</v>
      </c>
      <c r="S130" t="s">
        <v>283</v>
      </c>
      <c r="T130" t="s">
        <v>26</v>
      </c>
      <c r="U130" t="s">
        <v>354</v>
      </c>
      <c r="W130" t="s">
        <v>355</v>
      </c>
      <c r="X130" t="s">
        <v>123</v>
      </c>
      <c r="Y130" t="s">
        <v>24</v>
      </c>
      <c r="Z130" s="132">
        <v>27</v>
      </c>
    </row>
    <row r="131" spans="1:26" x14ac:dyDescent="0.3">
      <c r="A131" t="s">
        <v>4</v>
      </c>
      <c r="B131" t="s">
        <v>46</v>
      </c>
      <c r="C131" t="s">
        <v>356</v>
      </c>
      <c r="E131" s="139" t="s">
        <v>1</v>
      </c>
      <c r="F131" s="140" t="s">
        <v>357</v>
      </c>
      <c r="M131" t="s">
        <v>78</v>
      </c>
      <c r="N131" t="s">
        <v>31</v>
      </c>
      <c r="O131" s="132">
        <v>141</v>
      </c>
      <c r="P131">
        <v>2024</v>
      </c>
      <c r="R131" t="s">
        <v>353</v>
      </c>
      <c r="S131" t="s">
        <v>283</v>
      </c>
      <c r="T131" t="s">
        <v>26</v>
      </c>
      <c r="U131" t="s">
        <v>149</v>
      </c>
      <c r="W131" t="s">
        <v>355</v>
      </c>
      <c r="X131" t="s">
        <v>123</v>
      </c>
      <c r="Y131" t="s">
        <v>33</v>
      </c>
      <c r="Z131" s="132">
        <v>473</v>
      </c>
    </row>
    <row r="132" spans="1:26" x14ac:dyDescent="0.3">
      <c r="A132" t="s">
        <v>4</v>
      </c>
      <c r="B132" t="s">
        <v>72</v>
      </c>
      <c r="C132" t="s">
        <v>358</v>
      </c>
      <c r="E132" t="s">
        <v>4</v>
      </c>
      <c r="F132" t="s">
        <v>356</v>
      </c>
      <c r="M132" t="s">
        <v>78</v>
      </c>
      <c r="N132" t="s">
        <v>33</v>
      </c>
      <c r="O132" s="132">
        <v>26</v>
      </c>
      <c r="P132">
        <v>2024</v>
      </c>
      <c r="R132" t="s">
        <v>353</v>
      </c>
      <c r="S132" t="s">
        <v>283</v>
      </c>
      <c r="T132" t="s">
        <v>47</v>
      </c>
      <c r="U132" t="s">
        <v>220</v>
      </c>
      <c r="W132" t="s">
        <v>355</v>
      </c>
      <c r="X132" t="s">
        <v>123</v>
      </c>
      <c r="Y132" t="s">
        <v>31</v>
      </c>
      <c r="Z132" s="132">
        <v>38</v>
      </c>
    </row>
    <row r="133" spans="1:26" x14ac:dyDescent="0.3">
      <c r="A133" t="s">
        <v>4</v>
      </c>
      <c r="B133" t="s">
        <v>129</v>
      </c>
      <c r="C133" t="s">
        <v>359</v>
      </c>
      <c r="E133" t="s">
        <v>4</v>
      </c>
      <c r="F133" t="s">
        <v>358</v>
      </c>
      <c r="M133" t="s">
        <v>78</v>
      </c>
      <c r="N133" t="s">
        <v>41</v>
      </c>
      <c r="O133" s="132">
        <v>3100</v>
      </c>
      <c r="P133">
        <v>2024</v>
      </c>
      <c r="R133" t="s">
        <v>353</v>
      </c>
      <c r="S133" t="s">
        <v>283</v>
      </c>
      <c r="T133" t="s">
        <v>37</v>
      </c>
      <c r="U133" t="s">
        <v>220</v>
      </c>
      <c r="W133" t="s">
        <v>355</v>
      </c>
      <c r="X133" t="s">
        <v>123</v>
      </c>
      <c r="Y133" t="s">
        <v>41</v>
      </c>
      <c r="Z133" s="132">
        <v>35040</v>
      </c>
    </row>
    <row r="134" spans="1:26" x14ac:dyDescent="0.3">
      <c r="A134" t="s">
        <v>4</v>
      </c>
      <c r="B134" t="s">
        <v>160</v>
      </c>
      <c r="C134" t="s">
        <v>95</v>
      </c>
      <c r="E134" t="s">
        <v>4</v>
      </c>
      <c r="F134" t="s">
        <v>359</v>
      </c>
      <c r="M134" t="s">
        <v>87</v>
      </c>
      <c r="N134" t="s">
        <v>24</v>
      </c>
      <c r="O134" s="132">
        <v>31</v>
      </c>
      <c r="P134">
        <v>2024</v>
      </c>
      <c r="R134" t="s">
        <v>353</v>
      </c>
      <c r="S134" t="s">
        <v>283</v>
      </c>
      <c r="T134" t="s">
        <v>32</v>
      </c>
      <c r="U134" t="s">
        <v>220</v>
      </c>
      <c r="W134" t="s">
        <v>360</v>
      </c>
      <c r="X134" t="s">
        <v>124</v>
      </c>
      <c r="Y134" t="s">
        <v>24</v>
      </c>
      <c r="Z134" s="132">
        <v>33</v>
      </c>
    </row>
    <row r="135" spans="1:26" x14ac:dyDescent="0.3">
      <c r="A135" t="s">
        <v>4</v>
      </c>
      <c r="B135" t="s">
        <v>156</v>
      </c>
      <c r="C135" t="s">
        <v>361</v>
      </c>
      <c r="E135" t="s">
        <v>4</v>
      </c>
      <c r="F135" t="s">
        <v>95</v>
      </c>
      <c r="M135" t="s">
        <v>87</v>
      </c>
      <c r="N135" t="s">
        <v>31</v>
      </c>
      <c r="O135" s="132">
        <v>209</v>
      </c>
      <c r="P135">
        <v>2024</v>
      </c>
      <c r="R135" t="s">
        <v>353</v>
      </c>
      <c r="S135" t="s">
        <v>283</v>
      </c>
      <c r="T135" t="s">
        <v>26</v>
      </c>
      <c r="U135" t="s">
        <v>299</v>
      </c>
      <c r="W135" t="s">
        <v>362</v>
      </c>
      <c r="X135" t="s">
        <v>62</v>
      </c>
      <c r="Y135" t="s">
        <v>24</v>
      </c>
      <c r="Z135" s="132">
        <v>170</v>
      </c>
    </row>
    <row r="136" spans="1:26" x14ac:dyDescent="0.3">
      <c r="A136" t="s">
        <v>4</v>
      </c>
      <c r="B136" t="s">
        <v>363</v>
      </c>
      <c r="C136" t="s">
        <v>364</v>
      </c>
      <c r="E136" t="s">
        <v>4</v>
      </c>
      <c r="F136" t="s">
        <v>361</v>
      </c>
      <c r="M136" t="s">
        <v>87</v>
      </c>
      <c r="N136" t="s">
        <v>33</v>
      </c>
      <c r="O136" s="132">
        <v>2900</v>
      </c>
      <c r="P136">
        <v>2024</v>
      </c>
      <c r="R136" t="s">
        <v>353</v>
      </c>
      <c r="S136" t="s">
        <v>283</v>
      </c>
      <c r="T136" t="s">
        <v>47</v>
      </c>
      <c r="U136" t="s">
        <v>73</v>
      </c>
      <c r="W136" t="s">
        <v>362</v>
      </c>
      <c r="X136" t="s">
        <v>62</v>
      </c>
      <c r="Y136" t="s">
        <v>33</v>
      </c>
      <c r="Z136" s="132">
        <v>2218</v>
      </c>
    </row>
    <row r="137" spans="1:26" x14ac:dyDescent="0.3">
      <c r="A137" t="s">
        <v>4</v>
      </c>
      <c r="B137" t="s">
        <v>228</v>
      </c>
      <c r="C137" t="s">
        <v>268</v>
      </c>
      <c r="E137" t="s">
        <v>4</v>
      </c>
      <c r="F137" t="s">
        <v>364</v>
      </c>
      <c r="M137" t="s">
        <v>87</v>
      </c>
      <c r="N137" t="s">
        <v>41</v>
      </c>
      <c r="O137" s="132">
        <v>22200</v>
      </c>
      <c r="P137">
        <v>2024</v>
      </c>
      <c r="R137" t="s">
        <v>353</v>
      </c>
      <c r="S137" t="s">
        <v>283</v>
      </c>
      <c r="T137" t="s">
        <v>26</v>
      </c>
      <c r="U137" t="s">
        <v>73</v>
      </c>
      <c r="W137" t="s">
        <v>362</v>
      </c>
      <c r="X137" t="s">
        <v>62</v>
      </c>
      <c r="Y137" t="s">
        <v>31</v>
      </c>
      <c r="Z137" s="132">
        <v>222</v>
      </c>
    </row>
    <row r="138" spans="1:26" x14ac:dyDescent="0.3">
      <c r="A138" t="s">
        <v>4</v>
      </c>
      <c r="B138" t="s">
        <v>111</v>
      </c>
      <c r="C138" t="s">
        <v>365</v>
      </c>
      <c r="E138" t="s">
        <v>4</v>
      </c>
      <c r="F138" t="s">
        <v>268</v>
      </c>
      <c r="M138" t="s">
        <v>60</v>
      </c>
      <c r="N138" t="s">
        <v>24</v>
      </c>
      <c r="O138" s="132">
        <v>3</v>
      </c>
      <c r="P138">
        <v>2024</v>
      </c>
      <c r="R138" t="s">
        <v>59</v>
      </c>
      <c r="S138" t="s">
        <v>38</v>
      </c>
      <c r="T138" t="s">
        <v>47</v>
      </c>
      <c r="U138" t="s">
        <v>95</v>
      </c>
      <c r="W138" t="s">
        <v>362</v>
      </c>
      <c r="X138" t="s">
        <v>62</v>
      </c>
      <c r="Y138" t="s">
        <v>41</v>
      </c>
      <c r="Z138" s="132">
        <v>48000</v>
      </c>
    </row>
    <row r="139" spans="1:26" x14ac:dyDescent="0.3">
      <c r="A139" t="s">
        <v>4</v>
      </c>
      <c r="B139" t="s">
        <v>283</v>
      </c>
      <c r="C139" t="s">
        <v>366</v>
      </c>
      <c r="E139" t="s">
        <v>4</v>
      </c>
      <c r="F139" t="s">
        <v>365</v>
      </c>
      <c r="M139" t="s">
        <v>60</v>
      </c>
      <c r="N139" t="s">
        <v>31</v>
      </c>
      <c r="O139" s="132">
        <v>224</v>
      </c>
      <c r="P139">
        <v>2024</v>
      </c>
      <c r="R139" t="s">
        <v>59</v>
      </c>
      <c r="S139" t="s">
        <v>38</v>
      </c>
      <c r="T139" t="s">
        <v>42</v>
      </c>
      <c r="U139" t="s">
        <v>268</v>
      </c>
      <c r="W139" t="s">
        <v>367</v>
      </c>
      <c r="X139" t="s">
        <v>151</v>
      </c>
      <c r="Y139" t="s">
        <v>24</v>
      </c>
      <c r="Z139" s="132">
        <v>14</v>
      </c>
    </row>
    <row r="140" spans="1:26" x14ac:dyDescent="0.3">
      <c r="A140" t="s">
        <v>4</v>
      </c>
      <c r="B140" t="s">
        <v>98</v>
      </c>
      <c r="C140" t="s">
        <v>368</v>
      </c>
      <c r="E140" t="s">
        <v>4</v>
      </c>
      <c r="F140" t="s">
        <v>366</v>
      </c>
      <c r="M140" t="s">
        <v>60</v>
      </c>
      <c r="N140" t="s">
        <v>33</v>
      </c>
      <c r="O140" s="132">
        <v>40</v>
      </c>
      <c r="P140">
        <v>2024</v>
      </c>
      <c r="R140" t="s">
        <v>59</v>
      </c>
      <c r="S140" t="s">
        <v>38</v>
      </c>
      <c r="T140" t="s">
        <v>47</v>
      </c>
      <c r="U140" t="s">
        <v>268</v>
      </c>
      <c r="W140" t="s">
        <v>367</v>
      </c>
      <c r="X140" t="s">
        <v>151</v>
      </c>
      <c r="Y140" t="s">
        <v>33</v>
      </c>
      <c r="Z140" s="132">
        <v>52</v>
      </c>
    </row>
    <row r="141" spans="1:26" x14ac:dyDescent="0.3">
      <c r="A141" t="s">
        <v>4</v>
      </c>
      <c r="B141" t="s">
        <v>108</v>
      </c>
      <c r="C141" t="s">
        <v>369</v>
      </c>
      <c r="E141" t="s">
        <v>4</v>
      </c>
      <c r="F141" t="s">
        <v>368</v>
      </c>
      <c r="M141" t="s">
        <v>60</v>
      </c>
      <c r="N141" t="s">
        <v>41</v>
      </c>
      <c r="O141" s="132">
        <v>3656</v>
      </c>
      <c r="P141">
        <v>2024</v>
      </c>
      <c r="R141" t="s">
        <v>59</v>
      </c>
      <c r="S141" t="s">
        <v>38</v>
      </c>
      <c r="T141" t="s">
        <v>32</v>
      </c>
      <c r="U141" t="s">
        <v>268</v>
      </c>
      <c r="W141" t="s">
        <v>367</v>
      </c>
      <c r="X141" t="s">
        <v>151</v>
      </c>
      <c r="Y141" t="s">
        <v>31</v>
      </c>
      <c r="Z141" s="132">
        <v>122</v>
      </c>
    </row>
    <row r="142" spans="1:26" x14ac:dyDescent="0.3">
      <c r="A142" t="s">
        <v>4</v>
      </c>
      <c r="B142" t="s">
        <v>370</v>
      </c>
      <c r="C142" t="s">
        <v>371</v>
      </c>
      <c r="E142" t="s">
        <v>4</v>
      </c>
      <c r="F142" t="s">
        <v>369</v>
      </c>
      <c r="M142" t="s">
        <v>64</v>
      </c>
      <c r="N142" t="s">
        <v>24</v>
      </c>
      <c r="O142" s="132">
        <v>15</v>
      </c>
      <c r="P142">
        <v>2024</v>
      </c>
      <c r="R142" t="s">
        <v>59</v>
      </c>
      <c r="S142" t="s">
        <v>38</v>
      </c>
      <c r="T142" t="s">
        <v>82</v>
      </c>
      <c r="U142" t="s">
        <v>197</v>
      </c>
      <c r="W142" t="s">
        <v>367</v>
      </c>
      <c r="X142" t="s">
        <v>151</v>
      </c>
      <c r="Y142" t="s">
        <v>41</v>
      </c>
      <c r="Z142" s="132">
        <v>4940</v>
      </c>
    </row>
    <row r="143" spans="1:26" x14ac:dyDescent="0.3">
      <c r="A143" t="s">
        <v>4</v>
      </c>
      <c r="B143" t="s">
        <v>372</v>
      </c>
      <c r="C143" t="s">
        <v>27</v>
      </c>
      <c r="E143" t="s">
        <v>4</v>
      </c>
      <c r="F143" t="s">
        <v>371</v>
      </c>
      <c r="M143" t="s">
        <v>64</v>
      </c>
      <c r="N143" t="s">
        <v>31</v>
      </c>
      <c r="O143" s="132">
        <v>24</v>
      </c>
      <c r="P143">
        <v>2024</v>
      </c>
      <c r="R143" t="s">
        <v>59</v>
      </c>
      <c r="S143" t="s">
        <v>38</v>
      </c>
      <c r="T143" t="s">
        <v>42</v>
      </c>
      <c r="U143" t="s">
        <v>197</v>
      </c>
      <c r="W143" t="s">
        <v>373</v>
      </c>
      <c r="X143" t="s">
        <v>89</v>
      </c>
      <c r="Y143" t="s">
        <v>24</v>
      </c>
      <c r="Z143" s="132">
        <v>9</v>
      </c>
    </row>
    <row r="144" spans="1:26" x14ac:dyDescent="0.3">
      <c r="A144" t="s">
        <v>4</v>
      </c>
      <c r="B144" t="s">
        <v>374</v>
      </c>
      <c r="C144" t="s">
        <v>375</v>
      </c>
      <c r="E144" t="s">
        <v>4</v>
      </c>
      <c r="F144" t="s">
        <v>27</v>
      </c>
      <c r="M144" t="s">
        <v>64</v>
      </c>
      <c r="N144" t="s">
        <v>33</v>
      </c>
      <c r="O144" s="132">
        <v>31</v>
      </c>
      <c r="P144">
        <v>2024</v>
      </c>
      <c r="R144" t="s">
        <v>59</v>
      </c>
      <c r="S144" t="s">
        <v>38</v>
      </c>
      <c r="T144" t="s">
        <v>37</v>
      </c>
      <c r="U144" t="s">
        <v>197</v>
      </c>
      <c r="W144" t="s">
        <v>373</v>
      </c>
      <c r="X144" t="s">
        <v>89</v>
      </c>
      <c r="Y144" t="s">
        <v>33</v>
      </c>
      <c r="Z144" s="132">
        <v>52</v>
      </c>
    </row>
    <row r="145" spans="1:26" x14ac:dyDescent="0.3">
      <c r="A145" t="s">
        <v>4</v>
      </c>
      <c r="B145" t="s">
        <v>376</v>
      </c>
      <c r="C145" t="s">
        <v>289</v>
      </c>
      <c r="E145" t="s">
        <v>4</v>
      </c>
      <c r="F145" t="s">
        <v>375</v>
      </c>
      <c r="M145" t="s">
        <v>64</v>
      </c>
      <c r="N145" t="s">
        <v>41</v>
      </c>
      <c r="O145" s="132">
        <v>30500</v>
      </c>
      <c r="P145">
        <v>2024</v>
      </c>
      <c r="R145" t="s">
        <v>59</v>
      </c>
      <c r="S145" t="s">
        <v>38</v>
      </c>
      <c r="T145" t="s">
        <v>32</v>
      </c>
      <c r="U145" t="s">
        <v>197</v>
      </c>
      <c r="W145" t="s">
        <v>373</v>
      </c>
      <c r="X145" t="s">
        <v>89</v>
      </c>
      <c r="Y145" t="s">
        <v>31</v>
      </c>
      <c r="Z145" s="132">
        <v>54</v>
      </c>
    </row>
    <row r="146" spans="1:26" x14ac:dyDescent="0.3">
      <c r="A146" t="s">
        <v>4</v>
      </c>
      <c r="B146" t="s">
        <v>133</v>
      </c>
      <c r="C146" t="s">
        <v>271</v>
      </c>
      <c r="E146" t="s">
        <v>4</v>
      </c>
      <c r="F146" t="s">
        <v>289</v>
      </c>
      <c r="M146" t="s">
        <v>67</v>
      </c>
      <c r="N146" t="s">
        <v>24</v>
      </c>
      <c r="O146" s="132">
        <v>26</v>
      </c>
      <c r="P146">
        <v>2024</v>
      </c>
      <c r="R146" t="s">
        <v>59</v>
      </c>
      <c r="S146" t="s">
        <v>38</v>
      </c>
      <c r="T146" t="s">
        <v>47</v>
      </c>
      <c r="U146" t="s">
        <v>289</v>
      </c>
      <c r="W146" t="s">
        <v>373</v>
      </c>
      <c r="X146" t="s">
        <v>89</v>
      </c>
      <c r="Y146" t="s">
        <v>41</v>
      </c>
      <c r="Z146" s="132">
        <v>3500</v>
      </c>
    </row>
    <row r="147" spans="1:26" x14ac:dyDescent="0.3">
      <c r="A147" t="s">
        <v>4</v>
      </c>
      <c r="B147" t="s">
        <v>377</v>
      </c>
      <c r="C147" t="s">
        <v>378</v>
      </c>
      <c r="E147" t="s">
        <v>4</v>
      </c>
      <c r="F147" t="s">
        <v>271</v>
      </c>
      <c r="M147" t="s">
        <v>67</v>
      </c>
      <c r="N147" t="s">
        <v>31</v>
      </c>
      <c r="O147" s="132">
        <v>318</v>
      </c>
      <c r="P147">
        <v>2024</v>
      </c>
      <c r="R147" t="s">
        <v>59</v>
      </c>
      <c r="S147" t="s">
        <v>38</v>
      </c>
      <c r="T147" t="s">
        <v>42</v>
      </c>
      <c r="U147" t="s">
        <v>289</v>
      </c>
      <c r="W147" t="s">
        <v>379</v>
      </c>
      <c r="X147" t="s">
        <v>96</v>
      </c>
      <c r="Y147" t="s">
        <v>24</v>
      </c>
      <c r="Z147" s="132">
        <v>10</v>
      </c>
    </row>
    <row r="148" spans="1:26" x14ac:dyDescent="0.3">
      <c r="A148" t="s">
        <v>4</v>
      </c>
      <c r="B148" t="s">
        <v>380</v>
      </c>
      <c r="C148" t="s">
        <v>131</v>
      </c>
      <c r="E148" t="s">
        <v>4</v>
      </c>
      <c r="F148" t="s">
        <v>378</v>
      </c>
      <c r="M148" t="s">
        <v>67</v>
      </c>
      <c r="N148" t="s">
        <v>33</v>
      </c>
      <c r="O148" s="132">
        <v>134</v>
      </c>
      <c r="P148">
        <v>2024</v>
      </c>
      <c r="R148" t="s">
        <v>59</v>
      </c>
      <c r="S148" t="s">
        <v>38</v>
      </c>
      <c r="T148" t="s">
        <v>32</v>
      </c>
      <c r="U148" t="s">
        <v>278</v>
      </c>
      <c r="W148" t="s">
        <v>379</v>
      </c>
      <c r="X148" t="s">
        <v>96</v>
      </c>
      <c r="Y148" t="s">
        <v>33</v>
      </c>
      <c r="Z148" s="132">
        <v>50</v>
      </c>
    </row>
    <row r="149" spans="1:26" x14ac:dyDescent="0.3">
      <c r="A149" t="s">
        <v>4</v>
      </c>
      <c r="B149" t="s">
        <v>128</v>
      </c>
      <c r="C149" t="s">
        <v>381</v>
      </c>
      <c r="E149" t="s">
        <v>4</v>
      </c>
      <c r="F149" t="s">
        <v>131</v>
      </c>
      <c r="M149" t="s">
        <v>67</v>
      </c>
      <c r="N149" t="s">
        <v>41</v>
      </c>
      <c r="O149" s="132">
        <v>503311</v>
      </c>
      <c r="P149">
        <v>2024</v>
      </c>
      <c r="R149" t="s">
        <v>59</v>
      </c>
      <c r="S149" t="s">
        <v>38</v>
      </c>
      <c r="T149" t="s">
        <v>47</v>
      </c>
      <c r="U149" t="s">
        <v>278</v>
      </c>
      <c r="W149" t="s">
        <v>379</v>
      </c>
      <c r="X149" t="s">
        <v>96</v>
      </c>
      <c r="Y149" t="s">
        <v>31</v>
      </c>
      <c r="Z149" s="132">
        <v>3266</v>
      </c>
    </row>
    <row r="150" spans="1:26" x14ac:dyDescent="0.3">
      <c r="A150" t="s">
        <v>4</v>
      </c>
      <c r="B150" t="s">
        <v>382</v>
      </c>
      <c r="C150" t="s">
        <v>383</v>
      </c>
      <c r="E150" t="s">
        <v>4</v>
      </c>
      <c r="F150" t="s">
        <v>381</v>
      </c>
      <c r="M150" t="s">
        <v>91</v>
      </c>
      <c r="N150" t="s">
        <v>24</v>
      </c>
      <c r="O150" s="132">
        <v>134</v>
      </c>
      <c r="P150">
        <v>2024</v>
      </c>
      <c r="R150" t="s">
        <v>59</v>
      </c>
      <c r="S150" t="s">
        <v>38</v>
      </c>
      <c r="T150" t="s">
        <v>82</v>
      </c>
      <c r="U150" t="s">
        <v>278</v>
      </c>
      <c r="W150" t="s">
        <v>379</v>
      </c>
      <c r="X150" t="s">
        <v>96</v>
      </c>
      <c r="Y150" t="s">
        <v>41</v>
      </c>
      <c r="Z150" s="132">
        <v>66000</v>
      </c>
    </row>
    <row r="151" spans="1:26" x14ac:dyDescent="0.3">
      <c r="A151" t="s">
        <v>4</v>
      </c>
      <c r="B151" t="s">
        <v>384</v>
      </c>
      <c r="C151" t="s">
        <v>385</v>
      </c>
      <c r="E151" t="s">
        <v>4</v>
      </c>
      <c r="F151" t="s">
        <v>383</v>
      </c>
      <c r="M151" t="s">
        <v>91</v>
      </c>
      <c r="N151" t="s">
        <v>31</v>
      </c>
      <c r="O151" s="132">
        <v>134</v>
      </c>
      <c r="P151">
        <v>2024</v>
      </c>
      <c r="R151" t="s">
        <v>59</v>
      </c>
      <c r="S151" t="s">
        <v>38</v>
      </c>
      <c r="T151" t="s">
        <v>47</v>
      </c>
      <c r="U151" t="s">
        <v>52</v>
      </c>
      <c r="W151" t="s">
        <v>386</v>
      </c>
      <c r="X151" t="s">
        <v>76</v>
      </c>
      <c r="Y151" t="s">
        <v>24</v>
      </c>
      <c r="Z151" s="132">
        <v>5</v>
      </c>
    </row>
    <row r="152" spans="1:26" x14ac:dyDescent="0.3">
      <c r="A152" t="s">
        <v>4</v>
      </c>
      <c r="B152" t="s">
        <v>387</v>
      </c>
      <c r="C152" t="s">
        <v>388</v>
      </c>
      <c r="E152" t="s">
        <v>4</v>
      </c>
      <c r="F152" t="s">
        <v>385</v>
      </c>
      <c r="M152" t="s">
        <v>91</v>
      </c>
      <c r="N152" t="s">
        <v>33</v>
      </c>
      <c r="O152" s="132">
        <v>1328</v>
      </c>
      <c r="P152">
        <v>2024</v>
      </c>
      <c r="R152" t="s">
        <v>59</v>
      </c>
      <c r="S152" t="s">
        <v>38</v>
      </c>
      <c r="T152" t="s">
        <v>82</v>
      </c>
      <c r="U152" t="s">
        <v>389</v>
      </c>
      <c r="W152" t="s">
        <v>386</v>
      </c>
      <c r="X152" t="s">
        <v>76</v>
      </c>
      <c r="Y152" t="s">
        <v>33</v>
      </c>
      <c r="Z152" s="132">
        <v>37</v>
      </c>
    </row>
    <row r="153" spans="1:26" x14ac:dyDescent="0.3">
      <c r="A153" t="s">
        <v>4</v>
      </c>
      <c r="B153" t="s">
        <v>390</v>
      </c>
      <c r="C153" t="s">
        <v>391</v>
      </c>
      <c r="E153" t="s">
        <v>4</v>
      </c>
      <c r="F153" t="s">
        <v>388</v>
      </c>
      <c r="M153" t="s">
        <v>91</v>
      </c>
      <c r="N153" t="s">
        <v>41</v>
      </c>
      <c r="O153" s="132">
        <v>5336</v>
      </c>
      <c r="P153">
        <v>2024</v>
      </c>
      <c r="R153" t="s">
        <v>59</v>
      </c>
      <c r="S153" t="s">
        <v>38</v>
      </c>
      <c r="T153" t="s">
        <v>32</v>
      </c>
      <c r="U153" t="s">
        <v>389</v>
      </c>
      <c r="W153" t="s">
        <v>386</v>
      </c>
      <c r="X153" t="s">
        <v>76</v>
      </c>
      <c r="Y153" t="s">
        <v>31</v>
      </c>
      <c r="Z153" s="132">
        <v>6</v>
      </c>
    </row>
    <row r="154" spans="1:26" x14ac:dyDescent="0.3">
      <c r="A154" t="s">
        <v>4</v>
      </c>
      <c r="B154" t="s">
        <v>171</v>
      </c>
      <c r="C154" t="s">
        <v>103</v>
      </c>
      <c r="E154" t="s">
        <v>4</v>
      </c>
      <c r="F154" t="s">
        <v>391</v>
      </c>
      <c r="M154" t="s">
        <v>98</v>
      </c>
      <c r="N154" t="s">
        <v>24</v>
      </c>
      <c r="O154" s="132">
        <v>132</v>
      </c>
      <c r="P154">
        <v>2024</v>
      </c>
      <c r="R154" t="s">
        <v>59</v>
      </c>
      <c r="S154" t="s">
        <v>38</v>
      </c>
      <c r="T154" t="s">
        <v>47</v>
      </c>
      <c r="U154" t="s">
        <v>389</v>
      </c>
      <c r="W154" t="s">
        <v>386</v>
      </c>
      <c r="X154" t="s">
        <v>76</v>
      </c>
      <c r="Y154" t="s">
        <v>41</v>
      </c>
      <c r="Z154" s="132">
        <v>1000</v>
      </c>
    </row>
    <row r="155" spans="1:26" x14ac:dyDescent="0.3">
      <c r="A155" t="s">
        <v>4</v>
      </c>
      <c r="B155" t="s">
        <v>392</v>
      </c>
      <c r="C155" t="s">
        <v>393</v>
      </c>
      <c r="E155" t="s">
        <v>4</v>
      </c>
      <c r="F155" t="s">
        <v>103</v>
      </c>
      <c r="M155" t="s">
        <v>98</v>
      </c>
      <c r="N155" t="s">
        <v>31</v>
      </c>
      <c r="O155" s="132">
        <v>132</v>
      </c>
      <c r="P155">
        <v>2024</v>
      </c>
      <c r="R155" t="s">
        <v>59</v>
      </c>
      <c r="S155" t="s">
        <v>38</v>
      </c>
      <c r="T155" t="s">
        <v>42</v>
      </c>
      <c r="U155" t="s">
        <v>389</v>
      </c>
      <c r="W155" t="s">
        <v>394</v>
      </c>
      <c r="X155" t="s">
        <v>142</v>
      </c>
      <c r="Y155" t="s">
        <v>24</v>
      </c>
      <c r="Z155" s="132">
        <v>21</v>
      </c>
    </row>
    <row r="156" spans="1:26" x14ac:dyDescent="0.3">
      <c r="A156" t="s">
        <v>4</v>
      </c>
      <c r="B156" t="s">
        <v>395</v>
      </c>
      <c r="C156" t="s">
        <v>396</v>
      </c>
      <c r="E156" t="s">
        <v>4</v>
      </c>
      <c r="F156" t="s">
        <v>393</v>
      </c>
      <c r="M156" t="s">
        <v>98</v>
      </c>
      <c r="N156" t="s">
        <v>33</v>
      </c>
      <c r="O156" s="132">
        <v>2026</v>
      </c>
      <c r="P156">
        <v>2024</v>
      </c>
      <c r="R156" t="s">
        <v>59</v>
      </c>
      <c r="S156" t="s">
        <v>38</v>
      </c>
      <c r="T156" t="s">
        <v>37</v>
      </c>
      <c r="U156" t="s">
        <v>389</v>
      </c>
      <c r="W156" t="s">
        <v>394</v>
      </c>
      <c r="X156" t="s">
        <v>142</v>
      </c>
      <c r="Y156" t="s">
        <v>33</v>
      </c>
      <c r="Z156" s="132">
        <v>190</v>
      </c>
    </row>
    <row r="157" spans="1:26" x14ac:dyDescent="0.3">
      <c r="A157" t="s">
        <v>4</v>
      </c>
      <c r="B157" t="s">
        <v>397</v>
      </c>
      <c r="C157" t="s">
        <v>398</v>
      </c>
      <c r="E157" t="s">
        <v>4</v>
      </c>
      <c r="F157" t="s">
        <v>396</v>
      </c>
      <c r="M157" t="s">
        <v>98</v>
      </c>
      <c r="N157" t="s">
        <v>41</v>
      </c>
      <c r="O157" s="132">
        <v>6894</v>
      </c>
      <c r="P157">
        <v>2024</v>
      </c>
      <c r="R157" t="s">
        <v>59</v>
      </c>
      <c r="S157" t="s">
        <v>38</v>
      </c>
      <c r="T157" t="s">
        <v>26</v>
      </c>
      <c r="U157" t="s">
        <v>389</v>
      </c>
      <c r="W157" t="s">
        <v>394</v>
      </c>
      <c r="X157" t="s">
        <v>142</v>
      </c>
      <c r="Y157" t="s">
        <v>31</v>
      </c>
      <c r="Z157" s="132">
        <v>21</v>
      </c>
    </row>
    <row r="158" spans="1:26" x14ac:dyDescent="0.3">
      <c r="A158" t="s">
        <v>4</v>
      </c>
      <c r="B158" t="s">
        <v>399</v>
      </c>
      <c r="C158" t="s">
        <v>400</v>
      </c>
      <c r="E158" t="s">
        <v>4</v>
      </c>
      <c r="F158" t="s">
        <v>398</v>
      </c>
      <c r="M158" t="s">
        <v>101</v>
      </c>
      <c r="N158" t="s">
        <v>24</v>
      </c>
      <c r="O158" s="132">
        <v>183</v>
      </c>
      <c r="P158">
        <v>2024</v>
      </c>
      <c r="R158" t="s">
        <v>59</v>
      </c>
      <c r="S158" t="s">
        <v>38</v>
      </c>
      <c r="T158" t="s">
        <v>37</v>
      </c>
      <c r="U158" t="s">
        <v>112</v>
      </c>
      <c r="W158" t="s">
        <v>394</v>
      </c>
      <c r="X158" t="s">
        <v>142</v>
      </c>
      <c r="Y158" t="s">
        <v>41</v>
      </c>
      <c r="Z158" s="132">
        <v>2000</v>
      </c>
    </row>
    <row r="159" spans="1:26" x14ac:dyDescent="0.3">
      <c r="A159" t="s">
        <v>4</v>
      </c>
      <c r="B159" t="s">
        <v>401</v>
      </c>
      <c r="C159" t="s">
        <v>402</v>
      </c>
      <c r="E159" t="s">
        <v>4</v>
      </c>
      <c r="F159" t="s">
        <v>400</v>
      </c>
      <c r="M159" t="s">
        <v>101</v>
      </c>
      <c r="N159" t="s">
        <v>31</v>
      </c>
      <c r="O159" s="132">
        <v>1437</v>
      </c>
      <c r="P159">
        <v>2024</v>
      </c>
      <c r="R159" t="s">
        <v>59</v>
      </c>
      <c r="S159" t="s">
        <v>38</v>
      </c>
      <c r="T159" t="s">
        <v>42</v>
      </c>
      <c r="U159" t="s">
        <v>112</v>
      </c>
      <c r="W159" t="s">
        <v>403</v>
      </c>
      <c r="X159" t="s">
        <v>183</v>
      </c>
      <c r="Y159" t="s">
        <v>24</v>
      </c>
      <c r="Z159" s="132">
        <v>34</v>
      </c>
    </row>
    <row r="160" spans="1:26" x14ac:dyDescent="0.3">
      <c r="A160" t="s">
        <v>4</v>
      </c>
      <c r="B160" t="s">
        <v>404</v>
      </c>
      <c r="C160" t="s">
        <v>278</v>
      </c>
      <c r="E160" t="s">
        <v>4</v>
      </c>
      <c r="F160" t="s">
        <v>402</v>
      </c>
      <c r="M160" t="s">
        <v>101</v>
      </c>
      <c r="N160" t="s">
        <v>33</v>
      </c>
      <c r="O160" s="132">
        <v>393</v>
      </c>
      <c r="P160">
        <v>2024</v>
      </c>
      <c r="R160" t="s">
        <v>59</v>
      </c>
      <c r="S160" t="s">
        <v>38</v>
      </c>
      <c r="T160" t="s">
        <v>26</v>
      </c>
      <c r="U160" t="s">
        <v>112</v>
      </c>
      <c r="W160" t="s">
        <v>403</v>
      </c>
      <c r="X160" t="s">
        <v>183</v>
      </c>
      <c r="Y160" t="s">
        <v>33</v>
      </c>
      <c r="Z160" s="132">
        <v>400</v>
      </c>
    </row>
    <row r="161" spans="1:26" x14ac:dyDescent="0.3">
      <c r="A161" t="s">
        <v>4</v>
      </c>
      <c r="B161" t="s">
        <v>405</v>
      </c>
      <c r="C161" t="s">
        <v>406</v>
      </c>
      <c r="E161" t="s">
        <v>4</v>
      </c>
      <c r="F161" t="s">
        <v>278</v>
      </c>
      <c r="M161" t="s">
        <v>101</v>
      </c>
      <c r="N161" t="s">
        <v>41</v>
      </c>
      <c r="O161" s="132">
        <v>39648</v>
      </c>
      <c r="P161">
        <v>2024</v>
      </c>
      <c r="R161" t="s">
        <v>59</v>
      </c>
      <c r="S161" t="s">
        <v>38</v>
      </c>
      <c r="T161" t="s">
        <v>47</v>
      </c>
      <c r="U161" t="s">
        <v>112</v>
      </c>
      <c r="W161" t="s">
        <v>403</v>
      </c>
      <c r="X161" t="s">
        <v>183</v>
      </c>
      <c r="Y161" t="s">
        <v>31</v>
      </c>
      <c r="Z161" s="132">
        <v>204</v>
      </c>
    </row>
    <row r="162" spans="1:26" x14ac:dyDescent="0.3">
      <c r="A162" t="s">
        <v>4</v>
      </c>
      <c r="B162" t="s">
        <v>407</v>
      </c>
      <c r="C162" t="s">
        <v>408</v>
      </c>
      <c r="E162" t="s">
        <v>4</v>
      </c>
      <c r="F162" t="s">
        <v>406</v>
      </c>
      <c r="M162" t="s">
        <v>108</v>
      </c>
      <c r="N162" t="s">
        <v>24</v>
      </c>
      <c r="O162" s="132">
        <v>8</v>
      </c>
      <c r="P162">
        <v>2024</v>
      </c>
      <c r="R162" t="s">
        <v>59</v>
      </c>
      <c r="S162" t="s">
        <v>38</v>
      </c>
      <c r="T162" t="s">
        <v>32</v>
      </c>
      <c r="U162" t="s">
        <v>112</v>
      </c>
      <c r="W162" t="s">
        <v>403</v>
      </c>
      <c r="X162" t="s">
        <v>183</v>
      </c>
      <c r="Y162" t="s">
        <v>41</v>
      </c>
      <c r="Z162" s="132">
        <v>12000</v>
      </c>
    </row>
    <row r="163" spans="1:26" x14ac:dyDescent="0.3">
      <c r="A163" t="s">
        <v>4</v>
      </c>
      <c r="B163" t="s">
        <v>409</v>
      </c>
      <c r="C163" t="s">
        <v>389</v>
      </c>
      <c r="E163" t="s">
        <v>4</v>
      </c>
      <c r="F163" t="s">
        <v>408</v>
      </c>
      <c r="M163" t="s">
        <v>108</v>
      </c>
      <c r="N163" t="s">
        <v>31</v>
      </c>
      <c r="O163" s="132">
        <v>10</v>
      </c>
      <c r="P163">
        <v>2024</v>
      </c>
      <c r="R163" t="s">
        <v>59</v>
      </c>
      <c r="S163" t="s">
        <v>38</v>
      </c>
      <c r="T163" t="s">
        <v>82</v>
      </c>
      <c r="U163" t="s">
        <v>112</v>
      </c>
      <c r="W163" t="s">
        <v>410</v>
      </c>
      <c r="X163" t="s">
        <v>154</v>
      </c>
      <c r="Y163" t="s">
        <v>24</v>
      </c>
      <c r="Z163" s="132">
        <v>53</v>
      </c>
    </row>
    <row r="164" spans="1:26" x14ac:dyDescent="0.3">
      <c r="A164" t="s">
        <v>4</v>
      </c>
      <c r="B164" t="s">
        <v>213</v>
      </c>
      <c r="C164" t="s">
        <v>411</v>
      </c>
      <c r="E164" t="s">
        <v>4</v>
      </c>
      <c r="F164" t="s">
        <v>389</v>
      </c>
      <c r="M164" t="s">
        <v>108</v>
      </c>
      <c r="N164" t="s">
        <v>33</v>
      </c>
      <c r="O164" s="132">
        <v>36</v>
      </c>
      <c r="P164">
        <v>2024</v>
      </c>
      <c r="R164" t="s">
        <v>252</v>
      </c>
      <c r="S164" t="s">
        <v>43</v>
      </c>
      <c r="T164" t="s">
        <v>26</v>
      </c>
      <c r="U164" t="s">
        <v>268</v>
      </c>
      <c r="W164" t="s">
        <v>410</v>
      </c>
      <c r="X164" t="s">
        <v>154</v>
      </c>
      <c r="Y164" t="s">
        <v>33</v>
      </c>
      <c r="Z164" s="132">
        <v>496</v>
      </c>
    </row>
    <row r="165" spans="1:26" x14ac:dyDescent="0.3">
      <c r="A165" t="s">
        <v>4</v>
      </c>
      <c r="B165" t="s">
        <v>412</v>
      </c>
      <c r="C165" t="s">
        <v>343</v>
      </c>
      <c r="E165" t="s">
        <v>4</v>
      </c>
      <c r="F165" t="s">
        <v>411</v>
      </c>
      <c r="M165" t="s">
        <v>108</v>
      </c>
      <c r="N165" t="s">
        <v>41</v>
      </c>
      <c r="O165" s="132">
        <v>1256</v>
      </c>
      <c r="P165">
        <v>2024</v>
      </c>
      <c r="R165" t="s">
        <v>252</v>
      </c>
      <c r="S165" t="s">
        <v>43</v>
      </c>
      <c r="T165" t="s">
        <v>42</v>
      </c>
      <c r="U165" t="s">
        <v>268</v>
      </c>
      <c r="W165" t="s">
        <v>410</v>
      </c>
      <c r="X165" t="s">
        <v>154</v>
      </c>
      <c r="Y165" t="s">
        <v>31</v>
      </c>
      <c r="Z165" s="132">
        <v>53</v>
      </c>
    </row>
    <row r="166" spans="1:26" x14ac:dyDescent="0.3">
      <c r="A166" t="s">
        <v>4</v>
      </c>
      <c r="B166" t="s">
        <v>85</v>
      </c>
      <c r="C166" t="s">
        <v>413</v>
      </c>
      <c r="E166" t="s">
        <v>4</v>
      </c>
      <c r="F166" t="s">
        <v>343</v>
      </c>
      <c r="M166" t="s">
        <v>370</v>
      </c>
      <c r="N166" t="s">
        <v>24</v>
      </c>
      <c r="O166" s="132">
        <v>61</v>
      </c>
      <c r="P166">
        <v>2024</v>
      </c>
      <c r="R166" t="s">
        <v>252</v>
      </c>
      <c r="S166" t="s">
        <v>43</v>
      </c>
      <c r="T166" t="s">
        <v>32</v>
      </c>
      <c r="U166" t="s">
        <v>268</v>
      </c>
      <c r="W166" t="s">
        <v>410</v>
      </c>
      <c r="X166" t="s">
        <v>154</v>
      </c>
      <c r="Y166" t="s">
        <v>41</v>
      </c>
      <c r="Z166" s="132">
        <v>6333</v>
      </c>
    </row>
    <row r="167" spans="1:26" x14ac:dyDescent="0.3">
      <c r="A167" t="s">
        <v>4</v>
      </c>
      <c r="B167" t="s">
        <v>414</v>
      </c>
      <c r="C167" t="s">
        <v>52</v>
      </c>
      <c r="E167" t="s">
        <v>4</v>
      </c>
      <c r="F167" t="s">
        <v>413</v>
      </c>
      <c r="M167" t="s">
        <v>370</v>
      </c>
      <c r="N167" t="s">
        <v>31</v>
      </c>
      <c r="O167" s="132">
        <v>406</v>
      </c>
      <c r="P167">
        <v>2024</v>
      </c>
      <c r="R167" t="s">
        <v>252</v>
      </c>
      <c r="S167" t="s">
        <v>43</v>
      </c>
      <c r="T167" t="s">
        <v>47</v>
      </c>
      <c r="U167" t="s">
        <v>268</v>
      </c>
      <c r="W167" t="s">
        <v>415</v>
      </c>
      <c r="X167" t="s">
        <v>290</v>
      </c>
      <c r="Y167" t="s">
        <v>24</v>
      </c>
      <c r="Z167" s="132">
        <v>531</v>
      </c>
    </row>
    <row r="168" spans="1:26" x14ac:dyDescent="0.3">
      <c r="A168" t="s">
        <v>4</v>
      </c>
      <c r="B168" t="s">
        <v>416</v>
      </c>
      <c r="C168" t="s">
        <v>417</v>
      </c>
      <c r="E168" t="s">
        <v>4</v>
      </c>
      <c r="F168" t="s">
        <v>52</v>
      </c>
      <c r="M168" t="s">
        <v>370</v>
      </c>
      <c r="N168" t="s">
        <v>33</v>
      </c>
      <c r="O168" s="132">
        <v>717</v>
      </c>
      <c r="P168">
        <v>2024</v>
      </c>
      <c r="R168" t="s">
        <v>252</v>
      </c>
      <c r="S168" t="s">
        <v>43</v>
      </c>
      <c r="T168" t="s">
        <v>37</v>
      </c>
      <c r="U168" t="s">
        <v>268</v>
      </c>
      <c r="W168" t="s">
        <v>415</v>
      </c>
      <c r="X168" t="s">
        <v>290</v>
      </c>
      <c r="Y168" t="s">
        <v>33</v>
      </c>
      <c r="Z168" s="132">
        <v>8190</v>
      </c>
    </row>
    <row r="169" spans="1:26" x14ac:dyDescent="0.3">
      <c r="A169" t="s">
        <v>4</v>
      </c>
      <c r="B169" t="s">
        <v>418</v>
      </c>
      <c r="C169" t="s">
        <v>419</v>
      </c>
      <c r="E169" t="s">
        <v>4</v>
      </c>
      <c r="F169" t="s">
        <v>417</v>
      </c>
      <c r="M169" t="s">
        <v>370</v>
      </c>
      <c r="N169" t="s">
        <v>41</v>
      </c>
      <c r="O169" s="132">
        <v>14076</v>
      </c>
      <c r="P169">
        <v>2024</v>
      </c>
      <c r="R169" t="s">
        <v>252</v>
      </c>
      <c r="S169" t="s">
        <v>43</v>
      </c>
      <c r="T169" t="s">
        <v>82</v>
      </c>
      <c r="U169" t="s">
        <v>268</v>
      </c>
      <c r="W169" t="s">
        <v>415</v>
      </c>
      <c r="X169" t="s">
        <v>290</v>
      </c>
      <c r="Y169" t="s">
        <v>31</v>
      </c>
      <c r="Z169" s="132">
        <v>531</v>
      </c>
    </row>
    <row r="170" spans="1:26" x14ac:dyDescent="0.3">
      <c r="A170" t="s">
        <v>4</v>
      </c>
      <c r="B170" t="s">
        <v>420</v>
      </c>
      <c r="C170" t="s">
        <v>421</v>
      </c>
      <c r="E170" t="s">
        <v>4</v>
      </c>
      <c r="F170" t="s">
        <v>419</v>
      </c>
      <c r="M170" t="s">
        <v>372</v>
      </c>
      <c r="N170" t="s">
        <v>24</v>
      </c>
      <c r="O170" s="132">
        <v>201</v>
      </c>
      <c r="P170">
        <v>2024</v>
      </c>
      <c r="R170" t="s">
        <v>252</v>
      </c>
      <c r="S170" t="s">
        <v>43</v>
      </c>
      <c r="T170" t="s">
        <v>42</v>
      </c>
      <c r="U170" t="s">
        <v>289</v>
      </c>
      <c r="W170" t="s">
        <v>415</v>
      </c>
      <c r="X170" t="s">
        <v>290</v>
      </c>
      <c r="Y170" t="s">
        <v>41</v>
      </c>
      <c r="Z170" s="132">
        <v>527247</v>
      </c>
    </row>
    <row r="171" spans="1:26" x14ac:dyDescent="0.3">
      <c r="A171" t="s">
        <v>4</v>
      </c>
      <c r="B171" t="s">
        <v>422</v>
      </c>
      <c r="C171" t="s">
        <v>423</v>
      </c>
      <c r="E171" t="s">
        <v>4</v>
      </c>
      <c r="F171" t="s">
        <v>421</v>
      </c>
      <c r="M171" t="s">
        <v>372</v>
      </c>
      <c r="N171" t="s">
        <v>31</v>
      </c>
      <c r="O171" s="132">
        <v>201</v>
      </c>
      <c r="P171">
        <v>2024</v>
      </c>
      <c r="R171" t="s">
        <v>252</v>
      </c>
      <c r="S171" t="s">
        <v>43</v>
      </c>
      <c r="T171" t="s">
        <v>32</v>
      </c>
      <c r="U171" t="s">
        <v>289</v>
      </c>
      <c r="W171" t="s">
        <v>424</v>
      </c>
      <c r="X171" t="s">
        <v>425</v>
      </c>
      <c r="Y171" t="s">
        <v>24</v>
      </c>
      <c r="Z171" s="132">
        <v>18</v>
      </c>
    </row>
    <row r="172" spans="1:26" x14ac:dyDescent="0.3">
      <c r="A172" t="s">
        <v>4</v>
      </c>
      <c r="B172" t="s">
        <v>426</v>
      </c>
      <c r="C172" t="s">
        <v>427</v>
      </c>
      <c r="E172" t="s">
        <v>4</v>
      </c>
      <c r="F172" t="s">
        <v>423</v>
      </c>
      <c r="M172" t="s">
        <v>372</v>
      </c>
      <c r="N172" t="s">
        <v>33</v>
      </c>
      <c r="O172" s="132">
        <v>942</v>
      </c>
      <c r="P172">
        <v>2024</v>
      </c>
      <c r="R172" t="s">
        <v>252</v>
      </c>
      <c r="S172" t="s">
        <v>43</v>
      </c>
      <c r="T172" t="s">
        <v>82</v>
      </c>
      <c r="U172" t="s">
        <v>289</v>
      </c>
      <c r="W172" t="s">
        <v>424</v>
      </c>
      <c r="X172" t="s">
        <v>425</v>
      </c>
      <c r="Y172" t="s">
        <v>33</v>
      </c>
      <c r="Z172" s="132">
        <v>2020</v>
      </c>
    </row>
    <row r="173" spans="1:26" x14ac:dyDescent="0.3">
      <c r="A173" t="s">
        <v>4</v>
      </c>
      <c r="B173" t="s">
        <v>159</v>
      </c>
      <c r="C173" t="s">
        <v>428</v>
      </c>
      <c r="E173" t="s">
        <v>4</v>
      </c>
      <c r="F173" t="s">
        <v>427</v>
      </c>
      <c r="M173" t="s">
        <v>372</v>
      </c>
      <c r="N173" t="s">
        <v>41</v>
      </c>
      <c r="O173" s="132">
        <v>40000</v>
      </c>
      <c r="P173">
        <v>2024</v>
      </c>
      <c r="R173" t="s">
        <v>252</v>
      </c>
      <c r="S173" t="s">
        <v>43</v>
      </c>
      <c r="T173" t="s">
        <v>47</v>
      </c>
      <c r="U173" t="s">
        <v>289</v>
      </c>
      <c r="W173" t="s">
        <v>424</v>
      </c>
      <c r="X173" t="s">
        <v>425</v>
      </c>
      <c r="Y173" t="s">
        <v>31</v>
      </c>
      <c r="Z173" s="132">
        <v>113</v>
      </c>
    </row>
    <row r="174" spans="1:26" x14ac:dyDescent="0.3">
      <c r="A174" t="s">
        <v>4</v>
      </c>
      <c r="B174" t="s">
        <v>429</v>
      </c>
      <c r="C174" t="s">
        <v>430</v>
      </c>
      <c r="E174" t="s">
        <v>4</v>
      </c>
      <c r="F174" t="s">
        <v>428</v>
      </c>
      <c r="M174" t="s">
        <v>76</v>
      </c>
      <c r="N174" t="s">
        <v>24</v>
      </c>
      <c r="O174" s="132">
        <v>5</v>
      </c>
      <c r="P174">
        <v>2024</v>
      </c>
      <c r="R174" t="s">
        <v>252</v>
      </c>
      <c r="S174" t="s">
        <v>43</v>
      </c>
      <c r="T174" t="s">
        <v>37</v>
      </c>
      <c r="U174" t="s">
        <v>289</v>
      </c>
      <c r="W174" t="s">
        <v>424</v>
      </c>
      <c r="X174" t="s">
        <v>425</v>
      </c>
      <c r="Y174" t="s">
        <v>41</v>
      </c>
      <c r="Z174" s="132">
        <v>13005</v>
      </c>
    </row>
    <row r="175" spans="1:26" x14ac:dyDescent="0.3">
      <c r="A175" t="s">
        <v>4</v>
      </c>
      <c r="B175" t="s">
        <v>165</v>
      </c>
      <c r="C175" t="s">
        <v>431</v>
      </c>
      <c r="E175" t="s">
        <v>4</v>
      </c>
      <c r="F175" t="s">
        <v>430</v>
      </c>
      <c r="M175" t="s">
        <v>76</v>
      </c>
      <c r="N175" t="s">
        <v>31</v>
      </c>
      <c r="O175" s="132">
        <v>6</v>
      </c>
      <c r="P175">
        <v>2024</v>
      </c>
      <c r="R175" t="s">
        <v>252</v>
      </c>
      <c r="S175" t="s">
        <v>43</v>
      </c>
      <c r="T175" t="s">
        <v>42</v>
      </c>
      <c r="U175" t="s">
        <v>271</v>
      </c>
      <c r="W175" t="s">
        <v>432</v>
      </c>
      <c r="X175" t="s">
        <v>79</v>
      </c>
      <c r="Y175" t="s">
        <v>24</v>
      </c>
      <c r="Z175" s="132">
        <v>8</v>
      </c>
    </row>
    <row r="176" spans="1:26" x14ac:dyDescent="0.3">
      <c r="A176" t="s">
        <v>4</v>
      </c>
      <c r="B176" t="s">
        <v>225</v>
      </c>
      <c r="C176" t="s">
        <v>112</v>
      </c>
      <c r="E176" t="s">
        <v>4</v>
      </c>
      <c r="F176" t="s">
        <v>431</v>
      </c>
      <c r="M176" t="s">
        <v>76</v>
      </c>
      <c r="N176" t="s">
        <v>33</v>
      </c>
      <c r="O176" s="132">
        <v>40</v>
      </c>
      <c r="P176">
        <v>2024</v>
      </c>
      <c r="R176" t="s">
        <v>252</v>
      </c>
      <c r="S176" t="s">
        <v>43</v>
      </c>
      <c r="T176" t="s">
        <v>47</v>
      </c>
      <c r="U176" t="s">
        <v>271</v>
      </c>
      <c r="W176" t="s">
        <v>432</v>
      </c>
      <c r="X176" t="s">
        <v>79</v>
      </c>
      <c r="Y176" t="s">
        <v>33</v>
      </c>
      <c r="Z176" s="132">
        <v>28</v>
      </c>
    </row>
    <row r="177" spans="1:26" x14ac:dyDescent="0.3">
      <c r="A177" t="s">
        <v>4</v>
      </c>
      <c r="B177" t="s">
        <v>433</v>
      </c>
      <c r="C177" t="s">
        <v>243</v>
      </c>
      <c r="E177" t="s">
        <v>4</v>
      </c>
      <c r="F177" t="s">
        <v>112</v>
      </c>
      <c r="M177" t="s">
        <v>76</v>
      </c>
      <c r="N177" t="s">
        <v>41</v>
      </c>
      <c r="O177" s="132">
        <v>1000</v>
      </c>
      <c r="P177">
        <v>2024</v>
      </c>
      <c r="R177" t="s">
        <v>252</v>
      </c>
      <c r="S177" t="s">
        <v>43</v>
      </c>
      <c r="T177" t="s">
        <v>32</v>
      </c>
      <c r="U177" t="s">
        <v>271</v>
      </c>
      <c r="W177" t="s">
        <v>432</v>
      </c>
      <c r="X177" t="s">
        <v>79</v>
      </c>
      <c r="Y177" t="s">
        <v>31</v>
      </c>
      <c r="Z177" s="132">
        <v>18</v>
      </c>
    </row>
    <row r="178" spans="1:26" x14ac:dyDescent="0.3">
      <c r="A178" t="s">
        <v>4</v>
      </c>
      <c r="B178" t="s">
        <v>434</v>
      </c>
      <c r="C178" t="s">
        <v>149</v>
      </c>
      <c r="E178" t="s">
        <v>4</v>
      </c>
      <c r="F178" t="s">
        <v>243</v>
      </c>
      <c r="M178" t="s">
        <v>231</v>
      </c>
      <c r="N178" t="s">
        <v>24</v>
      </c>
      <c r="O178" s="132">
        <v>11</v>
      </c>
      <c r="P178">
        <v>2024</v>
      </c>
      <c r="R178" t="s">
        <v>252</v>
      </c>
      <c r="S178" t="s">
        <v>43</v>
      </c>
      <c r="T178" t="s">
        <v>42</v>
      </c>
      <c r="U178" t="s">
        <v>278</v>
      </c>
      <c r="W178" t="s">
        <v>432</v>
      </c>
      <c r="X178" t="s">
        <v>79</v>
      </c>
      <c r="Y178" t="s">
        <v>41</v>
      </c>
      <c r="Z178" s="132">
        <v>500</v>
      </c>
    </row>
    <row r="179" spans="1:26" x14ac:dyDescent="0.3">
      <c r="A179" t="s">
        <v>4</v>
      </c>
      <c r="B179" t="s">
        <v>435</v>
      </c>
      <c r="C179" t="s">
        <v>436</v>
      </c>
      <c r="E179" t="s">
        <v>4</v>
      </c>
      <c r="F179" t="s">
        <v>149</v>
      </c>
      <c r="M179" t="s">
        <v>231</v>
      </c>
      <c r="N179" t="s">
        <v>31</v>
      </c>
      <c r="O179" s="132">
        <v>12</v>
      </c>
      <c r="P179">
        <v>2024</v>
      </c>
      <c r="R179" t="s">
        <v>252</v>
      </c>
      <c r="S179" t="s">
        <v>43</v>
      </c>
      <c r="T179" t="s">
        <v>37</v>
      </c>
      <c r="U179" t="s">
        <v>278</v>
      </c>
      <c r="W179" t="s">
        <v>437</v>
      </c>
      <c r="X179" t="s">
        <v>438</v>
      </c>
      <c r="Y179" t="s">
        <v>24</v>
      </c>
      <c r="Z179" s="132">
        <v>10</v>
      </c>
    </row>
    <row r="180" spans="1:26" x14ac:dyDescent="0.3">
      <c r="A180" t="s">
        <v>4</v>
      </c>
      <c r="B180" t="s">
        <v>168</v>
      </c>
      <c r="C180" t="s">
        <v>73</v>
      </c>
      <c r="E180" t="s">
        <v>4</v>
      </c>
      <c r="F180" t="s">
        <v>436</v>
      </c>
      <c r="M180" t="s">
        <v>231</v>
      </c>
      <c r="N180" t="s">
        <v>33</v>
      </c>
      <c r="O180" s="132">
        <v>3</v>
      </c>
      <c r="P180">
        <v>2024</v>
      </c>
      <c r="R180" t="s">
        <v>252</v>
      </c>
      <c r="S180" t="s">
        <v>43</v>
      </c>
      <c r="T180" t="s">
        <v>32</v>
      </c>
      <c r="U180" t="s">
        <v>278</v>
      </c>
      <c r="W180" t="s">
        <v>437</v>
      </c>
      <c r="X180" t="s">
        <v>438</v>
      </c>
      <c r="Y180" t="s">
        <v>33</v>
      </c>
      <c r="Z180" s="132">
        <v>162</v>
      </c>
    </row>
    <row r="181" spans="1:26" x14ac:dyDescent="0.3">
      <c r="A181" t="s">
        <v>4</v>
      </c>
      <c r="B181" t="s">
        <v>439</v>
      </c>
      <c r="C181" t="s">
        <v>440</v>
      </c>
      <c r="E181" t="s">
        <v>4</v>
      </c>
      <c r="F181" t="s">
        <v>73</v>
      </c>
      <c r="M181" t="s">
        <v>231</v>
      </c>
      <c r="N181" t="s">
        <v>41</v>
      </c>
      <c r="O181" s="132">
        <v>350</v>
      </c>
      <c r="P181">
        <v>2024</v>
      </c>
      <c r="R181" t="s">
        <v>252</v>
      </c>
      <c r="S181" t="s">
        <v>43</v>
      </c>
      <c r="T181" t="s">
        <v>82</v>
      </c>
      <c r="U181" t="s">
        <v>278</v>
      </c>
      <c r="W181" t="s">
        <v>437</v>
      </c>
      <c r="X181" t="s">
        <v>438</v>
      </c>
      <c r="Y181" t="s">
        <v>31</v>
      </c>
      <c r="Z181" s="132">
        <v>11</v>
      </c>
    </row>
    <row r="182" spans="1:26" x14ac:dyDescent="0.3">
      <c r="A182" t="s">
        <v>4</v>
      </c>
      <c r="B182" t="s">
        <v>441</v>
      </c>
      <c r="C182" t="s">
        <v>442</v>
      </c>
      <c r="E182" t="s">
        <v>4</v>
      </c>
      <c r="F182" t="s">
        <v>440</v>
      </c>
      <c r="M182" t="s">
        <v>115</v>
      </c>
      <c r="N182" t="s">
        <v>24</v>
      </c>
      <c r="O182" s="132">
        <v>157</v>
      </c>
      <c r="P182">
        <v>2024</v>
      </c>
      <c r="R182" t="s">
        <v>252</v>
      </c>
      <c r="S182" t="s">
        <v>43</v>
      </c>
      <c r="T182" t="s">
        <v>26</v>
      </c>
      <c r="U182" t="s">
        <v>278</v>
      </c>
      <c r="W182" t="s">
        <v>437</v>
      </c>
      <c r="X182" t="s">
        <v>438</v>
      </c>
      <c r="Y182" t="s">
        <v>41</v>
      </c>
      <c r="Z182" s="132">
        <v>770</v>
      </c>
    </row>
    <row r="183" spans="1:26" x14ac:dyDescent="0.3">
      <c r="A183" t="s">
        <v>4</v>
      </c>
      <c r="B183" t="s">
        <v>51</v>
      </c>
      <c r="C183" t="s">
        <v>197</v>
      </c>
      <c r="E183" t="s">
        <v>4</v>
      </c>
      <c r="F183" t="s">
        <v>442</v>
      </c>
      <c r="M183" t="s">
        <v>115</v>
      </c>
      <c r="N183" t="s">
        <v>31</v>
      </c>
      <c r="O183" s="132">
        <v>157</v>
      </c>
      <c r="P183">
        <v>2024</v>
      </c>
      <c r="R183" t="s">
        <v>252</v>
      </c>
      <c r="S183" t="s">
        <v>43</v>
      </c>
      <c r="T183" t="s">
        <v>42</v>
      </c>
      <c r="U183" t="s">
        <v>112</v>
      </c>
      <c r="W183" t="s">
        <v>443</v>
      </c>
      <c r="X183" t="s">
        <v>137</v>
      </c>
      <c r="Y183" t="s">
        <v>24</v>
      </c>
      <c r="Z183" s="132">
        <v>38</v>
      </c>
    </row>
    <row r="184" spans="1:26" x14ac:dyDescent="0.3">
      <c r="A184" t="s">
        <v>4</v>
      </c>
      <c r="B184" t="s">
        <v>444</v>
      </c>
      <c r="C184" t="s">
        <v>445</v>
      </c>
      <c r="E184" t="s">
        <v>4</v>
      </c>
      <c r="F184" t="s">
        <v>197</v>
      </c>
      <c r="M184" t="s">
        <v>115</v>
      </c>
      <c r="N184" t="s">
        <v>33</v>
      </c>
      <c r="O184" s="132">
        <v>1300</v>
      </c>
      <c r="P184">
        <v>2024</v>
      </c>
      <c r="R184" t="s">
        <v>258</v>
      </c>
      <c r="S184" t="s">
        <v>49</v>
      </c>
      <c r="T184" t="s">
        <v>37</v>
      </c>
      <c r="U184" t="s">
        <v>271</v>
      </c>
      <c r="W184" t="s">
        <v>443</v>
      </c>
      <c r="X184" t="s">
        <v>137</v>
      </c>
      <c r="Y184" t="s">
        <v>33</v>
      </c>
      <c r="Z184" s="132">
        <v>655</v>
      </c>
    </row>
    <row r="185" spans="1:26" x14ac:dyDescent="0.3">
      <c r="A185" t="s">
        <v>5</v>
      </c>
      <c r="B185" t="s">
        <v>22</v>
      </c>
      <c r="C185" t="s">
        <v>446</v>
      </c>
      <c r="E185" t="s">
        <v>4</v>
      </c>
      <c r="F185" t="s">
        <v>445</v>
      </c>
      <c r="M185" t="s">
        <v>115</v>
      </c>
      <c r="N185" t="s">
        <v>41</v>
      </c>
      <c r="O185" s="132">
        <v>11252</v>
      </c>
      <c r="P185">
        <v>2024</v>
      </c>
      <c r="R185" t="s">
        <v>258</v>
      </c>
      <c r="S185" t="s">
        <v>49</v>
      </c>
      <c r="T185" t="s">
        <v>47</v>
      </c>
      <c r="U185" t="s">
        <v>271</v>
      </c>
      <c r="W185" t="s">
        <v>443</v>
      </c>
      <c r="X185" t="s">
        <v>137</v>
      </c>
      <c r="Y185" t="s">
        <v>31</v>
      </c>
      <c r="Z185" s="132">
        <v>41</v>
      </c>
    </row>
    <row r="186" spans="1:26" x14ac:dyDescent="0.3">
      <c r="A186" t="s">
        <v>5</v>
      </c>
      <c r="B186" t="s">
        <v>204</v>
      </c>
      <c r="C186" t="s">
        <v>447</v>
      </c>
      <c r="E186" t="s">
        <v>5</v>
      </c>
      <c r="F186" t="s">
        <v>446</v>
      </c>
      <c r="M186" t="s">
        <v>120</v>
      </c>
      <c r="N186" t="s">
        <v>24</v>
      </c>
      <c r="O186" s="132">
        <v>24</v>
      </c>
      <c r="P186">
        <v>2024</v>
      </c>
      <c r="R186" t="s">
        <v>258</v>
      </c>
      <c r="S186" t="s">
        <v>49</v>
      </c>
      <c r="T186" t="s">
        <v>32</v>
      </c>
      <c r="U186" t="s">
        <v>271</v>
      </c>
      <c r="W186" t="s">
        <v>443</v>
      </c>
      <c r="X186" t="s">
        <v>137</v>
      </c>
      <c r="Y186" t="s">
        <v>41</v>
      </c>
      <c r="Z186" s="132">
        <v>3000</v>
      </c>
    </row>
    <row r="187" spans="1:26" x14ac:dyDescent="0.3">
      <c r="A187" t="s">
        <v>5</v>
      </c>
      <c r="B187" t="s">
        <v>123</v>
      </c>
      <c r="C187" t="s">
        <v>448</v>
      </c>
      <c r="E187" t="s">
        <v>5</v>
      </c>
      <c r="F187" t="s">
        <v>447</v>
      </c>
      <c r="M187" t="s">
        <v>120</v>
      </c>
      <c r="N187" t="s">
        <v>31</v>
      </c>
      <c r="O187" s="132">
        <v>200</v>
      </c>
      <c r="P187">
        <v>2024</v>
      </c>
      <c r="R187" t="s">
        <v>449</v>
      </c>
      <c r="S187" t="s">
        <v>55</v>
      </c>
      <c r="T187" t="s">
        <v>47</v>
      </c>
      <c r="U187" t="s">
        <v>271</v>
      </c>
      <c r="W187" t="s">
        <v>450</v>
      </c>
      <c r="X187" t="s">
        <v>121</v>
      </c>
      <c r="Y187" t="s">
        <v>24</v>
      </c>
      <c r="Z187" s="132">
        <v>23</v>
      </c>
    </row>
    <row r="188" spans="1:26" x14ac:dyDescent="0.3">
      <c r="A188" t="s">
        <v>5</v>
      </c>
      <c r="B188" t="s">
        <v>451</v>
      </c>
      <c r="C188" t="s">
        <v>452</v>
      </c>
      <c r="E188" t="s">
        <v>5</v>
      </c>
      <c r="F188" t="s">
        <v>448</v>
      </c>
      <c r="M188" t="s">
        <v>120</v>
      </c>
      <c r="N188" t="s">
        <v>33</v>
      </c>
      <c r="O188" s="132">
        <v>829</v>
      </c>
      <c r="P188">
        <v>2024</v>
      </c>
      <c r="R188" t="s">
        <v>449</v>
      </c>
      <c r="S188" t="s">
        <v>55</v>
      </c>
      <c r="T188" t="s">
        <v>42</v>
      </c>
      <c r="U188" t="s">
        <v>271</v>
      </c>
      <c r="W188" t="s">
        <v>450</v>
      </c>
      <c r="X188" t="s">
        <v>121</v>
      </c>
      <c r="Y188" t="s">
        <v>33</v>
      </c>
      <c r="Z188" s="132">
        <v>150</v>
      </c>
    </row>
    <row r="189" spans="1:26" x14ac:dyDescent="0.3">
      <c r="A189" t="s">
        <v>5</v>
      </c>
      <c r="B189" t="s">
        <v>425</v>
      </c>
      <c r="C189" t="s">
        <v>453</v>
      </c>
      <c r="E189" t="s">
        <v>5</v>
      </c>
      <c r="F189" t="s">
        <v>452</v>
      </c>
      <c r="M189" t="s">
        <v>120</v>
      </c>
      <c r="N189" t="s">
        <v>41</v>
      </c>
      <c r="O189" s="132">
        <v>7414</v>
      </c>
      <c r="P189">
        <v>2024</v>
      </c>
      <c r="R189" t="s">
        <v>449</v>
      </c>
      <c r="S189" t="s">
        <v>55</v>
      </c>
      <c r="T189" t="s">
        <v>37</v>
      </c>
      <c r="U189" t="s">
        <v>271</v>
      </c>
      <c r="W189" t="s">
        <v>450</v>
      </c>
      <c r="X189" t="s">
        <v>121</v>
      </c>
      <c r="Y189" t="s">
        <v>31</v>
      </c>
      <c r="Z189" s="132">
        <v>141</v>
      </c>
    </row>
    <row r="190" spans="1:26" x14ac:dyDescent="0.3">
      <c r="A190" t="s">
        <v>5</v>
      </c>
      <c r="B190" t="s">
        <v>438</v>
      </c>
      <c r="C190" t="s">
        <v>454</v>
      </c>
      <c r="E190" t="s">
        <v>5</v>
      </c>
      <c r="F190" t="s">
        <v>453</v>
      </c>
      <c r="M190" t="s">
        <v>123</v>
      </c>
      <c r="N190" t="s">
        <v>24</v>
      </c>
      <c r="O190" s="132">
        <v>27</v>
      </c>
      <c r="P190">
        <v>2024</v>
      </c>
      <c r="R190" t="s">
        <v>449</v>
      </c>
      <c r="S190" t="s">
        <v>55</v>
      </c>
      <c r="T190" t="s">
        <v>42</v>
      </c>
      <c r="U190" t="s">
        <v>343</v>
      </c>
      <c r="W190" t="s">
        <v>450</v>
      </c>
      <c r="X190" t="s">
        <v>121</v>
      </c>
      <c r="Y190" t="s">
        <v>41</v>
      </c>
      <c r="Z190" s="132">
        <v>10000</v>
      </c>
    </row>
    <row r="191" spans="1:26" x14ac:dyDescent="0.3">
      <c r="A191" t="s">
        <v>5</v>
      </c>
      <c r="B191" t="s">
        <v>455</v>
      </c>
      <c r="C191" t="s">
        <v>276</v>
      </c>
      <c r="E191" t="s">
        <v>5</v>
      </c>
      <c r="F191" t="s">
        <v>454</v>
      </c>
      <c r="M191" t="s">
        <v>123</v>
      </c>
      <c r="N191" t="s">
        <v>31</v>
      </c>
      <c r="O191" s="132">
        <v>11</v>
      </c>
      <c r="P191">
        <v>2024</v>
      </c>
      <c r="R191" t="s">
        <v>294</v>
      </c>
      <c r="S191" t="s">
        <v>57</v>
      </c>
      <c r="T191" t="s">
        <v>42</v>
      </c>
      <c r="U191" t="s">
        <v>197</v>
      </c>
      <c r="W191" t="s">
        <v>456</v>
      </c>
      <c r="X191" t="s">
        <v>99</v>
      </c>
      <c r="Y191" t="s">
        <v>24</v>
      </c>
      <c r="Z191" s="132">
        <v>303</v>
      </c>
    </row>
    <row r="192" spans="1:26" x14ac:dyDescent="0.3">
      <c r="A192" t="s">
        <v>5</v>
      </c>
      <c r="B192" t="s">
        <v>183</v>
      </c>
      <c r="C192" t="s">
        <v>457</v>
      </c>
      <c r="E192" t="s">
        <v>5</v>
      </c>
      <c r="F192" t="s">
        <v>276</v>
      </c>
      <c r="M192" t="s">
        <v>123</v>
      </c>
      <c r="N192" t="s">
        <v>33</v>
      </c>
      <c r="O192" s="132">
        <v>1512</v>
      </c>
      <c r="P192">
        <v>2024</v>
      </c>
      <c r="R192" t="s">
        <v>294</v>
      </c>
      <c r="S192" t="s">
        <v>57</v>
      </c>
      <c r="T192" t="s">
        <v>26</v>
      </c>
      <c r="U192" t="s">
        <v>197</v>
      </c>
      <c r="W192" t="s">
        <v>456</v>
      </c>
      <c r="X192" t="s">
        <v>99</v>
      </c>
      <c r="Y192" t="s">
        <v>33</v>
      </c>
      <c r="Z192" s="132">
        <v>127</v>
      </c>
    </row>
    <row r="193" spans="1:26" x14ac:dyDescent="0.3">
      <c r="A193" t="s">
        <v>5</v>
      </c>
      <c r="B193" t="s">
        <v>137</v>
      </c>
      <c r="C193" t="s">
        <v>458</v>
      </c>
      <c r="E193" t="s">
        <v>5</v>
      </c>
      <c r="F193" t="s">
        <v>457</v>
      </c>
      <c r="M193" t="s">
        <v>123</v>
      </c>
      <c r="N193" t="s">
        <v>41</v>
      </c>
      <c r="O193" s="132">
        <v>40133</v>
      </c>
      <c r="P193">
        <v>2024</v>
      </c>
      <c r="R193" t="s">
        <v>294</v>
      </c>
      <c r="S193" t="s">
        <v>57</v>
      </c>
      <c r="T193" t="s">
        <v>32</v>
      </c>
      <c r="U193" t="s">
        <v>197</v>
      </c>
      <c r="W193" t="s">
        <v>456</v>
      </c>
      <c r="X193" t="s">
        <v>99</v>
      </c>
      <c r="Y193" t="s">
        <v>31</v>
      </c>
      <c r="Z193" s="132">
        <v>38</v>
      </c>
    </row>
    <row r="194" spans="1:26" x14ac:dyDescent="0.3">
      <c r="A194" t="s">
        <v>5</v>
      </c>
      <c r="B194" t="s">
        <v>209</v>
      </c>
      <c r="C194" t="s">
        <v>459</v>
      </c>
      <c r="E194" t="s">
        <v>5</v>
      </c>
      <c r="F194" t="s">
        <v>458</v>
      </c>
      <c r="M194" t="s">
        <v>236</v>
      </c>
      <c r="N194" t="s">
        <v>24</v>
      </c>
      <c r="O194" s="132">
        <v>14</v>
      </c>
      <c r="P194">
        <v>2024</v>
      </c>
      <c r="R194" t="s">
        <v>294</v>
      </c>
      <c r="S194" t="s">
        <v>57</v>
      </c>
      <c r="T194" t="s">
        <v>82</v>
      </c>
      <c r="U194" t="s">
        <v>197</v>
      </c>
      <c r="W194" t="s">
        <v>456</v>
      </c>
      <c r="X194" t="s">
        <v>99</v>
      </c>
      <c r="Y194" t="s">
        <v>41</v>
      </c>
      <c r="Z194" s="132">
        <v>30600</v>
      </c>
    </row>
    <row r="195" spans="1:26" x14ac:dyDescent="0.3">
      <c r="A195" t="s">
        <v>5</v>
      </c>
      <c r="B195" t="s">
        <v>460</v>
      </c>
      <c r="C195" t="s">
        <v>461</v>
      </c>
      <c r="E195" t="s">
        <v>5</v>
      </c>
      <c r="F195" t="s">
        <v>459</v>
      </c>
      <c r="M195" t="s">
        <v>236</v>
      </c>
      <c r="N195" t="s">
        <v>31</v>
      </c>
      <c r="O195" s="132">
        <v>60</v>
      </c>
      <c r="P195">
        <v>2024</v>
      </c>
      <c r="R195" t="s">
        <v>294</v>
      </c>
      <c r="S195" t="s">
        <v>57</v>
      </c>
      <c r="T195" t="s">
        <v>47</v>
      </c>
      <c r="U195" t="s">
        <v>271</v>
      </c>
      <c r="W195" t="s">
        <v>462</v>
      </c>
      <c r="X195" t="s">
        <v>106</v>
      </c>
      <c r="Y195" t="s">
        <v>24</v>
      </c>
      <c r="Z195" s="132">
        <v>11</v>
      </c>
    </row>
    <row r="196" spans="1:26" x14ac:dyDescent="0.3">
      <c r="A196" t="s">
        <v>5</v>
      </c>
      <c r="B196" t="s">
        <v>463</v>
      </c>
      <c r="C196" t="s">
        <v>63</v>
      </c>
      <c r="E196" t="s">
        <v>5</v>
      </c>
      <c r="F196" t="s">
        <v>461</v>
      </c>
      <c r="M196" t="s">
        <v>236</v>
      </c>
      <c r="N196" t="s">
        <v>33</v>
      </c>
      <c r="O196" s="132">
        <v>259</v>
      </c>
      <c r="P196">
        <v>2024</v>
      </c>
      <c r="R196" t="s">
        <v>294</v>
      </c>
      <c r="S196" t="s">
        <v>57</v>
      </c>
      <c r="T196" t="s">
        <v>32</v>
      </c>
      <c r="U196" t="s">
        <v>271</v>
      </c>
      <c r="W196" t="s">
        <v>462</v>
      </c>
      <c r="X196" t="s">
        <v>106</v>
      </c>
      <c r="Y196" t="s">
        <v>33</v>
      </c>
      <c r="Z196" s="132">
        <v>17</v>
      </c>
    </row>
    <row r="197" spans="1:26" x14ac:dyDescent="0.3">
      <c r="A197" t="s">
        <v>5</v>
      </c>
      <c r="B197" t="s">
        <v>464</v>
      </c>
      <c r="C197" t="s">
        <v>465</v>
      </c>
      <c r="E197" t="s">
        <v>5</v>
      </c>
      <c r="F197" t="s">
        <v>63</v>
      </c>
      <c r="M197" t="s">
        <v>236</v>
      </c>
      <c r="N197" t="s">
        <v>41</v>
      </c>
      <c r="O197" s="132">
        <v>1886</v>
      </c>
      <c r="P197">
        <v>2024</v>
      </c>
      <c r="R197" t="s">
        <v>294</v>
      </c>
      <c r="S197" t="s">
        <v>57</v>
      </c>
      <c r="T197" t="s">
        <v>26</v>
      </c>
      <c r="U197" t="s">
        <v>103</v>
      </c>
      <c r="W197" t="s">
        <v>462</v>
      </c>
      <c r="X197" t="s">
        <v>106</v>
      </c>
      <c r="Y197" t="s">
        <v>31</v>
      </c>
      <c r="Z197" s="132">
        <v>52</v>
      </c>
    </row>
    <row r="198" spans="1:26" x14ac:dyDescent="0.3">
      <c r="A198" t="s">
        <v>5</v>
      </c>
      <c r="B198" t="s">
        <v>148</v>
      </c>
      <c r="C198" t="s">
        <v>466</v>
      </c>
      <c r="E198" t="s">
        <v>5</v>
      </c>
      <c r="F198" t="s">
        <v>465</v>
      </c>
      <c r="M198" t="s">
        <v>79</v>
      </c>
      <c r="N198" t="s">
        <v>24</v>
      </c>
      <c r="O198" s="132">
        <v>8</v>
      </c>
      <c r="P198">
        <v>2024</v>
      </c>
      <c r="R198" t="s">
        <v>294</v>
      </c>
      <c r="S198" t="s">
        <v>57</v>
      </c>
      <c r="T198" t="s">
        <v>32</v>
      </c>
      <c r="U198" t="s">
        <v>278</v>
      </c>
      <c r="W198" t="s">
        <v>462</v>
      </c>
      <c r="X198" t="s">
        <v>106</v>
      </c>
      <c r="Y198" t="s">
        <v>41</v>
      </c>
      <c r="Z198" s="132">
        <v>5000</v>
      </c>
    </row>
    <row r="199" spans="1:26" x14ac:dyDescent="0.3">
      <c r="A199" t="s">
        <v>5</v>
      </c>
      <c r="B199" t="s">
        <v>221</v>
      </c>
      <c r="C199" t="s">
        <v>467</v>
      </c>
      <c r="E199" t="s">
        <v>5</v>
      </c>
      <c r="F199" t="s">
        <v>466</v>
      </c>
      <c r="M199" t="s">
        <v>79</v>
      </c>
      <c r="N199" t="s">
        <v>31</v>
      </c>
      <c r="O199" s="132">
        <v>18</v>
      </c>
      <c r="P199">
        <v>2024</v>
      </c>
      <c r="R199" t="s">
        <v>294</v>
      </c>
      <c r="S199" t="s">
        <v>57</v>
      </c>
      <c r="T199" t="s">
        <v>82</v>
      </c>
      <c r="U199" t="s">
        <v>278</v>
      </c>
      <c r="W199" t="s">
        <v>468</v>
      </c>
      <c r="X199" t="s">
        <v>451</v>
      </c>
      <c r="Y199" t="s">
        <v>24</v>
      </c>
      <c r="Z199" s="132">
        <v>579</v>
      </c>
    </row>
    <row r="200" spans="1:26" x14ac:dyDescent="0.3">
      <c r="A200" t="s">
        <v>5</v>
      </c>
      <c r="B200" t="s">
        <v>469</v>
      </c>
      <c r="C200" t="s">
        <v>322</v>
      </c>
      <c r="E200" t="s">
        <v>5</v>
      </c>
      <c r="F200" t="s">
        <v>467</v>
      </c>
      <c r="M200" t="s">
        <v>79</v>
      </c>
      <c r="N200" t="s">
        <v>33</v>
      </c>
      <c r="O200" s="132">
        <v>28</v>
      </c>
      <c r="P200">
        <v>2024</v>
      </c>
      <c r="R200" t="s">
        <v>294</v>
      </c>
      <c r="S200" t="s">
        <v>57</v>
      </c>
      <c r="T200" t="s">
        <v>37</v>
      </c>
      <c r="U200" t="s">
        <v>278</v>
      </c>
      <c r="W200" t="s">
        <v>468</v>
      </c>
      <c r="X200" t="s">
        <v>451</v>
      </c>
      <c r="Y200" t="s">
        <v>33</v>
      </c>
      <c r="Z200" s="132">
        <v>7454</v>
      </c>
    </row>
    <row r="201" spans="1:26" x14ac:dyDescent="0.3">
      <c r="A201" t="s">
        <v>5</v>
      </c>
      <c r="B201" t="s">
        <v>470</v>
      </c>
      <c r="C201" t="s">
        <v>471</v>
      </c>
      <c r="E201" t="s">
        <v>5</v>
      </c>
      <c r="F201" t="s">
        <v>322</v>
      </c>
      <c r="M201" t="s">
        <v>79</v>
      </c>
      <c r="N201" t="s">
        <v>41</v>
      </c>
      <c r="O201" s="132">
        <v>500</v>
      </c>
      <c r="P201">
        <v>2024</v>
      </c>
      <c r="R201" t="s">
        <v>265</v>
      </c>
      <c r="S201" t="s">
        <v>78</v>
      </c>
      <c r="T201" t="s">
        <v>32</v>
      </c>
      <c r="U201" t="s">
        <v>131</v>
      </c>
      <c r="W201" t="s">
        <v>468</v>
      </c>
      <c r="X201" t="s">
        <v>451</v>
      </c>
      <c r="Y201" t="s">
        <v>31</v>
      </c>
      <c r="Z201" s="132">
        <v>7897</v>
      </c>
    </row>
    <row r="202" spans="1:26" x14ac:dyDescent="0.3">
      <c r="E202" t="s">
        <v>5</v>
      </c>
      <c r="F202" t="s">
        <v>471</v>
      </c>
      <c r="M202" t="s">
        <v>374</v>
      </c>
      <c r="N202" t="s">
        <v>24</v>
      </c>
      <c r="O202" s="132">
        <v>16</v>
      </c>
      <c r="P202">
        <v>2024</v>
      </c>
      <c r="R202" t="s">
        <v>272</v>
      </c>
      <c r="S202" t="s">
        <v>87</v>
      </c>
      <c r="T202" t="s">
        <v>82</v>
      </c>
      <c r="U202" t="s">
        <v>175</v>
      </c>
      <c r="W202" t="s">
        <v>468</v>
      </c>
      <c r="X202" t="s">
        <v>451</v>
      </c>
      <c r="Y202" t="s">
        <v>41</v>
      </c>
      <c r="Z202" s="132">
        <v>2998610</v>
      </c>
    </row>
    <row r="203" spans="1:26" x14ac:dyDescent="0.3">
      <c r="M203" t="s">
        <v>374</v>
      </c>
      <c r="N203" t="s">
        <v>31</v>
      </c>
      <c r="O203" s="132">
        <v>17</v>
      </c>
      <c r="P203">
        <v>2024</v>
      </c>
      <c r="R203" t="s">
        <v>272</v>
      </c>
      <c r="S203" t="s">
        <v>87</v>
      </c>
      <c r="T203" t="s">
        <v>32</v>
      </c>
      <c r="U203" t="s">
        <v>131</v>
      </c>
      <c r="W203" t="s">
        <v>360</v>
      </c>
      <c r="X203" t="s">
        <v>124</v>
      </c>
      <c r="Y203" t="s">
        <v>33</v>
      </c>
      <c r="Z203" s="132">
        <v>272</v>
      </c>
    </row>
    <row r="204" spans="1:26" x14ac:dyDescent="0.3">
      <c r="M204" t="s">
        <v>374</v>
      </c>
      <c r="N204" t="s">
        <v>33</v>
      </c>
      <c r="O204" s="132">
        <v>29</v>
      </c>
      <c r="P204">
        <v>2024</v>
      </c>
      <c r="R204" t="s">
        <v>272</v>
      </c>
      <c r="S204" t="s">
        <v>87</v>
      </c>
      <c r="T204" t="s">
        <v>47</v>
      </c>
      <c r="U204" t="s">
        <v>131</v>
      </c>
      <c r="W204" t="s">
        <v>360</v>
      </c>
      <c r="X204" t="s">
        <v>124</v>
      </c>
      <c r="Y204" t="s">
        <v>31</v>
      </c>
      <c r="Z204" s="132">
        <v>2150</v>
      </c>
    </row>
    <row r="205" spans="1:26" x14ac:dyDescent="0.3">
      <c r="M205" t="s">
        <v>374</v>
      </c>
      <c r="N205" t="s">
        <v>41</v>
      </c>
      <c r="O205" s="132">
        <v>811</v>
      </c>
      <c r="P205">
        <v>2024</v>
      </c>
      <c r="R205" t="s">
        <v>272</v>
      </c>
      <c r="S205" t="s">
        <v>87</v>
      </c>
      <c r="T205" t="s">
        <v>26</v>
      </c>
      <c r="U205" t="s">
        <v>131</v>
      </c>
      <c r="W205" t="s">
        <v>360</v>
      </c>
      <c r="X205" t="s">
        <v>124</v>
      </c>
      <c r="Y205" t="s">
        <v>41</v>
      </c>
      <c r="Z205" s="132">
        <v>85600</v>
      </c>
    </row>
    <row r="206" spans="1:26" x14ac:dyDescent="0.3">
      <c r="M206" t="s">
        <v>83</v>
      </c>
      <c r="N206" t="s">
        <v>24</v>
      </c>
      <c r="O206" s="132">
        <v>5</v>
      </c>
      <c r="P206">
        <v>2024</v>
      </c>
      <c r="R206" t="s">
        <v>272</v>
      </c>
      <c r="S206" t="s">
        <v>87</v>
      </c>
      <c r="T206" t="s">
        <v>82</v>
      </c>
      <c r="U206" t="s">
        <v>131</v>
      </c>
      <c r="W206" t="s">
        <v>472</v>
      </c>
      <c r="X206" t="s">
        <v>302</v>
      </c>
      <c r="Y206" t="s">
        <v>24</v>
      </c>
      <c r="Z206" s="132">
        <v>88</v>
      </c>
    </row>
    <row r="207" spans="1:26" x14ac:dyDescent="0.3">
      <c r="M207" t="s">
        <v>83</v>
      </c>
      <c r="N207" t="s">
        <v>31</v>
      </c>
      <c r="O207" s="132">
        <v>122</v>
      </c>
      <c r="P207">
        <v>2024</v>
      </c>
      <c r="R207" t="s">
        <v>272</v>
      </c>
      <c r="S207" t="s">
        <v>87</v>
      </c>
      <c r="T207" t="s">
        <v>42</v>
      </c>
      <c r="U207" t="s">
        <v>131</v>
      </c>
      <c r="W207" t="s">
        <v>472</v>
      </c>
      <c r="X207" t="s">
        <v>302</v>
      </c>
      <c r="Y207" t="s">
        <v>33</v>
      </c>
      <c r="Z207" s="132">
        <v>93</v>
      </c>
    </row>
    <row r="208" spans="1:26" x14ac:dyDescent="0.3">
      <c r="M208" t="s">
        <v>83</v>
      </c>
      <c r="N208" t="s">
        <v>33</v>
      </c>
      <c r="O208" s="132">
        <v>74</v>
      </c>
      <c r="P208">
        <v>2024</v>
      </c>
      <c r="R208" t="s">
        <v>272</v>
      </c>
      <c r="S208" t="s">
        <v>87</v>
      </c>
      <c r="T208" t="s">
        <v>37</v>
      </c>
      <c r="U208" t="s">
        <v>131</v>
      </c>
      <c r="W208" t="s">
        <v>472</v>
      </c>
      <c r="X208" t="s">
        <v>302</v>
      </c>
      <c r="Y208" t="s">
        <v>31</v>
      </c>
      <c r="Z208" s="132">
        <v>105</v>
      </c>
    </row>
    <row r="209" spans="13:26" x14ac:dyDescent="0.3">
      <c r="M209" t="s">
        <v>83</v>
      </c>
      <c r="N209" t="s">
        <v>41</v>
      </c>
      <c r="O209" s="132">
        <v>5000</v>
      </c>
      <c r="P209">
        <v>2024</v>
      </c>
      <c r="R209" t="s">
        <v>272</v>
      </c>
      <c r="S209" t="s">
        <v>87</v>
      </c>
      <c r="T209" t="s">
        <v>26</v>
      </c>
      <c r="U209" t="s">
        <v>103</v>
      </c>
      <c r="W209" t="s">
        <v>472</v>
      </c>
      <c r="X209" t="s">
        <v>302</v>
      </c>
      <c r="Y209" t="s">
        <v>41</v>
      </c>
      <c r="Z209" s="132">
        <v>89200</v>
      </c>
    </row>
    <row r="210" spans="13:26" x14ac:dyDescent="0.3">
      <c r="M210" t="s">
        <v>62</v>
      </c>
      <c r="N210" t="s">
        <v>24</v>
      </c>
      <c r="O210" s="132">
        <v>53</v>
      </c>
      <c r="P210">
        <v>2024</v>
      </c>
      <c r="R210" t="s">
        <v>272</v>
      </c>
      <c r="S210" t="s">
        <v>87</v>
      </c>
      <c r="T210" t="s">
        <v>47</v>
      </c>
      <c r="U210" t="s">
        <v>52</v>
      </c>
      <c r="W210" t="s">
        <v>473</v>
      </c>
      <c r="X210" t="s">
        <v>304</v>
      </c>
      <c r="Y210" t="s">
        <v>24</v>
      </c>
      <c r="Z210" s="132">
        <v>0</v>
      </c>
    </row>
    <row r="211" spans="13:26" x14ac:dyDescent="0.3">
      <c r="M211" t="s">
        <v>62</v>
      </c>
      <c r="N211" t="s">
        <v>31</v>
      </c>
      <c r="O211" s="132">
        <v>222</v>
      </c>
      <c r="P211">
        <v>2024</v>
      </c>
      <c r="R211" t="s">
        <v>272</v>
      </c>
      <c r="S211" t="s">
        <v>87</v>
      </c>
      <c r="T211" t="s">
        <v>37</v>
      </c>
      <c r="U211" t="s">
        <v>52</v>
      </c>
      <c r="W211" t="s">
        <v>473</v>
      </c>
      <c r="X211" t="s">
        <v>304</v>
      </c>
      <c r="Y211" t="s">
        <v>33</v>
      </c>
      <c r="Z211" s="132">
        <v>16</v>
      </c>
    </row>
    <row r="212" spans="13:26" x14ac:dyDescent="0.3">
      <c r="M212" t="s">
        <v>62</v>
      </c>
      <c r="N212" t="s">
        <v>33</v>
      </c>
      <c r="O212" s="132">
        <v>2485</v>
      </c>
      <c r="P212">
        <v>2024</v>
      </c>
      <c r="R212" t="s">
        <v>272</v>
      </c>
      <c r="S212" t="s">
        <v>87</v>
      </c>
      <c r="T212" t="s">
        <v>42</v>
      </c>
      <c r="U212" t="s">
        <v>52</v>
      </c>
      <c r="W212" t="s">
        <v>473</v>
      </c>
      <c r="X212" t="s">
        <v>304</v>
      </c>
      <c r="Y212" t="s">
        <v>31</v>
      </c>
      <c r="Z212" s="132">
        <v>7</v>
      </c>
    </row>
    <row r="213" spans="13:26" x14ac:dyDescent="0.3">
      <c r="M213" t="s">
        <v>62</v>
      </c>
      <c r="N213" t="s">
        <v>41</v>
      </c>
      <c r="O213" s="132">
        <v>48000</v>
      </c>
      <c r="P213">
        <v>2024</v>
      </c>
      <c r="R213" t="s">
        <v>272</v>
      </c>
      <c r="S213" t="s">
        <v>87</v>
      </c>
      <c r="T213" t="s">
        <v>26</v>
      </c>
      <c r="U213" t="s">
        <v>112</v>
      </c>
      <c r="W213" t="s">
        <v>473</v>
      </c>
      <c r="X213" t="s">
        <v>304</v>
      </c>
      <c r="Y213" t="s">
        <v>41</v>
      </c>
      <c r="Z213" s="132">
        <v>1306</v>
      </c>
    </row>
    <row r="214" spans="13:26" x14ac:dyDescent="0.3">
      <c r="M214" t="s">
        <v>177</v>
      </c>
      <c r="N214" t="s">
        <v>24</v>
      </c>
      <c r="O214" s="132">
        <v>16</v>
      </c>
      <c r="P214">
        <v>2024</v>
      </c>
      <c r="R214" t="s">
        <v>272</v>
      </c>
      <c r="S214" t="s">
        <v>87</v>
      </c>
      <c r="T214" t="s">
        <v>42</v>
      </c>
      <c r="U214" t="s">
        <v>112</v>
      </c>
      <c r="W214" t="s">
        <v>474</v>
      </c>
      <c r="X214" t="s">
        <v>126</v>
      </c>
      <c r="Y214" t="s">
        <v>24</v>
      </c>
      <c r="Z214" s="132">
        <v>11</v>
      </c>
    </row>
    <row r="215" spans="13:26" x14ac:dyDescent="0.3">
      <c r="M215" t="s">
        <v>177</v>
      </c>
      <c r="N215" t="s">
        <v>31</v>
      </c>
      <c r="O215" s="132">
        <v>16</v>
      </c>
      <c r="P215">
        <v>2024</v>
      </c>
      <c r="R215" t="s">
        <v>272</v>
      </c>
      <c r="S215" t="s">
        <v>87</v>
      </c>
      <c r="T215" t="s">
        <v>37</v>
      </c>
      <c r="U215" t="s">
        <v>112</v>
      </c>
      <c r="W215" t="s">
        <v>474</v>
      </c>
      <c r="X215" t="s">
        <v>126</v>
      </c>
      <c r="Y215" t="s">
        <v>33</v>
      </c>
      <c r="Z215" s="132">
        <v>285</v>
      </c>
    </row>
    <row r="216" spans="13:26" x14ac:dyDescent="0.3">
      <c r="M216" t="s">
        <v>177</v>
      </c>
      <c r="N216" t="s">
        <v>33</v>
      </c>
      <c r="O216" s="132">
        <v>42</v>
      </c>
      <c r="P216">
        <v>2024</v>
      </c>
      <c r="R216" t="s">
        <v>272</v>
      </c>
      <c r="S216" t="s">
        <v>87</v>
      </c>
      <c r="T216" t="s">
        <v>47</v>
      </c>
      <c r="U216" t="s">
        <v>112</v>
      </c>
      <c r="W216" t="s">
        <v>474</v>
      </c>
      <c r="X216" t="s">
        <v>126</v>
      </c>
      <c r="Y216" t="s">
        <v>31</v>
      </c>
      <c r="Z216" s="132">
        <v>612</v>
      </c>
    </row>
    <row r="217" spans="13:26" x14ac:dyDescent="0.3">
      <c r="M217" t="s">
        <v>177</v>
      </c>
      <c r="N217" t="s">
        <v>41</v>
      </c>
      <c r="O217" s="132">
        <v>704</v>
      </c>
      <c r="P217">
        <v>2024</v>
      </c>
      <c r="R217" t="s">
        <v>272</v>
      </c>
      <c r="S217" t="s">
        <v>87</v>
      </c>
      <c r="T217" t="s">
        <v>82</v>
      </c>
      <c r="U217" t="s">
        <v>112</v>
      </c>
      <c r="W217" t="s">
        <v>474</v>
      </c>
      <c r="X217" t="s">
        <v>126</v>
      </c>
      <c r="Y217" t="s">
        <v>41</v>
      </c>
      <c r="Z217" s="132">
        <v>9276</v>
      </c>
    </row>
    <row r="218" spans="13:26" x14ac:dyDescent="0.3">
      <c r="M218" t="s">
        <v>376</v>
      </c>
      <c r="N218" t="s">
        <v>24</v>
      </c>
      <c r="O218" s="132">
        <v>12</v>
      </c>
      <c r="P218">
        <v>2024</v>
      </c>
      <c r="R218" t="s">
        <v>272</v>
      </c>
      <c r="S218" t="s">
        <v>87</v>
      </c>
      <c r="T218" t="s">
        <v>26</v>
      </c>
      <c r="U218" t="s">
        <v>243</v>
      </c>
      <c r="W218" t="s">
        <v>475</v>
      </c>
      <c r="X218" t="s">
        <v>307</v>
      </c>
      <c r="Y218" t="s">
        <v>24</v>
      </c>
      <c r="Z218" s="132">
        <v>4</v>
      </c>
    </row>
    <row r="219" spans="13:26" x14ac:dyDescent="0.3">
      <c r="M219" t="s">
        <v>376</v>
      </c>
      <c r="N219" t="s">
        <v>31</v>
      </c>
      <c r="O219" s="132">
        <v>412</v>
      </c>
      <c r="P219">
        <v>2024</v>
      </c>
      <c r="R219" t="s">
        <v>272</v>
      </c>
      <c r="S219" t="s">
        <v>87</v>
      </c>
      <c r="T219" t="s">
        <v>47</v>
      </c>
      <c r="U219" t="s">
        <v>220</v>
      </c>
      <c r="W219" t="s">
        <v>475</v>
      </c>
      <c r="X219" t="s">
        <v>307</v>
      </c>
      <c r="Y219" t="s">
        <v>33</v>
      </c>
      <c r="Z219" s="132">
        <v>8</v>
      </c>
    </row>
    <row r="220" spans="13:26" x14ac:dyDescent="0.3">
      <c r="M220" t="s">
        <v>376</v>
      </c>
      <c r="N220" t="s">
        <v>33</v>
      </c>
      <c r="O220" s="132">
        <v>947</v>
      </c>
      <c r="P220">
        <v>2024</v>
      </c>
      <c r="R220" t="s">
        <v>306</v>
      </c>
      <c r="S220" t="s">
        <v>60</v>
      </c>
      <c r="T220" t="s">
        <v>37</v>
      </c>
      <c r="U220" t="s">
        <v>271</v>
      </c>
      <c r="W220" t="s">
        <v>475</v>
      </c>
      <c r="X220" t="s">
        <v>307</v>
      </c>
      <c r="Y220" t="s">
        <v>31</v>
      </c>
      <c r="Z220" s="132">
        <v>4</v>
      </c>
    </row>
    <row r="221" spans="13:26" x14ac:dyDescent="0.3">
      <c r="M221" t="s">
        <v>376</v>
      </c>
      <c r="N221" t="s">
        <v>41</v>
      </c>
      <c r="O221" s="132">
        <v>35753</v>
      </c>
      <c r="P221">
        <v>2024</v>
      </c>
      <c r="R221" t="s">
        <v>306</v>
      </c>
      <c r="S221" t="s">
        <v>60</v>
      </c>
      <c r="T221" t="s">
        <v>42</v>
      </c>
      <c r="U221" t="s">
        <v>271</v>
      </c>
      <c r="W221" t="s">
        <v>475</v>
      </c>
      <c r="X221" t="s">
        <v>307</v>
      </c>
      <c r="Y221" t="s">
        <v>41</v>
      </c>
      <c r="Z221" s="132">
        <v>400</v>
      </c>
    </row>
    <row r="222" spans="13:26" x14ac:dyDescent="0.3">
      <c r="M222" t="s">
        <v>133</v>
      </c>
      <c r="N222" t="s">
        <v>24</v>
      </c>
      <c r="O222" s="132">
        <v>120</v>
      </c>
      <c r="P222">
        <v>2024</v>
      </c>
      <c r="R222" t="s">
        <v>306</v>
      </c>
      <c r="S222" t="s">
        <v>60</v>
      </c>
      <c r="T222" t="s">
        <v>47</v>
      </c>
      <c r="U222" t="s">
        <v>271</v>
      </c>
      <c r="W222" t="s">
        <v>476</v>
      </c>
      <c r="X222" t="s">
        <v>71</v>
      </c>
      <c r="Y222" t="s">
        <v>24</v>
      </c>
      <c r="Z222" s="132">
        <v>56</v>
      </c>
    </row>
    <row r="223" spans="13:26" x14ac:dyDescent="0.3">
      <c r="M223" t="s">
        <v>133</v>
      </c>
      <c r="N223" t="s">
        <v>31</v>
      </c>
      <c r="O223" s="132">
        <v>1181</v>
      </c>
      <c r="P223">
        <v>2024</v>
      </c>
      <c r="R223" t="s">
        <v>306</v>
      </c>
      <c r="S223" t="s">
        <v>60</v>
      </c>
      <c r="T223" t="s">
        <v>32</v>
      </c>
      <c r="U223" t="s">
        <v>271</v>
      </c>
      <c r="W223" t="s">
        <v>476</v>
      </c>
      <c r="X223" t="s">
        <v>71</v>
      </c>
      <c r="Y223" t="s">
        <v>33</v>
      </c>
      <c r="Z223" s="132">
        <v>21</v>
      </c>
    </row>
    <row r="224" spans="13:26" x14ac:dyDescent="0.3">
      <c r="M224" t="s">
        <v>133</v>
      </c>
      <c r="N224" t="s">
        <v>33</v>
      </c>
      <c r="O224" s="132">
        <v>19854</v>
      </c>
      <c r="P224">
        <v>2024</v>
      </c>
      <c r="R224" t="s">
        <v>306</v>
      </c>
      <c r="S224" t="s">
        <v>60</v>
      </c>
      <c r="T224" t="s">
        <v>82</v>
      </c>
      <c r="U224" t="s">
        <v>271</v>
      </c>
      <c r="W224" t="s">
        <v>476</v>
      </c>
      <c r="X224" t="s">
        <v>71</v>
      </c>
      <c r="Y224" t="s">
        <v>41</v>
      </c>
      <c r="Z224" s="132">
        <v>5000</v>
      </c>
    </row>
    <row r="225" spans="13:26" x14ac:dyDescent="0.3">
      <c r="M225" t="s">
        <v>133</v>
      </c>
      <c r="N225" t="s">
        <v>41</v>
      </c>
      <c r="O225" s="132">
        <v>96578</v>
      </c>
      <c r="P225">
        <v>2024</v>
      </c>
      <c r="R225" t="s">
        <v>306</v>
      </c>
      <c r="S225" t="s">
        <v>60</v>
      </c>
      <c r="T225" t="s">
        <v>26</v>
      </c>
      <c r="U225" t="s">
        <v>271</v>
      </c>
      <c r="W225" t="s">
        <v>477</v>
      </c>
      <c r="X225" t="s">
        <v>309</v>
      </c>
      <c r="Y225" t="s">
        <v>24</v>
      </c>
      <c r="Z225" s="132">
        <v>3</v>
      </c>
    </row>
    <row r="226" spans="13:26" x14ac:dyDescent="0.3">
      <c r="M226" t="s">
        <v>89</v>
      </c>
      <c r="N226" t="s">
        <v>24</v>
      </c>
      <c r="O226" s="132">
        <v>9</v>
      </c>
      <c r="P226">
        <v>2024</v>
      </c>
      <c r="R226" t="s">
        <v>325</v>
      </c>
      <c r="S226" t="s">
        <v>67</v>
      </c>
      <c r="T226" t="s">
        <v>42</v>
      </c>
      <c r="U226" t="s">
        <v>268</v>
      </c>
      <c r="W226" t="s">
        <v>477</v>
      </c>
      <c r="X226" t="s">
        <v>309</v>
      </c>
      <c r="Y226" t="s">
        <v>33</v>
      </c>
      <c r="Z226" s="132">
        <v>8</v>
      </c>
    </row>
    <row r="227" spans="13:26" x14ac:dyDescent="0.3">
      <c r="M227" t="s">
        <v>89</v>
      </c>
      <c r="N227" t="s">
        <v>31</v>
      </c>
      <c r="O227" s="132">
        <v>54</v>
      </c>
      <c r="P227">
        <v>2024</v>
      </c>
      <c r="R227" t="s">
        <v>325</v>
      </c>
      <c r="S227" t="s">
        <v>67</v>
      </c>
      <c r="T227" t="s">
        <v>37</v>
      </c>
      <c r="U227" t="s">
        <v>268</v>
      </c>
      <c r="W227" t="s">
        <v>477</v>
      </c>
      <c r="X227" t="s">
        <v>309</v>
      </c>
      <c r="Y227" t="s">
        <v>31</v>
      </c>
      <c r="Z227" s="132">
        <v>3</v>
      </c>
    </row>
    <row r="228" spans="13:26" x14ac:dyDescent="0.3">
      <c r="M228" t="s">
        <v>89</v>
      </c>
      <c r="N228" t="s">
        <v>33</v>
      </c>
      <c r="O228" s="132">
        <v>35</v>
      </c>
      <c r="P228">
        <v>2024</v>
      </c>
      <c r="R228" t="s">
        <v>325</v>
      </c>
      <c r="S228" t="s">
        <v>67</v>
      </c>
      <c r="T228" t="s">
        <v>26</v>
      </c>
      <c r="U228" t="s">
        <v>268</v>
      </c>
      <c r="W228" t="s">
        <v>477</v>
      </c>
      <c r="X228" t="s">
        <v>309</v>
      </c>
      <c r="Y228" t="s">
        <v>41</v>
      </c>
      <c r="Z228" s="132">
        <v>425</v>
      </c>
    </row>
    <row r="229" spans="13:26" x14ac:dyDescent="0.3">
      <c r="M229" t="s">
        <v>89</v>
      </c>
      <c r="N229" t="s">
        <v>41</v>
      </c>
      <c r="O229" s="132">
        <v>3835</v>
      </c>
      <c r="P229">
        <v>2024</v>
      </c>
      <c r="R229" t="s">
        <v>325</v>
      </c>
      <c r="S229" t="s">
        <v>67</v>
      </c>
      <c r="T229" t="s">
        <v>47</v>
      </c>
      <c r="U229" t="s">
        <v>268</v>
      </c>
      <c r="W229" t="s">
        <v>478</v>
      </c>
      <c r="X229" t="s">
        <v>311</v>
      </c>
      <c r="Y229" t="s">
        <v>24</v>
      </c>
      <c r="Z229" s="132">
        <v>31</v>
      </c>
    </row>
    <row r="230" spans="13:26" x14ac:dyDescent="0.3">
      <c r="M230" t="s">
        <v>66</v>
      </c>
      <c r="N230" t="s">
        <v>24</v>
      </c>
      <c r="O230" s="132">
        <v>7</v>
      </c>
      <c r="P230">
        <v>2024</v>
      </c>
      <c r="R230" t="s">
        <v>325</v>
      </c>
      <c r="S230" t="s">
        <v>67</v>
      </c>
      <c r="T230" t="s">
        <v>32</v>
      </c>
      <c r="U230" t="s">
        <v>268</v>
      </c>
      <c r="W230" t="s">
        <v>478</v>
      </c>
      <c r="X230" t="s">
        <v>311</v>
      </c>
      <c r="Y230" t="s">
        <v>33</v>
      </c>
      <c r="Z230" s="132">
        <v>190</v>
      </c>
    </row>
    <row r="231" spans="13:26" x14ac:dyDescent="0.3">
      <c r="M231" t="s">
        <v>66</v>
      </c>
      <c r="N231" t="s">
        <v>31</v>
      </c>
      <c r="O231" s="132">
        <v>473</v>
      </c>
      <c r="P231">
        <v>2024</v>
      </c>
      <c r="R231" t="s">
        <v>325</v>
      </c>
      <c r="S231" t="s">
        <v>67</v>
      </c>
      <c r="T231" t="s">
        <v>82</v>
      </c>
      <c r="U231" t="s">
        <v>268</v>
      </c>
      <c r="W231" t="s">
        <v>478</v>
      </c>
      <c r="X231" t="s">
        <v>311</v>
      </c>
      <c r="Y231" t="s">
        <v>31</v>
      </c>
      <c r="Z231" s="132">
        <v>703</v>
      </c>
    </row>
    <row r="232" spans="13:26" x14ac:dyDescent="0.3">
      <c r="M232" t="s">
        <v>66</v>
      </c>
      <c r="N232" t="s">
        <v>33</v>
      </c>
      <c r="O232" s="132">
        <v>56</v>
      </c>
      <c r="P232">
        <v>2024</v>
      </c>
      <c r="R232" t="s">
        <v>325</v>
      </c>
      <c r="S232" t="s">
        <v>67</v>
      </c>
      <c r="T232" t="s">
        <v>82</v>
      </c>
      <c r="U232" t="s">
        <v>271</v>
      </c>
      <c r="W232" t="s">
        <v>478</v>
      </c>
      <c r="X232" t="s">
        <v>311</v>
      </c>
      <c r="Y232" t="s">
        <v>41</v>
      </c>
      <c r="Z232" s="132">
        <v>17643</v>
      </c>
    </row>
    <row r="233" spans="13:26" x14ac:dyDescent="0.3">
      <c r="M233" t="s">
        <v>66</v>
      </c>
      <c r="N233" t="s">
        <v>41</v>
      </c>
      <c r="O233" s="132">
        <v>17889</v>
      </c>
      <c r="P233">
        <v>2024</v>
      </c>
      <c r="R233" t="s">
        <v>325</v>
      </c>
      <c r="S233" t="s">
        <v>67</v>
      </c>
      <c r="T233" t="s">
        <v>47</v>
      </c>
      <c r="U233" t="s">
        <v>271</v>
      </c>
      <c r="W233" t="s">
        <v>479</v>
      </c>
      <c r="X233" t="s">
        <v>209</v>
      </c>
      <c r="Y233" t="s">
        <v>24</v>
      </c>
      <c r="Z233" s="132">
        <v>77</v>
      </c>
    </row>
    <row r="234" spans="13:26" x14ac:dyDescent="0.3">
      <c r="M234" t="s">
        <v>377</v>
      </c>
      <c r="N234" t="s">
        <v>24</v>
      </c>
      <c r="O234" s="132">
        <v>39</v>
      </c>
      <c r="P234">
        <v>2024</v>
      </c>
      <c r="R234" t="s">
        <v>325</v>
      </c>
      <c r="S234" t="s">
        <v>67</v>
      </c>
      <c r="T234" t="s">
        <v>26</v>
      </c>
      <c r="U234" t="s">
        <v>271</v>
      </c>
      <c r="W234" t="s">
        <v>479</v>
      </c>
      <c r="X234" t="s">
        <v>209</v>
      </c>
      <c r="Y234" t="s">
        <v>33</v>
      </c>
      <c r="Z234" s="132">
        <v>900</v>
      </c>
    </row>
    <row r="235" spans="13:26" x14ac:dyDescent="0.3">
      <c r="M235" t="s">
        <v>377</v>
      </c>
      <c r="N235" t="s">
        <v>31</v>
      </c>
      <c r="O235" s="132">
        <v>40</v>
      </c>
      <c r="P235">
        <v>2024</v>
      </c>
      <c r="R235" t="s">
        <v>325</v>
      </c>
      <c r="S235" t="s">
        <v>67</v>
      </c>
      <c r="T235" t="s">
        <v>37</v>
      </c>
      <c r="U235" t="s">
        <v>271</v>
      </c>
      <c r="W235" t="s">
        <v>479</v>
      </c>
      <c r="X235" t="s">
        <v>209</v>
      </c>
      <c r="Y235" t="s">
        <v>31</v>
      </c>
      <c r="Z235" s="132">
        <v>28</v>
      </c>
    </row>
    <row r="236" spans="13:26" x14ac:dyDescent="0.3">
      <c r="M236" t="s">
        <v>377</v>
      </c>
      <c r="N236" t="s">
        <v>33</v>
      </c>
      <c r="O236" s="132">
        <v>219</v>
      </c>
      <c r="P236">
        <v>2024</v>
      </c>
      <c r="R236" t="s">
        <v>325</v>
      </c>
      <c r="S236" t="s">
        <v>67</v>
      </c>
      <c r="T236" t="s">
        <v>32</v>
      </c>
      <c r="U236" t="s">
        <v>271</v>
      </c>
      <c r="W236" t="s">
        <v>479</v>
      </c>
      <c r="X236" t="s">
        <v>209</v>
      </c>
      <c r="Y236" t="s">
        <v>41</v>
      </c>
      <c r="Z236" s="132">
        <v>15000</v>
      </c>
    </row>
    <row r="237" spans="13:26" x14ac:dyDescent="0.3">
      <c r="M237" t="s">
        <v>377</v>
      </c>
      <c r="N237" t="s">
        <v>41</v>
      </c>
      <c r="O237" s="132">
        <v>15000</v>
      </c>
      <c r="P237">
        <v>2024</v>
      </c>
      <c r="R237" t="s">
        <v>325</v>
      </c>
      <c r="S237" t="s">
        <v>67</v>
      </c>
      <c r="T237" t="s">
        <v>42</v>
      </c>
      <c r="U237" t="s">
        <v>271</v>
      </c>
      <c r="W237" t="s">
        <v>480</v>
      </c>
      <c r="X237" t="s">
        <v>138</v>
      </c>
      <c r="Y237" t="s">
        <v>24</v>
      </c>
      <c r="Z237" s="132">
        <v>11</v>
      </c>
    </row>
    <row r="238" spans="13:26" x14ac:dyDescent="0.3">
      <c r="M238" t="s">
        <v>380</v>
      </c>
      <c r="N238" t="s">
        <v>24</v>
      </c>
      <c r="O238" s="132">
        <v>1</v>
      </c>
      <c r="P238">
        <v>2024</v>
      </c>
      <c r="R238" t="s">
        <v>325</v>
      </c>
      <c r="S238" t="s">
        <v>67</v>
      </c>
      <c r="T238" t="s">
        <v>32</v>
      </c>
      <c r="U238" t="s">
        <v>278</v>
      </c>
      <c r="W238" t="s">
        <v>480</v>
      </c>
      <c r="X238" t="s">
        <v>138</v>
      </c>
      <c r="Y238" t="s">
        <v>33</v>
      </c>
      <c r="Z238" s="132">
        <v>165</v>
      </c>
    </row>
    <row r="239" spans="13:26" x14ac:dyDescent="0.3">
      <c r="M239" t="s">
        <v>380</v>
      </c>
      <c r="N239" t="s">
        <v>31</v>
      </c>
      <c r="O239" s="132">
        <v>4378</v>
      </c>
      <c r="P239">
        <v>2024</v>
      </c>
      <c r="R239" t="s">
        <v>325</v>
      </c>
      <c r="S239" t="s">
        <v>67</v>
      </c>
      <c r="T239" t="s">
        <v>42</v>
      </c>
      <c r="U239" t="s">
        <v>278</v>
      </c>
      <c r="W239" t="s">
        <v>480</v>
      </c>
      <c r="X239" t="s">
        <v>138</v>
      </c>
      <c r="Y239" t="s">
        <v>31</v>
      </c>
      <c r="Z239" s="132">
        <v>133</v>
      </c>
    </row>
    <row r="240" spans="13:26" x14ac:dyDescent="0.3">
      <c r="M240" t="s">
        <v>380</v>
      </c>
      <c r="N240" t="s">
        <v>33</v>
      </c>
      <c r="O240" s="132">
        <v>211836</v>
      </c>
      <c r="P240">
        <v>2024</v>
      </c>
      <c r="R240" t="s">
        <v>325</v>
      </c>
      <c r="S240" t="s">
        <v>67</v>
      </c>
      <c r="T240" t="s">
        <v>42</v>
      </c>
      <c r="U240" t="s">
        <v>112</v>
      </c>
      <c r="W240" t="s">
        <v>480</v>
      </c>
      <c r="X240" t="s">
        <v>138</v>
      </c>
      <c r="Y240" t="s">
        <v>41</v>
      </c>
      <c r="Z240" s="132">
        <v>6862</v>
      </c>
    </row>
    <row r="241" spans="13:26" x14ac:dyDescent="0.3">
      <c r="M241" t="s">
        <v>380</v>
      </c>
      <c r="N241" t="s">
        <v>41</v>
      </c>
      <c r="O241" s="132">
        <v>457414</v>
      </c>
      <c r="P241">
        <v>2024</v>
      </c>
      <c r="R241" t="s">
        <v>325</v>
      </c>
      <c r="S241" t="s">
        <v>67</v>
      </c>
      <c r="T241" t="s">
        <v>37</v>
      </c>
      <c r="U241" t="s">
        <v>112</v>
      </c>
      <c r="W241" t="s">
        <v>481</v>
      </c>
      <c r="X241" t="s">
        <v>313</v>
      </c>
      <c r="Y241" t="s">
        <v>24</v>
      </c>
      <c r="Z241" s="132">
        <v>274</v>
      </c>
    </row>
    <row r="242" spans="13:26" x14ac:dyDescent="0.3">
      <c r="M242" t="s">
        <v>96</v>
      </c>
      <c r="N242" t="s">
        <v>24</v>
      </c>
      <c r="O242" s="132">
        <v>10</v>
      </c>
      <c r="P242">
        <v>2024</v>
      </c>
      <c r="R242" t="s">
        <v>325</v>
      </c>
      <c r="S242" t="s">
        <v>67</v>
      </c>
      <c r="T242" t="s">
        <v>47</v>
      </c>
      <c r="U242" t="s">
        <v>112</v>
      </c>
      <c r="W242" t="s">
        <v>481</v>
      </c>
      <c r="X242" t="s">
        <v>313</v>
      </c>
      <c r="Y242" t="s">
        <v>33</v>
      </c>
      <c r="Z242" s="132">
        <v>505</v>
      </c>
    </row>
    <row r="243" spans="13:26" x14ac:dyDescent="0.3">
      <c r="M243" t="s">
        <v>96</v>
      </c>
      <c r="N243" t="s">
        <v>31</v>
      </c>
      <c r="O243" s="132">
        <v>3200</v>
      </c>
      <c r="P243">
        <v>2024</v>
      </c>
      <c r="R243" t="s">
        <v>325</v>
      </c>
      <c r="S243" t="s">
        <v>67</v>
      </c>
      <c r="T243" t="s">
        <v>32</v>
      </c>
      <c r="U243" t="s">
        <v>112</v>
      </c>
      <c r="W243" t="s">
        <v>481</v>
      </c>
      <c r="X243" t="s">
        <v>313</v>
      </c>
      <c r="Y243" t="s">
        <v>31</v>
      </c>
      <c r="Z243" s="132">
        <v>2518</v>
      </c>
    </row>
    <row r="244" spans="13:26" x14ac:dyDescent="0.3">
      <c r="M244" t="s">
        <v>96</v>
      </c>
      <c r="N244" t="s">
        <v>33</v>
      </c>
      <c r="O244" s="132">
        <v>58</v>
      </c>
      <c r="P244">
        <v>2024</v>
      </c>
      <c r="R244" t="s">
        <v>325</v>
      </c>
      <c r="S244" t="s">
        <v>67</v>
      </c>
      <c r="T244" t="s">
        <v>82</v>
      </c>
      <c r="U244" t="s">
        <v>112</v>
      </c>
      <c r="W244" t="s">
        <v>481</v>
      </c>
      <c r="X244" t="s">
        <v>313</v>
      </c>
      <c r="Y244" t="s">
        <v>41</v>
      </c>
      <c r="Z244" s="132">
        <v>7615</v>
      </c>
    </row>
    <row r="245" spans="13:26" x14ac:dyDescent="0.3">
      <c r="M245" t="s">
        <v>96</v>
      </c>
      <c r="N245" t="s">
        <v>41</v>
      </c>
      <c r="O245" s="132">
        <v>66524</v>
      </c>
      <c r="P245">
        <v>2024</v>
      </c>
      <c r="R245" t="s">
        <v>325</v>
      </c>
      <c r="S245" t="s">
        <v>67</v>
      </c>
      <c r="T245" t="s">
        <v>26</v>
      </c>
      <c r="U245" t="s">
        <v>112</v>
      </c>
      <c r="W245" t="s">
        <v>482</v>
      </c>
      <c r="X245" t="s">
        <v>140</v>
      </c>
      <c r="Y245" t="s">
        <v>24</v>
      </c>
      <c r="Z245" s="132">
        <v>9</v>
      </c>
    </row>
    <row r="246" spans="13:26" x14ac:dyDescent="0.3">
      <c r="M246" t="s">
        <v>128</v>
      </c>
      <c r="N246" t="s">
        <v>24</v>
      </c>
      <c r="O246" s="132">
        <v>82</v>
      </c>
      <c r="P246">
        <v>2024</v>
      </c>
      <c r="R246" t="s">
        <v>325</v>
      </c>
      <c r="S246" t="s">
        <v>67</v>
      </c>
      <c r="T246" t="s">
        <v>42</v>
      </c>
      <c r="U246" t="s">
        <v>243</v>
      </c>
      <c r="W246" t="s">
        <v>482</v>
      </c>
      <c r="X246" t="s">
        <v>140</v>
      </c>
      <c r="Y246" t="s">
        <v>33</v>
      </c>
      <c r="Z246" s="132">
        <v>14</v>
      </c>
    </row>
    <row r="247" spans="13:26" x14ac:dyDescent="0.3">
      <c r="M247" t="s">
        <v>128</v>
      </c>
      <c r="N247" t="s">
        <v>31</v>
      </c>
      <c r="O247" s="132">
        <v>86</v>
      </c>
      <c r="P247">
        <v>2024</v>
      </c>
      <c r="R247" t="s">
        <v>325</v>
      </c>
      <c r="S247" t="s">
        <v>67</v>
      </c>
      <c r="T247" t="s">
        <v>37</v>
      </c>
      <c r="U247" t="s">
        <v>243</v>
      </c>
      <c r="W247" t="s">
        <v>482</v>
      </c>
      <c r="X247" t="s">
        <v>140</v>
      </c>
      <c r="Y247" t="s">
        <v>41</v>
      </c>
      <c r="Z247" s="132">
        <v>1018</v>
      </c>
    </row>
    <row r="248" spans="13:26" x14ac:dyDescent="0.3">
      <c r="M248" t="s">
        <v>128</v>
      </c>
      <c r="N248" t="s">
        <v>33</v>
      </c>
      <c r="O248" s="132">
        <v>517</v>
      </c>
      <c r="P248">
        <v>2024</v>
      </c>
      <c r="R248" t="s">
        <v>325</v>
      </c>
      <c r="S248" t="s">
        <v>67</v>
      </c>
      <c r="T248" t="s">
        <v>47</v>
      </c>
      <c r="U248" t="s">
        <v>243</v>
      </c>
      <c r="W248" t="s">
        <v>483</v>
      </c>
      <c r="X248" t="s">
        <v>316</v>
      </c>
      <c r="Y248" t="s">
        <v>24</v>
      </c>
      <c r="Z248" s="132">
        <v>77</v>
      </c>
    </row>
    <row r="249" spans="13:26" x14ac:dyDescent="0.3">
      <c r="M249" t="s">
        <v>128</v>
      </c>
      <c r="N249" t="s">
        <v>41</v>
      </c>
      <c r="O249" s="132">
        <v>5680</v>
      </c>
      <c r="P249">
        <v>2024</v>
      </c>
      <c r="R249" t="s">
        <v>325</v>
      </c>
      <c r="S249" t="s">
        <v>67</v>
      </c>
      <c r="T249" t="s">
        <v>32</v>
      </c>
      <c r="U249" t="s">
        <v>243</v>
      </c>
      <c r="W249" t="s">
        <v>483</v>
      </c>
      <c r="X249" t="s">
        <v>316</v>
      </c>
      <c r="Y249" t="s">
        <v>33</v>
      </c>
      <c r="Z249" s="132">
        <v>343</v>
      </c>
    </row>
    <row r="250" spans="13:26" x14ac:dyDescent="0.3">
      <c r="M250" t="s">
        <v>142</v>
      </c>
      <c r="N250" t="s">
        <v>24</v>
      </c>
      <c r="O250" s="132">
        <v>21</v>
      </c>
      <c r="P250">
        <v>2024</v>
      </c>
      <c r="R250" t="s">
        <v>325</v>
      </c>
      <c r="S250" t="s">
        <v>67</v>
      </c>
      <c r="T250" t="s">
        <v>82</v>
      </c>
      <c r="U250" t="s">
        <v>243</v>
      </c>
      <c r="W250" t="s">
        <v>483</v>
      </c>
      <c r="X250" t="s">
        <v>316</v>
      </c>
      <c r="Y250" t="s">
        <v>31</v>
      </c>
      <c r="Z250" s="132">
        <v>8319</v>
      </c>
    </row>
    <row r="251" spans="13:26" x14ac:dyDescent="0.3">
      <c r="M251" t="s">
        <v>142</v>
      </c>
      <c r="N251" t="s">
        <v>31</v>
      </c>
      <c r="O251" s="132">
        <v>21</v>
      </c>
      <c r="P251">
        <v>2024</v>
      </c>
      <c r="R251" t="s">
        <v>286</v>
      </c>
      <c r="S251" t="s">
        <v>91</v>
      </c>
      <c r="T251" t="s">
        <v>82</v>
      </c>
      <c r="U251" t="s">
        <v>131</v>
      </c>
      <c r="W251" t="s">
        <v>483</v>
      </c>
      <c r="X251" t="s">
        <v>316</v>
      </c>
      <c r="Y251" t="s">
        <v>41</v>
      </c>
      <c r="Z251" s="132">
        <v>89863</v>
      </c>
    </row>
    <row r="252" spans="13:26" x14ac:dyDescent="0.3">
      <c r="M252" t="s">
        <v>142</v>
      </c>
      <c r="N252" t="s">
        <v>33</v>
      </c>
      <c r="O252" s="132">
        <v>197</v>
      </c>
      <c r="P252">
        <v>2024</v>
      </c>
      <c r="R252" t="s">
        <v>286</v>
      </c>
      <c r="S252" t="s">
        <v>91</v>
      </c>
      <c r="T252" t="s">
        <v>26</v>
      </c>
      <c r="U252" t="s">
        <v>131</v>
      </c>
      <c r="W252" t="s">
        <v>484</v>
      </c>
      <c r="X252" t="s">
        <v>146</v>
      </c>
      <c r="Y252" t="s">
        <v>24</v>
      </c>
      <c r="Z252" s="132">
        <v>45</v>
      </c>
    </row>
    <row r="253" spans="13:26" x14ac:dyDescent="0.3">
      <c r="M253" t="s">
        <v>142</v>
      </c>
      <c r="N253" t="s">
        <v>41</v>
      </c>
      <c r="O253" s="132">
        <v>2000</v>
      </c>
      <c r="P253">
        <v>2024</v>
      </c>
      <c r="R253" t="s">
        <v>286</v>
      </c>
      <c r="S253" t="s">
        <v>91</v>
      </c>
      <c r="T253" t="s">
        <v>32</v>
      </c>
      <c r="U253" t="s">
        <v>131</v>
      </c>
      <c r="W253" t="s">
        <v>484</v>
      </c>
      <c r="X253" t="s">
        <v>146</v>
      </c>
      <c r="Y253" t="s">
        <v>33</v>
      </c>
      <c r="Z253" s="132">
        <v>324</v>
      </c>
    </row>
    <row r="254" spans="13:26" x14ac:dyDescent="0.3">
      <c r="M254" t="s">
        <v>99</v>
      </c>
      <c r="N254" t="s">
        <v>24</v>
      </c>
      <c r="O254" s="132">
        <v>38</v>
      </c>
      <c r="P254">
        <v>2024</v>
      </c>
      <c r="R254" t="s">
        <v>485</v>
      </c>
      <c r="S254" t="s">
        <v>69</v>
      </c>
      <c r="T254" t="s">
        <v>42</v>
      </c>
      <c r="U254" t="s">
        <v>343</v>
      </c>
      <c r="W254" t="s">
        <v>484</v>
      </c>
      <c r="X254" t="s">
        <v>146</v>
      </c>
      <c r="Y254" t="s">
        <v>31</v>
      </c>
      <c r="Z254" s="132">
        <v>45</v>
      </c>
    </row>
    <row r="255" spans="13:26" x14ac:dyDescent="0.3">
      <c r="M255" t="s">
        <v>99</v>
      </c>
      <c r="N255" t="s">
        <v>31</v>
      </c>
      <c r="O255" s="132">
        <v>303</v>
      </c>
      <c r="P255">
        <v>2024</v>
      </c>
      <c r="R255" t="s">
        <v>386</v>
      </c>
      <c r="S255" t="s">
        <v>76</v>
      </c>
      <c r="T255" t="s">
        <v>32</v>
      </c>
      <c r="U255" t="s">
        <v>103</v>
      </c>
      <c r="W255" t="s">
        <v>484</v>
      </c>
      <c r="X255" t="s">
        <v>146</v>
      </c>
      <c r="Y255" t="s">
        <v>41</v>
      </c>
      <c r="Z255" s="132">
        <v>45707</v>
      </c>
    </row>
    <row r="256" spans="13:26" x14ac:dyDescent="0.3">
      <c r="M256" t="s">
        <v>99</v>
      </c>
      <c r="N256" t="s">
        <v>33</v>
      </c>
      <c r="O256" s="132">
        <v>121</v>
      </c>
      <c r="P256">
        <v>2024</v>
      </c>
      <c r="R256" t="s">
        <v>386</v>
      </c>
      <c r="S256" t="s">
        <v>76</v>
      </c>
      <c r="T256" t="s">
        <v>47</v>
      </c>
      <c r="U256" t="s">
        <v>103</v>
      </c>
      <c r="W256" t="s">
        <v>486</v>
      </c>
      <c r="X256" t="s">
        <v>81</v>
      </c>
      <c r="Y256" t="s">
        <v>24</v>
      </c>
      <c r="Z256" s="132">
        <v>37</v>
      </c>
    </row>
    <row r="257" spans="13:26" x14ac:dyDescent="0.3">
      <c r="M257" t="s">
        <v>99</v>
      </c>
      <c r="N257" t="s">
        <v>41</v>
      </c>
      <c r="O257" s="132">
        <v>30600</v>
      </c>
      <c r="P257">
        <v>2024</v>
      </c>
      <c r="R257" t="s">
        <v>386</v>
      </c>
      <c r="S257" t="s">
        <v>76</v>
      </c>
      <c r="T257" t="s">
        <v>26</v>
      </c>
      <c r="U257" t="s">
        <v>103</v>
      </c>
      <c r="W257" t="s">
        <v>486</v>
      </c>
      <c r="X257" t="s">
        <v>81</v>
      </c>
      <c r="Y257" t="s">
        <v>33</v>
      </c>
      <c r="Z257" s="132">
        <v>500</v>
      </c>
    </row>
    <row r="258" spans="13:26" x14ac:dyDescent="0.3">
      <c r="M258" t="s">
        <v>106</v>
      </c>
      <c r="N258" t="s">
        <v>24</v>
      </c>
      <c r="O258" s="132">
        <v>11</v>
      </c>
      <c r="P258">
        <v>2024</v>
      </c>
      <c r="R258" t="s">
        <v>386</v>
      </c>
      <c r="S258" t="s">
        <v>76</v>
      </c>
      <c r="T258" t="s">
        <v>37</v>
      </c>
      <c r="U258" t="s">
        <v>103</v>
      </c>
      <c r="W258" t="s">
        <v>486</v>
      </c>
      <c r="X258" t="s">
        <v>81</v>
      </c>
      <c r="Y258" t="s">
        <v>31</v>
      </c>
      <c r="Z258" s="132">
        <v>774</v>
      </c>
    </row>
    <row r="259" spans="13:26" x14ac:dyDescent="0.3">
      <c r="M259" t="s">
        <v>106</v>
      </c>
      <c r="N259" t="s">
        <v>31</v>
      </c>
      <c r="O259" s="132">
        <v>52</v>
      </c>
      <c r="P259">
        <v>2024</v>
      </c>
      <c r="R259" t="s">
        <v>386</v>
      </c>
      <c r="S259" t="s">
        <v>76</v>
      </c>
      <c r="T259" t="s">
        <v>42</v>
      </c>
      <c r="U259" t="s">
        <v>103</v>
      </c>
      <c r="W259" t="s">
        <v>486</v>
      </c>
      <c r="X259" t="s">
        <v>81</v>
      </c>
      <c r="Y259" t="s">
        <v>41</v>
      </c>
      <c r="Z259" s="132">
        <v>66739</v>
      </c>
    </row>
    <row r="260" spans="13:26" x14ac:dyDescent="0.3">
      <c r="M260" t="s">
        <v>106</v>
      </c>
      <c r="N260" t="s">
        <v>33</v>
      </c>
      <c r="O260" s="132">
        <v>16</v>
      </c>
      <c r="P260">
        <v>2024</v>
      </c>
      <c r="R260" t="s">
        <v>386</v>
      </c>
      <c r="S260" t="s">
        <v>76</v>
      </c>
      <c r="T260" t="s">
        <v>37</v>
      </c>
      <c r="U260" t="s">
        <v>63</v>
      </c>
      <c r="W260" t="s">
        <v>487</v>
      </c>
      <c r="X260" t="s">
        <v>320</v>
      </c>
      <c r="Y260" t="s">
        <v>24</v>
      </c>
      <c r="Z260" s="132">
        <v>69</v>
      </c>
    </row>
    <row r="261" spans="13:26" x14ac:dyDescent="0.3">
      <c r="M261" t="s">
        <v>106</v>
      </c>
      <c r="N261" t="s">
        <v>41</v>
      </c>
      <c r="O261" s="132">
        <v>5000</v>
      </c>
      <c r="P261">
        <v>2024</v>
      </c>
      <c r="R261" t="s">
        <v>386</v>
      </c>
      <c r="S261" t="s">
        <v>76</v>
      </c>
      <c r="T261" t="s">
        <v>32</v>
      </c>
      <c r="U261" t="s">
        <v>63</v>
      </c>
      <c r="W261" t="s">
        <v>487</v>
      </c>
      <c r="X261" t="s">
        <v>320</v>
      </c>
      <c r="Y261" t="s">
        <v>33</v>
      </c>
      <c r="Z261" s="132">
        <v>692</v>
      </c>
    </row>
    <row r="262" spans="13:26" x14ac:dyDescent="0.3">
      <c r="M262" t="s">
        <v>180</v>
      </c>
      <c r="N262" t="s">
        <v>31</v>
      </c>
      <c r="O262" s="132">
        <v>3</v>
      </c>
      <c r="P262">
        <v>2024</v>
      </c>
      <c r="R262" t="s">
        <v>386</v>
      </c>
      <c r="S262" t="s">
        <v>76</v>
      </c>
      <c r="T262" t="s">
        <v>47</v>
      </c>
      <c r="U262" t="s">
        <v>63</v>
      </c>
      <c r="W262" t="s">
        <v>487</v>
      </c>
      <c r="X262" t="s">
        <v>320</v>
      </c>
      <c r="Y262" t="s">
        <v>31</v>
      </c>
      <c r="Z262" s="132">
        <v>70</v>
      </c>
    </row>
    <row r="263" spans="13:26" x14ac:dyDescent="0.3">
      <c r="M263" t="s">
        <v>180</v>
      </c>
      <c r="N263" t="s">
        <v>33</v>
      </c>
      <c r="O263" s="132">
        <v>11</v>
      </c>
      <c r="P263">
        <v>2024</v>
      </c>
      <c r="R263" t="s">
        <v>386</v>
      </c>
      <c r="S263" t="s">
        <v>76</v>
      </c>
      <c r="T263" t="s">
        <v>42</v>
      </c>
      <c r="U263" t="s">
        <v>63</v>
      </c>
      <c r="W263" t="s">
        <v>487</v>
      </c>
      <c r="X263" t="s">
        <v>320</v>
      </c>
      <c r="Y263" t="s">
        <v>41</v>
      </c>
      <c r="Z263" s="132">
        <v>5000</v>
      </c>
    </row>
    <row r="264" spans="13:26" x14ac:dyDescent="0.3">
      <c r="M264" t="s">
        <v>180</v>
      </c>
      <c r="N264" t="s">
        <v>41</v>
      </c>
      <c r="O264" s="132">
        <v>100</v>
      </c>
      <c r="P264">
        <v>2024</v>
      </c>
      <c r="R264" t="s">
        <v>488</v>
      </c>
      <c r="S264" t="s">
        <v>231</v>
      </c>
      <c r="T264" t="s">
        <v>32</v>
      </c>
      <c r="U264" t="s">
        <v>271</v>
      </c>
      <c r="W264" t="s">
        <v>489</v>
      </c>
      <c r="X264" t="s">
        <v>323</v>
      </c>
      <c r="Y264" t="s">
        <v>24</v>
      </c>
      <c r="Z264" s="132">
        <v>2</v>
      </c>
    </row>
    <row r="265" spans="13:26" x14ac:dyDescent="0.3">
      <c r="M265" t="s">
        <v>151</v>
      </c>
      <c r="N265" t="s">
        <v>24</v>
      </c>
      <c r="O265" s="132">
        <v>13</v>
      </c>
      <c r="P265">
        <v>2024</v>
      </c>
      <c r="R265" t="s">
        <v>488</v>
      </c>
      <c r="S265" t="s">
        <v>231</v>
      </c>
      <c r="T265" t="s">
        <v>32</v>
      </c>
      <c r="U265" t="s">
        <v>103</v>
      </c>
      <c r="W265" t="s">
        <v>489</v>
      </c>
      <c r="X265" t="s">
        <v>323</v>
      </c>
      <c r="Y265" t="s">
        <v>33</v>
      </c>
      <c r="Z265" s="132">
        <v>11</v>
      </c>
    </row>
    <row r="266" spans="13:26" x14ac:dyDescent="0.3">
      <c r="M266" t="s">
        <v>151</v>
      </c>
      <c r="N266" t="s">
        <v>31</v>
      </c>
      <c r="O266" s="132">
        <v>115</v>
      </c>
      <c r="P266">
        <v>2024</v>
      </c>
      <c r="R266" t="s">
        <v>315</v>
      </c>
      <c r="S266" t="s">
        <v>115</v>
      </c>
      <c r="T266" t="s">
        <v>82</v>
      </c>
      <c r="U266" t="s">
        <v>271</v>
      </c>
      <c r="W266" t="s">
        <v>489</v>
      </c>
      <c r="X266" t="s">
        <v>323</v>
      </c>
      <c r="Y266" t="s">
        <v>31</v>
      </c>
      <c r="Z266" s="132">
        <v>2</v>
      </c>
    </row>
    <row r="267" spans="13:26" x14ac:dyDescent="0.3">
      <c r="M267" t="s">
        <v>151</v>
      </c>
      <c r="N267" t="s">
        <v>33</v>
      </c>
      <c r="O267" s="132">
        <v>52</v>
      </c>
      <c r="P267">
        <v>2024</v>
      </c>
      <c r="R267" t="s">
        <v>315</v>
      </c>
      <c r="S267" t="s">
        <v>115</v>
      </c>
      <c r="T267" t="s">
        <v>82</v>
      </c>
      <c r="U267" t="s">
        <v>131</v>
      </c>
      <c r="W267" t="s">
        <v>489</v>
      </c>
      <c r="X267" t="s">
        <v>323</v>
      </c>
      <c r="Y267" t="s">
        <v>41</v>
      </c>
      <c r="Z267" s="132">
        <v>163</v>
      </c>
    </row>
    <row r="268" spans="13:26" x14ac:dyDescent="0.3">
      <c r="M268" t="s">
        <v>151</v>
      </c>
      <c r="N268" t="s">
        <v>41</v>
      </c>
      <c r="O268" s="132">
        <v>4940</v>
      </c>
      <c r="P268">
        <v>2024</v>
      </c>
      <c r="R268" t="s">
        <v>315</v>
      </c>
      <c r="S268" t="s">
        <v>115</v>
      </c>
      <c r="T268" t="s">
        <v>47</v>
      </c>
      <c r="U268" t="s">
        <v>103</v>
      </c>
      <c r="W268" t="s">
        <v>490</v>
      </c>
      <c r="X268" t="s">
        <v>185</v>
      </c>
      <c r="Y268" t="s">
        <v>24</v>
      </c>
      <c r="Z268" s="132">
        <v>23</v>
      </c>
    </row>
    <row r="269" spans="13:26" x14ac:dyDescent="0.3">
      <c r="M269" t="s">
        <v>154</v>
      </c>
      <c r="N269" t="s">
        <v>24</v>
      </c>
      <c r="O269" s="132">
        <v>5</v>
      </c>
      <c r="P269">
        <v>2024</v>
      </c>
      <c r="R269" t="s">
        <v>315</v>
      </c>
      <c r="S269" t="s">
        <v>115</v>
      </c>
      <c r="T269" t="s">
        <v>42</v>
      </c>
      <c r="U269" t="s">
        <v>103</v>
      </c>
      <c r="W269" t="s">
        <v>490</v>
      </c>
      <c r="X269" t="s">
        <v>185</v>
      </c>
      <c r="Y269" t="s">
        <v>33</v>
      </c>
      <c r="Z269" s="132">
        <v>109</v>
      </c>
    </row>
    <row r="270" spans="13:26" x14ac:dyDescent="0.3">
      <c r="M270" t="s">
        <v>154</v>
      </c>
      <c r="N270" t="s">
        <v>31</v>
      </c>
      <c r="O270" s="132">
        <v>53</v>
      </c>
      <c r="P270">
        <v>2024</v>
      </c>
      <c r="R270" t="s">
        <v>315</v>
      </c>
      <c r="S270" t="s">
        <v>115</v>
      </c>
      <c r="T270" t="s">
        <v>82</v>
      </c>
      <c r="U270" t="s">
        <v>103</v>
      </c>
      <c r="W270" t="s">
        <v>490</v>
      </c>
      <c r="X270" t="s">
        <v>185</v>
      </c>
      <c r="Y270" t="s">
        <v>31</v>
      </c>
      <c r="Z270" s="132">
        <v>28</v>
      </c>
    </row>
    <row r="271" spans="13:26" x14ac:dyDescent="0.3">
      <c r="M271" t="s">
        <v>154</v>
      </c>
      <c r="N271" t="s">
        <v>33</v>
      </c>
      <c r="O271" s="132">
        <v>533</v>
      </c>
      <c r="P271">
        <v>2024</v>
      </c>
      <c r="R271" t="s">
        <v>315</v>
      </c>
      <c r="S271" t="s">
        <v>115</v>
      </c>
      <c r="T271" t="s">
        <v>26</v>
      </c>
      <c r="U271" t="s">
        <v>103</v>
      </c>
      <c r="W271" t="s">
        <v>490</v>
      </c>
      <c r="X271" t="s">
        <v>185</v>
      </c>
      <c r="Y271" t="s">
        <v>41</v>
      </c>
      <c r="Z271" s="132">
        <v>1300</v>
      </c>
    </row>
    <row r="272" spans="13:26" x14ac:dyDescent="0.3">
      <c r="M272" t="s">
        <v>154</v>
      </c>
      <c r="N272" t="s">
        <v>41</v>
      </c>
      <c r="O272" s="132">
        <v>6000</v>
      </c>
      <c r="P272">
        <v>2024</v>
      </c>
      <c r="R272" t="s">
        <v>315</v>
      </c>
      <c r="S272" t="s">
        <v>115</v>
      </c>
      <c r="T272" t="s">
        <v>32</v>
      </c>
      <c r="U272" t="s">
        <v>103</v>
      </c>
      <c r="W272" t="s">
        <v>491</v>
      </c>
      <c r="X272" t="s">
        <v>326</v>
      </c>
      <c r="Y272" t="s">
        <v>24</v>
      </c>
      <c r="Z272" s="132">
        <v>12</v>
      </c>
    </row>
    <row r="273" spans="13:26" x14ac:dyDescent="0.3">
      <c r="M273" t="s">
        <v>382</v>
      </c>
      <c r="N273" t="s">
        <v>24</v>
      </c>
      <c r="O273" s="132">
        <v>20</v>
      </c>
      <c r="P273">
        <v>2024</v>
      </c>
      <c r="R273" t="s">
        <v>315</v>
      </c>
      <c r="S273" t="s">
        <v>115</v>
      </c>
      <c r="T273" t="s">
        <v>82</v>
      </c>
      <c r="U273" t="s">
        <v>220</v>
      </c>
      <c r="W273" t="s">
        <v>491</v>
      </c>
      <c r="X273" t="s">
        <v>326</v>
      </c>
      <c r="Y273" t="s">
        <v>33</v>
      </c>
      <c r="Z273" s="132">
        <v>32</v>
      </c>
    </row>
    <row r="274" spans="13:26" x14ac:dyDescent="0.3">
      <c r="M274" t="s">
        <v>382</v>
      </c>
      <c r="N274" t="s">
        <v>31</v>
      </c>
      <c r="O274" s="132">
        <v>1443</v>
      </c>
      <c r="P274">
        <v>2024</v>
      </c>
      <c r="R274" t="s">
        <v>315</v>
      </c>
      <c r="S274" t="s">
        <v>115</v>
      </c>
      <c r="T274" t="s">
        <v>42</v>
      </c>
      <c r="U274" t="s">
        <v>220</v>
      </c>
      <c r="W274" t="s">
        <v>491</v>
      </c>
      <c r="X274" t="s">
        <v>326</v>
      </c>
      <c r="Y274" t="s">
        <v>31</v>
      </c>
      <c r="Z274" s="132">
        <v>13</v>
      </c>
    </row>
    <row r="275" spans="13:26" x14ac:dyDescent="0.3">
      <c r="M275" t="s">
        <v>382</v>
      </c>
      <c r="N275" t="s">
        <v>33</v>
      </c>
      <c r="O275" s="132">
        <v>950</v>
      </c>
      <c r="P275">
        <v>2024</v>
      </c>
      <c r="R275" t="s">
        <v>334</v>
      </c>
      <c r="S275" t="s">
        <v>120</v>
      </c>
      <c r="T275" t="s">
        <v>47</v>
      </c>
      <c r="U275" t="s">
        <v>131</v>
      </c>
      <c r="W275" t="s">
        <v>491</v>
      </c>
      <c r="X275" t="s">
        <v>326</v>
      </c>
      <c r="Y275" t="s">
        <v>41</v>
      </c>
      <c r="Z275" s="132">
        <v>850</v>
      </c>
    </row>
    <row r="276" spans="13:26" x14ac:dyDescent="0.3">
      <c r="M276" t="s">
        <v>382</v>
      </c>
      <c r="N276" t="s">
        <v>41</v>
      </c>
      <c r="O276" s="132">
        <v>8841</v>
      </c>
      <c r="P276">
        <v>2024</v>
      </c>
      <c r="R276" t="s">
        <v>334</v>
      </c>
      <c r="S276" t="s">
        <v>120</v>
      </c>
      <c r="T276" t="s">
        <v>32</v>
      </c>
      <c r="U276" t="s">
        <v>131</v>
      </c>
      <c r="W276" t="s">
        <v>492</v>
      </c>
      <c r="X276" t="s">
        <v>188</v>
      </c>
      <c r="Y276" t="s">
        <v>24</v>
      </c>
      <c r="Z276" s="132">
        <v>21</v>
      </c>
    </row>
    <row r="277" spans="13:26" x14ac:dyDescent="0.3">
      <c r="M277" t="s">
        <v>384</v>
      </c>
      <c r="N277" t="s">
        <v>24</v>
      </c>
      <c r="O277" s="132">
        <v>28</v>
      </c>
      <c r="P277">
        <v>2024</v>
      </c>
      <c r="R277" t="s">
        <v>334</v>
      </c>
      <c r="S277" t="s">
        <v>120</v>
      </c>
      <c r="T277" t="s">
        <v>42</v>
      </c>
      <c r="U277" t="s">
        <v>131</v>
      </c>
      <c r="W277" t="s">
        <v>492</v>
      </c>
      <c r="X277" t="s">
        <v>188</v>
      </c>
      <c r="Y277" t="s">
        <v>33</v>
      </c>
      <c r="Z277" s="132">
        <v>35</v>
      </c>
    </row>
    <row r="278" spans="13:26" x14ac:dyDescent="0.3">
      <c r="M278" t="s">
        <v>384</v>
      </c>
      <c r="N278" t="s">
        <v>31</v>
      </c>
      <c r="O278" s="132">
        <v>33</v>
      </c>
      <c r="P278">
        <v>2024</v>
      </c>
      <c r="R278" t="s">
        <v>334</v>
      </c>
      <c r="S278" t="s">
        <v>120</v>
      </c>
      <c r="T278" t="s">
        <v>47</v>
      </c>
      <c r="U278" t="s">
        <v>103</v>
      </c>
      <c r="W278" t="s">
        <v>492</v>
      </c>
      <c r="X278" t="s">
        <v>188</v>
      </c>
      <c r="Y278" t="s">
        <v>31</v>
      </c>
      <c r="Z278" s="132">
        <v>21</v>
      </c>
    </row>
    <row r="279" spans="13:26" x14ac:dyDescent="0.3">
      <c r="M279" t="s">
        <v>384</v>
      </c>
      <c r="N279" t="s">
        <v>33</v>
      </c>
      <c r="O279" s="132">
        <v>94</v>
      </c>
      <c r="P279">
        <v>2024</v>
      </c>
      <c r="R279" t="s">
        <v>334</v>
      </c>
      <c r="S279" t="s">
        <v>120</v>
      </c>
      <c r="T279" t="s">
        <v>42</v>
      </c>
      <c r="U279" t="s">
        <v>103</v>
      </c>
      <c r="W279" t="s">
        <v>492</v>
      </c>
      <c r="X279" t="s">
        <v>188</v>
      </c>
      <c r="Y279" t="s">
        <v>41</v>
      </c>
      <c r="Z279" s="132">
        <v>1438</v>
      </c>
    </row>
    <row r="280" spans="13:26" x14ac:dyDescent="0.3">
      <c r="M280" t="s">
        <v>384</v>
      </c>
      <c r="N280" t="s">
        <v>41</v>
      </c>
      <c r="O280" s="132">
        <v>2297</v>
      </c>
      <c r="P280">
        <v>2024</v>
      </c>
      <c r="R280" t="s">
        <v>334</v>
      </c>
      <c r="S280" t="s">
        <v>120</v>
      </c>
      <c r="T280" t="s">
        <v>32</v>
      </c>
      <c r="U280" t="s">
        <v>103</v>
      </c>
      <c r="W280" t="s">
        <v>493</v>
      </c>
      <c r="X280" t="s">
        <v>328</v>
      </c>
      <c r="Y280" t="s">
        <v>24</v>
      </c>
      <c r="Z280" s="132">
        <v>102</v>
      </c>
    </row>
    <row r="281" spans="13:26" x14ac:dyDescent="0.3">
      <c r="M281" t="s">
        <v>290</v>
      </c>
      <c r="N281" t="s">
        <v>24</v>
      </c>
      <c r="O281" s="132">
        <v>531</v>
      </c>
      <c r="P281">
        <v>2024</v>
      </c>
      <c r="R281" t="s">
        <v>334</v>
      </c>
      <c r="S281" t="s">
        <v>120</v>
      </c>
      <c r="T281" t="s">
        <v>26</v>
      </c>
      <c r="U281" t="s">
        <v>103</v>
      </c>
      <c r="W281" t="s">
        <v>493</v>
      </c>
      <c r="X281" t="s">
        <v>328</v>
      </c>
      <c r="Y281" t="s">
        <v>33</v>
      </c>
      <c r="Z281" s="132">
        <v>1923</v>
      </c>
    </row>
    <row r="282" spans="13:26" x14ac:dyDescent="0.3">
      <c r="M282" t="s">
        <v>290</v>
      </c>
      <c r="N282" t="s">
        <v>31</v>
      </c>
      <c r="O282" s="132">
        <v>531</v>
      </c>
      <c r="P282">
        <v>2024</v>
      </c>
      <c r="R282" t="s">
        <v>334</v>
      </c>
      <c r="S282" t="s">
        <v>120</v>
      </c>
      <c r="T282" t="s">
        <v>47</v>
      </c>
      <c r="U282" t="s">
        <v>52</v>
      </c>
      <c r="W282" t="s">
        <v>493</v>
      </c>
      <c r="X282" t="s">
        <v>328</v>
      </c>
      <c r="Y282" t="s">
        <v>31</v>
      </c>
      <c r="Z282" s="132">
        <v>147</v>
      </c>
    </row>
    <row r="283" spans="13:26" x14ac:dyDescent="0.3">
      <c r="M283" t="s">
        <v>290</v>
      </c>
      <c r="N283" t="s">
        <v>33</v>
      </c>
      <c r="O283" s="132">
        <v>8075</v>
      </c>
      <c r="P283">
        <v>2024</v>
      </c>
      <c r="R283" t="s">
        <v>334</v>
      </c>
      <c r="S283" t="s">
        <v>120</v>
      </c>
      <c r="T283" t="s">
        <v>82</v>
      </c>
      <c r="U283" t="s">
        <v>112</v>
      </c>
      <c r="W283" t="s">
        <v>493</v>
      </c>
      <c r="X283" t="s">
        <v>328</v>
      </c>
      <c r="Y283" t="s">
        <v>41</v>
      </c>
      <c r="Z283" s="132">
        <v>541000</v>
      </c>
    </row>
    <row r="284" spans="13:26" x14ac:dyDescent="0.3">
      <c r="M284" t="s">
        <v>290</v>
      </c>
      <c r="N284" t="s">
        <v>41</v>
      </c>
      <c r="O284" s="132">
        <v>92941</v>
      </c>
      <c r="P284">
        <v>2024</v>
      </c>
      <c r="R284" t="s">
        <v>334</v>
      </c>
      <c r="S284" t="s">
        <v>120</v>
      </c>
      <c r="T284" t="s">
        <v>47</v>
      </c>
      <c r="U284" t="s">
        <v>112</v>
      </c>
      <c r="W284" t="s">
        <v>494</v>
      </c>
      <c r="X284" t="s">
        <v>152</v>
      </c>
      <c r="Y284" t="s">
        <v>24</v>
      </c>
      <c r="Z284" s="132">
        <v>30</v>
      </c>
    </row>
    <row r="285" spans="13:26" x14ac:dyDescent="0.3">
      <c r="M285" t="s">
        <v>451</v>
      </c>
      <c r="N285" t="s">
        <v>24</v>
      </c>
      <c r="O285" s="132">
        <v>579</v>
      </c>
      <c r="P285">
        <v>2024</v>
      </c>
      <c r="R285" t="s">
        <v>334</v>
      </c>
      <c r="S285" t="s">
        <v>120</v>
      </c>
      <c r="T285" t="s">
        <v>26</v>
      </c>
      <c r="U285" t="s">
        <v>112</v>
      </c>
      <c r="W285" t="s">
        <v>494</v>
      </c>
      <c r="X285" t="s">
        <v>152</v>
      </c>
      <c r="Y285" t="s">
        <v>33</v>
      </c>
      <c r="Z285" s="132">
        <v>91</v>
      </c>
    </row>
    <row r="286" spans="13:26" x14ac:dyDescent="0.3">
      <c r="M286" t="s">
        <v>451</v>
      </c>
      <c r="N286" t="s">
        <v>31</v>
      </c>
      <c r="O286" s="132">
        <v>7897</v>
      </c>
      <c r="P286">
        <v>2024</v>
      </c>
      <c r="R286" t="s">
        <v>334</v>
      </c>
      <c r="S286" t="s">
        <v>120</v>
      </c>
      <c r="T286" t="s">
        <v>42</v>
      </c>
      <c r="U286" t="s">
        <v>112</v>
      </c>
      <c r="W286" t="s">
        <v>494</v>
      </c>
      <c r="X286" t="s">
        <v>152</v>
      </c>
      <c r="Y286" t="s">
        <v>31</v>
      </c>
      <c r="Z286" s="132">
        <v>31</v>
      </c>
    </row>
    <row r="287" spans="13:26" x14ac:dyDescent="0.3">
      <c r="M287" t="s">
        <v>451</v>
      </c>
      <c r="N287" t="s">
        <v>33</v>
      </c>
      <c r="O287" s="132">
        <v>7454</v>
      </c>
      <c r="P287">
        <v>2024</v>
      </c>
      <c r="R287" t="s">
        <v>334</v>
      </c>
      <c r="S287" t="s">
        <v>120</v>
      </c>
      <c r="T287" t="s">
        <v>37</v>
      </c>
      <c r="U287" t="s">
        <v>112</v>
      </c>
      <c r="W287" t="s">
        <v>494</v>
      </c>
      <c r="X287" t="s">
        <v>152</v>
      </c>
      <c r="Y287" t="s">
        <v>41</v>
      </c>
      <c r="Z287" s="132">
        <v>67886</v>
      </c>
    </row>
    <row r="288" spans="13:26" x14ac:dyDescent="0.3">
      <c r="M288" t="s">
        <v>451</v>
      </c>
      <c r="N288" t="s">
        <v>41</v>
      </c>
      <c r="O288" s="132">
        <v>2998610</v>
      </c>
      <c r="P288">
        <v>2024</v>
      </c>
      <c r="R288" t="s">
        <v>334</v>
      </c>
      <c r="S288" t="s">
        <v>120</v>
      </c>
      <c r="T288" t="s">
        <v>32</v>
      </c>
      <c r="U288" t="s">
        <v>112</v>
      </c>
      <c r="W288" t="s">
        <v>495</v>
      </c>
      <c r="X288" t="s">
        <v>330</v>
      </c>
      <c r="Y288" t="s">
        <v>33</v>
      </c>
      <c r="Z288" s="132">
        <v>8</v>
      </c>
    </row>
    <row r="289" spans="13:26" x14ac:dyDescent="0.3">
      <c r="M289" t="s">
        <v>425</v>
      </c>
      <c r="N289" t="s">
        <v>24</v>
      </c>
      <c r="O289" s="132">
        <v>18</v>
      </c>
      <c r="P289">
        <v>2024</v>
      </c>
      <c r="R289" t="s">
        <v>355</v>
      </c>
      <c r="S289" t="s">
        <v>123</v>
      </c>
      <c r="T289" t="s">
        <v>82</v>
      </c>
      <c r="U289" t="s">
        <v>343</v>
      </c>
      <c r="W289" t="s">
        <v>495</v>
      </c>
      <c r="X289" t="s">
        <v>330</v>
      </c>
      <c r="Y289" t="s">
        <v>31</v>
      </c>
      <c r="Z289" s="132">
        <v>7</v>
      </c>
    </row>
    <row r="290" spans="13:26" x14ac:dyDescent="0.3">
      <c r="M290" t="s">
        <v>425</v>
      </c>
      <c r="N290" t="s">
        <v>31</v>
      </c>
      <c r="O290" s="132">
        <v>113</v>
      </c>
      <c r="P290">
        <v>2024</v>
      </c>
      <c r="R290" t="s">
        <v>496</v>
      </c>
      <c r="S290" t="s">
        <v>236</v>
      </c>
      <c r="T290" t="s">
        <v>32</v>
      </c>
      <c r="U290" t="s">
        <v>175</v>
      </c>
      <c r="W290" t="s">
        <v>495</v>
      </c>
      <c r="X290" t="s">
        <v>330</v>
      </c>
      <c r="Y290" t="s">
        <v>41</v>
      </c>
      <c r="Z290" s="132">
        <v>1508</v>
      </c>
    </row>
    <row r="291" spans="13:26" x14ac:dyDescent="0.3">
      <c r="M291" t="s">
        <v>425</v>
      </c>
      <c r="N291" t="s">
        <v>33</v>
      </c>
      <c r="O291" s="132">
        <v>1951</v>
      </c>
      <c r="P291">
        <v>2024</v>
      </c>
      <c r="R291" t="s">
        <v>496</v>
      </c>
      <c r="S291" t="s">
        <v>236</v>
      </c>
      <c r="T291" t="s">
        <v>26</v>
      </c>
      <c r="U291" t="s">
        <v>131</v>
      </c>
      <c r="W291" t="s">
        <v>497</v>
      </c>
      <c r="X291" t="s">
        <v>157</v>
      </c>
      <c r="Y291" t="s">
        <v>24</v>
      </c>
      <c r="Z291" s="132">
        <v>5</v>
      </c>
    </row>
    <row r="292" spans="13:26" x14ac:dyDescent="0.3">
      <c r="M292" t="s">
        <v>425</v>
      </c>
      <c r="N292" t="s">
        <v>41</v>
      </c>
      <c r="O292" s="132">
        <v>13918</v>
      </c>
      <c r="P292">
        <v>2024</v>
      </c>
      <c r="R292" t="s">
        <v>496</v>
      </c>
      <c r="S292" t="s">
        <v>236</v>
      </c>
      <c r="T292" t="s">
        <v>42</v>
      </c>
      <c r="U292" t="s">
        <v>112</v>
      </c>
      <c r="W292" t="s">
        <v>497</v>
      </c>
      <c r="X292" t="s">
        <v>157</v>
      </c>
      <c r="Y292" t="s">
        <v>33</v>
      </c>
      <c r="Z292" s="132">
        <v>32</v>
      </c>
    </row>
    <row r="293" spans="13:26" x14ac:dyDescent="0.3">
      <c r="M293" t="s">
        <v>390</v>
      </c>
      <c r="N293" t="s">
        <v>24</v>
      </c>
      <c r="O293" s="132">
        <v>11</v>
      </c>
      <c r="P293">
        <v>2024</v>
      </c>
      <c r="R293" t="s">
        <v>496</v>
      </c>
      <c r="S293" t="s">
        <v>236</v>
      </c>
      <c r="T293" t="s">
        <v>37</v>
      </c>
      <c r="U293" t="s">
        <v>112</v>
      </c>
      <c r="W293" t="s">
        <v>497</v>
      </c>
      <c r="X293" t="s">
        <v>157</v>
      </c>
      <c r="Y293" t="s">
        <v>31</v>
      </c>
      <c r="Z293" s="132">
        <v>5</v>
      </c>
    </row>
    <row r="294" spans="13:26" x14ac:dyDescent="0.3">
      <c r="M294" t="s">
        <v>390</v>
      </c>
      <c r="N294" t="s">
        <v>31</v>
      </c>
      <c r="O294" s="132">
        <v>206</v>
      </c>
      <c r="P294">
        <v>2024</v>
      </c>
      <c r="R294" t="s">
        <v>496</v>
      </c>
      <c r="S294" t="s">
        <v>236</v>
      </c>
      <c r="T294" t="s">
        <v>32</v>
      </c>
      <c r="U294" t="s">
        <v>112</v>
      </c>
      <c r="W294" t="s">
        <v>497</v>
      </c>
      <c r="X294" t="s">
        <v>157</v>
      </c>
      <c r="Y294" t="s">
        <v>41</v>
      </c>
      <c r="Z294" s="132">
        <v>200</v>
      </c>
    </row>
    <row r="295" spans="13:26" x14ac:dyDescent="0.3">
      <c r="M295" t="s">
        <v>390</v>
      </c>
      <c r="N295" t="s">
        <v>33</v>
      </c>
      <c r="O295" s="132">
        <v>3232</v>
      </c>
      <c r="P295">
        <v>2024</v>
      </c>
      <c r="R295" t="s">
        <v>496</v>
      </c>
      <c r="S295" t="s">
        <v>236</v>
      </c>
      <c r="T295" t="s">
        <v>47</v>
      </c>
      <c r="U295" t="s">
        <v>112</v>
      </c>
      <c r="W295" t="s">
        <v>498</v>
      </c>
      <c r="X295" t="s">
        <v>169</v>
      </c>
      <c r="Y295" t="s">
        <v>24</v>
      </c>
      <c r="Z295" s="132">
        <v>14</v>
      </c>
    </row>
    <row r="296" spans="13:26" x14ac:dyDescent="0.3">
      <c r="M296" t="s">
        <v>390</v>
      </c>
      <c r="N296" t="s">
        <v>41</v>
      </c>
      <c r="O296" s="132">
        <v>35713</v>
      </c>
      <c r="P296">
        <v>2024</v>
      </c>
      <c r="R296" t="s">
        <v>496</v>
      </c>
      <c r="S296" t="s">
        <v>236</v>
      </c>
      <c r="T296" t="s">
        <v>26</v>
      </c>
      <c r="U296" t="s">
        <v>112</v>
      </c>
      <c r="W296" t="s">
        <v>498</v>
      </c>
      <c r="X296" t="s">
        <v>169</v>
      </c>
      <c r="Y296" t="s">
        <v>33</v>
      </c>
      <c r="Z296" s="132">
        <v>63</v>
      </c>
    </row>
    <row r="297" spans="13:26" x14ac:dyDescent="0.3">
      <c r="M297" t="s">
        <v>171</v>
      </c>
      <c r="N297" t="s">
        <v>24</v>
      </c>
      <c r="O297" s="132">
        <v>671</v>
      </c>
      <c r="P297">
        <v>2024</v>
      </c>
      <c r="R297" t="s">
        <v>205</v>
      </c>
      <c r="S297" t="s">
        <v>83</v>
      </c>
      <c r="T297" t="s">
        <v>42</v>
      </c>
      <c r="U297" t="s">
        <v>268</v>
      </c>
      <c r="W297" t="s">
        <v>498</v>
      </c>
      <c r="X297" t="s">
        <v>169</v>
      </c>
      <c r="Y297" t="s">
        <v>31</v>
      </c>
      <c r="Z297" s="132">
        <v>16</v>
      </c>
    </row>
    <row r="298" spans="13:26" x14ac:dyDescent="0.3">
      <c r="M298" t="s">
        <v>171</v>
      </c>
      <c r="N298" t="s">
        <v>31</v>
      </c>
      <c r="O298" s="132">
        <v>723</v>
      </c>
      <c r="P298">
        <v>2024</v>
      </c>
      <c r="R298" t="s">
        <v>205</v>
      </c>
      <c r="S298" t="s">
        <v>83</v>
      </c>
      <c r="T298" t="s">
        <v>42</v>
      </c>
      <c r="U298" t="s">
        <v>197</v>
      </c>
      <c r="W298" t="s">
        <v>498</v>
      </c>
      <c r="X298" t="s">
        <v>169</v>
      </c>
      <c r="Y298" t="s">
        <v>41</v>
      </c>
      <c r="Z298" s="132">
        <v>18000</v>
      </c>
    </row>
    <row r="299" spans="13:26" x14ac:dyDescent="0.3">
      <c r="M299" t="s">
        <v>171</v>
      </c>
      <c r="N299" t="s">
        <v>33</v>
      </c>
      <c r="O299" s="132">
        <v>955</v>
      </c>
      <c r="P299">
        <v>2024</v>
      </c>
      <c r="R299" t="s">
        <v>205</v>
      </c>
      <c r="S299" t="s">
        <v>83</v>
      </c>
      <c r="T299" t="s">
        <v>82</v>
      </c>
      <c r="U299" t="s">
        <v>197</v>
      </c>
      <c r="W299" t="s">
        <v>499</v>
      </c>
      <c r="X299" t="s">
        <v>335</v>
      </c>
      <c r="Y299" t="s">
        <v>24</v>
      </c>
      <c r="Z299" s="132">
        <v>7</v>
      </c>
    </row>
    <row r="300" spans="13:26" x14ac:dyDescent="0.3">
      <c r="M300" t="s">
        <v>171</v>
      </c>
      <c r="N300" t="s">
        <v>41</v>
      </c>
      <c r="O300" s="132">
        <v>149125</v>
      </c>
      <c r="P300">
        <v>2024</v>
      </c>
      <c r="R300" t="s">
        <v>205</v>
      </c>
      <c r="S300" t="s">
        <v>83</v>
      </c>
      <c r="T300" t="s">
        <v>32</v>
      </c>
      <c r="U300" t="s">
        <v>197</v>
      </c>
      <c r="W300" t="s">
        <v>499</v>
      </c>
      <c r="X300" t="s">
        <v>335</v>
      </c>
      <c r="Y300" t="s">
        <v>33</v>
      </c>
      <c r="Z300" s="132">
        <v>34</v>
      </c>
    </row>
    <row r="301" spans="13:26" x14ac:dyDescent="0.3">
      <c r="M301" t="s">
        <v>292</v>
      </c>
      <c r="N301" t="s">
        <v>24</v>
      </c>
      <c r="O301" s="132">
        <v>47</v>
      </c>
      <c r="P301">
        <v>2024</v>
      </c>
      <c r="R301" t="s">
        <v>205</v>
      </c>
      <c r="S301" t="s">
        <v>83</v>
      </c>
      <c r="T301" t="s">
        <v>47</v>
      </c>
      <c r="U301" t="s">
        <v>197</v>
      </c>
      <c r="W301" t="s">
        <v>499</v>
      </c>
      <c r="X301" t="s">
        <v>335</v>
      </c>
      <c r="Y301" t="s">
        <v>31</v>
      </c>
      <c r="Z301" s="132">
        <v>7</v>
      </c>
    </row>
    <row r="302" spans="13:26" x14ac:dyDescent="0.3">
      <c r="M302" t="s">
        <v>292</v>
      </c>
      <c r="N302" t="s">
        <v>31</v>
      </c>
      <c r="O302" s="132">
        <v>416</v>
      </c>
      <c r="P302">
        <v>2024</v>
      </c>
      <c r="R302" t="s">
        <v>205</v>
      </c>
      <c r="S302" t="s">
        <v>83</v>
      </c>
      <c r="T302" t="s">
        <v>37</v>
      </c>
      <c r="U302" t="s">
        <v>197</v>
      </c>
      <c r="W302" t="s">
        <v>499</v>
      </c>
      <c r="X302" t="s">
        <v>335</v>
      </c>
      <c r="Y302" t="s">
        <v>41</v>
      </c>
      <c r="Z302" s="132">
        <v>172</v>
      </c>
    </row>
    <row r="303" spans="13:26" x14ac:dyDescent="0.3">
      <c r="M303" t="s">
        <v>292</v>
      </c>
      <c r="N303" t="s">
        <v>33</v>
      </c>
      <c r="O303" s="132">
        <v>67526</v>
      </c>
      <c r="P303">
        <v>2024</v>
      </c>
      <c r="R303" t="s">
        <v>205</v>
      </c>
      <c r="S303" t="s">
        <v>83</v>
      </c>
      <c r="T303" t="s">
        <v>47</v>
      </c>
      <c r="U303" t="s">
        <v>289</v>
      </c>
      <c r="W303" t="s">
        <v>500</v>
      </c>
      <c r="X303" t="s">
        <v>172</v>
      </c>
      <c r="Y303" t="s">
        <v>24</v>
      </c>
      <c r="Z303" s="132">
        <v>18</v>
      </c>
    </row>
    <row r="304" spans="13:26" x14ac:dyDescent="0.3">
      <c r="M304" t="s">
        <v>292</v>
      </c>
      <c r="N304" t="s">
        <v>41</v>
      </c>
      <c r="O304" s="132">
        <v>677998</v>
      </c>
      <c r="P304">
        <v>2024</v>
      </c>
      <c r="R304" t="s">
        <v>205</v>
      </c>
      <c r="S304" t="s">
        <v>83</v>
      </c>
      <c r="T304" t="s">
        <v>42</v>
      </c>
      <c r="U304" t="s">
        <v>289</v>
      </c>
      <c r="W304" t="s">
        <v>500</v>
      </c>
      <c r="X304" t="s">
        <v>172</v>
      </c>
      <c r="Y304" t="s">
        <v>33</v>
      </c>
      <c r="Z304" s="132">
        <v>1118</v>
      </c>
    </row>
    <row r="305" spans="13:26" x14ac:dyDescent="0.3">
      <c r="M305" t="s">
        <v>438</v>
      </c>
      <c r="N305" t="s">
        <v>24</v>
      </c>
      <c r="O305" s="132">
        <v>10</v>
      </c>
      <c r="P305">
        <v>2024</v>
      </c>
      <c r="R305" t="s">
        <v>205</v>
      </c>
      <c r="S305" t="s">
        <v>83</v>
      </c>
      <c r="T305" t="s">
        <v>82</v>
      </c>
      <c r="U305" t="s">
        <v>289</v>
      </c>
      <c r="W305" t="s">
        <v>500</v>
      </c>
      <c r="X305" t="s">
        <v>172</v>
      </c>
      <c r="Y305" t="s">
        <v>31</v>
      </c>
      <c r="Z305" s="132">
        <v>130</v>
      </c>
    </row>
    <row r="306" spans="13:26" x14ac:dyDescent="0.3">
      <c r="M306" t="s">
        <v>438</v>
      </c>
      <c r="N306" t="s">
        <v>31</v>
      </c>
      <c r="O306" s="132">
        <v>11</v>
      </c>
      <c r="P306">
        <v>2024</v>
      </c>
      <c r="R306" t="s">
        <v>205</v>
      </c>
      <c r="S306" t="s">
        <v>83</v>
      </c>
      <c r="T306" t="s">
        <v>37</v>
      </c>
      <c r="U306" t="s">
        <v>289</v>
      </c>
      <c r="W306" t="s">
        <v>500</v>
      </c>
      <c r="X306" t="s">
        <v>172</v>
      </c>
      <c r="Y306" t="s">
        <v>41</v>
      </c>
      <c r="Z306" s="132">
        <v>20000</v>
      </c>
    </row>
    <row r="307" spans="13:26" x14ac:dyDescent="0.3">
      <c r="M307" t="s">
        <v>438</v>
      </c>
      <c r="N307" t="s">
        <v>33</v>
      </c>
      <c r="O307" s="132">
        <v>52</v>
      </c>
      <c r="P307">
        <v>2024</v>
      </c>
      <c r="R307" t="s">
        <v>205</v>
      </c>
      <c r="S307" t="s">
        <v>83</v>
      </c>
      <c r="T307" t="s">
        <v>32</v>
      </c>
      <c r="U307" t="s">
        <v>289</v>
      </c>
      <c r="W307" t="s">
        <v>501</v>
      </c>
      <c r="X307" t="s">
        <v>178</v>
      </c>
      <c r="Y307" t="s">
        <v>24</v>
      </c>
      <c r="Z307" s="132">
        <v>51</v>
      </c>
    </row>
    <row r="308" spans="13:26" x14ac:dyDescent="0.3">
      <c r="M308" t="s">
        <v>438</v>
      </c>
      <c r="N308" t="s">
        <v>41</v>
      </c>
      <c r="O308" s="132">
        <v>770</v>
      </c>
      <c r="P308">
        <v>2024</v>
      </c>
      <c r="R308" t="s">
        <v>362</v>
      </c>
      <c r="S308" t="s">
        <v>62</v>
      </c>
      <c r="T308" t="s">
        <v>47</v>
      </c>
      <c r="U308" t="s">
        <v>175</v>
      </c>
      <c r="W308" t="s">
        <v>501</v>
      </c>
      <c r="X308" t="s">
        <v>178</v>
      </c>
      <c r="Y308" t="s">
        <v>33</v>
      </c>
      <c r="Z308" s="132">
        <v>263</v>
      </c>
    </row>
    <row r="309" spans="13:26" x14ac:dyDescent="0.3">
      <c r="M309" t="s">
        <v>392</v>
      </c>
      <c r="N309" t="s">
        <v>24</v>
      </c>
      <c r="O309" s="132">
        <v>16</v>
      </c>
      <c r="P309">
        <v>2024</v>
      </c>
      <c r="R309" t="s">
        <v>362</v>
      </c>
      <c r="S309" t="s">
        <v>62</v>
      </c>
      <c r="T309" t="s">
        <v>47</v>
      </c>
      <c r="U309" t="s">
        <v>95</v>
      </c>
      <c r="W309" t="s">
        <v>501</v>
      </c>
      <c r="X309" t="s">
        <v>178</v>
      </c>
      <c r="Y309" t="s">
        <v>31</v>
      </c>
      <c r="Z309" s="132">
        <v>93</v>
      </c>
    </row>
    <row r="310" spans="13:26" x14ac:dyDescent="0.3">
      <c r="M310" t="s">
        <v>392</v>
      </c>
      <c r="N310" t="s">
        <v>31</v>
      </c>
      <c r="O310" s="132">
        <v>17</v>
      </c>
      <c r="P310">
        <v>2024</v>
      </c>
      <c r="R310" t="s">
        <v>362</v>
      </c>
      <c r="S310" t="s">
        <v>62</v>
      </c>
      <c r="T310" t="s">
        <v>42</v>
      </c>
      <c r="U310" t="s">
        <v>95</v>
      </c>
      <c r="W310" t="s">
        <v>501</v>
      </c>
      <c r="X310" t="s">
        <v>178</v>
      </c>
      <c r="Y310" t="s">
        <v>41</v>
      </c>
      <c r="Z310" s="132">
        <v>10700</v>
      </c>
    </row>
    <row r="311" spans="13:26" x14ac:dyDescent="0.3">
      <c r="M311" t="s">
        <v>392</v>
      </c>
      <c r="N311" t="s">
        <v>33</v>
      </c>
      <c r="O311" s="132">
        <v>98</v>
      </c>
      <c r="P311">
        <v>2024</v>
      </c>
      <c r="R311" t="s">
        <v>362</v>
      </c>
      <c r="S311" t="s">
        <v>62</v>
      </c>
      <c r="T311" t="s">
        <v>37</v>
      </c>
      <c r="U311" t="s">
        <v>95</v>
      </c>
      <c r="W311" t="s">
        <v>502</v>
      </c>
      <c r="X311" t="s">
        <v>181</v>
      </c>
      <c r="Y311" t="s">
        <v>24</v>
      </c>
      <c r="Z311" s="132">
        <v>21</v>
      </c>
    </row>
    <row r="312" spans="13:26" x14ac:dyDescent="0.3">
      <c r="M312" t="s">
        <v>392</v>
      </c>
      <c r="N312" t="s">
        <v>41</v>
      </c>
      <c r="O312" s="132">
        <v>6794</v>
      </c>
      <c r="P312">
        <v>2024</v>
      </c>
      <c r="R312" t="s">
        <v>362</v>
      </c>
      <c r="S312" t="s">
        <v>62</v>
      </c>
      <c r="T312" t="s">
        <v>26</v>
      </c>
      <c r="U312" t="s">
        <v>95</v>
      </c>
      <c r="W312" t="s">
        <v>502</v>
      </c>
      <c r="X312" t="s">
        <v>181</v>
      </c>
      <c r="Y312" t="s">
        <v>33</v>
      </c>
      <c r="Z312" s="132">
        <v>265</v>
      </c>
    </row>
    <row r="313" spans="13:26" x14ac:dyDescent="0.3">
      <c r="M313" t="s">
        <v>109</v>
      </c>
      <c r="N313" t="s">
        <v>24</v>
      </c>
      <c r="O313" s="132">
        <v>47</v>
      </c>
      <c r="P313">
        <v>2024</v>
      </c>
      <c r="R313" t="s">
        <v>362</v>
      </c>
      <c r="S313" t="s">
        <v>62</v>
      </c>
      <c r="T313" t="s">
        <v>82</v>
      </c>
      <c r="U313" t="s">
        <v>95</v>
      </c>
      <c r="W313" t="s">
        <v>502</v>
      </c>
      <c r="X313" t="s">
        <v>181</v>
      </c>
      <c r="Y313" t="s">
        <v>31</v>
      </c>
      <c r="Z313" s="132">
        <v>120</v>
      </c>
    </row>
    <row r="314" spans="13:26" x14ac:dyDescent="0.3">
      <c r="M314" t="s">
        <v>109</v>
      </c>
      <c r="N314" t="s">
        <v>31</v>
      </c>
      <c r="O314" s="132">
        <v>71</v>
      </c>
      <c r="P314">
        <v>2024</v>
      </c>
      <c r="R314" t="s">
        <v>362</v>
      </c>
      <c r="S314" t="s">
        <v>62</v>
      </c>
      <c r="T314" t="s">
        <v>32</v>
      </c>
      <c r="U314" t="s">
        <v>95</v>
      </c>
      <c r="W314" t="s">
        <v>503</v>
      </c>
      <c r="X314" t="s">
        <v>337</v>
      </c>
      <c r="Y314" t="s">
        <v>24</v>
      </c>
      <c r="Z314" s="132">
        <v>25</v>
      </c>
    </row>
    <row r="315" spans="13:26" x14ac:dyDescent="0.3">
      <c r="M315" t="s">
        <v>109</v>
      </c>
      <c r="N315" t="s">
        <v>33</v>
      </c>
      <c r="O315" s="132">
        <v>708</v>
      </c>
      <c r="P315">
        <v>2024</v>
      </c>
      <c r="R315" t="s">
        <v>362</v>
      </c>
      <c r="S315" t="s">
        <v>62</v>
      </c>
      <c r="T315" t="s">
        <v>37</v>
      </c>
      <c r="U315" t="s">
        <v>197</v>
      </c>
      <c r="W315" t="s">
        <v>503</v>
      </c>
      <c r="X315" t="s">
        <v>337</v>
      </c>
      <c r="Y315" t="s">
        <v>33</v>
      </c>
      <c r="Z315" s="132">
        <v>90</v>
      </c>
    </row>
    <row r="316" spans="13:26" x14ac:dyDescent="0.3">
      <c r="M316" t="s">
        <v>109</v>
      </c>
      <c r="N316" t="s">
        <v>41</v>
      </c>
      <c r="O316" s="132">
        <v>243654</v>
      </c>
      <c r="P316">
        <v>2024</v>
      </c>
      <c r="R316" t="s">
        <v>362</v>
      </c>
      <c r="S316" t="s">
        <v>62</v>
      </c>
      <c r="T316" t="s">
        <v>42</v>
      </c>
      <c r="U316" t="s">
        <v>197</v>
      </c>
      <c r="W316" t="s">
        <v>503</v>
      </c>
      <c r="X316" t="s">
        <v>337</v>
      </c>
      <c r="Y316" t="s">
        <v>31</v>
      </c>
      <c r="Z316" s="132">
        <v>302</v>
      </c>
    </row>
    <row r="317" spans="13:26" x14ac:dyDescent="0.3">
      <c r="M317" t="s">
        <v>215</v>
      </c>
      <c r="N317" t="s">
        <v>24</v>
      </c>
      <c r="O317" s="132">
        <v>4</v>
      </c>
      <c r="P317">
        <v>2024</v>
      </c>
      <c r="R317" t="s">
        <v>362</v>
      </c>
      <c r="S317" t="s">
        <v>62</v>
      </c>
      <c r="T317" t="s">
        <v>82</v>
      </c>
      <c r="U317" t="s">
        <v>27</v>
      </c>
      <c r="W317" t="s">
        <v>503</v>
      </c>
      <c r="X317" t="s">
        <v>337</v>
      </c>
      <c r="Y317" t="s">
        <v>41</v>
      </c>
      <c r="Z317" s="132">
        <v>3895</v>
      </c>
    </row>
    <row r="318" spans="13:26" x14ac:dyDescent="0.3">
      <c r="M318" t="s">
        <v>215</v>
      </c>
      <c r="N318" t="s">
        <v>31</v>
      </c>
      <c r="O318" s="132">
        <v>5</v>
      </c>
      <c r="P318">
        <v>2024</v>
      </c>
      <c r="R318" t="s">
        <v>362</v>
      </c>
      <c r="S318" t="s">
        <v>62</v>
      </c>
      <c r="T318" t="s">
        <v>32</v>
      </c>
      <c r="U318" t="s">
        <v>27</v>
      </c>
      <c r="W318" t="s">
        <v>504</v>
      </c>
      <c r="X318" t="s">
        <v>93</v>
      </c>
      <c r="Y318" t="s">
        <v>24</v>
      </c>
      <c r="Z318" s="132">
        <v>18</v>
      </c>
    </row>
    <row r="319" spans="13:26" x14ac:dyDescent="0.3">
      <c r="M319" t="s">
        <v>215</v>
      </c>
      <c r="N319" t="s">
        <v>33</v>
      </c>
      <c r="O319" s="132">
        <v>15</v>
      </c>
      <c r="P319">
        <v>2024</v>
      </c>
      <c r="R319" t="s">
        <v>362</v>
      </c>
      <c r="S319" t="s">
        <v>62</v>
      </c>
      <c r="T319" t="s">
        <v>47</v>
      </c>
      <c r="U319" t="s">
        <v>27</v>
      </c>
      <c r="W319" t="s">
        <v>504</v>
      </c>
      <c r="X319" t="s">
        <v>93</v>
      </c>
      <c r="Y319" t="s">
        <v>33</v>
      </c>
      <c r="Z319" s="132">
        <v>733</v>
      </c>
    </row>
    <row r="320" spans="13:26" x14ac:dyDescent="0.3">
      <c r="M320" t="s">
        <v>215</v>
      </c>
      <c r="N320" t="s">
        <v>41</v>
      </c>
      <c r="O320" s="132">
        <v>89</v>
      </c>
      <c r="P320">
        <v>2024</v>
      </c>
      <c r="R320" t="s">
        <v>362</v>
      </c>
      <c r="S320" t="s">
        <v>62</v>
      </c>
      <c r="T320" t="s">
        <v>26</v>
      </c>
      <c r="U320" t="s">
        <v>27</v>
      </c>
      <c r="W320" t="s">
        <v>504</v>
      </c>
      <c r="X320" t="s">
        <v>93</v>
      </c>
      <c r="Y320" t="s">
        <v>31</v>
      </c>
      <c r="Z320" s="132">
        <v>1660</v>
      </c>
    </row>
    <row r="321" spans="13:26" x14ac:dyDescent="0.3">
      <c r="M321" t="s">
        <v>295</v>
      </c>
      <c r="N321" t="s">
        <v>24</v>
      </c>
      <c r="O321" s="132">
        <v>209</v>
      </c>
      <c r="P321">
        <v>2024</v>
      </c>
      <c r="R321" t="s">
        <v>362</v>
      </c>
      <c r="S321" t="s">
        <v>62</v>
      </c>
      <c r="T321" t="s">
        <v>37</v>
      </c>
      <c r="U321" t="s">
        <v>27</v>
      </c>
      <c r="W321" t="s">
        <v>504</v>
      </c>
      <c r="X321" t="s">
        <v>93</v>
      </c>
      <c r="Y321" t="s">
        <v>41</v>
      </c>
      <c r="Z321" s="132">
        <v>109138</v>
      </c>
    </row>
    <row r="322" spans="13:26" x14ac:dyDescent="0.3">
      <c r="M322" t="s">
        <v>295</v>
      </c>
      <c r="N322" t="s">
        <v>31</v>
      </c>
      <c r="O322" s="132">
        <v>209</v>
      </c>
      <c r="P322">
        <v>2024</v>
      </c>
      <c r="R322" t="s">
        <v>362</v>
      </c>
      <c r="S322" t="s">
        <v>62</v>
      </c>
      <c r="T322" t="s">
        <v>42</v>
      </c>
      <c r="U322" t="s">
        <v>27</v>
      </c>
      <c r="W322" t="s">
        <v>505</v>
      </c>
      <c r="X322" t="s">
        <v>148</v>
      </c>
      <c r="Y322" t="s">
        <v>24</v>
      </c>
      <c r="Z322" s="132">
        <v>14</v>
      </c>
    </row>
    <row r="323" spans="13:26" x14ac:dyDescent="0.3">
      <c r="M323" t="s">
        <v>295</v>
      </c>
      <c r="N323" t="s">
        <v>33</v>
      </c>
      <c r="O323" s="132">
        <v>216</v>
      </c>
      <c r="P323">
        <v>2024</v>
      </c>
      <c r="R323" t="s">
        <v>362</v>
      </c>
      <c r="S323" t="s">
        <v>62</v>
      </c>
      <c r="T323" t="s">
        <v>32</v>
      </c>
      <c r="U323" t="s">
        <v>289</v>
      </c>
      <c r="W323" t="s">
        <v>505</v>
      </c>
      <c r="X323" t="s">
        <v>148</v>
      </c>
      <c r="Y323" t="s">
        <v>33</v>
      </c>
      <c r="Z323" s="132">
        <v>5458</v>
      </c>
    </row>
    <row r="324" spans="13:26" x14ac:dyDescent="0.3">
      <c r="M324" t="s">
        <v>295</v>
      </c>
      <c r="N324" t="s">
        <v>41</v>
      </c>
      <c r="O324" s="132">
        <v>361242</v>
      </c>
      <c r="P324">
        <v>2024</v>
      </c>
      <c r="R324" t="s">
        <v>362</v>
      </c>
      <c r="S324" t="s">
        <v>62</v>
      </c>
      <c r="T324" t="s">
        <v>37</v>
      </c>
      <c r="U324" t="s">
        <v>289</v>
      </c>
      <c r="W324" t="s">
        <v>505</v>
      </c>
      <c r="X324" t="s">
        <v>148</v>
      </c>
      <c r="Y324" t="s">
        <v>31</v>
      </c>
      <c r="Z324" s="132">
        <v>75</v>
      </c>
    </row>
    <row r="325" spans="13:26" x14ac:dyDescent="0.3">
      <c r="M325" t="s">
        <v>298</v>
      </c>
      <c r="N325" t="s">
        <v>24</v>
      </c>
      <c r="O325" s="132">
        <v>15</v>
      </c>
      <c r="P325">
        <v>2024</v>
      </c>
      <c r="R325" t="s">
        <v>362</v>
      </c>
      <c r="S325" t="s">
        <v>62</v>
      </c>
      <c r="T325" t="s">
        <v>42</v>
      </c>
      <c r="U325" t="s">
        <v>289</v>
      </c>
      <c r="W325" t="s">
        <v>505</v>
      </c>
      <c r="X325" t="s">
        <v>148</v>
      </c>
      <c r="Y325" t="s">
        <v>41</v>
      </c>
      <c r="Z325" s="132">
        <v>7915</v>
      </c>
    </row>
    <row r="326" spans="13:26" x14ac:dyDescent="0.3">
      <c r="M326" t="s">
        <v>298</v>
      </c>
      <c r="N326" t="s">
        <v>31</v>
      </c>
      <c r="O326" s="132">
        <v>94</v>
      </c>
      <c r="P326">
        <v>2024</v>
      </c>
      <c r="R326" t="s">
        <v>362</v>
      </c>
      <c r="S326" t="s">
        <v>62</v>
      </c>
      <c r="T326" t="s">
        <v>47</v>
      </c>
      <c r="U326" t="s">
        <v>289</v>
      </c>
      <c r="W326" t="s">
        <v>506</v>
      </c>
      <c r="X326" t="s">
        <v>186</v>
      </c>
      <c r="Y326" t="s">
        <v>24</v>
      </c>
      <c r="Z326" s="132">
        <v>31</v>
      </c>
    </row>
    <row r="327" spans="13:26" x14ac:dyDescent="0.3">
      <c r="M327" t="s">
        <v>298</v>
      </c>
      <c r="N327" t="s">
        <v>33</v>
      </c>
      <c r="O327" s="132">
        <v>4969</v>
      </c>
      <c r="P327">
        <v>2024</v>
      </c>
      <c r="R327" t="s">
        <v>362</v>
      </c>
      <c r="S327" t="s">
        <v>62</v>
      </c>
      <c r="T327" t="s">
        <v>82</v>
      </c>
      <c r="U327" t="s">
        <v>289</v>
      </c>
      <c r="W327" t="s">
        <v>506</v>
      </c>
      <c r="X327" t="s">
        <v>186</v>
      </c>
      <c r="Y327" t="s">
        <v>33</v>
      </c>
      <c r="Z327" s="132">
        <v>188</v>
      </c>
    </row>
    <row r="328" spans="13:26" x14ac:dyDescent="0.3">
      <c r="M328" t="s">
        <v>298</v>
      </c>
      <c r="N328" t="s">
        <v>41</v>
      </c>
      <c r="O328" s="132">
        <v>92384</v>
      </c>
      <c r="P328">
        <v>2024</v>
      </c>
      <c r="R328" t="s">
        <v>362</v>
      </c>
      <c r="S328" t="s">
        <v>62</v>
      </c>
      <c r="T328" t="s">
        <v>32</v>
      </c>
      <c r="U328" t="s">
        <v>131</v>
      </c>
      <c r="W328" t="s">
        <v>506</v>
      </c>
      <c r="X328" t="s">
        <v>186</v>
      </c>
      <c r="Y328" t="s">
        <v>31</v>
      </c>
      <c r="Z328" s="132">
        <v>1489</v>
      </c>
    </row>
    <row r="329" spans="13:26" x14ac:dyDescent="0.3">
      <c r="M329" t="s">
        <v>395</v>
      </c>
      <c r="N329" t="s">
        <v>24</v>
      </c>
      <c r="O329" s="132">
        <v>8</v>
      </c>
      <c r="P329">
        <v>2024</v>
      </c>
      <c r="R329" t="s">
        <v>362</v>
      </c>
      <c r="S329" t="s">
        <v>62</v>
      </c>
      <c r="T329" t="s">
        <v>47</v>
      </c>
      <c r="U329" t="s">
        <v>103</v>
      </c>
      <c r="W329" t="s">
        <v>506</v>
      </c>
      <c r="X329" t="s">
        <v>186</v>
      </c>
      <c r="Y329" t="s">
        <v>41</v>
      </c>
      <c r="Z329" s="132">
        <v>300000</v>
      </c>
    </row>
    <row r="330" spans="13:26" x14ac:dyDescent="0.3">
      <c r="M330" t="s">
        <v>395</v>
      </c>
      <c r="N330" t="s">
        <v>31</v>
      </c>
      <c r="O330" s="132">
        <v>38</v>
      </c>
      <c r="P330">
        <v>2024</v>
      </c>
      <c r="R330" t="s">
        <v>362</v>
      </c>
      <c r="S330" t="s">
        <v>62</v>
      </c>
      <c r="T330" t="s">
        <v>26</v>
      </c>
      <c r="U330" t="s">
        <v>103</v>
      </c>
      <c r="W330" t="s">
        <v>507</v>
      </c>
      <c r="X330" t="s">
        <v>339</v>
      </c>
      <c r="Y330" t="s">
        <v>24</v>
      </c>
      <c r="Z330" s="132">
        <v>14</v>
      </c>
    </row>
    <row r="331" spans="13:26" x14ac:dyDescent="0.3">
      <c r="M331" t="s">
        <v>395</v>
      </c>
      <c r="N331" t="s">
        <v>33</v>
      </c>
      <c r="O331" s="132">
        <v>162</v>
      </c>
      <c r="P331">
        <v>2024</v>
      </c>
      <c r="R331" t="s">
        <v>362</v>
      </c>
      <c r="S331" t="s">
        <v>62</v>
      </c>
      <c r="T331" t="s">
        <v>42</v>
      </c>
      <c r="U331" t="s">
        <v>103</v>
      </c>
      <c r="W331" t="s">
        <v>507</v>
      </c>
      <c r="X331" t="s">
        <v>339</v>
      </c>
      <c r="Y331" t="s">
        <v>33</v>
      </c>
      <c r="Z331" s="132">
        <v>11514</v>
      </c>
    </row>
    <row r="332" spans="13:26" x14ac:dyDescent="0.3">
      <c r="M332" t="s">
        <v>395</v>
      </c>
      <c r="N332" t="s">
        <v>41</v>
      </c>
      <c r="O332" s="132">
        <v>5025</v>
      </c>
      <c r="P332">
        <v>2024</v>
      </c>
      <c r="R332" t="s">
        <v>362</v>
      </c>
      <c r="S332" t="s">
        <v>62</v>
      </c>
      <c r="T332" t="s">
        <v>47</v>
      </c>
      <c r="U332" t="s">
        <v>52</v>
      </c>
      <c r="W332" t="s">
        <v>507</v>
      </c>
      <c r="X332" t="s">
        <v>339</v>
      </c>
      <c r="Y332" t="s">
        <v>31</v>
      </c>
      <c r="Z332" s="132">
        <v>392</v>
      </c>
    </row>
    <row r="333" spans="13:26" x14ac:dyDescent="0.3">
      <c r="M333" t="s">
        <v>223</v>
      </c>
      <c r="N333" t="s">
        <v>24</v>
      </c>
      <c r="O333" s="132">
        <v>18</v>
      </c>
      <c r="P333">
        <v>2024</v>
      </c>
      <c r="R333" t="s">
        <v>362</v>
      </c>
      <c r="S333" t="s">
        <v>62</v>
      </c>
      <c r="T333" t="s">
        <v>32</v>
      </c>
      <c r="U333" t="s">
        <v>149</v>
      </c>
      <c r="W333" t="s">
        <v>507</v>
      </c>
      <c r="X333" t="s">
        <v>339</v>
      </c>
      <c r="Y333" t="s">
        <v>41</v>
      </c>
      <c r="Z333" s="132">
        <v>63526</v>
      </c>
    </row>
    <row r="334" spans="13:26" x14ac:dyDescent="0.3">
      <c r="M334" t="s">
        <v>223</v>
      </c>
      <c r="N334" t="s">
        <v>31</v>
      </c>
      <c r="O334" s="132">
        <v>74</v>
      </c>
      <c r="P334">
        <v>2024</v>
      </c>
      <c r="R334" t="s">
        <v>362</v>
      </c>
      <c r="S334" t="s">
        <v>62</v>
      </c>
      <c r="T334" t="s">
        <v>42</v>
      </c>
      <c r="U334" t="s">
        <v>149</v>
      </c>
      <c r="W334" t="s">
        <v>508</v>
      </c>
      <c r="X334" t="s">
        <v>341</v>
      </c>
      <c r="Y334" t="s">
        <v>24</v>
      </c>
      <c r="Z334" s="132">
        <v>13</v>
      </c>
    </row>
    <row r="335" spans="13:26" x14ac:dyDescent="0.3">
      <c r="M335" t="s">
        <v>223</v>
      </c>
      <c r="N335" t="s">
        <v>33</v>
      </c>
      <c r="O335" s="132">
        <v>508</v>
      </c>
      <c r="P335">
        <v>2024</v>
      </c>
      <c r="R335" t="s">
        <v>362</v>
      </c>
      <c r="S335" t="s">
        <v>62</v>
      </c>
      <c r="T335" t="s">
        <v>37</v>
      </c>
      <c r="U335" t="s">
        <v>149</v>
      </c>
      <c r="W335" t="s">
        <v>508</v>
      </c>
      <c r="X335" t="s">
        <v>341</v>
      </c>
      <c r="Y335" t="s">
        <v>33</v>
      </c>
      <c r="Z335" s="132">
        <v>142</v>
      </c>
    </row>
    <row r="336" spans="13:26" x14ac:dyDescent="0.3">
      <c r="M336" t="s">
        <v>223</v>
      </c>
      <c r="N336" t="s">
        <v>41</v>
      </c>
      <c r="O336" s="132">
        <v>1055</v>
      </c>
      <c r="P336">
        <v>2024</v>
      </c>
      <c r="R336" t="s">
        <v>362</v>
      </c>
      <c r="S336" t="s">
        <v>62</v>
      </c>
      <c r="T336" t="s">
        <v>26</v>
      </c>
      <c r="U336" t="s">
        <v>149</v>
      </c>
      <c r="W336" t="s">
        <v>508</v>
      </c>
      <c r="X336" t="s">
        <v>341</v>
      </c>
      <c r="Y336" t="s">
        <v>31</v>
      </c>
      <c r="Z336" s="132">
        <v>14</v>
      </c>
    </row>
    <row r="337" spans="13:26" x14ac:dyDescent="0.3">
      <c r="M337" t="s">
        <v>397</v>
      </c>
      <c r="N337" t="s">
        <v>33</v>
      </c>
      <c r="O337" s="132">
        <v>2450</v>
      </c>
      <c r="P337">
        <v>2024</v>
      </c>
      <c r="R337" t="s">
        <v>362</v>
      </c>
      <c r="S337" t="s">
        <v>62</v>
      </c>
      <c r="T337" t="s">
        <v>47</v>
      </c>
      <c r="U337" t="s">
        <v>149</v>
      </c>
      <c r="W337" t="s">
        <v>508</v>
      </c>
      <c r="X337" t="s">
        <v>341</v>
      </c>
      <c r="Y337" t="s">
        <v>41</v>
      </c>
      <c r="Z337" s="132">
        <v>631</v>
      </c>
    </row>
    <row r="338" spans="13:26" x14ac:dyDescent="0.3">
      <c r="M338" t="s">
        <v>397</v>
      </c>
      <c r="N338" t="s">
        <v>41</v>
      </c>
      <c r="O338" s="132">
        <v>998</v>
      </c>
      <c r="P338">
        <v>2024</v>
      </c>
      <c r="R338" t="s">
        <v>362</v>
      </c>
      <c r="S338" t="s">
        <v>62</v>
      </c>
      <c r="T338" t="s">
        <v>82</v>
      </c>
      <c r="U338" t="s">
        <v>149</v>
      </c>
      <c r="W338" t="s">
        <v>509</v>
      </c>
      <c r="X338" t="s">
        <v>191</v>
      </c>
      <c r="Y338" t="s">
        <v>24</v>
      </c>
      <c r="Z338" s="132">
        <v>311</v>
      </c>
    </row>
    <row r="339" spans="13:26" x14ac:dyDescent="0.3">
      <c r="M339" t="s">
        <v>183</v>
      </c>
      <c r="N339" t="s">
        <v>24</v>
      </c>
      <c r="O339" s="132">
        <v>32</v>
      </c>
      <c r="P339">
        <v>2024</v>
      </c>
      <c r="R339" t="s">
        <v>362</v>
      </c>
      <c r="S339" t="s">
        <v>62</v>
      </c>
      <c r="T339" t="s">
        <v>32</v>
      </c>
      <c r="U339" t="s">
        <v>220</v>
      </c>
      <c r="W339" t="s">
        <v>509</v>
      </c>
      <c r="X339" t="s">
        <v>191</v>
      </c>
      <c r="Y339" t="s">
        <v>33</v>
      </c>
      <c r="Z339" s="132">
        <v>92</v>
      </c>
    </row>
    <row r="340" spans="13:26" x14ac:dyDescent="0.3">
      <c r="M340" t="s">
        <v>183</v>
      </c>
      <c r="N340" t="s">
        <v>31</v>
      </c>
      <c r="O340" s="132">
        <v>203</v>
      </c>
      <c r="P340">
        <v>2024</v>
      </c>
      <c r="R340" t="s">
        <v>362</v>
      </c>
      <c r="S340" t="s">
        <v>62</v>
      </c>
      <c r="T340" t="s">
        <v>47</v>
      </c>
      <c r="U340" t="s">
        <v>220</v>
      </c>
      <c r="W340" t="s">
        <v>509</v>
      </c>
      <c r="X340" t="s">
        <v>191</v>
      </c>
      <c r="Y340" t="s">
        <v>31</v>
      </c>
      <c r="Z340" s="132">
        <v>6</v>
      </c>
    </row>
    <row r="341" spans="13:26" x14ac:dyDescent="0.3">
      <c r="M341" t="s">
        <v>183</v>
      </c>
      <c r="N341" t="s">
        <v>33</v>
      </c>
      <c r="O341" s="132">
        <v>414</v>
      </c>
      <c r="P341">
        <v>2024</v>
      </c>
      <c r="R341" t="s">
        <v>362</v>
      </c>
      <c r="S341" t="s">
        <v>62</v>
      </c>
      <c r="T341" t="s">
        <v>47</v>
      </c>
      <c r="U341" t="s">
        <v>343</v>
      </c>
      <c r="W341" t="s">
        <v>509</v>
      </c>
      <c r="X341" t="s">
        <v>191</v>
      </c>
      <c r="Y341" t="s">
        <v>41</v>
      </c>
      <c r="Z341" s="132">
        <v>46937</v>
      </c>
    </row>
    <row r="342" spans="13:26" x14ac:dyDescent="0.3">
      <c r="M342" t="s">
        <v>183</v>
      </c>
      <c r="N342" t="s">
        <v>41</v>
      </c>
      <c r="O342" s="132">
        <v>12000</v>
      </c>
      <c r="P342">
        <v>2024</v>
      </c>
      <c r="R342" t="s">
        <v>362</v>
      </c>
      <c r="S342" t="s">
        <v>62</v>
      </c>
      <c r="T342" t="s">
        <v>32</v>
      </c>
      <c r="U342" t="s">
        <v>343</v>
      </c>
      <c r="W342" t="s">
        <v>510</v>
      </c>
      <c r="X342" t="s">
        <v>345</v>
      </c>
      <c r="Y342" t="s">
        <v>24</v>
      </c>
      <c r="Z342" s="132">
        <v>3</v>
      </c>
    </row>
    <row r="343" spans="13:26" x14ac:dyDescent="0.3">
      <c r="M343" t="s">
        <v>113</v>
      </c>
      <c r="N343" t="s">
        <v>24</v>
      </c>
      <c r="O343" s="132">
        <v>10</v>
      </c>
      <c r="P343">
        <v>2024</v>
      </c>
      <c r="R343" t="s">
        <v>362</v>
      </c>
      <c r="S343" t="s">
        <v>62</v>
      </c>
      <c r="T343" t="s">
        <v>82</v>
      </c>
      <c r="U343" t="s">
        <v>343</v>
      </c>
      <c r="W343" t="s">
        <v>510</v>
      </c>
      <c r="X343" t="s">
        <v>345</v>
      </c>
      <c r="Y343" t="s">
        <v>33</v>
      </c>
      <c r="Z343" s="132">
        <v>19</v>
      </c>
    </row>
    <row r="344" spans="13:26" x14ac:dyDescent="0.3">
      <c r="M344" t="s">
        <v>113</v>
      </c>
      <c r="N344" t="s">
        <v>31</v>
      </c>
      <c r="O344" s="132">
        <v>105</v>
      </c>
      <c r="P344">
        <v>2024</v>
      </c>
      <c r="R344" t="s">
        <v>362</v>
      </c>
      <c r="S344" t="s">
        <v>62</v>
      </c>
      <c r="T344" t="s">
        <v>42</v>
      </c>
      <c r="U344" t="s">
        <v>343</v>
      </c>
      <c r="W344" t="s">
        <v>510</v>
      </c>
      <c r="X344" t="s">
        <v>345</v>
      </c>
      <c r="Y344" t="s">
        <v>31</v>
      </c>
      <c r="Z344" s="132">
        <v>3</v>
      </c>
    </row>
    <row r="345" spans="13:26" x14ac:dyDescent="0.3">
      <c r="M345" t="s">
        <v>113</v>
      </c>
      <c r="N345" t="s">
        <v>33</v>
      </c>
      <c r="O345" s="132">
        <v>62</v>
      </c>
      <c r="P345">
        <v>2024</v>
      </c>
      <c r="R345" t="s">
        <v>511</v>
      </c>
      <c r="S345" t="s">
        <v>66</v>
      </c>
      <c r="T345" t="s">
        <v>47</v>
      </c>
      <c r="U345" t="s">
        <v>110</v>
      </c>
      <c r="W345" t="s">
        <v>510</v>
      </c>
      <c r="X345" t="s">
        <v>345</v>
      </c>
      <c r="Y345" t="s">
        <v>41</v>
      </c>
      <c r="Z345" s="132">
        <v>125</v>
      </c>
    </row>
    <row r="346" spans="13:26" x14ac:dyDescent="0.3">
      <c r="M346" t="s">
        <v>113</v>
      </c>
      <c r="N346" t="s">
        <v>41</v>
      </c>
      <c r="O346" s="132">
        <v>900</v>
      </c>
      <c r="P346">
        <v>2024</v>
      </c>
      <c r="R346" t="s">
        <v>511</v>
      </c>
      <c r="S346" t="s">
        <v>66</v>
      </c>
      <c r="T346" t="s">
        <v>47</v>
      </c>
      <c r="U346" t="s">
        <v>465</v>
      </c>
      <c r="W346" t="s">
        <v>512</v>
      </c>
      <c r="X346" t="s">
        <v>347</v>
      </c>
      <c r="Y346" t="s">
        <v>24</v>
      </c>
      <c r="Z346" s="132">
        <v>7</v>
      </c>
    </row>
    <row r="347" spans="13:26" x14ac:dyDescent="0.3">
      <c r="M347" t="s">
        <v>118</v>
      </c>
      <c r="N347" t="s">
        <v>24</v>
      </c>
      <c r="O347" s="132">
        <v>15</v>
      </c>
      <c r="P347">
        <v>2024</v>
      </c>
      <c r="R347" t="s">
        <v>511</v>
      </c>
      <c r="S347" t="s">
        <v>66</v>
      </c>
      <c r="T347" t="s">
        <v>47</v>
      </c>
      <c r="U347" t="s">
        <v>112</v>
      </c>
      <c r="W347" t="s">
        <v>512</v>
      </c>
      <c r="X347" t="s">
        <v>347</v>
      </c>
      <c r="Y347" t="s">
        <v>33</v>
      </c>
      <c r="Z347" s="132">
        <v>9</v>
      </c>
    </row>
    <row r="348" spans="13:26" x14ac:dyDescent="0.3">
      <c r="M348" t="s">
        <v>118</v>
      </c>
      <c r="N348" t="s">
        <v>31</v>
      </c>
      <c r="O348" s="132">
        <v>91</v>
      </c>
      <c r="P348">
        <v>2024</v>
      </c>
      <c r="R348" t="s">
        <v>511</v>
      </c>
      <c r="S348" t="s">
        <v>66</v>
      </c>
      <c r="T348" t="s">
        <v>42</v>
      </c>
      <c r="U348" t="s">
        <v>112</v>
      </c>
      <c r="W348" t="s">
        <v>512</v>
      </c>
      <c r="X348" t="s">
        <v>347</v>
      </c>
      <c r="Y348" t="s">
        <v>31</v>
      </c>
      <c r="Z348" s="132">
        <v>8</v>
      </c>
    </row>
    <row r="349" spans="13:26" x14ac:dyDescent="0.3">
      <c r="M349" t="s">
        <v>118</v>
      </c>
      <c r="N349" t="s">
        <v>33</v>
      </c>
      <c r="O349" s="132">
        <v>36</v>
      </c>
      <c r="P349">
        <v>2024</v>
      </c>
      <c r="R349" t="s">
        <v>511</v>
      </c>
      <c r="S349" t="s">
        <v>66</v>
      </c>
      <c r="T349" t="s">
        <v>26</v>
      </c>
      <c r="U349" t="s">
        <v>112</v>
      </c>
      <c r="W349" t="s">
        <v>512</v>
      </c>
      <c r="X349" t="s">
        <v>347</v>
      </c>
      <c r="Y349" t="s">
        <v>41</v>
      </c>
      <c r="Z349" s="132">
        <v>247</v>
      </c>
    </row>
    <row r="350" spans="13:26" x14ac:dyDescent="0.3">
      <c r="M350" t="s">
        <v>118</v>
      </c>
      <c r="N350" t="s">
        <v>41</v>
      </c>
      <c r="O350" s="132">
        <v>4891</v>
      </c>
      <c r="P350">
        <v>2024</v>
      </c>
      <c r="R350" t="s">
        <v>513</v>
      </c>
      <c r="S350" t="s">
        <v>377</v>
      </c>
      <c r="T350" t="s">
        <v>47</v>
      </c>
      <c r="U350" t="s">
        <v>95</v>
      </c>
      <c r="W350" t="s">
        <v>514</v>
      </c>
      <c r="X350" t="s">
        <v>194</v>
      </c>
      <c r="Y350" t="s">
        <v>24</v>
      </c>
      <c r="Z350" s="132">
        <v>51</v>
      </c>
    </row>
    <row r="351" spans="13:26" x14ac:dyDescent="0.3">
      <c r="M351" t="s">
        <v>137</v>
      </c>
      <c r="N351" t="s">
        <v>24</v>
      </c>
      <c r="O351" s="132">
        <v>41</v>
      </c>
      <c r="P351">
        <v>2024</v>
      </c>
      <c r="R351" t="s">
        <v>513</v>
      </c>
      <c r="S351" t="s">
        <v>377</v>
      </c>
      <c r="T351" t="s">
        <v>47</v>
      </c>
      <c r="U351" t="s">
        <v>103</v>
      </c>
      <c r="W351" t="s">
        <v>514</v>
      </c>
      <c r="X351" t="s">
        <v>194</v>
      </c>
      <c r="Y351" t="s">
        <v>33</v>
      </c>
      <c r="Z351" s="132">
        <v>244</v>
      </c>
    </row>
    <row r="352" spans="13:26" x14ac:dyDescent="0.3">
      <c r="M352" t="s">
        <v>137</v>
      </c>
      <c r="N352" t="s">
        <v>31</v>
      </c>
      <c r="O352" s="132">
        <v>41</v>
      </c>
      <c r="P352">
        <v>2024</v>
      </c>
      <c r="R352" t="s">
        <v>513</v>
      </c>
      <c r="S352" t="s">
        <v>377</v>
      </c>
      <c r="T352" t="s">
        <v>42</v>
      </c>
      <c r="U352" t="s">
        <v>52</v>
      </c>
      <c r="W352" t="s">
        <v>514</v>
      </c>
      <c r="X352" t="s">
        <v>194</v>
      </c>
      <c r="Y352" t="s">
        <v>31</v>
      </c>
      <c r="Z352" s="132">
        <v>1</v>
      </c>
    </row>
    <row r="353" spans="13:26" x14ac:dyDescent="0.3">
      <c r="M353" t="s">
        <v>137</v>
      </c>
      <c r="N353" t="s">
        <v>33</v>
      </c>
      <c r="O353" s="132">
        <v>369</v>
      </c>
      <c r="P353">
        <v>2024</v>
      </c>
      <c r="R353" t="s">
        <v>513</v>
      </c>
      <c r="S353" t="s">
        <v>377</v>
      </c>
      <c r="T353" t="s">
        <v>42</v>
      </c>
      <c r="U353" t="s">
        <v>149</v>
      </c>
      <c r="W353" t="s">
        <v>514</v>
      </c>
      <c r="X353" t="s">
        <v>194</v>
      </c>
      <c r="Y353" t="s">
        <v>41</v>
      </c>
      <c r="Z353" s="132">
        <v>16687</v>
      </c>
    </row>
    <row r="354" spans="13:26" x14ac:dyDescent="0.3">
      <c r="M354" t="s">
        <v>137</v>
      </c>
      <c r="N354" t="s">
        <v>41</v>
      </c>
      <c r="O354" s="132">
        <v>4033</v>
      </c>
      <c r="P354">
        <v>2024</v>
      </c>
      <c r="R354" t="s">
        <v>513</v>
      </c>
      <c r="S354" t="s">
        <v>377</v>
      </c>
      <c r="T354" t="s">
        <v>47</v>
      </c>
      <c r="U354" t="s">
        <v>149</v>
      </c>
      <c r="W354" t="s">
        <v>515</v>
      </c>
      <c r="X354" t="s">
        <v>203</v>
      </c>
      <c r="Y354" t="s">
        <v>24</v>
      </c>
      <c r="Z354" s="132">
        <v>16</v>
      </c>
    </row>
    <row r="355" spans="13:26" x14ac:dyDescent="0.3">
      <c r="M355" t="s">
        <v>399</v>
      </c>
      <c r="N355" t="s">
        <v>24</v>
      </c>
      <c r="O355" s="132">
        <v>1</v>
      </c>
      <c r="P355">
        <v>2024</v>
      </c>
      <c r="R355" t="s">
        <v>513</v>
      </c>
      <c r="S355" t="s">
        <v>377</v>
      </c>
      <c r="T355" t="s">
        <v>32</v>
      </c>
      <c r="U355" t="s">
        <v>149</v>
      </c>
      <c r="W355" t="s">
        <v>515</v>
      </c>
      <c r="X355" t="s">
        <v>203</v>
      </c>
      <c r="Y355" t="s">
        <v>33</v>
      </c>
      <c r="Z355" s="132">
        <v>52</v>
      </c>
    </row>
    <row r="356" spans="13:26" x14ac:dyDescent="0.3">
      <c r="M356" t="s">
        <v>399</v>
      </c>
      <c r="N356" t="s">
        <v>31</v>
      </c>
      <c r="O356" s="132">
        <v>1</v>
      </c>
      <c r="P356">
        <v>2024</v>
      </c>
      <c r="R356" t="s">
        <v>394</v>
      </c>
      <c r="S356" t="s">
        <v>142</v>
      </c>
      <c r="T356" t="s">
        <v>26</v>
      </c>
      <c r="U356" t="s">
        <v>175</v>
      </c>
      <c r="W356" t="s">
        <v>515</v>
      </c>
      <c r="X356" t="s">
        <v>203</v>
      </c>
      <c r="Y356" t="s">
        <v>31</v>
      </c>
      <c r="Z356" s="132">
        <v>16</v>
      </c>
    </row>
    <row r="357" spans="13:26" x14ac:dyDescent="0.3">
      <c r="M357" t="s">
        <v>399</v>
      </c>
      <c r="N357" t="s">
        <v>33</v>
      </c>
      <c r="O357" s="132">
        <v>26</v>
      </c>
      <c r="P357">
        <v>2024</v>
      </c>
      <c r="R357" t="s">
        <v>394</v>
      </c>
      <c r="S357" t="s">
        <v>142</v>
      </c>
      <c r="T357" t="s">
        <v>42</v>
      </c>
      <c r="U357" t="s">
        <v>175</v>
      </c>
      <c r="W357" t="s">
        <v>515</v>
      </c>
      <c r="X357" t="s">
        <v>203</v>
      </c>
      <c r="Y357" t="s">
        <v>41</v>
      </c>
      <c r="Z357" s="132">
        <v>350</v>
      </c>
    </row>
    <row r="358" spans="13:26" x14ac:dyDescent="0.3">
      <c r="M358" t="s">
        <v>399</v>
      </c>
      <c r="N358" t="s">
        <v>41</v>
      </c>
      <c r="O358" s="132">
        <v>31</v>
      </c>
      <c r="P358">
        <v>2024</v>
      </c>
      <c r="R358" t="s">
        <v>394</v>
      </c>
      <c r="S358" t="s">
        <v>142</v>
      </c>
      <c r="T358" t="s">
        <v>82</v>
      </c>
      <c r="U358" t="s">
        <v>175</v>
      </c>
      <c r="W358" t="s">
        <v>516</v>
      </c>
      <c r="X358" t="s">
        <v>349</v>
      </c>
      <c r="Y358" t="s">
        <v>24</v>
      </c>
      <c r="Z358" s="132">
        <v>6</v>
      </c>
    </row>
    <row r="359" spans="13:26" x14ac:dyDescent="0.3">
      <c r="M359" t="s">
        <v>404</v>
      </c>
      <c r="N359" t="s">
        <v>24</v>
      </c>
      <c r="O359" s="132">
        <v>31</v>
      </c>
      <c r="P359">
        <v>2024</v>
      </c>
      <c r="R359" t="s">
        <v>394</v>
      </c>
      <c r="S359" t="s">
        <v>142</v>
      </c>
      <c r="T359" t="s">
        <v>32</v>
      </c>
      <c r="U359" t="s">
        <v>175</v>
      </c>
      <c r="W359" t="s">
        <v>516</v>
      </c>
      <c r="X359" t="s">
        <v>349</v>
      </c>
      <c r="Y359" t="s">
        <v>33</v>
      </c>
      <c r="Z359" s="132">
        <v>50</v>
      </c>
    </row>
    <row r="360" spans="13:26" x14ac:dyDescent="0.3">
      <c r="M360" t="s">
        <v>404</v>
      </c>
      <c r="N360" t="s">
        <v>31</v>
      </c>
      <c r="O360" s="132">
        <v>187</v>
      </c>
      <c r="P360">
        <v>2024</v>
      </c>
      <c r="R360" t="s">
        <v>394</v>
      </c>
      <c r="S360" t="s">
        <v>142</v>
      </c>
      <c r="T360" t="s">
        <v>32</v>
      </c>
      <c r="U360" t="s">
        <v>131</v>
      </c>
      <c r="W360" t="s">
        <v>516</v>
      </c>
      <c r="X360" t="s">
        <v>349</v>
      </c>
      <c r="Y360" t="s">
        <v>31</v>
      </c>
      <c r="Z360" s="132">
        <v>6</v>
      </c>
    </row>
    <row r="361" spans="13:26" x14ac:dyDescent="0.3">
      <c r="M361" t="s">
        <v>404</v>
      </c>
      <c r="N361" t="s">
        <v>33</v>
      </c>
      <c r="O361" s="132">
        <v>3341</v>
      </c>
      <c r="P361">
        <v>2024</v>
      </c>
      <c r="R361" t="s">
        <v>394</v>
      </c>
      <c r="S361" t="s">
        <v>142</v>
      </c>
      <c r="T361" t="s">
        <v>47</v>
      </c>
      <c r="U361" t="s">
        <v>131</v>
      </c>
      <c r="W361" t="s">
        <v>516</v>
      </c>
      <c r="X361" t="s">
        <v>349</v>
      </c>
      <c r="Y361" t="s">
        <v>41</v>
      </c>
      <c r="Z361" s="132">
        <v>361</v>
      </c>
    </row>
    <row r="362" spans="13:26" x14ac:dyDescent="0.3">
      <c r="M362" t="s">
        <v>404</v>
      </c>
      <c r="N362" t="s">
        <v>41</v>
      </c>
      <c r="O362" s="132">
        <v>1586</v>
      </c>
      <c r="P362">
        <v>2024</v>
      </c>
      <c r="R362" t="s">
        <v>394</v>
      </c>
      <c r="S362" t="s">
        <v>142</v>
      </c>
      <c r="T362" t="s">
        <v>26</v>
      </c>
      <c r="U362" t="s">
        <v>131</v>
      </c>
      <c r="W362" t="s">
        <v>517</v>
      </c>
      <c r="X362" t="s">
        <v>207</v>
      </c>
      <c r="Y362" t="s">
        <v>24</v>
      </c>
      <c r="Z362" s="132">
        <v>41</v>
      </c>
    </row>
    <row r="363" spans="13:26" x14ac:dyDescent="0.3">
      <c r="M363" t="s">
        <v>121</v>
      </c>
      <c r="N363" t="s">
        <v>24</v>
      </c>
      <c r="O363" s="132">
        <v>23</v>
      </c>
      <c r="P363">
        <v>2024</v>
      </c>
      <c r="R363" t="s">
        <v>394</v>
      </c>
      <c r="S363" t="s">
        <v>142</v>
      </c>
      <c r="T363" t="s">
        <v>82</v>
      </c>
      <c r="U363" t="s">
        <v>131</v>
      </c>
      <c r="W363" t="s">
        <v>517</v>
      </c>
      <c r="X363" t="s">
        <v>207</v>
      </c>
      <c r="Y363" t="s">
        <v>33</v>
      </c>
      <c r="Z363" s="132">
        <v>677</v>
      </c>
    </row>
    <row r="364" spans="13:26" x14ac:dyDescent="0.3">
      <c r="M364" t="s">
        <v>121</v>
      </c>
      <c r="N364" t="s">
        <v>31</v>
      </c>
      <c r="O364" s="132">
        <v>118</v>
      </c>
      <c r="P364">
        <v>2024</v>
      </c>
      <c r="R364" t="s">
        <v>394</v>
      </c>
      <c r="S364" t="s">
        <v>142</v>
      </c>
      <c r="T364" t="s">
        <v>37</v>
      </c>
      <c r="U364" t="s">
        <v>112</v>
      </c>
      <c r="W364" t="s">
        <v>517</v>
      </c>
      <c r="X364" t="s">
        <v>207</v>
      </c>
      <c r="Y364" t="s">
        <v>31</v>
      </c>
      <c r="Z364" s="132">
        <v>42</v>
      </c>
    </row>
    <row r="365" spans="13:26" x14ac:dyDescent="0.3">
      <c r="M365" t="s">
        <v>121</v>
      </c>
      <c r="N365" t="s">
        <v>33</v>
      </c>
      <c r="O365" s="132">
        <v>143</v>
      </c>
      <c r="P365">
        <v>2024</v>
      </c>
      <c r="R365" t="s">
        <v>394</v>
      </c>
      <c r="S365" t="s">
        <v>142</v>
      </c>
      <c r="T365" t="s">
        <v>26</v>
      </c>
      <c r="U365" t="s">
        <v>112</v>
      </c>
      <c r="W365" t="s">
        <v>517</v>
      </c>
      <c r="X365" t="s">
        <v>207</v>
      </c>
      <c r="Y365" t="s">
        <v>41</v>
      </c>
      <c r="Z365" s="132">
        <v>3322</v>
      </c>
    </row>
    <row r="366" spans="13:26" x14ac:dyDescent="0.3">
      <c r="M366" t="s">
        <v>121</v>
      </c>
      <c r="N366" t="s">
        <v>41</v>
      </c>
      <c r="O366" s="132">
        <v>10000</v>
      </c>
      <c r="P366">
        <v>2024</v>
      </c>
      <c r="R366" t="s">
        <v>394</v>
      </c>
      <c r="S366" t="s">
        <v>142</v>
      </c>
      <c r="T366" t="s">
        <v>47</v>
      </c>
      <c r="U366" t="s">
        <v>112</v>
      </c>
      <c r="W366" t="s">
        <v>518</v>
      </c>
      <c r="X366" t="s">
        <v>351</v>
      </c>
      <c r="Y366" t="s">
        <v>24</v>
      </c>
      <c r="Z366" s="132">
        <v>63</v>
      </c>
    </row>
    <row r="367" spans="13:26" x14ac:dyDescent="0.3">
      <c r="M367" t="s">
        <v>124</v>
      </c>
      <c r="N367" t="s">
        <v>24</v>
      </c>
      <c r="O367" s="132">
        <v>33</v>
      </c>
      <c r="P367">
        <v>2024</v>
      </c>
      <c r="R367" t="s">
        <v>394</v>
      </c>
      <c r="S367" t="s">
        <v>142</v>
      </c>
      <c r="T367" t="s">
        <v>32</v>
      </c>
      <c r="U367" t="s">
        <v>112</v>
      </c>
      <c r="W367" t="s">
        <v>518</v>
      </c>
      <c r="X367" t="s">
        <v>351</v>
      </c>
      <c r="Y367" t="s">
        <v>33</v>
      </c>
      <c r="Z367" s="132">
        <v>17024</v>
      </c>
    </row>
    <row r="368" spans="13:26" x14ac:dyDescent="0.3">
      <c r="M368" t="s">
        <v>124</v>
      </c>
      <c r="N368" t="s">
        <v>31</v>
      </c>
      <c r="O368" s="132">
        <v>2150</v>
      </c>
      <c r="P368">
        <v>2024</v>
      </c>
      <c r="R368" t="s">
        <v>394</v>
      </c>
      <c r="S368" t="s">
        <v>142</v>
      </c>
      <c r="T368" t="s">
        <v>82</v>
      </c>
      <c r="U368" t="s">
        <v>112</v>
      </c>
      <c r="W368" t="s">
        <v>518</v>
      </c>
      <c r="X368" t="s">
        <v>351</v>
      </c>
      <c r="Y368" t="s">
        <v>31</v>
      </c>
      <c r="Z368" s="132">
        <v>14191</v>
      </c>
    </row>
    <row r="369" spans="13:26" x14ac:dyDescent="0.3">
      <c r="M369" t="s">
        <v>124</v>
      </c>
      <c r="N369" t="s">
        <v>33</v>
      </c>
      <c r="O369" s="132">
        <v>272</v>
      </c>
      <c r="P369">
        <v>2024</v>
      </c>
      <c r="R369" t="s">
        <v>394</v>
      </c>
      <c r="S369" t="s">
        <v>142</v>
      </c>
      <c r="T369" t="s">
        <v>42</v>
      </c>
      <c r="U369" t="s">
        <v>112</v>
      </c>
      <c r="W369" t="s">
        <v>518</v>
      </c>
      <c r="X369" t="s">
        <v>351</v>
      </c>
      <c r="Y369" t="s">
        <v>41</v>
      </c>
      <c r="Z369" s="132">
        <v>421220</v>
      </c>
    </row>
    <row r="370" spans="13:26" x14ac:dyDescent="0.3">
      <c r="M370" t="s">
        <v>124</v>
      </c>
      <c r="N370" t="s">
        <v>41</v>
      </c>
      <c r="O370" s="132">
        <v>85600</v>
      </c>
      <c r="P370">
        <v>2024</v>
      </c>
      <c r="R370" t="s">
        <v>462</v>
      </c>
      <c r="S370" t="s">
        <v>106</v>
      </c>
      <c r="T370" t="s">
        <v>82</v>
      </c>
      <c r="U370" t="s">
        <v>103</v>
      </c>
      <c r="W370" t="s">
        <v>519</v>
      </c>
      <c r="X370" t="s">
        <v>470</v>
      </c>
      <c r="Y370" t="s">
        <v>24</v>
      </c>
      <c r="Z370" s="132">
        <v>22</v>
      </c>
    </row>
    <row r="371" spans="13:26" x14ac:dyDescent="0.3">
      <c r="M371" t="s">
        <v>302</v>
      </c>
      <c r="N371" t="s">
        <v>24</v>
      </c>
      <c r="O371" s="132">
        <v>142</v>
      </c>
      <c r="P371">
        <v>2024</v>
      </c>
      <c r="R371" t="s">
        <v>462</v>
      </c>
      <c r="S371" t="s">
        <v>106</v>
      </c>
      <c r="T371" t="s">
        <v>32</v>
      </c>
      <c r="U371" t="s">
        <v>63</v>
      </c>
      <c r="W371" t="s">
        <v>519</v>
      </c>
      <c r="X371" t="s">
        <v>470</v>
      </c>
      <c r="Y371" t="s">
        <v>33</v>
      </c>
      <c r="Z371" s="132">
        <v>744</v>
      </c>
    </row>
    <row r="372" spans="13:26" x14ac:dyDescent="0.3">
      <c r="M372" t="s">
        <v>302</v>
      </c>
      <c r="N372" t="s">
        <v>31</v>
      </c>
      <c r="O372" s="132">
        <v>159</v>
      </c>
      <c r="P372">
        <v>2024</v>
      </c>
      <c r="R372" t="s">
        <v>367</v>
      </c>
      <c r="S372" t="s">
        <v>151</v>
      </c>
      <c r="T372" t="s">
        <v>82</v>
      </c>
      <c r="U372" t="s">
        <v>112</v>
      </c>
      <c r="W372" t="s">
        <v>519</v>
      </c>
      <c r="X372" t="s">
        <v>470</v>
      </c>
      <c r="Y372" t="s">
        <v>31</v>
      </c>
      <c r="Z372" s="132">
        <v>32</v>
      </c>
    </row>
    <row r="373" spans="13:26" x14ac:dyDescent="0.3">
      <c r="M373" t="s">
        <v>302</v>
      </c>
      <c r="N373" t="s">
        <v>33</v>
      </c>
      <c r="O373" s="132">
        <v>120</v>
      </c>
      <c r="P373">
        <v>2024</v>
      </c>
      <c r="R373" t="s">
        <v>367</v>
      </c>
      <c r="S373" t="s">
        <v>151</v>
      </c>
      <c r="T373" t="s">
        <v>47</v>
      </c>
      <c r="U373" t="s">
        <v>112</v>
      </c>
      <c r="W373" t="s">
        <v>519</v>
      </c>
      <c r="X373" t="s">
        <v>470</v>
      </c>
      <c r="Y373" t="s">
        <v>41</v>
      </c>
      <c r="Z373" s="132">
        <v>6734</v>
      </c>
    </row>
    <row r="374" spans="13:26" x14ac:dyDescent="0.3">
      <c r="M374" t="s">
        <v>302</v>
      </c>
      <c r="N374" t="s">
        <v>41</v>
      </c>
      <c r="O374" s="132">
        <v>81959</v>
      </c>
      <c r="P374">
        <v>2024</v>
      </c>
      <c r="R374" t="s">
        <v>367</v>
      </c>
      <c r="S374" t="s">
        <v>151</v>
      </c>
      <c r="T374" t="s">
        <v>42</v>
      </c>
      <c r="U374" t="s">
        <v>112</v>
      </c>
      <c r="W374" t="s">
        <v>520</v>
      </c>
      <c r="X374" t="s">
        <v>198</v>
      </c>
      <c r="Y374" t="s">
        <v>24</v>
      </c>
      <c r="Z374" s="132">
        <v>60</v>
      </c>
    </row>
    <row r="375" spans="13:26" x14ac:dyDescent="0.3">
      <c r="M375" t="s">
        <v>304</v>
      </c>
      <c r="N375" t="s">
        <v>31</v>
      </c>
      <c r="O375" s="132">
        <v>8</v>
      </c>
      <c r="P375">
        <v>2024</v>
      </c>
      <c r="R375" t="s">
        <v>367</v>
      </c>
      <c r="S375" t="s">
        <v>151</v>
      </c>
      <c r="T375" t="s">
        <v>32</v>
      </c>
      <c r="U375" t="s">
        <v>112</v>
      </c>
      <c r="W375" t="s">
        <v>520</v>
      </c>
      <c r="X375" t="s">
        <v>198</v>
      </c>
      <c r="Y375" t="s">
        <v>33</v>
      </c>
      <c r="Z375" s="132">
        <v>92</v>
      </c>
    </row>
    <row r="376" spans="13:26" x14ac:dyDescent="0.3">
      <c r="M376" t="s">
        <v>304</v>
      </c>
      <c r="N376" t="s">
        <v>33</v>
      </c>
      <c r="O376" s="132">
        <v>32</v>
      </c>
      <c r="P376">
        <v>2024</v>
      </c>
      <c r="R376" t="s">
        <v>367</v>
      </c>
      <c r="S376" t="s">
        <v>151</v>
      </c>
      <c r="T376" t="s">
        <v>42</v>
      </c>
      <c r="U376" t="s">
        <v>149</v>
      </c>
      <c r="W376" t="s">
        <v>520</v>
      </c>
      <c r="X376" t="s">
        <v>198</v>
      </c>
      <c r="Y376" t="s">
        <v>31</v>
      </c>
      <c r="Z376" s="132">
        <v>61</v>
      </c>
    </row>
    <row r="377" spans="13:26" x14ac:dyDescent="0.3">
      <c r="M377" t="s">
        <v>304</v>
      </c>
      <c r="N377" t="s">
        <v>41</v>
      </c>
      <c r="O377" s="132">
        <v>1306</v>
      </c>
      <c r="P377">
        <v>2024</v>
      </c>
      <c r="R377" t="s">
        <v>367</v>
      </c>
      <c r="S377" t="s">
        <v>151</v>
      </c>
      <c r="T377" t="s">
        <v>47</v>
      </c>
      <c r="U377" t="s">
        <v>149</v>
      </c>
      <c r="W377" t="s">
        <v>520</v>
      </c>
      <c r="X377" t="s">
        <v>198</v>
      </c>
      <c r="Y377" t="s">
        <v>41</v>
      </c>
      <c r="Z377" s="132">
        <v>7350</v>
      </c>
    </row>
    <row r="378" spans="13:26" x14ac:dyDescent="0.3">
      <c r="M378" t="s">
        <v>126</v>
      </c>
      <c r="N378" t="s">
        <v>24</v>
      </c>
      <c r="O378" s="132">
        <v>11</v>
      </c>
      <c r="P378">
        <v>2024</v>
      </c>
      <c r="R378" t="s">
        <v>367</v>
      </c>
      <c r="S378" t="s">
        <v>151</v>
      </c>
      <c r="T378" t="s">
        <v>32</v>
      </c>
      <c r="U378" t="s">
        <v>149</v>
      </c>
      <c r="W378" t="s">
        <v>521</v>
      </c>
      <c r="X378" t="s">
        <v>201</v>
      </c>
      <c r="Y378" t="s">
        <v>24</v>
      </c>
      <c r="Z378" s="132">
        <v>10</v>
      </c>
    </row>
    <row r="379" spans="13:26" x14ac:dyDescent="0.3">
      <c r="M379" t="s">
        <v>126</v>
      </c>
      <c r="N379" t="s">
        <v>31</v>
      </c>
      <c r="O379" s="132">
        <v>612</v>
      </c>
      <c r="P379">
        <v>2024</v>
      </c>
      <c r="R379" t="s">
        <v>367</v>
      </c>
      <c r="S379" t="s">
        <v>151</v>
      </c>
      <c r="T379" t="s">
        <v>37</v>
      </c>
      <c r="U379" t="s">
        <v>149</v>
      </c>
      <c r="W379" t="s">
        <v>521</v>
      </c>
      <c r="X379" t="s">
        <v>201</v>
      </c>
      <c r="Y379" t="s">
        <v>33</v>
      </c>
      <c r="Z379" s="132">
        <v>167</v>
      </c>
    </row>
    <row r="380" spans="13:26" x14ac:dyDescent="0.3">
      <c r="M380" t="s">
        <v>126</v>
      </c>
      <c r="N380" t="s">
        <v>33</v>
      </c>
      <c r="O380" s="132">
        <v>286</v>
      </c>
      <c r="P380">
        <v>2024</v>
      </c>
      <c r="R380" t="s">
        <v>367</v>
      </c>
      <c r="S380" t="s">
        <v>151</v>
      </c>
      <c r="T380" t="s">
        <v>42</v>
      </c>
      <c r="U380" t="s">
        <v>220</v>
      </c>
      <c r="W380" t="s">
        <v>521</v>
      </c>
      <c r="X380" t="s">
        <v>201</v>
      </c>
      <c r="Y380" t="s">
        <v>31</v>
      </c>
      <c r="Z380" s="132">
        <v>169</v>
      </c>
    </row>
    <row r="381" spans="13:26" x14ac:dyDescent="0.3">
      <c r="M381" t="s">
        <v>126</v>
      </c>
      <c r="N381" t="s">
        <v>41</v>
      </c>
      <c r="O381" s="132">
        <v>2613</v>
      </c>
      <c r="P381">
        <v>2024</v>
      </c>
      <c r="R381" t="s">
        <v>367</v>
      </c>
      <c r="S381" t="s">
        <v>151</v>
      </c>
      <c r="T381" t="s">
        <v>32</v>
      </c>
      <c r="U381" t="s">
        <v>220</v>
      </c>
      <c r="W381" t="s">
        <v>521</v>
      </c>
      <c r="X381" t="s">
        <v>201</v>
      </c>
      <c r="Y381" t="s">
        <v>41</v>
      </c>
      <c r="Z381" s="132">
        <v>19000</v>
      </c>
    </row>
    <row r="382" spans="13:26" x14ac:dyDescent="0.3">
      <c r="M382" t="s">
        <v>405</v>
      </c>
      <c r="N382" t="s">
        <v>33</v>
      </c>
      <c r="O382" s="132">
        <v>54</v>
      </c>
      <c r="P382">
        <v>2024</v>
      </c>
      <c r="R382" t="s">
        <v>367</v>
      </c>
      <c r="S382" t="s">
        <v>151</v>
      </c>
      <c r="T382" t="s">
        <v>32</v>
      </c>
      <c r="U382" t="s">
        <v>343</v>
      </c>
    </row>
    <row r="383" spans="13:26" x14ac:dyDescent="0.3">
      <c r="M383" t="s">
        <v>405</v>
      </c>
      <c r="N383" t="s">
        <v>41</v>
      </c>
      <c r="O383" s="132">
        <v>70</v>
      </c>
      <c r="P383">
        <v>2024</v>
      </c>
      <c r="R383" t="s">
        <v>367</v>
      </c>
      <c r="S383" t="s">
        <v>151</v>
      </c>
      <c r="T383" t="s">
        <v>82</v>
      </c>
      <c r="U383" t="s">
        <v>343</v>
      </c>
    </row>
    <row r="384" spans="13:26" x14ac:dyDescent="0.3">
      <c r="M384" t="s">
        <v>307</v>
      </c>
      <c r="N384" t="s">
        <v>24</v>
      </c>
      <c r="O384" s="132">
        <v>4</v>
      </c>
      <c r="P384">
        <v>2024</v>
      </c>
      <c r="R384" t="s">
        <v>410</v>
      </c>
      <c r="S384" t="s">
        <v>154</v>
      </c>
      <c r="T384" t="s">
        <v>82</v>
      </c>
      <c r="U384" t="s">
        <v>175</v>
      </c>
    </row>
    <row r="385" spans="13:21" x14ac:dyDescent="0.3">
      <c r="M385" t="s">
        <v>307</v>
      </c>
      <c r="N385" t="s">
        <v>31</v>
      </c>
      <c r="O385" s="132">
        <v>4</v>
      </c>
      <c r="P385">
        <v>2024</v>
      </c>
      <c r="R385" t="s">
        <v>410</v>
      </c>
      <c r="S385" t="s">
        <v>154</v>
      </c>
      <c r="T385" t="s">
        <v>42</v>
      </c>
      <c r="U385" t="s">
        <v>131</v>
      </c>
    </row>
    <row r="386" spans="13:21" x14ac:dyDescent="0.3">
      <c r="M386" t="s">
        <v>307</v>
      </c>
      <c r="N386" t="s">
        <v>33</v>
      </c>
      <c r="O386" s="132">
        <v>9</v>
      </c>
      <c r="P386">
        <v>2024</v>
      </c>
      <c r="R386" t="s">
        <v>410</v>
      </c>
      <c r="S386" t="s">
        <v>154</v>
      </c>
      <c r="T386" t="s">
        <v>26</v>
      </c>
      <c r="U386" t="s">
        <v>131</v>
      </c>
    </row>
    <row r="387" spans="13:21" x14ac:dyDescent="0.3">
      <c r="M387" t="s">
        <v>307</v>
      </c>
      <c r="N387" t="s">
        <v>41</v>
      </c>
      <c r="O387" s="132">
        <v>37</v>
      </c>
      <c r="P387">
        <v>2024</v>
      </c>
      <c r="R387" t="s">
        <v>410</v>
      </c>
      <c r="S387" t="s">
        <v>154</v>
      </c>
      <c r="T387" t="s">
        <v>32</v>
      </c>
      <c r="U387" t="s">
        <v>131</v>
      </c>
    </row>
    <row r="388" spans="13:21" x14ac:dyDescent="0.3">
      <c r="M388" t="s">
        <v>71</v>
      </c>
      <c r="N388" t="s">
        <v>24</v>
      </c>
      <c r="O388" s="132">
        <v>4</v>
      </c>
      <c r="P388">
        <v>2024</v>
      </c>
      <c r="R388" t="s">
        <v>410</v>
      </c>
      <c r="S388" t="s">
        <v>154</v>
      </c>
      <c r="T388" t="s">
        <v>26</v>
      </c>
      <c r="U388" t="s">
        <v>112</v>
      </c>
    </row>
    <row r="389" spans="13:21" x14ac:dyDescent="0.3">
      <c r="M389" t="s">
        <v>71</v>
      </c>
      <c r="N389" t="s">
        <v>31</v>
      </c>
      <c r="O389" s="132">
        <v>56</v>
      </c>
      <c r="P389">
        <v>2024</v>
      </c>
      <c r="R389" t="s">
        <v>410</v>
      </c>
      <c r="S389" t="s">
        <v>154</v>
      </c>
      <c r="T389" t="s">
        <v>37</v>
      </c>
      <c r="U389" t="s">
        <v>112</v>
      </c>
    </row>
    <row r="390" spans="13:21" x14ac:dyDescent="0.3">
      <c r="M390" t="s">
        <v>71</v>
      </c>
      <c r="N390" t="s">
        <v>33</v>
      </c>
      <c r="O390" s="132">
        <v>19</v>
      </c>
      <c r="P390">
        <v>2024</v>
      </c>
      <c r="R390" t="s">
        <v>410</v>
      </c>
      <c r="S390" t="s">
        <v>154</v>
      </c>
      <c r="T390" t="s">
        <v>42</v>
      </c>
      <c r="U390" t="s">
        <v>112</v>
      </c>
    </row>
    <row r="391" spans="13:21" x14ac:dyDescent="0.3">
      <c r="M391" t="s">
        <v>71</v>
      </c>
      <c r="N391" t="s">
        <v>41</v>
      </c>
      <c r="O391" s="132">
        <v>5000</v>
      </c>
      <c r="P391">
        <v>2024</v>
      </c>
      <c r="R391" t="s">
        <v>410</v>
      </c>
      <c r="S391" t="s">
        <v>154</v>
      </c>
      <c r="T391" t="s">
        <v>32</v>
      </c>
      <c r="U391" t="s">
        <v>112</v>
      </c>
    </row>
    <row r="392" spans="13:21" x14ac:dyDescent="0.3">
      <c r="M392" t="s">
        <v>135</v>
      </c>
      <c r="N392" t="s">
        <v>24</v>
      </c>
      <c r="O392" s="132">
        <v>4</v>
      </c>
      <c r="P392">
        <v>2024</v>
      </c>
      <c r="R392" t="s">
        <v>410</v>
      </c>
      <c r="S392" t="s">
        <v>154</v>
      </c>
      <c r="T392" t="s">
        <v>82</v>
      </c>
      <c r="U392" t="s">
        <v>112</v>
      </c>
    </row>
    <row r="393" spans="13:21" x14ac:dyDescent="0.3">
      <c r="M393" t="s">
        <v>135</v>
      </c>
      <c r="N393" t="s">
        <v>31</v>
      </c>
      <c r="O393" s="132">
        <v>5</v>
      </c>
      <c r="P393">
        <v>2024</v>
      </c>
      <c r="R393" t="s">
        <v>410</v>
      </c>
      <c r="S393" t="s">
        <v>154</v>
      </c>
      <c r="T393" t="s">
        <v>47</v>
      </c>
      <c r="U393" t="s">
        <v>112</v>
      </c>
    </row>
    <row r="394" spans="13:21" x14ac:dyDescent="0.3">
      <c r="M394" t="s">
        <v>135</v>
      </c>
      <c r="N394" t="s">
        <v>33</v>
      </c>
      <c r="O394" s="132">
        <v>9</v>
      </c>
      <c r="P394">
        <v>2024</v>
      </c>
      <c r="R394" t="s">
        <v>410</v>
      </c>
      <c r="S394" t="s">
        <v>154</v>
      </c>
      <c r="T394" t="s">
        <v>42</v>
      </c>
      <c r="U394" t="s">
        <v>149</v>
      </c>
    </row>
    <row r="395" spans="13:21" x14ac:dyDescent="0.3">
      <c r="M395" t="s">
        <v>135</v>
      </c>
      <c r="N395" t="s">
        <v>41</v>
      </c>
      <c r="O395" s="132">
        <v>110</v>
      </c>
      <c r="P395">
        <v>2024</v>
      </c>
      <c r="R395" t="s">
        <v>410</v>
      </c>
      <c r="S395" t="s">
        <v>154</v>
      </c>
      <c r="T395" t="s">
        <v>32</v>
      </c>
      <c r="U395" t="s">
        <v>149</v>
      </c>
    </row>
    <row r="396" spans="13:21" x14ac:dyDescent="0.3">
      <c r="M396" t="s">
        <v>248</v>
      </c>
      <c r="N396" t="s">
        <v>24</v>
      </c>
      <c r="O396" s="132">
        <v>297</v>
      </c>
      <c r="P396">
        <v>2024</v>
      </c>
      <c r="R396" t="s">
        <v>522</v>
      </c>
      <c r="S396" t="s">
        <v>287</v>
      </c>
      <c r="T396" t="s">
        <v>32</v>
      </c>
      <c r="U396" t="s">
        <v>220</v>
      </c>
    </row>
    <row r="397" spans="13:21" x14ac:dyDescent="0.3">
      <c r="M397" t="s">
        <v>248</v>
      </c>
      <c r="N397" t="s">
        <v>31</v>
      </c>
      <c r="O397" s="132">
        <v>468</v>
      </c>
      <c r="P397">
        <v>2024</v>
      </c>
      <c r="R397" t="s">
        <v>522</v>
      </c>
      <c r="S397" t="s">
        <v>287</v>
      </c>
      <c r="T397" t="s">
        <v>42</v>
      </c>
      <c r="U397" t="s">
        <v>220</v>
      </c>
    </row>
    <row r="398" spans="13:21" x14ac:dyDescent="0.3">
      <c r="M398" t="s">
        <v>248</v>
      </c>
      <c r="N398" t="s">
        <v>33</v>
      </c>
      <c r="O398" s="132">
        <v>17025</v>
      </c>
      <c r="P398">
        <v>2024</v>
      </c>
      <c r="R398" t="s">
        <v>415</v>
      </c>
      <c r="S398" t="s">
        <v>290</v>
      </c>
      <c r="T398" t="s">
        <v>82</v>
      </c>
      <c r="U398" t="s">
        <v>175</v>
      </c>
    </row>
    <row r="399" spans="13:21" x14ac:dyDescent="0.3">
      <c r="M399" t="s">
        <v>248</v>
      </c>
      <c r="N399" t="s">
        <v>41</v>
      </c>
      <c r="O399" s="132">
        <v>34884</v>
      </c>
      <c r="P399">
        <v>2024</v>
      </c>
      <c r="R399" t="s">
        <v>415</v>
      </c>
      <c r="S399" t="s">
        <v>290</v>
      </c>
      <c r="T399" t="s">
        <v>42</v>
      </c>
      <c r="U399" t="s">
        <v>175</v>
      </c>
    </row>
    <row r="400" spans="13:21" x14ac:dyDescent="0.3">
      <c r="M400" t="s">
        <v>309</v>
      </c>
      <c r="N400" t="s">
        <v>24</v>
      </c>
      <c r="O400" s="132">
        <v>3</v>
      </c>
      <c r="P400">
        <v>2024</v>
      </c>
      <c r="R400" t="s">
        <v>415</v>
      </c>
      <c r="S400" t="s">
        <v>290</v>
      </c>
      <c r="T400" t="s">
        <v>32</v>
      </c>
      <c r="U400" t="s">
        <v>175</v>
      </c>
    </row>
    <row r="401" spans="13:21" x14ac:dyDescent="0.3">
      <c r="M401" t="s">
        <v>309</v>
      </c>
      <c r="N401" t="s">
        <v>31</v>
      </c>
      <c r="O401" s="132">
        <v>4</v>
      </c>
      <c r="P401">
        <v>2024</v>
      </c>
      <c r="R401" t="s">
        <v>415</v>
      </c>
      <c r="S401" t="s">
        <v>290</v>
      </c>
      <c r="T401" t="s">
        <v>32</v>
      </c>
      <c r="U401" t="s">
        <v>273</v>
      </c>
    </row>
    <row r="402" spans="13:21" x14ac:dyDescent="0.3">
      <c r="M402" t="s">
        <v>309</v>
      </c>
      <c r="N402" t="s">
        <v>33</v>
      </c>
      <c r="O402" s="132">
        <v>10</v>
      </c>
      <c r="P402">
        <v>2024</v>
      </c>
      <c r="R402" t="s">
        <v>415</v>
      </c>
      <c r="S402" t="s">
        <v>290</v>
      </c>
      <c r="T402" t="s">
        <v>82</v>
      </c>
      <c r="U402" t="s">
        <v>273</v>
      </c>
    </row>
    <row r="403" spans="13:21" x14ac:dyDescent="0.3">
      <c r="M403" t="s">
        <v>309</v>
      </c>
      <c r="N403" t="s">
        <v>41</v>
      </c>
      <c r="O403" s="132">
        <v>77</v>
      </c>
      <c r="P403">
        <v>2024</v>
      </c>
      <c r="R403" t="s">
        <v>415</v>
      </c>
      <c r="S403" t="s">
        <v>290</v>
      </c>
      <c r="T403" t="s">
        <v>37</v>
      </c>
      <c r="U403" t="s">
        <v>273</v>
      </c>
    </row>
    <row r="404" spans="13:21" x14ac:dyDescent="0.3">
      <c r="M404" t="s">
        <v>407</v>
      </c>
      <c r="N404" t="s">
        <v>24</v>
      </c>
      <c r="O404" s="132">
        <v>20</v>
      </c>
      <c r="P404">
        <v>2024</v>
      </c>
      <c r="R404" t="s">
        <v>415</v>
      </c>
      <c r="S404" t="s">
        <v>290</v>
      </c>
      <c r="T404" t="s">
        <v>42</v>
      </c>
      <c r="U404" t="s">
        <v>273</v>
      </c>
    </row>
    <row r="405" spans="13:21" x14ac:dyDescent="0.3">
      <c r="M405" t="s">
        <v>407</v>
      </c>
      <c r="N405" t="s">
        <v>33</v>
      </c>
      <c r="O405" s="132">
        <v>65</v>
      </c>
      <c r="P405">
        <v>2024</v>
      </c>
      <c r="R405" t="s">
        <v>415</v>
      </c>
      <c r="S405" t="s">
        <v>290</v>
      </c>
      <c r="T405" t="s">
        <v>32</v>
      </c>
      <c r="U405" t="s">
        <v>235</v>
      </c>
    </row>
    <row r="406" spans="13:21" x14ac:dyDescent="0.3">
      <c r="M406" t="s">
        <v>407</v>
      </c>
      <c r="N406" t="s">
        <v>41</v>
      </c>
      <c r="O406" s="132">
        <v>1550</v>
      </c>
      <c r="P406">
        <v>2024</v>
      </c>
      <c r="R406" t="s">
        <v>415</v>
      </c>
      <c r="S406" t="s">
        <v>290</v>
      </c>
      <c r="T406" t="s">
        <v>47</v>
      </c>
      <c r="U406" t="s">
        <v>220</v>
      </c>
    </row>
    <row r="407" spans="13:21" x14ac:dyDescent="0.3">
      <c r="M407" t="s">
        <v>409</v>
      </c>
      <c r="N407" t="s">
        <v>24</v>
      </c>
      <c r="O407" s="132">
        <v>1</v>
      </c>
      <c r="P407">
        <v>2024</v>
      </c>
      <c r="R407" t="s">
        <v>415</v>
      </c>
      <c r="S407" t="s">
        <v>290</v>
      </c>
      <c r="T407" t="s">
        <v>42</v>
      </c>
      <c r="U407" t="s">
        <v>299</v>
      </c>
    </row>
    <row r="408" spans="13:21" x14ac:dyDescent="0.3">
      <c r="M408" t="s">
        <v>409</v>
      </c>
      <c r="N408" t="s">
        <v>31</v>
      </c>
      <c r="O408" s="132">
        <v>1</v>
      </c>
      <c r="P408">
        <v>2024</v>
      </c>
      <c r="R408" t="s">
        <v>424</v>
      </c>
      <c r="S408" t="s">
        <v>425</v>
      </c>
      <c r="T408" t="s">
        <v>26</v>
      </c>
      <c r="U408" t="s">
        <v>197</v>
      </c>
    </row>
    <row r="409" spans="13:21" x14ac:dyDescent="0.3">
      <c r="M409" t="s">
        <v>409</v>
      </c>
      <c r="N409" t="s">
        <v>33</v>
      </c>
      <c r="O409" s="132">
        <v>78</v>
      </c>
      <c r="P409">
        <v>2024</v>
      </c>
      <c r="R409" t="s">
        <v>424</v>
      </c>
      <c r="S409" t="s">
        <v>425</v>
      </c>
      <c r="T409" t="s">
        <v>82</v>
      </c>
      <c r="U409" t="s">
        <v>27</v>
      </c>
    </row>
    <row r="410" spans="13:21" x14ac:dyDescent="0.3">
      <c r="M410" t="s">
        <v>409</v>
      </c>
      <c r="N410" t="s">
        <v>41</v>
      </c>
      <c r="O410" s="132">
        <v>750</v>
      </c>
      <c r="P410">
        <v>2024</v>
      </c>
      <c r="R410" t="s">
        <v>424</v>
      </c>
      <c r="S410" t="s">
        <v>425</v>
      </c>
      <c r="T410" t="s">
        <v>42</v>
      </c>
      <c r="U410" t="s">
        <v>27</v>
      </c>
    </row>
    <row r="411" spans="13:21" x14ac:dyDescent="0.3">
      <c r="M411" t="s">
        <v>311</v>
      </c>
      <c r="N411" t="s">
        <v>24</v>
      </c>
      <c r="O411" s="132">
        <v>31</v>
      </c>
      <c r="P411">
        <v>2024</v>
      </c>
      <c r="R411" t="s">
        <v>424</v>
      </c>
      <c r="S411" t="s">
        <v>425</v>
      </c>
      <c r="T411" t="s">
        <v>37</v>
      </c>
      <c r="U411" t="s">
        <v>27</v>
      </c>
    </row>
    <row r="412" spans="13:21" x14ac:dyDescent="0.3">
      <c r="M412" t="s">
        <v>311</v>
      </c>
      <c r="N412" t="s">
        <v>31</v>
      </c>
      <c r="O412" s="132">
        <v>703</v>
      </c>
      <c r="P412">
        <v>2024</v>
      </c>
      <c r="R412" t="s">
        <v>424</v>
      </c>
      <c r="S412" t="s">
        <v>425</v>
      </c>
      <c r="T412" t="s">
        <v>47</v>
      </c>
      <c r="U412" t="s">
        <v>27</v>
      </c>
    </row>
    <row r="413" spans="13:21" x14ac:dyDescent="0.3">
      <c r="M413" t="s">
        <v>311</v>
      </c>
      <c r="N413" t="s">
        <v>33</v>
      </c>
      <c r="O413" s="132">
        <v>181</v>
      </c>
      <c r="P413">
        <v>2024</v>
      </c>
      <c r="R413" t="s">
        <v>424</v>
      </c>
      <c r="S413" t="s">
        <v>425</v>
      </c>
      <c r="T413" t="s">
        <v>32</v>
      </c>
      <c r="U413" t="s">
        <v>131</v>
      </c>
    </row>
    <row r="414" spans="13:21" x14ac:dyDescent="0.3">
      <c r="M414" t="s">
        <v>311</v>
      </c>
      <c r="N414" t="s">
        <v>41</v>
      </c>
      <c r="O414" s="132">
        <v>27634</v>
      </c>
      <c r="P414">
        <v>2024</v>
      </c>
      <c r="R414" t="s">
        <v>424</v>
      </c>
      <c r="S414" t="s">
        <v>425</v>
      </c>
      <c r="T414" t="s">
        <v>26</v>
      </c>
      <c r="U414" t="s">
        <v>131</v>
      </c>
    </row>
    <row r="415" spans="13:21" x14ac:dyDescent="0.3">
      <c r="M415" t="s">
        <v>213</v>
      </c>
      <c r="N415" t="s">
        <v>24</v>
      </c>
      <c r="O415" s="132">
        <v>23</v>
      </c>
      <c r="P415">
        <v>2024</v>
      </c>
      <c r="R415" t="s">
        <v>424</v>
      </c>
      <c r="S415" t="s">
        <v>425</v>
      </c>
      <c r="T415" t="s">
        <v>42</v>
      </c>
      <c r="U415" t="s">
        <v>131</v>
      </c>
    </row>
    <row r="416" spans="13:21" x14ac:dyDescent="0.3">
      <c r="M416" t="s">
        <v>213</v>
      </c>
      <c r="N416" t="s">
        <v>31</v>
      </c>
      <c r="O416" s="132">
        <v>23</v>
      </c>
      <c r="P416">
        <v>2024</v>
      </c>
      <c r="R416" t="s">
        <v>424</v>
      </c>
      <c r="S416" t="s">
        <v>425</v>
      </c>
      <c r="T416" t="s">
        <v>47</v>
      </c>
      <c r="U416" t="s">
        <v>131</v>
      </c>
    </row>
    <row r="417" spans="13:21" x14ac:dyDescent="0.3">
      <c r="M417" t="s">
        <v>213</v>
      </c>
      <c r="N417" t="s">
        <v>33</v>
      </c>
      <c r="O417" s="132">
        <v>179</v>
      </c>
      <c r="P417">
        <v>2024</v>
      </c>
      <c r="R417" t="s">
        <v>424</v>
      </c>
      <c r="S417" t="s">
        <v>425</v>
      </c>
      <c r="T417" t="s">
        <v>82</v>
      </c>
      <c r="U417" t="s">
        <v>131</v>
      </c>
    </row>
    <row r="418" spans="13:21" x14ac:dyDescent="0.3">
      <c r="M418" t="s">
        <v>213</v>
      </c>
      <c r="N418" t="s">
        <v>41</v>
      </c>
      <c r="O418" s="132">
        <v>841</v>
      </c>
      <c r="P418">
        <v>2024</v>
      </c>
      <c r="R418" t="s">
        <v>424</v>
      </c>
      <c r="S418" t="s">
        <v>425</v>
      </c>
      <c r="T418" t="s">
        <v>82</v>
      </c>
      <c r="U418" t="s">
        <v>52</v>
      </c>
    </row>
    <row r="419" spans="13:21" x14ac:dyDescent="0.3">
      <c r="M419" t="s">
        <v>209</v>
      </c>
      <c r="N419" t="s">
        <v>24</v>
      </c>
      <c r="O419" s="132">
        <v>77</v>
      </c>
      <c r="P419">
        <v>2024</v>
      </c>
      <c r="R419" t="s">
        <v>424</v>
      </c>
      <c r="S419" t="s">
        <v>425</v>
      </c>
      <c r="T419" t="s">
        <v>47</v>
      </c>
      <c r="U419" t="s">
        <v>52</v>
      </c>
    </row>
    <row r="420" spans="13:21" x14ac:dyDescent="0.3">
      <c r="M420" t="s">
        <v>209</v>
      </c>
      <c r="N420" t="s">
        <v>31</v>
      </c>
      <c r="O420" s="132">
        <v>28</v>
      </c>
      <c r="P420">
        <v>2024</v>
      </c>
      <c r="R420" t="s">
        <v>424</v>
      </c>
      <c r="S420" t="s">
        <v>425</v>
      </c>
      <c r="T420" t="s">
        <v>26</v>
      </c>
      <c r="U420" t="s">
        <v>52</v>
      </c>
    </row>
    <row r="421" spans="13:21" x14ac:dyDescent="0.3">
      <c r="M421" t="s">
        <v>209</v>
      </c>
      <c r="N421" t="s">
        <v>33</v>
      </c>
      <c r="O421" s="132">
        <v>925</v>
      </c>
      <c r="P421">
        <v>2024</v>
      </c>
      <c r="R421" t="s">
        <v>424</v>
      </c>
      <c r="S421" t="s">
        <v>425</v>
      </c>
      <c r="T421" t="s">
        <v>37</v>
      </c>
      <c r="U421" t="s">
        <v>52</v>
      </c>
    </row>
    <row r="422" spans="13:21" x14ac:dyDescent="0.3">
      <c r="M422" t="s">
        <v>209</v>
      </c>
      <c r="N422" t="s">
        <v>41</v>
      </c>
      <c r="O422" s="132">
        <v>4000</v>
      </c>
      <c r="P422">
        <v>2024</v>
      </c>
      <c r="R422" t="s">
        <v>424</v>
      </c>
      <c r="S422" t="s">
        <v>425</v>
      </c>
      <c r="T422" t="s">
        <v>42</v>
      </c>
      <c r="U422" t="s">
        <v>52</v>
      </c>
    </row>
    <row r="423" spans="13:21" x14ac:dyDescent="0.3">
      <c r="M423" t="s">
        <v>138</v>
      </c>
      <c r="N423" t="s">
        <v>24</v>
      </c>
      <c r="O423" s="132">
        <v>11</v>
      </c>
      <c r="P423">
        <v>2024</v>
      </c>
      <c r="R423" t="s">
        <v>424</v>
      </c>
      <c r="S423" t="s">
        <v>425</v>
      </c>
      <c r="T423" t="s">
        <v>47</v>
      </c>
      <c r="U423" t="s">
        <v>243</v>
      </c>
    </row>
    <row r="424" spans="13:21" x14ac:dyDescent="0.3">
      <c r="M424" t="s">
        <v>138</v>
      </c>
      <c r="N424" t="s">
        <v>31</v>
      </c>
      <c r="O424" s="132">
        <v>114</v>
      </c>
      <c r="P424">
        <v>2024</v>
      </c>
      <c r="R424" t="s">
        <v>424</v>
      </c>
      <c r="S424" t="s">
        <v>425</v>
      </c>
      <c r="T424" t="s">
        <v>47</v>
      </c>
      <c r="U424" t="s">
        <v>73</v>
      </c>
    </row>
    <row r="425" spans="13:21" x14ac:dyDescent="0.3">
      <c r="M425" t="s">
        <v>138</v>
      </c>
      <c r="N425" t="s">
        <v>33</v>
      </c>
      <c r="O425" s="132">
        <v>215</v>
      </c>
      <c r="P425">
        <v>2024</v>
      </c>
      <c r="R425" t="s">
        <v>424</v>
      </c>
      <c r="S425" t="s">
        <v>425</v>
      </c>
      <c r="T425" t="s">
        <v>26</v>
      </c>
      <c r="U425" t="s">
        <v>73</v>
      </c>
    </row>
    <row r="426" spans="13:21" x14ac:dyDescent="0.3">
      <c r="M426" t="s">
        <v>138</v>
      </c>
      <c r="N426" t="s">
        <v>41</v>
      </c>
      <c r="O426" s="132">
        <v>10130</v>
      </c>
      <c r="P426">
        <v>2024</v>
      </c>
      <c r="R426" t="s">
        <v>424</v>
      </c>
      <c r="S426" t="s">
        <v>425</v>
      </c>
      <c r="T426" t="s">
        <v>42</v>
      </c>
      <c r="U426" t="s">
        <v>73</v>
      </c>
    </row>
    <row r="427" spans="13:21" x14ac:dyDescent="0.3">
      <c r="M427" t="s">
        <v>313</v>
      </c>
      <c r="N427" t="s">
        <v>24</v>
      </c>
      <c r="O427" s="132">
        <v>274</v>
      </c>
      <c r="P427">
        <v>2024</v>
      </c>
      <c r="R427" t="s">
        <v>424</v>
      </c>
      <c r="S427" t="s">
        <v>425</v>
      </c>
      <c r="T427" t="s">
        <v>32</v>
      </c>
      <c r="U427" t="s">
        <v>73</v>
      </c>
    </row>
    <row r="428" spans="13:21" x14ac:dyDescent="0.3">
      <c r="M428" t="s">
        <v>313</v>
      </c>
      <c r="N428" t="s">
        <v>31</v>
      </c>
      <c r="O428" s="132">
        <v>2518</v>
      </c>
      <c r="P428">
        <v>2024</v>
      </c>
      <c r="R428" t="s">
        <v>437</v>
      </c>
      <c r="S428" t="s">
        <v>438</v>
      </c>
      <c r="T428" t="s">
        <v>32</v>
      </c>
      <c r="U428" t="s">
        <v>453</v>
      </c>
    </row>
    <row r="429" spans="13:21" x14ac:dyDescent="0.3">
      <c r="M429" t="s">
        <v>313</v>
      </c>
      <c r="N429" t="s">
        <v>33</v>
      </c>
      <c r="O429" s="132">
        <v>495</v>
      </c>
      <c r="P429">
        <v>2024</v>
      </c>
      <c r="R429" t="s">
        <v>437</v>
      </c>
      <c r="S429" t="s">
        <v>438</v>
      </c>
      <c r="T429" t="s">
        <v>47</v>
      </c>
      <c r="U429" t="s">
        <v>453</v>
      </c>
    </row>
    <row r="430" spans="13:21" x14ac:dyDescent="0.3">
      <c r="M430" t="s">
        <v>313</v>
      </c>
      <c r="N430" t="s">
        <v>41</v>
      </c>
      <c r="O430" s="132">
        <v>6642</v>
      </c>
      <c r="P430">
        <v>2024</v>
      </c>
      <c r="R430" t="s">
        <v>437</v>
      </c>
      <c r="S430" t="s">
        <v>438</v>
      </c>
      <c r="T430" t="s">
        <v>26</v>
      </c>
      <c r="U430" t="s">
        <v>453</v>
      </c>
    </row>
    <row r="431" spans="13:21" x14ac:dyDescent="0.3">
      <c r="M431" t="s">
        <v>140</v>
      </c>
      <c r="N431" t="s">
        <v>24</v>
      </c>
      <c r="O431" s="132">
        <v>9</v>
      </c>
      <c r="P431">
        <v>2024</v>
      </c>
      <c r="R431" t="s">
        <v>437</v>
      </c>
      <c r="S431" t="s">
        <v>438</v>
      </c>
      <c r="T431" t="s">
        <v>37</v>
      </c>
      <c r="U431" t="s">
        <v>453</v>
      </c>
    </row>
    <row r="432" spans="13:21" x14ac:dyDescent="0.3">
      <c r="M432" t="s">
        <v>140</v>
      </c>
      <c r="N432" t="s">
        <v>31</v>
      </c>
      <c r="O432" s="132">
        <v>9</v>
      </c>
      <c r="P432">
        <v>2024</v>
      </c>
      <c r="R432" t="s">
        <v>437</v>
      </c>
      <c r="S432" t="s">
        <v>438</v>
      </c>
      <c r="T432" t="s">
        <v>42</v>
      </c>
      <c r="U432" t="s">
        <v>453</v>
      </c>
    </row>
    <row r="433" spans="13:21" x14ac:dyDescent="0.3">
      <c r="M433" t="s">
        <v>140</v>
      </c>
      <c r="N433" t="s">
        <v>33</v>
      </c>
      <c r="O433" s="132">
        <v>13</v>
      </c>
      <c r="P433">
        <v>2024</v>
      </c>
      <c r="R433" t="s">
        <v>437</v>
      </c>
      <c r="S433" t="s">
        <v>438</v>
      </c>
      <c r="T433" t="s">
        <v>32</v>
      </c>
      <c r="U433" t="s">
        <v>276</v>
      </c>
    </row>
    <row r="434" spans="13:21" x14ac:dyDescent="0.3">
      <c r="M434" t="s">
        <v>316</v>
      </c>
      <c r="N434" t="s">
        <v>24</v>
      </c>
      <c r="O434" s="132">
        <v>77</v>
      </c>
      <c r="P434">
        <v>2024</v>
      </c>
      <c r="R434" t="s">
        <v>437</v>
      </c>
      <c r="S434" t="s">
        <v>438</v>
      </c>
      <c r="T434" t="s">
        <v>47</v>
      </c>
      <c r="U434" t="s">
        <v>276</v>
      </c>
    </row>
    <row r="435" spans="13:21" x14ac:dyDescent="0.3">
      <c r="M435" t="s">
        <v>316</v>
      </c>
      <c r="N435" t="s">
        <v>31</v>
      </c>
      <c r="O435" s="132">
        <v>8319</v>
      </c>
      <c r="P435">
        <v>2024</v>
      </c>
      <c r="R435" t="s">
        <v>437</v>
      </c>
      <c r="S435" t="s">
        <v>438</v>
      </c>
      <c r="T435" t="s">
        <v>82</v>
      </c>
      <c r="U435" t="s">
        <v>63</v>
      </c>
    </row>
    <row r="436" spans="13:21" x14ac:dyDescent="0.3">
      <c r="M436" t="s">
        <v>316</v>
      </c>
      <c r="N436" t="s">
        <v>33</v>
      </c>
      <c r="O436" s="132">
        <v>343</v>
      </c>
      <c r="P436">
        <v>2024</v>
      </c>
      <c r="R436" t="s">
        <v>437</v>
      </c>
      <c r="S436" t="s">
        <v>438</v>
      </c>
      <c r="T436" t="s">
        <v>32</v>
      </c>
      <c r="U436" t="s">
        <v>63</v>
      </c>
    </row>
    <row r="437" spans="13:21" x14ac:dyDescent="0.3">
      <c r="M437" t="s">
        <v>316</v>
      </c>
      <c r="N437" t="s">
        <v>41</v>
      </c>
      <c r="O437" s="132">
        <v>89863</v>
      </c>
      <c r="P437">
        <v>2024</v>
      </c>
      <c r="R437" t="s">
        <v>437</v>
      </c>
      <c r="S437" t="s">
        <v>438</v>
      </c>
      <c r="T437" t="s">
        <v>47</v>
      </c>
      <c r="U437" t="s">
        <v>63</v>
      </c>
    </row>
    <row r="438" spans="13:21" x14ac:dyDescent="0.3">
      <c r="M438" t="s">
        <v>412</v>
      </c>
      <c r="N438" t="s">
        <v>24</v>
      </c>
      <c r="O438" s="132">
        <v>10</v>
      </c>
      <c r="P438">
        <v>2024</v>
      </c>
      <c r="R438" t="s">
        <v>437</v>
      </c>
      <c r="S438" t="s">
        <v>438</v>
      </c>
      <c r="T438" t="s">
        <v>26</v>
      </c>
      <c r="U438" t="s">
        <v>322</v>
      </c>
    </row>
    <row r="439" spans="13:21" x14ac:dyDescent="0.3">
      <c r="M439" t="s">
        <v>412</v>
      </c>
      <c r="N439" t="s">
        <v>33</v>
      </c>
      <c r="O439" s="132">
        <v>754</v>
      </c>
      <c r="P439">
        <v>2024</v>
      </c>
      <c r="R439" t="s">
        <v>437</v>
      </c>
      <c r="S439" t="s">
        <v>438</v>
      </c>
      <c r="T439" t="s">
        <v>47</v>
      </c>
      <c r="U439" t="s">
        <v>322</v>
      </c>
    </row>
    <row r="440" spans="13:21" x14ac:dyDescent="0.3">
      <c r="M440" t="s">
        <v>412</v>
      </c>
      <c r="N440" t="s">
        <v>41</v>
      </c>
      <c r="O440" s="132">
        <v>9594</v>
      </c>
      <c r="P440">
        <v>2024</v>
      </c>
      <c r="R440" t="s">
        <v>437</v>
      </c>
      <c r="S440" t="s">
        <v>438</v>
      </c>
      <c r="T440" t="s">
        <v>32</v>
      </c>
      <c r="U440" t="s">
        <v>322</v>
      </c>
    </row>
    <row r="441" spans="13:21" x14ac:dyDescent="0.3">
      <c r="M441" t="s">
        <v>318</v>
      </c>
      <c r="N441" t="s">
        <v>24</v>
      </c>
      <c r="O441" s="132">
        <v>46</v>
      </c>
      <c r="P441">
        <v>2024</v>
      </c>
      <c r="R441" t="s">
        <v>437</v>
      </c>
      <c r="S441" t="s">
        <v>438</v>
      </c>
      <c r="T441" t="s">
        <v>42</v>
      </c>
      <c r="U441" t="s">
        <v>322</v>
      </c>
    </row>
    <row r="442" spans="13:21" x14ac:dyDescent="0.3">
      <c r="M442" t="s">
        <v>318</v>
      </c>
      <c r="N442" t="s">
        <v>31</v>
      </c>
      <c r="O442" s="132">
        <v>108</v>
      </c>
      <c r="P442">
        <v>2024</v>
      </c>
      <c r="R442" t="s">
        <v>437</v>
      </c>
      <c r="S442" t="s">
        <v>438</v>
      </c>
      <c r="T442" t="s">
        <v>37</v>
      </c>
      <c r="U442" t="s">
        <v>322</v>
      </c>
    </row>
    <row r="443" spans="13:21" x14ac:dyDescent="0.3">
      <c r="M443" t="s">
        <v>318</v>
      </c>
      <c r="N443" t="s">
        <v>33</v>
      </c>
      <c r="O443" s="132">
        <v>550</v>
      </c>
      <c r="P443">
        <v>2024</v>
      </c>
      <c r="R443" t="s">
        <v>523</v>
      </c>
      <c r="S443" t="s">
        <v>392</v>
      </c>
      <c r="T443" t="s">
        <v>37</v>
      </c>
      <c r="U443" t="s">
        <v>103</v>
      </c>
    </row>
    <row r="444" spans="13:21" x14ac:dyDescent="0.3">
      <c r="M444" t="s">
        <v>318</v>
      </c>
      <c r="N444" t="s">
        <v>41</v>
      </c>
      <c r="O444" s="132">
        <v>6094</v>
      </c>
      <c r="P444">
        <v>2024</v>
      </c>
      <c r="R444" t="s">
        <v>523</v>
      </c>
      <c r="S444" t="s">
        <v>392</v>
      </c>
      <c r="T444" t="s">
        <v>26</v>
      </c>
      <c r="U444" t="s">
        <v>103</v>
      </c>
    </row>
    <row r="445" spans="13:21" x14ac:dyDescent="0.3">
      <c r="M445" t="s">
        <v>146</v>
      </c>
      <c r="N445" t="s">
        <v>24</v>
      </c>
      <c r="O445" s="132">
        <v>8</v>
      </c>
      <c r="P445">
        <v>2024</v>
      </c>
      <c r="R445" t="s">
        <v>523</v>
      </c>
      <c r="S445" t="s">
        <v>392</v>
      </c>
      <c r="T445" t="s">
        <v>82</v>
      </c>
      <c r="U445" t="s">
        <v>103</v>
      </c>
    </row>
    <row r="446" spans="13:21" x14ac:dyDescent="0.3">
      <c r="M446" t="s">
        <v>146</v>
      </c>
      <c r="N446" t="s">
        <v>31</v>
      </c>
      <c r="O446" s="132">
        <v>71</v>
      </c>
      <c r="P446">
        <v>2024</v>
      </c>
      <c r="R446" t="s">
        <v>523</v>
      </c>
      <c r="S446" t="s">
        <v>392</v>
      </c>
      <c r="T446" t="s">
        <v>47</v>
      </c>
      <c r="U446" t="s">
        <v>103</v>
      </c>
    </row>
    <row r="447" spans="13:21" x14ac:dyDescent="0.3">
      <c r="M447" t="s">
        <v>146</v>
      </c>
      <c r="N447" t="s">
        <v>33</v>
      </c>
      <c r="O447" s="132">
        <v>399</v>
      </c>
      <c r="P447">
        <v>2024</v>
      </c>
      <c r="R447" t="s">
        <v>523</v>
      </c>
      <c r="S447" t="s">
        <v>392</v>
      </c>
      <c r="T447" t="s">
        <v>42</v>
      </c>
      <c r="U447" t="s">
        <v>103</v>
      </c>
    </row>
    <row r="448" spans="13:21" x14ac:dyDescent="0.3">
      <c r="M448" t="s">
        <v>146</v>
      </c>
      <c r="N448" t="s">
        <v>41</v>
      </c>
      <c r="O448" s="132">
        <v>10102</v>
      </c>
      <c r="P448">
        <v>2024</v>
      </c>
      <c r="R448" t="s">
        <v>523</v>
      </c>
      <c r="S448" t="s">
        <v>392</v>
      </c>
      <c r="T448" t="s">
        <v>32</v>
      </c>
      <c r="U448" t="s">
        <v>103</v>
      </c>
    </row>
    <row r="449" spans="13:21" x14ac:dyDescent="0.3">
      <c r="M449" t="s">
        <v>81</v>
      </c>
      <c r="N449" t="s">
        <v>24</v>
      </c>
      <c r="O449" s="132">
        <v>37</v>
      </c>
      <c r="P449">
        <v>2024</v>
      </c>
      <c r="R449" t="s">
        <v>523</v>
      </c>
      <c r="S449" t="s">
        <v>392</v>
      </c>
      <c r="T449" t="s">
        <v>26</v>
      </c>
      <c r="U449" t="s">
        <v>322</v>
      </c>
    </row>
    <row r="450" spans="13:21" x14ac:dyDescent="0.3">
      <c r="M450" t="s">
        <v>81</v>
      </c>
      <c r="N450" t="s">
        <v>31</v>
      </c>
      <c r="O450" s="132">
        <v>774</v>
      </c>
      <c r="P450">
        <v>2024</v>
      </c>
      <c r="R450" t="s">
        <v>523</v>
      </c>
      <c r="S450" t="s">
        <v>392</v>
      </c>
      <c r="T450" t="s">
        <v>37</v>
      </c>
      <c r="U450" t="s">
        <v>322</v>
      </c>
    </row>
    <row r="451" spans="13:21" x14ac:dyDescent="0.3">
      <c r="M451" t="s">
        <v>81</v>
      </c>
      <c r="N451" t="s">
        <v>33</v>
      </c>
      <c r="O451" s="132">
        <v>500</v>
      </c>
      <c r="P451">
        <v>2024</v>
      </c>
      <c r="R451" t="s">
        <v>523</v>
      </c>
      <c r="S451" t="s">
        <v>392</v>
      </c>
      <c r="T451" t="s">
        <v>47</v>
      </c>
      <c r="U451" t="s">
        <v>322</v>
      </c>
    </row>
    <row r="452" spans="13:21" x14ac:dyDescent="0.3">
      <c r="M452" t="s">
        <v>81</v>
      </c>
      <c r="N452" t="s">
        <v>41</v>
      </c>
      <c r="O452" s="132">
        <v>800000</v>
      </c>
      <c r="P452">
        <v>2024</v>
      </c>
      <c r="R452" t="s">
        <v>523</v>
      </c>
      <c r="S452" t="s">
        <v>392</v>
      </c>
      <c r="T452" t="s">
        <v>32</v>
      </c>
      <c r="U452" t="s">
        <v>322</v>
      </c>
    </row>
    <row r="453" spans="13:21" x14ac:dyDescent="0.3">
      <c r="M453" t="s">
        <v>85</v>
      </c>
      <c r="N453" t="s">
        <v>24</v>
      </c>
      <c r="O453" s="132">
        <v>33</v>
      </c>
      <c r="P453">
        <v>2024</v>
      </c>
      <c r="R453" t="s">
        <v>523</v>
      </c>
      <c r="S453" t="s">
        <v>392</v>
      </c>
      <c r="T453" t="s">
        <v>42</v>
      </c>
      <c r="U453" t="s">
        <v>322</v>
      </c>
    </row>
    <row r="454" spans="13:21" x14ac:dyDescent="0.3">
      <c r="M454" t="s">
        <v>85</v>
      </c>
      <c r="N454" t="s">
        <v>31</v>
      </c>
      <c r="O454" s="132">
        <v>33</v>
      </c>
      <c r="P454">
        <v>2024</v>
      </c>
      <c r="R454" t="s">
        <v>523</v>
      </c>
      <c r="S454" t="s">
        <v>392</v>
      </c>
      <c r="T454" t="s">
        <v>82</v>
      </c>
      <c r="U454" t="s">
        <v>322</v>
      </c>
    </row>
    <row r="455" spans="13:21" x14ac:dyDescent="0.3">
      <c r="M455" t="s">
        <v>85</v>
      </c>
      <c r="N455" t="s">
        <v>33</v>
      </c>
      <c r="O455" s="132">
        <v>204</v>
      </c>
      <c r="P455">
        <v>2024</v>
      </c>
      <c r="R455" t="s">
        <v>523</v>
      </c>
      <c r="S455" t="s">
        <v>392</v>
      </c>
      <c r="T455" t="s">
        <v>37</v>
      </c>
      <c r="U455" t="s">
        <v>112</v>
      </c>
    </row>
    <row r="456" spans="13:21" x14ac:dyDescent="0.3">
      <c r="M456" t="s">
        <v>85</v>
      </c>
      <c r="N456" t="s">
        <v>41</v>
      </c>
      <c r="O456" s="132">
        <v>4585</v>
      </c>
      <c r="P456">
        <v>2024</v>
      </c>
      <c r="R456" t="s">
        <v>523</v>
      </c>
      <c r="S456" t="s">
        <v>392</v>
      </c>
      <c r="T456" t="s">
        <v>42</v>
      </c>
      <c r="U456" t="s">
        <v>112</v>
      </c>
    </row>
    <row r="457" spans="13:21" x14ac:dyDescent="0.3">
      <c r="M457" t="s">
        <v>414</v>
      </c>
      <c r="N457" t="s">
        <v>24</v>
      </c>
      <c r="O457" s="132">
        <v>351</v>
      </c>
      <c r="P457">
        <v>2024</v>
      </c>
      <c r="R457" t="s">
        <v>523</v>
      </c>
      <c r="S457" t="s">
        <v>392</v>
      </c>
      <c r="T457" t="s">
        <v>32</v>
      </c>
      <c r="U457" t="s">
        <v>112</v>
      </c>
    </row>
    <row r="458" spans="13:21" x14ac:dyDescent="0.3">
      <c r="M458" t="s">
        <v>414</v>
      </c>
      <c r="N458" t="s">
        <v>31</v>
      </c>
      <c r="O458" s="132">
        <v>370</v>
      </c>
      <c r="P458">
        <v>2024</v>
      </c>
      <c r="R458" t="s">
        <v>523</v>
      </c>
      <c r="S458" t="s">
        <v>392</v>
      </c>
      <c r="T458" t="s">
        <v>47</v>
      </c>
      <c r="U458" t="s">
        <v>112</v>
      </c>
    </row>
    <row r="459" spans="13:21" x14ac:dyDescent="0.3">
      <c r="M459" t="s">
        <v>414</v>
      </c>
      <c r="N459" t="s">
        <v>33</v>
      </c>
      <c r="O459" s="132">
        <v>878</v>
      </c>
      <c r="P459">
        <v>2024</v>
      </c>
      <c r="R459" t="s">
        <v>523</v>
      </c>
      <c r="S459" t="s">
        <v>392</v>
      </c>
      <c r="T459" t="s">
        <v>26</v>
      </c>
      <c r="U459" t="s">
        <v>112</v>
      </c>
    </row>
    <row r="460" spans="13:21" x14ac:dyDescent="0.3">
      <c r="M460" t="s">
        <v>414</v>
      </c>
      <c r="N460" t="s">
        <v>41</v>
      </c>
      <c r="O460" s="132">
        <v>39415</v>
      </c>
      <c r="P460">
        <v>2024</v>
      </c>
      <c r="R460" t="s">
        <v>523</v>
      </c>
      <c r="S460" t="s">
        <v>392</v>
      </c>
      <c r="T460" t="s">
        <v>82</v>
      </c>
      <c r="U460" t="s">
        <v>112</v>
      </c>
    </row>
    <row r="461" spans="13:21" x14ac:dyDescent="0.3">
      <c r="M461" t="s">
        <v>320</v>
      </c>
      <c r="N461" t="s">
        <v>24</v>
      </c>
      <c r="O461" s="132">
        <v>69</v>
      </c>
      <c r="P461">
        <v>2024</v>
      </c>
      <c r="R461" t="s">
        <v>523</v>
      </c>
      <c r="S461" t="s">
        <v>392</v>
      </c>
      <c r="T461" t="s">
        <v>47</v>
      </c>
      <c r="U461" t="s">
        <v>149</v>
      </c>
    </row>
    <row r="462" spans="13:21" x14ac:dyDescent="0.3">
      <c r="M462" t="s">
        <v>320</v>
      </c>
      <c r="N462" t="s">
        <v>31</v>
      </c>
      <c r="O462" s="132">
        <v>70</v>
      </c>
      <c r="P462">
        <v>2024</v>
      </c>
      <c r="R462" t="s">
        <v>523</v>
      </c>
      <c r="S462" t="s">
        <v>392</v>
      </c>
      <c r="T462" t="s">
        <v>26</v>
      </c>
      <c r="U462" t="s">
        <v>149</v>
      </c>
    </row>
    <row r="463" spans="13:21" x14ac:dyDescent="0.3">
      <c r="M463" t="s">
        <v>320</v>
      </c>
      <c r="N463" t="s">
        <v>33</v>
      </c>
      <c r="O463" s="132">
        <v>692</v>
      </c>
      <c r="P463">
        <v>2024</v>
      </c>
      <c r="R463" t="s">
        <v>523</v>
      </c>
      <c r="S463" t="s">
        <v>392</v>
      </c>
      <c r="T463" t="s">
        <v>37</v>
      </c>
      <c r="U463" t="s">
        <v>149</v>
      </c>
    </row>
    <row r="464" spans="13:21" x14ac:dyDescent="0.3">
      <c r="M464" t="s">
        <v>320</v>
      </c>
      <c r="N464" t="s">
        <v>41</v>
      </c>
      <c r="O464" s="132">
        <v>5000</v>
      </c>
      <c r="P464">
        <v>2024</v>
      </c>
      <c r="R464" t="s">
        <v>523</v>
      </c>
      <c r="S464" t="s">
        <v>392</v>
      </c>
      <c r="T464" t="s">
        <v>42</v>
      </c>
      <c r="U464" t="s">
        <v>149</v>
      </c>
    </row>
    <row r="465" spans="13:21" x14ac:dyDescent="0.3">
      <c r="M465" t="s">
        <v>323</v>
      </c>
      <c r="N465" t="s">
        <v>24</v>
      </c>
      <c r="O465" s="132">
        <v>2</v>
      </c>
      <c r="P465">
        <v>2024</v>
      </c>
      <c r="R465" t="s">
        <v>523</v>
      </c>
      <c r="S465" t="s">
        <v>392</v>
      </c>
      <c r="T465" t="s">
        <v>82</v>
      </c>
      <c r="U465" t="s">
        <v>149</v>
      </c>
    </row>
    <row r="466" spans="13:21" x14ac:dyDescent="0.3">
      <c r="M466" t="s">
        <v>323</v>
      </c>
      <c r="N466" t="s">
        <v>31</v>
      </c>
      <c r="O466" s="132">
        <v>2</v>
      </c>
      <c r="P466">
        <v>2024</v>
      </c>
      <c r="R466" t="s">
        <v>523</v>
      </c>
      <c r="S466" t="s">
        <v>392</v>
      </c>
      <c r="T466" t="s">
        <v>32</v>
      </c>
      <c r="U466" t="s">
        <v>149</v>
      </c>
    </row>
    <row r="467" spans="13:21" x14ac:dyDescent="0.3">
      <c r="M467" t="s">
        <v>323</v>
      </c>
      <c r="N467" t="s">
        <v>33</v>
      </c>
      <c r="O467" s="132">
        <v>11</v>
      </c>
      <c r="P467">
        <v>2024</v>
      </c>
      <c r="R467" t="s">
        <v>344</v>
      </c>
      <c r="S467" t="s">
        <v>109</v>
      </c>
      <c r="T467" t="s">
        <v>32</v>
      </c>
      <c r="U467" t="s">
        <v>175</v>
      </c>
    </row>
    <row r="468" spans="13:21" x14ac:dyDescent="0.3">
      <c r="M468" t="s">
        <v>323</v>
      </c>
      <c r="N468" t="s">
        <v>41</v>
      </c>
      <c r="O468" s="132">
        <v>271</v>
      </c>
      <c r="P468">
        <v>2024</v>
      </c>
      <c r="R468" t="s">
        <v>344</v>
      </c>
      <c r="S468" t="s">
        <v>109</v>
      </c>
      <c r="T468" t="s">
        <v>47</v>
      </c>
      <c r="U468" t="s">
        <v>175</v>
      </c>
    </row>
    <row r="469" spans="13:21" x14ac:dyDescent="0.3">
      <c r="M469" t="s">
        <v>460</v>
      </c>
      <c r="N469" t="s">
        <v>24</v>
      </c>
      <c r="O469" s="132">
        <v>33</v>
      </c>
      <c r="P469">
        <v>2024</v>
      </c>
      <c r="R469" t="s">
        <v>344</v>
      </c>
      <c r="S469" t="s">
        <v>109</v>
      </c>
      <c r="T469" t="s">
        <v>82</v>
      </c>
      <c r="U469" t="s">
        <v>197</v>
      </c>
    </row>
    <row r="470" spans="13:21" x14ac:dyDescent="0.3">
      <c r="M470" t="s">
        <v>460</v>
      </c>
      <c r="N470" t="s">
        <v>31</v>
      </c>
      <c r="O470" s="132">
        <v>167</v>
      </c>
      <c r="P470">
        <v>2024</v>
      </c>
      <c r="R470" t="s">
        <v>344</v>
      </c>
      <c r="S470" t="s">
        <v>109</v>
      </c>
      <c r="T470" t="s">
        <v>32</v>
      </c>
      <c r="U470" t="s">
        <v>197</v>
      </c>
    </row>
    <row r="471" spans="13:21" x14ac:dyDescent="0.3">
      <c r="M471" t="s">
        <v>460</v>
      </c>
      <c r="N471" t="s">
        <v>33</v>
      </c>
      <c r="O471" s="132">
        <v>4259</v>
      </c>
      <c r="P471">
        <v>2024</v>
      </c>
      <c r="R471" t="s">
        <v>344</v>
      </c>
      <c r="S471" t="s">
        <v>109</v>
      </c>
      <c r="T471" t="s">
        <v>37</v>
      </c>
      <c r="U471" t="s">
        <v>197</v>
      </c>
    </row>
    <row r="472" spans="13:21" x14ac:dyDescent="0.3">
      <c r="M472" t="s">
        <v>460</v>
      </c>
      <c r="N472" t="s">
        <v>41</v>
      </c>
      <c r="O472" s="132">
        <v>9187</v>
      </c>
      <c r="P472">
        <v>2024</v>
      </c>
      <c r="R472" t="s">
        <v>344</v>
      </c>
      <c r="S472" t="s">
        <v>109</v>
      </c>
      <c r="T472" t="s">
        <v>42</v>
      </c>
      <c r="U472" t="s">
        <v>197</v>
      </c>
    </row>
    <row r="473" spans="13:21" x14ac:dyDescent="0.3">
      <c r="M473" t="s">
        <v>185</v>
      </c>
      <c r="N473" t="s">
        <v>24</v>
      </c>
      <c r="O473" s="132">
        <v>23</v>
      </c>
      <c r="P473">
        <v>2024</v>
      </c>
      <c r="R473" t="s">
        <v>344</v>
      </c>
      <c r="S473" t="s">
        <v>109</v>
      </c>
      <c r="T473" t="s">
        <v>37</v>
      </c>
      <c r="U473" t="s">
        <v>27</v>
      </c>
    </row>
    <row r="474" spans="13:21" x14ac:dyDescent="0.3">
      <c r="M474" t="s">
        <v>326</v>
      </c>
      <c r="N474" t="s">
        <v>24</v>
      </c>
      <c r="O474" s="132">
        <v>12</v>
      </c>
      <c r="P474">
        <v>2024</v>
      </c>
      <c r="R474" t="s">
        <v>344</v>
      </c>
      <c r="S474" t="s">
        <v>109</v>
      </c>
      <c r="T474" t="s">
        <v>26</v>
      </c>
      <c r="U474" t="s">
        <v>27</v>
      </c>
    </row>
    <row r="475" spans="13:21" x14ac:dyDescent="0.3">
      <c r="M475" t="s">
        <v>326</v>
      </c>
      <c r="N475" t="s">
        <v>31</v>
      </c>
      <c r="O475" s="132">
        <v>13</v>
      </c>
      <c r="P475">
        <v>2024</v>
      </c>
      <c r="R475" t="s">
        <v>344</v>
      </c>
      <c r="S475" t="s">
        <v>109</v>
      </c>
      <c r="T475" t="s">
        <v>32</v>
      </c>
      <c r="U475" t="s">
        <v>27</v>
      </c>
    </row>
    <row r="476" spans="13:21" x14ac:dyDescent="0.3">
      <c r="M476" t="s">
        <v>326</v>
      </c>
      <c r="N476" t="s">
        <v>33</v>
      </c>
      <c r="O476" s="132">
        <v>32</v>
      </c>
      <c r="P476">
        <v>2024</v>
      </c>
      <c r="R476" t="s">
        <v>344</v>
      </c>
      <c r="S476" t="s">
        <v>109</v>
      </c>
      <c r="T476" t="s">
        <v>82</v>
      </c>
      <c r="U476" t="s">
        <v>27</v>
      </c>
    </row>
    <row r="477" spans="13:21" x14ac:dyDescent="0.3">
      <c r="M477" t="s">
        <v>326</v>
      </c>
      <c r="N477" t="s">
        <v>41</v>
      </c>
      <c r="O477" s="132">
        <v>862</v>
      </c>
      <c r="P477">
        <v>2024</v>
      </c>
      <c r="R477" t="s">
        <v>344</v>
      </c>
      <c r="S477" t="s">
        <v>109</v>
      </c>
      <c r="T477" t="s">
        <v>42</v>
      </c>
      <c r="U477" t="s">
        <v>27</v>
      </c>
    </row>
    <row r="478" spans="13:21" x14ac:dyDescent="0.3">
      <c r="M478" t="s">
        <v>188</v>
      </c>
      <c r="N478" t="s">
        <v>24</v>
      </c>
      <c r="O478" s="132">
        <v>19</v>
      </c>
      <c r="P478">
        <v>2024</v>
      </c>
      <c r="R478" t="s">
        <v>344</v>
      </c>
      <c r="S478" t="s">
        <v>109</v>
      </c>
      <c r="T478" t="s">
        <v>47</v>
      </c>
      <c r="U478" t="s">
        <v>27</v>
      </c>
    </row>
    <row r="479" spans="13:21" x14ac:dyDescent="0.3">
      <c r="M479" t="s">
        <v>188</v>
      </c>
      <c r="N479" t="s">
        <v>31</v>
      </c>
      <c r="O479" s="132">
        <v>21</v>
      </c>
      <c r="P479">
        <v>2024</v>
      </c>
      <c r="R479" t="s">
        <v>344</v>
      </c>
      <c r="S479" t="s">
        <v>109</v>
      </c>
      <c r="T479" t="s">
        <v>32</v>
      </c>
      <c r="U479" t="s">
        <v>289</v>
      </c>
    </row>
    <row r="480" spans="13:21" x14ac:dyDescent="0.3">
      <c r="M480" t="s">
        <v>188</v>
      </c>
      <c r="N480" t="s">
        <v>33</v>
      </c>
      <c r="O480" s="132">
        <v>22</v>
      </c>
      <c r="P480">
        <v>2024</v>
      </c>
      <c r="R480" t="s">
        <v>344</v>
      </c>
      <c r="S480" t="s">
        <v>109</v>
      </c>
      <c r="T480" t="s">
        <v>47</v>
      </c>
      <c r="U480" t="s">
        <v>289</v>
      </c>
    </row>
    <row r="481" spans="13:21" x14ac:dyDescent="0.3">
      <c r="M481" t="s">
        <v>188</v>
      </c>
      <c r="N481" t="s">
        <v>41</v>
      </c>
      <c r="O481" s="132">
        <v>1005</v>
      </c>
      <c r="P481">
        <v>2024</v>
      </c>
      <c r="R481" t="s">
        <v>344</v>
      </c>
      <c r="S481" t="s">
        <v>109</v>
      </c>
      <c r="T481" t="s">
        <v>82</v>
      </c>
      <c r="U481" t="s">
        <v>289</v>
      </c>
    </row>
    <row r="482" spans="13:21" x14ac:dyDescent="0.3">
      <c r="M482" t="s">
        <v>328</v>
      </c>
      <c r="N482" t="s">
        <v>24</v>
      </c>
      <c r="O482" s="132">
        <v>102</v>
      </c>
      <c r="P482">
        <v>2024</v>
      </c>
      <c r="R482" t="s">
        <v>344</v>
      </c>
      <c r="S482" t="s">
        <v>109</v>
      </c>
      <c r="T482" t="s">
        <v>47</v>
      </c>
      <c r="U482" t="s">
        <v>52</v>
      </c>
    </row>
    <row r="483" spans="13:21" x14ac:dyDescent="0.3">
      <c r="M483" t="s">
        <v>328</v>
      </c>
      <c r="N483" t="s">
        <v>31</v>
      </c>
      <c r="O483" s="132">
        <v>139</v>
      </c>
      <c r="P483">
        <v>2024</v>
      </c>
      <c r="R483" t="s">
        <v>344</v>
      </c>
      <c r="S483" t="s">
        <v>109</v>
      </c>
      <c r="T483" t="s">
        <v>32</v>
      </c>
      <c r="U483" t="s">
        <v>52</v>
      </c>
    </row>
    <row r="484" spans="13:21" x14ac:dyDescent="0.3">
      <c r="M484" t="s">
        <v>328</v>
      </c>
      <c r="N484" t="s">
        <v>33</v>
      </c>
      <c r="O484" s="132">
        <v>1765</v>
      </c>
      <c r="P484">
        <v>2024</v>
      </c>
      <c r="R484" t="s">
        <v>524</v>
      </c>
      <c r="S484" t="s">
        <v>395</v>
      </c>
      <c r="T484" t="s">
        <v>37</v>
      </c>
      <c r="U484" t="s">
        <v>103</v>
      </c>
    </row>
    <row r="485" spans="13:21" x14ac:dyDescent="0.3">
      <c r="M485" t="s">
        <v>328</v>
      </c>
      <c r="N485" t="s">
        <v>41</v>
      </c>
      <c r="O485" s="132">
        <v>1161590</v>
      </c>
      <c r="P485">
        <v>2024</v>
      </c>
      <c r="R485" t="s">
        <v>524</v>
      </c>
      <c r="S485" t="s">
        <v>395</v>
      </c>
      <c r="T485" t="s">
        <v>26</v>
      </c>
      <c r="U485" t="s">
        <v>103</v>
      </c>
    </row>
    <row r="486" spans="13:21" x14ac:dyDescent="0.3">
      <c r="M486" t="s">
        <v>416</v>
      </c>
      <c r="N486" t="s">
        <v>24</v>
      </c>
      <c r="O486" s="132">
        <v>16</v>
      </c>
      <c r="P486">
        <v>2024</v>
      </c>
      <c r="R486" t="s">
        <v>524</v>
      </c>
      <c r="S486" t="s">
        <v>395</v>
      </c>
      <c r="T486" t="s">
        <v>47</v>
      </c>
      <c r="U486" t="s">
        <v>103</v>
      </c>
    </row>
    <row r="487" spans="13:21" x14ac:dyDescent="0.3">
      <c r="M487" t="s">
        <v>416</v>
      </c>
      <c r="N487" t="s">
        <v>31</v>
      </c>
      <c r="O487" s="132">
        <v>186</v>
      </c>
      <c r="P487">
        <v>2024</v>
      </c>
      <c r="R487" t="s">
        <v>524</v>
      </c>
      <c r="S487" t="s">
        <v>395</v>
      </c>
      <c r="T487" t="s">
        <v>42</v>
      </c>
      <c r="U487" t="s">
        <v>103</v>
      </c>
    </row>
    <row r="488" spans="13:21" x14ac:dyDescent="0.3">
      <c r="M488" t="s">
        <v>416</v>
      </c>
      <c r="N488" t="s">
        <v>33</v>
      </c>
      <c r="O488" s="132">
        <v>6801</v>
      </c>
      <c r="P488">
        <v>2024</v>
      </c>
      <c r="R488" t="s">
        <v>524</v>
      </c>
      <c r="S488" t="s">
        <v>395</v>
      </c>
      <c r="T488" t="s">
        <v>32</v>
      </c>
      <c r="U488" t="s">
        <v>103</v>
      </c>
    </row>
    <row r="489" spans="13:21" x14ac:dyDescent="0.3">
      <c r="M489" t="s">
        <v>416</v>
      </c>
      <c r="N489" t="s">
        <v>41</v>
      </c>
      <c r="O489" s="132">
        <v>2904</v>
      </c>
      <c r="P489">
        <v>2024</v>
      </c>
      <c r="R489" t="s">
        <v>524</v>
      </c>
      <c r="S489" t="s">
        <v>395</v>
      </c>
      <c r="T489" t="s">
        <v>82</v>
      </c>
      <c r="U489" t="s">
        <v>103</v>
      </c>
    </row>
    <row r="490" spans="13:21" x14ac:dyDescent="0.3">
      <c r="M490" t="s">
        <v>418</v>
      </c>
      <c r="N490" t="s">
        <v>24</v>
      </c>
      <c r="O490" s="132">
        <v>123</v>
      </c>
      <c r="P490">
        <v>2024</v>
      </c>
      <c r="R490" t="s">
        <v>524</v>
      </c>
      <c r="S490" t="s">
        <v>395</v>
      </c>
      <c r="T490" t="s">
        <v>37</v>
      </c>
      <c r="U490" t="s">
        <v>276</v>
      </c>
    </row>
    <row r="491" spans="13:21" x14ac:dyDescent="0.3">
      <c r="M491" t="s">
        <v>418</v>
      </c>
      <c r="N491" t="s">
        <v>31</v>
      </c>
      <c r="O491" s="132">
        <v>159</v>
      </c>
      <c r="P491">
        <v>2024</v>
      </c>
      <c r="R491" t="s">
        <v>524</v>
      </c>
      <c r="S491" t="s">
        <v>395</v>
      </c>
      <c r="T491" t="s">
        <v>37</v>
      </c>
      <c r="U491" t="s">
        <v>63</v>
      </c>
    </row>
    <row r="492" spans="13:21" x14ac:dyDescent="0.3">
      <c r="M492" t="s">
        <v>418</v>
      </c>
      <c r="N492" t="s">
        <v>33</v>
      </c>
      <c r="O492" s="132">
        <v>2830</v>
      </c>
      <c r="P492">
        <v>2024</v>
      </c>
      <c r="R492" t="s">
        <v>524</v>
      </c>
      <c r="S492" t="s">
        <v>395</v>
      </c>
      <c r="T492" t="s">
        <v>37</v>
      </c>
      <c r="U492" t="s">
        <v>322</v>
      </c>
    </row>
    <row r="493" spans="13:21" x14ac:dyDescent="0.3">
      <c r="M493" t="s">
        <v>418</v>
      </c>
      <c r="N493" t="s">
        <v>41</v>
      </c>
      <c r="O493" s="132">
        <v>4673</v>
      </c>
      <c r="P493">
        <v>2024</v>
      </c>
      <c r="R493" t="s">
        <v>524</v>
      </c>
      <c r="S493" t="s">
        <v>395</v>
      </c>
      <c r="T493" t="s">
        <v>42</v>
      </c>
      <c r="U493" t="s">
        <v>112</v>
      </c>
    </row>
    <row r="494" spans="13:21" x14ac:dyDescent="0.3">
      <c r="M494" t="s">
        <v>463</v>
      </c>
      <c r="N494" t="s">
        <v>24</v>
      </c>
      <c r="O494" s="132">
        <v>1</v>
      </c>
      <c r="P494">
        <v>2024</v>
      </c>
      <c r="R494" t="s">
        <v>524</v>
      </c>
      <c r="S494" t="s">
        <v>395</v>
      </c>
      <c r="T494" t="s">
        <v>47</v>
      </c>
      <c r="U494" t="s">
        <v>149</v>
      </c>
    </row>
    <row r="495" spans="13:21" x14ac:dyDescent="0.3">
      <c r="M495" t="s">
        <v>463</v>
      </c>
      <c r="N495" t="s">
        <v>31</v>
      </c>
      <c r="O495" s="132">
        <v>7</v>
      </c>
      <c r="P495">
        <v>2024</v>
      </c>
      <c r="R495" t="s">
        <v>524</v>
      </c>
      <c r="S495" t="s">
        <v>395</v>
      </c>
      <c r="T495" t="s">
        <v>37</v>
      </c>
      <c r="U495" t="s">
        <v>149</v>
      </c>
    </row>
    <row r="496" spans="13:21" x14ac:dyDescent="0.3">
      <c r="M496" t="s">
        <v>463</v>
      </c>
      <c r="N496" t="s">
        <v>33</v>
      </c>
      <c r="O496" s="132">
        <v>1305</v>
      </c>
      <c r="P496">
        <v>2024</v>
      </c>
      <c r="R496" t="s">
        <v>524</v>
      </c>
      <c r="S496" t="s">
        <v>395</v>
      </c>
      <c r="T496" t="s">
        <v>42</v>
      </c>
      <c r="U496" t="s">
        <v>149</v>
      </c>
    </row>
    <row r="497" spans="13:21" x14ac:dyDescent="0.3">
      <c r="M497" t="s">
        <v>463</v>
      </c>
      <c r="N497" t="s">
        <v>41</v>
      </c>
      <c r="O497" s="132">
        <v>33820</v>
      </c>
      <c r="P497">
        <v>2024</v>
      </c>
      <c r="R497" t="s">
        <v>524</v>
      </c>
      <c r="S497" t="s">
        <v>395</v>
      </c>
      <c r="T497" t="s">
        <v>32</v>
      </c>
      <c r="U497" t="s">
        <v>149</v>
      </c>
    </row>
    <row r="498" spans="13:21" x14ac:dyDescent="0.3">
      <c r="M498" t="s">
        <v>420</v>
      </c>
      <c r="N498" t="s">
        <v>24</v>
      </c>
      <c r="O498" s="132">
        <v>47</v>
      </c>
      <c r="P498">
        <v>2024</v>
      </c>
      <c r="R498" t="s">
        <v>524</v>
      </c>
      <c r="S498" t="s">
        <v>395</v>
      </c>
      <c r="T498" t="s">
        <v>82</v>
      </c>
      <c r="U498" t="s">
        <v>149</v>
      </c>
    </row>
    <row r="499" spans="13:21" x14ac:dyDescent="0.3">
      <c r="M499" t="s">
        <v>420</v>
      </c>
      <c r="N499" t="s">
        <v>31</v>
      </c>
      <c r="O499" s="132">
        <v>624</v>
      </c>
      <c r="P499">
        <v>2024</v>
      </c>
      <c r="R499" t="s">
        <v>524</v>
      </c>
      <c r="S499" t="s">
        <v>395</v>
      </c>
      <c r="T499" t="s">
        <v>37</v>
      </c>
      <c r="U499" t="s">
        <v>73</v>
      </c>
    </row>
    <row r="500" spans="13:21" x14ac:dyDescent="0.3">
      <c r="M500" t="s">
        <v>420</v>
      </c>
      <c r="N500" t="s">
        <v>33</v>
      </c>
      <c r="O500" s="132">
        <v>289</v>
      </c>
      <c r="P500">
        <v>2024</v>
      </c>
      <c r="R500" t="s">
        <v>524</v>
      </c>
      <c r="S500" t="s">
        <v>395</v>
      </c>
      <c r="T500" t="s">
        <v>32</v>
      </c>
      <c r="U500" t="s">
        <v>73</v>
      </c>
    </row>
    <row r="501" spans="13:21" x14ac:dyDescent="0.3">
      <c r="M501" t="s">
        <v>420</v>
      </c>
      <c r="N501" t="s">
        <v>41</v>
      </c>
      <c r="O501" s="132">
        <v>8928</v>
      </c>
      <c r="P501">
        <v>2024</v>
      </c>
      <c r="R501" t="s">
        <v>222</v>
      </c>
      <c r="S501" t="s">
        <v>223</v>
      </c>
      <c r="T501" t="s">
        <v>47</v>
      </c>
      <c r="U501" t="s">
        <v>149</v>
      </c>
    </row>
    <row r="502" spans="13:21" x14ac:dyDescent="0.3">
      <c r="M502" t="s">
        <v>422</v>
      </c>
      <c r="N502" t="s">
        <v>24</v>
      </c>
      <c r="O502" s="132">
        <v>85</v>
      </c>
      <c r="P502">
        <v>2024</v>
      </c>
      <c r="R502" t="s">
        <v>222</v>
      </c>
      <c r="S502" t="s">
        <v>223</v>
      </c>
      <c r="T502" t="s">
        <v>42</v>
      </c>
      <c r="U502" t="s">
        <v>149</v>
      </c>
    </row>
    <row r="503" spans="13:21" x14ac:dyDescent="0.3">
      <c r="M503" t="s">
        <v>422</v>
      </c>
      <c r="N503" t="s">
        <v>31</v>
      </c>
      <c r="O503" s="132">
        <v>605</v>
      </c>
      <c r="P503">
        <v>2024</v>
      </c>
      <c r="R503" t="s">
        <v>222</v>
      </c>
      <c r="S503" t="s">
        <v>223</v>
      </c>
      <c r="T503" t="s">
        <v>82</v>
      </c>
      <c r="U503" t="s">
        <v>149</v>
      </c>
    </row>
    <row r="504" spans="13:21" x14ac:dyDescent="0.3">
      <c r="M504" t="s">
        <v>422</v>
      </c>
      <c r="N504" t="s">
        <v>33</v>
      </c>
      <c r="O504" s="132">
        <v>835</v>
      </c>
      <c r="P504">
        <v>2024</v>
      </c>
      <c r="R504" t="s">
        <v>222</v>
      </c>
      <c r="S504" t="s">
        <v>223</v>
      </c>
      <c r="T504" t="s">
        <v>32</v>
      </c>
      <c r="U504" t="s">
        <v>149</v>
      </c>
    </row>
    <row r="505" spans="13:21" x14ac:dyDescent="0.3">
      <c r="M505" t="s">
        <v>422</v>
      </c>
      <c r="N505" t="s">
        <v>41</v>
      </c>
      <c r="O505" s="132">
        <v>57000</v>
      </c>
      <c r="P505">
        <v>2024</v>
      </c>
      <c r="R505" t="s">
        <v>222</v>
      </c>
      <c r="S505" t="s">
        <v>223</v>
      </c>
      <c r="T505" t="s">
        <v>37</v>
      </c>
      <c r="U505" t="s">
        <v>149</v>
      </c>
    </row>
    <row r="506" spans="13:21" x14ac:dyDescent="0.3">
      <c r="M506" t="s">
        <v>152</v>
      </c>
      <c r="N506" t="s">
        <v>24</v>
      </c>
      <c r="O506" s="132">
        <v>30</v>
      </c>
      <c r="P506">
        <v>2024</v>
      </c>
      <c r="R506" t="s">
        <v>222</v>
      </c>
      <c r="S506" t="s">
        <v>223</v>
      </c>
      <c r="T506" t="s">
        <v>32</v>
      </c>
      <c r="U506" t="s">
        <v>340</v>
      </c>
    </row>
    <row r="507" spans="13:21" x14ac:dyDescent="0.3">
      <c r="M507" t="s">
        <v>152</v>
      </c>
      <c r="N507" t="s">
        <v>31</v>
      </c>
      <c r="O507" s="132">
        <v>31</v>
      </c>
      <c r="P507">
        <v>2024</v>
      </c>
      <c r="R507" t="s">
        <v>222</v>
      </c>
      <c r="S507" t="s">
        <v>223</v>
      </c>
      <c r="T507" t="s">
        <v>42</v>
      </c>
      <c r="U507" t="s">
        <v>340</v>
      </c>
    </row>
    <row r="508" spans="13:21" x14ac:dyDescent="0.3">
      <c r="M508" t="s">
        <v>152</v>
      </c>
      <c r="N508" t="s">
        <v>33</v>
      </c>
      <c r="O508" s="132">
        <v>89</v>
      </c>
      <c r="P508">
        <v>2024</v>
      </c>
      <c r="R508" t="s">
        <v>222</v>
      </c>
      <c r="S508" t="s">
        <v>223</v>
      </c>
      <c r="T508" t="s">
        <v>47</v>
      </c>
      <c r="U508" t="s">
        <v>340</v>
      </c>
    </row>
    <row r="509" spans="13:21" x14ac:dyDescent="0.3">
      <c r="M509" t="s">
        <v>152</v>
      </c>
      <c r="N509" t="s">
        <v>41</v>
      </c>
      <c r="O509" s="132">
        <v>70013</v>
      </c>
      <c r="P509">
        <v>2024</v>
      </c>
      <c r="R509" t="s">
        <v>403</v>
      </c>
      <c r="S509" t="s">
        <v>183</v>
      </c>
      <c r="T509" t="s">
        <v>47</v>
      </c>
      <c r="U509" t="s">
        <v>95</v>
      </c>
    </row>
    <row r="510" spans="13:21" x14ac:dyDescent="0.3">
      <c r="M510" t="s">
        <v>157</v>
      </c>
      <c r="N510" t="s">
        <v>24</v>
      </c>
      <c r="O510" s="132">
        <v>5</v>
      </c>
      <c r="P510">
        <v>2024</v>
      </c>
      <c r="R510" t="s">
        <v>403</v>
      </c>
      <c r="S510" t="s">
        <v>183</v>
      </c>
      <c r="T510" t="s">
        <v>82</v>
      </c>
      <c r="U510" t="s">
        <v>95</v>
      </c>
    </row>
    <row r="511" spans="13:21" x14ac:dyDescent="0.3">
      <c r="M511" t="s">
        <v>157</v>
      </c>
      <c r="N511" t="s">
        <v>31</v>
      </c>
      <c r="O511" s="132">
        <v>5</v>
      </c>
      <c r="P511">
        <v>2024</v>
      </c>
      <c r="R511" t="s">
        <v>403</v>
      </c>
      <c r="S511" t="s">
        <v>183</v>
      </c>
      <c r="T511" t="s">
        <v>32</v>
      </c>
      <c r="U511" t="s">
        <v>95</v>
      </c>
    </row>
    <row r="512" spans="13:21" x14ac:dyDescent="0.3">
      <c r="M512" t="s">
        <v>157</v>
      </c>
      <c r="N512" t="s">
        <v>33</v>
      </c>
      <c r="O512" s="132">
        <v>32</v>
      </c>
      <c r="P512">
        <v>2024</v>
      </c>
      <c r="R512" t="s">
        <v>403</v>
      </c>
      <c r="S512" t="s">
        <v>183</v>
      </c>
      <c r="T512" t="s">
        <v>42</v>
      </c>
      <c r="U512" t="s">
        <v>197</v>
      </c>
    </row>
    <row r="513" spans="13:21" x14ac:dyDescent="0.3">
      <c r="M513" t="s">
        <v>157</v>
      </c>
      <c r="N513" t="s">
        <v>41</v>
      </c>
      <c r="O513" s="132">
        <v>173</v>
      </c>
      <c r="P513">
        <v>2024</v>
      </c>
      <c r="R513" t="s">
        <v>403</v>
      </c>
      <c r="S513" t="s">
        <v>183</v>
      </c>
      <c r="T513" t="s">
        <v>26</v>
      </c>
      <c r="U513" t="s">
        <v>197</v>
      </c>
    </row>
    <row r="514" spans="13:21" x14ac:dyDescent="0.3">
      <c r="M514" t="s">
        <v>159</v>
      </c>
      <c r="N514" t="s">
        <v>24</v>
      </c>
      <c r="O514" s="132">
        <v>183</v>
      </c>
      <c r="P514">
        <v>2024</v>
      </c>
      <c r="R514" t="s">
        <v>403</v>
      </c>
      <c r="S514" t="s">
        <v>183</v>
      </c>
      <c r="T514" t="s">
        <v>32</v>
      </c>
      <c r="U514" t="s">
        <v>197</v>
      </c>
    </row>
    <row r="515" spans="13:21" x14ac:dyDescent="0.3">
      <c r="M515" t="s">
        <v>159</v>
      </c>
      <c r="N515" t="s">
        <v>31</v>
      </c>
      <c r="O515" s="132">
        <v>186</v>
      </c>
      <c r="P515">
        <v>2024</v>
      </c>
      <c r="R515" t="s">
        <v>403</v>
      </c>
      <c r="S515" t="s">
        <v>183</v>
      </c>
      <c r="T515" t="s">
        <v>37</v>
      </c>
      <c r="U515" t="s">
        <v>197</v>
      </c>
    </row>
    <row r="516" spans="13:21" x14ac:dyDescent="0.3">
      <c r="M516" t="s">
        <v>159</v>
      </c>
      <c r="N516" t="s">
        <v>33</v>
      </c>
      <c r="O516" s="132">
        <v>912</v>
      </c>
      <c r="P516">
        <v>2024</v>
      </c>
      <c r="R516" t="s">
        <v>403</v>
      </c>
      <c r="S516" t="s">
        <v>183</v>
      </c>
      <c r="T516" t="s">
        <v>32</v>
      </c>
      <c r="U516" t="s">
        <v>27</v>
      </c>
    </row>
    <row r="517" spans="13:21" x14ac:dyDescent="0.3">
      <c r="M517" t="s">
        <v>159</v>
      </c>
      <c r="N517" t="s">
        <v>41</v>
      </c>
      <c r="O517" s="132">
        <v>32716</v>
      </c>
      <c r="P517">
        <v>2024</v>
      </c>
      <c r="R517" t="s">
        <v>403</v>
      </c>
      <c r="S517" t="s">
        <v>183</v>
      </c>
      <c r="T517" t="s">
        <v>47</v>
      </c>
      <c r="U517" t="s">
        <v>27</v>
      </c>
    </row>
    <row r="518" spans="13:21" x14ac:dyDescent="0.3">
      <c r="M518" t="s">
        <v>169</v>
      </c>
      <c r="N518" t="s">
        <v>24</v>
      </c>
      <c r="O518" s="132">
        <v>14</v>
      </c>
      <c r="P518">
        <v>2024</v>
      </c>
      <c r="R518" t="s">
        <v>403</v>
      </c>
      <c r="S518" t="s">
        <v>183</v>
      </c>
      <c r="T518" t="s">
        <v>37</v>
      </c>
      <c r="U518" t="s">
        <v>27</v>
      </c>
    </row>
    <row r="519" spans="13:21" x14ac:dyDescent="0.3">
      <c r="M519" t="s">
        <v>169</v>
      </c>
      <c r="N519" t="s">
        <v>31</v>
      </c>
      <c r="O519" s="132">
        <v>16</v>
      </c>
      <c r="P519">
        <v>2024</v>
      </c>
      <c r="R519" t="s">
        <v>403</v>
      </c>
      <c r="S519" t="s">
        <v>183</v>
      </c>
      <c r="T519" t="s">
        <v>42</v>
      </c>
      <c r="U519" t="s">
        <v>27</v>
      </c>
    </row>
    <row r="520" spans="13:21" x14ac:dyDescent="0.3">
      <c r="M520" t="s">
        <v>169</v>
      </c>
      <c r="N520" t="s">
        <v>33</v>
      </c>
      <c r="O520" s="132">
        <v>67</v>
      </c>
      <c r="P520">
        <v>2024</v>
      </c>
      <c r="R520" t="s">
        <v>403</v>
      </c>
      <c r="S520" t="s">
        <v>183</v>
      </c>
      <c r="T520" t="s">
        <v>47</v>
      </c>
      <c r="U520" t="s">
        <v>271</v>
      </c>
    </row>
    <row r="521" spans="13:21" x14ac:dyDescent="0.3">
      <c r="M521" t="s">
        <v>169</v>
      </c>
      <c r="N521" t="s">
        <v>41</v>
      </c>
      <c r="O521" s="132">
        <v>11619</v>
      </c>
      <c r="P521">
        <v>2024</v>
      </c>
      <c r="R521" t="s">
        <v>403</v>
      </c>
      <c r="S521" t="s">
        <v>183</v>
      </c>
      <c r="T521" t="s">
        <v>42</v>
      </c>
      <c r="U521" t="s">
        <v>271</v>
      </c>
    </row>
    <row r="522" spans="13:21" x14ac:dyDescent="0.3">
      <c r="M522" t="s">
        <v>332</v>
      </c>
      <c r="N522" t="s">
        <v>31</v>
      </c>
      <c r="O522" s="132">
        <v>14</v>
      </c>
      <c r="P522">
        <v>2024</v>
      </c>
      <c r="R522" t="s">
        <v>403</v>
      </c>
      <c r="S522" t="s">
        <v>183</v>
      </c>
      <c r="T522" t="s">
        <v>82</v>
      </c>
      <c r="U522" t="s">
        <v>271</v>
      </c>
    </row>
    <row r="523" spans="13:21" x14ac:dyDescent="0.3">
      <c r="M523" t="s">
        <v>332</v>
      </c>
      <c r="N523" t="s">
        <v>33</v>
      </c>
      <c r="O523" s="132">
        <v>293</v>
      </c>
      <c r="P523">
        <v>2024</v>
      </c>
      <c r="R523" t="s">
        <v>403</v>
      </c>
      <c r="S523" t="s">
        <v>183</v>
      </c>
      <c r="T523" t="s">
        <v>82</v>
      </c>
      <c r="U523" t="s">
        <v>131</v>
      </c>
    </row>
    <row r="524" spans="13:21" x14ac:dyDescent="0.3">
      <c r="M524" t="s">
        <v>332</v>
      </c>
      <c r="N524" t="s">
        <v>41</v>
      </c>
      <c r="O524" s="132">
        <v>32380</v>
      </c>
      <c r="P524">
        <v>2024</v>
      </c>
      <c r="R524" t="s">
        <v>403</v>
      </c>
      <c r="S524" t="s">
        <v>183</v>
      </c>
      <c r="T524" t="s">
        <v>42</v>
      </c>
      <c r="U524" t="s">
        <v>131</v>
      </c>
    </row>
    <row r="525" spans="13:21" x14ac:dyDescent="0.3">
      <c r="M525" t="s">
        <v>165</v>
      </c>
      <c r="N525" t="s">
        <v>24</v>
      </c>
      <c r="O525" s="132">
        <v>56</v>
      </c>
      <c r="P525">
        <v>2024</v>
      </c>
      <c r="R525" t="s">
        <v>403</v>
      </c>
      <c r="S525" t="s">
        <v>183</v>
      </c>
      <c r="T525" t="s">
        <v>37</v>
      </c>
      <c r="U525" t="s">
        <v>131</v>
      </c>
    </row>
    <row r="526" spans="13:21" x14ac:dyDescent="0.3">
      <c r="M526" t="s">
        <v>165</v>
      </c>
      <c r="N526" t="s">
        <v>31</v>
      </c>
      <c r="O526" s="132">
        <v>814</v>
      </c>
      <c r="P526">
        <v>2024</v>
      </c>
      <c r="R526" t="s">
        <v>403</v>
      </c>
      <c r="S526" t="s">
        <v>183</v>
      </c>
      <c r="T526" t="s">
        <v>47</v>
      </c>
      <c r="U526" t="s">
        <v>131</v>
      </c>
    </row>
    <row r="527" spans="13:21" x14ac:dyDescent="0.3">
      <c r="M527" t="s">
        <v>165</v>
      </c>
      <c r="N527" t="s">
        <v>33</v>
      </c>
      <c r="O527" s="132">
        <v>147</v>
      </c>
      <c r="P527">
        <v>2024</v>
      </c>
      <c r="R527" t="s">
        <v>403</v>
      </c>
      <c r="S527" t="s">
        <v>183</v>
      </c>
      <c r="T527" t="s">
        <v>32</v>
      </c>
      <c r="U527" t="s">
        <v>131</v>
      </c>
    </row>
    <row r="528" spans="13:21" x14ac:dyDescent="0.3">
      <c r="M528" t="s">
        <v>165</v>
      </c>
      <c r="N528" t="s">
        <v>41</v>
      </c>
      <c r="O528" s="132">
        <v>16485</v>
      </c>
      <c r="P528">
        <v>2024</v>
      </c>
      <c r="R528" t="s">
        <v>403</v>
      </c>
      <c r="S528" t="s">
        <v>183</v>
      </c>
      <c r="T528" t="s">
        <v>32</v>
      </c>
      <c r="U528" t="s">
        <v>235</v>
      </c>
    </row>
    <row r="529" spans="13:21" x14ac:dyDescent="0.3">
      <c r="M529" t="s">
        <v>172</v>
      </c>
      <c r="N529" t="s">
        <v>24</v>
      </c>
      <c r="O529" s="132">
        <v>19</v>
      </c>
      <c r="P529">
        <v>2024</v>
      </c>
      <c r="R529" t="s">
        <v>403</v>
      </c>
      <c r="S529" t="s">
        <v>183</v>
      </c>
      <c r="T529" t="s">
        <v>47</v>
      </c>
      <c r="U529" t="s">
        <v>235</v>
      </c>
    </row>
    <row r="530" spans="13:21" x14ac:dyDescent="0.3">
      <c r="M530" t="s">
        <v>172</v>
      </c>
      <c r="N530" t="s">
        <v>31</v>
      </c>
      <c r="O530" s="132">
        <v>130</v>
      </c>
      <c r="P530">
        <v>2024</v>
      </c>
      <c r="R530" t="s">
        <v>403</v>
      </c>
      <c r="S530" t="s">
        <v>183</v>
      </c>
      <c r="T530" t="s">
        <v>82</v>
      </c>
      <c r="U530" t="s">
        <v>52</v>
      </c>
    </row>
    <row r="531" spans="13:21" x14ac:dyDescent="0.3">
      <c r="M531" t="s">
        <v>172</v>
      </c>
      <c r="N531" t="s">
        <v>33</v>
      </c>
      <c r="O531" s="132">
        <v>1295</v>
      </c>
      <c r="P531">
        <v>2024</v>
      </c>
      <c r="R531" t="s">
        <v>403</v>
      </c>
      <c r="S531" t="s">
        <v>183</v>
      </c>
      <c r="T531" t="s">
        <v>32</v>
      </c>
      <c r="U531" t="s">
        <v>52</v>
      </c>
    </row>
    <row r="532" spans="13:21" x14ac:dyDescent="0.3">
      <c r="M532" t="s">
        <v>172</v>
      </c>
      <c r="N532" t="s">
        <v>41</v>
      </c>
      <c r="O532" s="132">
        <v>1987</v>
      </c>
      <c r="P532">
        <v>2024</v>
      </c>
      <c r="R532" t="s">
        <v>403</v>
      </c>
      <c r="S532" t="s">
        <v>183</v>
      </c>
      <c r="T532" t="s">
        <v>47</v>
      </c>
      <c r="U532" t="s">
        <v>52</v>
      </c>
    </row>
    <row r="533" spans="13:21" x14ac:dyDescent="0.3">
      <c r="M533" t="s">
        <v>178</v>
      </c>
      <c r="N533" t="s">
        <v>24</v>
      </c>
      <c r="O533" s="132">
        <v>51</v>
      </c>
      <c r="P533">
        <v>2024</v>
      </c>
      <c r="R533" t="s">
        <v>403</v>
      </c>
      <c r="S533" t="s">
        <v>183</v>
      </c>
      <c r="T533" t="s">
        <v>37</v>
      </c>
      <c r="U533" t="s">
        <v>52</v>
      </c>
    </row>
    <row r="534" spans="13:21" x14ac:dyDescent="0.3">
      <c r="M534" t="s">
        <v>178</v>
      </c>
      <c r="N534" t="s">
        <v>31</v>
      </c>
      <c r="O534" s="132">
        <v>93</v>
      </c>
      <c r="P534">
        <v>2024</v>
      </c>
      <c r="R534" t="s">
        <v>403</v>
      </c>
      <c r="S534" t="s">
        <v>183</v>
      </c>
      <c r="T534" t="s">
        <v>42</v>
      </c>
      <c r="U534" t="s">
        <v>52</v>
      </c>
    </row>
    <row r="535" spans="13:21" x14ac:dyDescent="0.3">
      <c r="M535" t="s">
        <v>178</v>
      </c>
      <c r="N535" t="s">
        <v>33</v>
      </c>
      <c r="O535" s="132">
        <v>263</v>
      </c>
      <c r="P535">
        <v>2024</v>
      </c>
      <c r="R535" t="s">
        <v>403</v>
      </c>
      <c r="S535" t="s">
        <v>183</v>
      </c>
      <c r="T535" t="s">
        <v>32</v>
      </c>
      <c r="U535" t="s">
        <v>63</v>
      </c>
    </row>
    <row r="536" spans="13:21" x14ac:dyDescent="0.3">
      <c r="M536" t="s">
        <v>178</v>
      </c>
      <c r="N536" t="s">
        <v>41</v>
      </c>
      <c r="O536" s="132">
        <v>10700</v>
      </c>
      <c r="P536">
        <v>2024</v>
      </c>
      <c r="R536" t="s">
        <v>403</v>
      </c>
      <c r="S536" t="s">
        <v>183</v>
      </c>
      <c r="T536" t="s">
        <v>26</v>
      </c>
      <c r="U536" t="s">
        <v>63</v>
      </c>
    </row>
    <row r="537" spans="13:21" x14ac:dyDescent="0.3">
      <c r="M537" t="s">
        <v>181</v>
      </c>
      <c r="N537" t="s">
        <v>24</v>
      </c>
      <c r="O537" s="132">
        <v>21</v>
      </c>
      <c r="P537">
        <v>2024</v>
      </c>
      <c r="R537" t="s">
        <v>403</v>
      </c>
      <c r="S537" t="s">
        <v>183</v>
      </c>
      <c r="T537" t="s">
        <v>42</v>
      </c>
      <c r="U537" t="s">
        <v>112</v>
      </c>
    </row>
    <row r="538" spans="13:21" x14ac:dyDescent="0.3">
      <c r="M538" t="s">
        <v>181</v>
      </c>
      <c r="N538" t="s">
        <v>31</v>
      </c>
      <c r="O538" s="132">
        <v>120</v>
      </c>
      <c r="P538">
        <v>2024</v>
      </c>
      <c r="R538" t="s">
        <v>403</v>
      </c>
      <c r="S538" t="s">
        <v>183</v>
      </c>
      <c r="T538" t="s">
        <v>47</v>
      </c>
      <c r="U538" t="s">
        <v>112</v>
      </c>
    </row>
    <row r="539" spans="13:21" x14ac:dyDescent="0.3">
      <c r="M539" t="s">
        <v>181</v>
      </c>
      <c r="N539" t="s">
        <v>33</v>
      </c>
      <c r="O539" s="132">
        <v>270</v>
      </c>
      <c r="P539">
        <v>2024</v>
      </c>
      <c r="R539" t="s">
        <v>403</v>
      </c>
      <c r="S539" t="s">
        <v>183</v>
      </c>
      <c r="T539" t="s">
        <v>32</v>
      </c>
      <c r="U539" t="s">
        <v>112</v>
      </c>
    </row>
    <row r="540" spans="13:21" x14ac:dyDescent="0.3">
      <c r="M540" t="s">
        <v>181</v>
      </c>
      <c r="N540" t="s">
        <v>41</v>
      </c>
      <c r="O540" s="132">
        <v>20095</v>
      </c>
      <c r="P540">
        <v>2024</v>
      </c>
      <c r="R540" t="s">
        <v>403</v>
      </c>
      <c r="S540" t="s">
        <v>183</v>
      </c>
      <c r="T540" t="s">
        <v>82</v>
      </c>
      <c r="U540" t="s">
        <v>112</v>
      </c>
    </row>
    <row r="541" spans="13:21" x14ac:dyDescent="0.3">
      <c r="M541" t="s">
        <v>225</v>
      </c>
      <c r="N541" t="s">
        <v>31</v>
      </c>
      <c r="O541" s="132">
        <v>1277</v>
      </c>
      <c r="P541">
        <v>2024</v>
      </c>
      <c r="R541" t="s">
        <v>403</v>
      </c>
      <c r="S541" t="s">
        <v>183</v>
      </c>
      <c r="T541" t="s">
        <v>82</v>
      </c>
      <c r="U541" t="s">
        <v>243</v>
      </c>
    </row>
    <row r="542" spans="13:21" x14ac:dyDescent="0.3">
      <c r="M542" t="s">
        <v>225</v>
      </c>
      <c r="N542" t="s">
        <v>33</v>
      </c>
      <c r="O542" s="132">
        <v>15589</v>
      </c>
      <c r="P542">
        <v>2024</v>
      </c>
      <c r="R542" t="s">
        <v>403</v>
      </c>
      <c r="S542" t="s">
        <v>183</v>
      </c>
      <c r="T542" t="s">
        <v>32</v>
      </c>
      <c r="U542" t="s">
        <v>243</v>
      </c>
    </row>
    <row r="543" spans="13:21" x14ac:dyDescent="0.3">
      <c r="M543" t="s">
        <v>225</v>
      </c>
      <c r="N543" t="s">
        <v>41</v>
      </c>
      <c r="O543" s="132">
        <v>231236</v>
      </c>
      <c r="P543">
        <v>2024</v>
      </c>
      <c r="R543" t="s">
        <v>403</v>
      </c>
      <c r="S543" t="s">
        <v>183</v>
      </c>
      <c r="T543" t="s">
        <v>42</v>
      </c>
      <c r="U543" t="s">
        <v>243</v>
      </c>
    </row>
    <row r="544" spans="13:21" x14ac:dyDescent="0.3">
      <c r="M544" t="s">
        <v>337</v>
      </c>
      <c r="N544" t="s">
        <v>24</v>
      </c>
      <c r="O544" s="132">
        <v>25</v>
      </c>
      <c r="P544">
        <v>2024</v>
      </c>
      <c r="R544" t="s">
        <v>403</v>
      </c>
      <c r="S544" t="s">
        <v>183</v>
      </c>
      <c r="T544" t="s">
        <v>82</v>
      </c>
      <c r="U544" t="s">
        <v>149</v>
      </c>
    </row>
    <row r="545" spans="13:21" x14ac:dyDescent="0.3">
      <c r="M545" t="s">
        <v>337</v>
      </c>
      <c r="N545" t="s">
        <v>31</v>
      </c>
      <c r="O545" s="132">
        <v>302</v>
      </c>
      <c r="P545">
        <v>2024</v>
      </c>
      <c r="R545" t="s">
        <v>403</v>
      </c>
      <c r="S545" t="s">
        <v>183</v>
      </c>
      <c r="T545" t="s">
        <v>32</v>
      </c>
      <c r="U545" t="s">
        <v>149</v>
      </c>
    </row>
    <row r="546" spans="13:21" x14ac:dyDescent="0.3">
      <c r="M546" t="s">
        <v>337</v>
      </c>
      <c r="N546" t="s">
        <v>33</v>
      </c>
      <c r="O546" s="132">
        <v>90</v>
      </c>
      <c r="P546">
        <v>2024</v>
      </c>
      <c r="R546" t="s">
        <v>403</v>
      </c>
      <c r="S546" t="s">
        <v>183</v>
      </c>
      <c r="T546" t="s">
        <v>47</v>
      </c>
      <c r="U546" t="s">
        <v>149</v>
      </c>
    </row>
    <row r="547" spans="13:21" x14ac:dyDescent="0.3">
      <c r="M547" t="s">
        <v>337</v>
      </c>
      <c r="N547" t="s">
        <v>41</v>
      </c>
      <c r="O547" s="132">
        <v>3895</v>
      </c>
      <c r="P547">
        <v>2024</v>
      </c>
      <c r="R547" t="s">
        <v>403</v>
      </c>
      <c r="S547" t="s">
        <v>183</v>
      </c>
      <c r="T547" t="s">
        <v>42</v>
      </c>
      <c r="U547" t="s">
        <v>149</v>
      </c>
    </row>
    <row r="548" spans="13:21" x14ac:dyDescent="0.3">
      <c r="M548" t="s">
        <v>93</v>
      </c>
      <c r="N548" t="s">
        <v>24</v>
      </c>
      <c r="O548" s="132">
        <v>18</v>
      </c>
      <c r="P548">
        <v>2024</v>
      </c>
      <c r="R548" t="s">
        <v>403</v>
      </c>
      <c r="S548" t="s">
        <v>183</v>
      </c>
      <c r="T548" t="s">
        <v>47</v>
      </c>
      <c r="U548" t="s">
        <v>220</v>
      </c>
    </row>
    <row r="549" spans="13:21" x14ac:dyDescent="0.3">
      <c r="M549" t="s">
        <v>93</v>
      </c>
      <c r="N549" t="s">
        <v>31</v>
      </c>
      <c r="O549" s="132">
        <v>1660</v>
      </c>
      <c r="P549">
        <v>2024</v>
      </c>
      <c r="R549" t="s">
        <v>403</v>
      </c>
      <c r="S549" t="s">
        <v>183</v>
      </c>
      <c r="T549" t="s">
        <v>37</v>
      </c>
      <c r="U549" t="s">
        <v>220</v>
      </c>
    </row>
    <row r="550" spans="13:21" x14ac:dyDescent="0.3">
      <c r="M550" t="s">
        <v>93</v>
      </c>
      <c r="N550" t="s">
        <v>33</v>
      </c>
      <c r="O550" s="132">
        <v>482</v>
      </c>
      <c r="P550">
        <v>2024</v>
      </c>
      <c r="R550" t="s">
        <v>403</v>
      </c>
      <c r="S550" t="s">
        <v>183</v>
      </c>
      <c r="T550" t="s">
        <v>42</v>
      </c>
      <c r="U550" t="s">
        <v>220</v>
      </c>
    </row>
    <row r="551" spans="13:21" x14ac:dyDescent="0.3">
      <c r="M551" t="s">
        <v>93</v>
      </c>
      <c r="N551" t="s">
        <v>41</v>
      </c>
      <c r="O551" s="132">
        <v>109138</v>
      </c>
      <c r="P551">
        <v>2024</v>
      </c>
      <c r="R551" t="s">
        <v>403</v>
      </c>
      <c r="S551" t="s">
        <v>183</v>
      </c>
      <c r="T551" t="s">
        <v>32</v>
      </c>
      <c r="U551" t="s">
        <v>343</v>
      </c>
    </row>
    <row r="552" spans="13:21" x14ac:dyDescent="0.3">
      <c r="M552" t="s">
        <v>196</v>
      </c>
      <c r="N552" t="s">
        <v>31</v>
      </c>
      <c r="O552" s="132">
        <v>4</v>
      </c>
      <c r="P552">
        <v>2024</v>
      </c>
      <c r="R552" t="s">
        <v>403</v>
      </c>
      <c r="S552" t="s">
        <v>183</v>
      </c>
      <c r="T552" t="s">
        <v>42</v>
      </c>
      <c r="U552" t="s">
        <v>343</v>
      </c>
    </row>
    <row r="553" spans="13:21" x14ac:dyDescent="0.3">
      <c r="M553" t="s">
        <v>196</v>
      </c>
      <c r="N553" t="s">
        <v>33</v>
      </c>
      <c r="O553" s="132">
        <v>10</v>
      </c>
      <c r="P553">
        <v>2024</v>
      </c>
      <c r="R553" t="s">
        <v>403</v>
      </c>
      <c r="S553" t="s">
        <v>183</v>
      </c>
      <c r="T553" t="s">
        <v>47</v>
      </c>
      <c r="U553" t="s">
        <v>343</v>
      </c>
    </row>
    <row r="554" spans="13:21" x14ac:dyDescent="0.3">
      <c r="M554" t="s">
        <v>196</v>
      </c>
      <c r="N554" t="s">
        <v>41</v>
      </c>
      <c r="O554" s="132">
        <v>125</v>
      </c>
      <c r="P554">
        <v>2024</v>
      </c>
      <c r="R554" t="s">
        <v>525</v>
      </c>
      <c r="S554" t="s">
        <v>113</v>
      </c>
      <c r="T554" t="s">
        <v>42</v>
      </c>
      <c r="U554" t="s">
        <v>197</v>
      </c>
    </row>
    <row r="555" spans="13:21" x14ac:dyDescent="0.3">
      <c r="M555" t="s">
        <v>433</v>
      </c>
      <c r="N555" t="s">
        <v>24</v>
      </c>
      <c r="O555" s="132">
        <v>308</v>
      </c>
      <c r="P555">
        <v>2024</v>
      </c>
      <c r="R555" t="s">
        <v>525</v>
      </c>
      <c r="S555" t="s">
        <v>113</v>
      </c>
      <c r="T555" t="s">
        <v>37</v>
      </c>
      <c r="U555" t="s">
        <v>197</v>
      </c>
    </row>
    <row r="556" spans="13:21" x14ac:dyDescent="0.3">
      <c r="M556" t="s">
        <v>433</v>
      </c>
      <c r="N556" t="s">
        <v>31</v>
      </c>
      <c r="O556" s="132">
        <v>308</v>
      </c>
      <c r="P556">
        <v>2024</v>
      </c>
      <c r="R556" t="s">
        <v>525</v>
      </c>
      <c r="S556" t="s">
        <v>113</v>
      </c>
      <c r="T556" t="s">
        <v>26</v>
      </c>
      <c r="U556" t="s">
        <v>197</v>
      </c>
    </row>
    <row r="557" spans="13:21" x14ac:dyDescent="0.3">
      <c r="M557" t="s">
        <v>433</v>
      </c>
      <c r="N557" t="s">
        <v>33</v>
      </c>
      <c r="O557" s="132">
        <v>476</v>
      </c>
      <c r="P557">
        <v>2024</v>
      </c>
      <c r="R557" t="s">
        <v>526</v>
      </c>
      <c r="S557" t="s">
        <v>118</v>
      </c>
      <c r="T557" t="s">
        <v>32</v>
      </c>
      <c r="U557" t="s">
        <v>243</v>
      </c>
    </row>
    <row r="558" spans="13:21" x14ac:dyDescent="0.3">
      <c r="M558" t="s">
        <v>433</v>
      </c>
      <c r="N558" t="s">
        <v>41</v>
      </c>
      <c r="O558" s="132">
        <v>23000</v>
      </c>
      <c r="P558">
        <v>2024</v>
      </c>
      <c r="R558" t="s">
        <v>526</v>
      </c>
      <c r="S558" t="s">
        <v>118</v>
      </c>
      <c r="T558" t="s">
        <v>82</v>
      </c>
      <c r="U558" t="s">
        <v>243</v>
      </c>
    </row>
    <row r="559" spans="13:21" x14ac:dyDescent="0.3">
      <c r="M559" t="s">
        <v>434</v>
      </c>
      <c r="N559" t="s">
        <v>24</v>
      </c>
      <c r="O559" s="132">
        <v>24</v>
      </c>
      <c r="P559">
        <v>2024</v>
      </c>
      <c r="R559" t="s">
        <v>526</v>
      </c>
      <c r="S559" t="s">
        <v>118</v>
      </c>
      <c r="T559" t="s">
        <v>37</v>
      </c>
      <c r="U559" t="s">
        <v>243</v>
      </c>
    </row>
    <row r="560" spans="13:21" x14ac:dyDescent="0.3">
      <c r="M560" t="s">
        <v>434</v>
      </c>
      <c r="N560" t="s">
        <v>31</v>
      </c>
      <c r="O560" s="132">
        <v>109</v>
      </c>
      <c r="P560">
        <v>2024</v>
      </c>
      <c r="R560" t="s">
        <v>526</v>
      </c>
      <c r="S560" t="s">
        <v>118</v>
      </c>
      <c r="T560" t="s">
        <v>42</v>
      </c>
      <c r="U560" t="s">
        <v>243</v>
      </c>
    </row>
    <row r="561" spans="13:21" x14ac:dyDescent="0.3">
      <c r="M561" t="s">
        <v>434</v>
      </c>
      <c r="N561" t="s">
        <v>33</v>
      </c>
      <c r="O561" s="132">
        <v>5783</v>
      </c>
      <c r="P561">
        <v>2024</v>
      </c>
      <c r="R561" t="s">
        <v>443</v>
      </c>
      <c r="S561" t="s">
        <v>137</v>
      </c>
      <c r="T561" t="s">
        <v>47</v>
      </c>
      <c r="U561" t="s">
        <v>197</v>
      </c>
    </row>
    <row r="562" spans="13:21" x14ac:dyDescent="0.3">
      <c r="M562" t="s">
        <v>434</v>
      </c>
      <c r="N562" t="s">
        <v>41</v>
      </c>
      <c r="O562" s="132">
        <v>48432</v>
      </c>
      <c r="P562">
        <v>2024</v>
      </c>
      <c r="R562" t="s">
        <v>443</v>
      </c>
      <c r="S562" t="s">
        <v>137</v>
      </c>
      <c r="T562" t="s">
        <v>42</v>
      </c>
      <c r="U562" t="s">
        <v>197</v>
      </c>
    </row>
    <row r="563" spans="13:21" x14ac:dyDescent="0.3">
      <c r="M563" t="s">
        <v>148</v>
      </c>
      <c r="N563" t="s">
        <v>24</v>
      </c>
      <c r="O563" s="132">
        <v>14</v>
      </c>
      <c r="P563">
        <v>2024</v>
      </c>
      <c r="R563" t="s">
        <v>527</v>
      </c>
      <c r="S563" t="s">
        <v>401</v>
      </c>
      <c r="T563" t="s">
        <v>32</v>
      </c>
      <c r="U563" t="s">
        <v>220</v>
      </c>
    </row>
    <row r="564" spans="13:21" x14ac:dyDescent="0.3">
      <c r="M564" t="s">
        <v>148</v>
      </c>
      <c r="N564" t="s">
        <v>31</v>
      </c>
      <c r="O564" s="132">
        <v>109</v>
      </c>
      <c r="P564">
        <v>2024</v>
      </c>
      <c r="R564" t="s">
        <v>450</v>
      </c>
      <c r="S564" t="s">
        <v>121</v>
      </c>
      <c r="T564" t="s">
        <v>37</v>
      </c>
      <c r="U564" t="s">
        <v>271</v>
      </c>
    </row>
    <row r="565" spans="13:21" x14ac:dyDescent="0.3">
      <c r="M565" t="s">
        <v>148</v>
      </c>
      <c r="N565" t="s">
        <v>33</v>
      </c>
      <c r="O565" s="132">
        <v>5902</v>
      </c>
      <c r="P565">
        <v>2024</v>
      </c>
      <c r="R565" t="s">
        <v>450</v>
      </c>
      <c r="S565" t="s">
        <v>121</v>
      </c>
      <c r="T565" t="s">
        <v>42</v>
      </c>
      <c r="U565" t="s">
        <v>271</v>
      </c>
    </row>
    <row r="566" spans="13:21" x14ac:dyDescent="0.3">
      <c r="M566" t="s">
        <v>148</v>
      </c>
      <c r="N566" t="s">
        <v>41</v>
      </c>
      <c r="O566" s="132">
        <v>14098</v>
      </c>
      <c r="P566">
        <v>2024</v>
      </c>
      <c r="R566" t="s">
        <v>450</v>
      </c>
      <c r="S566" t="s">
        <v>121</v>
      </c>
      <c r="T566" t="s">
        <v>47</v>
      </c>
      <c r="U566" t="s">
        <v>271</v>
      </c>
    </row>
    <row r="567" spans="13:21" x14ac:dyDescent="0.3">
      <c r="M567" t="s">
        <v>435</v>
      </c>
      <c r="N567" t="s">
        <v>24</v>
      </c>
      <c r="O567" s="132">
        <v>4</v>
      </c>
      <c r="P567">
        <v>2024</v>
      </c>
      <c r="R567" t="s">
        <v>450</v>
      </c>
      <c r="S567" t="s">
        <v>121</v>
      </c>
      <c r="T567" t="s">
        <v>32</v>
      </c>
      <c r="U567" t="s">
        <v>271</v>
      </c>
    </row>
    <row r="568" spans="13:21" x14ac:dyDescent="0.3">
      <c r="M568" t="s">
        <v>435</v>
      </c>
      <c r="N568" t="s">
        <v>31</v>
      </c>
      <c r="O568" s="132">
        <v>65</v>
      </c>
      <c r="P568">
        <v>2024</v>
      </c>
      <c r="R568" t="s">
        <v>450</v>
      </c>
      <c r="S568" t="s">
        <v>121</v>
      </c>
      <c r="T568" t="s">
        <v>82</v>
      </c>
      <c r="U568" t="s">
        <v>271</v>
      </c>
    </row>
    <row r="569" spans="13:21" x14ac:dyDescent="0.3">
      <c r="M569" t="s">
        <v>435</v>
      </c>
      <c r="N569" t="s">
        <v>33</v>
      </c>
      <c r="O569" s="132">
        <v>174</v>
      </c>
      <c r="P569">
        <v>2024</v>
      </c>
      <c r="R569" t="s">
        <v>450</v>
      </c>
      <c r="S569" t="s">
        <v>121</v>
      </c>
      <c r="T569" t="s">
        <v>42</v>
      </c>
      <c r="U569" t="s">
        <v>131</v>
      </c>
    </row>
    <row r="570" spans="13:21" x14ac:dyDescent="0.3">
      <c r="M570" t="s">
        <v>435</v>
      </c>
      <c r="N570" t="s">
        <v>41</v>
      </c>
      <c r="O570" s="132">
        <v>10016</v>
      </c>
      <c r="P570">
        <v>2024</v>
      </c>
      <c r="R570" t="s">
        <v>450</v>
      </c>
      <c r="S570" t="s">
        <v>121</v>
      </c>
      <c r="T570" t="s">
        <v>37</v>
      </c>
      <c r="U570" t="s">
        <v>131</v>
      </c>
    </row>
    <row r="571" spans="13:21" x14ac:dyDescent="0.3">
      <c r="M571" t="s">
        <v>186</v>
      </c>
      <c r="N571" t="s">
        <v>24</v>
      </c>
      <c r="O571" s="132">
        <v>31</v>
      </c>
      <c r="P571">
        <v>2024</v>
      </c>
      <c r="R571" t="s">
        <v>450</v>
      </c>
      <c r="S571" t="s">
        <v>121</v>
      </c>
      <c r="T571" t="s">
        <v>47</v>
      </c>
      <c r="U571" t="s">
        <v>131</v>
      </c>
    </row>
    <row r="572" spans="13:21" x14ac:dyDescent="0.3">
      <c r="M572" t="s">
        <v>186</v>
      </c>
      <c r="N572" t="s">
        <v>31</v>
      </c>
      <c r="O572" s="132">
        <v>1489</v>
      </c>
      <c r="P572">
        <v>2024</v>
      </c>
      <c r="R572" t="s">
        <v>450</v>
      </c>
      <c r="S572" t="s">
        <v>121</v>
      </c>
      <c r="T572" t="s">
        <v>82</v>
      </c>
      <c r="U572" t="s">
        <v>131</v>
      </c>
    </row>
    <row r="573" spans="13:21" x14ac:dyDescent="0.3">
      <c r="M573" t="s">
        <v>186</v>
      </c>
      <c r="N573" t="s">
        <v>33</v>
      </c>
      <c r="O573" s="132">
        <v>188</v>
      </c>
      <c r="P573">
        <v>2024</v>
      </c>
      <c r="R573" t="s">
        <v>450</v>
      </c>
      <c r="S573" t="s">
        <v>121</v>
      </c>
      <c r="T573" t="s">
        <v>32</v>
      </c>
      <c r="U573" t="s">
        <v>131</v>
      </c>
    </row>
    <row r="574" spans="13:21" x14ac:dyDescent="0.3">
      <c r="M574" t="s">
        <v>186</v>
      </c>
      <c r="N574" t="s">
        <v>41</v>
      </c>
      <c r="O574" s="132">
        <v>118729</v>
      </c>
      <c r="P574">
        <v>2024</v>
      </c>
      <c r="R574" t="s">
        <v>450</v>
      </c>
      <c r="S574" t="s">
        <v>121</v>
      </c>
      <c r="T574" t="s">
        <v>42</v>
      </c>
      <c r="U574" t="s">
        <v>278</v>
      </c>
    </row>
    <row r="575" spans="13:21" x14ac:dyDescent="0.3">
      <c r="M575" t="s">
        <v>339</v>
      </c>
      <c r="N575" t="s">
        <v>24</v>
      </c>
      <c r="O575" s="132">
        <v>76</v>
      </c>
      <c r="P575">
        <v>2024</v>
      </c>
      <c r="R575" t="s">
        <v>450</v>
      </c>
      <c r="S575" t="s">
        <v>121</v>
      </c>
      <c r="T575" t="s">
        <v>82</v>
      </c>
      <c r="U575" t="s">
        <v>278</v>
      </c>
    </row>
    <row r="576" spans="13:21" x14ac:dyDescent="0.3">
      <c r="M576" t="s">
        <v>339</v>
      </c>
      <c r="N576" t="s">
        <v>31</v>
      </c>
      <c r="O576" s="132">
        <v>392</v>
      </c>
      <c r="P576">
        <v>2024</v>
      </c>
      <c r="R576" t="s">
        <v>450</v>
      </c>
      <c r="S576" t="s">
        <v>121</v>
      </c>
      <c r="T576" t="s">
        <v>32</v>
      </c>
      <c r="U576" t="s">
        <v>278</v>
      </c>
    </row>
    <row r="577" spans="13:21" x14ac:dyDescent="0.3">
      <c r="M577" t="s">
        <v>339</v>
      </c>
      <c r="N577" t="s">
        <v>33</v>
      </c>
      <c r="O577" s="132">
        <v>11704</v>
      </c>
      <c r="P577">
        <v>2024</v>
      </c>
      <c r="R577" t="s">
        <v>450</v>
      </c>
      <c r="S577" t="s">
        <v>121</v>
      </c>
      <c r="T577" t="s">
        <v>47</v>
      </c>
      <c r="U577" t="s">
        <v>278</v>
      </c>
    </row>
    <row r="578" spans="13:21" x14ac:dyDescent="0.3">
      <c r="M578" t="s">
        <v>339</v>
      </c>
      <c r="N578" t="s">
        <v>41</v>
      </c>
      <c r="O578" s="132">
        <v>61856</v>
      </c>
      <c r="P578">
        <v>2024</v>
      </c>
      <c r="R578" t="s">
        <v>450</v>
      </c>
      <c r="S578" t="s">
        <v>121</v>
      </c>
      <c r="T578" t="s">
        <v>37</v>
      </c>
      <c r="U578" t="s">
        <v>278</v>
      </c>
    </row>
    <row r="579" spans="13:21" x14ac:dyDescent="0.3">
      <c r="M579" t="s">
        <v>341</v>
      </c>
      <c r="N579" t="s">
        <v>24</v>
      </c>
      <c r="O579" s="132">
        <v>13</v>
      </c>
      <c r="P579">
        <v>2024</v>
      </c>
      <c r="R579" t="s">
        <v>360</v>
      </c>
      <c r="S579" t="s">
        <v>124</v>
      </c>
      <c r="T579" t="s">
        <v>82</v>
      </c>
      <c r="U579" t="s">
        <v>268</v>
      </c>
    </row>
    <row r="580" spans="13:21" x14ac:dyDescent="0.3">
      <c r="M580" t="s">
        <v>341</v>
      </c>
      <c r="N580" t="s">
        <v>31</v>
      </c>
      <c r="O580" s="132">
        <v>14</v>
      </c>
      <c r="P580">
        <v>2024</v>
      </c>
      <c r="R580" t="s">
        <v>360</v>
      </c>
      <c r="S580" t="s">
        <v>124</v>
      </c>
      <c r="T580" t="s">
        <v>32</v>
      </c>
      <c r="U580" t="s">
        <v>268</v>
      </c>
    </row>
    <row r="581" spans="13:21" x14ac:dyDescent="0.3">
      <c r="M581" t="s">
        <v>341</v>
      </c>
      <c r="N581" t="s">
        <v>33</v>
      </c>
      <c r="O581" s="132">
        <v>142</v>
      </c>
      <c r="P581">
        <v>2024</v>
      </c>
      <c r="R581" t="s">
        <v>360</v>
      </c>
      <c r="S581" t="s">
        <v>124</v>
      </c>
      <c r="T581" t="s">
        <v>47</v>
      </c>
      <c r="U581" t="s">
        <v>268</v>
      </c>
    </row>
    <row r="582" spans="13:21" x14ac:dyDescent="0.3">
      <c r="M582" t="s">
        <v>341</v>
      </c>
      <c r="N582" t="s">
        <v>41</v>
      </c>
      <c r="O582" s="132">
        <v>631</v>
      </c>
      <c r="P582">
        <v>2024</v>
      </c>
      <c r="R582" t="s">
        <v>360</v>
      </c>
      <c r="S582" t="s">
        <v>124</v>
      </c>
      <c r="T582" t="s">
        <v>82</v>
      </c>
      <c r="U582" t="s">
        <v>27</v>
      </c>
    </row>
    <row r="583" spans="13:21" x14ac:dyDescent="0.3">
      <c r="M583" t="s">
        <v>191</v>
      </c>
      <c r="N583" t="s">
        <v>24</v>
      </c>
      <c r="O583" s="132">
        <v>311</v>
      </c>
      <c r="P583">
        <v>2024</v>
      </c>
      <c r="R583" t="s">
        <v>360</v>
      </c>
      <c r="S583" t="s">
        <v>124</v>
      </c>
      <c r="T583" t="s">
        <v>32</v>
      </c>
      <c r="U583" t="s">
        <v>27</v>
      </c>
    </row>
    <row r="584" spans="13:21" x14ac:dyDescent="0.3">
      <c r="M584" t="s">
        <v>191</v>
      </c>
      <c r="N584" t="s">
        <v>31</v>
      </c>
      <c r="O584" s="132">
        <v>311</v>
      </c>
      <c r="P584">
        <v>2024</v>
      </c>
      <c r="R584" t="s">
        <v>360</v>
      </c>
      <c r="S584" t="s">
        <v>124</v>
      </c>
      <c r="T584" t="s">
        <v>47</v>
      </c>
      <c r="U584" t="s">
        <v>27</v>
      </c>
    </row>
    <row r="585" spans="13:21" x14ac:dyDescent="0.3">
      <c r="M585" t="s">
        <v>191</v>
      </c>
      <c r="N585" t="s">
        <v>33</v>
      </c>
      <c r="O585" s="132">
        <v>120</v>
      </c>
      <c r="P585">
        <v>2024</v>
      </c>
      <c r="R585" t="s">
        <v>360</v>
      </c>
      <c r="S585" t="s">
        <v>124</v>
      </c>
      <c r="T585" t="s">
        <v>42</v>
      </c>
      <c r="U585" t="s">
        <v>27</v>
      </c>
    </row>
    <row r="586" spans="13:21" x14ac:dyDescent="0.3">
      <c r="M586" t="s">
        <v>191</v>
      </c>
      <c r="N586" t="s">
        <v>41</v>
      </c>
      <c r="O586" s="132">
        <v>46937</v>
      </c>
      <c r="P586">
        <v>2024</v>
      </c>
      <c r="R586" t="s">
        <v>360</v>
      </c>
      <c r="S586" t="s">
        <v>124</v>
      </c>
      <c r="T586" t="s">
        <v>37</v>
      </c>
      <c r="U586" t="s">
        <v>27</v>
      </c>
    </row>
    <row r="587" spans="13:21" x14ac:dyDescent="0.3">
      <c r="M587" t="s">
        <v>345</v>
      </c>
      <c r="N587" t="s">
        <v>24</v>
      </c>
      <c r="O587" s="132">
        <v>3</v>
      </c>
      <c r="P587">
        <v>2024</v>
      </c>
      <c r="R587" t="s">
        <v>360</v>
      </c>
      <c r="S587" t="s">
        <v>124</v>
      </c>
      <c r="T587" t="s">
        <v>37</v>
      </c>
      <c r="U587" t="s">
        <v>385</v>
      </c>
    </row>
    <row r="588" spans="13:21" x14ac:dyDescent="0.3">
      <c r="M588" t="s">
        <v>345</v>
      </c>
      <c r="N588" t="s">
        <v>31</v>
      </c>
      <c r="O588" s="132">
        <v>3</v>
      </c>
      <c r="P588">
        <v>2024</v>
      </c>
      <c r="R588" t="s">
        <v>360</v>
      </c>
      <c r="S588" t="s">
        <v>124</v>
      </c>
      <c r="T588" t="s">
        <v>42</v>
      </c>
      <c r="U588" t="s">
        <v>149</v>
      </c>
    </row>
    <row r="589" spans="13:21" x14ac:dyDescent="0.3">
      <c r="M589" t="s">
        <v>345</v>
      </c>
      <c r="N589" t="s">
        <v>33</v>
      </c>
      <c r="O589" s="132">
        <v>14</v>
      </c>
      <c r="P589">
        <v>2024</v>
      </c>
      <c r="R589" t="s">
        <v>472</v>
      </c>
      <c r="S589" t="s">
        <v>302</v>
      </c>
      <c r="T589" t="s">
        <v>32</v>
      </c>
      <c r="U589" t="s">
        <v>175</v>
      </c>
    </row>
    <row r="590" spans="13:21" x14ac:dyDescent="0.3">
      <c r="M590" t="s">
        <v>345</v>
      </c>
      <c r="N590" t="s">
        <v>41</v>
      </c>
      <c r="O590" s="132">
        <v>6</v>
      </c>
      <c r="P590">
        <v>2024</v>
      </c>
      <c r="R590" t="s">
        <v>474</v>
      </c>
      <c r="S590" t="s">
        <v>126</v>
      </c>
      <c r="T590" t="s">
        <v>42</v>
      </c>
      <c r="U590" t="s">
        <v>112</v>
      </c>
    </row>
    <row r="591" spans="13:21" x14ac:dyDescent="0.3">
      <c r="M591" t="s">
        <v>200</v>
      </c>
      <c r="N591" t="s">
        <v>24</v>
      </c>
      <c r="O591" s="132">
        <v>3</v>
      </c>
      <c r="P591">
        <v>2024</v>
      </c>
      <c r="R591" t="s">
        <v>474</v>
      </c>
      <c r="S591" t="s">
        <v>126</v>
      </c>
      <c r="T591" t="s">
        <v>37</v>
      </c>
      <c r="U591" t="s">
        <v>112</v>
      </c>
    </row>
    <row r="592" spans="13:21" x14ac:dyDescent="0.3">
      <c r="M592" t="s">
        <v>200</v>
      </c>
      <c r="N592" t="s">
        <v>31</v>
      </c>
      <c r="O592" s="132">
        <v>8</v>
      </c>
      <c r="P592">
        <v>2024</v>
      </c>
      <c r="R592" t="s">
        <v>474</v>
      </c>
      <c r="S592" t="s">
        <v>126</v>
      </c>
      <c r="T592" t="s">
        <v>26</v>
      </c>
      <c r="U592" t="s">
        <v>112</v>
      </c>
    </row>
    <row r="593" spans="13:21" x14ac:dyDescent="0.3">
      <c r="M593" t="s">
        <v>200</v>
      </c>
      <c r="N593" t="s">
        <v>33</v>
      </c>
      <c r="O593" s="132">
        <v>23</v>
      </c>
      <c r="P593">
        <v>2024</v>
      </c>
      <c r="R593" t="s">
        <v>474</v>
      </c>
      <c r="S593" t="s">
        <v>126</v>
      </c>
      <c r="T593" t="s">
        <v>47</v>
      </c>
      <c r="U593" t="s">
        <v>112</v>
      </c>
    </row>
    <row r="594" spans="13:21" x14ac:dyDescent="0.3">
      <c r="M594" t="s">
        <v>200</v>
      </c>
      <c r="N594" t="s">
        <v>41</v>
      </c>
      <c r="O594" s="132">
        <v>508</v>
      </c>
      <c r="P594">
        <v>2024</v>
      </c>
      <c r="R594" t="s">
        <v>474</v>
      </c>
      <c r="S594" t="s">
        <v>126</v>
      </c>
      <c r="T594" t="s">
        <v>32</v>
      </c>
      <c r="U594" t="s">
        <v>112</v>
      </c>
    </row>
    <row r="595" spans="13:21" x14ac:dyDescent="0.3">
      <c r="M595" t="s">
        <v>439</v>
      </c>
      <c r="N595" t="s">
        <v>24</v>
      </c>
      <c r="O595" s="132">
        <v>6</v>
      </c>
      <c r="P595">
        <v>2024</v>
      </c>
      <c r="R595" t="s">
        <v>474</v>
      </c>
      <c r="S595" t="s">
        <v>126</v>
      </c>
      <c r="T595" t="s">
        <v>47</v>
      </c>
      <c r="U595" t="s">
        <v>343</v>
      </c>
    </row>
    <row r="596" spans="13:21" x14ac:dyDescent="0.3">
      <c r="M596" t="s">
        <v>439</v>
      </c>
      <c r="N596" t="s">
        <v>31</v>
      </c>
      <c r="O596" s="132">
        <v>39</v>
      </c>
      <c r="P596">
        <v>2024</v>
      </c>
      <c r="R596" t="s">
        <v>474</v>
      </c>
      <c r="S596" t="s">
        <v>126</v>
      </c>
      <c r="T596" t="s">
        <v>42</v>
      </c>
      <c r="U596" t="s">
        <v>343</v>
      </c>
    </row>
    <row r="597" spans="13:21" x14ac:dyDescent="0.3">
      <c r="M597" t="s">
        <v>439</v>
      </c>
      <c r="N597" t="s">
        <v>33</v>
      </c>
      <c r="O597" s="132">
        <v>123</v>
      </c>
      <c r="P597">
        <v>2024</v>
      </c>
      <c r="R597" t="s">
        <v>475</v>
      </c>
      <c r="S597" t="s">
        <v>307</v>
      </c>
      <c r="T597" t="s">
        <v>82</v>
      </c>
      <c r="U597" t="s">
        <v>175</v>
      </c>
    </row>
    <row r="598" spans="13:21" x14ac:dyDescent="0.3">
      <c r="M598" t="s">
        <v>439</v>
      </c>
      <c r="N598" t="s">
        <v>41</v>
      </c>
      <c r="O598" s="132">
        <v>3210</v>
      </c>
      <c r="P598">
        <v>2024</v>
      </c>
      <c r="R598" t="s">
        <v>476</v>
      </c>
      <c r="S598" t="s">
        <v>71</v>
      </c>
      <c r="T598" t="s">
        <v>82</v>
      </c>
      <c r="U598" t="s">
        <v>197</v>
      </c>
    </row>
    <row r="599" spans="13:21" x14ac:dyDescent="0.3">
      <c r="M599" t="s">
        <v>347</v>
      </c>
      <c r="N599" t="s">
        <v>24</v>
      </c>
      <c r="O599" s="132">
        <v>7</v>
      </c>
      <c r="P599">
        <v>2024</v>
      </c>
      <c r="R599" t="s">
        <v>476</v>
      </c>
      <c r="S599" t="s">
        <v>71</v>
      </c>
      <c r="T599" t="s">
        <v>26</v>
      </c>
      <c r="U599" t="s">
        <v>197</v>
      </c>
    </row>
    <row r="600" spans="13:21" x14ac:dyDescent="0.3">
      <c r="M600" t="s">
        <v>347</v>
      </c>
      <c r="N600" t="s">
        <v>31</v>
      </c>
      <c r="O600" s="132">
        <v>8</v>
      </c>
      <c r="P600">
        <v>2024</v>
      </c>
      <c r="R600" t="s">
        <v>476</v>
      </c>
      <c r="S600" t="s">
        <v>71</v>
      </c>
      <c r="T600" t="s">
        <v>42</v>
      </c>
      <c r="U600" t="s">
        <v>197</v>
      </c>
    </row>
    <row r="601" spans="13:21" x14ac:dyDescent="0.3">
      <c r="M601" t="s">
        <v>347</v>
      </c>
      <c r="N601" t="s">
        <v>33</v>
      </c>
      <c r="O601" s="132">
        <v>10</v>
      </c>
      <c r="P601">
        <v>2024</v>
      </c>
      <c r="R601" t="s">
        <v>528</v>
      </c>
      <c r="S601" t="s">
        <v>135</v>
      </c>
      <c r="T601" t="s">
        <v>82</v>
      </c>
      <c r="U601" t="s">
        <v>271</v>
      </c>
    </row>
    <row r="602" spans="13:21" x14ac:dyDescent="0.3">
      <c r="M602" t="s">
        <v>347</v>
      </c>
      <c r="N602" t="s">
        <v>41</v>
      </c>
      <c r="O602" s="132">
        <v>193</v>
      </c>
      <c r="P602">
        <v>2024</v>
      </c>
      <c r="R602" t="s">
        <v>528</v>
      </c>
      <c r="S602" t="s">
        <v>135</v>
      </c>
      <c r="T602" t="s">
        <v>32</v>
      </c>
      <c r="U602" t="s">
        <v>271</v>
      </c>
    </row>
    <row r="603" spans="13:21" x14ac:dyDescent="0.3">
      <c r="M603" t="s">
        <v>168</v>
      </c>
      <c r="N603" t="s">
        <v>24</v>
      </c>
      <c r="O603" s="132">
        <v>513</v>
      </c>
      <c r="P603">
        <v>2024</v>
      </c>
      <c r="R603" t="s">
        <v>528</v>
      </c>
      <c r="S603" t="s">
        <v>135</v>
      </c>
      <c r="T603" t="s">
        <v>47</v>
      </c>
      <c r="U603" t="s">
        <v>271</v>
      </c>
    </row>
    <row r="604" spans="13:21" x14ac:dyDescent="0.3">
      <c r="M604" t="s">
        <v>168</v>
      </c>
      <c r="N604" t="s">
        <v>31</v>
      </c>
      <c r="O604" s="132">
        <v>1779</v>
      </c>
      <c r="P604">
        <v>2024</v>
      </c>
      <c r="R604" t="s">
        <v>528</v>
      </c>
      <c r="S604" t="s">
        <v>135</v>
      </c>
      <c r="T604" t="s">
        <v>42</v>
      </c>
      <c r="U604" t="s">
        <v>103</v>
      </c>
    </row>
    <row r="605" spans="13:21" x14ac:dyDescent="0.3">
      <c r="M605" t="s">
        <v>168</v>
      </c>
      <c r="N605" t="s">
        <v>33</v>
      </c>
      <c r="O605" s="132">
        <v>6146</v>
      </c>
      <c r="P605">
        <v>2024</v>
      </c>
      <c r="R605" t="s">
        <v>529</v>
      </c>
      <c r="S605" t="s">
        <v>248</v>
      </c>
      <c r="T605" t="s">
        <v>26</v>
      </c>
      <c r="U605" t="s">
        <v>131</v>
      </c>
    </row>
    <row r="606" spans="13:21" x14ac:dyDescent="0.3">
      <c r="M606" t="s">
        <v>168</v>
      </c>
      <c r="N606" t="s">
        <v>41</v>
      </c>
      <c r="O606" s="132">
        <v>376423</v>
      </c>
      <c r="P606">
        <v>2024</v>
      </c>
      <c r="R606" t="s">
        <v>529</v>
      </c>
      <c r="S606" t="s">
        <v>248</v>
      </c>
      <c r="T606" t="s">
        <v>37</v>
      </c>
      <c r="U606" t="s">
        <v>112</v>
      </c>
    </row>
    <row r="607" spans="13:21" x14ac:dyDescent="0.3">
      <c r="M607" t="s">
        <v>194</v>
      </c>
      <c r="N607" t="s">
        <v>24</v>
      </c>
      <c r="O607" s="132">
        <v>51</v>
      </c>
      <c r="P607">
        <v>2024</v>
      </c>
      <c r="R607" t="s">
        <v>529</v>
      </c>
      <c r="S607" t="s">
        <v>248</v>
      </c>
      <c r="T607" t="s">
        <v>26</v>
      </c>
      <c r="U607" t="s">
        <v>112</v>
      </c>
    </row>
    <row r="608" spans="13:21" x14ac:dyDescent="0.3">
      <c r="M608" t="s">
        <v>194</v>
      </c>
      <c r="N608" t="s">
        <v>31</v>
      </c>
      <c r="O608" s="132">
        <v>51</v>
      </c>
      <c r="P608">
        <v>2024</v>
      </c>
      <c r="R608" t="s">
        <v>529</v>
      </c>
      <c r="S608" t="s">
        <v>248</v>
      </c>
      <c r="T608" t="s">
        <v>42</v>
      </c>
      <c r="U608" t="s">
        <v>112</v>
      </c>
    </row>
    <row r="609" spans="13:21" x14ac:dyDescent="0.3">
      <c r="M609" t="s">
        <v>194</v>
      </c>
      <c r="N609" t="s">
        <v>33</v>
      </c>
      <c r="O609" s="132">
        <v>227</v>
      </c>
      <c r="P609">
        <v>2024</v>
      </c>
      <c r="R609" t="s">
        <v>477</v>
      </c>
      <c r="S609" t="s">
        <v>309</v>
      </c>
      <c r="T609" t="s">
        <v>82</v>
      </c>
      <c r="U609" t="s">
        <v>175</v>
      </c>
    </row>
    <row r="610" spans="13:21" x14ac:dyDescent="0.3">
      <c r="M610" t="s">
        <v>194</v>
      </c>
      <c r="N610" t="s">
        <v>41</v>
      </c>
      <c r="O610" s="132">
        <v>16687</v>
      </c>
      <c r="P610">
        <v>2024</v>
      </c>
      <c r="R610" t="s">
        <v>530</v>
      </c>
      <c r="S610" t="s">
        <v>407</v>
      </c>
      <c r="T610" t="s">
        <v>47</v>
      </c>
      <c r="U610" t="s">
        <v>271</v>
      </c>
    </row>
    <row r="611" spans="13:21" x14ac:dyDescent="0.3">
      <c r="M611" t="s">
        <v>51</v>
      </c>
      <c r="N611" t="s">
        <v>24</v>
      </c>
      <c r="O611" s="132">
        <v>5</v>
      </c>
      <c r="P611">
        <v>2024</v>
      </c>
      <c r="R611" t="s">
        <v>530</v>
      </c>
      <c r="S611" t="s">
        <v>407</v>
      </c>
      <c r="T611" t="s">
        <v>42</v>
      </c>
      <c r="U611" t="s">
        <v>271</v>
      </c>
    </row>
    <row r="612" spans="13:21" x14ac:dyDescent="0.3">
      <c r="M612" t="s">
        <v>51</v>
      </c>
      <c r="N612" t="s">
        <v>31</v>
      </c>
      <c r="O612" s="132">
        <v>444</v>
      </c>
      <c r="P612">
        <v>2024</v>
      </c>
      <c r="R612" t="s">
        <v>530</v>
      </c>
      <c r="S612" t="s">
        <v>407</v>
      </c>
      <c r="T612" t="s">
        <v>82</v>
      </c>
      <c r="U612" t="s">
        <v>243</v>
      </c>
    </row>
    <row r="613" spans="13:21" x14ac:dyDescent="0.3">
      <c r="M613" t="s">
        <v>51</v>
      </c>
      <c r="N613" t="s">
        <v>33</v>
      </c>
      <c r="O613" s="132">
        <v>4084</v>
      </c>
      <c r="P613">
        <v>2024</v>
      </c>
      <c r="R613" t="s">
        <v>530</v>
      </c>
      <c r="S613" t="s">
        <v>407</v>
      </c>
      <c r="T613" t="s">
        <v>47</v>
      </c>
      <c r="U613" t="s">
        <v>243</v>
      </c>
    </row>
    <row r="614" spans="13:21" x14ac:dyDescent="0.3">
      <c r="M614" t="s">
        <v>51</v>
      </c>
      <c r="N614" t="s">
        <v>41</v>
      </c>
      <c r="O614" s="132">
        <v>10279</v>
      </c>
      <c r="P614">
        <v>2024</v>
      </c>
      <c r="R614" t="s">
        <v>530</v>
      </c>
      <c r="S614" t="s">
        <v>407</v>
      </c>
      <c r="T614" t="s">
        <v>26</v>
      </c>
      <c r="U614" t="s">
        <v>243</v>
      </c>
    </row>
    <row r="615" spans="13:21" x14ac:dyDescent="0.3">
      <c r="M615" t="s">
        <v>266</v>
      </c>
      <c r="N615" t="s">
        <v>24</v>
      </c>
      <c r="O615" s="132">
        <v>232</v>
      </c>
      <c r="P615">
        <v>2024</v>
      </c>
      <c r="R615" t="s">
        <v>530</v>
      </c>
      <c r="S615" t="s">
        <v>407</v>
      </c>
      <c r="T615" t="s">
        <v>37</v>
      </c>
      <c r="U615" t="s">
        <v>243</v>
      </c>
    </row>
    <row r="616" spans="13:21" x14ac:dyDescent="0.3">
      <c r="M616" t="s">
        <v>266</v>
      </c>
      <c r="N616" t="s">
        <v>31</v>
      </c>
      <c r="O616" s="132">
        <v>232</v>
      </c>
      <c r="P616">
        <v>2024</v>
      </c>
      <c r="R616" t="s">
        <v>530</v>
      </c>
      <c r="S616" t="s">
        <v>407</v>
      </c>
      <c r="T616" t="s">
        <v>32</v>
      </c>
      <c r="U616" t="s">
        <v>243</v>
      </c>
    </row>
    <row r="617" spans="13:21" x14ac:dyDescent="0.3">
      <c r="M617" t="s">
        <v>266</v>
      </c>
      <c r="N617" t="s">
        <v>33</v>
      </c>
      <c r="O617" s="132">
        <v>17935</v>
      </c>
      <c r="P617">
        <v>2024</v>
      </c>
      <c r="R617" t="s">
        <v>530</v>
      </c>
      <c r="S617" t="s">
        <v>407</v>
      </c>
      <c r="T617" t="s">
        <v>42</v>
      </c>
      <c r="U617" t="s">
        <v>243</v>
      </c>
    </row>
    <row r="618" spans="13:21" x14ac:dyDescent="0.3">
      <c r="M618" t="s">
        <v>266</v>
      </c>
      <c r="N618" t="s">
        <v>41</v>
      </c>
      <c r="O618" s="132">
        <v>279505</v>
      </c>
      <c r="P618">
        <v>2024</v>
      </c>
      <c r="R618" t="s">
        <v>530</v>
      </c>
      <c r="S618" t="s">
        <v>407</v>
      </c>
      <c r="T618" t="s">
        <v>82</v>
      </c>
      <c r="U618" t="s">
        <v>149</v>
      </c>
    </row>
    <row r="619" spans="13:21" x14ac:dyDescent="0.3">
      <c r="M619" t="s">
        <v>203</v>
      </c>
      <c r="N619" t="s">
        <v>24</v>
      </c>
      <c r="O619" s="132">
        <v>16</v>
      </c>
      <c r="P619">
        <v>2024</v>
      </c>
      <c r="R619" t="s">
        <v>530</v>
      </c>
      <c r="S619" t="s">
        <v>407</v>
      </c>
      <c r="T619" t="s">
        <v>32</v>
      </c>
      <c r="U619" t="s">
        <v>149</v>
      </c>
    </row>
    <row r="620" spans="13:21" x14ac:dyDescent="0.3">
      <c r="M620" t="s">
        <v>203</v>
      </c>
      <c r="N620" t="s">
        <v>31</v>
      </c>
      <c r="O620" s="132">
        <v>16</v>
      </c>
      <c r="P620">
        <v>2024</v>
      </c>
      <c r="R620" t="s">
        <v>530</v>
      </c>
      <c r="S620" t="s">
        <v>407</v>
      </c>
      <c r="T620" t="s">
        <v>47</v>
      </c>
      <c r="U620" t="s">
        <v>149</v>
      </c>
    </row>
    <row r="621" spans="13:21" x14ac:dyDescent="0.3">
      <c r="M621" t="s">
        <v>203</v>
      </c>
      <c r="N621" t="s">
        <v>33</v>
      </c>
      <c r="O621" s="132">
        <v>52</v>
      </c>
      <c r="P621">
        <v>2024</v>
      </c>
      <c r="R621" t="s">
        <v>530</v>
      </c>
      <c r="S621" t="s">
        <v>407</v>
      </c>
      <c r="T621" t="s">
        <v>26</v>
      </c>
      <c r="U621" t="s">
        <v>149</v>
      </c>
    </row>
    <row r="622" spans="13:21" x14ac:dyDescent="0.3">
      <c r="M622" t="s">
        <v>203</v>
      </c>
      <c r="N622" t="s">
        <v>41</v>
      </c>
      <c r="O622" s="132">
        <v>350</v>
      </c>
      <c r="P622">
        <v>2024</v>
      </c>
      <c r="R622" t="s">
        <v>530</v>
      </c>
      <c r="S622" t="s">
        <v>407</v>
      </c>
      <c r="T622" t="s">
        <v>42</v>
      </c>
      <c r="U622" t="s">
        <v>149</v>
      </c>
    </row>
    <row r="623" spans="13:21" x14ac:dyDescent="0.3">
      <c r="M623" t="s">
        <v>444</v>
      </c>
      <c r="N623" t="s">
        <v>24</v>
      </c>
      <c r="O623" s="132">
        <v>15</v>
      </c>
      <c r="P623">
        <v>2024</v>
      </c>
      <c r="R623" t="s">
        <v>478</v>
      </c>
      <c r="S623" t="s">
        <v>311</v>
      </c>
      <c r="T623" t="s">
        <v>37</v>
      </c>
      <c r="U623" t="s">
        <v>273</v>
      </c>
    </row>
    <row r="624" spans="13:21" x14ac:dyDescent="0.3">
      <c r="M624" t="s">
        <v>444</v>
      </c>
      <c r="N624" t="s">
        <v>31</v>
      </c>
      <c r="O624" s="132">
        <v>212</v>
      </c>
      <c r="P624">
        <v>2024</v>
      </c>
      <c r="R624" t="s">
        <v>478</v>
      </c>
      <c r="S624" t="s">
        <v>311</v>
      </c>
      <c r="T624" t="s">
        <v>82</v>
      </c>
      <c r="U624" t="s">
        <v>273</v>
      </c>
    </row>
    <row r="625" spans="13:21" x14ac:dyDescent="0.3">
      <c r="M625" t="s">
        <v>444</v>
      </c>
      <c r="N625" t="s">
        <v>33</v>
      </c>
      <c r="O625" s="132">
        <v>645</v>
      </c>
      <c r="P625">
        <v>2024</v>
      </c>
      <c r="R625" t="s">
        <v>478</v>
      </c>
      <c r="S625" t="s">
        <v>311</v>
      </c>
      <c r="T625" t="s">
        <v>32</v>
      </c>
      <c r="U625" t="s">
        <v>273</v>
      </c>
    </row>
    <row r="626" spans="13:21" x14ac:dyDescent="0.3">
      <c r="M626" t="s">
        <v>444</v>
      </c>
      <c r="N626" t="s">
        <v>41</v>
      </c>
      <c r="O626" s="132">
        <v>45230</v>
      </c>
      <c r="P626">
        <v>2024</v>
      </c>
      <c r="R626" t="s">
        <v>478</v>
      </c>
      <c r="S626" t="s">
        <v>311</v>
      </c>
      <c r="T626" t="s">
        <v>47</v>
      </c>
      <c r="U626" t="s">
        <v>273</v>
      </c>
    </row>
    <row r="627" spans="13:21" x14ac:dyDescent="0.3">
      <c r="M627" t="s">
        <v>349</v>
      </c>
      <c r="N627" t="s">
        <v>24</v>
      </c>
      <c r="O627" s="132">
        <v>6</v>
      </c>
      <c r="P627">
        <v>2024</v>
      </c>
      <c r="R627" t="s">
        <v>478</v>
      </c>
      <c r="S627" t="s">
        <v>311</v>
      </c>
      <c r="T627" t="s">
        <v>42</v>
      </c>
      <c r="U627" t="s">
        <v>273</v>
      </c>
    </row>
    <row r="628" spans="13:21" x14ac:dyDescent="0.3">
      <c r="M628" t="s">
        <v>349</v>
      </c>
      <c r="N628" t="s">
        <v>31</v>
      </c>
      <c r="O628" s="132">
        <v>9</v>
      </c>
      <c r="P628">
        <v>2024</v>
      </c>
      <c r="R628" t="s">
        <v>478</v>
      </c>
      <c r="S628" t="s">
        <v>311</v>
      </c>
      <c r="T628" t="s">
        <v>42</v>
      </c>
      <c r="U628" t="s">
        <v>235</v>
      </c>
    </row>
    <row r="629" spans="13:21" x14ac:dyDescent="0.3">
      <c r="M629" t="s">
        <v>349</v>
      </c>
      <c r="N629" t="s">
        <v>33</v>
      </c>
      <c r="O629" s="132">
        <v>38</v>
      </c>
      <c r="P629">
        <v>2024</v>
      </c>
      <c r="R629" t="s">
        <v>478</v>
      </c>
      <c r="S629" t="s">
        <v>311</v>
      </c>
      <c r="T629" t="s">
        <v>37</v>
      </c>
      <c r="U629" t="s">
        <v>235</v>
      </c>
    </row>
    <row r="630" spans="13:21" x14ac:dyDescent="0.3">
      <c r="M630" t="s">
        <v>349</v>
      </c>
      <c r="N630" t="s">
        <v>41</v>
      </c>
      <c r="O630" s="132">
        <v>500</v>
      </c>
      <c r="P630">
        <v>2024</v>
      </c>
      <c r="R630" t="s">
        <v>478</v>
      </c>
      <c r="S630" t="s">
        <v>311</v>
      </c>
      <c r="T630" t="s">
        <v>47</v>
      </c>
      <c r="U630" t="s">
        <v>235</v>
      </c>
    </row>
    <row r="631" spans="13:21" x14ac:dyDescent="0.3">
      <c r="M631" t="s">
        <v>207</v>
      </c>
      <c r="N631" t="s">
        <v>24</v>
      </c>
      <c r="O631" s="132">
        <v>41</v>
      </c>
      <c r="P631">
        <v>2024</v>
      </c>
      <c r="R631" t="s">
        <v>478</v>
      </c>
      <c r="S631" t="s">
        <v>311</v>
      </c>
      <c r="T631" t="s">
        <v>32</v>
      </c>
      <c r="U631" t="s">
        <v>63</v>
      </c>
    </row>
    <row r="632" spans="13:21" x14ac:dyDescent="0.3">
      <c r="M632" t="s">
        <v>207</v>
      </c>
      <c r="N632" t="s">
        <v>31</v>
      </c>
      <c r="O632" s="132">
        <v>41</v>
      </c>
      <c r="P632">
        <v>2024</v>
      </c>
      <c r="R632" t="s">
        <v>478</v>
      </c>
      <c r="S632" t="s">
        <v>311</v>
      </c>
      <c r="T632" t="s">
        <v>47</v>
      </c>
      <c r="U632" t="s">
        <v>282</v>
      </c>
    </row>
    <row r="633" spans="13:21" x14ac:dyDescent="0.3">
      <c r="M633" t="s">
        <v>207</v>
      </c>
      <c r="N633" t="s">
        <v>33</v>
      </c>
      <c r="O633" s="132">
        <v>677</v>
      </c>
      <c r="P633">
        <v>2024</v>
      </c>
      <c r="R633" t="s">
        <v>478</v>
      </c>
      <c r="S633" t="s">
        <v>311</v>
      </c>
      <c r="T633" t="s">
        <v>42</v>
      </c>
      <c r="U633" t="s">
        <v>343</v>
      </c>
    </row>
    <row r="634" spans="13:21" x14ac:dyDescent="0.3">
      <c r="M634" t="s">
        <v>207</v>
      </c>
      <c r="N634" t="s">
        <v>41</v>
      </c>
      <c r="O634" s="132">
        <v>3322</v>
      </c>
      <c r="P634">
        <v>2024</v>
      </c>
      <c r="R634" t="s">
        <v>478</v>
      </c>
      <c r="S634" t="s">
        <v>311</v>
      </c>
      <c r="T634" t="s">
        <v>32</v>
      </c>
      <c r="U634" t="s">
        <v>299</v>
      </c>
    </row>
    <row r="635" spans="13:21" x14ac:dyDescent="0.3">
      <c r="M635" t="s">
        <v>351</v>
      </c>
      <c r="N635" t="s">
        <v>24</v>
      </c>
      <c r="O635" s="132">
        <v>63</v>
      </c>
      <c r="P635">
        <v>2024</v>
      </c>
      <c r="R635" t="s">
        <v>531</v>
      </c>
      <c r="S635" t="s">
        <v>213</v>
      </c>
      <c r="T635" t="s">
        <v>32</v>
      </c>
      <c r="U635" t="s">
        <v>95</v>
      </c>
    </row>
    <row r="636" spans="13:21" x14ac:dyDescent="0.3">
      <c r="M636" t="s">
        <v>351</v>
      </c>
      <c r="N636" t="s">
        <v>31</v>
      </c>
      <c r="O636" s="132">
        <v>13061</v>
      </c>
      <c r="P636">
        <v>2024</v>
      </c>
      <c r="R636" t="s">
        <v>531</v>
      </c>
      <c r="S636" t="s">
        <v>213</v>
      </c>
      <c r="T636" t="s">
        <v>47</v>
      </c>
      <c r="U636" t="s">
        <v>95</v>
      </c>
    </row>
    <row r="637" spans="13:21" x14ac:dyDescent="0.3">
      <c r="M637" t="s">
        <v>351</v>
      </c>
      <c r="N637" t="s">
        <v>33</v>
      </c>
      <c r="O637" s="132">
        <v>14960</v>
      </c>
      <c r="P637">
        <v>2024</v>
      </c>
      <c r="R637" t="s">
        <v>531</v>
      </c>
      <c r="S637" t="s">
        <v>213</v>
      </c>
      <c r="T637" t="s">
        <v>42</v>
      </c>
      <c r="U637" t="s">
        <v>95</v>
      </c>
    </row>
    <row r="638" spans="13:21" x14ac:dyDescent="0.3">
      <c r="M638" t="s">
        <v>351</v>
      </c>
      <c r="N638" t="s">
        <v>41</v>
      </c>
      <c r="O638" s="132">
        <v>198657</v>
      </c>
      <c r="P638">
        <v>2024</v>
      </c>
      <c r="R638" t="s">
        <v>531</v>
      </c>
      <c r="S638" t="s">
        <v>213</v>
      </c>
      <c r="T638" t="s">
        <v>42</v>
      </c>
      <c r="U638" t="s">
        <v>103</v>
      </c>
    </row>
    <row r="639" spans="13:21" x14ac:dyDescent="0.3">
      <c r="M639" t="s">
        <v>470</v>
      </c>
      <c r="N639" t="s">
        <v>24</v>
      </c>
      <c r="O639" s="132">
        <v>22</v>
      </c>
      <c r="P639">
        <v>2024</v>
      </c>
      <c r="R639" t="s">
        <v>531</v>
      </c>
      <c r="S639" t="s">
        <v>213</v>
      </c>
      <c r="T639" t="s">
        <v>37</v>
      </c>
      <c r="U639" t="s">
        <v>103</v>
      </c>
    </row>
    <row r="640" spans="13:21" x14ac:dyDescent="0.3">
      <c r="M640" t="s">
        <v>470</v>
      </c>
      <c r="N640" t="s">
        <v>31</v>
      </c>
      <c r="O640" s="132">
        <v>32</v>
      </c>
      <c r="P640">
        <v>2024</v>
      </c>
      <c r="R640" t="s">
        <v>531</v>
      </c>
      <c r="S640" t="s">
        <v>213</v>
      </c>
      <c r="T640" t="s">
        <v>26</v>
      </c>
      <c r="U640" t="s">
        <v>149</v>
      </c>
    </row>
    <row r="641" spans="13:21" x14ac:dyDescent="0.3">
      <c r="M641" t="s">
        <v>470</v>
      </c>
      <c r="N641" t="s">
        <v>33</v>
      </c>
      <c r="O641" s="132">
        <v>718</v>
      </c>
      <c r="P641">
        <v>2024</v>
      </c>
      <c r="R641" t="s">
        <v>479</v>
      </c>
      <c r="S641" t="s">
        <v>209</v>
      </c>
      <c r="T641" t="s">
        <v>42</v>
      </c>
      <c r="U641" t="s">
        <v>197</v>
      </c>
    </row>
    <row r="642" spans="13:21" x14ac:dyDescent="0.3">
      <c r="M642" t="s">
        <v>470</v>
      </c>
      <c r="N642" t="s">
        <v>41</v>
      </c>
      <c r="O642" s="132">
        <v>6754</v>
      </c>
      <c r="P642">
        <v>2024</v>
      </c>
      <c r="R642" t="s">
        <v>479</v>
      </c>
      <c r="S642" t="s">
        <v>209</v>
      </c>
      <c r="T642" t="s">
        <v>32</v>
      </c>
      <c r="U642" t="s">
        <v>271</v>
      </c>
    </row>
    <row r="643" spans="13:21" x14ac:dyDescent="0.3">
      <c r="M643" t="s">
        <v>198</v>
      </c>
      <c r="N643" t="s">
        <v>24</v>
      </c>
      <c r="O643" s="132">
        <v>60</v>
      </c>
      <c r="P643">
        <v>2024</v>
      </c>
      <c r="R643" t="s">
        <v>479</v>
      </c>
      <c r="S643" t="s">
        <v>209</v>
      </c>
      <c r="T643" t="s">
        <v>42</v>
      </c>
      <c r="U643" t="s">
        <v>271</v>
      </c>
    </row>
    <row r="644" spans="13:21" x14ac:dyDescent="0.3">
      <c r="M644" t="s">
        <v>198</v>
      </c>
      <c r="N644" t="s">
        <v>31</v>
      </c>
      <c r="O644" s="132">
        <v>61</v>
      </c>
      <c r="P644">
        <v>2024</v>
      </c>
      <c r="R644" t="s">
        <v>479</v>
      </c>
      <c r="S644" t="s">
        <v>209</v>
      </c>
      <c r="T644" t="s">
        <v>47</v>
      </c>
      <c r="U644" t="s">
        <v>271</v>
      </c>
    </row>
    <row r="645" spans="13:21" x14ac:dyDescent="0.3">
      <c r="M645" t="s">
        <v>198</v>
      </c>
      <c r="N645" t="s">
        <v>33</v>
      </c>
      <c r="O645" s="132">
        <v>114</v>
      </c>
      <c r="P645">
        <v>2024</v>
      </c>
      <c r="R645" t="s">
        <v>479</v>
      </c>
      <c r="S645" t="s">
        <v>209</v>
      </c>
      <c r="T645" t="s">
        <v>47</v>
      </c>
      <c r="U645" t="s">
        <v>131</v>
      </c>
    </row>
    <row r="646" spans="13:21" x14ac:dyDescent="0.3">
      <c r="M646" t="s">
        <v>198</v>
      </c>
      <c r="N646" t="s">
        <v>41</v>
      </c>
      <c r="O646" s="132">
        <v>8081</v>
      </c>
      <c r="P646">
        <v>2024</v>
      </c>
      <c r="R646" t="s">
        <v>479</v>
      </c>
      <c r="S646" t="s">
        <v>209</v>
      </c>
      <c r="T646" t="s">
        <v>42</v>
      </c>
      <c r="U646" t="s">
        <v>131</v>
      </c>
    </row>
    <row r="647" spans="13:21" x14ac:dyDescent="0.3">
      <c r="M647" t="s">
        <v>201</v>
      </c>
      <c r="N647" t="s">
        <v>24</v>
      </c>
      <c r="O647" s="132">
        <v>8</v>
      </c>
      <c r="P647">
        <v>2024</v>
      </c>
      <c r="R647" t="s">
        <v>479</v>
      </c>
      <c r="S647" t="s">
        <v>209</v>
      </c>
      <c r="T647" t="s">
        <v>32</v>
      </c>
      <c r="U647" t="s">
        <v>63</v>
      </c>
    </row>
    <row r="648" spans="13:21" x14ac:dyDescent="0.3">
      <c r="M648" t="s">
        <v>201</v>
      </c>
      <c r="N648" t="s">
        <v>31</v>
      </c>
      <c r="O648" s="132">
        <v>245</v>
      </c>
      <c r="P648">
        <v>2024</v>
      </c>
      <c r="R648" t="s">
        <v>480</v>
      </c>
      <c r="S648" t="s">
        <v>138</v>
      </c>
      <c r="T648" t="s">
        <v>47</v>
      </c>
      <c r="U648" t="s">
        <v>268</v>
      </c>
    </row>
    <row r="649" spans="13:21" x14ac:dyDescent="0.3">
      <c r="M649" t="s">
        <v>201</v>
      </c>
      <c r="N649" t="s">
        <v>33</v>
      </c>
      <c r="O649" s="132">
        <v>168</v>
      </c>
      <c r="P649">
        <v>2024</v>
      </c>
      <c r="R649" t="s">
        <v>480</v>
      </c>
      <c r="S649" t="s">
        <v>138</v>
      </c>
      <c r="T649" t="s">
        <v>32</v>
      </c>
      <c r="U649" t="s">
        <v>268</v>
      </c>
    </row>
    <row r="650" spans="13:21" x14ac:dyDescent="0.3">
      <c r="M650" t="s">
        <v>201</v>
      </c>
      <c r="N650" t="s">
        <v>41</v>
      </c>
      <c r="O650" s="132">
        <v>2625</v>
      </c>
      <c r="P650">
        <v>2024</v>
      </c>
      <c r="R650" t="s">
        <v>480</v>
      </c>
      <c r="S650" t="s">
        <v>138</v>
      </c>
      <c r="T650" t="s">
        <v>82</v>
      </c>
      <c r="U650" t="s">
        <v>268</v>
      </c>
    </row>
    <row r="651" spans="13:21" x14ac:dyDescent="0.3">
      <c r="R651" t="s">
        <v>480</v>
      </c>
      <c r="S651" t="s">
        <v>138</v>
      </c>
      <c r="T651" t="s">
        <v>82</v>
      </c>
      <c r="U651" t="s">
        <v>131</v>
      </c>
    </row>
    <row r="652" spans="13:21" x14ac:dyDescent="0.3">
      <c r="R652" t="s">
        <v>480</v>
      </c>
      <c r="S652" t="s">
        <v>138</v>
      </c>
      <c r="T652" t="s">
        <v>42</v>
      </c>
      <c r="U652" t="s">
        <v>131</v>
      </c>
    </row>
    <row r="653" spans="13:21" x14ac:dyDescent="0.3">
      <c r="R653" t="s">
        <v>480</v>
      </c>
      <c r="S653" t="s">
        <v>138</v>
      </c>
      <c r="T653" t="s">
        <v>47</v>
      </c>
      <c r="U653" t="s">
        <v>131</v>
      </c>
    </row>
    <row r="654" spans="13:21" x14ac:dyDescent="0.3">
      <c r="R654" t="s">
        <v>480</v>
      </c>
      <c r="S654" t="s">
        <v>138</v>
      </c>
      <c r="T654" t="s">
        <v>32</v>
      </c>
      <c r="U654" t="s">
        <v>131</v>
      </c>
    </row>
    <row r="655" spans="13:21" x14ac:dyDescent="0.3">
      <c r="R655" t="s">
        <v>480</v>
      </c>
      <c r="S655" t="s">
        <v>138</v>
      </c>
      <c r="T655" t="s">
        <v>42</v>
      </c>
      <c r="U655" t="s">
        <v>103</v>
      </c>
    </row>
    <row r="656" spans="13:21" x14ac:dyDescent="0.3">
      <c r="R656" t="s">
        <v>480</v>
      </c>
      <c r="S656" t="s">
        <v>138</v>
      </c>
      <c r="T656" t="s">
        <v>32</v>
      </c>
      <c r="U656" t="s">
        <v>112</v>
      </c>
    </row>
    <row r="657" spans="18:21" x14ac:dyDescent="0.3">
      <c r="R657" t="s">
        <v>480</v>
      </c>
      <c r="S657" t="s">
        <v>138</v>
      </c>
      <c r="T657" t="s">
        <v>47</v>
      </c>
      <c r="U657" t="s">
        <v>112</v>
      </c>
    </row>
    <row r="658" spans="18:21" x14ac:dyDescent="0.3">
      <c r="R658" t="s">
        <v>480</v>
      </c>
      <c r="S658" t="s">
        <v>138</v>
      </c>
      <c r="T658" t="s">
        <v>37</v>
      </c>
      <c r="U658" t="s">
        <v>112</v>
      </c>
    </row>
    <row r="659" spans="18:21" x14ac:dyDescent="0.3">
      <c r="R659" t="s">
        <v>480</v>
      </c>
      <c r="S659" t="s">
        <v>138</v>
      </c>
      <c r="T659" t="s">
        <v>32</v>
      </c>
      <c r="U659" t="s">
        <v>243</v>
      </c>
    </row>
    <row r="660" spans="18:21" x14ac:dyDescent="0.3">
      <c r="R660" t="s">
        <v>480</v>
      </c>
      <c r="S660" t="s">
        <v>138</v>
      </c>
      <c r="T660" t="s">
        <v>82</v>
      </c>
      <c r="U660" t="s">
        <v>243</v>
      </c>
    </row>
    <row r="661" spans="18:21" x14ac:dyDescent="0.3">
      <c r="R661" t="s">
        <v>480</v>
      </c>
      <c r="S661" t="s">
        <v>138</v>
      </c>
      <c r="T661" t="s">
        <v>42</v>
      </c>
      <c r="U661" t="s">
        <v>243</v>
      </c>
    </row>
    <row r="662" spans="18:21" x14ac:dyDescent="0.3">
      <c r="R662" t="s">
        <v>481</v>
      </c>
      <c r="S662" t="s">
        <v>313</v>
      </c>
      <c r="T662" t="s">
        <v>32</v>
      </c>
      <c r="U662" t="s">
        <v>175</v>
      </c>
    </row>
    <row r="663" spans="18:21" x14ac:dyDescent="0.3">
      <c r="R663" t="s">
        <v>481</v>
      </c>
      <c r="S663" t="s">
        <v>313</v>
      </c>
      <c r="T663" t="s">
        <v>42</v>
      </c>
      <c r="U663" t="s">
        <v>273</v>
      </c>
    </row>
    <row r="664" spans="18:21" x14ac:dyDescent="0.3">
      <c r="R664" t="s">
        <v>481</v>
      </c>
      <c r="S664" t="s">
        <v>313</v>
      </c>
      <c r="T664" t="s">
        <v>37</v>
      </c>
      <c r="U664" t="s">
        <v>273</v>
      </c>
    </row>
    <row r="665" spans="18:21" x14ac:dyDescent="0.3">
      <c r="R665" t="s">
        <v>481</v>
      </c>
      <c r="S665" t="s">
        <v>313</v>
      </c>
      <c r="T665" t="s">
        <v>32</v>
      </c>
      <c r="U665" t="s">
        <v>197</v>
      </c>
    </row>
    <row r="666" spans="18:21" x14ac:dyDescent="0.3">
      <c r="R666" t="s">
        <v>481</v>
      </c>
      <c r="S666" t="s">
        <v>313</v>
      </c>
      <c r="T666" t="s">
        <v>32</v>
      </c>
      <c r="U666" t="s">
        <v>280</v>
      </c>
    </row>
    <row r="667" spans="18:21" x14ac:dyDescent="0.3">
      <c r="R667" t="s">
        <v>481</v>
      </c>
      <c r="S667" t="s">
        <v>313</v>
      </c>
      <c r="T667" t="s">
        <v>42</v>
      </c>
      <c r="U667" t="s">
        <v>27</v>
      </c>
    </row>
    <row r="668" spans="18:21" x14ac:dyDescent="0.3">
      <c r="R668" t="s">
        <v>481</v>
      </c>
      <c r="S668" t="s">
        <v>313</v>
      </c>
      <c r="T668" t="s">
        <v>82</v>
      </c>
      <c r="U668" t="s">
        <v>27</v>
      </c>
    </row>
    <row r="669" spans="18:21" x14ac:dyDescent="0.3">
      <c r="R669" t="s">
        <v>481</v>
      </c>
      <c r="S669" t="s">
        <v>313</v>
      </c>
      <c r="T669" t="s">
        <v>26</v>
      </c>
      <c r="U669" t="s">
        <v>27</v>
      </c>
    </row>
    <row r="670" spans="18:21" x14ac:dyDescent="0.3">
      <c r="R670" t="s">
        <v>481</v>
      </c>
      <c r="S670" t="s">
        <v>313</v>
      </c>
      <c r="T670" t="s">
        <v>37</v>
      </c>
      <c r="U670" t="s">
        <v>27</v>
      </c>
    </row>
    <row r="671" spans="18:21" x14ac:dyDescent="0.3">
      <c r="R671" t="s">
        <v>481</v>
      </c>
      <c r="S671" t="s">
        <v>313</v>
      </c>
      <c r="T671" t="s">
        <v>32</v>
      </c>
      <c r="U671" t="s">
        <v>27</v>
      </c>
    </row>
    <row r="672" spans="18:21" x14ac:dyDescent="0.3">
      <c r="R672" t="s">
        <v>481</v>
      </c>
      <c r="S672" t="s">
        <v>313</v>
      </c>
      <c r="T672" t="s">
        <v>47</v>
      </c>
      <c r="U672" t="s">
        <v>27</v>
      </c>
    </row>
    <row r="673" spans="18:21" x14ac:dyDescent="0.3">
      <c r="R673" t="s">
        <v>481</v>
      </c>
      <c r="S673" t="s">
        <v>313</v>
      </c>
      <c r="T673" t="s">
        <v>47</v>
      </c>
      <c r="U673" t="s">
        <v>289</v>
      </c>
    </row>
    <row r="674" spans="18:21" x14ac:dyDescent="0.3">
      <c r="R674" t="s">
        <v>481</v>
      </c>
      <c r="S674" t="s">
        <v>313</v>
      </c>
      <c r="T674" t="s">
        <v>82</v>
      </c>
      <c r="U674" t="s">
        <v>289</v>
      </c>
    </row>
    <row r="675" spans="18:21" x14ac:dyDescent="0.3">
      <c r="R675" t="s">
        <v>481</v>
      </c>
      <c r="S675" t="s">
        <v>313</v>
      </c>
      <c r="T675" t="s">
        <v>26</v>
      </c>
      <c r="U675" t="s">
        <v>289</v>
      </c>
    </row>
    <row r="676" spans="18:21" x14ac:dyDescent="0.3">
      <c r="R676" t="s">
        <v>481</v>
      </c>
      <c r="S676" t="s">
        <v>313</v>
      </c>
      <c r="T676" t="s">
        <v>32</v>
      </c>
      <c r="U676" t="s">
        <v>289</v>
      </c>
    </row>
    <row r="677" spans="18:21" x14ac:dyDescent="0.3">
      <c r="R677" t="s">
        <v>481</v>
      </c>
      <c r="S677" t="s">
        <v>313</v>
      </c>
      <c r="T677" t="s">
        <v>42</v>
      </c>
      <c r="U677" t="s">
        <v>289</v>
      </c>
    </row>
    <row r="678" spans="18:21" x14ac:dyDescent="0.3">
      <c r="R678" t="s">
        <v>481</v>
      </c>
      <c r="S678" t="s">
        <v>313</v>
      </c>
      <c r="T678" t="s">
        <v>37</v>
      </c>
      <c r="U678" t="s">
        <v>289</v>
      </c>
    </row>
    <row r="679" spans="18:21" x14ac:dyDescent="0.3">
      <c r="R679" t="s">
        <v>481</v>
      </c>
      <c r="S679" t="s">
        <v>313</v>
      </c>
      <c r="T679" t="s">
        <v>32</v>
      </c>
      <c r="U679" t="s">
        <v>131</v>
      </c>
    </row>
    <row r="680" spans="18:21" x14ac:dyDescent="0.3">
      <c r="R680" t="s">
        <v>481</v>
      </c>
      <c r="S680" t="s">
        <v>313</v>
      </c>
      <c r="T680" t="s">
        <v>82</v>
      </c>
      <c r="U680" t="s">
        <v>131</v>
      </c>
    </row>
    <row r="681" spans="18:21" x14ac:dyDescent="0.3">
      <c r="R681" t="s">
        <v>481</v>
      </c>
      <c r="S681" t="s">
        <v>313</v>
      </c>
      <c r="T681" t="s">
        <v>26</v>
      </c>
      <c r="U681" t="s">
        <v>131</v>
      </c>
    </row>
    <row r="682" spans="18:21" x14ac:dyDescent="0.3">
      <c r="R682" t="s">
        <v>481</v>
      </c>
      <c r="S682" t="s">
        <v>313</v>
      </c>
      <c r="T682" t="s">
        <v>37</v>
      </c>
      <c r="U682" t="s">
        <v>131</v>
      </c>
    </row>
    <row r="683" spans="18:21" x14ac:dyDescent="0.3">
      <c r="R683" t="s">
        <v>481</v>
      </c>
      <c r="S683" t="s">
        <v>313</v>
      </c>
      <c r="T683" t="s">
        <v>42</v>
      </c>
      <c r="U683" t="s">
        <v>131</v>
      </c>
    </row>
    <row r="684" spans="18:21" x14ac:dyDescent="0.3">
      <c r="R684" t="s">
        <v>481</v>
      </c>
      <c r="S684" t="s">
        <v>313</v>
      </c>
      <c r="T684" t="s">
        <v>37</v>
      </c>
      <c r="U684" t="s">
        <v>103</v>
      </c>
    </row>
    <row r="685" spans="18:21" x14ac:dyDescent="0.3">
      <c r="R685" t="s">
        <v>481</v>
      </c>
      <c r="S685" t="s">
        <v>313</v>
      </c>
      <c r="T685" t="s">
        <v>32</v>
      </c>
      <c r="U685" t="s">
        <v>103</v>
      </c>
    </row>
    <row r="686" spans="18:21" x14ac:dyDescent="0.3">
      <c r="R686" t="s">
        <v>481</v>
      </c>
      <c r="S686" t="s">
        <v>313</v>
      </c>
      <c r="T686" t="s">
        <v>26</v>
      </c>
      <c r="U686" t="s">
        <v>103</v>
      </c>
    </row>
    <row r="687" spans="18:21" x14ac:dyDescent="0.3">
      <c r="R687" t="s">
        <v>481</v>
      </c>
      <c r="S687" t="s">
        <v>313</v>
      </c>
      <c r="T687" t="s">
        <v>47</v>
      </c>
      <c r="U687" t="s">
        <v>235</v>
      </c>
    </row>
    <row r="688" spans="18:21" x14ac:dyDescent="0.3">
      <c r="R688" t="s">
        <v>481</v>
      </c>
      <c r="S688" t="s">
        <v>313</v>
      </c>
      <c r="T688" t="s">
        <v>32</v>
      </c>
      <c r="U688" t="s">
        <v>235</v>
      </c>
    </row>
    <row r="689" spans="18:21" x14ac:dyDescent="0.3">
      <c r="R689" t="s">
        <v>481</v>
      </c>
      <c r="S689" t="s">
        <v>313</v>
      </c>
      <c r="T689" t="s">
        <v>47</v>
      </c>
      <c r="U689" t="s">
        <v>52</v>
      </c>
    </row>
    <row r="690" spans="18:21" x14ac:dyDescent="0.3">
      <c r="R690" t="s">
        <v>481</v>
      </c>
      <c r="S690" t="s">
        <v>313</v>
      </c>
      <c r="T690" t="s">
        <v>26</v>
      </c>
      <c r="U690" t="s">
        <v>52</v>
      </c>
    </row>
    <row r="691" spans="18:21" x14ac:dyDescent="0.3">
      <c r="R691" t="s">
        <v>481</v>
      </c>
      <c r="S691" t="s">
        <v>313</v>
      </c>
      <c r="T691" t="s">
        <v>32</v>
      </c>
      <c r="U691" t="s">
        <v>52</v>
      </c>
    </row>
    <row r="692" spans="18:21" x14ac:dyDescent="0.3">
      <c r="R692" t="s">
        <v>481</v>
      </c>
      <c r="S692" t="s">
        <v>313</v>
      </c>
      <c r="T692" t="s">
        <v>82</v>
      </c>
      <c r="U692" t="s">
        <v>52</v>
      </c>
    </row>
    <row r="693" spans="18:21" x14ac:dyDescent="0.3">
      <c r="R693" t="s">
        <v>481</v>
      </c>
      <c r="S693" t="s">
        <v>313</v>
      </c>
      <c r="T693" t="s">
        <v>37</v>
      </c>
      <c r="U693" t="s">
        <v>52</v>
      </c>
    </row>
    <row r="694" spans="18:21" x14ac:dyDescent="0.3">
      <c r="R694" t="s">
        <v>481</v>
      </c>
      <c r="S694" t="s">
        <v>313</v>
      </c>
      <c r="T694" t="s">
        <v>42</v>
      </c>
      <c r="U694" t="s">
        <v>52</v>
      </c>
    </row>
    <row r="695" spans="18:21" x14ac:dyDescent="0.3">
      <c r="R695" t="s">
        <v>481</v>
      </c>
      <c r="S695" t="s">
        <v>313</v>
      </c>
      <c r="T695" t="s">
        <v>32</v>
      </c>
      <c r="U695" t="s">
        <v>282</v>
      </c>
    </row>
    <row r="696" spans="18:21" x14ac:dyDescent="0.3">
      <c r="R696" t="s">
        <v>481</v>
      </c>
      <c r="S696" t="s">
        <v>313</v>
      </c>
      <c r="T696" t="s">
        <v>47</v>
      </c>
      <c r="U696" t="s">
        <v>282</v>
      </c>
    </row>
    <row r="697" spans="18:21" x14ac:dyDescent="0.3">
      <c r="R697" t="s">
        <v>481</v>
      </c>
      <c r="S697" t="s">
        <v>313</v>
      </c>
      <c r="T697" t="s">
        <v>26</v>
      </c>
      <c r="U697" t="s">
        <v>1645</v>
      </c>
    </row>
    <row r="698" spans="18:21" x14ac:dyDescent="0.3">
      <c r="R698" t="s">
        <v>481</v>
      </c>
      <c r="S698" t="s">
        <v>313</v>
      </c>
      <c r="T698" t="s">
        <v>32</v>
      </c>
      <c r="U698" t="s">
        <v>1645</v>
      </c>
    </row>
    <row r="699" spans="18:21" x14ac:dyDescent="0.3">
      <c r="R699" t="s">
        <v>481</v>
      </c>
      <c r="S699" t="s">
        <v>313</v>
      </c>
      <c r="T699" t="s">
        <v>47</v>
      </c>
      <c r="U699" t="s">
        <v>243</v>
      </c>
    </row>
    <row r="700" spans="18:21" x14ac:dyDescent="0.3">
      <c r="R700" t="s">
        <v>481</v>
      </c>
      <c r="S700" t="s">
        <v>313</v>
      </c>
      <c r="T700" t="s">
        <v>26</v>
      </c>
      <c r="U700" t="s">
        <v>243</v>
      </c>
    </row>
    <row r="701" spans="18:21" x14ac:dyDescent="0.3">
      <c r="R701" t="s">
        <v>481</v>
      </c>
      <c r="S701" t="s">
        <v>313</v>
      </c>
      <c r="T701" t="s">
        <v>32</v>
      </c>
      <c r="U701" t="s">
        <v>243</v>
      </c>
    </row>
    <row r="702" spans="18:21" x14ac:dyDescent="0.3">
      <c r="R702" t="s">
        <v>481</v>
      </c>
      <c r="S702" t="s">
        <v>313</v>
      </c>
      <c r="T702" t="s">
        <v>82</v>
      </c>
      <c r="U702" t="s">
        <v>243</v>
      </c>
    </row>
    <row r="703" spans="18:21" x14ac:dyDescent="0.3">
      <c r="R703" t="s">
        <v>481</v>
      </c>
      <c r="S703" t="s">
        <v>313</v>
      </c>
      <c r="T703" t="s">
        <v>42</v>
      </c>
      <c r="U703" t="s">
        <v>243</v>
      </c>
    </row>
    <row r="704" spans="18:21" x14ac:dyDescent="0.3">
      <c r="R704" t="s">
        <v>481</v>
      </c>
      <c r="S704" t="s">
        <v>313</v>
      </c>
      <c r="T704" t="s">
        <v>37</v>
      </c>
      <c r="U704" t="s">
        <v>243</v>
      </c>
    </row>
    <row r="705" spans="18:21" x14ac:dyDescent="0.3">
      <c r="R705" t="s">
        <v>481</v>
      </c>
      <c r="S705" t="s">
        <v>313</v>
      </c>
      <c r="T705" t="s">
        <v>32</v>
      </c>
      <c r="U705" t="s">
        <v>149</v>
      </c>
    </row>
    <row r="706" spans="18:21" x14ac:dyDescent="0.3">
      <c r="R706" t="s">
        <v>481</v>
      </c>
      <c r="S706" t="s">
        <v>313</v>
      </c>
      <c r="T706" t="s">
        <v>26</v>
      </c>
      <c r="U706" t="s">
        <v>220</v>
      </c>
    </row>
    <row r="707" spans="18:21" x14ac:dyDescent="0.3">
      <c r="R707" t="s">
        <v>481</v>
      </c>
      <c r="S707" t="s">
        <v>313</v>
      </c>
      <c r="T707" t="s">
        <v>32</v>
      </c>
      <c r="U707" t="s">
        <v>220</v>
      </c>
    </row>
    <row r="708" spans="18:21" x14ac:dyDescent="0.3">
      <c r="R708" t="s">
        <v>481</v>
      </c>
      <c r="S708" t="s">
        <v>313</v>
      </c>
      <c r="T708" t="s">
        <v>32</v>
      </c>
      <c r="U708" t="s">
        <v>299</v>
      </c>
    </row>
    <row r="709" spans="18:21" x14ac:dyDescent="0.3">
      <c r="R709" t="s">
        <v>481</v>
      </c>
      <c r="S709" t="s">
        <v>313</v>
      </c>
      <c r="T709" t="s">
        <v>32</v>
      </c>
      <c r="U709" t="s">
        <v>340</v>
      </c>
    </row>
    <row r="710" spans="18:21" x14ac:dyDescent="0.3">
      <c r="R710" t="s">
        <v>481</v>
      </c>
      <c r="S710" t="s">
        <v>313</v>
      </c>
      <c r="T710" t="s">
        <v>32</v>
      </c>
      <c r="U710" t="s">
        <v>352</v>
      </c>
    </row>
    <row r="711" spans="18:21" x14ac:dyDescent="0.3">
      <c r="R711" t="s">
        <v>483</v>
      </c>
      <c r="S711" t="s">
        <v>316</v>
      </c>
      <c r="T711" t="s">
        <v>82</v>
      </c>
      <c r="U711" t="s">
        <v>175</v>
      </c>
    </row>
    <row r="712" spans="18:21" x14ac:dyDescent="0.3">
      <c r="R712" t="s">
        <v>483</v>
      </c>
      <c r="S712" t="s">
        <v>316</v>
      </c>
      <c r="T712" t="s">
        <v>32</v>
      </c>
      <c r="U712" t="s">
        <v>175</v>
      </c>
    </row>
    <row r="713" spans="18:21" x14ac:dyDescent="0.3">
      <c r="R713" t="s">
        <v>483</v>
      </c>
      <c r="S713" t="s">
        <v>316</v>
      </c>
      <c r="T713" t="s">
        <v>47</v>
      </c>
      <c r="U713" t="s">
        <v>197</v>
      </c>
    </row>
    <row r="714" spans="18:21" x14ac:dyDescent="0.3">
      <c r="R714" t="s">
        <v>483</v>
      </c>
      <c r="S714" t="s">
        <v>316</v>
      </c>
      <c r="T714" t="s">
        <v>32</v>
      </c>
      <c r="U714" t="s">
        <v>197</v>
      </c>
    </row>
    <row r="715" spans="18:21" x14ac:dyDescent="0.3">
      <c r="R715" t="s">
        <v>483</v>
      </c>
      <c r="S715" t="s">
        <v>316</v>
      </c>
      <c r="T715" t="s">
        <v>82</v>
      </c>
      <c r="U715" t="s">
        <v>197</v>
      </c>
    </row>
    <row r="716" spans="18:21" x14ac:dyDescent="0.3">
      <c r="R716" t="s">
        <v>483</v>
      </c>
      <c r="S716" t="s">
        <v>316</v>
      </c>
      <c r="T716" t="s">
        <v>37</v>
      </c>
      <c r="U716" t="s">
        <v>197</v>
      </c>
    </row>
    <row r="717" spans="18:21" x14ac:dyDescent="0.3">
      <c r="R717" t="s">
        <v>483</v>
      </c>
      <c r="S717" t="s">
        <v>316</v>
      </c>
      <c r="T717" t="s">
        <v>26</v>
      </c>
      <c r="U717" t="s">
        <v>197</v>
      </c>
    </row>
    <row r="718" spans="18:21" x14ac:dyDescent="0.3">
      <c r="R718" t="s">
        <v>483</v>
      </c>
      <c r="S718" t="s">
        <v>316</v>
      </c>
      <c r="T718" t="s">
        <v>32</v>
      </c>
      <c r="U718" t="s">
        <v>27</v>
      </c>
    </row>
    <row r="719" spans="18:21" x14ac:dyDescent="0.3">
      <c r="R719" t="s">
        <v>483</v>
      </c>
      <c r="S719" t="s">
        <v>316</v>
      </c>
      <c r="T719" t="s">
        <v>47</v>
      </c>
      <c r="U719" t="s">
        <v>27</v>
      </c>
    </row>
    <row r="720" spans="18:21" x14ac:dyDescent="0.3">
      <c r="R720" t="s">
        <v>483</v>
      </c>
      <c r="S720" t="s">
        <v>316</v>
      </c>
      <c r="T720" t="s">
        <v>82</v>
      </c>
      <c r="U720" t="s">
        <v>27</v>
      </c>
    </row>
    <row r="721" spans="18:21" x14ac:dyDescent="0.3">
      <c r="R721" t="s">
        <v>483</v>
      </c>
      <c r="S721" t="s">
        <v>316</v>
      </c>
      <c r="T721" t="s">
        <v>37</v>
      </c>
      <c r="U721" t="s">
        <v>27</v>
      </c>
    </row>
    <row r="722" spans="18:21" x14ac:dyDescent="0.3">
      <c r="R722" t="s">
        <v>483</v>
      </c>
      <c r="S722" t="s">
        <v>316</v>
      </c>
      <c r="T722" t="s">
        <v>82</v>
      </c>
      <c r="U722" t="s">
        <v>289</v>
      </c>
    </row>
    <row r="723" spans="18:21" x14ac:dyDescent="0.3">
      <c r="R723" t="s">
        <v>483</v>
      </c>
      <c r="S723" t="s">
        <v>316</v>
      </c>
      <c r="T723" t="s">
        <v>32</v>
      </c>
      <c r="U723" t="s">
        <v>289</v>
      </c>
    </row>
    <row r="724" spans="18:21" x14ac:dyDescent="0.3">
      <c r="R724" t="s">
        <v>483</v>
      </c>
      <c r="S724" t="s">
        <v>316</v>
      </c>
      <c r="T724" t="s">
        <v>37</v>
      </c>
      <c r="U724" t="s">
        <v>289</v>
      </c>
    </row>
    <row r="725" spans="18:21" x14ac:dyDescent="0.3">
      <c r="R725" t="s">
        <v>483</v>
      </c>
      <c r="S725" t="s">
        <v>316</v>
      </c>
      <c r="T725" t="s">
        <v>47</v>
      </c>
      <c r="U725" t="s">
        <v>388</v>
      </c>
    </row>
    <row r="726" spans="18:21" x14ac:dyDescent="0.3">
      <c r="R726" t="s">
        <v>483</v>
      </c>
      <c r="S726" t="s">
        <v>316</v>
      </c>
      <c r="T726" t="s">
        <v>82</v>
      </c>
      <c r="U726" t="s">
        <v>149</v>
      </c>
    </row>
    <row r="727" spans="18:21" x14ac:dyDescent="0.3">
      <c r="R727" t="s">
        <v>483</v>
      </c>
      <c r="S727" t="s">
        <v>316</v>
      </c>
      <c r="T727" t="s">
        <v>32</v>
      </c>
      <c r="U727" t="s">
        <v>149</v>
      </c>
    </row>
    <row r="728" spans="18:21" x14ac:dyDescent="0.3">
      <c r="R728" t="s">
        <v>483</v>
      </c>
      <c r="S728" t="s">
        <v>316</v>
      </c>
      <c r="T728" t="s">
        <v>47</v>
      </c>
      <c r="U728" t="s">
        <v>149</v>
      </c>
    </row>
    <row r="729" spans="18:21" x14ac:dyDescent="0.3">
      <c r="R729" t="s">
        <v>483</v>
      </c>
      <c r="S729" t="s">
        <v>316</v>
      </c>
      <c r="T729" t="s">
        <v>37</v>
      </c>
      <c r="U729" t="s">
        <v>149</v>
      </c>
    </row>
    <row r="730" spans="18:21" x14ac:dyDescent="0.3">
      <c r="R730" t="s">
        <v>483</v>
      </c>
      <c r="S730" t="s">
        <v>316</v>
      </c>
      <c r="T730" t="s">
        <v>82</v>
      </c>
      <c r="U730" t="s">
        <v>220</v>
      </c>
    </row>
    <row r="731" spans="18:21" x14ac:dyDescent="0.3">
      <c r="R731" t="s">
        <v>483</v>
      </c>
      <c r="S731" t="s">
        <v>316</v>
      </c>
      <c r="T731" t="s">
        <v>47</v>
      </c>
      <c r="U731" t="s">
        <v>220</v>
      </c>
    </row>
    <row r="732" spans="18:21" x14ac:dyDescent="0.3">
      <c r="R732" t="s">
        <v>483</v>
      </c>
      <c r="S732" t="s">
        <v>316</v>
      </c>
      <c r="T732" t="s">
        <v>47</v>
      </c>
      <c r="U732" t="s">
        <v>299</v>
      </c>
    </row>
    <row r="733" spans="18:21" x14ac:dyDescent="0.3">
      <c r="R733" t="s">
        <v>484</v>
      </c>
      <c r="S733" t="s">
        <v>146</v>
      </c>
      <c r="T733" t="s">
        <v>37</v>
      </c>
      <c r="U733" t="s">
        <v>268</v>
      </c>
    </row>
    <row r="734" spans="18:21" x14ac:dyDescent="0.3">
      <c r="R734" t="s">
        <v>484</v>
      </c>
      <c r="S734" t="s">
        <v>146</v>
      </c>
      <c r="T734" t="s">
        <v>47</v>
      </c>
      <c r="U734" t="s">
        <v>268</v>
      </c>
    </row>
    <row r="735" spans="18:21" x14ac:dyDescent="0.3">
      <c r="R735" t="s">
        <v>484</v>
      </c>
      <c r="S735" t="s">
        <v>146</v>
      </c>
      <c r="T735" t="s">
        <v>32</v>
      </c>
      <c r="U735" t="s">
        <v>268</v>
      </c>
    </row>
    <row r="736" spans="18:21" x14ac:dyDescent="0.3">
      <c r="R736" t="s">
        <v>484</v>
      </c>
      <c r="S736" t="s">
        <v>146</v>
      </c>
      <c r="T736" t="s">
        <v>82</v>
      </c>
      <c r="U736" t="s">
        <v>268</v>
      </c>
    </row>
    <row r="737" spans="18:21" x14ac:dyDescent="0.3">
      <c r="R737" t="s">
        <v>484</v>
      </c>
      <c r="S737" t="s">
        <v>146</v>
      </c>
      <c r="T737" t="s">
        <v>82</v>
      </c>
      <c r="U737" t="s">
        <v>197</v>
      </c>
    </row>
    <row r="738" spans="18:21" x14ac:dyDescent="0.3">
      <c r="R738" t="s">
        <v>484</v>
      </c>
      <c r="S738" t="s">
        <v>146</v>
      </c>
      <c r="T738" t="s">
        <v>26</v>
      </c>
      <c r="U738" t="s">
        <v>197</v>
      </c>
    </row>
    <row r="739" spans="18:21" x14ac:dyDescent="0.3">
      <c r="R739" t="s">
        <v>484</v>
      </c>
      <c r="S739" t="s">
        <v>146</v>
      </c>
      <c r="T739" t="s">
        <v>42</v>
      </c>
      <c r="U739" t="s">
        <v>197</v>
      </c>
    </row>
    <row r="740" spans="18:21" x14ac:dyDescent="0.3">
      <c r="R740" t="s">
        <v>484</v>
      </c>
      <c r="S740" t="s">
        <v>146</v>
      </c>
      <c r="T740" t="s">
        <v>26</v>
      </c>
      <c r="U740" t="s">
        <v>27</v>
      </c>
    </row>
    <row r="741" spans="18:21" x14ac:dyDescent="0.3">
      <c r="R741" t="s">
        <v>484</v>
      </c>
      <c r="S741" t="s">
        <v>146</v>
      </c>
      <c r="T741" t="s">
        <v>37</v>
      </c>
      <c r="U741" t="s">
        <v>27</v>
      </c>
    </row>
    <row r="742" spans="18:21" x14ac:dyDescent="0.3">
      <c r="R742" t="s">
        <v>484</v>
      </c>
      <c r="S742" t="s">
        <v>146</v>
      </c>
      <c r="T742" t="s">
        <v>42</v>
      </c>
      <c r="U742" t="s">
        <v>27</v>
      </c>
    </row>
    <row r="743" spans="18:21" x14ac:dyDescent="0.3">
      <c r="R743" t="s">
        <v>484</v>
      </c>
      <c r="S743" t="s">
        <v>146</v>
      </c>
      <c r="T743" t="s">
        <v>32</v>
      </c>
      <c r="U743" t="s">
        <v>27</v>
      </c>
    </row>
    <row r="744" spans="18:21" x14ac:dyDescent="0.3">
      <c r="R744" t="s">
        <v>484</v>
      </c>
      <c r="S744" t="s">
        <v>146</v>
      </c>
      <c r="T744" t="s">
        <v>82</v>
      </c>
      <c r="U744" t="s">
        <v>27</v>
      </c>
    </row>
    <row r="745" spans="18:21" x14ac:dyDescent="0.3">
      <c r="R745" t="s">
        <v>484</v>
      </c>
      <c r="S745" t="s">
        <v>146</v>
      </c>
      <c r="T745" t="s">
        <v>47</v>
      </c>
      <c r="U745" t="s">
        <v>27</v>
      </c>
    </row>
    <row r="746" spans="18:21" x14ac:dyDescent="0.3">
      <c r="R746" t="s">
        <v>484</v>
      </c>
      <c r="S746" t="s">
        <v>146</v>
      </c>
      <c r="T746" t="s">
        <v>47</v>
      </c>
      <c r="U746" t="s">
        <v>289</v>
      </c>
    </row>
    <row r="747" spans="18:21" x14ac:dyDescent="0.3">
      <c r="R747" t="s">
        <v>484</v>
      </c>
      <c r="S747" t="s">
        <v>146</v>
      </c>
      <c r="T747" t="s">
        <v>42</v>
      </c>
      <c r="U747" t="s">
        <v>289</v>
      </c>
    </row>
    <row r="748" spans="18:21" x14ac:dyDescent="0.3">
      <c r="R748" t="s">
        <v>484</v>
      </c>
      <c r="S748" t="s">
        <v>146</v>
      </c>
      <c r="T748" t="s">
        <v>26</v>
      </c>
      <c r="U748" t="s">
        <v>271</v>
      </c>
    </row>
    <row r="749" spans="18:21" x14ac:dyDescent="0.3">
      <c r="R749" t="s">
        <v>484</v>
      </c>
      <c r="S749" t="s">
        <v>146</v>
      </c>
      <c r="T749" t="s">
        <v>82</v>
      </c>
      <c r="U749" t="s">
        <v>271</v>
      </c>
    </row>
    <row r="750" spans="18:21" x14ac:dyDescent="0.3">
      <c r="R750" t="s">
        <v>484</v>
      </c>
      <c r="S750" t="s">
        <v>146</v>
      </c>
      <c r="T750" t="s">
        <v>37</v>
      </c>
      <c r="U750" t="s">
        <v>271</v>
      </c>
    </row>
    <row r="751" spans="18:21" x14ac:dyDescent="0.3">
      <c r="R751" t="s">
        <v>484</v>
      </c>
      <c r="S751" t="s">
        <v>146</v>
      </c>
      <c r="T751" t="s">
        <v>32</v>
      </c>
      <c r="U751" t="s">
        <v>271</v>
      </c>
    </row>
    <row r="752" spans="18:21" x14ac:dyDescent="0.3">
      <c r="R752" t="s">
        <v>484</v>
      </c>
      <c r="S752" t="s">
        <v>146</v>
      </c>
      <c r="T752" t="s">
        <v>47</v>
      </c>
      <c r="U752" t="s">
        <v>271</v>
      </c>
    </row>
    <row r="753" spans="18:21" x14ac:dyDescent="0.3">
      <c r="R753" t="s">
        <v>484</v>
      </c>
      <c r="S753" t="s">
        <v>146</v>
      </c>
      <c r="T753" t="s">
        <v>37</v>
      </c>
      <c r="U753" t="s">
        <v>278</v>
      </c>
    </row>
    <row r="754" spans="18:21" x14ac:dyDescent="0.3">
      <c r="R754" t="s">
        <v>484</v>
      </c>
      <c r="S754" t="s">
        <v>146</v>
      </c>
      <c r="T754" t="s">
        <v>32</v>
      </c>
      <c r="U754" t="s">
        <v>278</v>
      </c>
    </row>
    <row r="755" spans="18:21" x14ac:dyDescent="0.3">
      <c r="R755" t="s">
        <v>484</v>
      </c>
      <c r="S755" t="s">
        <v>146</v>
      </c>
      <c r="T755" t="s">
        <v>26</v>
      </c>
      <c r="U755" t="s">
        <v>278</v>
      </c>
    </row>
    <row r="756" spans="18:21" x14ac:dyDescent="0.3">
      <c r="R756" t="s">
        <v>484</v>
      </c>
      <c r="S756" t="s">
        <v>146</v>
      </c>
      <c r="T756" t="s">
        <v>42</v>
      </c>
      <c r="U756" t="s">
        <v>112</v>
      </c>
    </row>
    <row r="757" spans="18:21" x14ac:dyDescent="0.3">
      <c r="R757" t="s">
        <v>484</v>
      </c>
      <c r="S757" t="s">
        <v>146</v>
      </c>
      <c r="T757" t="s">
        <v>37</v>
      </c>
      <c r="U757" t="s">
        <v>112</v>
      </c>
    </row>
    <row r="758" spans="18:21" x14ac:dyDescent="0.3">
      <c r="R758" t="s">
        <v>484</v>
      </c>
      <c r="S758" t="s">
        <v>146</v>
      </c>
      <c r="T758" t="s">
        <v>47</v>
      </c>
      <c r="U758" t="s">
        <v>112</v>
      </c>
    </row>
    <row r="759" spans="18:21" x14ac:dyDescent="0.3">
      <c r="R759" t="s">
        <v>484</v>
      </c>
      <c r="S759" t="s">
        <v>146</v>
      </c>
      <c r="T759" t="s">
        <v>32</v>
      </c>
      <c r="U759" t="s">
        <v>112</v>
      </c>
    </row>
    <row r="760" spans="18:21" x14ac:dyDescent="0.3">
      <c r="R760" t="s">
        <v>484</v>
      </c>
      <c r="S760" t="s">
        <v>146</v>
      </c>
      <c r="T760" t="s">
        <v>82</v>
      </c>
      <c r="U760" t="s">
        <v>112</v>
      </c>
    </row>
    <row r="761" spans="18:21" x14ac:dyDescent="0.3">
      <c r="R761" t="s">
        <v>484</v>
      </c>
      <c r="S761" t="s">
        <v>146</v>
      </c>
      <c r="T761" t="s">
        <v>26</v>
      </c>
      <c r="U761" t="s">
        <v>112</v>
      </c>
    </row>
    <row r="762" spans="18:21" x14ac:dyDescent="0.3">
      <c r="R762" t="s">
        <v>486</v>
      </c>
      <c r="S762" t="s">
        <v>81</v>
      </c>
      <c r="T762" t="s">
        <v>47</v>
      </c>
      <c r="U762" t="s">
        <v>175</v>
      </c>
    </row>
    <row r="763" spans="18:21" x14ac:dyDescent="0.3">
      <c r="R763" t="s">
        <v>486</v>
      </c>
      <c r="S763" t="s">
        <v>81</v>
      </c>
      <c r="T763" t="s">
        <v>82</v>
      </c>
      <c r="U763" t="s">
        <v>197</v>
      </c>
    </row>
    <row r="764" spans="18:21" x14ac:dyDescent="0.3">
      <c r="R764" t="s">
        <v>486</v>
      </c>
      <c r="S764" t="s">
        <v>81</v>
      </c>
      <c r="T764" t="s">
        <v>42</v>
      </c>
      <c r="U764" t="s">
        <v>197</v>
      </c>
    </row>
    <row r="765" spans="18:21" x14ac:dyDescent="0.3">
      <c r="R765" t="s">
        <v>486</v>
      </c>
      <c r="S765" t="s">
        <v>81</v>
      </c>
      <c r="T765" t="s">
        <v>32</v>
      </c>
      <c r="U765" t="s">
        <v>197</v>
      </c>
    </row>
    <row r="766" spans="18:21" x14ac:dyDescent="0.3">
      <c r="R766" t="s">
        <v>486</v>
      </c>
      <c r="S766" t="s">
        <v>81</v>
      </c>
      <c r="T766" t="s">
        <v>26</v>
      </c>
      <c r="U766" t="s">
        <v>103</v>
      </c>
    </row>
    <row r="767" spans="18:21" x14ac:dyDescent="0.3">
      <c r="R767" t="s">
        <v>486</v>
      </c>
      <c r="S767" t="s">
        <v>81</v>
      </c>
      <c r="T767" t="s">
        <v>42</v>
      </c>
      <c r="U767" t="s">
        <v>52</v>
      </c>
    </row>
    <row r="768" spans="18:21" x14ac:dyDescent="0.3">
      <c r="R768" t="s">
        <v>486</v>
      </c>
      <c r="S768" t="s">
        <v>81</v>
      </c>
      <c r="T768" t="s">
        <v>47</v>
      </c>
      <c r="U768" t="s">
        <v>52</v>
      </c>
    </row>
    <row r="769" spans="18:21" x14ac:dyDescent="0.3">
      <c r="R769" t="s">
        <v>486</v>
      </c>
      <c r="S769" t="s">
        <v>81</v>
      </c>
      <c r="T769" t="s">
        <v>32</v>
      </c>
      <c r="U769" t="s">
        <v>52</v>
      </c>
    </row>
    <row r="770" spans="18:21" x14ac:dyDescent="0.3">
      <c r="R770" t="s">
        <v>532</v>
      </c>
      <c r="S770" t="s">
        <v>85</v>
      </c>
      <c r="T770" t="s">
        <v>37</v>
      </c>
      <c r="U770" t="s">
        <v>95</v>
      </c>
    </row>
    <row r="771" spans="18:21" x14ac:dyDescent="0.3">
      <c r="R771" t="s">
        <v>532</v>
      </c>
      <c r="S771" t="s">
        <v>85</v>
      </c>
      <c r="T771" t="s">
        <v>47</v>
      </c>
      <c r="U771" t="s">
        <v>95</v>
      </c>
    </row>
    <row r="772" spans="18:21" x14ac:dyDescent="0.3">
      <c r="R772" t="s">
        <v>532</v>
      </c>
      <c r="S772" t="s">
        <v>85</v>
      </c>
      <c r="T772" t="s">
        <v>32</v>
      </c>
      <c r="U772" t="s">
        <v>95</v>
      </c>
    </row>
    <row r="773" spans="18:21" x14ac:dyDescent="0.3">
      <c r="R773" t="s">
        <v>532</v>
      </c>
      <c r="S773" t="s">
        <v>85</v>
      </c>
      <c r="T773" t="s">
        <v>47</v>
      </c>
      <c r="U773" t="s">
        <v>149</v>
      </c>
    </row>
    <row r="774" spans="18:21" x14ac:dyDescent="0.3">
      <c r="R774" t="s">
        <v>532</v>
      </c>
      <c r="S774" t="s">
        <v>85</v>
      </c>
      <c r="T774" t="s">
        <v>26</v>
      </c>
      <c r="U774" t="s">
        <v>149</v>
      </c>
    </row>
    <row r="775" spans="18:21" x14ac:dyDescent="0.3">
      <c r="R775" t="s">
        <v>487</v>
      </c>
      <c r="S775" t="s">
        <v>320</v>
      </c>
      <c r="T775" t="s">
        <v>32</v>
      </c>
      <c r="U775" t="s">
        <v>131</v>
      </c>
    </row>
    <row r="776" spans="18:21" x14ac:dyDescent="0.3">
      <c r="R776" t="s">
        <v>487</v>
      </c>
      <c r="S776" t="s">
        <v>320</v>
      </c>
      <c r="T776" t="s">
        <v>82</v>
      </c>
      <c r="U776" t="s">
        <v>131</v>
      </c>
    </row>
    <row r="777" spans="18:21" x14ac:dyDescent="0.3">
      <c r="R777" t="s">
        <v>487</v>
      </c>
      <c r="S777" t="s">
        <v>320</v>
      </c>
      <c r="T777" t="s">
        <v>37</v>
      </c>
      <c r="U777" t="s">
        <v>131</v>
      </c>
    </row>
    <row r="778" spans="18:21" x14ac:dyDescent="0.3">
      <c r="R778" t="s">
        <v>487</v>
      </c>
      <c r="S778" t="s">
        <v>320</v>
      </c>
      <c r="T778" t="s">
        <v>47</v>
      </c>
      <c r="U778" t="s">
        <v>52</v>
      </c>
    </row>
    <row r="779" spans="18:21" x14ac:dyDescent="0.3">
      <c r="R779" t="s">
        <v>487</v>
      </c>
      <c r="S779" t="s">
        <v>320</v>
      </c>
      <c r="T779" t="s">
        <v>32</v>
      </c>
      <c r="U779" t="s">
        <v>52</v>
      </c>
    </row>
    <row r="780" spans="18:21" x14ac:dyDescent="0.3">
      <c r="R780" t="s">
        <v>487</v>
      </c>
      <c r="S780" t="s">
        <v>320</v>
      </c>
      <c r="T780" t="s">
        <v>32</v>
      </c>
      <c r="U780" t="s">
        <v>73</v>
      </c>
    </row>
    <row r="781" spans="18:21" x14ac:dyDescent="0.3">
      <c r="R781" t="s">
        <v>489</v>
      </c>
      <c r="S781" t="s">
        <v>323</v>
      </c>
      <c r="T781" t="s">
        <v>82</v>
      </c>
      <c r="U781" t="s">
        <v>175</v>
      </c>
    </row>
    <row r="782" spans="18:21" x14ac:dyDescent="0.3">
      <c r="R782" t="s">
        <v>533</v>
      </c>
      <c r="S782" t="s">
        <v>460</v>
      </c>
      <c r="T782" t="s">
        <v>32</v>
      </c>
      <c r="U782" t="s">
        <v>175</v>
      </c>
    </row>
    <row r="783" spans="18:21" x14ac:dyDescent="0.3">
      <c r="R783" t="s">
        <v>533</v>
      </c>
      <c r="S783" t="s">
        <v>460</v>
      </c>
      <c r="T783" t="s">
        <v>42</v>
      </c>
      <c r="U783" t="s">
        <v>197</v>
      </c>
    </row>
    <row r="784" spans="18:21" x14ac:dyDescent="0.3">
      <c r="R784" t="s">
        <v>533</v>
      </c>
      <c r="S784" t="s">
        <v>460</v>
      </c>
      <c r="T784" t="s">
        <v>47</v>
      </c>
      <c r="U784" t="s">
        <v>197</v>
      </c>
    </row>
    <row r="785" spans="18:21" x14ac:dyDescent="0.3">
      <c r="R785" t="s">
        <v>533</v>
      </c>
      <c r="S785" t="s">
        <v>460</v>
      </c>
      <c r="T785" t="s">
        <v>32</v>
      </c>
      <c r="U785" t="s">
        <v>197</v>
      </c>
    </row>
    <row r="786" spans="18:21" x14ac:dyDescent="0.3">
      <c r="R786" t="s">
        <v>533</v>
      </c>
      <c r="S786" t="s">
        <v>460</v>
      </c>
      <c r="T786" t="s">
        <v>47</v>
      </c>
      <c r="U786" t="s">
        <v>235</v>
      </c>
    </row>
    <row r="787" spans="18:21" x14ac:dyDescent="0.3">
      <c r="R787" t="s">
        <v>533</v>
      </c>
      <c r="S787" t="s">
        <v>460</v>
      </c>
      <c r="T787" t="s">
        <v>47</v>
      </c>
      <c r="U787" t="s">
        <v>112</v>
      </c>
    </row>
    <row r="788" spans="18:21" x14ac:dyDescent="0.3">
      <c r="R788" t="s">
        <v>533</v>
      </c>
      <c r="S788" t="s">
        <v>460</v>
      </c>
      <c r="T788" t="s">
        <v>42</v>
      </c>
      <c r="U788" t="s">
        <v>112</v>
      </c>
    </row>
    <row r="789" spans="18:21" x14ac:dyDescent="0.3">
      <c r="R789" t="s">
        <v>533</v>
      </c>
      <c r="S789" t="s">
        <v>460</v>
      </c>
      <c r="T789" t="s">
        <v>32</v>
      </c>
      <c r="U789" t="s">
        <v>112</v>
      </c>
    </row>
    <row r="790" spans="18:21" x14ac:dyDescent="0.3">
      <c r="R790" t="s">
        <v>533</v>
      </c>
      <c r="S790" t="s">
        <v>460</v>
      </c>
      <c r="T790" t="s">
        <v>32</v>
      </c>
      <c r="U790" t="s">
        <v>343</v>
      </c>
    </row>
    <row r="791" spans="18:21" x14ac:dyDescent="0.3">
      <c r="R791" t="s">
        <v>533</v>
      </c>
      <c r="S791" t="s">
        <v>460</v>
      </c>
      <c r="T791" t="s">
        <v>47</v>
      </c>
      <c r="U791" t="s">
        <v>343</v>
      </c>
    </row>
    <row r="792" spans="18:21" x14ac:dyDescent="0.3">
      <c r="R792" t="s">
        <v>490</v>
      </c>
      <c r="S792" t="s">
        <v>185</v>
      </c>
      <c r="T792" t="s">
        <v>37</v>
      </c>
      <c r="U792" t="s">
        <v>103</v>
      </c>
    </row>
    <row r="793" spans="18:21" x14ac:dyDescent="0.3">
      <c r="R793" t="s">
        <v>490</v>
      </c>
      <c r="S793" t="s">
        <v>185</v>
      </c>
      <c r="T793" t="s">
        <v>37</v>
      </c>
      <c r="U793" t="s">
        <v>112</v>
      </c>
    </row>
    <row r="794" spans="18:21" x14ac:dyDescent="0.3">
      <c r="R794" t="s">
        <v>490</v>
      </c>
      <c r="S794" t="s">
        <v>185</v>
      </c>
      <c r="T794" t="s">
        <v>26</v>
      </c>
      <c r="U794" t="s">
        <v>112</v>
      </c>
    </row>
    <row r="795" spans="18:21" x14ac:dyDescent="0.3">
      <c r="R795" t="s">
        <v>490</v>
      </c>
      <c r="S795" t="s">
        <v>185</v>
      </c>
      <c r="T795" t="s">
        <v>32</v>
      </c>
      <c r="U795" t="s">
        <v>112</v>
      </c>
    </row>
    <row r="796" spans="18:21" x14ac:dyDescent="0.3">
      <c r="R796" t="s">
        <v>490</v>
      </c>
      <c r="S796" t="s">
        <v>185</v>
      </c>
      <c r="T796" t="s">
        <v>82</v>
      </c>
      <c r="U796" t="s">
        <v>112</v>
      </c>
    </row>
    <row r="797" spans="18:21" x14ac:dyDescent="0.3">
      <c r="R797" t="s">
        <v>490</v>
      </c>
      <c r="S797" t="s">
        <v>185</v>
      </c>
      <c r="T797" t="s">
        <v>47</v>
      </c>
      <c r="U797" t="s">
        <v>112</v>
      </c>
    </row>
    <row r="798" spans="18:21" x14ac:dyDescent="0.3">
      <c r="R798" t="s">
        <v>490</v>
      </c>
      <c r="S798" t="s">
        <v>185</v>
      </c>
      <c r="T798" t="s">
        <v>42</v>
      </c>
      <c r="U798" t="s">
        <v>112</v>
      </c>
    </row>
    <row r="799" spans="18:21" x14ac:dyDescent="0.3">
      <c r="R799" t="s">
        <v>490</v>
      </c>
      <c r="S799" t="s">
        <v>185</v>
      </c>
      <c r="T799" t="s">
        <v>26</v>
      </c>
      <c r="U799" t="s">
        <v>149</v>
      </c>
    </row>
    <row r="800" spans="18:21" x14ac:dyDescent="0.3">
      <c r="R800" t="s">
        <v>490</v>
      </c>
      <c r="S800" t="s">
        <v>185</v>
      </c>
      <c r="T800" t="s">
        <v>47</v>
      </c>
      <c r="U800" t="s">
        <v>149</v>
      </c>
    </row>
    <row r="801" spans="18:21" x14ac:dyDescent="0.3">
      <c r="R801" t="s">
        <v>490</v>
      </c>
      <c r="S801" t="s">
        <v>185</v>
      </c>
      <c r="T801" t="s">
        <v>37</v>
      </c>
      <c r="U801" t="s">
        <v>149</v>
      </c>
    </row>
    <row r="802" spans="18:21" x14ac:dyDescent="0.3">
      <c r="R802" t="s">
        <v>491</v>
      </c>
      <c r="S802" t="s">
        <v>326</v>
      </c>
      <c r="T802" t="s">
        <v>42</v>
      </c>
      <c r="U802" t="s">
        <v>1645</v>
      </c>
    </row>
    <row r="803" spans="18:21" x14ac:dyDescent="0.3">
      <c r="R803" t="s">
        <v>492</v>
      </c>
      <c r="S803" t="s">
        <v>188</v>
      </c>
      <c r="T803" t="s">
        <v>42</v>
      </c>
      <c r="U803" t="s">
        <v>103</v>
      </c>
    </row>
    <row r="804" spans="18:21" x14ac:dyDescent="0.3">
      <c r="R804" t="s">
        <v>492</v>
      </c>
      <c r="S804" t="s">
        <v>188</v>
      </c>
      <c r="T804" t="s">
        <v>32</v>
      </c>
      <c r="U804" t="s">
        <v>149</v>
      </c>
    </row>
    <row r="805" spans="18:21" x14ac:dyDescent="0.3">
      <c r="R805" t="s">
        <v>492</v>
      </c>
      <c r="S805" t="s">
        <v>188</v>
      </c>
      <c r="T805" t="s">
        <v>47</v>
      </c>
      <c r="U805" t="s">
        <v>149</v>
      </c>
    </row>
    <row r="806" spans="18:21" x14ac:dyDescent="0.3">
      <c r="R806" t="s">
        <v>492</v>
      </c>
      <c r="S806" t="s">
        <v>188</v>
      </c>
      <c r="T806" t="s">
        <v>37</v>
      </c>
      <c r="U806" t="s">
        <v>149</v>
      </c>
    </row>
    <row r="807" spans="18:21" x14ac:dyDescent="0.3">
      <c r="R807" t="s">
        <v>492</v>
      </c>
      <c r="S807" t="s">
        <v>188</v>
      </c>
      <c r="T807" t="s">
        <v>42</v>
      </c>
      <c r="U807" t="s">
        <v>149</v>
      </c>
    </row>
    <row r="808" spans="18:21" x14ac:dyDescent="0.3">
      <c r="R808" t="s">
        <v>492</v>
      </c>
      <c r="S808" t="s">
        <v>188</v>
      </c>
      <c r="T808" t="s">
        <v>82</v>
      </c>
      <c r="U808" t="s">
        <v>149</v>
      </c>
    </row>
    <row r="809" spans="18:21" x14ac:dyDescent="0.3">
      <c r="R809" t="s">
        <v>493</v>
      </c>
      <c r="S809" t="s">
        <v>328</v>
      </c>
      <c r="T809" t="s">
        <v>32</v>
      </c>
      <c r="U809" t="s">
        <v>175</v>
      </c>
    </row>
    <row r="810" spans="18:21" x14ac:dyDescent="0.3">
      <c r="R810" t="s">
        <v>493</v>
      </c>
      <c r="S810" t="s">
        <v>328</v>
      </c>
      <c r="T810" t="s">
        <v>42</v>
      </c>
      <c r="U810" t="s">
        <v>175</v>
      </c>
    </row>
    <row r="811" spans="18:21" x14ac:dyDescent="0.3">
      <c r="R811" t="s">
        <v>493</v>
      </c>
      <c r="S811" t="s">
        <v>328</v>
      </c>
      <c r="T811" t="s">
        <v>37</v>
      </c>
      <c r="U811" t="s">
        <v>175</v>
      </c>
    </row>
    <row r="812" spans="18:21" x14ac:dyDescent="0.3">
      <c r="R812" t="s">
        <v>493</v>
      </c>
      <c r="S812" t="s">
        <v>328</v>
      </c>
      <c r="T812" t="s">
        <v>82</v>
      </c>
      <c r="U812" t="s">
        <v>175</v>
      </c>
    </row>
    <row r="813" spans="18:21" x14ac:dyDescent="0.3">
      <c r="R813" t="s">
        <v>493</v>
      </c>
      <c r="S813" t="s">
        <v>328</v>
      </c>
      <c r="T813" t="s">
        <v>82</v>
      </c>
      <c r="U813" t="s">
        <v>289</v>
      </c>
    </row>
    <row r="814" spans="18:21" x14ac:dyDescent="0.3">
      <c r="R814" t="s">
        <v>493</v>
      </c>
      <c r="S814" t="s">
        <v>328</v>
      </c>
      <c r="T814" t="s">
        <v>32</v>
      </c>
      <c r="U814" t="s">
        <v>289</v>
      </c>
    </row>
    <row r="815" spans="18:21" x14ac:dyDescent="0.3">
      <c r="R815" t="s">
        <v>493</v>
      </c>
      <c r="S815" t="s">
        <v>328</v>
      </c>
      <c r="T815" t="s">
        <v>42</v>
      </c>
      <c r="U815" t="s">
        <v>289</v>
      </c>
    </row>
    <row r="816" spans="18:21" x14ac:dyDescent="0.3">
      <c r="R816" t="s">
        <v>493</v>
      </c>
      <c r="S816" t="s">
        <v>328</v>
      </c>
      <c r="T816" t="s">
        <v>32</v>
      </c>
      <c r="U816" t="s">
        <v>131</v>
      </c>
    </row>
    <row r="817" spans="18:21" x14ac:dyDescent="0.3">
      <c r="R817" t="s">
        <v>493</v>
      </c>
      <c r="S817" t="s">
        <v>328</v>
      </c>
      <c r="T817" t="s">
        <v>82</v>
      </c>
      <c r="U817" t="s">
        <v>131</v>
      </c>
    </row>
    <row r="818" spans="18:21" x14ac:dyDescent="0.3">
      <c r="R818" t="s">
        <v>493</v>
      </c>
      <c r="S818" t="s">
        <v>328</v>
      </c>
      <c r="T818" t="s">
        <v>42</v>
      </c>
      <c r="U818" t="s">
        <v>131</v>
      </c>
    </row>
    <row r="819" spans="18:21" x14ac:dyDescent="0.3">
      <c r="R819" t="s">
        <v>493</v>
      </c>
      <c r="S819" t="s">
        <v>328</v>
      </c>
      <c r="T819" t="s">
        <v>47</v>
      </c>
      <c r="U819" t="s">
        <v>63</v>
      </c>
    </row>
    <row r="820" spans="18:21" x14ac:dyDescent="0.3">
      <c r="R820" t="s">
        <v>493</v>
      </c>
      <c r="S820" t="s">
        <v>328</v>
      </c>
      <c r="T820" t="s">
        <v>26</v>
      </c>
      <c r="U820" t="s">
        <v>112</v>
      </c>
    </row>
    <row r="821" spans="18:21" x14ac:dyDescent="0.3">
      <c r="R821" t="s">
        <v>493</v>
      </c>
      <c r="S821" t="s">
        <v>328</v>
      </c>
      <c r="T821" t="s">
        <v>37</v>
      </c>
      <c r="U821" t="s">
        <v>112</v>
      </c>
    </row>
    <row r="822" spans="18:21" x14ac:dyDescent="0.3">
      <c r="R822" t="s">
        <v>493</v>
      </c>
      <c r="S822" t="s">
        <v>328</v>
      </c>
      <c r="T822" t="s">
        <v>82</v>
      </c>
      <c r="U822" t="s">
        <v>112</v>
      </c>
    </row>
    <row r="823" spans="18:21" x14ac:dyDescent="0.3">
      <c r="R823" t="s">
        <v>493</v>
      </c>
      <c r="S823" t="s">
        <v>328</v>
      </c>
      <c r="T823" t="s">
        <v>47</v>
      </c>
      <c r="U823" t="s">
        <v>112</v>
      </c>
    </row>
    <row r="824" spans="18:21" x14ac:dyDescent="0.3">
      <c r="R824" t="s">
        <v>493</v>
      </c>
      <c r="S824" t="s">
        <v>328</v>
      </c>
      <c r="T824" t="s">
        <v>32</v>
      </c>
      <c r="U824" t="s">
        <v>112</v>
      </c>
    </row>
    <row r="825" spans="18:21" x14ac:dyDescent="0.3">
      <c r="R825" t="s">
        <v>493</v>
      </c>
      <c r="S825" t="s">
        <v>328</v>
      </c>
      <c r="T825" t="s">
        <v>82</v>
      </c>
      <c r="U825" t="s">
        <v>220</v>
      </c>
    </row>
    <row r="826" spans="18:21" x14ac:dyDescent="0.3">
      <c r="R826" t="s">
        <v>493</v>
      </c>
      <c r="S826" t="s">
        <v>328</v>
      </c>
      <c r="T826" t="s">
        <v>42</v>
      </c>
      <c r="U826" t="s">
        <v>220</v>
      </c>
    </row>
    <row r="827" spans="18:21" x14ac:dyDescent="0.3">
      <c r="R827" t="s">
        <v>493</v>
      </c>
      <c r="S827" t="s">
        <v>328</v>
      </c>
      <c r="T827" t="s">
        <v>32</v>
      </c>
      <c r="U827" t="s">
        <v>220</v>
      </c>
    </row>
    <row r="828" spans="18:21" x14ac:dyDescent="0.3">
      <c r="R828" t="s">
        <v>493</v>
      </c>
      <c r="S828" t="s">
        <v>328</v>
      </c>
      <c r="T828" t="s">
        <v>37</v>
      </c>
      <c r="U828" t="s">
        <v>220</v>
      </c>
    </row>
    <row r="829" spans="18:21" x14ac:dyDescent="0.3">
      <c r="R829" t="s">
        <v>493</v>
      </c>
      <c r="S829" t="s">
        <v>328</v>
      </c>
      <c r="T829" t="s">
        <v>47</v>
      </c>
      <c r="U829" t="s">
        <v>220</v>
      </c>
    </row>
    <row r="830" spans="18:21" x14ac:dyDescent="0.3">
      <c r="R830" t="s">
        <v>493</v>
      </c>
      <c r="S830" t="s">
        <v>328</v>
      </c>
      <c r="T830" t="s">
        <v>26</v>
      </c>
      <c r="U830" t="s">
        <v>220</v>
      </c>
    </row>
    <row r="831" spans="18:21" x14ac:dyDescent="0.3">
      <c r="R831" t="s">
        <v>493</v>
      </c>
      <c r="S831" t="s">
        <v>328</v>
      </c>
      <c r="T831" t="s">
        <v>82</v>
      </c>
      <c r="U831" t="s">
        <v>343</v>
      </c>
    </row>
    <row r="832" spans="18:21" x14ac:dyDescent="0.3">
      <c r="R832" t="s">
        <v>493</v>
      </c>
      <c r="S832" t="s">
        <v>328</v>
      </c>
      <c r="T832" t="s">
        <v>37</v>
      </c>
      <c r="U832" t="s">
        <v>343</v>
      </c>
    </row>
    <row r="833" spans="18:21" x14ac:dyDescent="0.3">
      <c r="R833" t="s">
        <v>493</v>
      </c>
      <c r="S833" t="s">
        <v>328</v>
      </c>
      <c r="T833" t="s">
        <v>47</v>
      </c>
      <c r="U833" t="s">
        <v>343</v>
      </c>
    </row>
    <row r="834" spans="18:21" x14ac:dyDescent="0.3">
      <c r="R834" t="s">
        <v>493</v>
      </c>
      <c r="S834" t="s">
        <v>328</v>
      </c>
      <c r="T834" t="s">
        <v>42</v>
      </c>
      <c r="U834" t="s">
        <v>343</v>
      </c>
    </row>
    <row r="835" spans="18:21" x14ac:dyDescent="0.3">
      <c r="R835" t="s">
        <v>493</v>
      </c>
      <c r="S835" t="s">
        <v>328</v>
      </c>
      <c r="T835" t="s">
        <v>32</v>
      </c>
      <c r="U835" t="s">
        <v>343</v>
      </c>
    </row>
    <row r="836" spans="18:21" x14ac:dyDescent="0.3">
      <c r="R836" t="s">
        <v>534</v>
      </c>
      <c r="S836" t="s">
        <v>416</v>
      </c>
      <c r="T836" t="s">
        <v>42</v>
      </c>
      <c r="U836" t="s">
        <v>131</v>
      </c>
    </row>
    <row r="837" spans="18:21" x14ac:dyDescent="0.3">
      <c r="R837" t="s">
        <v>534</v>
      </c>
      <c r="S837" t="s">
        <v>416</v>
      </c>
      <c r="T837" t="s">
        <v>47</v>
      </c>
      <c r="U837" t="s">
        <v>131</v>
      </c>
    </row>
    <row r="838" spans="18:21" x14ac:dyDescent="0.3">
      <c r="R838" t="s">
        <v>534</v>
      </c>
      <c r="S838" t="s">
        <v>416</v>
      </c>
      <c r="T838" t="s">
        <v>32</v>
      </c>
      <c r="U838" t="s">
        <v>131</v>
      </c>
    </row>
    <row r="839" spans="18:21" x14ac:dyDescent="0.3">
      <c r="R839" t="s">
        <v>534</v>
      </c>
      <c r="S839" t="s">
        <v>416</v>
      </c>
      <c r="T839" t="s">
        <v>42</v>
      </c>
      <c r="U839" t="s">
        <v>112</v>
      </c>
    </row>
    <row r="840" spans="18:21" x14ac:dyDescent="0.3">
      <c r="R840" t="s">
        <v>534</v>
      </c>
      <c r="S840" t="s">
        <v>416</v>
      </c>
      <c r="T840" t="s">
        <v>82</v>
      </c>
      <c r="U840" t="s">
        <v>112</v>
      </c>
    </row>
    <row r="841" spans="18:21" x14ac:dyDescent="0.3">
      <c r="R841" t="s">
        <v>534</v>
      </c>
      <c r="S841" t="s">
        <v>416</v>
      </c>
      <c r="T841" t="s">
        <v>26</v>
      </c>
      <c r="U841" t="s">
        <v>112</v>
      </c>
    </row>
    <row r="842" spans="18:21" x14ac:dyDescent="0.3">
      <c r="R842" t="s">
        <v>534</v>
      </c>
      <c r="S842" t="s">
        <v>416</v>
      </c>
      <c r="T842" t="s">
        <v>32</v>
      </c>
      <c r="U842" t="s">
        <v>112</v>
      </c>
    </row>
    <row r="843" spans="18:21" x14ac:dyDescent="0.3">
      <c r="R843" t="s">
        <v>535</v>
      </c>
      <c r="S843" t="s">
        <v>420</v>
      </c>
      <c r="T843" t="s">
        <v>42</v>
      </c>
      <c r="U843" t="s">
        <v>175</v>
      </c>
    </row>
    <row r="844" spans="18:21" x14ac:dyDescent="0.3">
      <c r="R844" t="s">
        <v>535</v>
      </c>
      <c r="S844" t="s">
        <v>420</v>
      </c>
      <c r="T844" t="s">
        <v>32</v>
      </c>
      <c r="U844" t="s">
        <v>175</v>
      </c>
    </row>
    <row r="845" spans="18:21" x14ac:dyDescent="0.3">
      <c r="R845" t="s">
        <v>535</v>
      </c>
      <c r="S845" t="s">
        <v>420</v>
      </c>
      <c r="T845" t="s">
        <v>32</v>
      </c>
      <c r="U845" t="s">
        <v>197</v>
      </c>
    </row>
    <row r="846" spans="18:21" x14ac:dyDescent="0.3">
      <c r="R846" t="s">
        <v>535</v>
      </c>
      <c r="S846" t="s">
        <v>420</v>
      </c>
      <c r="T846" t="s">
        <v>26</v>
      </c>
      <c r="U846" t="s">
        <v>197</v>
      </c>
    </row>
    <row r="847" spans="18:21" x14ac:dyDescent="0.3">
      <c r="R847" t="s">
        <v>535</v>
      </c>
      <c r="S847" t="s">
        <v>420</v>
      </c>
      <c r="T847" t="s">
        <v>37</v>
      </c>
      <c r="U847" t="s">
        <v>197</v>
      </c>
    </row>
    <row r="848" spans="18:21" x14ac:dyDescent="0.3">
      <c r="R848" t="s">
        <v>535</v>
      </c>
      <c r="S848" t="s">
        <v>420</v>
      </c>
      <c r="T848" t="s">
        <v>42</v>
      </c>
      <c r="U848" t="s">
        <v>197</v>
      </c>
    </row>
    <row r="849" spans="18:21" x14ac:dyDescent="0.3">
      <c r="R849" t="s">
        <v>535</v>
      </c>
      <c r="S849" t="s">
        <v>420</v>
      </c>
      <c r="T849" t="s">
        <v>47</v>
      </c>
      <c r="U849" t="s">
        <v>271</v>
      </c>
    </row>
    <row r="850" spans="18:21" x14ac:dyDescent="0.3">
      <c r="R850" t="s">
        <v>535</v>
      </c>
      <c r="S850" t="s">
        <v>420</v>
      </c>
      <c r="T850" t="s">
        <v>42</v>
      </c>
      <c r="U850" t="s">
        <v>271</v>
      </c>
    </row>
    <row r="851" spans="18:21" x14ac:dyDescent="0.3">
      <c r="R851" t="s">
        <v>535</v>
      </c>
      <c r="S851" t="s">
        <v>420</v>
      </c>
      <c r="T851" t="s">
        <v>32</v>
      </c>
      <c r="U851" t="s">
        <v>103</v>
      </c>
    </row>
    <row r="852" spans="18:21" x14ac:dyDescent="0.3">
      <c r="R852" t="s">
        <v>535</v>
      </c>
      <c r="S852" t="s">
        <v>420</v>
      </c>
      <c r="T852" t="s">
        <v>47</v>
      </c>
      <c r="U852" t="s">
        <v>103</v>
      </c>
    </row>
    <row r="853" spans="18:21" x14ac:dyDescent="0.3">
      <c r="R853" t="s">
        <v>535</v>
      </c>
      <c r="S853" t="s">
        <v>420</v>
      </c>
      <c r="T853" t="s">
        <v>42</v>
      </c>
      <c r="U853" t="s">
        <v>103</v>
      </c>
    </row>
    <row r="854" spans="18:21" x14ac:dyDescent="0.3">
      <c r="R854" t="s">
        <v>535</v>
      </c>
      <c r="S854" t="s">
        <v>420</v>
      </c>
      <c r="T854" t="s">
        <v>42</v>
      </c>
      <c r="U854" t="s">
        <v>243</v>
      </c>
    </row>
    <row r="855" spans="18:21" x14ac:dyDescent="0.3">
      <c r="R855" t="s">
        <v>535</v>
      </c>
      <c r="S855" t="s">
        <v>420</v>
      </c>
      <c r="T855" t="s">
        <v>37</v>
      </c>
      <c r="U855" t="s">
        <v>243</v>
      </c>
    </row>
    <row r="856" spans="18:21" x14ac:dyDescent="0.3">
      <c r="R856" t="s">
        <v>535</v>
      </c>
      <c r="S856" t="s">
        <v>420</v>
      </c>
      <c r="T856" t="s">
        <v>26</v>
      </c>
      <c r="U856" t="s">
        <v>243</v>
      </c>
    </row>
    <row r="857" spans="18:21" x14ac:dyDescent="0.3">
      <c r="R857" t="s">
        <v>535</v>
      </c>
      <c r="S857" t="s">
        <v>420</v>
      </c>
      <c r="T857" t="s">
        <v>82</v>
      </c>
      <c r="U857" t="s">
        <v>243</v>
      </c>
    </row>
    <row r="858" spans="18:21" x14ac:dyDescent="0.3">
      <c r="R858" t="s">
        <v>535</v>
      </c>
      <c r="S858" t="s">
        <v>420</v>
      </c>
      <c r="T858" t="s">
        <v>47</v>
      </c>
      <c r="U858" t="s">
        <v>243</v>
      </c>
    </row>
    <row r="859" spans="18:21" x14ac:dyDescent="0.3">
      <c r="R859" t="s">
        <v>535</v>
      </c>
      <c r="S859" t="s">
        <v>420</v>
      </c>
      <c r="T859" t="s">
        <v>32</v>
      </c>
      <c r="U859" t="s">
        <v>243</v>
      </c>
    </row>
    <row r="860" spans="18:21" x14ac:dyDescent="0.3">
      <c r="R860" t="s">
        <v>494</v>
      </c>
      <c r="S860" t="s">
        <v>152</v>
      </c>
      <c r="T860" t="s">
        <v>47</v>
      </c>
      <c r="U860" t="s">
        <v>95</v>
      </c>
    </row>
    <row r="861" spans="18:21" x14ac:dyDescent="0.3">
      <c r="R861" t="s">
        <v>494</v>
      </c>
      <c r="S861" t="s">
        <v>152</v>
      </c>
      <c r="T861" t="s">
        <v>32</v>
      </c>
      <c r="U861" t="s">
        <v>95</v>
      </c>
    </row>
    <row r="862" spans="18:21" x14ac:dyDescent="0.3">
      <c r="R862" t="s">
        <v>494</v>
      </c>
      <c r="S862" t="s">
        <v>152</v>
      </c>
      <c r="T862" t="s">
        <v>37</v>
      </c>
      <c r="U862" t="s">
        <v>95</v>
      </c>
    </row>
    <row r="863" spans="18:21" x14ac:dyDescent="0.3">
      <c r="R863" t="s">
        <v>494</v>
      </c>
      <c r="S863" t="s">
        <v>152</v>
      </c>
      <c r="T863" t="s">
        <v>82</v>
      </c>
      <c r="U863" t="s">
        <v>95</v>
      </c>
    </row>
    <row r="864" spans="18:21" x14ac:dyDescent="0.3">
      <c r="R864" t="s">
        <v>494</v>
      </c>
      <c r="S864" t="s">
        <v>152</v>
      </c>
      <c r="T864" t="s">
        <v>42</v>
      </c>
      <c r="U864" t="s">
        <v>95</v>
      </c>
    </row>
    <row r="865" spans="18:21" x14ac:dyDescent="0.3">
      <c r="R865" t="s">
        <v>494</v>
      </c>
      <c r="S865" t="s">
        <v>152</v>
      </c>
      <c r="T865" t="s">
        <v>47</v>
      </c>
      <c r="U865" t="s">
        <v>268</v>
      </c>
    </row>
    <row r="866" spans="18:21" x14ac:dyDescent="0.3">
      <c r="R866" t="s">
        <v>494</v>
      </c>
      <c r="S866" t="s">
        <v>152</v>
      </c>
      <c r="T866" t="s">
        <v>32</v>
      </c>
      <c r="U866" t="s">
        <v>268</v>
      </c>
    </row>
    <row r="867" spans="18:21" x14ac:dyDescent="0.3">
      <c r="R867" t="s">
        <v>494</v>
      </c>
      <c r="S867" t="s">
        <v>152</v>
      </c>
      <c r="T867" t="s">
        <v>26</v>
      </c>
      <c r="U867" t="s">
        <v>268</v>
      </c>
    </row>
    <row r="868" spans="18:21" x14ac:dyDescent="0.3">
      <c r="R868" t="s">
        <v>494</v>
      </c>
      <c r="S868" t="s">
        <v>152</v>
      </c>
      <c r="T868" t="s">
        <v>37</v>
      </c>
      <c r="U868" t="s">
        <v>268</v>
      </c>
    </row>
    <row r="869" spans="18:21" x14ac:dyDescent="0.3">
      <c r="R869" t="s">
        <v>494</v>
      </c>
      <c r="S869" t="s">
        <v>152</v>
      </c>
      <c r="T869" t="s">
        <v>42</v>
      </c>
      <c r="U869" t="s">
        <v>268</v>
      </c>
    </row>
    <row r="870" spans="18:21" x14ac:dyDescent="0.3">
      <c r="R870" t="s">
        <v>494</v>
      </c>
      <c r="S870" t="s">
        <v>152</v>
      </c>
      <c r="T870" t="s">
        <v>82</v>
      </c>
      <c r="U870" t="s">
        <v>268</v>
      </c>
    </row>
    <row r="871" spans="18:21" x14ac:dyDescent="0.3">
      <c r="R871" t="s">
        <v>494</v>
      </c>
      <c r="S871" t="s">
        <v>152</v>
      </c>
      <c r="T871" t="s">
        <v>42</v>
      </c>
      <c r="U871" t="s">
        <v>289</v>
      </c>
    </row>
    <row r="872" spans="18:21" x14ac:dyDescent="0.3">
      <c r="R872" t="s">
        <v>494</v>
      </c>
      <c r="S872" t="s">
        <v>152</v>
      </c>
      <c r="T872" t="s">
        <v>37</v>
      </c>
      <c r="U872" t="s">
        <v>289</v>
      </c>
    </row>
    <row r="873" spans="18:21" x14ac:dyDescent="0.3">
      <c r="R873" t="s">
        <v>494</v>
      </c>
      <c r="S873" t="s">
        <v>152</v>
      </c>
      <c r="T873" t="s">
        <v>82</v>
      </c>
      <c r="U873" t="s">
        <v>289</v>
      </c>
    </row>
    <row r="874" spans="18:21" x14ac:dyDescent="0.3">
      <c r="R874" t="s">
        <v>494</v>
      </c>
      <c r="S874" t="s">
        <v>152</v>
      </c>
      <c r="T874" t="s">
        <v>42</v>
      </c>
      <c r="U874" t="s">
        <v>235</v>
      </c>
    </row>
    <row r="875" spans="18:21" x14ac:dyDescent="0.3">
      <c r="R875" t="s">
        <v>494</v>
      </c>
      <c r="S875" t="s">
        <v>152</v>
      </c>
      <c r="T875" t="s">
        <v>37</v>
      </c>
      <c r="U875" t="s">
        <v>235</v>
      </c>
    </row>
    <row r="876" spans="18:21" x14ac:dyDescent="0.3">
      <c r="R876" t="s">
        <v>494</v>
      </c>
      <c r="S876" t="s">
        <v>152</v>
      </c>
      <c r="T876" t="s">
        <v>47</v>
      </c>
      <c r="U876" t="s">
        <v>235</v>
      </c>
    </row>
    <row r="877" spans="18:21" x14ac:dyDescent="0.3">
      <c r="R877" t="s">
        <v>494</v>
      </c>
      <c r="S877" t="s">
        <v>152</v>
      </c>
      <c r="T877" t="s">
        <v>82</v>
      </c>
      <c r="U877" t="s">
        <v>235</v>
      </c>
    </row>
    <row r="878" spans="18:21" x14ac:dyDescent="0.3">
      <c r="R878" t="s">
        <v>494</v>
      </c>
      <c r="S878" t="s">
        <v>152</v>
      </c>
      <c r="T878" t="s">
        <v>37</v>
      </c>
      <c r="U878" t="s">
        <v>112</v>
      </c>
    </row>
    <row r="879" spans="18:21" x14ac:dyDescent="0.3">
      <c r="R879" t="s">
        <v>494</v>
      </c>
      <c r="S879" t="s">
        <v>152</v>
      </c>
      <c r="T879" t="s">
        <v>32</v>
      </c>
      <c r="U879" t="s">
        <v>112</v>
      </c>
    </row>
    <row r="880" spans="18:21" x14ac:dyDescent="0.3">
      <c r="R880" t="s">
        <v>494</v>
      </c>
      <c r="S880" t="s">
        <v>152</v>
      </c>
      <c r="T880" t="s">
        <v>42</v>
      </c>
      <c r="U880" t="s">
        <v>112</v>
      </c>
    </row>
    <row r="881" spans="18:21" x14ac:dyDescent="0.3">
      <c r="R881" t="s">
        <v>494</v>
      </c>
      <c r="S881" t="s">
        <v>152</v>
      </c>
      <c r="T881" t="s">
        <v>82</v>
      </c>
      <c r="U881" t="s">
        <v>112</v>
      </c>
    </row>
    <row r="882" spans="18:21" x14ac:dyDescent="0.3">
      <c r="R882" t="s">
        <v>536</v>
      </c>
      <c r="S882" t="s">
        <v>256</v>
      </c>
      <c r="T882" t="s">
        <v>32</v>
      </c>
      <c r="U882" t="s">
        <v>271</v>
      </c>
    </row>
    <row r="883" spans="18:21" x14ac:dyDescent="0.3">
      <c r="R883" t="s">
        <v>537</v>
      </c>
      <c r="S883" t="s">
        <v>259</v>
      </c>
      <c r="T883" t="s">
        <v>32</v>
      </c>
      <c r="U883" t="s">
        <v>271</v>
      </c>
    </row>
    <row r="884" spans="18:21" x14ac:dyDescent="0.3">
      <c r="R884" t="s">
        <v>538</v>
      </c>
      <c r="S884" t="s">
        <v>261</v>
      </c>
      <c r="T884" t="s">
        <v>32</v>
      </c>
      <c r="U884" t="s">
        <v>271</v>
      </c>
    </row>
    <row r="885" spans="18:21" x14ac:dyDescent="0.3">
      <c r="R885" t="s">
        <v>538</v>
      </c>
      <c r="S885" t="s">
        <v>261</v>
      </c>
      <c r="T885" t="s">
        <v>42</v>
      </c>
      <c r="U885" t="s">
        <v>271</v>
      </c>
    </row>
    <row r="886" spans="18:21" x14ac:dyDescent="0.3">
      <c r="R886" t="s">
        <v>539</v>
      </c>
      <c r="S886" t="s">
        <v>163</v>
      </c>
      <c r="T886" t="s">
        <v>42</v>
      </c>
      <c r="U886" t="s">
        <v>112</v>
      </c>
    </row>
    <row r="887" spans="18:21" x14ac:dyDescent="0.3">
      <c r="R887" t="s">
        <v>540</v>
      </c>
      <c r="S887" t="s">
        <v>159</v>
      </c>
      <c r="T887" t="s">
        <v>32</v>
      </c>
      <c r="U887" t="s">
        <v>95</v>
      </c>
    </row>
    <row r="888" spans="18:21" x14ac:dyDescent="0.3">
      <c r="R888" t="s">
        <v>540</v>
      </c>
      <c r="S888" t="s">
        <v>159</v>
      </c>
      <c r="T888" t="s">
        <v>47</v>
      </c>
      <c r="U888" t="s">
        <v>95</v>
      </c>
    </row>
    <row r="889" spans="18:21" x14ac:dyDescent="0.3">
      <c r="R889" t="s">
        <v>540</v>
      </c>
      <c r="S889" t="s">
        <v>159</v>
      </c>
      <c r="T889" t="s">
        <v>26</v>
      </c>
      <c r="U889" t="s">
        <v>149</v>
      </c>
    </row>
    <row r="890" spans="18:21" x14ac:dyDescent="0.3">
      <c r="R890" t="s">
        <v>498</v>
      </c>
      <c r="S890" t="s">
        <v>169</v>
      </c>
      <c r="T890" t="s">
        <v>42</v>
      </c>
      <c r="U890" t="s">
        <v>197</v>
      </c>
    </row>
    <row r="891" spans="18:21" x14ac:dyDescent="0.3">
      <c r="R891" t="s">
        <v>498</v>
      </c>
      <c r="S891" t="s">
        <v>169</v>
      </c>
      <c r="T891" t="s">
        <v>42</v>
      </c>
      <c r="U891" t="s">
        <v>289</v>
      </c>
    </row>
    <row r="892" spans="18:21" x14ac:dyDescent="0.3">
      <c r="R892" t="s">
        <v>498</v>
      </c>
      <c r="S892" t="s">
        <v>169</v>
      </c>
      <c r="T892" t="s">
        <v>37</v>
      </c>
      <c r="U892" t="s">
        <v>289</v>
      </c>
    </row>
    <row r="893" spans="18:21" x14ac:dyDescent="0.3">
      <c r="R893" t="s">
        <v>498</v>
      </c>
      <c r="S893" t="s">
        <v>169</v>
      </c>
      <c r="T893" t="s">
        <v>47</v>
      </c>
      <c r="U893" t="s">
        <v>289</v>
      </c>
    </row>
    <row r="894" spans="18:21" x14ac:dyDescent="0.3">
      <c r="R894" t="s">
        <v>498</v>
      </c>
      <c r="S894" t="s">
        <v>169</v>
      </c>
      <c r="T894" t="s">
        <v>82</v>
      </c>
      <c r="U894" t="s">
        <v>385</v>
      </c>
    </row>
    <row r="895" spans="18:21" x14ac:dyDescent="0.3">
      <c r="R895" t="s">
        <v>541</v>
      </c>
      <c r="S895" t="s">
        <v>429</v>
      </c>
      <c r="T895" t="s">
        <v>47</v>
      </c>
      <c r="U895" t="s">
        <v>112</v>
      </c>
    </row>
    <row r="896" spans="18:21" x14ac:dyDescent="0.3">
      <c r="R896" t="s">
        <v>499</v>
      </c>
      <c r="S896" t="s">
        <v>335</v>
      </c>
      <c r="T896" t="s">
        <v>82</v>
      </c>
      <c r="U896" t="s">
        <v>175</v>
      </c>
    </row>
    <row r="897" spans="18:21" x14ac:dyDescent="0.3">
      <c r="R897" t="s">
        <v>500</v>
      </c>
      <c r="S897" t="s">
        <v>172</v>
      </c>
      <c r="T897" t="s">
        <v>37</v>
      </c>
      <c r="U897" t="s">
        <v>197</v>
      </c>
    </row>
    <row r="898" spans="18:21" x14ac:dyDescent="0.3">
      <c r="R898" t="s">
        <v>500</v>
      </c>
      <c r="S898" t="s">
        <v>172</v>
      </c>
      <c r="T898" t="s">
        <v>42</v>
      </c>
      <c r="U898" t="s">
        <v>197</v>
      </c>
    </row>
    <row r="899" spans="18:21" x14ac:dyDescent="0.3">
      <c r="R899" t="s">
        <v>500</v>
      </c>
      <c r="S899" t="s">
        <v>172</v>
      </c>
      <c r="T899" t="s">
        <v>32</v>
      </c>
      <c r="U899" t="s">
        <v>27</v>
      </c>
    </row>
    <row r="900" spans="18:21" x14ac:dyDescent="0.3">
      <c r="R900" t="s">
        <v>500</v>
      </c>
      <c r="S900" t="s">
        <v>172</v>
      </c>
      <c r="T900" t="s">
        <v>47</v>
      </c>
      <c r="U900" t="s">
        <v>27</v>
      </c>
    </row>
    <row r="901" spans="18:21" x14ac:dyDescent="0.3">
      <c r="R901" t="s">
        <v>500</v>
      </c>
      <c r="S901" t="s">
        <v>172</v>
      </c>
      <c r="T901" t="s">
        <v>42</v>
      </c>
      <c r="U901" t="s">
        <v>27</v>
      </c>
    </row>
    <row r="902" spans="18:21" x14ac:dyDescent="0.3">
      <c r="R902" t="s">
        <v>500</v>
      </c>
      <c r="S902" t="s">
        <v>172</v>
      </c>
      <c r="T902" t="s">
        <v>82</v>
      </c>
      <c r="U902" t="s">
        <v>27</v>
      </c>
    </row>
    <row r="903" spans="18:21" x14ac:dyDescent="0.3">
      <c r="R903" t="s">
        <v>500</v>
      </c>
      <c r="S903" t="s">
        <v>172</v>
      </c>
      <c r="T903" t="s">
        <v>82</v>
      </c>
      <c r="U903" t="s">
        <v>289</v>
      </c>
    </row>
    <row r="904" spans="18:21" x14ac:dyDescent="0.3">
      <c r="R904" t="s">
        <v>500</v>
      </c>
      <c r="S904" t="s">
        <v>172</v>
      </c>
      <c r="T904" t="s">
        <v>32</v>
      </c>
      <c r="U904" t="s">
        <v>289</v>
      </c>
    </row>
    <row r="905" spans="18:21" x14ac:dyDescent="0.3">
      <c r="R905" t="s">
        <v>500</v>
      </c>
      <c r="S905" t="s">
        <v>172</v>
      </c>
      <c r="T905" t="s">
        <v>37</v>
      </c>
      <c r="U905" t="s">
        <v>289</v>
      </c>
    </row>
    <row r="906" spans="18:21" x14ac:dyDescent="0.3">
      <c r="R906" t="s">
        <v>500</v>
      </c>
      <c r="S906" t="s">
        <v>172</v>
      </c>
      <c r="T906" t="s">
        <v>42</v>
      </c>
      <c r="U906" t="s">
        <v>289</v>
      </c>
    </row>
    <row r="907" spans="18:21" x14ac:dyDescent="0.3">
      <c r="R907" t="s">
        <v>500</v>
      </c>
      <c r="S907" t="s">
        <v>172</v>
      </c>
      <c r="T907" t="s">
        <v>47</v>
      </c>
      <c r="U907" t="s">
        <v>289</v>
      </c>
    </row>
    <row r="908" spans="18:21" x14ac:dyDescent="0.3">
      <c r="R908" t="s">
        <v>500</v>
      </c>
      <c r="S908" t="s">
        <v>172</v>
      </c>
      <c r="T908" t="s">
        <v>82</v>
      </c>
      <c r="U908" t="s">
        <v>131</v>
      </c>
    </row>
    <row r="909" spans="18:21" x14ac:dyDescent="0.3">
      <c r="R909" t="s">
        <v>500</v>
      </c>
      <c r="S909" t="s">
        <v>172</v>
      </c>
      <c r="T909" t="s">
        <v>32</v>
      </c>
      <c r="U909" t="s">
        <v>131</v>
      </c>
    </row>
    <row r="910" spans="18:21" x14ac:dyDescent="0.3">
      <c r="R910" t="s">
        <v>500</v>
      </c>
      <c r="S910" t="s">
        <v>172</v>
      </c>
      <c r="T910" t="s">
        <v>42</v>
      </c>
      <c r="U910" t="s">
        <v>131</v>
      </c>
    </row>
    <row r="911" spans="18:21" x14ac:dyDescent="0.3">
      <c r="R911" t="s">
        <v>500</v>
      </c>
      <c r="S911" t="s">
        <v>172</v>
      </c>
      <c r="T911" t="s">
        <v>37</v>
      </c>
      <c r="U911" t="s">
        <v>385</v>
      </c>
    </row>
    <row r="912" spans="18:21" x14ac:dyDescent="0.3">
      <c r="R912" t="s">
        <v>500</v>
      </c>
      <c r="S912" t="s">
        <v>172</v>
      </c>
      <c r="T912" t="s">
        <v>47</v>
      </c>
      <c r="U912" t="s">
        <v>385</v>
      </c>
    </row>
    <row r="913" spans="18:21" x14ac:dyDescent="0.3">
      <c r="R913" t="s">
        <v>500</v>
      </c>
      <c r="S913" t="s">
        <v>172</v>
      </c>
      <c r="T913" t="s">
        <v>42</v>
      </c>
      <c r="U913" t="s">
        <v>52</v>
      </c>
    </row>
    <row r="914" spans="18:21" x14ac:dyDescent="0.3">
      <c r="R914" t="s">
        <v>500</v>
      </c>
      <c r="S914" t="s">
        <v>172</v>
      </c>
      <c r="T914" t="s">
        <v>82</v>
      </c>
      <c r="U914" t="s">
        <v>52</v>
      </c>
    </row>
    <row r="915" spans="18:21" x14ac:dyDescent="0.3">
      <c r="R915" t="s">
        <v>500</v>
      </c>
      <c r="S915" t="s">
        <v>172</v>
      </c>
      <c r="T915" t="s">
        <v>37</v>
      </c>
      <c r="U915" t="s">
        <v>52</v>
      </c>
    </row>
    <row r="916" spans="18:21" x14ac:dyDescent="0.3">
      <c r="R916" t="s">
        <v>500</v>
      </c>
      <c r="S916" t="s">
        <v>172</v>
      </c>
      <c r="T916" t="s">
        <v>32</v>
      </c>
      <c r="U916" t="s">
        <v>52</v>
      </c>
    </row>
    <row r="917" spans="18:21" x14ac:dyDescent="0.3">
      <c r="R917" t="s">
        <v>500</v>
      </c>
      <c r="S917" t="s">
        <v>172</v>
      </c>
      <c r="T917" t="s">
        <v>47</v>
      </c>
      <c r="U917" t="s">
        <v>52</v>
      </c>
    </row>
    <row r="918" spans="18:21" x14ac:dyDescent="0.3">
      <c r="R918" t="s">
        <v>500</v>
      </c>
      <c r="S918" t="s">
        <v>172</v>
      </c>
      <c r="T918" t="s">
        <v>47</v>
      </c>
      <c r="U918" t="s">
        <v>63</v>
      </c>
    </row>
    <row r="919" spans="18:21" x14ac:dyDescent="0.3">
      <c r="R919" t="s">
        <v>500</v>
      </c>
      <c r="S919" t="s">
        <v>172</v>
      </c>
      <c r="T919" t="s">
        <v>47</v>
      </c>
      <c r="U919" t="s">
        <v>243</v>
      </c>
    </row>
    <row r="920" spans="18:21" x14ac:dyDescent="0.3">
      <c r="R920" t="s">
        <v>500</v>
      </c>
      <c r="S920" t="s">
        <v>172</v>
      </c>
      <c r="T920" t="s">
        <v>47</v>
      </c>
      <c r="U920" t="s">
        <v>220</v>
      </c>
    </row>
    <row r="921" spans="18:21" x14ac:dyDescent="0.3">
      <c r="R921" t="s">
        <v>500</v>
      </c>
      <c r="S921" t="s">
        <v>172</v>
      </c>
      <c r="T921" t="s">
        <v>82</v>
      </c>
      <c r="U921" t="s">
        <v>220</v>
      </c>
    </row>
    <row r="922" spans="18:21" x14ac:dyDescent="0.3">
      <c r="R922" t="s">
        <v>500</v>
      </c>
      <c r="S922" t="s">
        <v>172</v>
      </c>
      <c r="T922" t="s">
        <v>37</v>
      </c>
      <c r="U922" t="s">
        <v>220</v>
      </c>
    </row>
    <row r="923" spans="18:21" x14ac:dyDescent="0.3">
      <c r="R923" t="s">
        <v>500</v>
      </c>
      <c r="S923" t="s">
        <v>172</v>
      </c>
      <c r="T923" t="s">
        <v>47</v>
      </c>
      <c r="U923" t="s">
        <v>343</v>
      </c>
    </row>
    <row r="924" spans="18:21" x14ac:dyDescent="0.3">
      <c r="R924" t="s">
        <v>500</v>
      </c>
      <c r="S924" t="s">
        <v>172</v>
      </c>
      <c r="T924" t="s">
        <v>32</v>
      </c>
      <c r="U924" t="s">
        <v>343</v>
      </c>
    </row>
    <row r="925" spans="18:21" x14ac:dyDescent="0.3">
      <c r="R925" t="s">
        <v>500</v>
      </c>
      <c r="S925" t="s">
        <v>172</v>
      </c>
      <c r="T925" t="s">
        <v>82</v>
      </c>
      <c r="U925" t="s">
        <v>343</v>
      </c>
    </row>
    <row r="926" spans="18:21" x14ac:dyDescent="0.3">
      <c r="R926" t="s">
        <v>502</v>
      </c>
      <c r="S926" t="s">
        <v>181</v>
      </c>
      <c r="T926" t="s">
        <v>26</v>
      </c>
      <c r="U926" t="s">
        <v>289</v>
      </c>
    </row>
    <row r="927" spans="18:21" x14ac:dyDescent="0.3">
      <c r="R927" t="s">
        <v>502</v>
      </c>
      <c r="S927" t="s">
        <v>181</v>
      </c>
      <c r="T927" t="s">
        <v>47</v>
      </c>
      <c r="U927" t="s">
        <v>289</v>
      </c>
    </row>
    <row r="928" spans="18:21" x14ac:dyDescent="0.3">
      <c r="R928" t="s">
        <v>502</v>
      </c>
      <c r="S928" t="s">
        <v>181</v>
      </c>
      <c r="T928" t="s">
        <v>42</v>
      </c>
      <c r="U928" t="s">
        <v>289</v>
      </c>
    </row>
    <row r="929" spans="18:21" x14ac:dyDescent="0.3">
      <c r="R929" t="s">
        <v>502</v>
      </c>
      <c r="S929" t="s">
        <v>181</v>
      </c>
      <c r="T929" t="s">
        <v>32</v>
      </c>
      <c r="U929" t="s">
        <v>289</v>
      </c>
    </row>
    <row r="930" spans="18:21" x14ac:dyDescent="0.3">
      <c r="R930" t="s">
        <v>502</v>
      </c>
      <c r="S930" t="s">
        <v>181</v>
      </c>
      <c r="T930" t="s">
        <v>37</v>
      </c>
      <c r="U930" t="s">
        <v>289</v>
      </c>
    </row>
    <row r="931" spans="18:21" x14ac:dyDescent="0.3">
      <c r="R931" t="s">
        <v>502</v>
      </c>
      <c r="S931" t="s">
        <v>181</v>
      </c>
      <c r="T931" t="s">
        <v>32</v>
      </c>
      <c r="U931" t="s">
        <v>131</v>
      </c>
    </row>
    <row r="932" spans="18:21" x14ac:dyDescent="0.3">
      <c r="R932" t="s">
        <v>502</v>
      </c>
      <c r="S932" t="s">
        <v>181</v>
      </c>
      <c r="T932" t="s">
        <v>47</v>
      </c>
      <c r="U932" t="s">
        <v>131</v>
      </c>
    </row>
    <row r="933" spans="18:21" x14ac:dyDescent="0.3">
      <c r="R933" t="s">
        <v>502</v>
      </c>
      <c r="S933" t="s">
        <v>181</v>
      </c>
      <c r="T933" t="s">
        <v>42</v>
      </c>
      <c r="U933" t="s">
        <v>131</v>
      </c>
    </row>
    <row r="934" spans="18:21" x14ac:dyDescent="0.3">
      <c r="R934" t="s">
        <v>502</v>
      </c>
      <c r="S934" t="s">
        <v>181</v>
      </c>
      <c r="T934" t="s">
        <v>37</v>
      </c>
      <c r="U934" t="s">
        <v>52</v>
      </c>
    </row>
    <row r="935" spans="18:21" x14ac:dyDescent="0.3">
      <c r="R935" t="s">
        <v>502</v>
      </c>
      <c r="S935" t="s">
        <v>181</v>
      </c>
      <c r="T935" t="s">
        <v>47</v>
      </c>
      <c r="U935" t="s">
        <v>52</v>
      </c>
    </row>
    <row r="936" spans="18:21" x14ac:dyDescent="0.3">
      <c r="R936" t="s">
        <v>502</v>
      </c>
      <c r="S936" t="s">
        <v>181</v>
      </c>
      <c r="T936" t="s">
        <v>42</v>
      </c>
      <c r="U936" t="s">
        <v>52</v>
      </c>
    </row>
    <row r="937" spans="18:21" x14ac:dyDescent="0.3">
      <c r="R937" t="s">
        <v>502</v>
      </c>
      <c r="S937" t="s">
        <v>181</v>
      </c>
      <c r="T937" t="s">
        <v>42</v>
      </c>
      <c r="U937" t="s">
        <v>243</v>
      </c>
    </row>
    <row r="938" spans="18:21" x14ac:dyDescent="0.3">
      <c r="R938" t="s">
        <v>502</v>
      </c>
      <c r="S938" t="s">
        <v>181</v>
      </c>
      <c r="T938" t="s">
        <v>37</v>
      </c>
      <c r="U938" t="s">
        <v>243</v>
      </c>
    </row>
    <row r="939" spans="18:21" x14ac:dyDescent="0.3">
      <c r="R939" t="s">
        <v>502</v>
      </c>
      <c r="S939" t="s">
        <v>181</v>
      </c>
      <c r="T939" t="s">
        <v>82</v>
      </c>
      <c r="U939" t="s">
        <v>243</v>
      </c>
    </row>
    <row r="940" spans="18:21" x14ac:dyDescent="0.3">
      <c r="R940" t="s">
        <v>502</v>
      </c>
      <c r="S940" t="s">
        <v>181</v>
      </c>
      <c r="T940" t="s">
        <v>32</v>
      </c>
      <c r="U940" t="s">
        <v>243</v>
      </c>
    </row>
    <row r="941" spans="18:21" x14ac:dyDescent="0.3">
      <c r="R941" t="s">
        <v>502</v>
      </c>
      <c r="S941" t="s">
        <v>181</v>
      </c>
      <c r="T941" t="s">
        <v>47</v>
      </c>
      <c r="U941" t="s">
        <v>243</v>
      </c>
    </row>
    <row r="942" spans="18:21" x14ac:dyDescent="0.3">
      <c r="R942" t="s">
        <v>502</v>
      </c>
      <c r="S942" t="s">
        <v>181</v>
      </c>
      <c r="T942" t="s">
        <v>32</v>
      </c>
      <c r="U942" t="s">
        <v>149</v>
      </c>
    </row>
    <row r="943" spans="18:21" x14ac:dyDescent="0.3">
      <c r="R943" t="s">
        <v>502</v>
      </c>
      <c r="S943" t="s">
        <v>181</v>
      </c>
      <c r="T943" t="s">
        <v>82</v>
      </c>
      <c r="U943" t="s">
        <v>149</v>
      </c>
    </row>
    <row r="944" spans="18:21" x14ac:dyDescent="0.3">
      <c r="R944" t="s">
        <v>502</v>
      </c>
      <c r="S944" t="s">
        <v>181</v>
      </c>
      <c r="T944" t="s">
        <v>47</v>
      </c>
      <c r="U944" t="s">
        <v>149</v>
      </c>
    </row>
    <row r="945" spans="18:21" x14ac:dyDescent="0.3">
      <c r="R945" t="s">
        <v>502</v>
      </c>
      <c r="S945" t="s">
        <v>181</v>
      </c>
      <c r="T945" t="s">
        <v>42</v>
      </c>
      <c r="U945" t="s">
        <v>149</v>
      </c>
    </row>
    <row r="946" spans="18:21" x14ac:dyDescent="0.3">
      <c r="R946" t="s">
        <v>502</v>
      </c>
      <c r="S946" t="s">
        <v>181</v>
      </c>
      <c r="T946" t="s">
        <v>37</v>
      </c>
      <c r="U946" t="s">
        <v>149</v>
      </c>
    </row>
    <row r="947" spans="18:21" x14ac:dyDescent="0.3">
      <c r="R947" t="s">
        <v>502</v>
      </c>
      <c r="S947" t="s">
        <v>181</v>
      </c>
      <c r="T947" t="s">
        <v>82</v>
      </c>
      <c r="U947" t="s">
        <v>343</v>
      </c>
    </row>
    <row r="948" spans="18:21" x14ac:dyDescent="0.3">
      <c r="R948" t="s">
        <v>502</v>
      </c>
      <c r="S948" t="s">
        <v>181</v>
      </c>
      <c r="T948" t="s">
        <v>42</v>
      </c>
      <c r="U948" t="s">
        <v>343</v>
      </c>
    </row>
    <row r="949" spans="18:21" x14ac:dyDescent="0.3">
      <c r="R949" t="s">
        <v>504</v>
      </c>
      <c r="S949" t="s">
        <v>93</v>
      </c>
      <c r="T949" t="s">
        <v>32</v>
      </c>
      <c r="U949" t="s">
        <v>27</v>
      </c>
    </row>
    <row r="950" spans="18:21" x14ac:dyDescent="0.3">
      <c r="R950" t="s">
        <v>504</v>
      </c>
      <c r="S950" t="s">
        <v>93</v>
      </c>
      <c r="T950" t="s">
        <v>26</v>
      </c>
      <c r="U950" t="s">
        <v>27</v>
      </c>
    </row>
    <row r="951" spans="18:21" x14ac:dyDescent="0.3">
      <c r="R951" t="s">
        <v>504</v>
      </c>
      <c r="S951" t="s">
        <v>93</v>
      </c>
      <c r="T951" t="s">
        <v>47</v>
      </c>
      <c r="U951" t="s">
        <v>27</v>
      </c>
    </row>
    <row r="952" spans="18:21" x14ac:dyDescent="0.3">
      <c r="R952" t="s">
        <v>504</v>
      </c>
      <c r="S952" t="s">
        <v>93</v>
      </c>
      <c r="T952" t="s">
        <v>32</v>
      </c>
      <c r="U952" t="s">
        <v>131</v>
      </c>
    </row>
    <row r="953" spans="18:21" x14ac:dyDescent="0.3">
      <c r="R953" t="s">
        <v>504</v>
      </c>
      <c r="S953" t="s">
        <v>93</v>
      </c>
      <c r="T953" t="s">
        <v>47</v>
      </c>
      <c r="U953" t="s">
        <v>131</v>
      </c>
    </row>
    <row r="954" spans="18:21" x14ac:dyDescent="0.3">
      <c r="R954" t="s">
        <v>504</v>
      </c>
      <c r="S954" t="s">
        <v>93</v>
      </c>
      <c r="T954" t="s">
        <v>42</v>
      </c>
      <c r="U954" t="s">
        <v>131</v>
      </c>
    </row>
    <row r="955" spans="18:21" x14ac:dyDescent="0.3">
      <c r="R955" t="s">
        <v>504</v>
      </c>
      <c r="S955" t="s">
        <v>93</v>
      </c>
      <c r="T955" t="s">
        <v>47</v>
      </c>
      <c r="U955" t="s">
        <v>52</v>
      </c>
    </row>
    <row r="956" spans="18:21" x14ac:dyDescent="0.3">
      <c r="R956" t="s">
        <v>504</v>
      </c>
      <c r="S956" t="s">
        <v>93</v>
      </c>
      <c r="T956" t="s">
        <v>42</v>
      </c>
      <c r="U956" t="s">
        <v>52</v>
      </c>
    </row>
    <row r="957" spans="18:21" x14ac:dyDescent="0.3">
      <c r="R957" t="s">
        <v>504</v>
      </c>
      <c r="S957" t="s">
        <v>93</v>
      </c>
      <c r="T957" t="s">
        <v>26</v>
      </c>
      <c r="U957" t="s">
        <v>112</v>
      </c>
    </row>
    <row r="958" spans="18:21" x14ac:dyDescent="0.3">
      <c r="R958" t="s">
        <v>504</v>
      </c>
      <c r="S958" t="s">
        <v>93</v>
      </c>
      <c r="T958" t="s">
        <v>42</v>
      </c>
      <c r="U958" t="s">
        <v>112</v>
      </c>
    </row>
    <row r="959" spans="18:21" x14ac:dyDescent="0.3">
      <c r="R959" t="s">
        <v>504</v>
      </c>
      <c r="S959" t="s">
        <v>93</v>
      </c>
      <c r="T959" t="s">
        <v>47</v>
      </c>
      <c r="U959" t="s">
        <v>112</v>
      </c>
    </row>
    <row r="960" spans="18:21" x14ac:dyDescent="0.3">
      <c r="R960" t="s">
        <v>504</v>
      </c>
      <c r="S960" t="s">
        <v>93</v>
      </c>
      <c r="T960" t="s">
        <v>32</v>
      </c>
      <c r="U960" t="s">
        <v>112</v>
      </c>
    </row>
    <row r="961" spans="18:21" x14ac:dyDescent="0.3">
      <c r="R961" t="s">
        <v>504</v>
      </c>
      <c r="S961" t="s">
        <v>93</v>
      </c>
      <c r="T961" t="s">
        <v>82</v>
      </c>
      <c r="U961" t="s">
        <v>243</v>
      </c>
    </row>
    <row r="962" spans="18:21" x14ac:dyDescent="0.3">
      <c r="R962" t="s">
        <v>504</v>
      </c>
      <c r="S962" t="s">
        <v>93</v>
      </c>
      <c r="T962" t="s">
        <v>32</v>
      </c>
      <c r="U962" t="s">
        <v>243</v>
      </c>
    </row>
    <row r="963" spans="18:21" x14ac:dyDescent="0.3">
      <c r="R963" t="s">
        <v>504</v>
      </c>
      <c r="S963" t="s">
        <v>93</v>
      </c>
      <c r="T963" t="s">
        <v>42</v>
      </c>
      <c r="U963" t="s">
        <v>243</v>
      </c>
    </row>
    <row r="964" spans="18:21" x14ac:dyDescent="0.3">
      <c r="R964" t="s">
        <v>504</v>
      </c>
      <c r="S964" t="s">
        <v>93</v>
      </c>
      <c r="T964" t="s">
        <v>47</v>
      </c>
      <c r="U964" t="s">
        <v>243</v>
      </c>
    </row>
    <row r="965" spans="18:21" x14ac:dyDescent="0.3">
      <c r="R965" t="s">
        <v>504</v>
      </c>
      <c r="S965" t="s">
        <v>93</v>
      </c>
      <c r="T965" t="s">
        <v>37</v>
      </c>
      <c r="U965" t="s">
        <v>243</v>
      </c>
    </row>
    <row r="966" spans="18:21" x14ac:dyDescent="0.3">
      <c r="R966" t="s">
        <v>504</v>
      </c>
      <c r="S966" t="s">
        <v>93</v>
      </c>
      <c r="T966" t="s">
        <v>32</v>
      </c>
      <c r="U966" t="s">
        <v>149</v>
      </c>
    </row>
    <row r="967" spans="18:21" x14ac:dyDescent="0.3">
      <c r="R967" t="s">
        <v>504</v>
      </c>
      <c r="S967" t="s">
        <v>93</v>
      </c>
      <c r="T967" t="s">
        <v>47</v>
      </c>
      <c r="U967" t="s">
        <v>149</v>
      </c>
    </row>
    <row r="968" spans="18:21" x14ac:dyDescent="0.3">
      <c r="R968" t="s">
        <v>504</v>
      </c>
      <c r="S968" t="s">
        <v>93</v>
      </c>
      <c r="T968" t="s">
        <v>42</v>
      </c>
      <c r="U968" t="s">
        <v>149</v>
      </c>
    </row>
    <row r="969" spans="18:21" x14ac:dyDescent="0.3">
      <c r="R969" t="s">
        <v>504</v>
      </c>
      <c r="S969" t="s">
        <v>93</v>
      </c>
      <c r="T969" t="s">
        <v>32</v>
      </c>
      <c r="U969" t="s">
        <v>343</v>
      </c>
    </row>
    <row r="970" spans="18:21" x14ac:dyDescent="0.3">
      <c r="R970" t="s">
        <v>504</v>
      </c>
      <c r="S970" t="s">
        <v>93</v>
      </c>
      <c r="T970" t="s">
        <v>42</v>
      </c>
      <c r="U970" t="s">
        <v>343</v>
      </c>
    </row>
    <row r="971" spans="18:21" x14ac:dyDescent="0.3">
      <c r="R971" t="s">
        <v>504</v>
      </c>
      <c r="S971" t="s">
        <v>93</v>
      </c>
      <c r="T971" t="s">
        <v>82</v>
      </c>
      <c r="U971" t="s">
        <v>343</v>
      </c>
    </row>
    <row r="972" spans="18:21" x14ac:dyDescent="0.3">
      <c r="R972" t="s">
        <v>505</v>
      </c>
      <c r="S972" t="s">
        <v>148</v>
      </c>
      <c r="T972" t="s">
        <v>82</v>
      </c>
      <c r="U972" t="s">
        <v>197</v>
      </c>
    </row>
    <row r="973" spans="18:21" x14ac:dyDescent="0.3">
      <c r="R973" t="s">
        <v>505</v>
      </c>
      <c r="S973" t="s">
        <v>148</v>
      </c>
      <c r="T973" t="s">
        <v>32</v>
      </c>
      <c r="U973" t="s">
        <v>197</v>
      </c>
    </row>
    <row r="974" spans="18:21" x14ac:dyDescent="0.3">
      <c r="R974" t="s">
        <v>505</v>
      </c>
      <c r="S974" t="s">
        <v>148</v>
      </c>
      <c r="T974" t="s">
        <v>47</v>
      </c>
      <c r="U974" t="s">
        <v>197</v>
      </c>
    </row>
    <row r="975" spans="18:21" x14ac:dyDescent="0.3">
      <c r="R975" t="s">
        <v>505</v>
      </c>
      <c r="S975" t="s">
        <v>148</v>
      </c>
      <c r="T975" t="s">
        <v>37</v>
      </c>
      <c r="U975" t="s">
        <v>197</v>
      </c>
    </row>
    <row r="976" spans="18:21" x14ac:dyDescent="0.3">
      <c r="R976" t="s">
        <v>505</v>
      </c>
      <c r="S976" t="s">
        <v>148</v>
      </c>
      <c r="T976" t="s">
        <v>42</v>
      </c>
      <c r="U976" t="s">
        <v>197</v>
      </c>
    </row>
    <row r="977" spans="18:21" x14ac:dyDescent="0.3">
      <c r="R977" t="s">
        <v>505</v>
      </c>
      <c r="S977" t="s">
        <v>148</v>
      </c>
      <c r="T977" t="s">
        <v>42</v>
      </c>
      <c r="U977" t="s">
        <v>27</v>
      </c>
    </row>
    <row r="978" spans="18:21" x14ac:dyDescent="0.3">
      <c r="R978" t="s">
        <v>505</v>
      </c>
      <c r="S978" t="s">
        <v>148</v>
      </c>
      <c r="T978" t="s">
        <v>47</v>
      </c>
      <c r="U978" t="s">
        <v>27</v>
      </c>
    </row>
    <row r="979" spans="18:21" x14ac:dyDescent="0.3">
      <c r="R979" t="s">
        <v>505</v>
      </c>
      <c r="S979" t="s">
        <v>148</v>
      </c>
      <c r="T979" t="s">
        <v>32</v>
      </c>
      <c r="U979" t="s">
        <v>27</v>
      </c>
    </row>
    <row r="980" spans="18:21" x14ac:dyDescent="0.3">
      <c r="R980" t="s">
        <v>505</v>
      </c>
      <c r="S980" t="s">
        <v>148</v>
      </c>
      <c r="T980" t="s">
        <v>82</v>
      </c>
      <c r="U980" t="s">
        <v>27</v>
      </c>
    </row>
    <row r="981" spans="18:21" x14ac:dyDescent="0.3">
      <c r="R981" t="s">
        <v>505</v>
      </c>
      <c r="S981" t="s">
        <v>148</v>
      </c>
      <c r="T981" t="s">
        <v>47</v>
      </c>
      <c r="U981" t="s">
        <v>289</v>
      </c>
    </row>
    <row r="982" spans="18:21" x14ac:dyDescent="0.3">
      <c r="R982" t="s">
        <v>505</v>
      </c>
      <c r="S982" t="s">
        <v>148</v>
      </c>
      <c r="T982" t="s">
        <v>37</v>
      </c>
      <c r="U982" t="s">
        <v>289</v>
      </c>
    </row>
    <row r="983" spans="18:21" x14ac:dyDescent="0.3">
      <c r="R983" t="s">
        <v>505</v>
      </c>
      <c r="S983" t="s">
        <v>148</v>
      </c>
      <c r="T983" t="s">
        <v>37</v>
      </c>
      <c r="U983" t="s">
        <v>131</v>
      </c>
    </row>
    <row r="984" spans="18:21" x14ac:dyDescent="0.3">
      <c r="R984" t="s">
        <v>505</v>
      </c>
      <c r="S984" t="s">
        <v>148</v>
      </c>
      <c r="T984" t="s">
        <v>32</v>
      </c>
      <c r="U984" t="s">
        <v>131</v>
      </c>
    </row>
    <row r="985" spans="18:21" x14ac:dyDescent="0.3">
      <c r="R985" t="s">
        <v>505</v>
      </c>
      <c r="S985" t="s">
        <v>148</v>
      </c>
      <c r="T985" t="s">
        <v>47</v>
      </c>
      <c r="U985" t="s">
        <v>131</v>
      </c>
    </row>
    <row r="986" spans="18:21" x14ac:dyDescent="0.3">
      <c r="R986" t="s">
        <v>505</v>
      </c>
      <c r="S986" t="s">
        <v>148</v>
      </c>
      <c r="T986" t="s">
        <v>42</v>
      </c>
      <c r="U986" t="s">
        <v>131</v>
      </c>
    </row>
    <row r="987" spans="18:21" x14ac:dyDescent="0.3">
      <c r="R987" t="s">
        <v>505</v>
      </c>
      <c r="S987" t="s">
        <v>148</v>
      </c>
      <c r="T987" t="s">
        <v>47</v>
      </c>
      <c r="U987" t="s">
        <v>103</v>
      </c>
    </row>
    <row r="988" spans="18:21" x14ac:dyDescent="0.3">
      <c r="R988" t="s">
        <v>505</v>
      </c>
      <c r="S988" t="s">
        <v>148</v>
      </c>
      <c r="T988" t="s">
        <v>26</v>
      </c>
      <c r="U988" t="s">
        <v>103</v>
      </c>
    </row>
    <row r="989" spans="18:21" x14ac:dyDescent="0.3">
      <c r="R989" t="s">
        <v>505</v>
      </c>
      <c r="S989" t="s">
        <v>148</v>
      </c>
      <c r="T989" t="s">
        <v>47</v>
      </c>
      <c r="U989" t="s">
        <v>235</v>
      </c>
    </row>
    <row r="990" spans="18:21" x14ac:dyDescent="0.3">
      <c r="R990" t="s">
        <v>505</v>
      </c>
      <c r="S990" t="s">
        <v>148</v>
      </c>
      <c r="T990" t="s">
        <v>42</v>
      </c>
      <c r="U990" t="s">
        <v>52</v>
      </c>
    </row>
    <row r="991" spans="18:21" x14ac:dyDescent="0.3">
      <c r="R991" t="s">
        <v>505</v>
      </c>
      <c r="S991" t="s">
        <v>148</v>
      </c>
      <c r="T991" t="s">
        <v>47</v>
      </c>
      <c r="U991" t="s">
        <v>52</v>
      </c>
    </row>
    <row r="992" spans="18:21" x14ac:dyDescent="0.3">
      <c r="R992" t="s">
        <v>505</v>
      </c>
      <c r="S992" t="s">
        <v>148</v>
      </c>
      <c r="T992" t="s">
        <v>32</v>
      </c>
      <c r="U992" t="s">
        <v>52</v>
      </c>
    </row>
    <row r="993" spans="18:21" x14ac:dyDescent="0.3">
      <c r="R993" t="s">
        <v>505</v>
      </c>
      <c r="S993" t="s">
        <v>148</v>
      </c>
      <c r="T993" t="s">
        <v>82</v>
      </c>
      <c r="U993" t="s">
        <v>52</v>
      </c>
    </row>
    <row r="994" spans="18:21" x14ac:dyDescent="0.3">
      <c r="R994" t="s">
        <v>505</v>
      </c>
      <c r="S994" t="s">
        <v>148</v>
      </c>
      <c r="T994" t="s">
        <v>32</v>
      </c>
      <c r="U994" t="s">
        <v>243</v>
      </c>
    </row>
    <row r="995" spans="18:21" x14ac:dyDescent="0.3">
      <c r="R995" t="s">
        <v>505</v>
      </c>
      <c r="S995" t="s">
        <v>148</v>
      </c>
      <c r="T995" t="s">
        <v>37</v>
      </c>
      <c r="U995" t="s">
        <v>243</v>
      </c>
    </row>
    <row r="996" spans="18:21" x14ac:dyDescent="0.3">
      <c r="R996" t="s">
        <v>505</v>
      </c>
      <c r="S996" t="s">
        <v>148</v>
      </c>
      <c r="T996" t="s">
        <v>82</v>
      </c>
      <c r="U996" t="s">
        <v>243</v>
      </c>
    </row>
    <row r="997" spans="18:21" x14ac:dyDescent="0.3">
      <c r="R997" t="s">
        <v>505</v>
      </c>
      <c r="S997" t="s">
        <v>148</v>
      </c>
      <c r="T997" t="s">
        <v>47</v>
      </c>
      <c r="U997" t="s">
        <v>243</v>
      </c>
    </row>
    <row r="998" spans="18:21" x14ac:dyDescent="0.3">
      <c r="R998" t="s">
        <v>505</v>
      </c>
      <c r="S998" t="s">
        <v>148</v>
      </c>
      <c r="T998" t="s">
        <v>42</v>
      </c>
      <c r="U998" t="s">
        <v>243</v>
      </c>
    </row>
    <row r="999" spans="18:21" x14ac:dyDescent="0.3">
      <c r="R999" t="s">
        <v>505</v>
      </c>
      <c r="S999" t="s">
        <v>148</v>
      </c>
      <c r="T999" t="s">
        <v>82</v>
      </c>
      <c r="U999" t="s">
        <v>149</v>
      </c>
    </row>
    <row r="1000" spans="18:21" x14ac:dyDescent="0.3">
      <c r="R1000" t="s">
        <v>505</v>
      </c>
      <c r="S1000" t="s">
        <v>148</v>
      </c>
      <c r="T1000" t="s">
        <v>32</v>
      </c>
      <c r="U1000" t="s">
        <v>149</v>
      </c>
    </row>
    <row r="1001" spans="18:21" x14ac:dyDescent="0.3">
      <c r="R1001" t="s">
        <v>505</v>
      </c>
      <c r="S1001" t="s">
        <v>148</v>
      </c>
      <c r="T1001" t="s">
        <v>47</v>
      </c>
      <c r="U1001" t="s">
        <v>149</v>
      </c>
    </row>
    <row r="1002" spans="18:21" x14ac:dyDescent="0.3">
      <c r="R1002" t="s">
        <v>505</v>
      </c>
      <c r="S1002" t="s">
        <v>148</v>
      </c>
      <c r="T1002" t="s">
        <v>26</v>
      </c>
      <c r="U1002" t="s">
        <v>149</v>
      </c>
    </row>
    <row r="1003" spans="18:21" x14ac:dyDescent="0.3">
      <c r="R1003" t="s">
        <v>505</v>
      </c>
      <c r="S1003" t="s">
        <v>148</v>
      </c>
      <c r="T1003" t="s">
        <v>42</v>
      </c>
      <c r="U1003" t="s">
        <v>149</v>
      </c>
    </row>
    <row r="1004" spans="18:21" x14ac:dyDescent="0.3">
      <c r="R1004" t="s">
        <v>505</v>
      </c>
      <c r="S1004" t="s">
        <v>148</v>
      </c>
      <c r="T1004" t="s">
        <v>42</v>
      </c>
      <c r="U1004" t="s">
        <v>220</v>
      </c>
    </row>
    <row r="1005" spans="18:21" x14ac:dyDescent="0.3">
      <c r="R1005" t="s">
        <v>505</v>
      </c>
      <c r="S1005" t="s">
        <v>148</v>
      </c>
      <c r="T1005" t="s">
        <v>37</v>
      </c>
      <c r="U1005" t="s">
        <v>220</v>
      </c>
    </row>
    <row r="1006" spans="18:21" x14ac:dyDescent="0.3">
      <c r="R1006" t="s">
        <v>505</v>
      </c>
      <c r="S1006" t="s">
        <v>148</v>
      </c>
      <c r="T1006" t="s">
        <v>32</v>
      </c>
      <c r="U1006" t="s">
        <v>220</v>
      </c>
    </row>
    <row r="1007" spans="18:21" x14ac:dyDescent="0.3">
      <c r="R1007" t="s">
        <v>505</v>
      </c>
      <c r="S1007" t="s">
        <v>148</v>
      </c>
      <c r="T1007" t="s">
        <v>47</v>
      </c>
      <c r="U1007" t="s">
        <v>220</v>
      </c>
    </row>
    <row r="1008" spans="18:21" x14ac:dyDescent="0.3">
      <c r="R1008" t="s">
        <v>542</v>
      </c>
      <c r="S1008" t="s">
        <v>435</v>
      </c>
      <c r="T1008" t="s">
        <v>47</v>
      </c>
      <c r="U1008" t="s">
        <v>289</v>
      </c>
    </row>
    <row r="1009" spans="18:21" x14ac:dyDescent="0.3">
      <c r="R1009" t="s">
        <v>542</v>
      </c>
      <c r="S1009" t="s">
        <v>435</v>
      </c>
      <c r="T1009" t="s">
        <v>26</v>
      </c>
      <c r="U1009" t="s">
        <v>103</v>
      </c>
    </row>
    <row r="1010" spans="18:21" x14ac:dyDescent="0.3">
      <c r="R1010" t="s">
        <v>542</v>
      </c>
      <c r="S1010" t="s">
        <v>435</v>
      </c>
      <c r="T1010" t="s">
        <v>37</v>
      </c>
      <c r="U1010" t="s">
        <v>103</v>
      </c>
    </row>
    <row r="1011" spans="18:21" x14ac:dyDescent="0.3">
      <c r="R1011" t="s">
        <v>542</v>
      </c>
      <c r="S1011" t="s">
        <v>435</v>
      </c>
      <c r="T1011" t="s">
        <v>42</v>
      </c>
      <c r="U1011" t="s">
        <v>103</v>
      </c>
    </row>
    <row r="1012" spans="18:21" x14ac:dyDescent="0.3">
      <c r="R1012" t="s">
        <v>542</v>
      </c>
      <c r="S1012" t="s">
        <v>435</v>
      </c>
      <c r="T1012" t="s">
        <v>37</v>
      </c>
      <c r="U1012" t="s">
        <v>322</v>
      </c>
    </row>
    <row r="1013" spans="18:21" x14ac:dyDescent="0.3">
      <c r="R1013" t="s">
        <v>542</v>
      </c>
      <c r="S1013" t="s">
        <v>435</v>
      </c>
      <c r="T1013" t="s">
        <v>32</v>
      </c>
      <c r="U1013" t="s">
        <v>282</v>
      </c>
    </row>
    <row r="1014" spans="18:21" x14ac:dyDescent="0.3">
      <c r="R1014" t="s">
        <v>542</v>
      </c>
      <c r="S1014" t="s">
        <v>435</v>
      </c>
      <c r="T1014" t="s">
        <v>42</v>
      </c>
      <c r="U1014" t="s">
        <v>282</v>
      </c>
    </row>
    <row r="1015" spans="18:21" x14ac:dyDescent="0.3">
      <c r="R1015" t="s">
        <v>542</v>
      </c>
      <c r="S1015" t="s">
        <v>435</v>
      </c>
      <c r="T1015" t="s">
        <v>32</v>
      </c>
      <c r="U1015" t="s">
        <v>149</v>
      </c>
    </row>
    <row r="1016" spans="18:21" x14ac:dyDescent="0.3">
      <c r="R1016" t="s">
        <v>506</v>
      </c>
      <c r="S1016" t="s">
        <v>186</v>
      </c>
      <c r="T1016" t="s">
        <v>42</v>
      </c>
      <c r="U1016" t="s">
        <v>175</v>
      </c>
    </row>
    <row r="1017" spans="18:21" x14ac:dyDescent="0.3">
      <c r="R1017" t="s">
        <v>506</v>
      </c>
      <c r="S1017" t="s">
        <v>186</v>
      </c>
      <c r="T1017" t="s">
        <v>82</v>
      </c>
      <c r="U1017" t="s">
        <v>175</v>
      </c>
    </row>
    <row r="1018" spans="18:21" x14ac:dyDescent="0.3">
      <c r="R1018" t="s">
        <v>506</v>
      </c>
      <c r="S1018" t="s">
        <v>186</v>
      </c>
      <c r="T1018" t="s">
        <v>42</v>
      </c>
      <c r="U1018" t="s">
        <v>289</v>
      </c>
    </row>
    <row r="1019" spans="18:21" x14ac:dyDescent="0.3">
      <c r="R1019" t="s">
        <v>506</v>
      </c>
      <c r="S1019" t="s">
        <v>186</v>
      </c>
      <c r="T1019" t="s">
        <v>32</v>
      </c>
      <c r="U1019" t="s">
        <v>289</v>
      </c>
    </row>
    <row r="1020" spans="18:21" x14ac:dyDescent="0.3">
      <c r="R1020" t="s">
        <v>506</v>
      </c>
      <c r="S1020" t="s">
        <v>186</v>
      </c>
      <c r="T1020" t="s">
        <v>82</v>
      </c>
      <c r="U1020" t="s">
        <v>289</v>
      </c>
    </row>
    <row r="1021" spans="18:21" x14ac:dyDescent="0.3">
      <c r="R1021" t="s">
        <v>506</v>
      </c>
      <c r="S1021" t="s">
        <v>186</v>
      </c>
      <c r="T1021" t="s">
        <v>32</v>
      </c>
      <c r="U1021" t="s">
        <v>103</v>
      </c>
    </row>
    <row r="1022" spans="18:21" x14ac:dyDescent="0.3">
      <c r="R1022" t="s">
        <v>506</v>
      </c>
      <c r="S1022" t="s">
        <v>186</v>
      </c>
      <c r="T1022" t="s">
        <v>82</v>
      </c>
      <c r="U1022" t="s">
        <v>103</v>
      </c>
    </row>
    <row r="1023" spans="18:21" x14ac:dyDescent="0.3">
      <c r="R1023" t="s">
        <v>506</v>
      </c>
      <c r="S1023" t="s">
        <v>186</v>
      </c>
      <c r="T1023" t="s">
        <v>42</v>
      </c>
      <c r="U1023" t="s">
        <v>103</v>
      </c>
    </row>
    <row r="1024" spans="18:21" x14ac:dyDescent="0.3">
      <c r="R1024" t="s">
        <v>506</v>
      </c>
      <c r="S1024" t="s">
        <v>186</v>
      </c>
      <c r="T1024" t="s">
        <v>47</v>
      </c>
      <c r="U1024" t="s">
        <v>112</v>
      </c>
    </row>
    <row r="1025" spans="18:21" x14ac:dyDescent="0.3">
      <c r="R1025" t="s">
        <v>506</v>
      </c>
      <c r="S1025" t="s">
        <v>186</v>
      </c>
      <c r="T1025" t="s">
        <v>42</v>
      </c>
      <c r="U1025" t="s">
        <v>112</v>
      </c>
    </row>
    <row r="1026" spans="18:21" x14ac:dyDescent="0.3">
      <c r="R1026" t="s">
        <v>508</v>
      </c>
      <c r="S1026" t="s">
        <v>341</v>
      </c>
      <c r="T1026" t="s">
        <v>32</v>
      </c>
      <c r="U1026" t="s">
        <v>175</v>
      </c>
    </row>
    <row r="1027" spans="18:21" x14ac:dyDescent="0.3">
      <c r="R1027" t="s">
        <v>508</v>
      </c>
      <c r="S1027" t="s">
        <v>341</v>
      </c>
      <c r="T1027" t="s">
        <v>42</v>
      </c>
      <c r="U1027" t="s">
        <v>175</v>
      </c>
    </row>
    <row r="1028" spans="18:21" x14ac:dyDescent="0.3">
      <c r="R1028" t="s">
        <v>508</v>
      </c>
      <c r="S1028" t="s">
        <v>341</v>
      </c>
      <c r="T1028" t="s">
        <v>82</v>
      </c>
      <c r="U1028" t="s">
        <v>175</v>
      </c>
    </row>
    <row r="1029" spans="18:21" x14ac:dyDescent="0.3">
      <c r="R1029" t="s">
        <v>508</v>
      </c>
      <c r="S1029" t="s">
        <v>341</v>
      </c>
      <c r="T1029" t="s">
        <v>42</v>
      </c>
      <c r="U1029" t="s">
        <v>273</v>
      </c>
    </row>
    <row r="1030" spans="18:21" x14ac:dyDescent="0.3">
      <c r="R1030" t="s">
        <v>508</v>
      </c>
      <c r="S1030" t="s">
        <v>341</v>
      </c>
      <c r="T1030" t="s">
        <v>37</v>
      </c>
      <c r="U1030" t="s">
        <v>273</v>
      </c>
    </row>
    <row r="1031" spans="18:21" x14ac:dyDescent="0.3">
      <c r="R1031" t="s">
        <v>508</v>
      </c>
      <c r="S1031" t="s">
        <v>341</v>
      </c>
      <c r="T1031" t="s">
        <v>32</v>
      </c>
      <c r="U1031" t="s">
        <v>273</v>
      </c>
    </row>
    <row r="1032" spans="18:21" x14ac:dyDescent="0.3">
      <c r="R1032" t="s">
        <v>508</v>
      </c>
      <c r="S1032" t="s">
        <v>341</v>
      </c>
      <c r="T1032" t="s">
        <v>32</v>
      </c>
      <c r="U1032" t="s">
        <v>291</v>
      </c>
    </row>
    <row r="1033" spans="18:21" x14ac:dyDescent="0.3">
      <c r="R1033" t="s">
        <v>508</v>
      </c>
      <c r="S1033" t="s">
        <v>341</v>
      </c>
      <c r="T1033" t="s">
        <v>32</v>
      </c>
      <c r="U1033" t="s">
        <v>343</v>
      </c>
    </row>
    <row r="1034" spans="18:21" x14ac:dyDescent="0.3">
      <c r="R1034" t="s">
        <v>508</v>
      </c>
      <c r="S1034" t="s">
        <v>341</v>
      </c>
      <c r="T1034" t="s">
        <v>37</v>
      </c>
      <c r="U1034" t="s">
        <v>299</v>
      </c>
    </row>
    <row r="1035" spans="18:21" x14ac:dyDescent="0.3">
      <c r="R1035" t="s">
        <v>508</v>
      </c>
      <c r="S1035" t="s">
        <v>341</v>
      </c>
      <c r="T1035" t="s">
        <v>82</v>
      </c>
      <c r="U1035" t="s">
        <v>299</v>
      </c>
    </row>
    <row r="1036" spans="18:21" x14ac:dyDescent="0.3">
      <c r="R1036" t="s">
        <v>508</v>
      </c>
      <c r="S1036" t="s">
        <v>341</v>
      </c>
      <c r="T1036" t="s">
        <v>32</v>
      </c>
      <c r="U1036" t="s">
        <v>299</v>
      </c>
    </row>
    <row r="1037" spans="18:21" x14ac:dyDescent="0.3">
      <c r="R1037" t="s">
        <v>508</v>
      </c>
      <c r="S1037" t="s">
        <v>341</v>
      </c>
      <c r="T1037" t="s">
        <v>47</v>
      </c>
      <c r="U1037" t="s">
        <v>299</v>
      </c>
    </row>
    <row r="1038" spans="18:21" x14ac:dyDescent="0.3">
      <c r="R1038" t="s">
        <v>508</v>
      </c>
      <c r="S1038" t="s">
        <v>341</v>
      </c>
      <c r="T1038" t="s">
        <v>42</v>
      </c>
      <c r="U1038" t="s">
        <v>299</v>
      </c>
    </row>
    <row r="1039" spans="18:21" x14ac:dyDescent="0.3">
      <c r="R1039" t="s">
        <v>509</v>
      </c>
      <c r="S1039" t="s">
        <v>191</v>
      </c>
      <c r="T1039" t="s">
        <v>82</v>
      </c>
      <c r="U1039" t="s">
        <v>271</v>
      </c>
    </row>
    <row r="1040" spans="18:21" x14ac:dyDescent="0.3">
      <c r="R1040" t="s">
        <v>509</v>
      </c>
      <c r="S1040" t="s">
        <v>191</v>
      </c>
      <c r="T1040" t="s">
        <v>32</v>
      </c>
      <c r="U1040" t="s">
        <v>271</v>
      </c>
    </row>
    <row r="1041" spans="18:21" x14ac:dyDescent="0.3">
      <c r="R1041" t="s">
        <v>509</v>
      </c>
      <c r="S1041" t="s">
        <v>191</v>
      </c>
      <c r="T1041" t="s">
        <v>37</v>
      </c>
      <c r="U1041" t="s">
        <v>271</v>
      </c>
    </row>
    <row r="1042" spans="18:21" x14ac:dyDescent="0.3">
      <c r="R1042" t="s">
        <v>509</v>
      </c>
      <c r="S1042" t="s">
        <v>191</v>
      </c>
      <c r="T1042" t="s">
        <v>42</v>
      </c>
      <c r="U1042" t="s">
        <v>271</v>
      </c>
    </row>
    <row r="1043" spans="18:21" x14ac:dyDescent="0.3">
      <c r="R1043" t="s">
        <v>509</v>
      </c>
      <c r="S1043" t="s">
        <v>191</v>
      </c>
      <c r="T1043" t="s">
        <v>82</v>
      </c>
      <c r="U1043" t="s">
        <v>131</v>
      </c>
    </row>
    <row r="1044" spans="18:21" x14ac:dyDescent="0.3">
      <c r="R1044" t="s">
        <v>509</v>
      </c>
      <c r="S1044" t="s">
        <v>191</v>
      </c>
      <c r="T1044" t="s">
        <v>32</v>
      </c>
      <c r="U1044" t="s">
        <v>131</v>
      </c>
    </row>
    <row r="1045" spans="18:21" x14ac:dyDescent="0.3">
      <c r="R1045" t="s">
        <v>509</v>
      </c>
      <c r="S1045" t="s">
        <v>191</v>
      </c>
      <c r="T1045" t="s">
        <v>37</v>
      </c>
      <c r="U1045" t="s">
        <v>131</v>
      </c>
    </row>
    <row r="1046" spans="18:21" x14ac:dyDescent="0.3">
      <c r="R1046" t="s">
        <v>509</v>
      </c>
      <c r="S1046" t="s">
        <v>191</v>
      </c>
      <c r="T1046" t="s">
        <v>42</v>
      </c>
      <c r="U1046" t="s">
        <v>131</v>
      </c>
    </row>
    <row r="1047" spans="18:21" x14ac:dyDescent="0.3">
      <c r="R1047" t="s">
        <v>509</v>
      </c>
      <c r="S1047" t="s">
        <v>191</v>
      </c>
      <c r="T1047" t="s">
        <v>26</v>
      </c>
      <c r="U1047" t="s">
        <v>103</v>
      </c>
    </row>
    <row r="1048" spans="18:21" x14ac:dyDescent="0.3">
      <c r="R1048" t="s">
        <v>509</v>
      </c>
      <c r="S1048" t="s">
        <v>191</v>
      </c>
      <c r="T1048" t="s">
        <v>42</v>
      </c>
      <c r="U1048" t="s">
        <v>149</v>
      </c>
    </row>
    <row r="1049" spans="18:21" x14ac:dyDescent="0.3">
      <c r="R1049" t="s">
        <v>509</v>
      </c>
      <c r="S1049" t="s">
        <v>191</v>
      </c>
      <c r="T1049" t="s">
        <v>37</v>
      </c>
      <c r="U1049" t="s">
        <v>149</v>
      </c>
    </row>
    <row r="1050" spans="18:21" x14ac:dyDescent="0.3">
      <c r="R1050" t="s">
        <v>509</v>
      </c>
      <c r="S1050" t="s">
        <v>191</v>
      </c>
      <c r="T1050" t="s">
        <v>26</v>
      </c>
      <c r="U1050" t="s">
        <v>149</v>
      </c>
    </row>
    <row r="1051" spans="18:21" x14ac:dyDescent="0.3">
      <c r="R1051" t="s">
        <v>509</v>
      </c>
      <c r="S1051" t="s">
        <v>191</v>
      </c>
      <c r="T1051" t="s">
        <v>47</v>
      </c>
      <c r="U1051" t="s">
        <v>149</v>
      </c>
    </row>
    <row r="1052" spans="18:21" x14ac:dyDescent="0.3">
      <c r="R1052" t="s">
        <v>509</v>
      </c>
      <c r="S1052" t="s">
        <v>191</v>
      </c>
      <c r="T1052" t="s">
        <v>32</v>
      </c>
      <c r="U1052" t="s">
        <v>149</v>
      </c>
    </row>
    <row r="1053" spans="18:21" x14ac:dyDescent="0.3">
      <c r="R1053" t="s">
        <v>509</v>
      </c>
      <c r="S1053" t="s">
        <v>191</v>
      </c>
      <c r="T1053" t="s">
        <v>82</v>
      </c>
      <c r="U1053" t="s">
        <v>149</v>
      </c>
    </row>
    <row r="1054" spans="18:21" x14ac:dyDescent="0.3">
      <c r="R1054" t="s">
        <v>543</v>
      </c>
      <c r="S1054" t="s">
        <v>439</v>
      </c>
      <c r="T1054" t="s">
        <v>42</v>
      </c>
      <c r="U1054" t="s">
        <v>112</v>
      </c>
    </row>
    <row r="1055" spans="18:21" x14ac:dyDescent="0.3">
      <c r="R1055" t="s">
        <v>512</v>
      </c>
      <c r="S1055" t="s">
        <v>347</v>
      </c>
      <c r="T1055" t="s">
        <v>82</v>
      </c>
      <c r="U1055" t="s">
        <v>175</v>
      </c>
    </row>
    <row r="1056" spans="18:21" x14ac:dyDescent="0.3">
      <c r="R1056" t="s">
        <v>544</v>
      </c>
      <c r="S1056" t="s">
        <v>168</v>
      </c>
      <c r="T1056" t="s">
        <v>26</v>
      </c>
      <c r="U1056" t="s">
        <v>197</v>
      </c>
    </row>
    <row r="1057" spans="18:21" x14ac:dyDescent="0.3">
      <c r="R1057" t="s">
        <v>544</v>
      </c>
      <c r="S1057" t="s">
        <v>168</v>
      </c>
      <c r="T1057" t="s">
        <v>32</v>
      </c>
      <c r="U1057" t="s">
        <v>131</v>
      </c>
    </row>
    <row r="1058" spans="18:21" x14ac:dyDescent="0.3">
      <c r="R1058" t="s">
        <v>544</v>
      </c>
      <c r="S1058" t="s">
        <v>168</v>
      </c>
      <c r="T1058" t="s">
        <v>26</v>
      </c>
      <c r="U1058" t="s">
        <v>131</v>
      </c>
    </row>
    <row r="1059" spans="18:21" x14ac:dyDescent="0.3">
      <c r="R1059" t="s">
        <v>544</v>
      </c>
      <c r="S1059" t="s">
        <v>168</v>
      </c>
      <c r="T1059" t="s">
        <v>47</v>
      </c>
      <c r="U1059" t="s">
        <v>131</v>
      </c>
    </row>
    <row r="1060" spans="18:21" x14ac:dyDescent="0.3">
      <c r="R1060" t="s">
        <v>544</v>
      </c>
      <c r="S1060" t="s">
        <v>168</v>
      </c>
      <c r="T1060" t="s">
        <v>42</v>
      </c>
      <c r="U1060" t="s">
        <v>131</v>
      </c>
    </row>
    <row r="1061" spans="18:21" x14ac:dyDescent="0.3">
      <c r="R1061" t="s">
        <v>544</v>
      </c>
      <c r="S1061" t="s">
        <v>168</v>
      </c>
      <c r="T1061" t="s">
        <v>47</v>
      </c>
      <c r="U1061" t="s">
        <v>235</v>
      </c>
    </row>
    <row r="1062" spans="18:21" x14ac:dyDescent="0.3">
      <c r="R1062" t="s">
        <v>544</v>
      </c>
      <c r="S1062" t="s">
        <v>168</v>
      </c>
      <c r="T1062" t="s">
        <v>47</v>
      </c>
      <c r="U1062" t="s">
        <v>299</v>
      </c>
    </row>
    <row r="1063" spans="18:21" x14ac:dyDescent="0.3">
      <c r="R1063" t="s">
        <v>544</v>
      </c>
      <c r="S1063" t="s">
        <v>168</v>
      </c>
      <c r="T1063" t="s">
        <v>32</v>
      </c>
      <c r="U1063" t="s">
        <v>299</v>
      </c>
    </row>
    <row r="1064" spans="18:21" x14ac:dyDescent="0.3">
      <c r="R1064" t="s">
        <v>544</v>
      </c>
      <c r="S1064" t="s">
        <v>168</v>
      </c>
      <c r="T1064" t="s">
        <v>26</v>
      </c>
      <c r="U1064" t="s">
        <v>299</v>
      </c>
    </row>
    <row r="1065" spans="18:21" x14ac:dyDescent="0.3">
      <c r="R1065" t="s">
        <v>514</v>
      </c>
      <c r="S1065" t="s">
        <v>194</v>
      </c>
      <c r="T1065" t="s">
        <v>47</v>
      </c>
      <c r="U1065" t="s">
        <v>95</v>
      </c>
    </row>
    <row r="1066" spans="18:21" x14ac:dyDescent="0.3">
      <c r="R1066" t="s">
        <v>514</v>
      </c>
      <c r="S1066" t="s">
        <v>194</v>
      </c>
      <c r="T1066" t="s">
        <v>26</v>
      </c>
      <c r="U1066" t="s">
        <v>95</v>
      </c>
    </row>
    <row r="1067" spans="18:21" x14ac:dyDescent="0.3">
      <c r="R1067" t="s">
        <v>514</v>
      </c>
      <c r="S1067" t="s">
        <v>194</v>
      </c>
      <c r="T1067" t="s">
        <v>37</v>
      </c>
      <c r="U1067" t="s">
        <v>95</v>
      </c>
    </row>
    <row r="1068" spans="18:21" x14ac:dyDescent="0.3">
      <c r="R1068" t="s">
        <v>514</v>
      </c>
      <c r="S1068" t="s">
        <v>194</v>
      </c>
      <c r="T1068" t="s">
        <v>42</v>
      </c>
      <c r="U1068" t="s">
        <v>268</v>
      </c>
    </row>
    <row r="1069" spans="18:21" x14ac:dyDescent="0.3">
      <c r="R1069" t="s">
        <v>514</v>
      </c>
      <c r="S1069" t="s">
        <v>194</v>
      </c>
      <c r="T1069" t="s">
        <v>32</v>
      </c>
      <c r="U1069" t="s">
        <v>268</v>
      </c>
    </row>
    <row r="1070" spans="18:21" x14ac:dyDescent="0.3">
      <c r="R1070" t="s">
        <v>514</v>
      </c>
      <c r="S1070" t="s">
        <v>194</v>
      </c>
      <c r="T1070" t="s">
        <v>26</v>
      </c>
      <c r="U1070" t="s">
        <v>268</v>
      </c>
    </row>
    <row r="1071" spans="18:21" x14ac:dyDescent="0.3">
      <c r="R1071" t="s">
        <v>514</v>
      </c>
      <c r="S1071" t="s">
        <v>194</v>
      </c>
      <c r="T1071" t="s">
        <v>26</v>
      </c>
      <c r="U1071" t="s">
        <v>131</v>
      </c>
    </row>
    <row r="1072" spans="18:21" x14ac:dyDescent="0.3">
      <c r="R1072" t="s">
        <v>514</v>
      </c>
      <c r="S1072" t="s">
        <v>194</v>
      </c>
      <c r="T1072" t="s">
        <v>47</v>
      </c>
      <c r="U1072" t="s">
        <v>131</v>
      </c>
    </row>
    <row r="1073" spans="18:21" x14ac:dyDescent="0.3">
      <c r="R1073" t="s">
        <v>514</v>
      </c>
      <c r="S1073" t="s">
        <v>194</v>
      </c>
      <c r="T1073" t="s">
        <v>42</v>
      </c>
      <c r="U1073" t="s">
        <v>343</v>
      </c>
    </row>
    <row r="1074" spans="18:21" x14ac:dyDescent="0.3">
      <c r="R1074" t="s">
        <v>514</v>
      </c>
      <c r="S1074" t="s">
        <v>194</v>
      </c>
      <c r="T1074" t="s">
        <v>82</v>
      </c>
      <c r="U1074" t="s">
        <v>343</v>
      </c>
    </row>
    <row r="1075" spans="18:21" x14ac:dyDescent="0.3">
      <c r="R1075" t="s">
        <v>514</v>
      </c>
      <c r="S1075" t="s">
        <v>194</v>
      </c>
      <c r="T1075" t="s">
        <v>47</v>
      </c>
      <c r="U1075" t="s">
        <v>343</v>
      </c>
    </row>
    <row r="1076" spans="18:21" x14ac:dyDescent="0.3">
      <c r="R1076" t="s">
        <v>514</v>
      </c>
      <c r="S1076" t="s">
        <v>194</v>
      </c>
      <c r="T1076" t="s">
        <v>32</v>
      </c>
      <c r="U1076" t="s">
        <v>343</v>
      </c>
    </row>
    <row r="1077" spans="18:21" x14ac:dyDescent="0.3">
      <c r="R1077" t="s">
        <v>545</v>
      </c>
      <c r="S1077" t="s">
        <v>441</v>
      </c>
      <c r="T1077" t="s">
        <v>32</v>
      </c>
      <c r="U1077" t="s">
        <v>95</v>
      </c>
    </row>
    <row r="1078" spans="18:21" x14ac:dyDescent="0.3">
      <c r="R1078" t="s">
        <v>545</v>
      </c>
      <c r="S1078" t="s">
        <v>441</v>
      </c>
      <c r="T1078" t="s">
        <v>47</v>
      </c>
      <c r="U1078" t="s">
        <v>95</v>
      </c>
    </row>
    <row r="1079" spans="18:21" x14ac:dyDescent="0.3">
      <c r="R1079" t="s">
        <v>545</v>
      </c>
      <c r="S1079" t="s">
        <v>441</v>
      </c>
      <c r="T1079" t="s">
        <v>37</v>
      </c>
      <c r="U1079" t="s">
        <v>95</v>
      </c>
    </row>
    <row r="1080" spans="18:21" x14ac:dyDescent="0.3">
      <c r="R1080" t="s">
        <v>545</v>
      </c>
      <c r="S1080" t="s">
        <v>441</v>
      </c>
      <c r="T1080" t="s">
        <v>26</v>
      </c>
      <c r="U1080" t="s">
        <v>95</v>
      </c>
    </row>
    <row r="1081" spans="18:21" x14ac:dyDescent="0.3">
      <c r="R1081" t="s">
        <v>545</v>
      </c>
      <c r="S1081" t="s">
        <v>441</v>
      </c>
      <c r="T1081" t="s">
        <v>42</v>
      </c>
      <c r="U1081" t="s">
        <v>95</v>
      </c>
    </row>
    <row r="1082" spans="18:21" x14ac:dyDescent="0.3">
      <c r="R1082" t="s">
        <v>545</v>
      </c>
      <c r="S1082" t="s">
        <v>441</v>
      </c>
      <c r="T1082" t="s">
        <v>32</v>
      </c>
      <c r="U1082" t="s">
        <v>197</v>
      </c>
    </row>
    <row r="1083" spans="18:21" x14ac:dyDescent="0.3">
      <c r="R1083" t="s">
        <v>545</v>
      </c>
      <c r="S1083" t="s">
        <v>441</v>
      </c>
      <c r="T1083" t="s">
        <v>47</v>
      </c>
      <c r="U1083" t="s">
        <v>289</v>
      </c>
    </row>
    <row r="1084" spans="18:21" x14ac:dyDescent="0.3">
      <c r="R1084" t="s">
        <v>545</v>
      </c>
      <c r="S1084" t="s">
        <v>441</v>
      </c>
      <c r="T1084" t="s">
        <v>32</v>
      </c>
      <c r="U1084" t="s">
        <v>289</v>
      </c>
    </row>
    <row r="1085" spans="18:21" x14ac:dyDescent="0.3">
      <c r="R1085" t="s">
        <v>545</v>
      </c>
      <c r="S1085" t="s">
        <v>441</v>
      </c>
      <c r="T1085" t="s">
        <v>42</v>
      </c>
      <c r="U1085" t="s">
        <v>289</v>
      </c>
    </row>
    <row r="1086" spans="18:21" x14ac:dyDescent="0.3">
      <c r="R1086" t="s">
        <v>545</v>
      </c>
      <c r="S1086" t="s">
        <v>441</v>
      </c>
      <c r="T1086" t="s">
        <v>47</v>
      </c>
      <c r="U1086" t="s">
        <v>235</v>
      </c>
    </row>
    <row r="1087" spans="18:21" x14ac:dyDescent="0.3">
      <c r="R1087" t="s">
        <v>545</v>
      </c>
      <c r="S1087" t="s">
        <v>441</v>
      </c>
      <c r="T1087" t="s">
        <v>42</v>
      </c>
      <c r="U1087" t="s">
        <v>235</v>
      </c>
    </row>
    <row r="1088" spans="18:21" x14ac:dyDescent="0.3">
      <c r="R1088" t="s">
        <v>545</v>
      </c>
      <c r="S1088" t="s">
        <v>441</v>
      </c>
      <c r="T1088" t="s">
        <v>32</v>
      </c>
      <c r="U1088" t="s">
        <v>235</v>
      </c>
    </row>
    <row r="1089" spans="18:21" x14ac:dyDescent="0.3">
      <c r="R1089" t="s">
        <v>545</v>
      </c>
      <c r="S1089" t="s">
        <v>441</v>
      </c>
      <c r="T1089" t="s">
        <v>42</v>
      </c>
      <c r="U1089" t="s">
        <v>112</v>
      </c>
    </row>
    <row r="1090" spans="18:21" x14ac:dyDescent="0.3">
      <c r="R1090" t="s">
        <v>545</v>
      </c>
      <c r="S1090" t="s">
        <v>441</v>
      </c>
      <c r="T1090" t="s">
        <v>26</v>
      </c>
      <c r="U1090" t="s">
        <v>112</v>
      </c>
    </row>
    <row r="1091" spans="18:21" x14ac:dyDescent="0.3">
      <c r="R1091" t="s">
        <v>545</v>
      </c>
      <c r="S1091" t="s">
        <v>441</v>
      </c>
      <c r="T1091" t="s">
        <v>32</v>
      </c>
      <c r="U1091" t="s">
        <v>112</v>
      </c>
    </row>
    <row r="1092" spans="18:21" x14ac:dyDescent="0.3">
      <c r="R1092" t="s">
        <v>545</v>
      </c>
      <c r="S1092" t="s">
        <v>441</v>
      </c>
      <c r="T1092" t="s">
        <v>37</v>
      </c>
      <c r="U1092" t="s">
        <v>112</v>
      </c>
    </row>
    <row r="1093" spans="18:21" x14ac:dyDescent="0.3">
      <c r="R1093" t="s">
        <v>545</v>
      </c>
      <c r="S1093" t="s">
        <v>441</v>
      </c>
      <c r="T1093" t="s">
        <v>37</v>
      </c>
      <c r="U1093" t="s">
        <v>243</v>
      </c>
    </row>
    <row r="1094" spans="18:21" x14ac:dyDescent="0.3">
      <c r="R1094" t="s">
        <v>545</v>
      </c>
      <c r="S1094" t="s">
        <v>441</v>
      </c>
      <c r="T1094" t="s">
        <v>47</v>
      </c>
      <c r="U1094" t="s">
        <v>243</v>
      </c>
    </row>
    <row r="1095" spans="18:21" x14ac:dyDescent="0.3">
      <c r="R1095" t="s">
        <v>545</v>
      </c>
      <c r="S1095" t="s">
        <v>441</v>
      </c>
      <c r="T1095" t="s">
        <v>32</v>
      </c>
      <c r="U1095" t="s">
        <v>243</v>
      </c>
    </row>
    <row r="1096" spans="18:21" x14ac:dyDescent="0.3">
      <c r="R1096" t="s">
        <v>545</v>
      </c>
      <c r="S1096" t="s">
        <v>441</v>
      </c>
      <c r="T1096" t="s">
        <v>42</v>
      </c>
      <c r="U1096" t="s">
        <v>243</v>
      </c>
    </row>
    <row r="1097" spans="18:21" x14ac:dyDescent="0.3">
      <c r="R1097" t="s">
        <v>515</v>
      </c>
      <c r="S1097" t="s">
        <v>203</v>
      </c>
      <c r="T1097" t="s">
        <v>47</v>
      </c>
      <c r="U1097" t="s">
        <v>103</v>
      </c>
    </row>
    <row r="1098" spans="18:21" x14ac:dyDescent="0.3">
      <c r="R1098" t="s">
        <v>515</v>
      </c>
      <c r="S1098" t="s">
        <v>203</v>
      </c>
      <c r="T1098" t="s">
        <v>42</v>
      </c>
      <c r="U1098" t="s">
        <v>103</v>
      </c>
    </row>
    <row r="1099" spans="18:21" x14ac:dyDescent="0.3">
      <c r="R1099" t="s">
        <v>515</v>
      </c>
      <c r="S1099" t="s">
        <v>203</v>
      </c>
      <c r="T1099" t="s">
        <v>82</v>
      </c>
      <c r="U1099" t="s">
        <v>103</v>
      </c>
    </row>
    <row r="1100" spans="18:21" x14ac:dyDescent="0.3">
      <c r="R1100" t="s">
        <v>515</v>
      </c>
      <c r="S1100" t="s">
        <v>203</v>
      </c>
      <c r="T1100" t="s">
        <v>47</v>
      </c>
      <c r="U1100" t="s">
        <v>112</v>
      </c>
    </row>
    <row r="1101" spans="18:21" x14ac:dyDescent="0.3">
      <c r="R1101" t="s">
        <v>515</v>
      </c>
      <c r="S1101" t="s">
        <v>203</v>
      </c>
      <c r="T1101" t="s">
        <v>47</v>
      </c>
      <c r="U1101" t="s">
        <v>220</v>
      </c>
    </row>
    <row r="1102" spans="18:21" x14ac:dyDescent="0.3">
      <c r="R1102" t="s">
        <v>516</v>
      </c>
      <c r="S1102" t="s">
        <v>349</v>
      </c>
      <c r="T1102" t="s">
        <v>82</v>
      </c>
      <c r="U1102" t="s">
        <v>175</v>
      </c>
    </row>
    <row r="1103" spans="18:21" x14ac:dyDescent="0.3">
      <c r="R1103" t="s">
        <v>516</v>
      </c>
      <c r="S1103" t="s">
        <v>349</v>
      </c>
      <c r="T1103" t="s">
        <v>32</v>
      </c>
      <c r="U1103" t="s">
        <v>235</v>
      </c>
    </row>
    <row r="1104" spans="18:21" x14ac:dyDescent="0.3">
      <c r="R1104" t="s">
        <v>517</v>
      </c>
      <c r="S1104" t="s">
        <v>207</v>
      </c>
      <c r="T1104" t="s">
        <v>82</v>
      </c>
      <c r="U1104" t="s">
        <v>131</v>
      </c>
    </row>
    <row r="1105" spans="18:21" x14ac:dyDescent="0.3">
      <c r="R1105" t="s">
        <v>517</v>
      </c>
      <c r="S1105" t="s">
        <v>207</v>
      </c>
      <c r="T1105" t="s">
        <v>32</v>
      </c>
      <c r="U1105" t="s">
        <v>131</v>
      </c>
    </row>
    <row r="1106" spans="18:21" x14ac:dyDescent="0.3">
      <c r="R1106" t="s">
        <v>517</v>
      </c>
      <c r="S1106" t="s">
        <v>207</v>
      </c>
      <c r="T1106" t="s">
        <v>47</v>
      </c>
      <c r="U1106" t="s">
        <v>131</v>
      </c>
    </row>
    <row r="1107" spans="18:21" x14ac:dyDescent="0.3">
      <c r="R1107" t="s">
        <v>517</v>
      </c>
      <c r="S1107" t="s">
        <v>207</v>
      </c>
      <c r="T1107" t="s">
        <v>26</v>
      </c>
      <c r="U1107" t="s">
        <v>131</v>
      </c>
    </row>
    <row r="1108" spans="18:21" x14ac:dyDescent="0.3">
      <c r="R1108" t="s">
        <v>517</v>
      </c>
      <c r="S1108" t="s">
        <v>207</v>
      </c>
      <c r="T1108" t="s">
        <v>37</v>
      </c>
      <c r="U1108" t="s">
        <v>131</v>
      </c>
    </row>
    <row r="1109" spans="18:21" x14ac:dyDescent="0.3">
      <c r="R1109" t="s">
        <v>517</v>
      </c>
      <c r="S1109" t="s">
        <v>207</v>
      </c>
      <c r="T1109" t="s">
        <v>42</v>
      </c>
      <c r="U1109" t="s">
        <v>131</v>
      </c>
    </row>
    <row r="1110" spans="18:21" x14ac:dyDescent="0.3">
      <c r="R1110" t="s">
        <v>517</v>
      </c>
      <c r="S1110" t="s">
        <v>207</v>
      </c>
      <c r="T1110" t="s">
        <v>42</v>
      </c>
      <c r="U1110" t="s">
        <v>52</v>
      </c>
    </row>
    <row r="1111" spans="18:21" x14ac:dyDescent="0.3">
      <c r="R1111" t="s">
        <v>517</v>
      </c>
      <c r="S1111" t="s">
        <v>207</v>
      </c>
      <c r="T1111" t="s">
        <v>37</v>
      </c>
      <c r="U1111" t="s">
        <v>220</v>
      </c>
    </row>
    <row r="1112" spans="18:21" x14ac:dyDescent="0.3">
      <c r="R1112" t="s">
        <v>517</v>
      </c>
      <c r="S1112" t="s">
        <v>207</v>
      </c>
      <c r="T1112" t="s">
        <v>47</v>
      </c>
      <c r="U1112" t="s">
        <v>343</v>
      </c>
    </row>
    <row r="1113" spans="18:21" x14ac:dyDescent="0.3">
      <c r="R1113" t="s">
        <v>517</v>
      </c>
      <c r="S1113" t="s">
        <v>207</v>
      </c>
      <c r="T1113" t="s">
        <v>42</v>
      </c>
      <c r="U1113" t="s">
        <v>343</v>
      </c>
    </row>
    <row r="1114" spans="18:21" x14ac:dyDescent="0.3">
      <c r="R1114" t="s">
        <v>518</v>
      </c>
      <c r="S1114" t="s">
        <v>351</v>
      </c>
      <c r="T1114" t="s">
        <v>37</v>
      </c>
      <c r="U1114" t="s">
        <v>299</v>
      </c>
    </row>
    <row r="1115" spans="18:21" x14ac:dyDescent="0.3">
      <c r="R1115" t="s">
        <v>518</v>
      </c>
      <c r="S1115" t="s">
        <v>351</v>
      </c>
      <c r="T1115" t="s">
        <v>42</v>
      </c>
      <c r="U1115" t="s">
        <v>299</v>
      </c>
    </row>
    <row r="1116" spans="18:21" x14ac:dyDescent="0.3">
      <c r="R1116" t="s">
        <v>519</v>
      </c>
      <c r="S1116" t="s">
        <v>470</v>
      </c>
      <c r="T1116" t="s">
        <v>42</v>
      </c>
      <c r="U1116" t="s">
        <v>197</v>
      </c>
    </row>
    <row r="1117" spans="18:21" x14ac:dyDescent="0.3">
      <c r="R1117" t="s">
        <v>519</v>
      </c>
      <c r="S1117" t="s">
        <v>470</v>
      </c>
      <c r="T1117" t="s">
        <v>32</v>
      </c>
      <c r="U1117" t="s">
        <v>197</v>
      </c>
    </row>
    <row r="1118" spans="18:21" x14ac:dyDescent="0.3">
      <c r="R1118" t="s">
        <v>519</v>
      </c>
      <c r="S1118" t="s">
        <v>470</v>
      </c>
      <c r="T1118" t="s">
        <v>47</v>
      </c>
      <c r="U1118" t="s">
        <v>197</v>
      </c>
    </row>
    <row r="1119" spans="18:21" x14ac:dyDescent="0.3">
      <c r="R1119" t="s">
        <v>519</v>
      </c>
      <c r="S1119" t="s">
        <v>470</v>
      </c>
      <c r="T1119" t="s">
        <v>82</v>
      </c>
      <c r="U1119" t="s">
        <v>27</v>
      </c>
    </row>
    <row r="1120" spans="18:21" x14ac:dyDescent="0.3">
      <c r="R1120" t="s">
        <v>519</v>
      </c>
      <c r="S1120" t="s">
        <v>470</v>
      </c>
      <c r="T1120" t="s">
        <v>32</v>
      </c>
      <c r="U1120" t="s">
        <v>27</v>
      </c>
    </row>
    <row r="1121" spans="18:21" x14ac:dyDescent="0.3">
      <c r="R1121" t="s">
        <v>519</v>
      </c>
      <c r="S1121" t="s">
        <v>470</v>
      </c>
      <c r="T1121" t="s">
        <v>47</v>
      </c>
      <c r="U1121" t="s">
        <v>27</v>
      </c>
    </row>
    <row r="1122" spans="18:21" x14ac:dyDescent="0.3">
      <c r="R1122" t="s">
        <v>519</v>
      </c>
      <c r="S1122" t="s">
        <v>470</v>
      </c>
      <c r="T1122" t="s">
        <v>26</v>
      </c>
      <c r="U1122" t="s">
        <v>27</v>
      </c>
    </row>
    <row r="1123" spans="18:21" x14ac:dyDescent="0.3">
      <c r="R1123" t="s">
        <v>519</v>
      </c>
      <c r="S1123" t="s">
        <v>470</v>
      </c>
      <c r="T1123" t="s">
        <v>37</v>
      </c>
      <c r="U1123" t="s">
        <v>27</v>
      </c>
    </row>
    <row r="1124" spans="18:21" x14ac:dyDescent="0.3">
      <c r="R1124" t="s">
        <v>519</v>
      </c>
      <c r="S1124" t="s">
        <v>470</v>
      </c>
      <c r="T1124" t="s">
        <v>42</v>
      </c>
      <c r="U1124" t="s">
        <v>27</v>
      </c>
    </row>
    <row r="1125" spans="18:21" x14ac:dyDescent="0.3">
      <c r="R1125" t="s">
        <v>519</v>
      </c>
      <c r="S1125" t="s">
        <v>470</v>
      </c>
      <c r="T1125" t="s">
        <v>47</v>
      </c>
      <c r="U1125" t="s">
        <v>289</v>
      </c>
    </row>
    <row r="1126" spans="18:21" x14ac:dyDescent="0.3">
      <c r="R1126" t="s">
        <v>519</v>
      </c>
      <c r="S1126" t="s">
        <v>470</v>
      </c>
      <c r="T1126" t="s">
        <v>32</v>
      </c>
      <c r="U1126" t="s">
        <v>131</v>
      </c>
    </row>
    <row r="1127" spans="18:21" x14ac:dyDescent="0.3">
      <c r="R1127" t="s">
        <v>519</v>
      </c>
      <c r="S1127" t="s">
        <v>470</v>
      </c>
      <c r="T1127" t="s">
        <v>47</v>
      </c>
      <c r="U1127" t="s">
        <v>131</v>
      </c>
    </row>
    <row r="1128" spans="18:21" x14ac:dyDescent="0.3">
      <c r="R1128" t="s">
        <v>519</v>
      </c>
      <c r="S1128" t="s">
        <v>470</v>
      </c>
      <c r="T1128" t="s">
        <v>37</v>
      </c>
      <c r="U1128" t="s">
        <v>131</v>
      </c>
    </row>
    <row r="1129" spans="18:21" x14ac:dyDescent="0.3">
      <c r="R1129" t="s">
        <v>519</v>
      </c>
      <c r="S1129" t="s">
        <v>470</v>
      </c>
      <c r="T1129" t="s">
        <v>42</v>
      </c>
      <c r="U1129" t="s">
        <v>131</v>
      </c>
    </row>
    <row r="1130" spans="18:21" x14ac:dyDescent="0.3">
      <c r="R1130" t="s">
        <v>519</v>
      </c>
      <c r="S1130" t="s">
        <v>470</v>
      </c>
      <c r="T1130" t="s">
        <v>42</v>
      </c>
      <c r="U1130" t="s">
        <v>52</v>
      </c>
    </row>
    <row r="1131" spans="18:21" x14ac:dyDescent="0.3">
      <c r="R1131" t="s">
        <v>519</v>
      </c>
      <c r="S1131" t="s">
        <v>470</v>
      </c>
      <c r="T1131" t="s">
        <v>47</v>
      </c>
      <c r="U1131" t="s">
        <v>52</v>
      </c>
    </row>
    <row r="1132" spans="18:21" x14ac:dyDescent="0.3">
      <c r="R1132" t="s">
        <v>519</v>
      </c>
      <c r="S1132" t="s">
        <v>470</v>
      </c>
      <c r="T1132" t="s">
        <v>32</v>
      </c>
      <c r="U1132" t="s">
        <v>52</v>
      </c>
    </row>
    <row r="1133" spans="18:21" x14ac:dyDescent="0.3">
      <c r="R1133" t="s">
        <v>519</v>
      </c>
      <c r="S1133" t="s">
        <v>470</v>
      </c>
      <c r="T1133" t="s">
        <v>47</v>
      </c>
      <c r="U1133" t="s">
        <v>63</v>
      </c>
    </row>
    <row r="1134" spans="18:21" x14ac:dyDescent="0.3">
      <c r="R1134" t="s">
        <v>519</v>
      </c>
      <c r="S1134" t="s">
        <v>470</v>
      </c>
      <c r="T1134" t="s">
        <v>32</v>
      </c>
      <c r="U1134" t="s">
        <v>63</v>
      </c>
    </row>
    <row r="1135" spans="18:21" x14ac:dyDescent="0.3">
      <c r="R1135" t="s">
        <v>520</v>
      </c>
      <c r="S1135" t="s">
        <v>198</v>
      </c>
      <c r="T1135" t="s">
        <v>47</v>
      </c>
      <c r="U1135" t="s">
        <v>175</v>
      </c>
    </row>
    <row r="1136" spans="18:21" x14ac:dyDescent="0.3">
      <c r="R1136" t="s">
        <v>520</v>
      </c>
      <c r="S1136" t="s">
        <v>198</v>
      </c>
      <c r="T1136" t="s">
        <v>37</v>
      </c>
      <c r="U1136" t="s">
        <v>343</v>
      </c>
    </row>
    <row r="1137" spans="18:21" x14ac:dyDescent="0.3">
      <c r="R1137" t="s">
        <v>520</v>
      </c>
      <c r="S1137" t="s">
        <v>198</v>
      </c>
      <c r="T1137" t="s">
        <v>47</v>
      </c>
      <c r="U1137" t="s">
        <v>343</v>
      </c>
    </row>
    <row r="1138" spans="18:21" x14ac:dyDescent="0.3">
      <c r="R1138" t="s">
        <v>520</v>
      </c>
      <c r="S1138" t="s">
        <v>198</v>
      </c>
      <c r="T1138" t="s">
        <v>32</v>
      </c>
      <c r="U1138" t="s">
        <v>343</v>
      </c>
    </row>
    <row r="1139" spans="18:21" x14ac:dyDescent="0.3">
      <c r="R1139" t="s">
        <v>520</v>
      </c>
      <c r="S1139" t="s">
        <v>198</v>
      </c>
      <c r="T1139" t="s">
        <v>82</v>
      </c>
      <c r="U1139" t="s">
        <v>343</v>
      </c>
    </row>
    <row r="1140" spans="18:21" x14ac:dyDescent="0.3">
      <c r="R1140" t="s">
        <v>520</v>
      </c>
      <c r="S1140" t="s">
        <v>198</v>
      </c>
      <c r="T1140" t="s">
        <v>42</v>
      </c>
      <c r="U1140" t="s">
        <v>343</v>
      </c>
    </row>
    <row r="1141" spans="18:21" x14ac:dyDescent="0.3">
      <c r="R1141" t="s">
        <v>521</v>
      </c>
      <c r="S1141" t="s">
        <v>201</v>
      </c>
      <c r="T1141" t="s">
        <v>42</v>
      </c>
      <c r="U1141" t="s">
        <v>197</v>
      </c>
    </row>
    <row r="1142" spans="18:21" x14ac:dyDescent="0.3">
      <c r="R1142" t="s">
        <v>521</v>
      </c>
      <c r="S1142" t="s">
        <v>201</v>
      </c>
      <c r="T1142" t="s">
        <v>82</v>
      </c>
      <c r="U1142" t="s">
        <v>197</v>
      </c>
    </row>
    <row r="1143" spans="18:21" x14ac:dyDescent="0.3">
      <c r="R1143" t="s">
        <v>521</v>
      </c>
      <c r="S1143" t="s">
        <v>201</v>
      </c>
      <c r="T1143" t="s">
        <v>37</v>
      </c>
      <c r="U1143" t="s">
        <v>289</v>
      </c>
    </row>
    <row r="1144" spans="18:21" x14ac:dyDescent="0.3">
      <c r="R1144" t="s">
        <v>521</v>
      </c>
      <c r="S1144" t="s">
        <v>201</v>
      </c>
      <c r="T1144" t="s">
        <v>47</v>
      </c>
      <c r="U1144" t="s">
        <v>289</v>
      </c>
    </row>
    <row r="1145" spans="18:21" x14ac:dyDescent="0.3">
      <c r="R1145" t="s">
        <v>521</v>
      </c>
      <c r="S1145" t="s">
        <v>201</v>
      </c>
      <c r="T1145" t="s">
        <v>32</v>
      </c>
      <c r="U1145" t="s">
        <v>289</v>
      </c>
    </row>
    <row r="1146" spans="18:21" x14ac:dyDescent="0.3">
      <c r="R1146" t="s">
        <v>521</v>
      </c>
      <c r="S1146" t="s">
        <v>201</v>
      </c>
      <c r="T1146" t="s">
        <v>82</v>
      </c>
      <c r="U1146" t="s">
        <v>289</v>
      </c>
    </row>
    <row r="1147" spans="18:21" x14ac:dyDescent="0.3">
      <c r="R1147" t="s">
        <v>521</v>
      </c>
      <c r="S1147" t="s">
        <v>201</v>
      </c>
      <c r="T1147" t="s">
        <v>42</v>
      </c>
      <c r="U1147" t="s">
        <v>289</v>
      </c>
    </row>
    <row r="1148" spans="18:21" x14ac:dyDescent="0.3">
      <c r="R1148" t="s">
        <v>521</v>
      </c>
      <c r="S1148" t="s">
        <v>201</v>
      </c>
      <c r="T1148" t="s">
        <v>32</v>
      </c>
      <c r="U1148" t="s">
        <v>343</v>
      </c>
    </row>
  </sheetData>
  <mergeCells count="3">
    <mergeCell ref="M6:P7"/>
    <mergeCell ref="R6:U7"/>
    <mergeCell ref="W6:Z7"/>
  </mergeCells>
  <pageMargins left="0.7" right="0.7" top="0.75" bottom="0.75" header="0.3" footer="0.3"/>
  <headerFooter>
    <oddFooter>&amp;L_x000D_&amp;1#&amp;"Calibri"&amp;10&amp;K000000 Public</oddFooter>
  </headerFooter>
  <tableParts count="8">
    <tablePart r:id="rId1"/>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5821B-D637-436E-BC24-1598DC61E3C5}">
  <sheetPr codeName="Sheet11">
    <tabColor rgb="FF00B0F0"/>
  </sheetPr>
  <dimension ref="A1:C5"/>
  <sheetViews>
    <sheetView tabSelected="1" zoomScale="90" zoomScaleNormal="90" workbookViewId="0">
      <selection activeCell="B3" sqref="B3"/>
    </sheetView>
  </sheetViews>
  <sheetFormatPr defaultColWidth="0" defaultRowHeight="14.4" zeroHeight="1" x14ac:dyDescent="0.3"/>
  <cols>
    <col min="1" max="1" width="5.5546875" customWidth="1"/>
    <col min="2" max="2" width="208.33203125" customWidth="1"/>
    <col min="3" max="3" width="8.6640625" customWidth="1"/>
    <col min="4" max="16384" width="8.6640625" hidden="1"/>
  </cols>
  <sheetData>
    <row r="1" spans="1:3" ht="19.5" customHeight="1" thickBot="1" x14ac:dyDescent="0.35">
      <c r="A1" s="6"/>
      <c r="B1" s="6"/>
      <c r="C1" s="6"/>
    </row>
    <row r="2" spans="1:3" ht="79.2" customHeight="1" thickBot="1" x14ac:dyDescent="0.35">
      <c r="A2" s="6"/>
      <c r="B2" s="165" t="s">
        <v>1523</v>
      </c>
      <c r="C2" s="6"/>
    </row>
    <row r="3" spans="1:3" ht="409.5" customHeight="1" thickBot="1" x14ac:dyDescent="0.35">
      <c r="A3" s="6"/>
      <c r="B3" s="166" t="s">
        <v>1524</v>
      </c>
      <c r="C3" s="6"/>
    </row>
    <row r="4" spans="1:3" ht="94.2" customHeight="1" thickBot="1" x14ac:dyDescent="0.35">
      <c r="A4" s="6"/>
      <c r="B4" s="165" t="s">
        <v>1528</v>
      </c>
      <c r="C4" s="6"/>
    </row>
    <row r="5" spans="1:3" x14ac:dyDescent="0.3">
      <c r="A5" s="6"/>
      <c r="B5" s="6"/>
      <c r="C5" s="6"/>
    </row>
  </sheetData>
  <sheetProtection algorithmName="SHA-512" hashValue="+Z/xrALT4QMVyN6q7CpGz6UhVOyb15aaUhgblNI7LQ1VbXKRQnf+VfTJy0bQ8QUzCmiysM2zxZALdPeQfAqWeQ==" saltValue="SWF/QpfJ8854ioD5sIrWw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P38"/>
  <sheetViews>
    <sheetView topLeftCell="B1" zoomScaleNormal="100" workbookViewId="0">
      <selection activeCell="K12" sqref="K12:O13"/>
    </sheetView>
  </sheetViews>
  <sheetFormatPr defaultColWidth="0" defaultRowHeight="14.4" zeroHeight="1" x14ac:dyDescent="0.3"/>
  <cols>
    <col min="1" max="1" width="8.6640625" hidden="1" customWidth="1"/>
    <col min="2" max="2" width="14.44140625" customWidth="1"/>
    <col min="3" max="3" width="4.6640625" customWidth="1"/>
    <col min="4" max="4" width="11.33203125" customWidth="1"/>
    <col min="5" max="5" width="19" customWidth="1"/>
    <col min="6" max="6" width="12.5546875" customWidth="1"/>
    <col min="7" max="7" width="2.6640625" customWidth="1"/>
    <col min="8" max="8" width="3.33203125" customWidth="1"/>
    <col min="9" max="9" width="4.33203125" customWidth="1"/>
    <col min="10" max="10" width="3.33203125" customWidth="1"/>
    <col min="11" max="11" width="9.6640625" customWidth="1"/>
    <col min="12" max="12" width="12.33203125" customWidth="1"/>
    <col min="13" max="13" width="8.6640625" customWidth="1"/>
    <col min="14" max="14" width="8.5546875" customWidth="1"/>
    <col min="15" max="15" width="10.33203125" customWidth="1"/>
    <col min="16" max="16" width="8.6640625" customWidth="1"/>
    <col min="17" max="16384" width="8.6640625" hidden="1"/>
  </cols>
  <sheetData>
    <row r="1" spans="2:16" x14ac:dyDescent="0.3">
      <c r="B1" s="7"/>
      <c r="C1" s="7"/>
      <c r="D1" s="7"/>
      <c r="E1" s="7"/>
      <c r="F1" s="7"/>
      <c r="G1" s="7"/>
      <c r="H1" s="7"/>
      <c r="I1" s="7"/>
      <c r="J1" s="7"/>
      <c r="K1" s="7"/>
      <c r="L1" s="7"/>
      <c r="M1" s="7"/>
      <c r="N1" s="7"/>
      <c r="O1" s="7"/>
      <c r="P1" s="7"/>
    </row>
    <row r="2" spans="2:16" ht="28.8" x14ac:dyDescent="0.55000000000000004">
      <c r="B2" s="7"/>
      <c r="C2" s="8" t="s">
        <v>1513</v>
      </c>
      <c r="D2" s="7"/>
      <c r="E2" s="7"/>
      <c r="F2" s="7"/>
      <c r="G2" s="7"/>
      <c r="H2" s="7"/>
      <c r="I2" s="7"/>
      <c r="J2" s="7"/>
      <c r="K2" s="7"/>
      <c r="L2" s="7"/>
      <c r="M2" s="7"/>
      <c r="N2" s="7"/>
      <c r="O2" s="7"/>
      <c r="P2" s="7"/>
    </row>
    <row r="3" spans="2:16" x14ac:dyDescent="0.3">
      <c r="B3" s="7"/>
      <c r="C3" s="7"/>
      <c r="D3" s="7"/>
      <c r="E3" s="7"/>
      <c r="F3" s="7"/>
      <c r="G3" s="7"/>
      <c r="H3" s="7"/>
      <c r="I3" s="7"/>
      <c r="J3" s="7"/>
      <c r="K3" s="7"/>
      <c r="L3" s="7"/>
      <c r="M3" s="7"/>
      <c r="N3" s="7"/>
      <c r="O3" s="7"/>
      <c r="P3" s="7"/>
    </row>
    <row r="4" spans="2:16" ht="18.600000000000001" thickBot="1" x14ac:dyDescent="0.35">
      <c r="B4" s="239" t="s">
        <v>546</v>
      </c>
      <c r="C4" s="239"/>
      <c r="D4" s="239"/>
      <c r="E4" s="239"/>
      <c r="F4" s="239"/>
      <c r="G4" s="239"/>
      <c r="H4" s="239"/>
      <c r="I4" s="239"/>
      <c r="J4" s="239"/>
      <c r="K4" s="239"/>
      <c r="L4" s="239"/>
      <c r="M4" s="239"/>
      <c r="N4" s="239"/>
      <c r="O4" s="239"/>
      <c r="P4" s="239"/>
    </row>
    <row r="5" spans="2:16" ht="15" thickTop="1" x14ac:dyDescent="0.3">
      <c r="B5" s="67"/>
      <c r="C5" s="67"/>
      <c r="D5" s="67"/>
      <c r="E5" s="67"/>
      <c r="F5" s="67"/>
      <c r="G5" s="67"/>
      <c r="H5" s="67"/>
      <c r="I5" s="67"/>
      <c r="J5" s="67"/>
      <c r="K5" s="67"/>
      <c r="L5" s="67"/>
      <c r="M5" s="67"/>
      <c r="N5" s="67"/>
      <c r="O5" s="67"/>
      <c r="P5" s="67"/>
    </row>
    <row r="6" spans="2:16" ht="19.2" customHeight="1" x14ac:dyDescent="0.3">
      <c r="B6" s="67"/>
      <c r="C6" s="67"/>
      <c r="D6" s="257" t="s">
        <v>547</v>
      </c>
      <c r="E6" s="258"/>
      <c r="F6" s="67"/>
      <c r="G6" s="259" t="s">
        <v>548</v>
      </c>
      <c r="H6" s="260"/>
      <c r="I6" s="260"/>
      <c r="J6" s="260"/>
      <c r="K6" s="260"/>
      <c r="L6" s="260"/>
      <c r="N6" s="250" t="s">
        <v>549</v>
      </c>
      <c r="O6" s="251"/>
      <c r="P6" s="67"/>
    </row>
    <row r="7" spans="2:16" x14ac:dyDescent="0.3">
      <c r="B7" s="67"/>
      <c r="C7" s="67"/>
      <c r="D7" s="67"/>
      <c r="E7" s="67"/>
      <c r="F7" s="67"/>
      <c r="G7" s="67"/>
      <c r="H7" s="67"/>
      <c r="I7" s="67"/>
      <c r="J7" s="67"/>
      <c r="K7" s="67"/>
      <c r="L7" s="67"/>
      <c r="M7" s="67"/>
      <c r="N7" s="67"/>
      <c r="O7" s="67"/>
      <c r="P7" s="67"/>
    </row>
    <row r="8" spans="2:16" ht="31.2" customHeight="1" x14ac:dyDescent="0.3">
      <c r="B8" s="67"/>
      <c r="C8" s="261" t="s">
        <v>1658</v>
      </c>
      <c r="D8" s="261"/>
      <c r="E8" s="261"/>
      <c r="F8" s="261"/>
      <c r="G8" s="261"/>
      <c r="H8" s="261"/>
      <c r="I8" s="261"/>
      <c r="J8" s="261"/>
      <c r="K8" s="261"/>
      <c r="L8" s="261"/>
      <c r="M8" s="262" t="s">
        <v>1659</v>
      </c>
      <c r="N8" s="262"/>
      <c r="O8" s="262"/>
      <c r="P8" s="67"/>
    </row>
    <row r="9" spans="2:16" x14ac:dyDescent="0.3">
      <c r="B9" s="67"/>
      <c r="C9" s="67"/>
      <c r="D9" s="67"/>
      <c r="E9" s="67"/>
      <c r="F9" s="67"/>
      <c r="G9" s="67"/>
      <c r="H9" s="67"/>
      <c r="I9" s="67"/>
      <c r="J9" s="67"/>
      <c r="K9" s="67"/>
      <c r="L9" s="67"/>
      <c r="M9" s="67"/>
      <c r="N9" s="67"/>
      <c r="O9" s="67"/>
      <c r="P9" s="67"/>
    </row>
    <row r="10" spans="2:16" ht="18.600000000000001" thickBot="1" x14ac:dyDescent="0.35">
      <c r="B10" s="239" t="s">
        <v>550</v>
      </c>
      <c r="C10" s="239"/>
      <c r="D10" s="239"/>
      <c r="E10" s="239"/>
      <c r="F10" s="239"/>
      <c r="G10" s="239"/>
      <c r="H10" s="239"/>
      <c r="I10" s="239"/>
      <c r="J10" s="239"/>
      <c r="K10" s="239"/>
      <c r="L10" s="239"/>
      <c r="M10" s="239"/>
      <c r="N10" s="239"/>
      <c r="O10" s="239"/>
      <c r="P10" s="239"/>
    </row>
    <row r="11" spans="2:16" ht="27.6" customHeight="1" thickTop="1" x14ac:dyDescent="0.3">
      <c r="B11" s="1"/>
      <c r="C11" s="1"/>
      <c r="D11" s="1"/>
      <c r="E11" s="1"/>
      <c r="F11" s="1"/>
      <c r="G11" s="1"/>
      <c r="H11" s="1"/>
      <c r="I11" s="1"/>
      <c r="J11" s="1"/>
      <c r="K11" s="1"/>
      <c r="L11" s="134"/>
      <c r="M11" s="135" t="str">
        <f>IF(Data_Country="","⮟ Select here first!","")</f>
        <v/>
      </c>
      <c r="N11" s="2"/>
      <c r="O11" s="2"/>
      <c r="P11" s="2"/>
    </row>
    <row r="12" spans="2:16" x14ac:dyDescent="0.3">
      <c r="B12" s="252" t="s">
        <v>551</v>
      </c>
      <c r="C12" s="253" t="s">
        <v>1</v>
      </c>
      <c r="D12" s="253"/>
      <c r="E12" s="253"/>
      <c r="F12" s="253"/>
      <c r="G12" s="255" t="s">
        <v>552</v>
      </c>
      <c r="H12" s="252"/>
      <c r="I12" s="252"/>
      <c r="J12" s="256"/>
      <c r="K12" s="254" t="s">
        <v>23</v>
      </c>
      <c r="L12" s="254"/>
      <c r="M12" s="254"/>
      <c r="N12" s="254"/>
      <c r="O12" s="254"/>
      <c r="P12" s="3"/>
    </row>
    <row r="13" spans="2:16" ht="12.6" customHeight="1" x14ac:dyDescent="0.3">
      <c r="B13" s="252"/>
      <c r="C13" s="253"/>
      <c r="D13" s="253"/>
      <c r="E13" s="253"/>
      <c r="F13" s="253"/>
      <c r="G13" s="255"/>
      <c r="H13" s="252"/>
      <c r="I13" s="252"/>
      <c r="J13" s="256"/>
      <c r="K13" s="254"/>
      <c r="L13" s="254"/>
      <c r="M13" s="254"/>
      <c r="N13" s="254"/>
      <c r="O13" s="254"/>
      <c r="P13" s="3"/>
    </row>
    <row r="14" spans="2:16" ht="9.6" customHeight="1" x14ac:dyDescent="0.3">
      <c r="B14" s="3"/>
      <c r="C14" s="3"/>
      <c r="D14" s="3"/>
      <c r="E14" s="3"/>
      <c r="F14" s="3"/>
      <c r="G14" s="4"/>
      <c r="H14" s="4"/>
      <c r="I14" s="4"/>
      <c r="J14" s="3"/>
      <c r="K14" s="3"/>
      <c r="L14" s="3"/>
      <c r="M14" s="3"/>
      <c r="N14" s="3"/>
      <c r="O14" s="3"/>
      <c r="P14" s="3"/>
    </row>
    <row r="15" spans="2:16" ht="24.6" customHeight="1" x14ac:dyDescent="0.3">
      <c r="B15" s="3"/>
      <c r="C15" s="233" t="s">
        <v>553</v>
      </c>
      <c r="D15" s="234"/>
      <c r="E15" s="234"/>
      <c r="F15" s="234"/>
      <c r="G15" s="234"/>
      <c r="H15" s="235"/>
      <c r="I15" s="4"/>
      <c r="J15" s="233" t="s">
        <v>554</v>
      </c>
      <c r="K15" s="234"/>
      <c r="L15" s="234"/>
      <c r="M15" s="234"/>
      <c r="N15" s="234"/>
      <c r="O15" s="235"/>
      <c r="P15" s="3"/>
    </row>
    <row r="16" spans="2:16" ht="18.600000000000001" customHeight="1" x14ac:dyDescent="0.3">
      <c r="B16" s="3"/>
      <c r="C16" s="14"/>
      <c r="D16" s="12" t="s">
        <v>555</v>
      </c>
      <c r="E16" s="245"/>
      <c r="F16" s="246"/>
      <c r="G16" s="247"/>
      <c r="H16" s="13"/>
      <c r="I16" s="4"/>
      <c r="J16" s="11"/>
      <c r="K16" s="12" t="s">
        <v>555</v>
      </c>
      <c r="L16" s="244"/>
      <c r="M16" s="244"/>
      <c r="N16" s="244"/>
      <c r="O16" s="13"/>
      <c r="P16" s="5"/>
    </row>
    <row r="17" spans="2:16" ht="7.2" customHeight="1" x14ac:dyDescent="0.3">
      <c r="B17" s="3"/>
      <c r="C17" s="14"/>
      <c r="D17" s="3"/>
      <c r="E17" s="4"/>
      <c r="F17" s="4"/>
      <c r="G17" s="4"/>
      <c r="H17" s="13"/>
      <c r="I17" s="4"/>
      <c r="J17" s="11"/>
      <c r="K17" s="3"/>
      <c r="L17" s="4"/>
      <c r="M17" s="4"/>
      <c r="N17" s="4"/>
      <c r="O17" s="13"/>
      <c r="P17" s="5"/>
    </row>
    <row r="18" spans="2:16" ht="31.05" customHeight="1" x14ac:dyDescent="0.3">
      <c r="B18" s="3"/>
      <c r="C18" s="14"/>
      <c r="D18" s="12" t="s">
        <v>556</v>
      </c>
      <c r="E18" s="245"/>
      <c r="F18" s="246"/>
      <c r="G18" s="247"/>
      <c r="H18" s="13"/>
      <c r="I18" s="4"/>
      <c r="J18" s="14"/>
      <c r="K18" s="12" t="s">
        <v>556</v>
      </c>
      <c r="L18" s="244"/>
      <c r="M18" s="244"/>
      <c r="N18" s="244"/>
      <c r="O18" s="15"/>
      <c r="P18" s="3"/>
    </row>
    <row r="19" spans="2:16" x14ac:dyDescent="0.3">
      <c r="B19" s="3"/>
      <c r="C19" s="16"/>
      <c r="D19" s="17"/>
      <c r="E19" s="17"/>
      <c r="F19" s="17"/>
      <c r="G19" s="17"/>
      <c r="H19" s="18"/>
      <c r="I19" s="3"/>
      <c r="J19" s="16"/>
      <c r="K19" s="17"/>
      <c r="L19" s="17"/>
      <c r="M19" s="17"/>
      <c r="N19" s="17"/>
      <c r="O19" s="18"/>
      <c r="P19" s="3"/>
    </row>
    <row r="20" spans="2:16" x14ac:dyDescent="0.3">
      <c r="B20" s="3"/>
      <c r="C20" s="3"/>
      <c r="D20" s="3"/>
      <c r="E20" s="3"/>
      <c r="F20" s="3"/>
      <c r="G20" s="3"/>
      <c r="H20" s="3"/>
      <c r="I20" s="3"/>
      <c r="J20" s="3"/>
      <c r="K20" s="3"/>
      <c r="L20" s="3"/>
      <c r="M20" s="3"/>
      <c r="N20" s="3"/>
      <c r="O20" s="3"/>
      <c r="P20" s="3"/>
    </row>
    <row r="21" spans="2:16" ht="23.7" customHeight="1" x14ac:dyDescent="0.3">
      <c r="B21" s="3"/>
      <c r="C21" s="233" t="s">
        <v>557</v>
      </c>
      <c r="D21" s="234"/>
      <c r="E21" s="234"/>
      <c r="F21" s="234"/>
      <c r="G21" s="234"/>
      <c r="H21" s="235"/>
      <c r="I21" s="3"/>
      <c r="J21" s="3"/>
      <c r="K21" s="3"/>
      <c r="L21" s="3"/>
      <c r="M21" s="3"/>
      <c r="N21" s="3"/>
      <c r="O21" s="3"/>
      <c r="P21" s="3"/>
    </row>
    <row r="22" spans="2:16" ht="19.2" customHeight="1" x14ac:dyDescent="0.3">
      <c r="B22" s="3"/>
      <c r="C22" s="14"/>
      <c r="D22" s="12" t="s">
        <v>555</v>
      </c>
      <c r="E22" s="245"/>
      <c r="F22" s="246"/>
      <c r="G22" s="247"/>
      <c r="H22" s="13"/>
      <c r="I22" s="3"/>
      <c r="J22" s="3"/>
      <c r="K22" s="3"/>
      <c r="L22" s="3"/>
      <c r="M22" s="3"/>
      <c r="N22" s="3"/>
      <c r="O22" s="3"/>
      <c r="P22" s="3"/>
    </row>
    <row r="23" spans="2:16" x14ac:dyDescent="0.3">
      <c r="B23" s="3"/>
      <c r="C23" s="14"/>
      <c r="D23" s="3"/>
      <c r="E23" s="4"/>
      <c r="F23" s="4"/>
      <c r="G23" s="4"/>
      <c r="H23" s="13"/>
      <c r="I23" s="3"/>
      <c r="J23" s="3"/>
      <c r="K23" s="3"/>
      <c r="L23" s="3"/>
      <c r="M23" s="3"/>
      <c r="N23" s="3"/>
      <c r="O23" s="3"/>
      <c r="P23" s="3"/>
    </row>
    <row r="24" spans="2:16" ht="31.05" customHeight="1" x14ac:dyDescent="0.3">
      <c r="B24" s="3"/>
      <c r="C24" s="14"/>
      <c r="D24" s="12" t="s">
        <v>556</v>
      </c>
      <c r="E24" s="245"/>
      <c r="F24" s="246"/>
      <c r="G24" s="247"/>
      <c r="H24" s="13"/>
      <c r="I24" s="3"/>
      <c r="J24" s="3"/>
      <c r="K24" s="3"/>
      <c r="L24" s="3"/>
      <c r="M24" s="3"/>
      <c r="N24" s="3"/>
      <c r="O24" s="3"/>
      <c r="P24" s="3"/>
    </row>
    <row r="25" spans="2:16" x14ac:dyDescent="0.3">
      <c r="B25" s="3"/>
      <c r="C25" s="16"/>
      <c r="D25" s="17"/>
      <c r="E25" s="17"/>
      <c r="F25" s="17"/>
      <c r="G25" s="17"/>
      <c r="H25" s="18"/>
      <c r="I25" s="3"/>
      <c r="J25" s="3"/>
      <c r="K25" s="3"/>
      <c r="L25" s="3"/>
      <c r="M25" s="3"/>
      <c r="N25" s="3"/>
      <c r="O25" s="3"/>
      <c r="P25" s="3"/>
    </row>
    <row r="26" spans="2:16" x14ac:dyDescent="0.3">
      <c r="B26" s="3"/>
      <c r="C26" s="3"/>
      <c r="D26" s="3"/>
      <c r="E26" s="3"/>
      <c r="F26" s="3"/>
      <c r="G26" s="3"/>
      <c r="H26" s="3"/>
      <c r="I26" s="3"/>
      <c r="J26" s="3"/>
      <c r="K26" s="3"/>
      <c r="L26" s="3"/>
      <c r="M26" s="3"/>
      <c r="N26" s="3"/>
      <c r="O26" s="3"/>
      <c r="P26" s="3"/>
    </row>
    <row r="27" spans="2:16" ht="18.600000000000001" thickBot="1" x14ac:dyDescent="0.35">
      <c r="B27" s="239" t="s">
        <v>558</v>
      </c>
      <c r="C27" s="239"/>
      <c r="D27" s="239"/>
      <c r="E27" s="239"/>
      <c r="F27" s="239"/>
      <c r="G27" s="239"/>
      <c r="H27" s="239"/>
      <c r="I27" s="239"/>
      <c r="J27" s="239"/>
      <c r="K27" s="239"/>
      <c r="L27" s="239"/>
      <c r="M27" s="239"/>
      <c r="N27" s="239"/>
      <c r="O27" s="239"/>
      <c r="P27" s="239"/>
    </row>
    <row r="28" spans="2:16" ht="15" thickTop="1" x14ac:dyDescent="0.3">
      <c r="B28" s="67"/>
      <c r="C28" s="67"/>
      <c r="D28" s="67"/>
      <c r="E28" s="67"/>
      <c r="F28" s="67"/>
      <c r="G28" s="67"/>
      <c r="H28" s="67"/>
      <c r="I28" s="67"/>
      <c r="J28" s="67"/>
      <c r="K28" s="67"/>
      <c r="L28" s="9"/>
      <c r="M28" s="67"/>
      <c r="N28" s="67"/>
      <c r="O28" s="67"/>
      <c r="P28" s="67"/>
    </row>
    <row r="29" spans="2:16" ht="21.6" customHeight="1" x14ac:dyDescent="0.3">
      <c r="B29" s="12" t="s">
        <v>41</v>
      </c>
      <c r="C29" s="241"/>
      <c r="D29" s="242"/>
      <c r="E29" s="12" t="s">
        <v>33</v>
      </c>
      <c r="F29" s="241" cm="1">
        <f t="array" ref="F29">IFERROR(_xlfn._xlws.FILTER(Key_data[ValueNum],(Key_data[Country]=Data_Country)*(Key_data[Indicator]="staff")),"")</f>
        <v>3900</v>
      </c>
      <c r="G29" s="242"/>
      <c r="H29" s="67"/>
      <c r="I29" s="67"/>
      <c r="J29" s="248" t="s">
        <v>559</v>
      </c>
      <c r="K29" s="249"/>
      <c r="L29" s="133" cm="1">
        <f t="array" ref="L29">IFERROR(_xlfn._xlws.FILTER(Key_data[ValueNum],(Key_data[Country]=Data_Country)*(Key_data[Indicator]="Local Units")),"")</f>
        <v>329</v>
      </c>
      <c r="M29" s="67"/>
      <c r="N29" s="12" t="s">
        <v>24</v>
      </c>
      <c r="O29" s="133" cm="1">
        <f t="array" ref="O29">IFERROR(_xlfn._xlws.FILTER(Key_data[ValueNum],(Key_data[Country]=Data_Country)*(Key_data[Indicator]="branches")),"")</f>
        <v>34</v>
      </c>
      <c r="P29" s="67"/>
    </row>
    <row r="30" spans="2:16" ht="9" customHeight="1" x14ac:dyDescent="0.3">
      <c r="B30" s="67"/>
      <c r="D30" s="67"/>
      <c r="E30" s="67"/>
      <c r="G30" s="67"/>
      <c r="H30" s="67"/>
      <c r="I30" s="67"/>
      <c r="J30" s="67"/>
      <c r="K30" s="67"/>
      <c r="L30" s="67"/>
      <c r="M30" s="67"/>
      <c r="N30" s="67"/>
      <c r="O30" s="67"/>
      <c r="P30" s="67"/>
    </row>
    <row r="31" spans="2:16" x14ac:dyDescent="0.3">
      <c r="B31" s="129" t="str">
        <f>IF(COUNTIFS(FDRS[Country],Data_Country,FDRS[Year],2024)=0,"","FDRS 2024 -&gt;")</f>
        <v>FDRS 2024 -&gt;</v>
      </c>
      <c r="C31" s="243" t="str" cm="1">
        <f t="array" ref="C31">IFERROR(_xlfn._xlws.FILTER(FDRS[Value],(FDRS[Country]=Data_Country)*(FDRS[Attribute]="Volunteers"))&amp;"","")</f>
        <v>29908</v>
      </c>
      <c r="D31" s="243"/>
      <c r="E31" s="137"/>
      <c r="F31" s="243" t="str" cm="1">
        <f t="array" ref="F31">IFERROR(_xlfn._xlws.FILTER(FDRS[Value],(FDRS[Country]=Data_Country)*(FDRS[Attribute]="Staff"))&amp;" ","")</f>
        <v xml:space="preserve">4663 </v>
      </c>
      <c r="G31" s="243"/>
      <c r="H31" s="136"/>
      <c r="I31" s="136"/>
      <c r="J31" s="137"/>
      <c r="K31" s="137"/>
      <c r="L31" s="136" t="str" cm="1">
        <f t="array" ref="L31">IFERROR(_xlfn._xlws.FILTER(FDRS[Value],(FDRS[Country]=Data_Country)*(FDRS[Attribute]="Local Units"))&amp;" ","")</f>
        <v xml:space="preserve">329 </v>
      </c>
      <c r="M31" s="138"/>
      <c r="N31" s="138"/>
      <c r="O31" s="136" t="str" cm="1">
        <f t="array" ref="O31">IFERROR(_xlfn._xlws.FILTER(FDRS[Value],(FDRS[Country]=Data_Country)*(FDRS[Attribute]="Branches"))&amp;" ","")</f>
        <v xml:space="preserve">34 </v>
      </c>
      <c r="P31" s="138"/>
    </row>
    <row r="32" spans="2:16" ht="18.600000000000001" customHeight="1" x14ac:dyDescent="0.3">
      <c r="B32" s="128"/>
      <c r="C32" s="240"/>
      <c r="D32" s="240"/>
      <c r="E32" s="67"/>
      <c r="F32" s="68"/>
      <c r="G32" s="68"/>
      <c r="H32" s="68"/>
      <c r="I32" s="68"/>
      <c r="J32" s="67"/>
      <c r="K32" s="67"/>
      <c r="L32" s="68"/>
      <c r="M32" s="67"/>
      <c r="N32" s="67"/>
      <c r="O32" s="68"/>
      <c r="P32" s="67"/>
    </row>
    <row r="33" spans="2:16" ht="43.2" customHeight="1" x14ac:dyDescent="0.3">
      <c r="B33" s="67"/>
      <c r="C33" s="236" t="s">
        <v>560</v>
      </c>
      <c r="D33" s="232"/>
      <c r="E33" s="232"/>
      <c r="F33" s="232"/>
      <c r="G33" s="232"/>
      <c r="H33" s="232"/>
      <c r="I33" s="232"/>
      <c r="J33" s="232"/>
      <c r="K33" s="232"/>
      <c r="L33" s="232"/>
      <c r="M33" s="232"/>
      <c r="N33" s="232"/>
      <c r="O33" s="232"/>
      <c r="P33" s="67"/>
    </row>
    <row r="34" spans="2:16" x14ac:dyDescent="0.3">
      <c r="B34" s="67"/>
      <c r="C34" s="67"/>
      <c r="D34" s="67"/>
      <c r="E34" s="67"/>
      <c r="F34" s="67"/>
      <c r="G34" s="67"/>
      <c r="H34" s="67"/>
      <c r="I34" s="67"/>
      <c r="J34" s="67"/>
      <c r="K34" s="67"/>
      <c r="L34" s="67"/>
      <c r="M34" s="67"/>
      <c r="N34" s="67"/>
      <c r="O34" s="67"/>
      <c r="P34" s="67"/>
    </row>
    <row r="35" spans="2:16" ht="48" customHeight="1" x14ac:dyDescent="0.3">
      <c r="B35" s="67"/>
      <c r="C35" s="237" t="s">
        <v>561</v>
      </c>
      <c r="D35" s="238"/>
      <c r="E35" s="238"/>
      <c r="F35" s="238"/>
      <c r="G35" s="238"/>
      <c r="H35" s="69"/>
      <c r="I35" s="231" t="s">
        <v>562</v>
      </c>
      <c r="J35" s="232"/>
      <c r="K35" s="232"/>
      <c r="L35" s="232"/>
      <c r="M35" s="232"/>
      <c r="N35" s="232"/>
      <c r="O35" s="232"/>
    </row>
    <row r="36" spans="2:16" ht="70.2" customHeight="1" x14ac:dyDescent="0.3">
      <c r="B36" s="67"/>
      <c r="C36" s="237"/>
      <c r="D36" s="238"/>
      <c r="E36" s="238"/>
      <c r="F36" s="238"/>
      <c r="G36" s="238"/>
      <c r="H36" s="69"/>
      <c r="I36" s="231"/>
      <c r="J36" s="232"/>
      <c r="K36" s="232"/>
      <c r="L36" s="232"/>
      <c r="M36" s="232"/>
      <c r="N36" s="232"/>
      <c r="O36" s="232"/>
      <c r="P36" s="67"/>
    </row>
    <row r="37" spans="2:16" x14ac:dyDescent="0.3">
      <c r="B37" s="6"/>
      <c r="C37" s="6"/>
      <c r="D37" s="6"/>
      <c r="E37" s="6"/>
      <c r="F37" s="6"/>
      <c r="G37" s="6"/>
      <c r="H37" s="6"/>
      <c r="I37" s="6"/>
      <c r="J37" s="6"/>
      <c r="K37" s="6"/>
      <c r="L37" s="6"/>
      <c r="M37" s="6"/>
      <c r="N37" s="6"/>
      <c r="O37" s="6"/>
      <c r="P37" s="6"/>
    </row>
    <row r="38" spans="2:16" ht="6.6" customHeight="1" x14ac:dyDescent="0.3">
      <c r="B38" s="70"/>
      <c r="C38" s="70"/>
      <c r="D38" s="70"/>
      <c r="E38" s="70"/>
      <c r="F38" s="70"/>
      <c r="G38" s="70"/>
      <c r="H38" s="70"/>
      <c r="I38" s="70"/>
      <c r="J38" s="70"/>
      <c r="K38" s="70"/>
      <c r="L38" s="70"/>
      <c r="M38" s="70"/>
      <c r="N38" s="70"/>
      <c r="O38" s="70"/>
      <c r="P38" s="70"/>
    </row>
  </sheetData>
  <sheetProtection algorithmName="SHA-512" hashValue="dgyIyfuEjgo9Sgn7RnjlGwzTdU+eX+4ZHFrPi6dbpmI9CoROgEM9KiqDmyoIdQ+nozK4J6I/rQN6gWA7tMdByw==" saltValue="PsY5p0E6tKK0w2Ec2xDUeQ==" spinCount="100000" sheet="1" selectLockedCells="1"/>
  <mergeCells count="30">
    <mergeCell ref="C21:H21"/>
    <mergeCell ref="E22:G22"/>
    <mergeCell ref="E24:G24"/>
    <mergeCell ref="B4:P4"/>
    <mergeCell ref="N6:O6"/>
    <mergeCell ref="B12:B13"/>
    <mergeCell ref="C12:F13"/>
    <mergeCell ref="K12:O13"/>
    <mergeCell ref="G12:J13"/>
    <mergeCell ref="D6:E6"/>
    <mergeCell ref="G6:L6"/>
    <mergeCell ref="B10:P10"/>
    <mergeCell ref="C8:L8"/>
    <mergeCell ref="M8:O8"/>
    <mergeCell ref="I35:O36"/>
    <mergeCell ref="C15:H15"/>
    <mergeCell ref="J15:O15"/>
    <mergeCell ref="C33:O33"/>
    <mergeCell ref="C35:G36"/>
    <mergeCell ref="B27:P27"/>
    <mergeCell ref="C32:D32"/>
    <mergeCell ref="C29:D29"/>
    <mergeCell ref="C31:D31"/>
    <mergeCell ref="F29:G29"/>
    <mergeCell ref="F31:G31"/>
    <mergeCell ref="L16:N16"/>
    <mergeCell ref="L18:N18"/>
    <mergeCell ref="E16:G16"/>
    <mergeCell ref="E18:G18"/>
    <mergeCell ref="J29:K29"/>
  </mergeCells>
  <conditionalFormatting sqref="K12">
    <cfRule type="cellIs" dxfId="25" priority="1" operator="equal">
      <formula>"Please select a region first"</formula>
    </cfRule>
    <cfRule type="cellIs" dxfId="24" priority="2" operator="equal">
      <formula>#REF!</formula>
    </cfRule>
  </conditionalFormatting>
  <dataValidations count="4">
    <dataValidation type="list" allowBlank="1" showInputMessage="1" showErrorMessage="1" sqref="C12:F13" xr:uid="{00000000-0002-0000-0100-000000000000}">
      <formula1>Region</formula1>
    </dataValidation>
    <dataValidation type="list" allowBlank="1" showInputMessage="1" showErrorMessage="1" sqref="K12:O13" xr:uid="{00000000-0002-0000-0100-000001000000}">
      <formula1>IF(C12="",Please_select_a_region_first,OFFSET(_Start,MATCH($C$12,_Column,0)-1,0,COUNTIF(_Column,$C$12),1))</formula1>
    </dataValidation>
    <dataValidation type="whole" operator="greaterThan" allowBlank="1" showInputMessage="1" showErrorMessage="1" sqref="C29:D29 F29:G29 L29" xr:uid="{9410DE7E-27C3-4636-AC10-F6EDD2825E1E}">
      <formula1>0</formula1>
    </dataValidation>
    <dataValidation type="whole" allowBlank="1" showErrorMessage="1" error="Branches cannot be higher than local units" sqref="O29" xr:uid="{9256CD28-CC0D-4868-94FE-20215553A0DD}">
      <formula1>0</formula1>
      <formula2>L29</formula2>
    </dataValidation>
  </dataValidations>
  <hyperlinks>
    <hyperlink ref="M8:O8" r:id="rId1" display="DATA PORTAL" xr:uid="{F385B82B-8756-4861-BA8A-2154651E4860}"/>
  </hyperlinks>
  <pageMargins left="0.7" right="0.7" top="0.75" bottom="0.75" header="0.3" footer="0.3"/>
  <headerFooter>
    <oddFooter>&amp;L_x000D_&amp;1#&amp;"Calibri"&amp;10&amp;K000000 Public</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14B7-983A-4E97-8CF7-CE3E7D1E61BD}">
  <dimension ref="A1:V73"/>
  <sheetViews>
    <sheetView showGridLines="0" zoomScale="85" zoomScaleNormal="85" workbookViewId="0">
      <selection activeCell="E9" sqref="E9"/>
    </sheetView>
  </sheetViews>
  <sheetFormatPr defaultColWidth="0" defaultRowHeight="14.4" zeroHeight="1" x14ac:dyDescent="0.3"/>
  <cols>
    <col min="1" max="1" width="5.33203125" customWidth="1"/>
    <col min="2" max="2" width="7.88671875" hidden="1" customWidth="1"/>
    <col min="3" max="3" width="34.5546875" customWidth="1"/>
    <col min="4" max="4" width="60.6640625" customWidth="1"/>
    <col min="5" max="5" width="19.6640625" customWidth="1"/>
    <col min="6" max="6" width="17" customWidth="1"/>
    <col min="7" max="7" width="11.6640625" customWidth="1"/>
    <col min="8" max="8" width="13.33203125" customWidth="1"/>
    <col min="9" max="9" width="11.6640625" customWidth="1"/>
    <col min="10" max="10" width="11.44140625" customWidth="1"/>
    <col min="11" max="11" width="13.6640625" customWidth="1"/>
    <col min="12" max="12" width="11.33203125" customWidth="1"/>
    <col min="13" max="13" width="12.6640625" customWidth="1"/>
    <col min="14" max="14" width="17.33203125" customWidth="1"/>
    <col min="15" max="15" width="16.44140625" customWidth="1"/>
    <col min="16" max="17" width="17" customWidth="1"/>
    <col min="18" max="18" width="14.5546875" customWidth="1"/>
    <col min="19" max="19" width="20.44140625" customWidth="1"/>
    <col min="20" max="20" width="8.6640625" customWidth="1"/>
    <col min="21" max="21" width="0" hidden="1" customWidth="1"/>
    <col min="22" max="16384" width="8.6640625" hidden="1"/>
  </cols>
  <sheetData>
    <row r="1" spans="1:22" ht="23.7" customHeight="1" x14ac:dyDescent="0.3">
      <c r="A1" s="48"/>
      <c r="B1" s="48"/>
      <c r="C1" s="49" t="str">
        <f>IF(Data_Country="","Please select your country at the Start page","2026 Midyear Reporting: "&amp;Data_Country)</f>
        <v>2026 Midyear Reporting: Afghanistan</v>
      </c>
      <c r="D1" s="48"/>
      <c r="E1" s="48"/>
      <c r="F1" s="48"/>
      <c r="G1" s="48"/>
      <c r="H1" s="48"/>
      <c r="I1" s="48"/>
      <c r="J1" s="48"/>
      <c r="K1" s="48"/>
      <c r="L1" s="48"/>
      <c r="M1" s="48"/>
      <c r="N1" s="48"/>
      <c r="O1" s="48"/>
      <c r="P1" s="48"/>
      <c r="Q1" s="48"/>
      <c r="R1" s="48"/>
      <c r="S1" s="48"/>
    </row>
    <row r="2" spans="1:22" ht="44.7" customHeight="1" x14ac:dyDescent="0.3">
      <c r="A2" s="6"/>
      <c r="B2" s="6"/>
      <c r="C2" s="63"/>
      <c r="D2" s="6"/>
      <c r="E2" s="6"/>
      <c r="F2" s="6"/>
      <c r="G2" s="64" t="s">
        <v>563</v>
      </c>
      <c r="H2" s="6"/>
      <c r="I2" s="6"/>
      <c r="J2" s="6"/>
      <c r="K2" s="6"/>
      <c r="L2" s="6"/>
      <c r="M2" s="6"/>
      <c r="N2" s="6"/>
      <c r="O2" s="6"/>
      <c r="P2" s="6"/>
      <c r="Q2" s="6"/>
      <c r="R2" s="6"/>
    </row>
    <row r="3" spans="1:22" ht="63" customHeight="1" x14ac:dyDescent="0.3">
      <c r="A3" s="6"/>
      <c r="B3" s="6"/>
      <c r="C3" s="263" t="s">
        <v>564</v>
      </c>
      <c r="D3" s="264"/>
      <c r="E3" s="264"/>
      <c r="F3" s="264"/>
      <c r="G3" s="264"/>
      <c r="H3" s="264"/>
      <c r="I3" s="264"/>
      <c r="J3" s="264"/>
      <c r="K3" s="264"/>
      <c r="L3" s="264"/>
      <c r="M3" s="264"/>
      <c r="N3" s="264"/>
      <c r="O3" s="6"/>
      <c r="P3" s="6"/>
      <c r="Q3" s="6"/>
      <c r="R3" s="6"/>
    </row>
    <row r="4" spans="1:22" ht="15" customHeight="1" x14ac:dyDescent="0.3">
      <c r="A4" s="6"/>
      <c r="B4" s="6"/>
      <c r="C4" s="65"/>
      <c r="D4" s="65"/>
      <c r="E4" s="65"/>
      <c r="F4" s="65"/>
      <c r="G4" s="65"/>
      <c r="H4" s="65"/>
      <c r="I4" s="65"/>
      <c r="J4" s="65"/>
      <c r="K4" s="65"/>
      <c r="L4" s="65"/>
      <c r="M4" s="65"/>
      <c r="N4" s="65"/>
      <c r="O4" s="6"/>
      <c r="P4" s="6"/>
      <c r="Q4" s="6"/>
      <c r="R4" s="6"/>
    </row>
    <row r="5" spans="1:22" ht="31.5" customHeight="1" x14ac:dyDescent="0.3">
      <c r="A5" s="6"/>
      <c r="B5" s="6"/>
      <c r="C5" s="265" t="s">
        <v>565</v>
      </c>
      <c r="D5" s="266"/>
      <c r="E5" s="266"/>
      <c r="F5" s="66"/>
      <c r="G5" s="66"/>
      <c r="H5" s="66"/>
      <c r="I5" s="66"/>
      <c r="J5" s="65"/>
      <c r="K5" s="65"/>
      <c r="L5" s="65"/>
      <c r="M5" s="65"/>
      <c r="N5" s="65"/>
      <c r="O5" s="6"/>
      <c r="P5" s="6"/>
      <c r="Q5" s="6"/>
      <c r="R5" s="6"/>
    </row>
    <row r="6" spans="1:22" ht="15" thickBot="1" x14ac:dyDescent="0.35">
      <c r="A6" s="6"/>
      <c r="B6" s="6"/>
      <c r="C6" s="6"/>
      <c r="D6" s="29"/>
      <c r="E6" s="29"/>
      <c r="F6" s="65"/>
      <c r="G6" s="65"/>
      <c r="H6" s="65"/>
      <c r="I6" s="65"/>
      <c r="J6" s="65"/>
      <c r="K6" s="65"/>
      <c r="L6" s="65"/>
      <c r="M6" s="65"/>
      <c r="N6" s="65"/>
      <c r="O6" s="65"/>
      <c r="P6" s="6"/>
      <c r="Q6" s="6"/>
      <c r="R6" s="6"/>
    </row>
    <row r="7" spans="1:22" ht="25.2" customHeight="1" thickBot="1" x14ac:dyDescent="0.35">
      <c r="A7" s="6"/>
      <c r="B7" s="6"/>
      <c r="C7" s="6"/>
      <c r="D7" s="29"/>
      <c r="E7" s="29"/>
      <c r="F7" s="269" t="s">
        <v>566</v>
      </c>
      <c r="G7" s="270"/>
      <c r="H7" s="270"/>
      <c r="I7" s="270"/>
      <c r="J7" s="271"/>
      <c r="K7" s="271"/>
      <c r="L7" s="271"/>
      <c r="M7" s="271"/>
      <c r="N7" s="271"/>
      <c r="O7" s="271"/>
      <c r="P7" s="271"/>
      <c r="Q7" s="272"/>
      <c r="R7" s="173" t="s">
        <v>567</v>
      </c>
      <c r="S7" s="173" t="s">
        <v>568</v>
      </c>
    </row>
    <row r="8" spans="1:22" ht="53.25" customHeight="1" x14ac:dyDescent="0.3">
      <c r="A8" s="6"/>
      <c r="B8" s="42" t="s">
        <v>1656</v>
      </c>
      <c r="C8" s="59" t="s">
        <v>569</v>
      </c>
      <c r="D8" s="60" t="s">
        <v>18</v>
      </c>
      <c r="E8" s="38" t="s">
        <v>570</v>
      </c>
      <c r="F8" s="183" t="s">
        <v>571</v>
      </c>
      <c r="G8" s="184" t="s">
        <v>572</v>
      </c>
      <c r="H8" s="185" t="s">
        <v>573</v>
      </c>
      <c r="I8" s="186" t="s">
        <v>574</v>
      </c>
      <c r="J8" s="181" t="s">
        <v>1646</v>
      </c>
      <c r="K8" s="181" t="s">
        <v>1647</v>
      </c>
      <c r="L8" s="181" t="s">
        <v>1648</v>
      </c>
      <c r="M8" s="181" t="s">
        <v>1649</v>
      </c>
      <c r="N8" s="181" t="s">
        <v>1650</v>
      </c>
      <c r="O8" s="181" t="s">
        <v>1651</v>
      </c>
      <c r="P8" s="181" t="s">
        <v>1652</v>
      </c>
      <c r="Q8" s="181" t="s">
        <v>1653</v>
      </c>
      <c r="R8" s="187" t="s">
        <v>1536</v>
      </c>
      <c r="S8" s="183" t="s">
        <v>575</v>
      </c>
      <c r="U8" s="6"/>
      <c r="V8" s="6"/>
    </row>
    <row r="9" spans="1:22" ht="44.7" customHeight="1" x14ac:dyDescent="0.3">
      <c r="A9" s="6"/>
      <c r="B9" s="214">
        <v>754</v>
      </c>
      <c r="C9" s="149" t="s">
        <v>576</v>
      </c>
      <c r="D9" s="150" t="s">
        <v>1540</v>
      </c>
      <c r="E9" s="37"/>
      <c r="F9" s="174"/>
      <c r="G9" s="175"/>
      <c r="H9" s="176"/>
      <c r="I9" s="177"/>
      <c r="J9" s="178"/>
      <c r="K9" s="178"/>
      <c r="L9" s="178"/>
      <c r="M9" s="178"/>
      <c r="N9" s="175"/>
      <c r="O9" s="178"/>
      <c r="P9" s="178"/>
      <c r="Q9" s="178"/>
      <c r="R9" s="174"/>
      <c r="S9" s="182" t="str">
        <f>IF(COUNTA(F9:R9)=0,"",MAX(Data_core[[#This Row],[Total Direct]],SUM(Data_core[[#This Row],[Total male]:[Other/ 
Unknown]]),SUM(Data_core[[#This Row],[Male &lt;5]:[Female 50+]]))+Data_core[[#This Row],[Indirectly reached]])</f>
        <v/>
      </c>
      <c r="U9" s="6"/>
      <c r="V9" s="6"/>
    </row>
    <row r="10" spans="1:22" ht="44.7" customHeight="1" x14ac:dyDescent="0.3">
      <c r="A10" s="6"/>
      <c r="B10" s="215">
        <v>619</v>
      </c>
      <c r="C10" s="149" t="s">
        <v>576</v>
      </c>
      <c r="D10" s="150" t="s">
        <v>577</v>
      </c>
      <c r="E10" s="37"/>
      <c r="F10" s="55"/>
      <c r="G10" s="56"/>
      <c r="H10" s="88"/>
      <c r="I10" s="89"/>
      <c r="J10" s="57"/>
      <c r="K10" s="57"/>
      <c r="L10" s="57"/>
      <c r="M10" s="57"/>
      <c r="N10" s="56"/>
      <c r="O10" s="57"/>
      <c r="P10" s="57"/>
      <c r="Q10" s="57"/>
      <c r="R10" s="55"/>
      <c r="S10" s="152" t="str">
        <f>IF(COUNTA(F10:R10)=0,"",MAX(Data_core[[#This Row],[Total Direct]],SUM(Data_core[[#This Row],[Total male]:[Other/ 
Unknown]]),SUM(Data_core[[#This Row],[Male &lt;5]:[Female 50+]]))+Data_core[[#This Row],[Indirectly reached]])</f>
        <v/>
      </c>
      <c r="U10" s="6"/>
      <c r="V10" s="6"/>
    </row>
    <row r="11" spans="1:22" ht="44.7" customHeight="1" x14ac:dyDescent="0.3">
      <c r="A11" s="6"/>
      <c r="B11" s="215">
        <v>618</v>
      </c>
      <c r="C11" s="149" t="s">
        <v>1654</v>
      </c>
      <c r="D11" s="150" t="s">
        <v>719</v>
      </c>
      <c r="E11" s="37"/>
      <c r="F11" s="55"/>
      <c r="G11" s="56"/>
      <c r="H11" s="88"/>
      <c r="I11" s="89"/>
      <c r="J11" s="178"/>
      <c r="K11" s="178"/>
      <c r="L11" s="178"/>
      <c r="M11" s="178"/>
      <c r="N11" s="56"/>
      <c r="O11" s="57"/>
      <c r="P11" s="57"/>
      <c r="Q11" s="57"/>
      <c r="R11" s="55"/>
      <c r="S11" s="152" t="str">
        <f>IF(COUNTA(F11:R11)=0,"",MAX(Data_core[[#This Row],[Total Direct]],SUM(Data_core[[#This Row],[Total male]:[Other/ 
Unknown]]),SUM(Data_core[[#This Row],[Male &lt;5]:[Female 50+]]))+Data_core[[#This Row],[Indirectly reached]])</f>
        <v/>
      </c>
      <c r="U11" s="6"/>
      <c r="V11" s="6"/>
    </row>
    <row r="12" spans="1:22" ht="44.7" customHeight="1" x14ac:dyDescent="0.3">
      <c r="A12" s="6"/>
      <c r="B12" s="215">
        <v>620</v>
      </c>
      <c r="C12" s="149" t="s">
        <v>1654</v>
      </c>
      <c r="D12" s="150" t="s">
        <v>720</v>
      </c>
      <c r="E12" s="37"/>
      <c r="F12" s="36"/>
      <c r="G12" s="142"/>
      <c r="H12" s="143"/>
      <c r="I12" s="143"/>
      <c r="J12" s="154"/>
      <c r="K12" s="154"/>
      <c r="L12" s="154"/>
      <c r="M12" s="154"/>
      <c r="N12" s="154"/>
      <c r="O12" s="143"/>
      <c r="P12" s="143"/>
      <c r="Q12" s="143"/>
      <c r="R12" s="144"/>
      <c r="S12" s="180" t="str">
        <f>IF(Data_core[[#This Row],[Total Direct]]="","",Data_core[[#This Row],[Total Direct]])</f>
        <v/>
      </c>
      <c r="U12" s="6"/>
      <c r="V12" s="6"/>
    </row>
    <row r="13" spans="1:22" ht="44.7" customHeight="1" x14ac:dyDescent="0.3">
      <c r="A13" s="6"/>
      <c r="B13" s="215">
        <v>621</v>
      </c>
      <c r="C13" s="149" t="s">
        <v>1654</v>
      </c>
      <c r="D13" s="150" t="s">
        <v>578</v>
      </c>
      <c r="E13" s="37"/>
      <c r="F13" s="55"/>
      <c r="G13" s="56"/>
      <c r="H13" s="88"/>
      <c r="I13" s="89"/>
      <c r="J13" s="178"/>
      <c r="K13" s="178"/>
      <c r="L13" s="178"/>
      <c r="M13" s="178"/>
      <c r="N13" s="56"/>
      <c r="O13" s="57"/>
      <c r="P13" s="57"/>
      <c r="Q13" s="57"/>
      <c r="R13" s="55"/>
      <c r="S13" s="152" t="str">
        <f>IF(COUNTA(F13:R13)=0,"",MAX(Data_core[[#This Row],[Total Direct]],SUM(Data_core[[#This Row],[Total male]:[Other/ 
Unknown]]),SUM(Data_core[[#This Row],[Male &lt;5]:[Female 50+]]))+Data_core[[#This Row],[Indirectly reached]])</f>
        <v/>
      </c>
      <c r="U13" s="6"/>
      <c r="V13" s="6"/>
    </row>
    <row r="14" spans="1:22" ht="44.7" customHeight="1" x14ac:dyDescent="0.3">
      <c r="A14" s="6"/>
      <c r="B14" s="215">
        <v>622</v>
      </c>
      <c r="C14" s="149" t="s">
        <v>1654</v>
      </c>
      <c r="D14" s="150" t="s">
        <v>721</v>
      </c>
      <c r="E14" s="37"/>
      <c r="F14" s="55"/>
      <c r="G14" s="56"/>
      <c r="H14" s="88"/>
      <c r="I14" s="89"/>
      <c r="J14" s="57"/>
      <c r="K14" s="57"/>
      <c r="L14" s="57"/>
      <c r="M14" s="57"/>
      <c r="N14" s="56"/>
      <c r="O14" s="57"/>
      <c r="P14" s="57"/>
      <c r="Q14" s="57"/>
      <c r="R14" s="55"/>
      <c r="S14" s="152" t="str">
        <f>IF(COUNTA(F14:R14)=0,"",MAX(Data_core[[#This Row],[Total Direct]],SUM(Data_core[[#This Row],[Total male]:[Other/ 
Unknown]]),SUM(Data_core[[#This Row],[Male &lt;5]:[Female 50+]]))+Data_core[[#This Row],[Indirectly reached]])</f>
        <v/>
      </c>
      <c r="U14" s="6"/>
      <c r="V14" s="6"/>
    </row>
    <row r="15" spans="1:22" ht="44.7" customHeight="1" x14ac:dyDescent="0.3">
      <c r="A15" s="6"/>
      <c r="B15" s="215">
        <v>612</v>
      </c>
      <c r="C15" s="149" t="s">
        <v>1518</v>
      </c>
      <c r="D15" s="150" t="s">
        <v>620</v>
      </c>
      <c r="E15" s="37"/>
      <c r="F15" s="55"/>
      <c r="G15" s="56"/>
      <c r="H15" s="88"/>
      <c r="I15" s="89"/>
      <c r="J15" s="178"/>
      <c r="K15" s="178"/>
      <c r="L15" s="178"/>
      <c r="M15" s="178"/>
      <c r="N15" s="56"/>
      <c r="O15" s="57"/>
      <c r="P15" s="57"/>
      <c r="Q15" s="57"/>
      <c r="R15" s="55"/>
      <c r="S15" s="152" t="str">
        <f>IF(COUNTA(F15:R15)=0,"",MAX(Data_core[[#This Row],[Total Direct]],SUM(Data_core[[#This Row],[Total male]:[Other/ 
Unknown]]),SUM(Data_core[[#This Row],[Male &lt;5]:[Female 50+]]))+Data_core[[#This Row],[Indirectly reached]])</f>
        <v/>
      </c>
      <c r="U15" s="6"/>
      <c r="V15" s="6"/>
    </row>
    <row r="16" spans="1:22" ht="44.7" customHeight="1" x14ac:dyDescent="0.3">
      <c r="A16" s="6"/>
      <c r="B16" s="215">
        <v>613</v>
      </c>
      <c r="C16" s="149" t="s">
        <v>1518</v>
      </c>
      <c r="D16" s="150" t="s">
        <v>623</v>
      </c>
      <c r="E16" s="37"/>
      <c r="F16" s="55"/>
      <c r="G16" s="56"/>
      <c r="H16" s="88"/>
      <c r="I16" s="89"/>
      <c r="J16" s="57"/>
      <c r="K16" s="57"/>
      <c r="L16" s="57"/>
      <c r="M16" s="57"/>
      <c r="N16" s="56"/>
      <c r="O16" s="57"/>
      <c r="P16" s="57"/>
      <c r="Q16" s="57"/>
      <c r="R16" s="55"/>
      <c r="S16" s="152" t="str">
        <f>IF(COUNTA(F16:R16)=0,"",MAX(Data_core[[#This Row],[Total Direct]],SUM(Data_core[[#This Row],[Total male]:[Other/ 
Unknown]]),SUM(Data_core[[#This Row],[Male &lt;5]:[Female 50+]]))+Data_core[[#This Row],[Indirectly reached]])</f>
        <v/>
      </c>
      <c r="U16" s="6"/>
      <c r="V16" s="6"/>
    </row>
    <row r="17" spans="1:22" ht="44.7" customHeight="1" x14ac:dyDescent="0.3">
      <c r="A17" s="6"/>
      <c r="B17" s="215">
        <v>614</v>
      </c>
      <c r="C17" s="149" t="s">
        <v>1518</v>
      </c>
      <c r="D17" s="150" t="s">
        <v>624</v>
      </c>
      <c r="E17" s="37"/>
      <c r="F17" s="55"/>
      <c r="G17" s="56"/>
      <c r="H17" s="88"/>
      <c r="I17" s="89"/>
      <c r="J17" s="178"/>
      <c r="K17" s="178"/>
      <c r="L17" s="178"/>
      <c r="M17" s="178"/>
      <c r="N17" s="56"/>
      <c r="O17" s="57"/>
      <c r="P17" s="57"/>
      <c r="Q17" s="57"/>
      <c r="R17" s="55"/>
      <c r="S17" s="152" t="str">
        <f>IF(COUNTA(F17:R17)=0,"",MAX(Data_core[[#This Row],[Total Direct]],SUM(Data_core[[#This Row],[Total male]:[Other/ 
Unknown]]),SUM(Data_core[[#This Row],[Male &lt;5]:[Female 50+]]))+Data_core[[#This Row],[Indirectly reached]])</f>
        <v/>
      </c>
      <c r="U17" s="6"/>
      <c r="V17" s="6"/>
    </row>
    <row r="18" spans="1:22" ht="44.7" customHeight="1" x14ac:dyDescent="0.3">
      <c r="A18" s="6"/>
      <c r="B18" s="215">
        <v>615</v>
      </c>
      <c r="C18" s="149" t="s">
        <v>1518</v>
      </c>
      <c r="D18" s="150" t="s">
        <v>625</v>
      </c>
      <c r="E18" s="37"/>
      <c r="F18" s="172"/>
      <c r="G18" s="153"/>
      <c r="H18" s="154"/>
      <c r="I18" s="154"/>
      <c r="J18" s="154"/>
      <c r="K18" s="154"/>
      <c r="L18" s="154"/>
      <c r="M18" s="154"/>
      <c r="N18" s="154"/>
      <c r="O18" s="154"/>
      <c r="P18" s="154"/>
      <c r="Q18" s="154"/>
      <c r="R18" s="155"/>
      <c r="S18" s="152" t="str">
        <f>IF(COUNTA(F18:R18)=0,"",MAX(Data_core[[#This Row],[Total Direct]],SUM(Data_core[[#This Row],[Total male]:[Other/ 
Unknown]]),SUM(Data_core[[#This Row],[Male &lt;5]:[Female 50+]]))+Data_core[[#This Row],[Indirectly reached]])</f>
        <v/>
      </c>
      <c r="U18" s="6"/>
      <c r="V18" s="6"/>
    </row>
    <row r="19" spans="1:22" ht="44.7" customHeight="1" x14ac:dyDescent="0.3">
      <c r="A19" s="6"/>
      <c r="B19" s="215">
        <v>616</v>
      </c>
      <c r="C19" s="149" t="s">
        <v>1518</v>
      </c>
      <c r="D19" s="150" t="s">
        <v>1529</v>
      </c>
      <c r="E19" s="37"/>
      <c r="F19" s="172"/>
      <c r="G19" s="153"/>
      <c r="H19" s="154"/>
      <c r="I19" s="154"/>
      <c r="J19" s="154"/>
      <c r="K19" s="154"/>
      <c r="L19" s="154"/>
      <c r="M19" s="154"/>
      <c r="N19" s="154"/>
      <c r="O19" s="154"/>
      <c r="P19" s="154"/>
      <c r="Q19" s="154"/>
      <c r="R19" s="155"/>
      <c r="S19" s="152" t="str">
        <f>IF(COUNTA(F19:R19)=0,"",MAX(Data_core[[#This Row],[Total Direct]],SUM(Data_core[[#This Row],[Total male]:[Other/ 
Unknown]]),SUM(Data_core[[#This Row],[Male &lt;5]:[Female 50+]]))+Data_core[[#This Row],[Indirectly reached]])</f>
        <v/>
      </c>
      <c r="U19" s="6"/>
      <c r="V19" s="6"/>
    </row>
    <row r="20" spans="1:22" ht="44.7" customHeight="1" x14ac:dyDescent="0.3">
      <c r="A20" s="6"/>
      <c r="B20" s="215">
        <v>623</v>
      </c>
      <c r="C20" s="149" t="s">
        <v>1519</v>
      </c>
      <c r="D20" s="150" t="s">
        <v>1530</v>
      </c>
      <c r="E20" s="37"/>
      <c r="F20" s="55"/>
      <c r="G20" s="56"/>
      <c r="H20" s="88"/>
      <c r="I20" s="89"/>
      <c r="J20" s="57"/>
      <c r="K20" s="57"/>
      <c r="L20" s="57"/>
      <c r="M20" s="57"/>
      <c r="N20" s="56"/>
      <c r="O20" s="57"/>
      <c r="P20" s="57"/>
      <c r="Q20" s="57"/>
      <c r="R20" s="55"/>
      <c r="S20" s="152" t="str">
        <f>IF(COUNTA(F20:R20)=0,"",MAX(Data_core[[#This Row],[Total Direct]],SUM(Data_core[[#This Row],[Total male]:[Other/ 
Unknown]]),SUM(Data_core[[#This Row],[Male &lt;5]:[Female 50+]]))+Data_core[[#This Row],[Indirectly reached]])</f>
        <v/>
      </c>
      <c r="U20" s="6"/>
      <c r="V20" s="6"/>
    </row>
    <row r="21" spans="1:22" ht="44.7" customHeight="1" x14ac:dyDescent="0.3">
      <c r="A21" s="6"/>
      <c r="B21" s="215">
        <v>624</v>
      </c>
      <c r="C21" s="149" t="s">
        <v>1519</v>
      </c>
      <c r="D21" s="150" t="s">
        <v>1531</v>
      </c>
      <c r="E21" s="37"/>
      <c r="F21" s="55"/>
      <c r="G21" s="56"/>
      <c r="H21" s="88"/>
      <c r="I21" s="89"/>
      <c r="J21" s="178"/>
      <c r="K21" s="178"/>
      <c r="L21" s="178"/>
      <c r="M21" s="178"/>
      <c r="N21" s="56"/>
      <c r="O21" s="57"/>
      <c r="P21" s="57"/>
      <c r="Q21" s="57"/>
      <c r="R21" s="55"/>
      <c r="S21" s="152" t="str">
        <f>IF(COUNTA(F21:R21)=0,"",MAX(Data_core[[#This Row],[Total Direct]],SUM(Data_core[[#This Row],[Total male]:[Other/ 
Unknown]]),SUM(Data_core[[#This Row],[Male &lt;5]:[Female 50+]]))+Data_core[[#This Row],[Indirectly reached]])</f>
        <v/>
      </c>
      <c r="U21" s="6"/>
      <c r="V21" s="6"/>
    </row>
    <row r="22" spans="1:22" ht="44.7" customHeight="1" x14ac:dyDescent="0.3">
      <c r="A22" s="6"/>
      <c r="B22" s="215">
        <v>625</v>
      </c>
      <c r="C22" s="149" t="s">
        <v>1519</v>
      </c>
      <c r="D22" s="150" t="s">
        <v>1532</v>
      </c>
      <c r="E22" s="37"/>
      <c r="F22" s="55"/>
      <c r="G22" s="56"/>
      <c r="H22" s="88"/>
      <c r="I22" s="89"/>
      <c r="J22" s="57"/>
      <c r="K22" s="57"/>
      <c r="L22" s="57"/>
      <c r="M22" s="57"/>
      <c r="N22" s="56"/>
      <c r="O22" s="57"/>
      <c r="P22" s="57"/>
      <c r="Q22" s="57"/>
      <c r="R22" s="55"/>
      <c r="S22" s="152" t="str">
        <f>IF(COUNTA(F22:R22)=0,"",MAX(Data_core[[#This Row],[Total Direct]],SUM(Data_core[[#This Row],[Total male]:[Other/ 
Unknown]]),SUM(Data_core[[#This Row],[Male &lt;5]:[Female 50+]]))+Data_core[[#This Row],[Indirectly reached]])</f>
        <v/>
      </c>
      <c r="U22" s="6"/>
      <c r="V22" s="6"/>
    </row>
    <row r="23" spans="1:22" ht="44.7" customHeight="1" x14ac:dyDescent="0.3">
      <c r="A23" s="6"/>
      <c r="B23" s="215">
        <v>626</v>
      </c>
      <c r="C23" s="149" t="s">
        <v>1519</v>
      </c>
      <c r="D23" s="150" t="s">
        <v>579</v>
      </c>
      <c r="E23" s="37"/>
      <c r="F23" s="55"/>
      <c r="G23" s="56"/>
      <c r="H23" s="88"/>
      <c r="I23" s="89"/>
      <c r="J23" s="178"/>
      <c r="K23" s="178"/>
      <c r="L23" s="178"/>
      <c r="M23" s="178"/>
      <c r="N23" s="56"/>
      <c r="O23" s="57"/>
      <c r="P23" s="57"/>
      <c r="Q23" s="57"/>
      <c r="R23" s="55"/>
      <c r="S23" s="152" t="str">
        <f>IF(COUNTA(F23:R23)=0,"",MAX(Data_core[[#This Row],[Total Direct]],SUM(Data_core[[#This Row],[Total male]:[Other/ 
Unknown]]),SUM(Data_core[[#This Row],[Male &lt;5]:[Female 50+]]))+Data_core[[#This Row],[Indirectly reached]])</f>
        <v/>
      </c>
      <c r="U23" s="6"/>
      <c r="V23" s="6"/>
    </row>
    <row r="24" spans="1:22" ht="44.7" customHeight="1" x14ac:dyDescent="0.3">
      <c r="A24" s="6"/>
      <c r="B24" s="215">
        <v>627</v>
      </c>
      <c r="C24" s="149" t="s">
        <v>1519</v>
      </c>
      <c r="D24" s="150" t="s">
        <v>896</v>
      </c>
      <c r="E24" s="37"/>
      <c r="F24" s="55"/>
      <c r="G24" s="56"/>
      <c r="H24" s="88"/>
      <c r="I24" s="89"/>
      <c r="J24" s="57"/>
      <c r="K24" s="57"/>
      <c r="L24" s="57"/>
      <c r="M24" s="57"/>
      <c r="N24" s="56"/>
      <c r="O24" s="57"/>
      <c r="P24" s="57"/>
      <c r="Q24" s="57"/>
      <c r="R24" s="179"/>
      <c r="S24" s="152" t="str">
        <f>IF(COUNTA(F24:R24)=0,"",MAX(Data_core[[#This Row],[Total Direct]],SUM(Data_core[[#This Row],[Total male]:[Other/ 
Unknown]]),SUM(Data_core[[#This Row],[Male &lt;5]:[Female 50+]]))+Data_core[[#This Row],[Indirectly reached]])</f>
        <v/>
      </c>
      <c r="U24" s="6"/>
      <c r="V24" s="6"/>
    </row>
    <row r="25" spans="1:22" ht="44.7" customHeight="1" x14ac:dyDescent="0.3">
      <c r="A25" s="6"/>
      <c r="B25" s="215">
        <v>628</v>
      </c>
      <c r="C25" s="149" t="s">
        <v>1519</v>
      </c>
      <c r="D25" s="150" t="s">
        <v>898</v>
      </c>
      <c r="E25" s="37"/>
      <c r="F25" s="55"/>
      <c r="G25" s="56"/>
      <c r="H25" s="88"/>
      <c r="I25" s="89"/>
      <c r="J25" s="178"/>
      <c r="K25" s="178"/>
      <c r="L25" s="178"/>
      <c r="M25" s="178"/>
      <c r="N25" s="56"/>
      <c r="O25" s="57"/>
      <c r="P25" s="57"/>
      <c r="Q25" s="57"/>
      <c r="R25" s="179"/>
      <c r="S25" s="152" t="str">
        <f>IF(COUNTA(F25:R25)=0,"",MAX(Data_core[[#This Row],[Total Direct]],SUM(Data_core[[#This Row],[Total male]:[Other/ 
Unknown]]),SUM(Data_core[[#This Row],[Male &lt;5]:[Female 50+]]))+Data_core[[#This Row],[Indirectly reached]])</f>
        <v/>
      </c>
      <c r="U25" s="6"/>
      <c r="V25" s="6"/>
    </row>
    <row r="26" spans="1:22" ht="44.7" customHeight="1" x14ac:dyDescent="0.3">
      <c r="A26" s="6"/>
      <c r="B26" s="215">
        <v>629</v>
      </c>
      <c r="C26" s="149" t="s">
        <v>1520</v>
      </c>
      <c r="D26" s="150" t="s">
        <v>1281</v>
      </c>
      <c r="E26" s="37"/>
      <c r="F26" s="55"/>
      <c r="G26" s="56"/>
      <c r="H26" s="88"/>
      <c r="I26" s="89"/>
      <c r="J26" s="57"/>
      <c r="K26" s="57"/>
      <c r="L26" s="57"/>
      <c r="M26" s="57"/>
      <c r="N26" s="56"/>
      <c r="O26" s="57"/>
      <c r="P26" s="57"/>
      <c r="Q26" s="57"/>
      <c r="R26" s="55"/>
      <c r="S26" s="152" t="str">
        <f>IF(COUNTA(F26:R26)=0,"",MAX(Data_core[[#This Row],[Total Direct]],SUM(Data_core[[#This Row],[Total male]:[Other/ 
Unknown]]),SUM(Data_core[[#This Row],[Male &lt;5]:[Female 50+]]))+Data_core[[#This Row],[Indirectly reached]])</f>
        <v/>
      </c>
      <c r="U26" s="6"/>
      <c r="V26" s="6"/>
    </row>
    <row r="27" spans="1:22" ht="44.7" customHeight="1" x14ac:dyDescent="0.3">
      <c r="A27" s="6"/>
      <c r="B27" s="215">
        <v>630</v>
      </c>
      <c r="C27" s="149" t="s">
        <v>1520</v>
      </c>
      <c r="D27" s="150" t="s">
        <v>1533</v>
      </c>
      <c r="E27" s="37"/>
      <c r="F27" s="55"/>
      <c r="G27" s="154"/>
      <c r="H27" s="154"/>
      <c r="I27" s="154"/>
      <c r="J27" s="154"/>
      <c r="K27" s="154"/>
      <c r="L27" s="154"/>
      <c r="M27" s="154"/>
      <c r="N27" s="154"/>
      <c r="O27" s="154"/>
      <c r="P27" s="154"/>
      <c r="Q27" s="154"/>
      <c r="R27" s="154"/>
      <c r="S27" s="152" t="str">
        <f>IF(COUNTA(F27:R27)=0,"",MAX(Data_core[[#This Row],[Total Direct]],SUM(Data_core[[#This Row],[Total male]:[Other/ 
Unknown]]),SUM(Data_core[[#This Row],[Male &lt;5]:[Female 50+]]))+Data_core[[#This Row],[Indirectly reached]])</f>
        <v/>
      </c>
      <c r="U27" s="6"/>
      <c r="V27" s="6"/>
    </row>
    <row r="28" spans="1:22" ht="58.2" customHeight="1" x14ac:dyDescent="0.3">
      <c r="A28" s="6"/>
      <c r="B28" s="215">
        <v>631</v>
      </c>
      <c r="C28" s="149" t="s">
        <v>1520</v>
      </c>
      <c r="D28" s="150" t="s">
        <v>1282</v>
      </c>
      <c r="E28" s="37"/>
      <c r="F28" s="172"/>
      <c r="G28" s="154"/>
      <c r="H28" s="154"/>
      <c r="I28" s="154"/>
      <c r="J28" s="154"/>
      <c r="K28" s="154"/>
      <c r="L28" s="154"/>
      <c r="M28" s="154"/>
      <c r="N28" s="154"/>
      <c r="O28" s="154"/>
      <c r="P28" s="154"/>
      <c r="Q28" s="154"/>
      <c r="R28" s="154"/>
      <c r="S28" s="152" t="str">
        <f>IF(COUNTA(F28:R28)=0,"",MAX(Data_core[[#This Row],[Total Direct]],SUM(Data_core[[#This Row],[Total male]:[Other/ 
Unknown]]),SUM(Data_core[[#This Row],[Male &lt;5]:[Female 50+]]))+Data_core[[#This Row],[Indirectly reached]])</f>
        <v/>
      </c>
      <c r="U28" s="6"/>
      <c r="V28" s="6"/>
    </row>
    <row r="29" spans="1:22" ht="44.7" customHeight="1" x14ac:dyDescent="0.3">
      <c r="A29" s="6"/>
      <c r="B29" s="215">
        <v>1126</v>
      </c>
      <c r="C29" s="149" t="s">
        <v>1520</v>
      </c>
      <c r="D29" s="150" t="s">
        <v>1534</v>
      </c>
      <c r="E29" s="37"/>
      <c r="F29" s="172"/>
      <c r="G29" s="154"/>
      <c r="H29" s="154"/>
      <c r="I29" s="154"/>
      <c r="J29" s="154"/>
      <c r="K29" s="154"/>
      <c r="L29" s="154"/>
      <c r="M29" s="154"/>
      <c r="N29" s="154"/>
      <c r="O29" s="154"/>
      <c r="P29" s="154"/>
      <c r="Q29" s="154"/>
      <c r="R29" s="154"/>
      <c r="S29" s="152" t="str">
        <f>IF(COUNTA(F29:R29)=0,"",MAX(Data_core[[#This Row],[Total Direct]],SUM(Data_core[[#This Row],[Total male]:[Other/ 
Unknown]]),SUM(Data_core[[#This Row],[Male &lt;5]:[Female 50+]]))+Data_core[[#This Row],[Indirectly reached]])</f>
        <v/>
      </c>
      <c r="U29" s="6"/>
      <c r="V29" s="6"/>
    </row>
    <row r="30" spans="1:22" ht="44.7" customHeight="1" x14ac:dyDescent="0.3">
      <c r="A30" s="6"/>
      <c r="B30" s="215">
        <v>633</v>
      </c>
      <c r="C30" s="149" t="s">
        <v>1521</v>
      </c>
      <c r="D30" s="150" t="s">
        <v>1364</v>
      </c>
      <c r="E30" s="37"/>
      <c r="F30" s="55"/>
      <c r="G30" s="56"/>
      <c r="H30" s="88"/>
      <c r="I30" s="89"/>
      <c r="J30" s="57"/>
      <c r="K30" s="57"/>
      <c r="L30" s="57"/>
      <c r="M30" s="57"/>
      <c r="N30" s="56"/>
      <c r="O30" s="57"/>
      <c r="P30" s="57"/>
      <c r="Q30" s="57"/>
      <c r="R30" s="55"/>
      <c r="S30" s="152" t="str">
        <f>IF(COUNTA(F30:R30)=0,"",MAX(Data_core[[#This Row],[Total Direct]],SUM(Data_core[[#This Row],[Total male]:[Other/ 
Unknown]]),SUM(Data_core[[#This Row],[Male &lt;5]:[Female 50+]]))+Data_core[[#This Row],[Indirectly reached]])</f>
        <v/>
      </c>
      <c r="U30" s="6"/>
      <c r="V30" s="6"/>
    </row>
    <row r="31" spans="1:22" ht="44.7" customHeight="1" x14ac:dyDescent="0.3">
      <c r="A31" s="6"/>
      <c r="B31" s="215">
        <v>635</v>
      </c>
      <c r="C31" s="149" t="s">
        <v>1521</v>
      </c>
      <c r="D31" s="170" t="s">
        <v>899</v>
      </c>
      <c r="E31" s="37"/>
      <c r="F31" s="55"/>
      <c r="G31" s="56"/>
      <c r="H31" s="88"/>
      <c r="I31" s="89"/>
      <c r="J31" s="178"/>
      <c r="K31" s="178"/>
      <c r="L31" s="178"/>
      <c r="M31" s="178"/>
      <c r="N31" s="56"/>
      <c r="O31" s="57"/>
      <c r="P31" s="57"/>
      <c r="Q31" s="57"/>
      <c r="R31" s="55"/>
      <c r="S31" s="152" t="str">
        <f>IF(COUNTA(F31:R31)=0,"",MAX(Data_core[[#This Row],[Total Direct]],SUM(Data_core[[#This Row],[Total male]:[Other/ 
Unknown]]),SUM(Data_core[[#This Row],[Male &lt;5]:[Female 50+]]))+Data_core[[#This Row],[Indirectly reached]])</f>
        <v/>
      </c>
      <c r="U31" s="6"/>
      <c r="V31" s="6"/>
    </row>
    <row r="32" spans="1:22" ht="44.7" customHeight="1" x14ac:dyDescent="0.3">
      <c r="A32" s="6"/>
      <c r="B32" s="215">
        <v>1129</v>
      </c>
      <c r="C32" s="149" t="s">
        <v>1521</v>
      </c>
      <c r="D32" s="170" t="s">
        <v>1541</v>
      </c>
      <c r="E32" s="37"/>
      <c r="F32" s="172"/>
      <c r="G32" s="154"/>
      <c r="H32" s="154"/>
      <c r="I32" s="154"/>
      <c r="J32" s="154"/>
      <c r="K32" s="154"/>
      <c r="L32" s="154"/>
      <c r="M32" s="154"/>
      <c r="N32" s="154"/>
      <c r="O32" s="154"/>
      <c r="P32" s="154"/>
      <c r="Q32" s="154"/>
      <c r="R32" s="154"/>
      <c r="S32" s="152" t="str">
        <f>IF(COUNTA(F32:R32)=0,"",MAX(Data_core[[#This Row],[Total Direct]],SUM(Data_core[[#This Row],[Total male]:[Other/ 
Unknown]]),SUM(Data_core[[#This Row],[Male &lt;5]:[Female 50+]]))+Data_core[[#This Row],[Indirectly reached]])</f>
        <v/>
      </c>
      <c r="U32" s="6"/>
      <c r="V32" s="6"/>
    </row>
    <row r="33" spans="1:22" ht="67.95" customHeight="1" x14ac:dyDescent="0.3">
      <c r="A33" s="6"/>
      <c r="B33" s="215">
        <v>638</v>
      </c>
      <c r="C33" s="149" t="s">
        <v>1521</v>
      </c>
      <c r="D33" s="170" t="s">
        <v>1367</v>
      </c>
      <c r="E33" s="37"/>
      <c r="F33" s="172"/>
      <c r="G33" s="154"/>
      <c r="H33" s="154"/>
      <c r="I33" s="154"/>
      <c r="J33" s="154"/>
      <c r="K33" s="154"/>
      <c r="L33" s="154"/>
      <c r="M33" s="154"/>
      <c r="N33" s="154"/>
      <c r="O33" s="154"/>
      <c r="P33" s="154"/>
      <c r="Q33" s="154"/>
      <c r="R33" s="154"/>
      <c r="S33" s="152" t="str">
        <f>IF(COUNTA(F33:R33)=0,"",MAX(Data_core[[#This Row],[Total Direct]],SUM(Data_core[[#This Row],[Total male]:[Other/ 
Unknown]]),SUM(Data_core[[#This Row],[Male &lt;5]:[Female 50+]]))+Data_core[[#This Row],[Indirectly reached]])</f>
        <v/>
      </c>
      <c r="U33" s="6"/>
      <c r="V33" s="6"/>
    </row>
    <row r="34" spans="1:22" ht="44.7" customHeight="1" x14ac:dyDescent="0.3">
      <c r="A34" s="6"/>
      <c r="B34" s="215">
        <v>709</v>
      </c>
      <c r="C34" s="149" t="s">
        <v>1521</v>
      </c>
      <c r="D34" s="150" t="s">
        <v>1542</v>
      </c>
      <c r="E34" s="37"/>
      <c r="F34" s="172"/>
      <c r="G34" s="154"/>
      <c r="H34" s="154"/>
      <c r="I34" s="154"/>
      <c r="J34" s="154"/>
      <c r="K34" s="154"/>
      <c r="L34" s="154"/>
      <c r="M34" s="154"/>
      <c r="N34" s="154"/>
      <c r="O34" s="154"/>
      <c r="P34" s="154"/>
      <c r="Q34" s="154"/>
      <c r="R34" s="154"/>
      <c r="S34" s="152" t="str">
        <f>IF(COUNTA(F34:R34)=0,"",MAX(Data_core[[#This Row],[Total Direct]],SUM(Data_core[[#This Row],[Total male]:[Other/ 
Unknown]]),SUM(Data_core[[#This Row],[Male &lt;5]:[Female 50+]]))+Data_core[[#This Row],[Indirectly reached]])</f>
        <v/>
      </c>
      <c r="U34" s="6"/>
      <c r="V34" s="6"/>
    </row>
    <row r="35" spans="1:22" ht="44.7" customHeight="1" x14ac:dyDescent="0.3">
      <c r="A35" s="6"/>
      <c r="B35" s="215">
        <v>640</v>
      </c>
      <c r="C35" s="149" t="s">
        <v>1525</v>
      </c>
      <c r="D35" s="150" t="s">
        <v>1411</v>
      </c>
      <c r="E35" s="37"/>
      <c r="F35" s="55"/>
      <c r="G35" s="154"/>
      <c r="H35" s="154"/>
      <c r="I35" s="154"/>
      <c r="J35" s="154"/>
      <c r="K35" s="154"/>
      <c r="L35" s="154"/>
      <c r="M35" s="154"/>
      <c r="N35" s="154"/>
      <c r="O35" s="154"/>
      <c r="P35" s="154"/>
      <c r="Q35" s="154"/>
      <c r="R35" s="154"/>
      <c r="S35" s="152" t="str">
        <f>IF(COUNTA(F35:R35)=0,"",MAX(Data_core[[#This Row],[Total Direct]],SUM(Data_core[[#This Row],[Total male]:[Other/ 
Unknown]]),SUM(Data_core[[#This Row],[Male &lt;5]:[Female 50+]]))+Data_core[[#This Row],[Indirectly reached]])</f>
        <v/>
      </c>
      <c r="U35" s="6"/>
      <c r="V35" s="6"/>
    </row>
    <row r="36" spans="1:22" ht="44.7" customHeight="1" x14ac:dyDescent="0.3">
      <c r="A36" s="6"/>
      <c r="B36" s="215">
        <v>641</v>
      </c>
      <c r="C36" s="149" t="s">
        <v>1525</v>
      </c>
      <c r="D36" s="150" t="s">
        <v>1657</v>
      </c>
      <c r="E36" s="37"/>
      <c r="F36" s="55"/>
      <c r="G36" s="154"/>
      <c r="H36" s="154"/>
      <c r="I36" s="154"/>
      <c r="J36" s="154"/>
      <c r="K36" s="154"/>
      <c r="L36" s="154"/>
      <c r="M36" s="154"/>
      <c r="N36" s="154"/>
      <c r="O36" s="154"/>
      <c r="P36" s="154"/>
      <c r="Q36" s="154"/>
      <c r="R36" s="154"/>
      <c r="S36" s="152" t="str">
        <f>IF(COUNTA(F36:R36)=0,"",MAX(Data_core[[#This Row],[Total Direct]],SUM(Data_core[[#This Row],[Total male]:[Other/ 
Unknown]]),SUM(Data_core[[#This Row],[Male &lt;5]:[Female 50+]]))+Data_core[[#This Row],[Indirectly reached]])</f>
        <v/>
      </c>
      <c r="U36" s="6"/>
      <c r="V36" s="6"/>
    </row>
    <row r="37" spans="1:22" ht="44.7" customHeight="1" x14ac:dyDescent="0.3">
      <c r="A37" s="6"/>
      <c r="B37" s="215">
        <v>642</v>
      </c>
      <c r="C37" s="149" t="s">
        <v>1526</v>
      </c>
      <c r="D37" s="150" t="s">
        <v>1427</v>
      </c>
      <c r="E37" s="37"/>
      <c r="F37" s="172"/>
      <c r="G37" s="154"/>
      <c r="H37" s="154"/>
      <c r="I37" s="154"/>
      <c r="J37" s="154"/>
      <c r="K37" s="154"/>
      <c r="L37" s="154"/>
      <c r="M37" s="154"/>
      <c r="N37" s="154"/>
      <c r="O37" s="154"/>
      <c r="P37" s="154"/>
      <c r="Q37" s="154"/>
      <c r="R37" s="154"/>
      <c r="S37" s="152" t="str">
        <f>IF(COUNTA(F37:R37)=0,"",MAX(Data_core[[#This Row],[Total Direct]],SUM(Data_core[[#This Row],[Total male]:[Other/ 
Unknown]]),SUM(Data_core[[#This Row],[Male &lt;5]:[Female 50+]]))+Data_core[[#This Row],[Indirectly reached]])</f>
        <v/>
      </c>
      <c r="U37" s="6"/>
      <c r="V37" s="6"/>
    </row>
    <row r="38" spans="1:22" ht="44.7" customHeight="1" x14ac:dyDescent="0.3">
      <c r="A38" s="6"/>
      <c r="B38" s="215">
        <v>643</v>
      </c>
      <c r="C38" s="149" t="s">
        <v>1526</v>
      </c>
      <c r="D38" s="150" t="s">
        <v>1543</v>
      </c>
      <c r="E38" s="37"/>
      <c r="F38" s="172"/>
      <c r="G38" s="154"/>
      <c r="H38" s="154"/>
      <c r="I38" s="154"/>
      <c r="J38" s="154"/>
      <c r="K38" s="154"/>
      <c r="L38" s="154"/>
      <c r="M38" s="154"/>
      <c r="N38" s="154"/>
      <c r="O38" s="154"/>
      <c r="P38" s="154"/>
      <c r="Q38" s="154"/>
      <c r="R38" s="154"/>
      <c r="S38" s="152" t="str">
        <f>IF(COUNTA(F38:R38)=0,"",MAX(Data_core[[#This Row],[Total Direct]],SUM(Data_core[[#This Row],[Total male]:[Other/ 
Unknown]]),SUM(Data_core[[#This Row],[Male &lt;5]:[Female 50+]]))+Data_core[[#This Row],[Indirectly reached]])</f>
        <v/>
      </c>
      <c r="U38" s="6"/>
      <c r="V38" s="6"/>
    </row>
    <row r="39" spans="1:22" ht="44.7" customHeight="1" x14ac:dyDescent="0.3">
      <c r="A39" s="6"/>
      <c r="B39" s="215">
        <v>1130</v>
      </c>
      <c r="C39" s="149" t="s">
        <v>1526</v>
      </c>
      <c r="D39" s="150" t="s">
        <v>1544</v>
      </c>
      <c r="E39" s="37"/>
      <c r="F39" s="172"/>
      <c r="G39" s="154"/>
      <c r="H39" s="154"/>
      <c r="I39" s="154"/>
      <c r="J39" s="154"/>
      <c r="K39" s="154"/>
      <c r="L39" s="154"/>
      <c r="M39" s="154"/>
      <c r="N39" s="154"/>
      <c r="O39" s="154"/>
      <c r="P39" s="154"/>
      <c r="Q39" s="154"/>
      <c r="R39" s="154"/>
      <c r="S39" s="152" t="str">
        <f>IF(COUNTA(F39:R39)=0,"",MAX(Data_core[[#This Row],[Total Direct]],SUM(Data_core[[#This Row],[Total male]:[Other/ 
Unknown]]),SUM(Data_core[[#This Row],[Male &lt;5]:[Female 50+]]))+Data_core[[#This Row],[Indirectly reached]])</f>
        <v/>
      </c>
      <c r="U39" s="6"/>
      <c r="V39" s="6"/>
    </row>
    <row r="40" spans="1:22" ht="44.7" customHeight="1" x14ac:dyDescent="0.3">
      <c r="A40" s="6"/>
      <c r="B40" s="215">
        <v>1128</v>
      </c>
      <c r="C40" s="149" t="s">
        <v>1526</v>
      </c>
      <c r="D40" s="150" t="s">
        <v>1545</v>
      </c>
      <c r="E40" s="37"/>
      <c r="F40" s="55"/>
      <c r="G40" s="56"/>
      <c r="H40" s="88"/>
      <c r="I40" s="89"/>
      <c r="J40" s="57"/>
      <c r="K40" s="57"/>
      <c r="L40" s="57"/>
      <c r="M40" s="57"/>
      <c r="N40" s="56"/>
      <c r="O40" s="57"/>
      <c r="P40" s="57"/>
      <c r="Q40" s="57"/>
      <c r="R40" s="55"/>
      <c r="S40" s="152" t="str">
        <f>IF(COUNTA(F40:R40)=0,"",MAX(Data_core[[#This Row],[Total Direct]],SUM(Data_core[[#This Row],[Total male]:[Other/ 
Unknown]]),SUM(Data_core[[#This Row],[Male &lt;5]:[Female 50+]]))+Data_core[[#This Row],[Indirectly reached]])</f>
        <v/>
      </c>
      <c r="U40" s="6"/>
      <c r="V40" s="6"/>
    </row>
    <row r="41" spans="1:22" ht="44.7" customHeight="1" x14ac:dyDescent="0.3">
      <c r="A41" s="6"/>
      <c r="B41" s="215">
        <v>644</v>
      </c>
      <c r="C41" s="149" t="s">
        <v>1526</v>
      </c>
      <c r="D41" s="150" t="s">
        <v>1429</v>
      </c>
      <c r="E41" s="37"/>
      <c r="F41" s="172"/>
      <c r="G41" s="154"/>
      <c r="H41" s="154"/>
      <c r="I41" s="154"/>
      <c r="J41" s="154"/>
      <c r="K41" s="154"/>
      <c r="L41" s="154"/>
      <c r="M41" s="154"/>
      <c r="N41" s="154"/>
      <c r="O41" s="154"/>
      <c r="P41" s="154"/>
      <c r="Q41" s="154"/>
      <c r="R41" s="154"/>
      <c r="S41" s="171">
        <f>Data_core[[#This Row],[Total Direct]]</f>
        <v>0</v>
      </c>
      <c r="U41" s="6"/>
      <c r="V41" s="6"/>
    </row>
    <row r="42" spans="1:22" ht="44.7" customHeight="1" x14ac:dyDescent="0.3">
      <c r="A42" s="6"/>
      <c r="B42" s="215">
        <v>646</v>
      </c>
      <c r="C42" s="149" t="s">
        <v>1450</v>
      </c>
      <c r="D42" s="150" t="s">
        <v>1451</v>
      </c>
      <c r="E42" s="37"/>
      <c r="F42" s="172"/>
      <c r="G42" s="154"/>
      <c r="H42" s="154"/>
      <c r="I42" s="154"/>
      <c r="J42" s="154"/>
      <c r="K42" s="154"/>
      <c r="L42" s="154"/>
      <c r="M42" s="154"/>
      <c r="N42" s="154"/>
      <c r="O42" s="154"/>
      <c r="P42" s="154"/>
      <c r="Q42" s="154"/>
      <c r="R42" s="154"/>
      <c r="S42" s="171">
        <f>Data_core[[#This Row],[Total Direct]]</f>
        <v>0</v>
      </c>
      <c r="U42" s="6"/>
      <c r="V42" s="6"/>
    </row>
    <row r="43" spans="1:22" ht="44.7" customHeight="1" x14ac:dyDescent="0.3">
      <c r="A43" s="6"/>
      <c r="B43" s="215">
        <v>647</v>
      </c>
      <c r="C43" s="149" t="s">
        <v>1450</v>
      </c>
      <c r="D43" s="150" t="s">
        <v>1452</v>
      </c>
      <c r="E43" s="37"/>
      <c r="F43" s="172"/>
      <c r="G43" s="154"/>
      <c r="H43" s="154"/>
      <c r="I43" s="154"/>
      <c r="J43" s="154"/>
      <c r="K43" s="154"/>
      <c r="L43" s="154"/>
      <c r="M43" s="154"/>
      <c r="N43" s="154"/>
      <c r="O43" s="154"/>
      <c r="P43" s="154"/>
      <c r="Q43" s="154"/>
      <c r="R43" s="154"/>
      <c r="S43" s="171">
        <f>Data_core[[#This Row],[Total Direct]]</f>
        <v>0</v>
      </c>
      <c r="U43" s="6"/>
      <c r="V43" s="6"/>
    </row>
    <row r="44" spans="1:22" ht="44.7" customHeight="1" x14ac:dyDescent="0.3">
      <c r="A44" s="6"/>
      <c r="B44" s="215">
        <v>711</v>
      </c>
      <c r="C44" s="149" t="s">
        <v>1527</v>
      </c>
      <c r="D44" s="150" t="s">
        <v>1546</v>
      </c>
      <c r="E44" s="37"/>
      <c r="F44" s="172"/>
      <c r="G44" s="154"/>
      <c r="H44" s="154"/>
      <c r="I44" s="154"/>
      <c r="J44" s="154"/>
      <c r="K44" s="154"/>
      <c r="L44" s="154"/>
      <c r="M44" s="154"/>
      <c r="N44" s="154"/>
      <c r="O44" s="154"/>
      <c r="P44" s="154"/>
      <c r="Q44" s="154"/>
      <c r="R44" s="154"/>
      <c r="S44" s="171">
        <f>Data_core[[#This Row],[Total Direct]]</f>
        <v>0</v>
      </c>
      <c r="U44" s="6"/>
      <c r="V44" s="6"/>
    </row>
    <row r="45" spans="1:22" ht="44.7" customHeight="1" x14ac:dyDescent="0.3">
      <c r="A45" s="6"/>
      <c r="B45" s="215">
        <v>636</v>
      </c>
      <c r="C45" s="149" t="s">
        <v>1527</v>
      </c>
      <c r="D45" s="150" t="s">
        <v>1547</v>
      </c>
      <c r="E45" s="37"/>
      <c r="F45" s="172"/>
      <c r="G45" s="154"/>
      <c r="H45" s="154"/>
      <c r="I45" s="154"/>
      <c r="J45" s="154"/>
      <c r="K45" s="154"/>
      <c r="L45" s="154"/>
      <c r="M45" s="154"/>
      <c r="N45" s="154"/>
      <c r="O45" s="154"/>
      <c r="P45" s="154"/>
      <c r="Q45" s="154"/>
      <c r="R45" s="154"/>
      <c r="S45" s="171">
        <f>Data_core[[#This Row],[Total Direct]]</f>
        <v>0</v>
      </c>
      <c r="U45" s="6"/>
      <c r="V45" s="6"/>
    </row>
    <row r="46" spans="1:22" ht="44.7" customHeight="1" x14ac:dyDescent="0.3">
      <c r="A46" s="6"/>
      <c r="B46" s="215">
        <v>637</v>
      </c>
      <c r="C46" s="149" t="s">
        <v>1527</v>
      </c>
      <c r="D46" s="150" t="s">
        <v>1548</v>
      </c>
      <c r="E46" s="37"/>
      <c r="F46" s="172"/>
      <c r="G46" s="154"/>
      <c r="H46" s="154"/>
      <c r="I46" s="154"/>
      <c r="J46" s="154"/>
      <c r="K46" s="154"/>
      <c r="L46" s="154"/>
      <c r="M46" s="154"/>
      <c r="N46" s="154"/>
      <c r="O46" s="154"/>
      <c r="P46" s="154"/>
      <c r="Q46" s="154"/>
      <c r="R46" s="154"/>
      <c r="S46" s="171">
        <f>Data_core[[#This Row],[Total Direct]]</f>
        <v>0</v>
      </c>
      <c r="U46" s="6"/>
      <c r="V46" s="6"/>
    </row>
    <row r="47" spans="1:22" ht="76.95" customHeight="1" x14ac:dyDescent="0.3">
      <c r="A47" s="6"/>
      <c r="B47" s="215">
        <v>649</v>
      </c>
      <c r="C47" s="149" t="s">
        <v>1527</v>
      </c>
      <c r="D47" s="150" t="s">
        <v>1475</v>
      </c>
      <c r="E47" s="37"/>
      <c r="F47" s="172"/>
      <c r="G47" s="154"/>
      <c r="H47" s="154"/>
      <c r="I47" s="154"/>
      <c r="J47" s="154"/>
      <c r="K47" s="154"/>
      <c r="L47" s="154"/>
      <c r="M47" s="154"/>
      <c r="N47" s="154"/>
      <c r="O47" s="154"/>
      <c r="P47" s="154"/>
      <c r="Q47" s="154"/>
      <c r="R47" s="154"/>
      <c r="S47" s="171">
        <f>Data_core[[#This Row],[Total Direct]]</f>
        <v>0</v>
      </c>
      <c r="U47" s="6"/>
      <c r="V47" s="6"/>
    </row>
    <row r="48" spans="1:22" ht="57" customHeight="1" x14ac:dyDescent="0.3">
      <c r="A48" s="6"/>
      <c r="B48" s="216">
        <v>650</v>
      </c>
      <c r="C48" s="151" t="s">
        <v>1527</v>
      </c>
      <c r="D48" s="167" t="s">
        <v>1549</v>
      </c>
      <c r="E48" s="37"/>
      <c r="F48" s="172"/>
      <c r="G48" s="154"/>
      <c r="H48" s="154"/>
      <c r="I48" s="154"/>
      <c r="J48" s="154"/>
      <c r="K48" s="154"/>
      <c r="L48" s="154"/>
      <c r="M48" s="154"/>
      <c r="N48" s="154"/>
      <c r="O48" s="154"/>
      <c r="P48" s="154"/>
      <c r="Q48" s="154"/>
      <c r="R48" s="154"/>
      <c r="S48" s="171">
        <f>Data_core[[#This Row],[Total Direct]]</f>
        <v>0</v>
      </c>
      <c r="U48" s="6"/>
      <c r="V48" s="6"/>
    </row>
    <row r="49" spans="1:21" x14ac:dyDescent="0.3">
      <c r="A49" s="6"/>
      <c r="B49" s="6"/>
      <c r="C49" s="157"/>
      <c r="D49" s="6"/>
      <c r="E49" s="6"/>
      <c r="F49" s="6"/>
      <c r="G49" s="6"/>
      <c r="H49" s="6"/>
      <c r="I49" s="6"/>
      <c r="J49" s="6"/>
      <c r="K49" s="6"/>
      <c r="L49" s="6"/>
      <c r="M49" s="6"/>
      <c r="N49" s="6"/>
      <c r="O49" s="6"/>
      <c r="P49" s="6"/>
      <c r="Q49" s="6"/>
    </row>
    <row r="50" spans="1:21" ht="43.2" customHeight="1" x14ac:dyDescent="0.3">
      <c r="A50" s="6"/>
      <c r="B50" s="6"/>
      <c r="C50" s="158"/>
      <c r="D50" s="267" t="s">
        <v>1535</v>
      </c>
      <c r="E50" s="268"/>
      <c r="F50" s="268"/>
      <c r="G50" s="268"/>
      <c r="H50" s="268"/>
      <c r="I50" s="6"/>
      <c r="J50" s="6"/>
      <c r="K50" s="6"/>
      <c r="L50" s="6"/>
      <c r="M50" s="6"/>
      <c r="N50" s="6"/>
      <c r="O50" s="6"/>
      <c r="P50" s="6"/>
      <c r="Q50" s="6"/>
    </row>
    <row r="51" spans="1:21" ht="15.6" customHeight="1" thickBot="1" x14ac:dyDescent="0.35">
      <c r="A51" s="6"/>
      <c r="B51" s="6"/>
      <c r="C51" s="6"/>
      <c r="D51" s="6"/>
      <c r="E51" s="6"/>
      <c r="F51" s="6"/>
      <c r="G51" s="6"/>
      <c r="H51" s="6"/>
      <c r="I51" s="6"/>
      <c r="J51" s="6"/>
      <c r="K51" s="6"/>
      <c r="L51" s="6"/>
      <c r="M51" s="6"/>
      <c r="N51" s="6"/>
      <c r="O51" s="6"/>
      <c r="P51" s="6"/>
      <c r="Q51" s="6"/>
    </row>
    <row r="52" spans="1:21" ht="35.700000000000003" customHeight="1" thickBot="1" x14ac:dyDescent="0.35">
      <c r="A52" s="6"/>
      <c r="B52" s="6"/>
      <c r="C52" s="6"/>
      <c r="D52" s="6"/>
      <c r="E52" s="6"/>
      <c r="F52" s="273" t="s">
        <v>566</v>
      </c>
      <c r="G52" s="274"/>
      <c r="H52" s="274"/>
      <c r="I52" s="274"/>
      <c r="J52" s="275"/>
      <c r="K52" s="275"/>
      <c r="L52" s="275"/>
      <c r="M52" s="275"/>
      <c r="N52" s="275"/>
      <c r="O52" s="275"/>
      <c r="P52" s="275"/>
      <c r="Q52" s="276"/>
      <c r="R52" s="91" t="s">
        <v>567</v>
      </c>
      <c r="S52" s="58" t="s">
        <v>568</v>
      </c>
    </row>
    <row r="53" spans="1:21" ht="58.5" customHeight="1" x14ac:dyDescent="0.3">
      <c r="A53" s="169"/>
      <c r="B53" s="41" t="s">
        <v>1656</v>
      </c>
      <c r="C53" s="159" t="s">
        <v>569</v>
      </c>
      <c r="D53" s="160" t="s">
        <v>18</v>
      </c>
      <c r="E53" s="41" t="s">
        <v>570</v>
      </c>
      <c r="F53" s="39" t="s">
        <v>571</v>
      </c>
      <c r="G53" s="41" t="s">
        <v>572</v>
      </c>
      <c r="H53" s="41" t="s">
        <v>573</v>
      </c>
      <c r="I53" s="38" t="s">
        <v>574</v>
      </c>
      <c r="J53" s="181" t="s">
        <v>1646</v>
      </c>
      <c r="K53" s="181" t="s">
        <v>1647</v>
      </c>
      <c r="L53" s="181" t="s">
        <v>1648</v>
      </c>
      <c r="M53" s="41" t="s">
        <v>1649</v>
      </c>
      <c r="N53" s="181" t="s">
        <v>1650</v>
      </c>
      <c r="O53" s="181" t="s">
        <v>1651</v>
      </c>
      <c r="P53" s="181" t="s">
        <v>1652</v>
      </c>
      <c r="Q53" s="181" t="s">
        <v>1653</v>
      </c>
      <c r="R53" s="190" t="s">
        <v>1536</v>
      </c>
      <c r="S53" s="38" t="s">
        <v>575</v>
      </c>
      <c r="U53" s="6"/>
    </row>
    <row r="54" spans="1:21" ht="42" customHeight="1" x14ac:dyDescent="0.3">
      <c r="A54" s="169"/>
      <c r="B54" s="223" t="str">
        <f>IFERROR(_xlfn.XLOOKUP(Data_other[[#This Row],[Indicator]],Final[Indicator Name],Final[KPI ID]),"")</f>
        <v/>
      </c>
      <c r="C54" s="161"/>
      <c r="D54" s="162"/>
      <c r="E54" s="37"/>
      <c r="F54" s="119"/>
      <c r="G54" s="33"/>
      <c r="H54" s="35"/>
      <c r="I54" s="34"/>
      <c r="J54" s="188"/>
      <c r="K54" s="189"/>
      <c r="L54" s="189"/>
      <c r="M54" s="189"/>
      <c r="N54" s="189"/>
      <c r="O54" s="189"/>
      <c r="P54" s="189"/>
      <c r="Q54" s="189"/>
      <c r="R54" s="32"/>
      <c r="S54" s="163" t="str">
        <f>IF(COUNTA(F54:R54)=0,"",MAX(Data_other[[#This Row],[Total Direct]],
MAX(SUM(Data_other[[#This Row],[Total male]:[Total female]]),SUM(Data_other[[#This Row],[Male &lt;5]:[Female 50+]]))+Data_other[[#This Row],[Other/ 
Unknown]])+Data_other[[#This Row],[Indirectly reached]])</f>
        <v/>
      </c>
      <c r="U54" s="6"/>
    </row>
    <row r="55" spans="1:21" ht="38.25" customHeight="1" x14ac:dyDescent="0.3">
      <c r="A55" s="169"/>
      <c r="B55" s="222" t="str">
        <f>IFERROR(_xlfn.XLOOKUP(Data_other[[#This Row],[Indicator]],Final[Indicator Name],Final[KPI ID]),"")</f>
        <v/>
      </c>
      <c r="C55" s="161"/>
      <c r="D55" s="162"/>
      <c r="E55" s="37"/>
      <c r="F55" s="119"/>
      <c r="G55" s="33"/>
      <c r="H55" s="35"/>
      <c r="I55" s="34"/>
      <c r="J55" s="33"/>
      <c r="K55" s="35"/>
      <c r="L55" s="35"/>
      <c r="M55" s="35"/>
      <c r="N55" s="35"/>
      <c r="O55" s="35"/>
      <c r="P55" s="35"/>
      <c r="Q55" s="35"/>
      <c r="R55" s="32"/>
      <c r="S55" s="163" t="str">
        <f>IF(COUNTA(F55:R55)=0,"",MAX(Data_other[[#This Row],[Total Direct]],
MAX(SUM(Data_other[[#This Row],[Total male]:[Total female]]),SUM(Data_other[[#This Row],[Male &lt;5]:[Female 50+]]))+Data_other[[#This Row],[Other/ 
Unknown]])+Data_other[[#This Row],[Indirectly reached]])</f>
        <v/>
      </c>
      <c r="U55" s="6"/>
    </row>
    <row r="56" spans="1:21" ht="38.25" customHeight="1" x14ac:dyDescent="0.3">
      <c r="A56" s="169"/>
      <c r="B56" s="222" t="str">
        <f>IFERROR(_xlfn.XLOOKUP(Data_other[[#This Row],[Indicator]],Final[Indicator Name],Final[KPI ID]),"")</f>
        <v/>
      </c>
      <c r="C56" s="161"/>
      <c r="D56" s="162"/>
      <c r="E56" s="37"/>
      <c r="F56" s="119"/>
      <c r="G56" s="33"/>
      <c r="H56" s="35"/>
      <c r="I56" s="34"/>
      <c r="J56" s="33"/>
      <c r="K56" s="35"/>
      <c r="L56" s="35"/>
      <c r="M56" s="35"/>
      <c r="N56" s="35"/>
      <c r="O56" s="35"/>
      <c r="P56" s="35"/>
      <c r="Q56" s="35"/>
      <c r="R56" s="32"/>
      <c r="S56" s="163" t="str">
        <f>IF(COUNTA(F56:R56)=0,"",MAX(Data_other[[#This Row],[Total Direct]],
MAX(SUM(Data_other[[#This Row],[Total male]:[Total female]]),SUM(Data_other[[#This Row],[Male &lt;5]:[Female 50+]]))+Data_other[[#This Row],[Other/ 
Unknown]])+Data_other[[#This Row],[Indirectly reached]])</f>
        <v/>
      </c>
      <c r="U56" s="6"/>
    </row>
    <row r="57" spans="1:21" ht="38.25" customHeight="1" x14ac:dyDescent="0.3">
      <c r="A57" s="169"/>
      <c r="B57" s="222" t="str">
        <f>IFERROR(_xlfn.XLOOKUP(Data_other[[#This Row],[Indicator]],Final[Indicator Name],Final[KPI ID]),"")</f>
        <v/>
      </c>
      <c r="C57" s="161"/>
      <c r="D57" s="162"/>
      <c r="E57" s="37"/>
      <c r="F57" s="119"/>
      <c r="G57" s="33"/>
      <c r="H57" s="35"/>
      <c r="I57" s="34"/>
      <c r="J57" s="33"/>
      <c r="K57" s="35"/>
      <c r="L57" s="35"/>
      <c r="M57" s="35"/>
      <c r="N57" s="35"/>
      <c r="O57" s="35"/>
      <c r="P57" s="35"/>
      <c r="Q57" s="35"/>
      <c r="R57" s="32"/>
      <c r="S57" s="163" t="str">
        <f>IF(COUNTA(F57:R57)=0,"",MAX(Data_other[[#This Row],[Total Direct]],
MAX(SUM(Data_other[[#This Row],[Total male]:[Total female]]),SUM(Data_other[[#This Row],[Male &lt;5]:[Female 50+]]))+Data_other[[#This Row],[Other/ 
Unknown]])+Data_other[[#This Row],[Indirectly reached]])</f>
        <v/>
      </c>
      <c r="U57" s="6"/>
    </row>
    <row r="58" spans="1:21" ht="38.25" customHeight="1" x14ac:dyDescent="0.3">
      <c r="A58" s="169"/>
      <c r="B58" s="222" t="str">
        <f>IFERROR(_xlfn.XLOOKUP(Data_other[[#This Row],[Indicator]],Final[Indicator Name],Final[KPI ID]),"")</f>
        <v/>
      </c>
      <c r="C58" s="161"/>
      <c r="D58" s="162"/>
      <c r="E58" s="37"/>
      <c r="F58" s="119"/>
      <c r="G58" s="33"/>
      <c r="H58" s="35"/>
      <c r="I58" s="34"/>
      <c r="J58" s="33"/>
      <c r="K58" s="35"/>
      <c r="L58" s="35"/>
      <c r="M58" s="35"/>
      <c r="N58" s="35"/>
      <c r="O58" s="35"/>
      <c r="P58" s="35"/>
      <c r="Q58" s="35"/>
      <c r="R58" s="32"/>
      <c r="S58" s="163" t="str">
        <f>IF(COUNTA(F58:R58)=0,"",MAX(Data_other[[#This Row],[Total Direct]],
MAX(SUM(Data_other[[#This Row],[Total male]:[Total female]]),SUM(Data_other[[#This Row],[Male &lt;5]:[Female 50+]]))+Data_other[[#This Row],[Other/ 
Unknown]])+Data_other[[#This Row],[Indirectly reached]])</f>
        <v/>
      </c>
      <c r="U58" s="6"/>
    </row>
    <row r="59" spans="1:21" ht="38.25" customHeight="1" x14ac:dyDescent="0.3">
      <c r="A59" s="169"/>
      <c r="B59" s="222" t="str">
        <f>IFERROR(_xlfn.XLOOKUP(Data_other[[#This Row],[Indicator]],Final[Indicator Name],Final[KPI ID]),"")</f>
        <v/>
      </c>
      <c r="C59" s="161"/>
      <c r="D59" s="162"/>
      <c r="E59" s="37"/>
      <c r="F59" s="119"/>
      <c r="G59" s="33"/>
      <c r="H59" s="35"/>
      <c r="I59" s="34"/>
      <c r="J59" s="33"/>
      <c r="K59" s="35"/>
      <c r="L59" s="35"/>
      <c r="M59" s="35"/>
      <c r="N59" s="35"/>
      <c r="O59" s="35"/>
      <c r="P59" s="35"/>
      <c r="Q59" s="35"/>
      <c r="R59" s="32"/>
      <c r="S59" s="163" t="str">
        <f>IF(COUNTA(F59:R59)=0,"",MAX(Data_other[[#This Row],[Total Direct]],
MAX(SUM(Data_other[[#This Row],[Total male]:[Total female]]),SUM(Data_other[[#This Row],[Male &lt;5]:[Female 50+]]))+Data_other[[#This Row],[Other/ 
Unknown]])+Data_other[[#This Row],[Indirectly reached]])</f>
        <v/>
      </c>
      <c r="U59" s="6"/>
    </row>
    <row r="60" spans="1:21" ht="38.25" customHeight="1" x14ac:dyDescent="0.3">
      <c r="A60" s="169"/>
      <c r="B60" s="222" t="str">
        <f>IFERROR(_xlfn.XLOOKUP(Data_other[[#This Row],[Indicator]],Final[Indicator Name],Final[KPI ID]),"")</f>
        <v/>
      </c>
      <c r="C60" s="161"/>
      <c r="D60" s="162"/>
      <c r="E60" s="37"/>
      <c r="F60" s="119"/>
      <c r="G60" s="33"/>
      <c r="H60" s="35"/>
      <c r="I60" s="34"/>
      <c r="J60" s="33"/>
      <c r="K60" s="35"/>
      <c r="L60" s="35"/>
      <c r="M60" s="35"/>
      <c r="N60" s="35"/>
      <c r="O60" s="35"/>
      <c r="P60" s="35"/>
      <c r="Q60" s="35"/>
      <c r="R60" s="32"/>
      <c r="S60" s="163" t="str">
        <f>IF(COUNTA(F60:R60)=0,"",MAX(Data_other[[#This Row],[Total Direct]],
MAX(SUM(Data_other[[#This Row],[Total male]:[Total female]]),SUM(Data_other[[#This Row],[Male &lt;5]:[Female 50+]]))+Data_other[[#This Row],[Other/ 
Unknown]])+Data_other[[#This Row],[Indirectly reached]])</f>
        <v/>
      </c>
      <c r="U60" s="6"/>
    </row>
    <row r="61" spans="1:21" ht="38.25" customHeight="1" x14ac:dyDescent="0.3">
      <c r="A61" s="169"/>
      <c r="B61" s="222" t="str">
        <f>IFERROR(_xlfn.XLOOKUP(Data_other[[#This Row],[Indicator]],Final[Indicator Name],Final[KPI ID]),"")</f>
        <v/>
      </c>
      <c r="C61" s="161"/>
      <c r="D61" s="162"/>
      <c r="E61" s="37"/>
      <c r="F61" s="119"/>
      <c r="G61" s="33"/>
      <c r="H61" s="35"/>
      <c r="I61" s="34"/>
      <c r="J61" s="33"/>
      <c r="K61" s="35"/>
      <c r="L61" s="35"/>
      <c r="M61" s="35"/>
      <c r="N61" s="35"/>
      <c r="O61" s="35"/>
      <c r="P61" s="35"/>
      <c r="Q61" s="35"/>
      <c r="R61" s="32"/>
      <c r="S61" s="163" t="str">
        <f>IF(COUNTA(F61:R61)=0,"",MAX(Data_other[[#This Row],[Total Direct]],
MAX(SUM(Data_other[[#This Row],[Total male]:[Total female]]),SUM(Data_other[[#This Row],[Male &lt;5]:[Female 50+]]))+Data_other[[#This Row],[Other/ 
Unknown]])+Data_other[[#This Row],[Indirectly reached]])</f>
        <v/>
      </c>
      <c r="U61" s="6"/>
    </row>
    <row r="62" spans="1:21" ht="38.25" customHeight="1" x14ac:dyDescent="0.3">
      <c r="A62" s="6"/>
      <c r="B62" s="222" t="str">
        <f>IFERROR(_xlfn.XLOOKUP(Data_other[[#This Row],[Indicator]],Final[Indicator Name],Final[KPI ID]),"")</f>
        <v/>
      </c>
      <c r="C62" s="161"/>
      <c r="D62" s="162"/>
      <c r="E62" s="37"/>
      <c r="F62" s="119"/>
      <c r="G62" s="33"/>
      <c r="H62" s="35"/>
      <c r="I62" s="34"/>
      <c r="J62" s="33"/>
      <c r="K62" s="35"/>
      <c r="L62" s="35"/>
      <c r="M62" s="35"/>
      <c r="N62" s="35"/>
      <c r="O62" s="35"/>
      <c r="P62" s="35"/>
      <c r="Q62" s="35"/>
      <c r="R62" s="32"/>
      <c r="S62" s="163" t="str">
        <f>IF(COUNTA(F62:R62)=0,"",MAX(Data_other[[#This Row],[Total Direct]],
MAX(SUM(Data_other[[#This Row],[Total male]:[Total female]]),SUM(Data_other[[#This Row],[Male &lt;5]:[Female 50+]]))+Data_other[[#This Row],[Other/ 
Unknown]])+Data_other[[#This Row],[Indirectly reached]])</f>
        <v/>
      </c>
      <c r="U62" s="6"/>
    </row>
    <row r="63" spans="1:21" ht="38.25" customHeight="1" x14ac:dyDescent="0.3">
      <c r="A63" s="6"/>
      <c r="B63" s="222" t="str">
        <f>IFERROR(_xlfn.XLOOKUP(Data_other[[#This Row],[Indicator]],Final[Indicator Name],Final[KPI ID]),"")</f>
        <v/>
      </c>
      <c r="C63" s="61"/>
      <c r="D63" s="62"/>
      <c r="E63" s="37"/>
      <c r="F63" s="119"/>
      <c r="G63" s="33"/>
      <c r="H63" s="35"/>
      <c r="I63" s="34"/>
      <c r="J63" s="33"/>
      <c r="K63" s="35"/>
      <c r="L63" s="35"/>
      <c r="M63" s="35"/>
      <c r="N63" s="35"/>
      <c r="O63" s="35"/>
      <c r="P63" s="35"/>
      <c r="Q63" s="35"/>
      <c r="R63" s="32"/>
      <c r="S63" s="163" t="str">
        <f>IF(COUNTA(F63:R63)=0,"",MAX(Data_other[[#This Row],[Total Direct]],
MAX(SUM(Data_other[[#This Row],[Total male]:[Total female]]),SUM(Data_other[[#This Row],[Male &lt;5]:[Female 50+]]))+Data_other[[#This Row],[Other/ 
Unknown]])+Data_other[[#This Row],[Indirectly reached]])</f>
        <v/>
      </c>
      <c r="U63" s="6"/>
    </row>
    <row r="64" spans="1:21" ht="38.25" customHeight="1" x14ac:dyDescent="0.3">
      <c r="A64" s="6"/>
      <c r="B64" s="222" t="str">
        <f>IFERROR(_xlfn.XLOOKUP(Data_other[[#This Row],[Indicator]],Final[Indicator Name],Final[KPI ID]),"")</f>
        <v/>
      </c>
      <c r="C64" s="61"/>
      <c r="D64" s="62"/>
      <c r="E64" s="37"/>
      <c r="F64" s="119"/>
      <c r="G64" s="33"/>
      <c r="H64" s="35"/>
      <c r="I64" s="34"/>
      <c r="J64" s="33"/>
      <c r="K64" s="35"/>
      <c r="L64" s="35"/>
      <c r="M64" s="35"/>
      <c r="N64" s="35"/>
      <c r="O64" s="35"/>
      <c r="P64" s="35"/>
      <c r="Q64" s="35"/>
      <c r="R64" s="32"/>
      <c r="S64" s="163" t="str">
        <f>IF(COUNTA(F64:R64)=0,"",MAX(Data_other[[#This Row],[Total Direct]],
MAX(SUM(Data_other[[#This Row],[Total male]:[Total female]]),SUM(Data_other[[#This Row],[Male &lt;5]:[Female 50+]]))+Data_other[[#This Row],[Other/ 
Unknown]])+Data_other[[#This Row],[Indirectly reached]])</f>
        <v/>
      </c>
      <c r="U64" s="6"/>
    </row>
    <row r="65" spans="1:21" ht="37.200000000000003" customHeight="1" x14ac:dyDescent="0.3">
      <c r="A65" s="6"/>
      <c r="B65" s="222" t="str">
        <f>IFERROR(_xlfn.XLOOKUP(Data_other[[#This Row],[Indicator]],Final[Indicator Name],Final[KPI ID]),"")</f>
        <v/>
      </c>
      <c r="C65" s="61"/>
      <c r="D65" s="62"/>
      <c r="E65" s="37"/>
      <c r="F65" s="119"/>
      <c r="G65" s="33"/>
      <c r="H65" s="35"/>
      <c r="I65" s="34"/>
      <c r="J65" s="33"/>
      <c r="K65" s="35"/>
      <c r="L65" s="35"/>
      <c r="M65" s="35"/>
      <c r="N65" s="35"/>
      <c r="O65" s="35"/>
      <c r="P65" s="35"/>
      <c r="Q65" s="35"/>
      <c r="R65" s="32"/>
      <c r="S65" s="163" t="str">
        <f>IF(COUNTA(F65:R65)=0,"",MAX(Data_other[[#This Row],[Total Direct]],
MAX(SUM(Data_other[[#This Row],[Total male]:[Total female]]),SUM(Data_other[[#This Row],[Male &lt;5]:[Female 50+]]))+Data_other[[#This Row],[Other/ 
Unknown]])+Data_other[[#This Row],[Indirectly reached]])</f>
        <v/>
      </c>
      <c r="U65" s="6"/>
    </row>
    <row r="66" spans="1:21" ht="37.200000000000003" customHeight="1" x14ac:dyDescent="0.3">
      <c r="A66" s="6"/>
      <c r="B66" s="222" t="str">
        <f>IFERROR(_xlfn.XLOOKUP(Data_other[[#This Row],[Indicator]],Final[Indicator Name],Final[KPI ID]),"")</f>
        <v/>
      </c>
      <c r="C66" s="61"/>
      <c r="D66" s="62"/>
      <c r="E66" s="37"/>
      <c r="F66" s="119"/>
      <c r="G66" s="33"/>
      <c r="H66" s="35"/>
      <c r="I66" s="34"/>
      <c r="J66" s="33"/>
      <c r="K66" s="35"/>
      <c r="L66" s="35"/>
      <c r="M66" s="35"/>
      <c r="N66" s="35"/>
      <c r="O66" s="35"/>
      <c r="P66" s="35"/>
      <c r="Q66" s="35"/>
      <c r="R66" s="32"/>
      <c r="S66" s="163" t="str">
        <f>IF(COUNTA(F66:R66)=0,"",MAX(Data_other[[#This Row],[Total Direct]],
MAX(SUM(Data_other[[#This Row],[Total male]:[Total female]]),SUM(Data_other[[#This Row],[Male &lt;5]:[Female 50+]]))+Data_other[[#This Row],[Other/ 
Unknown]])+Data_other[[#This Row],[Indirectly reached]])</f>
        <v/>
      </c>
      <c r="U66" s="6"/>
    </row>
    <row r="67" spans="1:21" ht="37.200000000000003" customHeight="1" x14ac:dyDescent="0.3">
      <c r="A67" s="6"/>
      <c r="B67" s="222" t="str">
        <f>IFERROR(_xlfn.XLOOKUP(Data_other[[#This Row],[Indicator]],Final[Indicator Name],Final[KPI ID]),"")</f>
        <v/>
      </c>
      <c r="C67" s="61"/>
      <c r="D67" s="62"/>
      <c r="E67" s="37"/>
      <c r="F67" s="119"/>
      <c r="G67" s="33"/>
      <c r="H67" s="35"/>
      <c r="I67" s="34"/>
      <c r="J67" s="33"/>
      <c r="K67" s="35"/>
      <c r="L67" s="35"/>
      <c r="M67" s="35"/>
      <c r="N67" s="35"/>
      <c r="O67" s="35"/>
      <c r="P67" s="35"/>
      <c r="Q67" s="35"/>
      <c r="R67" s="32"/>
      <c r="S67" s="163" t="str">
        <f>IF(COUNTA(F67:R67)=0,"",MAX(Data_other[[#This Row],[Total Direct]],
MAX(SUM(Data_other[[#This Row],[Total male]:[Total female]]),SUM(Data_other[[#This Row],[Male &lt;5]:[Female 50+]]))+Data_other[[#This Row],[Other/ 
Unknown]])+Data_other[[#This Row],[Indirectly reached]])</f>
        <v/>
      </c>
      <c r="U67" s="6"/>
    </row>
    <row r="68" spans="1:21" ht="37.200000000000003" customHeight="1" x14ac:dyDescent="0.3">
      <c r="A68" s="6"/>
      <c r="B68" s="222" t="str">
        <f>IFERROR(_xlfn.XLOOKUP(Data_other[[#This Row],[Indicator]],Final[Indicator Name],Final[KPI ID]),"")</f>
        <v/>
      </c>
      <c r="C68" s="61"/>
      <c r="D68" s="62"/>
      <c r="E68" s="37"/>
      <c r="F68" s="119"/>
      <c r="G68" s="33"/>
      <c r="H68" s="35"/>
      <c r="I68" s="34"/>
      <c r="J68" s="33"/>
      <c r="K68" s="35"/>
      <c r="L68" s="35"/>
      <c r="M68" s="35"/>
      <c r="N68" s="35"/>
      <c r="O68" s="35"/>
      <c r="P68" s="35"/>
      <c r="Q68" s="35"/>
      <c r="R68" s="32"/>
      <c r="S68" s="163" t="str">
        <f>IF(COUNTA(F68:R68)=0,"",MAX(Data_other[[#This Row],[Total Direct]],
MAX(SUM(Data_other[[#This Row],[Total male]:[Total female]]),SUM(Data_other[[#This Row],[Male &lt;5]:[Female 50+]]))+Data_other[[#This Row],[Other/ 
Unknown]])+Data_other[[#This Row],[Indirectly reached]])</f>
        <v/>
      </c>
      <c r="U68" s="6"/>
    </row>
    <row r="69" spans="1:21" ht="37.200000000000003" customHeight="1" x14ac:dyDescent="0.3">
      <c r="A69" s="6"/>
      <c r="B69" s="222" t="str">
        <f>IFERROR(_xlfn.XLOOKUP(Data_other[[#This Row],[Indicator]],Final[Indicator Name],Final[KPI ID]),"")</f>
        <v/>
      </c>
      <c r="C69" s="61"/>
      <c r="D69" s="62"/>
      <c r="E69" s="37"/>
      <c r="F69" s="119"/>
      <c r="G69" s="33"/>
      <c r="H69" s="35"/>
      <c r="I69" s="34"/>
      <c r="J69" s="33"/>
      <c r="K69" s="35"/>
      <c r="L69" s="35"/>
      <c r="M69" s="35"/>
      <c r="N69" s="35"/>
      <c r="O69" s="35"/>
      <c r="P69" s="35"/>
      <c r="Q69" s="35"/>
      <c r="R69" s="32"/>
      <c r="S69" s="163" t="str">
        <f>IF(COUNTA(F69:R69)=0,"",MAX(Data_other[[#This Row],[Total Direct]],
MAX(SUM(Data_other[[#This Row],[Total male]:[Total female]]),SUM(Data_other[[#This Row],[Male &lt;5]:[Female 50+]]))+Data_other[[#This Row],[Other/ 
Unknown]])+Data_other[[#This Row],[Indirectly reached]])</f>
        <v/>
      </c>
      <c r="U69" s="6"/>
    </row>
    <row r="70" spans="1:21" ht="37.200000000000003" customHeight="1" x14ac:dyDescent="0.3">
      <c r="A70" s="6"/>
      <c r="B70" s="222" t="str">
        <f>IFERROR(_xlfn.XLOOKUP(Data_other[[#This Row],[Indicator]],Final[Indicator Name],Final[KPI ID]),"")</f>
        <v/>
      </c>
      <c r="C70" s="61"/>
      <c r="D70" s="62"/>
      <c r="E70" s="37"/>
      <c r="F70" s="119"/>
      <c r="G70" s="33"/>
      <c r="H70" s="35"/>
      <c r="I70" s="34"/>
      <c r="J70" s="33"/>
      <c r="K70" s="35"/>
      <c r="L70" s="35"/>
      <c r="M70" s="35"/>
      <c r="N70" s="35"/>
      <c r="O70" s="35"/>
      <c r="P70" s="35"/>
      <c r="Q70" s="35"/>
      <c r="R70" s="32"/>
      <c r="S70" s="163" t="str">
        <f>IF(COUNTA(F70:R70)=0,"",MAX(Data_other[[#This Row],[Total Direct]],
MAX(SUM(Data_other[[#This Row],[Total male]:[Total female]]),SUM(Data_other[[#This Row],[Male &lt;5]:[Female 50+]]))+Data_other[[#This Row],[Other/ 
Unknown]])+Data_other[[#This Row],[Indirectly reached]])</f>
        <v/>
      </c>
      <c r="U70" s="6"/>
    </row>
    <row r="71" spans="1:21" ht="37.200000000000003" customHeight="1" x14ac:dyDescent="0.3">
      <c r="A71" s="6"/>
      <c r="B71" s="222" t="str">
        <f>IFERROR(_xlfn.XLOOKUP(Data_other[[#This Row],[Indicator]],Final[Indicator Name],Final[KPI ID]),"")</f>
        <v/>
      </c>
      <c r="C71" s="61"/>
      <c r="D71" s="62"/>
      <c r="E71" s="37"/>
      <c r="F71" s="119"/>
      <c r="G71" s="33"/>
      <c r="H71" s="35"/>
      <c r="I71" s="34"/>
      <c r="J71" s="33"/>
      <c r="K71" s="35"/>
      <c r="L71" s="35"/>
      <c r="M71" s="35"/>
      <c r="N71" s="35"/>
      <c r="O71" s="35"/>
      <c r="P71" s="35"/>
      <c r="Q71" s="35"/>
      <c r="R71" s="32"/>
      <c r="S71" s="163" t="str">
        <f>IF(COUNTA(F71:R71)=0,"",MAX(Data_other[[#This Row],[Total Direct]],
MAX(SUM(Data_other[[#This Row],[Total male]:[Total female]]),SUM(Data_other[[#This Row],[Male &lt;5]:[Female 50+]]))+Data_other[[#This Row],[Other/ 
Unknown]])+Data_other[[#This Row],[Indirectly reached]])</f>
        <v/>
      </c>
      <c r="U71" s="6"/>
    </row>
    <row r="72" spans="1:21" ht="19.95" customHeight="1" x14ac:dyDescent="0.3">
      <c r="A72" s="6"/>
      <c r="B72" s="224" t="str">
        <f>IFERROR(_xlfn.XLOOKUP(Data_other[[#This Row],[Indicator]],Final[Indicator Name],Final[KPI ID]),"")</f>
        <v/>
      </c>
      <c r="C72" s="61"/>
      <c r="D72" s="62"/>
      <c r="E72" s="37"/>
      <c r="F72" s="119"/>
      <c r="G72" s="33"/>
      <c r="H72" s="35"/>
      <c r="I72" s="34"/>
      <c r="J72" s="33"/>
      <c r="K72" s="35"/>
      <c r="L72" s="35"/>
      <c r="M72" s="35"/>
      <c r="N72" s="35"/>
      <c r="O72" s="35"/>
      <c r="P72" s="35"/>
      <c r="Q72" s="35"/>
      <c r="R72" s="32"/>
      <c r="S72" s="164" t="str">
        <f>IF(COUNTA(F72:R72)=0,"",MAX(Data_other[[#This Row],[Total Direct]],
MAX(SUM(Data_other[[#This Row],[Total male]:[Total female]]),SUM(Data_other[[#This Row],[Male &lt;5]:[Female 50+]]))+Data_other[[#This Row],[Other/ 
Unknown]])+Data_other[[#This Row],[Indirectly reached]])</f>
        <v/>
      </c>
      <c r="U72" s="6"/>
    </row>
    <row r="73" spans="1:21" x14ac:dyDescent="0.3">
      <c r="C73" s="6"/>
      <c r="D73" s="6"/>
      <c r="E73" s="6"/>
      <c r="F73" s="6"/>
      <c r="G73" s="6"/>
      <c r="H73" s="6"/>
      <c r="I73" s="6"/>
      <c r="J73" s="6"/>
      <c r="K73" s="6"/>
      <c r="L73" s="6"/>
      <c r="M73" s="6"/>
      <c r="N73" s="6"/>
      <c r="O73" s="6"/>
    </row>
  </sheetData>
  <sheetProtection algorithmName="SHA-512" hashValue="hcrlrSWY+ca3pWAvHYv45Kr7ArZa/yrZSKku8/W2jnBJCZVWE1LThxK2X1J6BhtKTUvcWtTqBS6F6HDOZ1DHQQ==" saltValue="HX6u2Yjk0ErsCfihstVuWg==" spinCount="100000" sheet="1" objects="1" scenarios="1"/>
  <mergeCells count="5">
    <mergeCell ref="C3:N3"/>
    <mergeCell ref="C5:E5"/>
    <mergeCell ref="D50:H50"/>
    <mergeCell ref="F7:Q7"/>
    <mergeCell ref="F52:Q52"/>
  </mergeCells>
  <conditionalFormatting sqref="A53:A61">
    <cfRule type="cellIs" dxfId="23" priority="3" operator="equal">
      <formula>"Global Route-Based Migration Programme"</formula>
    </cfRule>
  </conditionalFormatting>
  <conditionalFormatting sqref="A1:P1">
    <cfRule type="expression" dxfId="22" priority="4">
      <formula>Data_Country=""</formula>
    </cfRule>
  </conditionalFormatting>
  <conditionalFormatting sqref="D9:D48">
    <cfRule type="duplicateValues" dxfId="21" priority="1"/>
  </conditionalFormatting>
  <conditionalFormatting sqref="D49:D72">
    <cfRule type="duplicateValues" dxfId="20" priority="45"/>
  </conditionalFormatting>
  <conditionalFormatting sqref="E54:E72">
    <cfRule type="expression" dxfId="19" priority="114">
      <formula>$D54=""</formula>
    </cfRule>
  </conditionalFormatting>
  <conditionalFormatting sqref="F9:S48 F54:S72">
    <cfRule type="expression" dxfId="18" priority="5">
      <formula>$E9&lt;&gt;"Applicable"</formula>
    </cfRule>
  </conditionalFormatting>
  <dataValidations count="13">
    <dataValidation type="decimal" allowBlank="1" showInputMessage="1" showErrorMessage="1" sqref="F54:F72" xr:uid="{DA21AE09-023F-480E-8693-B7BEB2328F05}">
      <formula1>0</formula1>
      <formula2>100000000</formula2>
    </dataValidation>
    <dataValidation type="list" allowBlank="1" showInputMessage="1" showErrorMessage="1" sqref="C54:C72" xr:uid="{C59A0609-4D71-4C5C-9DC8-0C7073E9876B}">
      <formula1>SPs</formula1>
    </dataValidation>
    <dataValidation allowBlank="1" showErrorMessage="1" prompt="1. This uses &quot;Total direct&quot; if not empty._x000a_2. Otherwise, it uses &quot;Total male&quot; and &quot;Total female&quot; if not empty._x000a_3. If none of the above is available, it uses &quot;sex age disaggregation&quot; data." sqref="S8 S53" xr:uid="{AE751B79-8F2F-4B84-9190-BBCA9185F047}"/>
    <dataValidation allowBlank="1" showErrorMessage="1" promptTitle="Formula calculation" prompt="1. This uses &quot;Total direct&quot; if not empty._x000a_2. Otherwise, it uses &quot;Total male&quot; and &quot;Total female&quot; if not empty._x000a_3. If none of the above is available, it uses &quot;sex age disaggregation&quot; data." sqref="S9:S48 S54:S72" xr:uid="{66BE4B27-1596-44DA-8C16-D60F90893BD2}"/>
    <dataValidation type="decimal" allowBlank="1" showInputMessage="1" showErrorMessage="1" error="This is a percentagee question. Value should be between 0 and 100." sqref="F36" xr:uid="{D3C686FA-15FE-4F38-B2F7-B8C2C10DFB3A}">
      <formula1>0</formula1>
      <formula2>1</formula2>
    </dataValidation>
    <dataValidation type="whole" allowBlank="1" showInputMessage="1" showErrorMessage="1" sqref="R20:R23 F13:F17 F9:R11 F20:Q25 F40:R40 G54:R72" xr:uid="{B9A214C1-A721-4083-B3D9-A394915BD420}">
      <formula1>0</formula1>
      <formula2>100000000</formula2>
    </dataValidation>
    <dataValidation type="list" allowBlank="1" showInputMessage="1" showErrorMessage="1" prompt="If an indicator is applicable but you don't have the data, you have the option to select 'Applicable- data not available'." sqref="E54:E72 E9:E48" xr:uid="{41142842-92EC-4BC0-9577-E71EB1D33B91}">
      <formula1>"Applicable,Applicable- data not available"</formula1>
    </dataValidation>
    <dataValidation type="decimal" allowBlank="1" showInputMessage="1" showErrorMessage="1" sqref="F12" xr:uid="{6AB6C456-E608-4C21-8C32-AA01E11F4DAE}">
      <formula1>0</formula1>
      <formula2>1</formula2>
    </dataValidation>
    <dataValidation type="whole" operator="equal" allowBlank="1" showInputMessage="1" showErrorMessage="1" error="This cell is closed for input" sqref="F41:R48 G32:R39 G27:R29" xr:uid="{78417612-D89E-4C4B-BB99-3066C9D8FA50}">
      <formula1>90</formula1>
    </dataValidation>
    <dataValidation type="list" allowBlank="1" showInputMessage="1" showErrorMessage="1" sqref="D54:D72" xr:uid="{A84716EE-D279-49AF-AC98-ED99B8EB8632}">
      <formula1>OFFSET(_Indicator, MATCH($C54, _SP, 0) - 1, 0, COUNTIF(_SP, $C54), 1)</formula1>
    </dataValidation>
    <dataValidation type="whole" operator="equal" allowBlank="1" showInputMessage="1" showErrorMessage="1" sqref="R24:R25 F37:F39 G12:R12 F18:R19 F32:F34 F28:F29" xr:uid="{815BB909-19C7-43B4-8534-E374B43626D2}">
      <formula1>90</formula1>
    </dataValidation>
    <dataValidation type="whole" allowBlank="1" showInputMessage="1" showErrorMessage="1" sqref="G13:R17 G26:R26 F30:R31 F26" xr:uid="{C95ED7D0-B090-47A4-9346-EA6CE175B47F}">
      <formula1>0</formula1>
      <formula2>10000000</formula2>
    </dataValidation>
    <dataValidation type="whole" allowBlank="1" showInputMessage="1" showErrorMessage="1" sqref="F27" xr:uid="{6E6EA963-11F1-48CB-870D-BCDF39E104EB}">
      <formula1>0</formula1>
      <formula2>500</formula2>
    </dataValidation>
  </dataValidations>
  <pageMargins left="0.7" right="0.7" top="0.75" bottom="0.75" header="0.3" footer="0.3"/>
  <headerFooter>
    <oddFooter>&amp;L_x000D_&amp;1#&amp;"Calibri"&amp;10&amp;K000000 Public</oddFooter>
  </headerFooter>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67A8-B5F0-4842-8ADD-17D791E4BC96}">
  <sheetPr codeName="Sheet4"/>
  <dimension ref="A1:P427"/>
  <sheetViews>
    <sheetView zoomScale="89" zoomScaleNormal="70" workbookViewId="0">
      <selection activeCell="F6" sqref="F6"/>
    </sheetView>
  </sheetViews>
  <sheetFormatPr defaultColWidth="0" defaultRowHeight="14.4" zeroHeight="1" x14ac:dyDescent="0.3"/>
  <cols>
    <col min="1" max="1" width="5.33203125" style="6" customWidth="1"/>
    <col min="2" max="2" width="8.44140625" bestFit="1" customWidth="1"/>
    <col min="3" max="3" width="29.6640625" customWidth="1"/>
    <col min="4" max="4" width="25.6640625" customWidth="1"/>
    <col min="5" max="5" width="23.33203125" customWidth="1"/>
    <col min="6" max="6" width="75.44140625" customWidth="1"/>
    <col min="7" max="7" width="68.6640625" customWidth="1"/>
    <col min="8" max="8" width="49.44140625" customWidth="1"/>
    <col min="9" max="9" width="19.33203125" bestFit="1" customWidth="1"/>
    <col min="10" max="10" width="18.33203125" bestFit="1" customWidth="1"/>
    <col min="11" max="11" width="9" style="6" customWidth="1"/>
    <col min="12" max="12" width="20.44140625" hidden="1" customWidth="1"/>
    <col min="13" max="14" width="17.6640625" hidden="1" customWidth="1"/>
    <col min="15" max="16" width="20.5546875" hidden="1" customWidth="1"/>
    <col min="17" max="16384" width="9.33203125" hidden="1"/>
  </cols>
  <sheetData>
    <row r="1" spans="2:10" x14ac:dyDescent="0.3">
      <c r="B1" s="6"/>
      <c r="C1" s="6"/>
      <c r="D1" s="6"/>
      <c r="E1" s="6"/>
      <c r="F1" s="6"/>
      <c r="G1" s="6"/>
      <c r="H1" s="6"/>
      <c r="I1" s="6"/>
      <c r="J1" s="6"/>
    </row>
    <row r="2" spans="2:10" ht="28.8" x14ac:dyDescent="0.3">
      <c r="B2" s="6"/>
      <c r="C2" s="63"/>
      <c r="D2" s="6"/>
      <c r="E2" s="6"/>
      <c r="F2" s="64" t="s">
        <v>581</v>
      </c>
      <c r="G2" s="6"/>
      <c r="H2" s="6"/>
      <c r="I2" s="6"/>
      <c r="J2" s="6"/>
    </row>
    <row r="3" spans="2:10" ht="35.700000000000003" customHeight="1" x14ac:dyDescent="0.3">
      <c r="B3" s="6"/>
      <c r="C3" s="6"/>
      <c r="D3" s="263" t="s">
        <v>582</v>
      </c>
      <c r="E3" s="264"/>
      <c r="F3" s="264"/>
      <c r="G3" s="264"/>
      <c r="H3" s="6"/>
      <c r="I3" s="6"/>
      <c r="J3" s="6"/>
    </row>
    <row r="4" spans="2:10" x14ac:dyDescent="0.3">
      <c r="B4" s="6"/>
      <c r="C4" s="6"/>
      <c r="D4" s="6"/>
      <c r="E4" s="29"/>
      <c r="F4" s="29"/>
      <c r="G4" s="65"/>
      <c r="H4" s="65"/>
      <c r="I4" s="6"/>
      <c r="J4" s="6"/>
    </row>
    <row r="5" spans="2:10" ht="28.8" x14ac:dyDescent="0.3">
      <c r="B5" s="121" t="s">
        <v>583</v>
      </c>
      <c r="C5" s="122" t="s">
        <v>584</v>
      </c>
      <c r="D5" s="122" t="s">
        <v>585</v>
      </c>
      <c r="E5" s="122" t="s">
        <v>586</v>
      </c>
      <c r="F5" s="123" t="s">
        <v>587</v>
      </c>
      <c r="G5" s="123" t="s">
        <v>588</v>
      </c>
      <c r="H5" s="122" t="s">
        <v>589</v>
      </c>
      <c r="I5" s="122" t="s">
        <v>590</v>
      </c>
      <c r="J5" s="124" t="s">
        <v>591</v>
      </c>
    </row>
    <row r="6" spans="2:10" ht="192.6" customHeight="1" x14ac:dyDescent="0.3">
      <c r="B6" s="199">
        <v>921</v>
      </c>
      <c r="C6" s="202" t="s">
        <v>669</v>
      </c>
      <c r="D6" s="202" t="s">
        <v>670</v>
      </c>
      <c r="E6" s="202" t="s">
        <v>1654</v>
      </c>
      <c r="F6" s="202" t="s">
        <v>742</v>
      </c>
      <c r="G6" s="202" t="s">
        <v>743</v>
      </c>
      <c r="H6" s="125" t="s">
        <v>621</v>
      </c>
      <c r="I6" s="125" t="s">
        <v>641</v>
      </c>
      <c r="J6" s="126" t="s">
        <v>600</v>
      </c>
    </row>
    <row r="7" spans="2:10" ht="86.4" x14ac:dyDescent="0.3">
      <c r="B7" s="208">
        <v>220</v>
      </c>
      <c r="C7" s="209" t="s">
        <v>669</v>
      </c>
      <c r="D7" s="210" t="s">
        <v>670</v>
      </c>
      <c r="E7" s="210" t="s">
        <v>1654</v>
      </c>
      <c r="F7" s="210" t="s">
        <v>686</v>
      </c>
      <c r="G7" s="211" t="s">
        <v>687</v>
      </c>
      <c r="H7" s="212" t="s">
        <v>621</v>
      </c>
      <c r="I7" s="200" t="s">
        <v>622</v>
      </c>
      <c r="J7" s="201" t="s">
        <v>600</v>
      </c>
    </row>
    <row r="8" spans="2:10" ht="72" x14ac:dyDescent="0.3">
      <c r="B8" s="208">
        <v>240</v>
      </c>
      <c r="C8" s="209" t="s">
        <v>669</v>
      </c>
      <c r="D8" s="210" t="s">
        <v>670</v>
      </c>
      <c r="E8" s="210" t="s">
        <v>1654</v>
      </c>
      <c r="F8" s="210" t="s">
        <v>698</v>
      </c>
      <c r="G8" s="211" t="s">
        <v>699</v>
      </c>
      <c r="H8" s="212" t="s">
        <v>621</v>
      </c>
      <c r="I8" s="200" t="s">
        <v>622</v>
      </c>
      <c r="J8" s="201" t="s">
        <v>600</v>
      </c>
    </row>
    <row r="9" spans="2:10" ht="331.2" x14ac:dyDescent="0.3">
      <c r="B9" s="203">
        <v>46</v>
      </c>
      <c r="C9" s="204" t="s">
        <v>1558</v>
      </c>
      <c r="D9" s="205" t="s">
        <v>650</v>
      </c>
      <c r="E9" s="205" t="s">
        <v>1654</v>
      </c>
      <c r="F9" s="205" t="s">
        <v>648</v>
      </c>
      <c r="G9" s="206" t="s">
        <v>649</v>
      </c>
      <c r="H9" s="207" t="s">
        <v>595</v>
      </c>
      <c r="I9" s="125" t="s">
        <v>607</v>
      </c>
      <c r="J9" s="126" t="s">
        <v>600</v>
      </c>
    </row>
    <row r="10" spans="2:10" ht="100.8" x14ac:dyDescent="0.3">
      <c r="B10" s="203">
        <v>45</v>
      </c>
      <c r="C10" s="204" t="s">
        <v>1558</v>
      </c>
      <c r="D10" s="205" t="s">
        <v>650</v>
      </c>
      <c r="E10" s="205" t="s">
        <v>1654</v>
      </c>
      <c r="F10" s="205" t="s">
        <v>646</v>
      </c>
      <c r="G10" s="206" t="s">
        <v>647</v>
      </c>
      <c r="H10" s="207" t="s">
        <v>595</v>
      </c>
      <c r="I10" s="125" t="s">
        <v>607</v>
      </c>
      <c r="J10" s="126" t="s">
        <v>615</v>
      </c>
    </row>
    <row r="11" spans="2:10" ht="158.4" x14ac:dyDescent="0.3">
      <c r="B11" s="203">
        <v>1072</v>
      </c>
      <c r="C11" s="204" t="s">
        <v>1393</v>
      </c>
      <c r="D11" s="205" t="s">
        <v>1394</v>
      </c>
      <c r="E11" s="205" t="s">
        <v>1654</v>
      </c>
      <c r="F11" s="205" t="s">
        <v>1583</v>
      </c>
      <c r="G11" s="206" t="s">
        <v>1395</v>
      </c>
      <c r="H11" s="207" t="s">
        <v>595</v>
      </c>
      <c r="I11" s="125" t="s">
        <v>596</v>
      </c>
      <c r="J11" s="126" t="s">
        <v>600</v>
      </c>
    </row>
    <row r="12" spans="2:10" ht="43.2" x14ac:dyDescent="0.3">
      <c r="B12" s="203">
        <v>63</v>
      </c>
      <c r="C12" s="204" t="s">
        <v>630</v>
      </c>
      <c r="D12" s="205" t="s">
        <v>630</v>
      </c>
      <c r="E12" s="205" t="s">
        <v>1654</v>
      </c>
      <c r="F12" s="205" t="s">
        <v>657</v>
      </c>
      <c r="G12" s="206" t="s">
        <v>658</v>
      </c>
      <c r="H12" s="207" t="s">
        <v>595</v>
      </c>
      <c r="I12" s="125" t="s">
        <v>636</v>
      </c>
      <c r="J12" s="126" t="s">
        <v>600</v>
      </c>
    </row>
    <row r="13" spans="2:10" ht="86.4" x14ac:dyDescent="0.3">
      <c r="B13" s="203">
        <v>823</v>
      </c>
      <c r="C13" s="204" t="s">
        <v>661</v>
      </c>
      <c r="D13" s="205" t="s">
        <v>661</v>
      </c>
      <c r="E13" s="205" t="s">
        <v>1654</v>
      </c>
      <c r="F13" s="205" t="s">
        <v>727</v>
      </c>
      <c r="G13" s="206" t="s">
        <v>728</v>
      </c>
      <c r="H13" s="207" t="s">
        <v>595</v>
      </c>
      <c r="I13" s="125" t="s">
        <v>729</v>
      </c>
      <c r="J13" s="126" t="s">
        <v>600</v>
      </c>
    </row>
    <row r="14" spans="2:10" ht="115.2" x14ac:dyDescent="0.3">
      <c r="B14" s="203">
        <v>876</v>
      </c>
      <c r="C14" s="204" t="s">
        <v>630</v>
      </c>
      <c r="D14" s="205" t="s">
        <v>630</v>
      </c>
      <c r="E14" s="205" t="s">
        <v>1654</v>
      </c>
      <c r="F14" s="205" t="s">
        <v>735</v>
      </c>
      <c r="G14" s="206" t="s">
        <v>736</v>
      </c>
      <c r="H14" s="207" t="s">
        <v>595</v>
      </c>
      <c r="I14" s="125" t="s">
        <v>596</v>
      </c>
      <c r="J14" s="126" t="s">
        <v>600</v>
      </c>
    </row>
    <row r="15" spans="2:10" ht="100.8" x14ac:dyDescent="0.3">
      <c r="B15" s="203">
        <v>1125</v>
      </c>
      <c r="C15" s="204" t="s">
        <v>712</v>
      </c>
      <c r="D15" s="205" t="s">
        <v>712</v>
      </c>
      <c r="E15" s="205" t="s">
        <v>1654</v>
      </c>
      <c r="F15" s="205" t="s">
        <v>1630</v>
      </c>
      <c r="G15" s="206" t="s">
        <v>1631</v>
      </c>
      <c r="H15" s="207" t="s">
        <v>621</v>
      </c>
      <c r="I15" s="125" t="s">
        <v>622</v>
      </c>
      <c r="J15" s="126" t="s">
        <v>600</v>
      </c>
    </row>
    <row r="16" spans="2:10" ht="57.6" x14ac:dyDescent="0.3">
      <c r="B16" s="203">
        <v>918</v>
      </c>
      <c r="C16" s="204" t="s">
        <v>630</v>
      </c>
      <c r="D16" s="205" t="s">
        <v>630</v>
      </c>
      <c r="E16" s="205" t="s">
        <v>1654</v>
      </c>
      <c r="F16" s="205" t="s">
        <v>740</v>
      </c>
      <c r="G16" s="206" t="s">
        <v>741</v>
      </c>
      <c r="H16" s="207" t="s">
        <v>621</v>
      </c>
      <c r="I16" s="125" t="s">
        <v>622</v>
      </c>
      <c r="J16" s="126" t="s">
        <v>600</v>
      </c>
    </row>
    <row r="17" spans="2:10" ht="115.2" x14ac:dyDescent="0.3">
      <c r="B17" s="203">
        <v>242</v>
      </c>
      <c r="C17" s="204" t="s">
        <v>669</v>
      </c>
      <c r="D17" s="205" t="s">
        <v>670</v>
      </c>
      <c r="E17" s="205" t="s">
        <v>1654</v>
      </c>
      <c r="F17" s="205" t="s">
        <v>702</v>
      </c>
      <c r="G17" s="206" t="s">
        <v>703</v>
      </c>
      <c r="H17" s="207" t="s">
        <v>595</v>
      </c>
      <c r="I17" s="125" t="s">
        <v>596</v>
      </c>
      <c r="J17" s="126" t="s">
        <v>600</v>
      </c>
    </row>
    <row r="18" spans="2:10" ht="129.6" x14ac:dyDescent="0.3">
      <c r="B18" s="203">
        <v>424</v>
      </c>
      <c r="C18" s="204" t="s">
        <v>1557</v>
      </c>
      <c r="D18" s="205" t="s">
        <v>1380</v>
      </c>
      <c r="E18" s="205" t="s">
        <v>1654</v>
      </c>
      <c r="F18" s="205" t="s">
        <v>1383</v>
      </c>
      <c r="G18" s="206" t="s">
        <v>1384</v>
      </c>
      <c r="H18" s="207" t="s">
        <v>595</v>
      </c>
      <c r="I18" s="125" t="s">
        <v>41</v>
      </c>
      <c r="J18" s="126" t="s">
        <v>615</v>
      </c>
    </row>
    <row r="19" spans="2:10" ht="100.8" x14ac:dyDescent="0.3">
      <c r="B19" s="203">
        <v>824</v>
      </c>
      <c r="C19" s="204" t="s">
        <v>1393</v>
      </c>
      <c r="D19" s="205" t="s">
        <v>1394</v>
      </c>
      <c r="E19" s="205" t="s">
        <v>1654</v>
      </c>
      <c r="F19" s="205" t="s">
        <v>1391</v>
      </c>
      <c r="G19" s="206" t="s">
        <v>1392</v>
      </c>
      <c r="H19" s="207" t="s">
        <v>595</v>
      </c>
      <c r="I19" s="125" t="s">
        <v>10</v>
      </c>
      <c r="J19" s="126" t="s">
        <v>604</v>
      </c>
    </row>
    <row r="20" spans="2:10" ht="72" x14ac:dyDescent="0.3">
      <c r="B20" s="203">
        <v>878</v>
      </c>
      <c r="C20" s="204" t="s">
        <v>630</v>
      </c>
      <c r="D20" s="205" t="s">
        <v>630</v>
      </c>
      <c r="E20" s="205" t="s">
        <v>1654</v>
      </c>
      <c r="F20" s="205" t="s">
        <v>737</v>
      </c>
      <c r="G20" s="206" t="s">
        <v>738</v>
      </c>
      <c r="H20" s="207" t="s">
        <v>595</v>
      </c>
      <c r="I20" s="125" t="s">
        <v>10</v>
      </c>
      <c r="J20" s="126" t="s">
        <v>604</v>
      </c>
    </row>
    <row r="21" spans="2:10" ht="43.2" x14ac:dyDescent="0.3">
      <c r="B21" s="203">
        <v>1123</v>
      </c>
      <c r="C21" s="204" t="s">
        <v>1396</v>
      </c>
      <c r="D21" s="205" t="s">
        <v>1410</v>
      </c>
      <c r="E21" s="205" t="s">
        <v>1654</v>
      </c>
      <c r="F21" s="205" t="s">
        <v>1591</v>
      </c>
      <c r="G21" s="206" t="s">
        <v>1592</v>
      </c>
      <c r="H21" s="207" t="s">
        <v>595</v>
      </c>
      <c r="I21" s="125" t="s">
        <v>10</v>
      </c>
      <c r="J21" s="126" t="s">
        <v>604</v>
      </c>
    </row>
    <row r="22" spans="2:10" ht="129.6" x14ac:dyDescent="0.3">
      <c r="B22" s="203">
        <v>421</v>
      </c>
      <c r="C22" s="204" t="s">
        <v>1557</v>
      </c>
      <c r="D22" s="205" t="s">
        <v>1380</v>
      </c>
      <c r="E22" s="205" t="s">
        <v>1654</v>
      </c>
      <c r="F22" s="205" t="s">
        <v>1381</v>
      </c>
      <c r="G22" s="206" t="s">
        <v>1382</v>
      </c>
      <c r="H22" s="207" t="s">
        <v>595</v>
      </c>
      <c r="I22" s="125" t="s">
        <v>10</v>
      </c>
      <c r="J22" s="126" t="s">
        <v>604</v>
      </c>
    </row>
    <row r="23" spans="2:10" ht="43.2" x14ac:dyDescent="0.3">
      <c r="B23" s="203">
        <v>605</v>
      </c>
      <c r="C23" s="204" t="s">
        <v>1558</v>
      </c>
      <c r="D23" s="205" t="s">
        <v>650</v>
      </c>
      <c r="E23" s="205" t="s">
        <v>1654</v>
      </c>
      <c r="F23" s="205" t="s">
        <v>715</v>
      </c>
      <c r="G23" s="206" t="s">
        <v>1563</v>
      </c>
      <c r="H23" s="207" t="s">
        <v>595</v>
      </c>
      <c r="I23" s="125" t="s">
        <v>716</v>
      </c>
      <c r="J23" s="126" t="s">
        <v>600</v>
      </c>
    </row>
    <row r="24" spans="2:10" ht="144" x14ac:dyDescent="0.3">
      <c r="B24" s="203">
        <v>606</v>
      </c>
      <c r="C24" s="204" t="s">
        <v>1558</v>
      </c>
      <c r="D24" s="205" t="s">
        <v>1558</v>
      </c>
      <c r="E24" s="205" t="s">
        <v>1654</v>
      </c>
      <c r="F24" s="205" t="s">
        <v>717</v>
      </c>
      <c r="G24" s="206" t="s">
        <v>718</v>
      </c>
      <c r="H24" s="207" t="s">
        <v>595</v>
      </c>
      <c r="I24" s="125" t="s">
        <v>10</v>
      </c>
      <c r="J24" s="126" t="s">
        <v>604</v>
      </c>
    </row>
    <row r="25" spans="2:10" ht="57.6" x14ac:dyDescent="0.3">
      <c r="B25" s="203">
        <v>60</v>
      </c>
      <c r="C25" s="204" t="s">
        <v>630</v>
      </c>
      <c r="D25" s="205" t="s">
        <v>630</v>
      </c>
      <c r="E25" s="205" t="s">
        <v>1654</v>
      </c>
      <c r="F25" s="205" t="s">
        <v>1601</v>
      </c>
      <c r="G25" s="206" t="s">
        <v>639</v>
      </c>
      <c r="H25" s="207" t="s">
        <v>640</v>
      </c>
      <c r="I25" s="125" t="s">
        <v>641</v>
      </c>
      <c r="J25" s="126" t="s">
        <v>600</v>
      </c>
    </row>
    <row r="26" spans="2:10" ht="57.6" x14ac:dyDescent="0.3">
      <c r="B26" s="203">
        <v>61</v>
      </c>
      <c r="C26" s="204" t="s">
        <v>630</v>
      </c>
      <c r="D26" s="205" t="s">
        <v>630</v>
      </c>
      <c r="E26" s="205" t="s">
        <v>1654</v>
      </c>
      <c r="F26" s="205" t="s">
        <v>642</v>
      </c>
      <c r="G26" s="206" t="s">
        <v>639</v>
      </c>
      <c r="H26" s="207" t="s">
        <v>621</v>
      </c>
      <c r="I26" s="125" t="s">
        <v>622</v>
      </c>
      <c r="J26" s="126" t="s">
        <v>600</v>
      </c>
    </row>
    <row r="27" spans="2:10" ht="100.8" x14ac:dyDescent="0.3">
      <c r="B27" s="203">
        <v>243</v>
      </c>
      <c r="C27" s="204" t="s">
        <v>669</v>
      </c>
      <c r="D27" s="205" t="s">
        <v>670</v>
      </c>
      <c r="E27" s="205" t="s">
        <v>1654</v>
      </c>
      <c r="F27" s="205" t="s">
        <v>704</v>
      </c>
      <c r="G27" s="206" t="s">
        <v>705</v>
      </c>
      <c r="H27" s="207" t="s">
        <v>595</v>
      </c>
      <c r="I27" s="125" t="s">
        <v>706</v>
      </c>
      <c r="J27" s="126" t="s">
        <v>600</v>
      </c>
    </row>
    <row r="28" spans="2:10" ht="28.8" x14ac:dyDescent="0.3">
      <c r="B28" s="203">
        <v>51</v>
      </c>
      <c r="C28" s="204" t="s">
        <v>1558</v>
      </c>
      <c r="D28" s="205" t="s">
        <v>655</v>
      </c>
      <c r="E28" s="205" t="s">
        <v>1654</v>
      </c>
      <c r="F28" s="205" t="s">
        <v>656</v>
      </c>
      <c r="G28" s="206" t="s">
        <v>1600</v>
      </c>
      <c r="H28" s="207" t="s">
        <v>652</v>
      </c>
      <c r="I28" s="125" t="s">
        <v>653</v>
      </c>
      <c r="J28" s="126" t="s">
        <v>654</v>
      </c>
    </row>
    <row r="29" spans="2:10" ht="43.2" x14ac:dyDescent="0.3">
      <c r="B29" s="203">
        <v>914</v>
      </c>
      <c r="C29" s="204" t="s">
        <v>669</v>
      </c>
      <c r="D29" s="205" t="s">
        <v>673</v>
      </c>
      <c r="E29" s="205" t="s">
        <v>1654</v>
      </c>
      <c r="F29" s="205" t="s">
        <v>1590</v>
      </c>
      <c r="G29" s="206" t="s">
        <v>739</v>
      </c>
      <c r="H29" s="207" t="s">
        <v>621</v>
      </c>
      <c r="I29" s="125" t="s">
        <v>622</v>
      </c>
      <c r="J29" s="126" t="s">
        <v>600</v>
      </c>
    </row>
    <row r="30" spans="2:10" ht="115.2" x14ac:dyDescent="0.3">
      <c r="B30" s="203">
        <v>448</v>
      </c>
      <c r="C30" s="204" t="s">
        <v>669</v>
      </c>
      <c r="D30" s="205" t="s">
        <v>670</v>
      </c>
      <c r="E30" s="205" t="s">
        <v>1654</v>
      </c>
      <c r="F30" s="205" t="s">
        <v>710</v>
      </c>
      <c r="G30" s="206" t="s">
        <v>711</v>
      </c>
      <c r="H30" s="207" t="s">
        <v>621</v>
      </c>
      <c r="I30" s="125" t="s">
        <v>622</v>
      </c>
      <c r="J30" s="126" t="s">
        <v>600</v>
      </c>
    </row>
    <row r="31" spans="2:10" ht="28.8" x14ac:dyDescent="0.3">
      <c r="B31" s="203">
        <v>1097</v>
      </c>
      <c r="C31" s="204" t="s">
        <v>1558</v>
      </c>
      <c r="D31" s="205" t="s">
        <v>744</v>
      </c>
      <c r="E31" s="205" t="s">
        <v>1654</v>
      </c>
      <c r="F31" s="205" t="s">
        <v>745</v>
      </c>
      <c r="G31" s="206" t="s">
        <v>1624</v>
      </c>
      <c r="H31" s="207" t="s">
        <v>746</v>
      </c>
      <c r="I31" s="125" t="s">
        <v>622</v>
      </c>
      <c r="J31" s="126" t="s">
        <v>600</v>
      </c>
    </row>
    <row r="32" spans="2:10" ht="57.6" x14ac:dyDescent="0.3">
      <c r="B32" s="203">
        <v>1099</v>
      </c>
      <c r="C32" s="204" t="s">
        <v>1558</v>
      </c>
      <c r="D32" s="205" t="s">
        <v>650</v>
      </c>
      <c r="E32" s="205" t="s">
        <v>1654</v>
      </c>
      <c r="F32" s="205" t="s">
        <v>747</v>
      </c>
      <c r="G32" s="206" t="s">
        <v>748</v>
      </c>
      <c r="H32" s="207" t="s">
        <v>652</v>
      </c>
      <c r="I32" s="125" t="s">
        <v>653</v>
      </c>
      <c r="J32" s="126" t="s">
        <v>654</v>
      </c>
    </row>
    <row r="33" spans="2:10" ht="57.6" x14ac:dyDescent="0.3">
      <c r="B33" s="203">
        <v>1100</v>
      </c>
      <c r="C33" s="204" t="s">
        <v>1558</v>
      </c>
      <c r="D33" s="205" t="s">
        <v>655</v>
      </c>
      <c r="E33" s="205" t="s">
        <v>1654</v>
      </c>
      <c r="F33" s="205" t="s">
        <v>749</v>
      </c>
      <c r="G33" s="206" t="s">
        <v>750</v>
      </c>
      <c r="H33" s="207" t="s">
        <v>652</v>
      </c>
      <c r="I33" s="125" t="s">
        <v>653</v>
      </c>
      <c r="J33" s="126" t="s">
        <v>654</v>
      </c>
    </row>
    <row r="34" spans="2:10" ht="28.8" x14ac:dyDescent="0.3">
      <c r="B34" s="203">
        <v>1101</v>
      </c>
      <c r="C34" s="204" t="s">
        <v>1558</v>
      </c>
      <c r="D34" s="205" t="s">
        <v>650</v>
      </c>
      <c r="E34" s="205" t="s">
        <v>1654</v>
      </c>
      <c r="F34" s="205" t="s">
        <v>751</v>
      </c>
      <c r="G34" s="206" t="s">
        <v>1625</v>
      </c>
      <c r="H34" s="207" t="s">
        <v>621</v>
      </c>
      <c r="I34" s="125" t="s">
        <v>622</v>
      </c>
      <c r="J34" s="126" t="s">
        <v>600</v>
      </c>
    </row>
    <row r="35" spans="2:10" ht="28.8" x14ac:dyDescent="0.3">
      <c r="B35" s="203">
        <v>1102</v>
      </c>
      <c r="C35" s="204" t="s">
        <v>1558</v>
      </c>
      <c r="D35" s="205" t="s">
        <v>655</v>
      </c>
      <c r="E35" s="205" t="s">
        <v>1654</v>
      </c>
      <c r="F35" s="205" t="s">
        <v>752</v>
      </c>
      <c r="G35" s="206" t="s">
        <v>753</v>
      </c>
      <c r="H35" s="207" t="s">
        <v>746</v>
      </c>
      <c r="I35" s="125" t="s">
        <v>622</v>
      </c>
      <c r="J35" s="126" t="s">
        <v>654</v>
      </c>
    </row>
    <row r="36" spans="2:10" ht="72" x14ac:dyDescent="0.3">
      <c r="B36" s="203">
        <v>193</v>
      </c>
      <c r="C36" s="204" t="s">
        <v>661</v>
      </c>
      <c r="D36" s="205" t="s">
        <v>661</v>
      </c>
      <c r="E36" s="205" t="s">
        <v>1654</v>
      </c>
      <c r="F36" s="205" t="s">
        <v>666</v>
      </c>
      <c r="G36" s="206" t="s">
        <v>667</v>
      </c>
      <c r="H36" s="207" t="s">
        <v>668</v>
      </c>
      <c r="I36" s="125" t="s">
        <v>622</v>
      </c>
      <c r="J36" s="126" t="s">
        <v>600</v>
      </c>
    </row>
    <row r="37" spans="2:10" ht="129.6" x14ac:dyDescent="0.3">
      <c r="B37" s="203">
        <v>236</v>
      </c>
      <c r="C37" s="204" t="s">
        <v>669</v>
      </c>
      <c r="D37" s="205" t="s">
        <v>673</v>
      </c>
      <c r="E37" s="205" t="s">
        <v>1654</v>
      </c>
      <c r="F37" s="205" t="s">
        <v>690</v>
      </c>
      <c r="G37" s="206" t="s">
        <v>691</v>
      </c>
      <c r="H37" s="207" t="s">
        <v>621</v>
      </c>
      <c r="I37" s="125" t="s">
        <v>622</v>
      </c>
      <c r="J37" s="126" t="s">
        <v>600</v>
      </c>
    </row>
    <row r="38" spans="2:10" ht="43.2" x14ac:dyDescent="0.3">
      <c r="B38" s="203">
        <v>237</v>
      </c>
      <c r="C38" s="204" t="s">
        <v>669</v>
      </c>
      <c r="D38" s="205" t="s">
        <v>670</v>
      </c>
      <c r="E38" s="205" t="s">
        <v>1654</v>
      </c>
      <c r="F38" s="205" t="s">
        <v>692</v>
      </c>
      <c r="G38" s="206" t="s">
        <v>693</v>
      </c>
      <c r="H38" s="207" t="s">
        <v>621</v>
      </c>
      <c r="I38" s="125" t="s">
        <v>607</v>
      </c>
      <c r="J38" s="126" t="s">
        <v>600</v>
      </c>
    </row>
    <row r="39" spans="2:10" ht="100.8" x14ac:dyDescent="0.3">
      <c r="B39" s="203">
        <v>239</v>
      </c>
      <c r="C39" s="204" t="s">
        <v>669</v>
      </c>
      <c r="D39" s="205" t="s">
        <v>670</v>
      </c>
      <c r="E39" s="205" t="s">
        <v>1654</v>
      </c>
      <c r="F39" s="205" t="s">
        <v>696</v>
      </c>
      <c r="G39" s="206" t="s">
        <v>697</v>
      </c>
      <c r="H39" s="207" t="s">
        <v>621</v>
      </c>
      <c r="I39" s="125" t="s">
        <v>622</v>
      </c>
      <c r="J39" s="126" t="s">
        <v>600</v>
      </c>
    </row>
    <row r="40" spans="2:10" ht="115.2" x14ac:dyDescent="0.3">
      <c r="B40" s="203">
        <v>238</v>
      </c>
      <c r="C40" s="204" t="s">
        <v>669</v>
      </c>
      <c r="D40" s="205" t="s">
        <v>670</v>
      </c>
      <c r="E40" s="205" t="s">
        <v>1654</v>
      </c>
      <c r="F40" s="205" t="s">
        <v>694</v>
      </c>
      <c r="G40" s="206" t="s">
        <v>695</v>
      </c>
      <c r="H40" s="207" t="s">
        <v>621</v>
      </c>
      <c r="I40" s="125" t="s">
        <v>607</v>
      </c>
      <c r="J40" s="126" t="s">
        <v>600</v>
      </c>
    </row>
    <row r="41" spans="2:10" ht="72" x14ac:dyDescent="0.3">
      <c r="B41" s="203">
        <v>215</v>
      </c>
      <c r="C41" s="204" t="s">
        <v>669</v>
      </c>
      <c r="D41" s="205" t="s">
        <v>670</v>
      </c>
      <c r="E41" s="205" t="s">
        <v>1654</v>
      </c>
      <c r="F41" s="205" t="s">
        <v>680</v>
      </c>
      <c r="G41" s="206" t="s">
        <v>681</v>
      </c>
      <c r="H41" s="207" t="s">
        <v>621</v>
      </c>
      <c r="I41" s="125" t="s">
        <v>622</v>
      </c>
      <c r="J41" s="126" t="s">
        <v>615</v>
      </c>
    </row>
    <row r="42" spans="2:10" ht="72" x14ac:dyDescent="0.3">
      <c r="B42" s="203">
        <v>216</v>
      </c>
      <c r="C42" s="204" t="s">
        <v>669</v>
      </c>
      <c r="D42" s="205" t="s">
        <v>670</v>
      </c>
      <c r="E42" s="205" t="s">
        <v>1654</v>
      </c>
      <c r="F42" s="205" t="s">
        <v>682</v>
      </c>
      <c r="G42" s="206" t="s">
        <v>681</v>
      </c>
      <c r="H42" s="207" t="s">
        <v>621</v>
      </c>
      <c r="I42" s="125" t="s">
        <v>622</v>
      </c>
      <c r="J42" s="126" t="s">
        <v>615</v>
      </c>
    </row>
    <row r="43" spans="2:10" ht="72" x14ac:dyDescent="0.3">
      <c r="B43" s="203">
        <v>217</v>
      </c>
      <c r="C43" s="204" t="s">
        <v>669</v>
      </c>
      <c r="D43" s="205" t="s">
        <v>670</v>
      </c>
      <c r="E43" s="205" t="s">
        <v>1654</v>
      </c>
      <c r="F43" s="205" t="s">
        <v>683</v>
      </c>
      <c r="G43" s="206" t="s">
        <v>681</v>
      </c>
      <c r="H43" s="207" t="s">
        <v>621</v>
      </c>
      <c r="I43" s="125" t="s">
        <v>622</v>
      </c>
      <c r="J43" s="126" t="s">
        <v>615</v>
      </c>
    </row>
    <row r="44" spans="2:10" ht="72" x14ac:dyDescent="0.3">
      <c r="B44" s="203">
        <v>218</v>
      </c>
      <c r="C44" s="204" t="s">
        <v>669</v>
      </c>
      <c r="D44" s="205" t="s">
        <v>670</v>
      </c>
      <c r="E44" s="205" t="s">
        <v>1654</v>
      </c>
      <c r="F44" s="205" t="s">
        <v>684</v>
      </c>
      <c r="G44" s="206" t="s">
        <v>681</v>
      </c>
      <c r="H44" s="207" t="s">
        <v>621</v>
      </c>
      <c r="I44" s="125" t="s">
        <v>622</v>
      </c>
      <c r="J44" s="126" t="s">
        <v>615</v>
      </c>
    </row>
    <row r="45" spans="2:10" ht="72" x14ac:dyDescent="0.3">
      <c r="B45" s="203">
        <v>219</v>
      </c>
      <c r="C45" s="204" t="s">
        <v>669</v>
      </c>
      <c r="D45" s="205" t="s">
        <v>670</v>
      </c>
      <c r="E45" s="205" t="s">
        <v>1654</v>
      </c>
      <c r="F45" s="205" t="s">
        <v>685</v>
      </c>
      <c r="G45" s="206" t="s">
        <v>681</v>
      </c>
      <c r="H45" s="207" t="s">
        <v>621</v>
      </c>
      <c r="I45" s="125" t="s">
        <v>622</v>
      </c>
      <c r="J45" s="126" t="s">
        <v>615</v>
      </c>
    </row>
    <row r="46" spans="2:10" ht="43.2" x14ac:dyDescent="0.3">
      <c r="B46" s="203">
        <v>9</v>
      </c>
      <c r="C46" s="204" t="s">
        <v>630</v>
      </c>
      <c r="D46" s="205" t="s">
        <v>630</v>
      </c>
      <c r="E46" s="205" t="s">
        <v>1654</v>
      </c>
      <c r="F46" s="205" t="s">
        <v>631</v>
      </c>
      <c r="G46" s="206" t="s">
        <v>632</v>
      </c>
      <c r="H46" s="207" t="s">
        <v>621</v>
      </c>
      <c r="I46" s="125" t="s">
        <v>622</v>
      </c>
      <c r="J46" s="126" t="s">
        <v>600</v>
      </c>
    </row>
    <row r="47" spans="2:10" ht="86.4" x14ac:dyDescent="0.3">
      <c r="B47" s="203">
        <v>221</v>
      </c>
      <c r="C47" s="204" t="s">
        <v>669</v>
      </c>
      <c r="D47" s="205" t="s">
        <v>670</v>
      </c>
      <c r="E47" s="205" t="s">
        <v>1654</v>
      </c>
      <c r="F47" s="205" t="s">
        <v>688</v>
      </c>
      <c r="G47" s="206" t="s">
        <v>689</v>
      </c>
      <c r="H47" s="207" t="s">
        <v>621</v>
      </c>
      <c r="I47" s="125" t="s">
        <v>622</v>
      </c>
      <c r="J47" s="126" t="s">
        <v>600</v>
      </c>
    </row>
    <row r="48" spans="2:10" ht="86.4" x14ac:dyDescent="0.3">
      <c r="B48" s="203">
        <v>866</v>
      </c>
      <c r="C48" s="204" t="s">
        <v>630</v>
      </c>
      <c r="D48" s="205" t="s">
        <v>630</v>
      </c>
      <c r="E48" s="205" t="s">
        <v>1654</v>
      </c>
      <c r="F48" s="205" t="s">
        <v>730</v>
      </c>
      <c r="G48" s="206" t="s">
        <v>731</v>
      </c>
      <c r="H48" s="207" t="s">
        <v>732</v>
      </c>
      <c r="I48" s="125" t="s">
        <v>706</v>
      </c>
      <c r="J48" s="126" t="s">
        <v>615</v>
      </c>
    </row>
    <row r="49" spans="2:10" ht="100.8" x14ac:dyDescent="0.3">
      <c r="B49" s="203">
        <v>12</v>
      </c>
      <c r="C49" s="204" t="s">
        <v>630</v>
      </c>
      <c r="D49" s="205" t="s">
        <v>630</v>
      </c>
      <c r="E49" s="205" t="s">
        <v>1654</v>
      </c>
      <c r="F49" s="205" t="s">
        <v>633</v>
      </c>
      <c r="G49" s="206" t="s">
        <v>634</v>
      </c>
      <c r="H49" s="207" t="s">
        <v>635</v>
      </c>
      <c r="I49" s="125" t="s">
        <v>636</v>
      </c>
      <c r="J49" s="126" t="s">
        <v>600</v>
      </c>
    </row>
    <row r="50" spans="2:10" ht="57.6" x14ac:dyDescent="0.3">
      <c r="B50" s="203">
        <v>50</v>
      </c>
      <c r="C50" s="204" t="s">
        <v>1558</v>
      </c>
      <c r="D50" s="205" t="s">
        <v>744</v>
      </c>
      <c r="E50" s="205" t="s">
        <v>1654</v>
      </c>
      <c r="F50" s="205" t="s">
        <v>651</v>
      </c>
      <c r="G50" s="206" t="s">
        <v>1599</v>
      </c>
      <c r="H50" s="207" t="s">
        <v>652</v>
      </c>
      <c r="I50" s="125" t="s">
        <v>653</v>
      </c>
      <c r="J50" s="126" t="s">
        <v>654</v>
      </c>
    </row>
    <row r="51" spans="2:10" ht="57.6" x14ac:dyDescent="0.3">
      <c r="B51" s="203">
        <v>59</v>
      </c>
      <c r="C51" s="204" t="s">
        <v>630</v>
      </c>
      <c r="D51" s="205" t="s">
        <v>630</v>
      </c>
      <c r="E51" s="205" t="s">
        <v>1654</v>
      </c>
      <c r="F51" s="205" t="s">
        <v>637</v>
      </c>
      <c r="G51" s="206" t="s">
        <v>638</v>
      </c>
      <c r="H51" s="207" t="s">
        <v>621</v>
      </c>
      <c r="I51" s="125" t="s">
        <v>622</v>
      </c>
      <c r="J51" s="126" t="s">
        <v>600</v>
      </c>
    </row>
    <row r="52" spans="2:10" ht="100.8" x14ac:dyDescent="0.3">
      <c r="B52" s="203">
        <v>191</v>
      </c>
      <c r="C52" s="204" t="s">
        <v>661</v>
      </c>
      <c r="D52" s="205" t="s">
        <v>661</v>
      </c>
      <c r="E52" s="205" t="s">
        <v>1654</v>
      </c>
      <c r="F52" s="205" t="s">
        <v>664</v>
      </c>
      <c r="G52" s="206" t="s">
        <v>665</v>
      </c>
      <c r="H52" s="207" t="s">
        <v>621</v>
      </c>
      <c r="I52" s="125" t="s">
        <v>622</v>
      </c>
      <c r="J52" s="126" t="s">
        <v>600</v>
      </c>
    </row>
    <row r="53" spans="2:10" ht="28.8" x14ac:dyDescent="0.3">
      <c r="B53" s="203">
        <v>62</v>
      </c>
      <c r="C53" s="204" t="s">
        <v>630</v>
      </c>
      <c r="D53" s="205" t="s">
        <v>630</v>
      </c>
      <c r="E53" s="205" t="s">
        <v>1654</v>
      </c>
      <c r="F53" s="205" t="s">
        <v>643</v>
      </c>
      <c r="G53" s="206" t="s">
        <v>644</v>
      </c>
      <c r="H53" s="207" t="s">
        <v>645</v>
      </c>
      <c r="I53" s="125" t="s">
        <v>607</v>
      </c>
      <c r="J53" s="126" t="s">
        <v>600</v>
      </c>
    </row>
    <row r="54" spans="2:10" ht="72" x14ac:dyDescent="0.3">
      <c r="B54" s="208">
        <v>192</v>
      </c>
      <c r="C54" s="209" t="s">
        <v>661</v>
      </c>
      <c r="D54" s="210" t="s">
        <v>661</v>
      </c>
      <c r="E54" s="210" t="s">
        <v>1654</v>
      </c>
      <c r="F54" s="210" t="s">
        <v>1593</v>
      </c>
      <c r="G54" s="211" t="s">
        <v>1594</v>
      </c>
      <c r="H54" s="212" t="s">
        <v>595</v>
      </c>
      <c r="I54" s="200" t="s">
        <v>636</v>
      </c>
      <c r="J54" s="201" t="s">
        <v>600</v>
      </c>
    </row>
    <row r="55" spans="2:10" ht="28.8" x14ac:dyDescent="0.3">
      <c r="B55" s="208">
        <v>441</v>
      </c>
      <c r="C55" s="209" t="s">
        <v>669</v>
      </c>
      <c r="D55" s="210" t="s">
        <v>673</v>
      </c>
      <c r="E55" s="210" t="s">
        <v>1654</v>
      </c>
      <c r="F55" s="210" t="s">
        <v>708</v>
      </c>
      <c r="G55" s="211" t="s">
        <v>709</v>
      </c>
      <c r="H55" s="212" t="s">
        <v>595</v>
      </c>
      <c r="I55" s="200" t="s">
        <v>607</v>
      </c>
      <c r="J55" s="201" t="s">
        <v>600</v>
      </c>
    </row>
    <row r="56" spans="2:10" ht="129.6" x14ac:dyDescent="0.3">
      <c r="B56" s="203">
        <v>765</v>
      </c>
      <c r="C56" s="204" t="s">
        <v>1558</v>
      </c>
      <c r="D56" s="205" t="s">
        <v>1558</v>
      </c>
      <c r="E56" s="205" t="s">
        <v>1654</v>
      </c>
      <c r="F56" s="205" t="s">
        <v>723</v>
      </c>
      <c r="G56" s="206" t="s">
        <v>724</v>
      </c>
      <c r="H56" s="207" t="s">
        <v>621</v>
      </c>
      <c r="I56" s="125" t="s">
        <v>622</v>
      </c>
      <c r="J56" s="126" t="s">
        <v>600</v>
      </c>
    </row>
    <row r="57" spans="2:10" ht="57.6" x14ac:dyDescent="0.3">
      <c r="B57" s="203">
        <v>208</v>
      </c>
      <c r="C57" s="204" t="s">
        <v>669</v>
      </c>
      <c r="D57" s="205" t="s">
        <v>670</v>
      </c>
      <c r="E57" s="205" t="s">
        <v>1654</v>
      </c>
      <c r="F57" s="205" t="s">
        <v>671</v>
      </c>
      <c r="G57" s="206" t="s">
        <v>672</v>
      </c>
      <c r="H57" s="207" t="s">
        <v>595</v>
      </c>
      <c r="I57" s="125" t="s">
        <v>607</v>
      </c>
      <c r="J57" s="126" t="s">
        <v>600</v>
      </c>
    </row>
    <row r="58" spans="2:10" ht="43.2" x14ac:dyDescent="0.3">
      <c r="B58" s="203">
        <v>121</v>
      </c>
      <c r="C58" s="204" t="s">
        <v>661</v>
      </c>
      <c r="D58" s="205" t="s">
        <v>661</v>
      </c>
      <c r="E58" s="205" t="s">
        <v>1654</v>
      </c>
      <c r="F58" s="205" t="s">
        <v>662</v>
      </c>
      <c r="G58" s="206" t="s">
        <v>663</v>
      </c>
      <c r="H58" s="207" t="s">
        <v>595</v>
      </c>
      <c r="I58" s="125" t="s">
        <v>10</v>
      </c>
      <c r="J58" s="126" t="s">
        <v>604</v>
      </c>
    </row>
    <row r="59" spans="2:10" ht="57.6" x14ac:dyDescent="0.3">
      <c r="B59" s="208">
        <v>1111</v>
      </c>
      <c r="C59" s="209" t="s">
        <v>661</v>
      </c>
      <c r="D59" s="210" t="s">
        <v>661</v>
      </c>
      <c r="E59" s="210" t="s">
        <v>1654</v>
      </c>
      <c r="F59" s="210" t="s">
        <v>754</v>
      </c>
      <c r="G59" s="211" t="s">
        <v>755</v>
      </c>
      <c r="H59" s="212" t="s">
        <v>595</v>
      </c>
      <c r="I59" s="200" t="s">
        <v>10</v>
      </c>
      <c r="J59" s="201" t="s">
        <v>604</v>
      </c>
    </row>
    <row r="60" spans="2:10" ht="57.6" x14ac:dyDescent="0.3">
      <c r="B60" s="203">
        <v>432</v>
      </c>
      <c r="C60" s="204" t="s">
        <v>1557</v>
      </c>
      <c r="D60" s="205" t="s">
        <v>1380</v>
      </c>
      <c r="E60" s="205" t="s">
        <v>1654</v>
      </c>
      <c r="F60" s="205" t="s">
        <v>1389</v>
      </c>
      <c r="G60" s="206" t="s">
        <v>1390</v>
      </c>
      <c r="H60" s="207" t="s">
        <v>595</v>
      </c>
      <c r="I60" s="125" t="s">
        <v>10</v>
      </c>
      <c r="J60" s="126" t="s">
        <v>604</v>
      </c>
    </row>
    <row r="61" spans="2:10" ht="72" x14ac:dyDescent="0.3">
      <c r="B61" s="203">
        <v>425</v>
      </c>
      <c r="C61" s="204" t="s">
        <v>1557</v>
      </c>
      <c r="D61" s="205" t="s">
        <v>1380</v>
      </c>
      <c r="E61" s="205" t="s">
        <v>1654</v>
      </c>
      <c r="F61" s="205" t="s">
        <v>1385</v>
      </c>
      <c r="G61" s="206" t="s">
        <v>1386</v>
      </c>
      <c r="H61" s="207" t="s">
        <v>595</v>
      </c>
      <c r="I61" s="125" t="s">
        <v>10</v>
      </c>
      <c r="J61" s="126" t="s">
        <v>604</v>
      </c>
    </row>
    <row r="62" spans="2:10" ht="57.6" x14ac:dyDescent="0.3">
      <c r="B62" s="203">
        <v>816</v>
      </c>
      <c r="C62" s="204" t="s">
        <v>630</v>
      </c>
      <c r="D62" s="205" t="s">
        <v>630</v>
      </c>
      <c r="E62" s="205" t="s">
        <v>1654</v>
      </c>
      <c r="F62" s="205" t="s">
        <v>725</v>
      </c>
      <c r="G62" s="206" t="s">
        <v>726</v>
      </c>
      <c r="H62" s="207" t="s">
        <v>595</v>
      </c>
      <c r="I62" s="125" t="s">
        <v>10</v>
      </c>
      <c r="J62" s="126" t="s">
        <v>600</v>
      </c>
    </row>
    <row r="63" spans="2:10" ht="28.8" x14ac:dyDescent="0.3">
      <c r="B63" s="203">
        <v>430</v>
      </c>
      <c r="C63" s="204" t="s">
        <v>1557</v>
      </c>
      <c r="D63" s="205" t="s">
        <v>1380</v>
      </c>
      <c r="E63" s="205" t="s">
        <v>1654</v>
      </c>
      <c r="F63" s="205" t="s">
        <v>1387</v>
      </c>
      <c r="G63" s="206" t="s">
        <v>1388</v>
      </c>
      <c r="H63" s="207" t="s">
        <v>595</v>
      </c>
      <c r="I63" s="125" t="s">
        <v>10</v>
      </c>
      <c r="J63" s="126" t="s">
        <v>604</v>
      </c>
    </row>
    <row r="64" spans="2:10" ht="72" x14ac:dyDescent="0.3">
      <c r="B64" s="203">
        <v>405</v>
      </c>
      <c r="C64" s="204" t="s">
        <v>1557</v>
      </c>
      <c r="D64" s="205" t="s">
        <v>1380</v>
      </c>
      <c r="E64" s="205" t="s">
        <v>1654</v>
      </c>
      <c r="F64" s="205" t="s">
        <v>1611</v>
      </c>
      <c r="G64" s="206" t="s">
        <v>1612</v>
      </c>
      <c r="H64" s="207" t="s">
        <v>595</v>
      </c>
      <c r="I64" s="125" t="s">
        <v>622</v>
      </c>
      <c r="J64" s="126" t="s">
        <v>615</v>
      </c>
    </row>
    <row r="65" spans="2:10" ht="57.6" x14ac:dyDescent="0.3">
      <c r="B65" s="203">
        <v>462</v>
      </c>
      <c r="C65" s="204" t="s">
        <v>1526</v>
      </c>
      <c r="D65" s="205" t="s">
        <v>1526</v>
      </c>
      <c r="E65" s="205" t="s">
        <v>1654</v>
      </c>
      <c r="F65" s="205" t="s">
        <v>1420</v>
      </c>
      <c r="G65" s="206" t="s">
        <v>1615</v>
      </c>
      <c r="H65" s="207" t="s">
        <v>595</v>
      </c>
      <c r="I65" s="125" t="s">
        <v>10</v>
      </c>
      <c r="J65" s="126" t="s">
        <v>604</v>
      </c>
    </row>
    <row r="66" spans="2:10" ht="28.8" x14ac:dyDescent="0.3">
      <c r="B66" s="203">
        <v>210</v>
      </c>
      <c r="C66" s="204" t="s">
        <v>669</v>
      </c>
      <c r="D66" s="205" t="s">
        <v>673</v>
      </c>
      <c r="E66" s="205" t="s">
        <v>1654</v>
      </c>
      <c r="F66" s="205" t="s">
        <v>674</v>
      </c>
      <c r="G66" s="206" t="s">
        <v>675</v>
      </c>
      <c r="H66" s="207" t="s">
        <v>595</v>
      </c>
      <c r="I66" s="125" t="s">
        <v>622</v>
      </c>
      <c r="J66" s="126" t="s">
        <v>615</v>
      </c>
    </row>
    <row r="67" spans="2:10" ht="57.6" x14ac:dyDescent="0.3">
      <c r="B67" s="203">
        <v>873</v>
      </c>
      <c r="C67" s="204" t="s">
        <v>630</v>
      </c>
      <c r="D67" s="205" t="s">
        <v>630</v>
      </c>
      <c r="E67" s="205" t="s">
        <v>1654</v>
      </c>
      <c r="F67" s="205" t="s">
        <v>733</v>
      </c>
      <c r="G67" s="206" t="s">
        <v>734</v>
      </c>
      <c r="H67" s="207" t="s">
        <v>595</v>
      </c>
      <c r="I67" s="125" t="s">
        <v>596</v>
      </c>
      <c r="J67" s="126" t="s">
        <v>600</v>
      </c>
    </row>
    <row r="68" spans="2:10" ht="72" x14ac:dyDescent="0.3">
      <c r="B68" s="203">
        <v>668</v>
      </c>
      <c r="C68" s="204" t="s">
        <v>1558</v>
      </c>
      <c r="D68" s="205" t="s">
        <v>650</v>
      </c>
      <c r="E68" s="205" t="s">
        <v>1654</v>
      </c>
      <c r="F68" s="205" t="s">
        <v>722</v>
      </c>
      <c r="G68" s="206" t="s">
        <v>1619</v>
      </c>
      <c r="H68" s="207" t="s">
        <v>595</v>
      </c>
      <c r="I68" s="125" t="s">
        <v>653</v>
      </c>
      <c r="J68" s="126" t="s">
        <v>654</v>
      </c>
    </row>
    <row r="69" spans="2:10" ht="43.2" x14ac:dyDescent="0.3">
      <c r="B69" s="203">
        <v>114</v>
      </c>
      <c r="C69" s="204" t="s">
        <v>1558</v>
      </c>
      <c r="D69" s="205" t="s">
        <v>1558</v>
      </c>
      <c r="E69" s="205" t="s">
        <v>1654</v>
      </c>
      <c r="F69" s="205" t="s">
        <v>659</v>
      </c>
      <c r="G69" s="206" t="s">
        <v>660</v>
      </c>
      <c r="H69" s="207" t="s">
        <v>595</v>
      </c>
      <c r="I69" s="125" t="s">
        <v>10</v>
      </c>
      <c r="J69" s="126" t="s">
        <v>604</v>
      </c>
    </row>
    <row r="70" spans="2:10" ht="28.8" x14ac:dyDescent="0.3">
      <c r="B70" s="203">
        <v>211</v>
      </c>
      <c r="C70" s="204" t="s">
        <v>669</v>
      </c>
      <c r="D70" s="205" t="s">
        <v>673</v>
      </c>
      <c r="E70" s="205" t="s">
        <v>1654</v>
      </c>
      <c r="F70" s="205" t="s">
        <v>676</v>
      </c>
      <c r="G70" s="206" t="s">
        <v>675</v>
      </c>
      <c r="H70" s="207" t="s">
        <v>595</v>
      </c>
      <c r="I70" s="125" t="s">
        <v>622</v>
      </c>
      <c r="J70" s="126" t="s">
        <v>615</v>
      </c>
    </row>
    <row r="71" spans="2:10" ht="86.4" x14ac:dyDescent="0.3">
      <c r="B71" s="203">
        <v>1071</v>
      </c>
      <c r="C71" s="204" t="s">
        <v>1393</v>
      </c>
      <c r="D71" s="205" t="s">
        <v>1394</v>
      </c>
      <c r="E71" s="205" t="s">
        <v>1654</v>
      </c>
      <c r="F71" s="205" t="s">
        <v>1622</v>
      </c>
      <c r="G71" s="206" t="s">
        <v>1623</v>
      </c>
      <c r="H71" s="207" t="s">
        <v>595</v>
      </c>
      <c r="I71" s="125" t="s">
        <v>596</v>
      </c>
      <c r="J71" s="126" t="s">
        <v>600</v>
      </c>
    </row>
    <row r="72" spans="2:10" ht="28.8" x14ac:dyDescent="0.3">
      <c r="B72" s="203">
        <v>213</v>
      </c>
      <c r="C72" s="204" t="s">
        <v>669</v>
      </c>
      <c r="D72" s="205" t="s">
        <v>673</v>
      </c>
      <c r="E72" s="205" t="s">
        <v>1654</v>
      </c>
      <c r="F72" s="205" t="s">
        <v>678</v>
      </c>
      <c r="G72" s="206" t="s">
        <v>675</v>
      </c>
      <c r="H72" s="207" t="s">
        <v>595</v>
      </c>
      <c r="I72" s="125" t="s">
        <v>622</v>
      </c>
      <c r="J72" s="126" t="s">
        <v>615</v>
      </c>
    </row>
    <row r="73" spans="2:10" ht="28.8" x14ac:dyDescent="0.3">
      <c r="B73" s="203">
        <v>214</v>
      </c>
      <c r="C73" s="204" t="s">
        <v>669</v>
      </c>
      <c r="D73" s="205" t="s">
        <v>673</v>
      </c>
      <c r="E73" s="205" t="s">
        <v>1654</v>
      </c>
      <c r="F73" s="205" t="s">
        <v>679</v>
      </c>
      <c r="G73" s="206" t="s">
        <v>675</v>
      </c>
      <c r="H73" s="207" t="s">
        <v>595</v>
      </c>
      <c r="I73" s="125" t="s">
        <v>622</v>
      </c>
      <c r="J73" s="126" t="s">
        <v>615</v>
      </c>
    </row>
    <row r="74" spans="2:10" ht="115.2" x14ac:dyDescent="0.3">
      <c r="B74" s="203">
        <v>241</v>
      </c>
      <c r="C74" s="204" t="s">
        <v>669</v>
      </c>
      <c r="D74" s="205" t="s">
        <v>673</v>
      </c>
      <c r="E74" s="205" t="s">
        <v>1654</v>
      </c>
      <c r="F74" s="205" t="s">
        <v>700</v>
      </c>
      <c r="G74" s="206" t="s">
        <v>1604</v>
      </c>
      <c r="H74" s="207" t="s">
        <v>595</v>
      </c>
      <c r="I74" s="125" t="s">
        <v>701</v>
      </c>
      <c r="J74" s="126" t="s">
        <v>600</v>
      </c>
    </row>
    <row r="75" spans="2:10" ht="43.2" x14ac:dyDescent="0.3">
      <c r="B75" s="203">
        <v>392</v>
      </c>
      <c r="C75" s="204" t="s">
        <v>661</v>
      </c>
      <c r="D75" s="205" t="s">
        <v>661</v>
      </c>
      <c r="E75" s="205" t="s">
        <v>1654</v>
      </c>
      <c r="F75" s="205" t="s">
        <v>707</v>
      </c>
      <c r="G75" s="206" t="s">
        <v>1610</v>
      </c>
      <c r="H75" s="207" t="s">
        <v>595</v>
      </c>
      <c r="I75" s="125" t="s">
        <v>33</v>
      </c>
      <c r="J75" s="126" t="s">
        <v>600</v>
      </c>
    </row>
    <row r="76" spans="2:10" ht="28.8" x14ac:dyDescent="0.3">
      <c r="B76" s="203">
        <v>212</v>
      </c>
      <c r="C76" s="204" t="s">
        <v>669</v>
      </c>
      <c r="D76" s="205" t="s">
        <v>673</v>
      </c>
      <c r="E76" s="205" t="s">
        <v>1654</v>
      </c>
      <c r="F76" s="205" t="s">
        <v>677</v>
      </c>
      <c r="G76" s="206" t="s">
        <v>675</v>
      </c>
      <c r="H76" s="207" t="s">
        <v>595</v>
      </c>
      <c r="I76" s="125" t="s">
        <v>622</v>
      </c>
      <c r="J76" s="126" t="s">
        <v>615</v>
      </c>
    </row>
    <row r="77" spans="2:10" ht="72" x14ac:dyDescent="0.3">
      <c r="B77" s="203">
        <v>592</v>
      </c>
      <c r="C77" s="204" t="s">
        <v>592</v>
      </c>
      <c r="D77" s="205" t="s">
        <v>593</v>
      </c>
      <c r="E77" s="205" t="s">
        <v>1518</v>
      </c>
      <c r="F77" s="205" t="s">
        <v>618</v>
      </c>
      <c r="G77" s="206" t="s">
        <v>619</v>
      </c>
      <c r="H77" s="207" t="s">
        <v>595</v>
      </c>
      <c r="I77" s="125" t="s">
        <v>10</v>
      </c>
      <c r="J77" s="126" t="s">
        <v>604</v>
      </c>
    </row>
    <row r="78" spans="2:10" ht="115.2" x14ac:dyDescent="0.3">
      <c r="B78" s="203">
        <v>617</v>
      </c>
      <c r="C78" s="204" t="s">
        <v>592</v>
      </c>
      <c r="D78" s="205" t="s">
        <v>597</v>
      </c>
      <c r="E78" s="205" t="s">
        <v>1518</v>
      </c>
      <c r="F78" s="205" t="s">
        <v>580</v>
      </c>
      <c r="G78" s="206" t="s">
        <v>626</v>
      </c>
      <c r="H78" s="207" t="s">
        <v>595</v>
      </c>
      <c r="I78" s="125" t="s">
        <v>10</v>
      </c>
      <c r="J78" s="126" t="s">
        <v>604</v>
      </c>
    </row>
    <row r="79" spans="2:10" ht="201.6" x14ac:dyDescent="0.3">
      <c r="B79" s="203">
        <v>324</v>
      </c>
      <c r="C79" s="204" t="s">
        <v>592</v>
      </c>
      <c r="D79" s="205" t="s">
        <v>597</v>
      </c>
      <c r="E79" s="205" t="s">
        <v>1518</v>
      </c>
      <c r="F79" s="205" t="s">
        <v>612</v>
      </c>
      <c r="G79" s="206" t="s">
        <v>613</v>
      </c>
      <c r="H79" s="207" t="s">
        <v>595</v>
      </c>
      <c r="I79" s="125" t="s">
        <v>614</v>
      </c>
      <c r="J79" s="126" t="s">
        <v>615</v>
      </c>
    </row>
    <row r="80" spans="2:10" ht="86.4" x14ac:dyDescent="0.3">
      <c r="B80" s="203">
        <v>319</v>
      </c>
      <c r="C80" s="204" t="s">
        <v>592</v>
      </c>
      <c r="D80" s="205" t="s">
        <v>597</v>
      </c>
      <c r="E80" s="205" t="s">
        <v>1518</v>
      </c>
      <c r="F80" s="205" t="s">
        <v>609</v>
      </c>
      <c r="G80" s="206" t="s">
        <v>610</v>
      </c>
      <c r="H80" s="207" t="s">
        <v>611</v>
      </c>
      <c r="I80" s="125" t="s">
        <v>596</v>
      </c>
      <c r="J80" s="126" t="s">
        <v>600</v>
      </c>
    </row>
    <row r="81" spans="2:10" ht="57.6" x14ac:dyDescent="0.3">
      <c r="B81" s="208">
        <v>310</v>
      </c>
      <c r="C81" s="209" t="s">
        <v>592</v>
      </c>
      <c r="D81" s="210" t="s">
        <v>593</v>
      </c>
      <c r="E81" s="210" t="s">
        <v>1518</v>
      </c>
      <c r="F81" s="210" t="s">
        <v>608</v>
      </c>
      <c r="G81" s="211" t="s">
        <v>1595</v>
      </c>
      <c r="H81" s="212" t="s">
        <v>595</v>
      </c>
      <c r="I81" s="200" t="s">
        <v>596</v>
      </c>
      <c r="J81" s="201" t="s">
        <v>600</v>
      </c>
    </row>
    <row r="82" spans="2:10" ht="72" x14ac:dyDescent="0.3">
      <c r="B82" s="203">
        <v>307</v>
      </c>
      <c r="C82" s="204" t="s">
        <v>592</v>
      </c>
      <c r="D82" s="205" t="s">
        <v>597</v>
      </c>
      <c r="E82" s="205" t="s">
        <v>1518</v>
      </c>
      <c r="F82" s="205" t="s">
        <v>605</v>
      </c>
      <c r="G82" s="206" t="s">
        <v>606</v>
      </c>
      <c r="H82" s="207" t="s">
        <v>595</v>
      </c>
      <c r="I82" s="125" t="s">
        <v>607</v>
      </c>
      <c r="J82" s="126" t="s">
        <v>600</v>
      </c>
    </row>
    <row r="83" spans="2:10" ht="100.8" x14ac:dyDescent="0.3">
      <c r="B83" s="203">
        <v>321</v>
      </c>
      <c r="C83" s="204" t="s">
        <v>592</v>
      </c>
      <c r="D83" s="205" t="s">
        <v>597</v>
      </c>
      <c r="E83" s="205" t="s">
        <v>1518</v>
      </c>
      <c r="F83" s="205" t="s">
        <v>1607</v>
      </c>
      <c r="G83" s="206" t="s">
        <v>1608</v>
      </c>
      <c r="H83" s="207" t="s">
        <v>595</v>
      </c>
      <c r="I83" s="125" t="s">
        <v>596</v>
      </c>
      <c r="J83" s="126" t="s">
        <v>600</v>
      </c>
    </row>
    <row r="84" spans="2:10" ht="100.8" x14ac:dyDescent="0.3">
      <c r="B84" s="203">
        <v>201</v>
      </c>
      <c r="C84" s="204" t="s">
        <v>592</v>
      </c>
      <c r="D84" s="205" t="s">
        <v>593</v>
      </c>
      <c r="E84" s="205" t="s">
        <v>1518</v>
      </c>
      <c r="F84" s="205" t="s">
        <v>594</v>
      </c>
      <c r="G84" s="206" t="s">
        <v>1603</v>
      </c>
      <c r="H84" s="207" t="s">
        <v>595</v>
      </c>
      <c r="I84" s="125" t="s">
        <v>596</v>
      </c>
      <c r="J84" s="126" t="s">
        <v>600</v>
      </c>
    </row>
    <row r="85" spans="2:10" ht="86.4" x14ac:dyDescent="0.3">
      <c r="B85" s="203">
        <v>301</v>
      </c>
      <c r="C85" s="204" t="s">
        <v>592</v>
      </c>
      <c r="D85" s="205" t="s">
        <v>597</v>
      </c>
      <c r="E85" s="205" t="s">
        <v>1518</v>
      </c>
      <c r="F85" s="205" t="s">
        <v>598</v>
      </c>
      <c r="G85" s="206" t="s">
        <v>599</v>
      </c>
      <c r="H85" s="207" t="s">
        <v>10</v>
      </c>
      <c r="I85" s="125" t="s">
        <v>596</v>
      </c>
      <c r="J85" s="126" t="s">
        <v>600</v>
      </c>
    </row>
    <row r="86" spans="2:10" ht="43.2" x14ac:dyDescent="0.3">
      <c r="B86" s="208">
        <v>1109</v>
      </c>
      <c r="C86" s="209" t="s">
        <v>592</v>
      </c>
      <c r="D86" s="210" t="s">
        <v>597</v>
      </c>
      <c r="E86" s="210" t="s">
        <v>1518</v>
      </c>
      <c r="F86" s="210" t="s">
        <v>1626</v>
      </c>
      <c r="G86" s="211" t="s">
        <v>627</v>
      </c>
      <c r="H86" s="212" t="s">
        <v>621</v>
      </c>
      <c r="I86" s="200" t="s">
        <v>622</v>
      </c>
      <c r="J86" s="201" t="s">
        <v>600</v>
      </c>
    </row>
    <row r="87" spans="2:10" ht="172.8" x14ac:dyDescent="0.3">
      <c r="B87" s="203">
        <v>473</v>
      </c>
      <c r="C87" s="204" t="s">
        <v>592</v>
      </c>
      <c r="D87" s="205" t="s">
        <v>597</v>
      </c>
      <c r="E87" s="205" t="s">
        <v>1518</v>
      </c>
      <c r="F87" s="205" t="s">
        <v>616</v>
      </c>
      <c r="G87" s="206" t="s">
        <v>617</v>
      </c>
      <c r="H87" s="207" t="s">
        <v>595</v>
      </c>
      <c r="I87" s="125" t="s">
        <v>10</v>
      </c>
      <c r="J87" s="126" t="s">
        <v>604</v>
      </c>
    </row>
    <row r="88" spans="2:10" ht="144" x14ac:dyDescent="0.3">
      <c r="B88" s="203">
        <v>302</v>
      </c>
      <c r="C88" s="204" t="s">
        <v>592</v>
      </c>
      <c r="D88" s="205" t="s">
        <v>597</v>
      </c>
      <c r="E88" s="205" t="s">
        <v>1518</v>
      </c>
      <c r="F88" s="205" t="s">
        <v>601</v>
      </c>
      <c r="G88" s="206" t="s">
        <v>602</v>
      </c>
      <c r="H88" s="207" t="s">
        <v>595</v>
      </c>
      <c r="I88" s="125" t="s">
        <v>603</v>
      </c>
      <c r="J88" s="126" t="s">
        <v>604</v>
      </c>
    </row>
    <row r="89" spans="2:10" ht="43.2" x14ac:dyDescent="0.3">
      <c r="B89" s="208">
        <v>1110</v>
      </c>
      <c r="C89" s="209" t="s">
        <v>592</v>
      </c>
      <c r="D89" s="210" t="s">
        <v>597</v>
      </c>
      <c r="E89" s="210" t="s">
        <v>1518</v>
      </c>
      <c r="F89" s="210" t="s">
        <v>628</v>
      </c>
      <c r="G89" s="211" t="s">
        <v>629</v>
      </c>
      <c r="H89" s="212" t="s">
        <v>621</v>
      </c>
      <c r="I89" s="200" t="s">
        <v>622</v>
      </c>
      <c r="J89" s="201" t="s">
        <v>600</v>
      </c>
    </row>
    <row r="90" spans="2:10" ht="86.4" x14ac:dyDescent="0.3">
      <c r="B90" s="203">
        <v>602</v>
      </c>
      <c r="C90" s="204" t="s">
        <v>712</v>
      </c>
      <c r="D90" s="205" t="s">
        <v>712</v>
      </c>
      <c r="E90" s="205" t="s">
        <v>1518</v>
      </c>
      <c r="F90" s="205" t="s">
        <v>713</v>
      </c>
      <c r="G90" s="206" t="s">
        <v>714</v>
      </c>
      <c r="H90" s="207" t="s">
        <v>595</v>
      </c>
      <c r="I90" s="125" t="s">
        <v>653</v>
      </c>
      <c r="J90" s="126" t="s">
        <v>615</v>
      </c>
    </row>
    <row r="91" spans="2:10" ht="100.8" x14ac:dyDescent="0.3">
      <c r="B91" s="203">
        <v>1002</v>
      </c>
      <c r="C91" s="204" t="s">
        <v>794</v>
      </c>
      <c r="D91" s="205" t="s">
        <v>897</v>
      </c>
      <c r="E91" s="205" t="s">
        <v>1519</v>
      </c>
      <c r="F91" s="205" t="s">
        <v>1125</v>
      </c>
      <c r="G91" s="206" t="s">
        <v>1126</v>
      </c>
      <c r="H91" s="207" t="s">
        <v>621</v>
      </c>
      <c r="I91" s="125" t="s">
        <v>622</v>
      </c>
      <c r="J91" s="126" t="s">
        <v>615</v>
      </c>
    </row>
    <row r="92" spans="2:10" ht="158.4" x14ac:dyDescent="0.3">
      <c r="B92" s="203">
        <v>964</v>
      </c>
      <c r="C92" s="204" t="s">
        <v>794</v>
      </c>
      <c r="D92" s="205" t="s">
        <v>894</v>
      </c>
      <c r="E92" s="205" t="s">
        <v>1519</v>
      </c>
      <c r="F92" s="205" t="s">
        <v>1062</v>
      </c>
      <c r="G92" s="206" t="s">
        <v>1063</v>
      </c>
      <c r="H92" s="207" t="s">
        <v>1064</v>
      </c>
      <c r="I92" s="125" t="s">
        <v>622</v>
      </c>
      <c r="J92" s="126" t="s">
        <v>615</v>
      </c>
    </row>
    <row r="93" spans="2:10" ht="72" x14ac:dyDescent="0.3">
      <c r="B93" s="203">
        <v>963</v>
      </c>
      <c r="C93" s="204" t="s">
        <v>794</v>
      </c>
      <c r="D93" s="205" t="s">
        <v>894</v>
      </c>
      <c r="E93" s="205" t="s">
        <v>1519</v>
      </c>
      <c r="F93" s="205" t="s">
        <v>1060</v>
      </c>
      <c r="G93" s="206" t="s">
        <v>1061</v>
      </c>
      <c r="H93" s="207" t="s">
        <v>1056</v>
      </c>
      <c r="I93" s="125" t="s">
        <v>596</v>
      </c>
      <c r="J93" s="126" t="s">
        <v>615</v>
      </c>
    </row>
    <row r="94" spans="2:10" ht="158.4" x14ac:dyDescent="0.3">
      <c r="B94" s="203">
        <v>962</v>
      </c>
      <c r="C94" s="204" t="s">
        <v>794</v>
      </c>
      <c r="D94" s="205" t="s">
        <v>894</v>
      </c>
      <c r="E94" s="205" t="s">
        <v>1519</v>
      </c>
      <c r="F94" s="205" t="s">
        <v>1057</v>
      </c>
      <c r="G94" s="206" t="s">
        <v>1058</v>
      </c>
      <c r="H94" s="207" t="s">
        <v>1059</v>
      </c>
      <c r="I94" s="125" t="s">
        <v>596</v>
      </c>
      <c r="J94" s="126" t="s">
        <v>615</v>
      </c>
    </row>
    <row r="95" spans="2:10" ht="144" x14ac:dyDescent="0.3">
      <c r="B95" s="203">
        <v>959</v>
      </c>
      <c r="C95" s="204" t="s">
        <v>794</v>
      </c>
      <c r="D95" s="205" t="s">
        <v>894</v>
      </c>
      <c r="E95" s="205" t="s">
        <v>1519</v>
      </c>
      <c r="F95" s="205" t="s">
        <v>1050</v>
      </c>
      <c r="G95" s="206" t="s">
        <v>1051</v>
      </c>
      <c r="H95" s="207" t="s">
        <v>980</v>
      </c>
      <c r="I95" s="125" t="s">
        <v>596</v>
      </c>
      <c r="J95" s="126" t="s">
        <v>600</v>
      </c>
    </row>
    <row r="96" spans="2:10" ht="144" x14ac:dyDescent="0.3">
      <c r="B96" s="203">
        <v>958</v>
      </c>
      <c r="C96" s="204" t="s">
        <v>794</v>
      </c>
      <c r="D96" s="205" t="s">
        <v>894</v>
      </c>
      <c r="E96" s="205" t="s">
        <v>1519</v>
      </c>
      <c r="F96" s="205" t="s">
        <v>1049</v>
      </c>
      <c r="G96" s="206" t="s">
        <v>1048</v>
      </c>
      <c r="H96" s="207" t="s">
        <v>980</v>
      </c>
      <c r="I96" s="125" t="s">
        <v>596</v>
      </c>
      <c r="J96" s="126" t="s">
        <v>600</v>
      </c>
    </row>
    <row r="97" spans="2:10" ht="100.8" x14ac:dyDescent="0.3">
      <c r="B97" s="203">
        <v>1060</v>
      </c>
      <c r="C97" s="204" t="s">
        <v>794</v>
      </c>
      <c r="D97" s="205" t="s">
        <v>795</v>
      </c>
      <c r="E97" s="205" t="s">
        <v>1519</v>
      </c>
      <c r="F97" s="205" t="s">
        <v>1237</v>
      </c>
      <c r="G97" s="206" t="s">
        <v>1238</v>
      </c>
      <c r="H97" s="207" t="s">
        <v>1239</v>
      </c>
      <c r="I97" s="125" t="s">
        <v>10</v>
      </c>
      <c r="J97" s="126" t="s">
        <v>604</v>
      </c>
    </row>
    <row r="98" spans="2:10" ht="172.8" x14ac:dyDescent="0.3">
      <c r="B98" s="203">
        <v>1049</v>
      </c>
      <c r="C98" s="204" t="s">
        <v>794</v>
      </c>
      <c r="D98" s="205" t="s">
        <v>873</v>
      </c>
      <c r="E98" s="205" t="s">
        <v>1519</v>
      </c>
      <c r="F98" s="205" t="s">
        <v>1221</v>
      </c>
      <c r="G98" s="206" t="s">
        <v>1222</v>
      </c>
      <c r="H98" s="207" t="s">
        <v>621</v>
      </c>
      <c r="I98" s="125" t="s">
        <v>622</v>
      </c>
      <c r="J98" s="126" t="s">
        <v>615</v>
      </c>
    </row>
    <row r="99" spans="2:10" ht="86.4" x14ac:dyDescent="0.3">
      <c r="B99" s="203">
        <v>1023</v>
      </c>
      <c r="C99" s="204" t="s">
        <v>794</v>
      </c>
      <c r="D99" s="205" t="s">
        <v>1169</v>
      </c>
      <c r="E99" s="205" t="s">
        <v>1519</v>
      </c>
      <c r="F99" s="205" t="s">
        <v>1170</v>
      </c>
      <c r="G99" s="206" t="s">
        <v>1171</v>
      </c>
      <c r="H99" s="207" t="s">
        <v>621</v>
      </c>
      <c r="I99" s="125" t="s">
        <v>622</v>
      </c>
      <c r="J99" s="126" t="s">
        <v>600</v>
      </c>
    </row>
    <row r="100" spans="2:10" ht="72" x14ac:dyDescent="0.3">
      <c r="B100" s="203">
        <v>1022</v>
      </c>
      <c r="C100" s="204" t="s">
        <v>794</v>
      </c>
      <c r="D100" s="205" t="s">
        <v>1161</v>
      </c>
      <c r="E100" s="205" t="s">
        <v>1519</v>
      </c>
      <c r="F100" s="205" t="s">
        <v>1165</v>
      </c>
      <c r="G100" s="206" t="s">
        <v>1166</v>
      </c>
      <c r="H100" s="207" t="s">
        <v>1167</v>
      </c>
      <c r="I100" s="125" t="s">
        <v>1168</v>
      </c>
      <c r="J100" s="126" t="s">
        <v>600</v>
      </c>
    </row>
    <row r="101" spans="2:10" ht="144" x14ac:dyDescent="0.3">
      <c r="B101" s="203">
        <v>1028</v>
      </c>
      <c r="C101" s="204" t="s">
        <v>794</v>
      </c>
      <c r="D101" s="205" t="s">
        <v>920</v>
      </c>
      <c r="E101" s="205" t="s">
        <v>1519</v>
      </c>
      <c r="F101" s="205" t="s">
        <v>1180</v>
      </c>
      <c r="G101" s="206" t="s">
        <v>1181</v>
      </c>
      <c r="H101" s="207" t="s">
        <v>1067</v>
      </c>
      <c r="I101" s="125" t="s">
        <v>622</v>
      </c>
      <c r="J101" s="126" t="s">
        <v>615</v>
      </c>
    </row>
    <row r="102" spans="2:10" ht="43.2" x14ac:dyDescent="0.3">
      <c r="B102" s="203">
        <v>1021</v>
      </c>
      <c r="C102" s="204" t="s">
        <v>794</v>
      </c>
      <c r="D102" s="205" t="s">
        <v>1161</v>
      </c>
      <c r="E102" s="205" t="s">
        <v>1519</v>
      </c>
      <c r="F102" s="205" t="s">
        <v>1162</v>
      </c>
      <c r="G102" s="206" t="s">
        <v>1163</v>
      </c>
      <c r="H102" s="207" t="s">
        <v>1164</v>
      </c>
      <c r="I102" s="125" t="s">
        <v>622</v>
      </c>
      <c r="J102" s="126" t="s">
        <v>600</v>
      </c>
    </row>
    <row r="103" spans="2:10" ht="43.2" x14ac:dyDescent="0.3">
      <c r="B103" s="203">
        <v>1032</v>
      </c>
      <c r="C103" s="204" t="s">
        <v>794</v>
      </c>
      <c r="D103" s="205" t="s">
        <v>873</v>
      </c>
      <c r="E103" s="205" t="s">
        <v>1519</v>
      </c>
      <c r="F103" s="205" t="s">
        <v>1188</v>
      </c>
      <c r="G103" s="206" t="s">
        <v>1189</v>
      </c>
      <c r="H103" s="207" t="s">
        <v>980</v>
      </c>
      <c r="I103" s="125" t="s">
        <v>622</v>
      </c>
      <c r="J103" s="126" t="s">
        <v>600</v>
      </c>
    </row>
    <row r="104" spans="2:10" ht="144" x14ac:dyDescent="0.3">
      <c r="B104" s="203">
        <v>960</v>
      </c>
      <c r="C104" s="204" t="s">
        <v>794</v>
      </c>
      <c r="D104" s="205" t="s">
        <v>894</v>
      </c>
      <c r="E104" s="205" t="s">
        <v>1519</v>
      </c>
      <c r="F104" s="205" t="s">
        <v>1052</v>
      </c>
      <c r="G104" s="206" t="s">
        <v>1053</v>
      </c>
      <c r="H104" s="207" t="s">
        <v>980</v>
      </c>
      <c r="I104" s="125" t="s">
        <v>596</v>
      </c>
      <c r="J104" s="126" t="s">
        <v>600</v>
      </c>
    </row>
    <row r="105" spans="2:10" ht="86.4" x14ac:dyDescent="0.3">
      <c r="B105" s="203">
        <v>961</v>
      </c>
      <c r="C105" s="204" t="s">
        <v>794</v>
      </c>
      <c r="D105" s="205" t="s">
        <v>894</v>
      </c>
      <c r="E105" s="205" t="s">
        <v>1519</v>
      </c>
      <c r="F105" s="205" t="s">
        <v>1054</v>
      </c>
      <c r="G105" s="206" t="s">
        <v>1055</v>
      </c>
      <c r="H105" s="207" t="s">
        <v>1056</v>
      </c>
      <c r="I105" s="125" t="s">
        <v>596</v>
      </c>
      <c r="J105" s="126" t="s">
        <v>615</v>
      </c>
    </row>
    <row r="106" spans="2:10" ht="172.8" x14ac:dyDescent="0.3">
      <c r="B106" s="203">
        <v>1008</v>
      </c>
      <c r="C106" s="204" t="s">
        <v>794</v>
      </c>
      <c r="D106" s="205" t="s">
        <v>894</v>
      </c>
      <c r="E106" s="205" t="s">
        <v>1519</v>
      </c>
      <c r="F106" s="205" t="s">
        <v>1135</v>
      </c>
      <c r="G106" s="206" t="s">
        <v>1136</v>
      </c>
      <c r="H106" s="207" t="s">
        <v>980</v>
      </c>
      <c r="I106" s="125" t="s">
        <v>622</v>
      </c>
      <c r="J106" s="126" t="s">
        <v>600</v>
      </c>
    </row>
    <row r="107" spans="2:10" ht="72" x14ac:dyDescent="0.3">
      <c r="B107" s="203">
        <v>1014</v>
      </c>
      <c r="C107" s="204" t="s">
        <v>794</v>
      </c>
      <c r="D107" s="205" t="s">
        <v>894</v>
      </c>
      <c r="E107" s="205" t="s">
        <v>1519</v>
      </c>
      <c r="F107" s="205" t="s">
        <v>1147</v>
      </c>
      <c r="G107" s="206" t="s">
        <v>1148</v>
      </c>
      <c r="H107" s="207" t="s">
        <v>1149</v>
      </c>
      <c r="I107" s="125" t="s">
        <v>596</v>
      </c>
      <c r="J107" s="126" t="s">
        <v>600</v>
      </c>
    </row>
    <row r="108" spans="2:10" ht="288" x14ac:dyDescent="0.3">
      <c r="B108" s="203">
        <v>1015</v>
      </c>
      <c r="C108" s="204" t="s">
        <v>794</v>
      </c>
      <c r="D108" s="205" t="s">
        <v>894</v>
      </c>
      <c r="E108" s="205" t="s">
        <v>1519</v>
      </c>
      <c r="F108" s="205" t="s">
        <v>1150</v>
      </c>
      <c r="G108" s="206" t="s">
        <v>1151</v>
      </c>
      <c r="H108" s="207" t="s">
        <v>1083</v>
      </c>
      <c r="I108" s="125" t="s">
        <v>622</v>
      </c>
      <c r="J108" s="126" t="s">
        <v>600</v>
      </c>
    </row>
    <row r="109" spans="2:10" ht="144" x14ac:dyDescent="0.3">
      <c r="B109" s="203">
        <v>1017</v>
      </c>
      <c r="C109" s="204" t="s">
        <v>794</v>
      </c>
      <c r="D109" s="205" t="s">
        <v>894</v>
      </c>
      <c r="E109" s="205" t="s">
        <v>1519</v>
      </c>
      <c r="F109" s="205" t="s">
        <v>1154</v>
      </c>
      <c r="G109" s="206" t="s">
        <v>1155</v>
      </c>
      <c r="H109" s="207" t="s">
        <v>1083</v>
      </c>
      <c r="I109" s="125" t="s">
        <v>596</v>
      </c>
      <c r="J109" s="126" t="s">
        <v>615</v>
      </c>
    </row>
    <row r="110" spans="2:10" ht="72" x14ac:dyDescent="0.3">
      <c r="B110" s="203">
        <v>1012</v>
      </c>
      <c r="C110" s="204" t="s">
        <v>794</v>
      </c>
      <c r="D110" s="205" t="s">
        <v>894</v>
      </c>
      <c r="E110" s="205" t="s">
        <v>1519</v>
      </c>
      <c r="F110" s="205" t="s">
        <v>1143</v>
      </c>
      <c r="G110" s="206" t="s">
        <v>1144</v>
      </c>
      <c r="H110" s="207" t="s">
        <v>1083</v>
      </c>
      <c r="I110" s="125" t="s">
        <v>596</v>
      </c>
      <c r="J110" s="126" t="s">
        <v>600</v>
      </c>
    </row>
    <row r="111" spans="2:10" ht="144" x14ac:dyDescent="0.3">
      <c r="B111" s="203">
        <v>1035</v>
      </c>
      <c r="C111" s="204" t="s">
        <v>794</v>
      </c>
      <c r="D111" s="205" t="s">
        <v>873</v>
      </c>
      <c r="E111" s="205" t="s">
        <v>1519</v>
      </c>
      <c r="F111" s="205" t="s">
        <v>1194</v>
      </c>
      <c r="G111" s="206" t="s">
        <v>1195</v>
      </c>
      <c r="H111" s="207" t="s">
        <v>980</v>
      </c>
      <c r="I111" s="125" t="s">
        <v>622</v>
      </c>
      <c r="J111" s="126" t="s">
        <v>1196</v>
      </c>
    </row>
    <row r="112" spans="2:10" ht="115.2" x14ac:dyDescent="0.3">
      <c r="B112" s="203">
        <v>1036</v>
      </c>
      <c r="C112" s="204" t="s">
        <v>794</v>
      </c>
      <c r="D112" s="205" t="s">
        <v>873</v>
      </c>
      <c r="E112" s="205" t="s">
        <v>1519</v>
      </c>
      <c r="F112" s="205" t="s">
        <v>1197</v>
      </c>
      <c r="G112" s="206" t="s">
        <v>1198</v>
      </c>
      <c r="H112" s="207" t="s">
        <v>1199</v>
      </c>
      <c r="I112" s="125" t="s">
        <v>607</v>
      </c>
      <c r="J112" s="126" t="s">
        <v>615</v>
      </c>
    </row>
    <row r="113" spans="2:10" ht="158.4" x14ac:dyDescent="0.3">
      <c r="B113" s="203">
        <v>1019</v>
      </c>
      <c r="C113" s="204" t="s">
        <v>794</v>
      </c>
      <c r="D113" s="205" t="s">
        <v>894</v>
      </c>
      <c r="E113" s="205" t="s">
        <v>1519</v>
      </c>
      <c r="F113" s="205" t="s">
        <v>1158</v>
      </c>
      <c r="G113" s="206" t="s">
        <v>1159</v>
      </c>
      <c r="H113" s="207" t="s">
        <v>1083</v>
      </c>
      <c r="I113" s="125" t="s">
        <v>622</v>
      </c>
      <c r="J113" s="126" t="s">
        <v>615</v>
      </c>
    </row>
    <row r="114" spans="2:10" ht="28.8" x14ac:dyDescent="0.3">
      <c r="B114" s="203">
        <v>1054</v>
      </c>
      <c r="C114" s="204" t="s">
        <v>794</v>
      </c>
      <c r="D114" s="205" t="s">
        <v>873</v>
      </c>
      <c r="E114" s="205" t="s">
        <v>1519</v>
      </c>
      <c r="F114" s="205" t="s">
        <v>1644</v>
      </c>
      <c r="G114" s="206" t="s">
        <v>1229</v>
      </c>
      <c r="H114" s="207" t="s">
        <v>595</v>
      </c>
      <c r="I114" s="125" t="s">
        <v>596</v>
      </c>
      <c r="J114" s="126" t="s">
        <v>615</v>
      </c>
    </row>
    <row r="115" spans="2:10" ht="158.4" x14ac:dyDescent="0.3">
      <c r="B115" s="203">
        <v>949</v>
      </c>
      <c r="C115" s="204" t="s">
        <v>794</v>
      </c>
      <c r="D115" s="205" t="s">
        <v>1030</v>
      </c>
      <c r="E115" s="205" t="s">
        <v>1519</v>
      </c>
      <c r="F115" s="205" t="s">
        <v>1031</v>
      </c>
      <c r="G115" s="206" t="s">
        <v>1032</v>
      </c>
      <c r="H115" s="207" t="s">
        <v>621</v>
      </c>
      <c r="I115" s="125" t="s">
        <v>622</v>
      </c>
      <c r="J115" s="126" t="s">
        <v>600</v>
      </c>
    </row>
    <row r="116" spans="2:10" ht="43.2" x14ac:dyDescent="0.3">
      <c r="B116" s="203">
        <v>955</v>
      </c>
      <c r="C116" s="204" t="s">
        <v>794</v>
      </c>
      <c r="D116" s="205" t="s">
        <v>894</v>
      </c>
      <c r="E116" s="205" t="s">
        <v>1519</v>
      </c>
      <c r="F116" s="205" t="s">
        <v>1043</v>
      </c>
      <c r="G116" s="206" t="s">
        <v>1044</v>
      </c>
      <c r="H116" s="207" t="s">
        <v>621</v>
      </c>
      <c r="I116" s="125" t="s">
        <v>41</v>
      </c>
      <c r="J116" s="126" t="s">
        <v>600</v>
      </c>
    </row>
    <row r="117" spans="2:10" ht="201.6" x14ac:dyDescent="0.3">
      <c r="B117" s="203">
        <v>1000</v>
      </c>
      <c r="C117" s="204" t="s">
        <v>794</v>
      </c>
      <c r="D117" s="205" t="s">
        <v>894</v>
      </c>
      <c r="E117" s="205" t="s">
        <v>1519</v>
      </c>
      <c r="F117" s="205" t="s">
        <v>1121</v>
      </c>
      <c r="G117" s="206" t="s">
        <v>1122</v>
      </c>
      <c r="H117" s="207" t="s">
        <v>621</v>
      </c>
      <c r="I117" s="125" t="s">
        <v>622</v>
      </c>
      <c r="J117" s="126" t="s">
        <v>600</v>
      </c>
    </row>
    <row r="118" spans="2:10" ht="129.6" x14ac:dyDescent="0.3">
      <c r="B118" s="203">
        <v>999</v>
      </c>
      <c r="C118" s="204" t="s">
        <v>794</v>
      </c>
      <c r="D118" s="205" t="s">
        <v>897</v>
      </c>
      <c r="E118" s="205" t="s">
        <v>1519</v>
      </c>
      <c r="F118" s="205" t="s">
        <v>1118</v>
      </c>
      <c r="G118" s="206" t="s">
        <v>1119</v>
      </c>
      <c r="H118" s="207" t="s">
        <v>1120</v>
      </c>
      <c r="I118" s="125" t="s">
        <v>622</v>
      </c>
      <c r="J118" s="126" t="s">
        <v>600</v>
      </c>
    </row>
    <row r="119" spans="2:10" ht="43.2" x14ac:dyDescent="0.3">
      <c r="B119" s="203">
        <v>992</v>
      </c>
      <c r="C119" s="204" t="s">
        <v>794</v>
      </c>
      <c r="D119" s="205" t="s">
        <v>877</v>
      </c>
      <c r="E119" s="205" t="s">
        <v>1519</v>
      </c>
      <c r="F119" s="205" t="s">
        <v>1104</v>
      </c>
      <c r="G119" s="206" t="s">
        <v>1105</v>
      </c>
      <c r="H119" s="207" t="s">
        <v>621</v>
      </c>
      <c r="I119" s="125" t="s">
        <v>622</v>
      </c>
      <c r="J119" s="126" t="s">
        <v>600</v>
      </c>
    </row>
    <row r="120" spans="2:10" ht="72" x14ac:dyDescent="0.3">
      <c r="B120" s="203">
        <v>991</v>
      </c>
      <c r="C120" s="204" t="s">
        <v>794</v>
      </c>
      <c r="D120" s="205" t="s">
        <v>877</v>
      </c>
      <c r="E120" s="205" t="s">
        <v>1519</v>
      </c>
      <c r="F120" s="205" t="s">
        <v>1102</v>
      </c>
      <c r="G120" s="206" t="s">
        <v>1103</v>
      </c>
      <c r="H120" s="207" t="s">
        <v>1067</v>
      </c>
      <c r="I120" s="125" t="s">
        <v>622</v>
      </c>
      <c r="J120" s="126" t="s">
        <v>600</v>
      </c>
    </row>
    <row r="121" spans="2:10" ht="57.6" x14ac:dyDescent="0.3">
      <c r="B121" s="203">
        <v>990</v>
      </c>
      <c r="C121" s="204" t="s">
        <v>794</v>
      </c>
      <c r="D121" s="205" t="s">
        <v>877</v>
      </c>
      <c r="E121" s="205" t="s">
        <v>1519</v>
      </c>
      <c r="F121" s="205" t="s">
        <v>1100</v>
      </c>
      <c r="G121" s="206" t="s">
        <v>1101</v>
      </c>
      <c r="H121" s="207" t="s">
        <v>980</v>
      </c>
      <c r="I121" s="125" t="s">
        <v>622</v>
      </c>
      <c r="J121" s="126" t="s">
        <v>600</v>
      </c>
    </row>
    <row r="122" spans="2:10" ht="57.6" x14ac:dyDescent="0.3">
      <c r="B122" s="203">
        <v>989</v>
      </c>
      <c r="C122" s="204" t="s">
        <v>794</v>
      </c>
      <c r="D122" s="205" t="s">
        <v>877</v>
      </c>
      <c r="E122" s="205" t="s">
        <v>1519</v>
      </c>
      <c r="F122" s="205" t="s">
        <v>1098</v>
      </c>
      <c r="G122" s="206" t="s">
        <v>1099</v>
      </c>
      <c r="H122" s="207" t="s">
        <v>621</v>
      </c>
      <c r="I122" s="125" t="s">
        <v>622</v>
      </c>
      <c r="J122" s="126" t="s">
        <v>600</v>
      </c>
    </row>
    <row r="123" spans="2:10" ht="43.2" x14ac:dyDescent="0.3">
      <c r="B123" s="203">
        <v>985</v>
      </c>
      <c r="C123" s="204" t="s">
        <v>794</v>
      </c>
      <c r="D123" s="205" t="s">
        <v>870</v>
      </c>
      <c r="E123" s="205" t="s">
        <v>1519</v>
      </c>
      <c r="F123" s="205" t="s">
        <v>1094</v>
      </c>
      <c r="G123" s="206" t="s">
        <v>1095</v>
      </c>
      <c r="H123" s="207" t="s">
        <v>621</v>
      </c>
      <c r="I123" s="125" t="s">
        <v>41</v>
      </c>
      <c r="J123" s="126" t="s">
        <v>600</v>
      </c>
    </row>
    <row r="124" spans="2:10" ht="43.2" x14ac:dyDescent="0.3">
      <c r="B124" s="203">
        <v>984</v>
      </c>
      <c r="C124" s="204" t="s">
        <v>794</v>
      </c>
      <c r="D124" s="205" t="s">
        <v>870</v>
      </c>
      <c r="E124" s="205" t="s">
        <v>1519</v>
      </c>
      <c r="F124" s="205" t="s">
        <v>1092</v>
      </c>
      <c r="G124" s="206" t="s">
        <v>1093</v>
      </c>
      <c r="H124" s="207" t="s">
        <v>980</v>
      </c>
      <c r="I124" s="125" t="s">
        <v>622</v>
      </c>
      <c r="J124" s="126" t="s">
        <v>600</v>
      </c>
    </row>
    <row r="125" spans="2:10" ht="43.2" x14ac:dyDescent="0.3">
      <c r="B125" s="203">
        <v>983</v>
      </c>
      <c r="C125" s="204" t="s">
        <v>794</v>
      </c>
      <c r="D125" s="205" t="s">
        <v>870</v>
      </c>
      <c r="E125" s="205" t="s">
        <v>1519</v>
      </c>
      <c r="F125" s="205" t="s">
        <v>1090</v>
      </c>
      <c r="G125" s="206" t="s">
        <v>1091</v>
      </c>
      <c r="H125" s="207" t="s">
        <v>980</v>
      </c>
      <c r="I125" s="125" t="s">
        <v>41</v>
      </c>
      <c r="J125" s="126" t="s">
        <v>600</v>
      </c>
    </row>
    <row r="126" spans="2:10" ht="43.2" x14ac:dyDescent="0.3">
      <c r="B126" s="203">
        <v>981</v>
      </c>
      <c r="C126" s="204" t="s">
        <v>794</v>
      </c>
      <c r="D126" s="205" t="s">
        <v>870</v>
      </c>
      <c r="E126" s="205" t="s">
        <v>1519</v>
      </c>
      <c r="F126" s="205" t="s">
        <v>1088</v>
      </c>
      <c r="G126" s="206" t="s">
        <v>1089</v>
      </c>
      <c r="H126" s="207" t="s">
        <v>621</v>
      </c>
      <c r="I126" s="125" t="s">
        <v>622</v>
      </c>
      <c r="J126" s="126" t="s">
        <v>600</v>
      </c>
    </row>
    <row r="127" spans="2:10" ht="57.6" x14ac:dyDescent="0.3">
      <c r="B127" s="203">
        <v>965</v>
      </c>
      <c r="C127" s="204" t="s">
        <v>794</v>
      </c>
      <c r="D127" s="205" t="s">
        <v>894</v>
      </c>
      <c r="E127" s="205" t="s">
        <v>1519</v>
      </c>
      <c r="F127" s="205" t="s">
        <v>1065</v>
      </c>
      <c r="G127" s="206" t="s">
        <v>1066</v>
      </c>
      <c r="H127" s="207" t="s">
        <v>1067</v>
      </c>
      <c r="I127" s="125" t="s">
        <v>622</v>
      </c>
      <c r="J127" s="126" t="s">
        <v>600</v>
      </c>
    </row>
    <row r="128" spans="2:10" ht="374.4" x14ac:dyDescent="0.3">
      <c r="B128" s="203">
        <v>932</v>
      </c>
      <c r="C128" s="204" t="s">
        <v>794</v>
      </c>
      <c r="D128" s="205" t="s">
        <v>972</v>
      </c>
      <c r="E128" s="205" t="s">
        <v>1519</v>
      </c>
      <c r="F128" s="205" t="s">
        <v>997</v>
      </c>
      <c r="G128" s="206" t="s">
        <v>998</v>
      </c>
      <c r="H128" s="207" t="s">
        <v>980</v>
      </c>
      <c r="I128" s="125" t="s">
        <v>622</v>
      </c>
      <c r="J128" s="126" t="s">
        <v>600</v>
      </c>
    </row>
    <row r="129" spans="2:10" ht="100.8" x14ac:dyDescent="0.3">
      <c r="B129" s="203">
        <v>933</v>
      </c>
      <c r="C129" s="204" t="s">
        <v>794</v>
      </c>
      <c r="D129" s="205" t="s">
        <v>972</v>
      </c>
      <c r="E129" s="205" t="s">
        <v>1519</v>
      </c>
      <c r="F129" s="205" t="s">
        <v>999</v>
      </c>
      <c r="G129" s="206" t="s">
        <v>1000</v>
      </c>
      <c r="H129" s="207" t="s">
        <v>621</v>
      </c>
      <c r="I129" s="125" t="s">
        <v>622</v>
      </c>
      <c r="J129" s="126" t="s">
        <v>600</v>
      </c>
    </row>
    <row r="130" spans="2:10" ht="100.8" x14ac:dyDescent="0.3">
      <c r="B130" s="203">
        <v>934</v>
      </c>
      <c r="C130" s="204" t="s">
        <v>794</v>
      </c>
      <c r="D130" s="205" t="s">
        <v>972</v>
      </c>
      <c r="E130" s="205" t="s">
        <v>1519</v>
      </c>
      <c r="F130" s="205" t="s">
        <v>1001</v>
      </c>
      <c r="G130" s="206" t="s">
        <v>1002</v>
      </c>
      <c r="H130" s="207" t="s">
        <v>621</v>
      </c>
      <c r="I130" s="125" t="s">
        <v>622</v>
      </c>
      <c r="J130" s="126" t="s">
        <v>600</v>
      </c>
    </row>
    <row r="131" spans="2:10" ht="57.6" x14ac:dyDescent="0.3">
      <c r="B131" s="203">
        <v>1061</v>
      </c>
      <c r="C131" s="204" t="s">
        <v>794</v>
      </c>
      <c r="D131" s="205" t="s">
        <v>795</v>
      </c>
      <c r="E131" s="205" t="s">
        <v>1519</v>
      </c>
      <c r="F131" s="205" t="s">
        <v>1240</v>
      </c>
      <c r="G131" s="206" t="s">
        <v>1241</v>
      </c>
      <c r="H131" s="207" t="s">
        <v>595</v>
      </c>
      <c r="I131" s="125" t="s">
        <v>10</v>
      </c>
      <c r="J131" s="126" t="s">
        <v>604</v>
      </c>
    </row>
    <row r="132" spans="2:10" ht="158.4" x14ac:dyDescent="0.3">
      <c r="B132" s="203">
        <v>1062</v>
      </c>
      <c r="C132" s="204" t="s">
        <v>794</v>
      </c>
      <c r="D132" s="205" t="s">
        <v>795</v>
      </c>
      <c r="E132" s="205" t="s">
        <v>1519</v>
      </c>
      <c r="F132" s="205" t="s">
        <v>1242</v>
      </c>
      <c r="G132" s="206" t="s">
        <v>1243</v>
      </c>
      <c r="H132" s="207" t="s">
        <v>595</v>
      </c>
      <c r="I132" s="125" t="s">
        <v>10</v>
      </c>
      <c r="J132" s="126" t="s">
        <v>604</v>
      </c>
    </row>
    <row r="133" spans="2:10" ht="115.2" x14ac:dyDescent="0.3">
      <c r="B133" s="203">
        <v>1063</v>
      </c>
      <c r="C133" s="204" t="s">
        <v>794</v>
      </c>
      <c r="D133" s="205" t="s">
        <v>795</v>
      </c>
      <c r="E133" s="205" t="s">
        <v>1519</v>
      </c>
      <c r="F133" s="205" t="s">
        <v>1244</v>
      </c>
      <c r="G133" s="206" t="s">
        <v>1245</v>
      </c>
      <c r="H133" s="207" t="s">
        <v>595</v>
      </c>
      <c r="I133" s="125" t="s">
        <v>10</v>
      </c>
      <c r="J133" s="126" t="s">
        <v>604</v>
      </c>
    </row>
    <row r="134" spans="2:10" ht="216" x14ac:dyDescent="0.3">
      <c r="B134" s="203">
        <v>1064</v>
      </c>
      <c r="C134" s="204" t="s">
        <v>794</v>
      </c>
      <c r="D134" s="205" t="s">
        <v>795</v>
      </c>
      <c r="E134" s="205" t="s">
        <v>1519</v>
      </c>
      <c r="F134" s="205" t="s">
        <v>1246</v>
      </c>
      <c r="G134" s="206" t="s">
        <v>1247</v>
      </c>
      <c r="H134" s="207" t="s">
        <v>595</v>
      </c>
      <c r="I134" s="125" t="s">
        <v>10</v>
      </c>
      <c r="J134" s="126" t="s">
        <v>604</v>
      </c>
    </row>
    <row r="135" spans="2:10" ht="172.8" x14ac:dyDescent="0.3">
      <c r="B135" s="203">
        <v>116</v>
      </c>
      <c r="C135" s="204" t="s">
        <v>794</v>
      </c>
      <c r="D135" s="205" t="s">
        <v>795</v>
      </c>
      <c r="E135" s="205" t="s">
        <v>1519</v>
      </c>
      <c r="F135" s="205" t="s">
        <v>796</v>
      </c>
      <c r="G135" s="206" t="s">
        <v>797</v>
      </c>
      <c r="H135" s="207" t="s">
        <v>595</v>
      </c>
      <c r="I135" s="125" t="s">
        <v>10</v>
      </c>
      <c r="J135" s="126" t="s">
        <v>604</v>
      </c>
    </row>
    <row r="136" spans="2:10" ht="129.6" x14ac:dyDescent="0.3">
      <c r="B136" s="203">
        <v>978</v>
      </c>
      <c r="C136" s="204" t="s">
        <v>756</v>
      </c>
      <c r="D136" s="205" t="s">
        <v>757</v>
      </c>
      <c r="E136" s="205" t="s">
        <v>1519</v>
      </c>
      <c r="F136" s="205" t="s">
        <v>1086</v>
      </c>
      <c r="G136" s="206" t="s">
        <v>1087</v>
      </c>
      <c r="H136" s="207" t="s">
        <v>595</v>
      </c>
      <c r="I136" s="125" t="s">
        <v>10</v>
      </c>
      <c r="J136" s="126" t="s">
        <v>604</v>
      </c>
    </row>
    <row r="137" spans="2:10" ht="57.6" x14ac:dyDescent="0.3">
      <c r="B137" s="203">
        <v>936</v>
      </c>
      <c r="C137" s="204" t="s">
        <v>794</v>
      </c>
      <c r="D137" s="205" t="s">
        <v>972</v>
      </c>
      <c r="E137" s="205" t="s">
        <v>1519</v>
      </c>
      <c r="F137" s="205" t="s">
        <v>1005</v>
      </c>
      <c r="G137" s="206" t="s">
        <v>1006</v>
      </c>
      <c r="H137" s="207" t="s">
        <v>621</v>
      </c>
      <c r="I137" s="125" t="s">
        <v>41</v>
      </c>
      <c r="J137" s="126" t="s">
        <v>600</v>
      </c>
    </row>
    <row r="138" spans="2:10" ht="115.2" x14ac:dyDescent="0.3">
      <c r="B138" s="203">
        <v>938</v>
      </c>
      <c r="C138" s="204" t="s">
        <v>794</v>
      </c>
      <c r="D138" s="205" t="s">
        <v>920</v>
      </c>
      <c r="E138" s="205" t="s">
        <v>1519</v>
      </c>
      <c r="F138" s="205" t="s">
        <v>1007</v>
      </c>
      <c r="G138" s="206" t="s">
        <v>1008</v>
      </c>
      <c r="H138" s="207" t="s">
        <v>980</v>
      </c>
      <c r="I138" s="125" t="s">
        <v>622</v>
      </c>
      <c r="J138" s="126" t="s">
        <v>600</v>
      </c>
    </row>
    <row r="139" spans="2:10" ht="129.6" x14ac:dyDescent="0.3">
      <c r="B139" s="203">
        <v>939</v>
      </c>
      <c r="C139" s="204" t="s">
        <v>794</v>
      </c>
      <c r="D139" s="205" t="s">
        <v>920</v>
      </c>
      <c r="E139" s="205" t="s">
        <v>1519</v>
      </c>
      <c r="F139" s="205" t="s">
        <v>1009</v>
      </c>
      <c r="G139" s="206" t="s">
        <v>1010</v>
      </c>
      <c r="H139" s="207" t="s">
        <v>980</v>
      </c>
      <c r="I139" s="125" t="s">
        <v>622</v>
      </c>
      <c r="J139" s="126" t="s">
        <v>600</v>
      </c>
    </row>
    <row r="140" spans="2:10" ht="100.8" x14ac:dyDescent="0.3">
      <c r="B140" s="203">
        <v>940</v>
      </c>
      <c r="C140" s="204" t="s">
        <v>794</v>
      </c>
      <c r="D140" s="205" t="s">
        <v>920</v>
      </c>
      <c r="E140" s="205" t="s">
        <v>1519</v>
      </c>
      <c r="F140" s="205" t="s">
        <v>1011</v>
      </c>
      <c r="G140" s="206" t="s">
        <v>1012</v>
      </c>
      <c r="H140" s="207" t="s">
        <v>1013</v>
      </c>
      <c r="I140" s="125" t="s">
        <v>622</v>
      </c>
      <c r="J140" s="126" t="s">
        <v>600</v>
      </c>
    </row>
    <row r="141" spans="2:10" ht="86.4" x14ac:dyDescent="0.3">
      <c r="B141" s="203">
        <v>941</v>
      </c>
      <c r="C141" s="204" t="s">
        <v>794</v>
      </c>
      <c r="D141" s="205" t="s">
        <v>920</v>
      </c>
      <c r="E141" s="205" t="s">
        <v>1519</v>
      </c>
      <c r="F141" s="205" t="s">
        <v>1014</v>
      </c>
      <c r="G141" s="206" t="s">
        <v>1015</v>
      </c>
      <c r="H141" s="207" t="s">
        <v>621</v>
      </c>
      <c r="I141" s="125" t="s">
        <v>622</v>
      </c>
      <c r="J141" s="126" t="s">
        <v>600</v>
      </c>
    </row>
    <row r="142" spans="2:10" ht="57.6" x14ac:dyDescent="0.3">
      <c r="B142" s="203">
        <v>951</v>
      </c>
      <c r="C142" s="204" t="s">
        <v>794</v>
      </c>
      <c r="D142" s="205" t="s">
        <v>1030</v>
      </c>
      <c r="E142" s="205" t="s">
        <v>1519</v>
      </c>
      <c r="F142" s="205" t="s">
        <v>1034</v>
      </c>
      <c r="G142" s="206" t="s">
        <v>1035</v>
      </c>
      <c r="H142" s="207" t="s">
        <v>980</v>
      </c>
      <c r="I142" s="125" t="s">
        <v>596</v>
      </c>
      <c r="J142" s="126" t="s">
        <v>600</v>
      </c>
    </row>
    <row r="143" spans="2:10" ht="72" x14ac:dyDescent="0.3">
      <c r="B143" s="203">
        <v>952</v>
      </c>
      <c r="C143" s="204" t="s">
        <v>794</v>
      </c>
      <c r="D143" s="205" t="s">
        <v>1030</v>
      </c>
      <c r="E143" s="205" t="s">
        <v>1519</v>
      </c>
      <c r="F143" s="205" t="s">
        <v>1036</v>
      </c>
      <c r="G143" s="206" t="s">
        <v>1037</v>
      </c>
      <c r="H143" s="207" t="s">
        <v>980</v>
      </c>
      <c r="I143" s="125" t="s">
        <v>596</v>
      </c>
      <c r="J143" s="126" t="s">
        <v>600</v>
      </c>
    </row>
    <row r="144" spans="2:10" ht="43.2" x14ac:dyDescent="0.3">
      <c r="B144" s="203">
        <v>953</v>
      </c>
      <c r="C144" s="204" t="s">
        <v>794</v>
      </c>
      <c r="D144" s="205" t="s">
        <v>1038</v>
      </c>
      <c r="E144" s="205" t="s">
        <v>1519</v>
      </c>
      <c r="F144" s="205" t="s">
        <v>1039</v>
      </c>
      <c r="G144" s="206" t="s">
        <v>1040</v>
      </c>
      <c r="H144" s="207" t="s">
        <v>980</v>
      </c>
      <c r="I144" s="125" t="s">
        <v>596</v>
      </c>
      <c r="J144" s="126" t="s">
        <v>600</v>
      </c>
    </row>
    <row r="145" spans="2:10" ht="144" x14ac:dyDescent="0.3">
      <c r="B145" s="203">
        <v>954</v>
      </c>
      <c r="C145" s="204" t="s">
        <v>794</v>
      </c>
      <c r="D145" s="205" t="s">
        <v>894</v>
      </c>
      <c r="E145" s="205" t="s">
        <v>1519</v>
      </c>
      <c r="F145" s="205" t="s">
        <v>1041</v>
      </c>
      <c r="G145" s="206" t="s">
        <v>1042</v>
      </c>
      <c r="H145" s="207" t="s">
        <v>980</v>
      </c>
      <c r="I145" s="125" t="s">
        <v>596</v>
      </c>
      <c r="J145" s="126" t="s">
        <v>600</v>
      </c>
    </row>
    <row r="146" spans="2:10" ht="144" x14ac:dyDescent="0.3">
      <c r="B146" s="203">
        <v>957</v>
      </c>
      <c r="C146" s="204" t="s">
        <v>794</v>
      </c>
      <c r="D146" s="205" t="s">
        <v>894</v>
      </c>
      <c r="E146" s="205" t="s">
        <v>1519</v>
      </c>
      <c r="F146" s="205" t="s">
        <v>1047</v>
      </c>
      <c r="G146" s="206" t="s">
        <v>1048</v>
      </c>
      <c r="H146" s="207" t="s">
        <v>980</v>
      </c>
      <c r="I146" s="125" t="s">
        <v>596</v>
      </c>
      <c r="J146" s="126" t="s">
        <v>600</v>
      </c>
    </row>
    <row r="147" spans="2:10" ht="158.4" x14ac:dyDescent="0.3">
      <c r="B147" s="203">
        <v>1024</v>
      </c>
      <c r="C147" s="204" t="s">
        <v>794</v>
      </c>
      <c r="D147" s="205" t="s">
        <v>1169</v>
      </c>
      <c r="E147" s="205" t="s">
        <v>1519</v>
      </c>
      <c r="F147" s="205" t="s">
        <v>1172</v>
      </c>
      <c r="G147" s="206" t="s">
        <v>1173</v>
      </c>
      <c r="H147" s="207" t="s">
        <v>621</v>
      </c>
      <c r="I147" s="125" t="s">
        <v>622</v>
      </c>
      <c r="J147" s="126" t="s">
        <v>600</v>
      </c>
    </row>
    <row r="148" spans="2:10" ht="57.6" x14ac:dyDescent="0.3">
      <c r="B148" s="203">
        <v>996</v>
      </c>
      <c r="C148" s="204" t="s">
        <v>794</v>
      </c>
      <c r="D148" s="205" t="s">
        <v>1112</v>
      </c>
      <c r="E148" s="205" t="s">
        <v>1519</v>
      </c>
      <c r="F148" s="205" t="s">
        <v>1113</v>
      </c>
      <c r="G148" s="206" t="s">
        <v>1114</v>
      </c>
      <c r="H148" s="207" t="s">
        <v>980</v>
      </c>
      <c r="I148" s="125" t="s">
        <v>622</v>
      </c>
      <c r="J148" s="126" t="s">
        <v>600</v>
      </c>
    </row>
    <row r="149" spans="2:10" ht="230.4" x14ac:dyDescent="0.3">
      <c r="B149" s="203">
        <v>1026</v>
      </c>
      <c r="C149" s="204" t="s">
        <v>794</v>
      </c>
      <c r="D149" s="205" t="s">
        <v>1169</v>
      </c>
      <c r="E149" s="205" t="s">
        <v>1519</v>
      </c>
      <c r="F149" s="205" t="s">
        <v>1176</v>
      </c>
      <c r="G149" s="206" t="s">
        <v>1177</v>
      </c>
      <c r="H149" s="207" t="s">
        <v>980</v>
      </c>
      <c r="I149" s="125" t="s">
        <v>596</v>
      </c>
      <c r="J149" s="126" t="s">
        <v>615</v>
      </c>
    </row>
    <row r="150" spans="2:10" ht="86.4" x14ac:dyDescent="0.3">
      <c r="B150" s="203">
        <v>1013</v>
      </c>
      <c r="C150" s="204" t="s">
        <v>794</v>
      </c>
      <c r="D150" s="205" t="s">
        <v>894</v>
      </c>
      <c r="E150" s="205" t="s">
        <v>1519</v>
      </c>
      <c r="F150" s="205" t="s">
        <v>1145</v>
      </c>
      <c r="G150" s="206" t="s">
        <v>1146</v>
      </c>
      <c r="H150" s="207" t="s">
        <v>595</v>
      </c>
      <c r="I150" s="125" t="s">
        <v>596</v>
      </c>
      <c r="J150" s="126" t="s">
        <v>600</v>
      </c>
    </row>
    <row r="151" spans="2:10" ht="100.8" x14ac:dyDescent="0.3">
      <c r="B151" s="203">
        <v>1016</v>
      </c>
      <c r="C151" s="204" t="s">
        <v>794</v>
      </c>
      <c r="D151" s="205" t="s">
        <v>894</v>
      </c>
      <c r="E151" s="205" t="s">
        <v>1519</v>
      </c>
      <c r="F151" s="205" t="s">
        <v>1152</v>
      </c>
      <c r="G151" s="206" t="s">
        <v>1153</v>
      </c>
      <c r="H151" s="207" t="s">
        <v>595</v>
      </c>
      <c r="I151" s="125" t="s">
        <v>596</v>
      </c>
      <c r="J151" s="126" t="s">
        <v>600</v>
      </c>
    </row>
    <row r="152" spans="2:10" ht="28.8" x14ac:dyDescent="0.3">
      <c r="B152" s="203">
        <v>907</v>
      </c>
      <c r="C152" s="204" t="s">
        <v>794</v>
      </c>
      <c r="D152" s="205" t="s">
        <v>894</v>
      </c>
      <c r="E152" s="205" t="s">
        <v>1519</v>
      </c>
      <c r="F152" s="205" t="s">
        <v>976</v>
      </c>
      <c r="G152" s="206" t="s">
        <v>977</v>
      </c>
      <c r="H152" s="207" t="s">
        <v>595</v>
      </c>
      <c r="I152" s="125" t="s">
        <v>622</v>
      </c>
      <c r="J152" s="126" t="s">
        <v>600</v>
      </c>
    </row>
    <row r="153" spans="2:10" ht="86.4" x14ac:dyDescent="0.3">
      <c r="B153" s="203">
        <v>895</v>
      </c>
      <c r="C153" s="204" t="s">
        <v>794</v>
      </c>
      <c r="D153" s="205" t="s">
        <v>894</v>
      </c>
      <c r="E153" s="205" t="s">
        <v>1519</v>
      </c>
      <c r="F153" s="205" t="s">
        <v>968</v>
      </c>
      <c r="G153" s="206" t="s">
        <v>969</v>
      </c>
      <c r="H153" s="207" t="s">
        <v>595</v>
      </c>
      <c r="I153" s="125" t="s">
        <v>706</v>
      </c>
      <c r="J153" s="126" t="s">
        <v>600</v>
      </c>
    </row>
    <row r="154" spans="2:10" ht="86.4" x14ac:dyDescent="0.3">
      <c r="B154" s="203">
        <v>894</v>
      </c>
      <c r="C154" s="204" t="s">
        <v>794</v>
      </c>
      <c r="D154" s="205" t="s">
        <v>894</v>
      </c>
      <c r="E154" s="205" t="s">
        <v>1519</v>
      </c>
      <c r="F154" s="205" t="s">
        <v>966</v>
      </c>
      <c r="G154" s="206" t="s">
        <v>967</v>
      </c>
      <c r="H154" s="207" t="s">
        <v>595</v>
      </c>
      <c r="I154" s="125" t="s">
        <v>622</v>
      </c>
      <c r="J154" s="126" t="s">
        <v>600</v>
      </c>
    </row>
    <row r="155" spans="2:10" ht="187.2" x14ac:dyDescent="0.3">
      <c r="B155" s="203">
        <v>1001</v>
      </c>
      <c r="C155" s="204" t="s">
        <v>794</v>
      </c>
      <c r="D155" s="205" t="s">
        <v>894</v>
      </c>
      <c r="E155" s="205" t="s">
        <v>1519</v>
      </c>
      <c r="F155" s="205" t="s">
        <v>1123</v>
      </c>
      <c r="G155" s="206" t="s">
        <v>1124</v>
      </c>
      <c r="H155" s="207" t="s">
        <v>595</v>
      </c>
      <c r="I155" s="125" t="s">
        <v>596</v>
      </c>
      <c r="J155" s="126" t="s">
        <v>600</v>
      </c>
    </row>
    <row r="156" spans="2:10" ht="144" x14ac:dyDescent="0.3">
      <c r="B156" s="203">
        <v>1025</v>
      </c>
      <c r="C156" s="204" t="s">
        <v>794</v>
      </c>
      <c r="D156" s="205" t="s">
        <v>1556</v>
      </c>
      <c r="E156" s="205" t="s">
        <v>1519</v>
      </c>
      <c r="F156" s="205" t="s">
        <v>1174</v>
      </c>
      <c r="G156" s="206" t="s">
        <v>1175</v>
      </c>
      <c r="H156" s="207" t="s">
        <v>621</v>
      </c>
      <c r="I156" s="125" t="s">
        <v>622</v>
      </c>
      <c r="J156" s="126" t="s">
        <v>600</v>
      </c>
    </row>
    <row r="157" spans="2:10" ht="172.8" x14ac:dyDescent="0.3">
      <c r="B157" s="203">
        <v>1009</v>
      </c>
      <c r="C157" s="204" t="s">
        <v>794</v>
      </c>
      <c r="D157" s="205" t="s">
        <v>894</v>
      </c>
      <c r="E157" s="205" t="s">
        <v>1519</v>
      </c>
      <c r="F157" s="205" t="s">
        <v>1137</v>
      </c>
      <c r="G157" s="206" t="s">
        <v>1138</v>
      </c>
      <c r="H157" s="207" t="s">
        <v>595</v>
      </c>
      <c r="I157" s="125" t="s">
        <v>596</v>
      </c>
      <c r="J157" s="126" t="s">
        <v>600</v>
      </c>
    </row>
    <row r="158" spans="2:10" ht="172.8" x14ac:dyDescent="0.3">
      <c r="B158" s="203">
        <v>1020</v>
      </c>
      <c r="C158" s="204" t="s">
        <v>794</v>
      </c>
      <c r="D158" s="205" t="s">
        <v>931</v>
      </c>
      <c r="E158" s="205" t="s">
        <v>1519</v>
      </c>
      <c r="F158" s="205" t="s">
        <v>1160</v>
      </c>
      <c r="G158" s="206" t="s">
        <v>1640</v>
      </c>
      <c r="H158" s="207" t="s">
        <v>621</v>
      </c>
      <c r="I158" s="125" t="s">
        <v>622</v>
      </c>
      <c r="J158" s="126" t="s">
        <v>600</v>
      </c>
    </row>
    <row r="159" spans="2:10" ht="28.8" x14ac:dyDescent="0.3">
      <c r="B159" s="203">
        <v>1124</v>
      </c>
      <c r="C159" s="204" t="s">
        <v>794</v>
      </c>
      <c r="D159" s="205" t="s">
        <v>867</v>
      </c>
      <c r="E159" s="205" t="s">
        <v>1519</v>
      </c>
      <c r="F159" s="205" t="s">
        <v>1642</v>
      </c>
      <c r="G159" s="206" t="s">
        <v>1643</v>
      </c>
      <c r="H159" s="207" t="s">
        <v>621</v>
      </c>
      <c r="I159" s="125" t="s">
        <v>622</v>
      </c>
      <c r="J159" s="126" t="s">
        <v>600</v>
      </c>
    </row>
    <row r="160" spans="2:10" ht="43.2" x14ac:dyDescent="0.3">
      <c r="B160" s="203">
        <v>337</v>
      </c>
      <c r="C160" s="204" t="s">
        <v>794</v>
      </c>
      <c r="D160" s="205" t="s">
        <v>1556</v>
      </c>
      <c r="E160" s="205" t="s">
        <v>1519</v>
      </c>
      <c r="F160" s="205" t="s">
        <v>1632</v>
      </c>
      <c r="G160" s="206" t="s">
        <v>868</v>
      </c>
      <c r="H160" s="207" t="s">
        <v>869</v>
      </c>
      <c r="I160" s="125" t="s">
        <v>622</v>
      </c>
      <c r="J160" s="126" t="s">
        <v>600</v>
      </c>
    </row>
    <row r="161" spans="2:10" ht="57.6" x14ac:dyDescent="0.3">
      <c r="B161" s="203">
        <v>1038</v>
      </c>
      <c r="C161" s="204" t="s">
        <v>794</v>
      </c>
      <c r="D161" s="205" t="s">
        <v>873</v>
      </c>
      <c r="E161" s="205" t="s">
        <v>1519</v>
      </c>
      <c r="F161" s="205" t="s">
        <v>1203</v>
      </c>
      <c r="G161" s="206" t="s">
        <v>1641</v>
      </c>
      <c r="H161" s="207" t="s">
        <v>980</v>
      </c>
      <c r="I161" s="125" t="s">
        <v>622</v>
      </c>
      <c r="J161" s="126" t="s">
        <v>600</v>
      </c>
    </row>
    <row r="162" spans="2:10" ht="28.8" x14ac:dyDescent="0.3">
      <c r="B162" s="203">
        <v>346</v>
      </c>
      <c r="C162" s="204" t="s">
        <v>794</v>
      </c>
      <c r="D162" s="205" t="s">
        <v>870</v>
      </c>
      <c r="E162" s="205" t="s">
        <v>1519</v>
      </c>
      <c r="F162" s="205" t="s">
        <v>871</v>
      </c>
      <c r="G162" s="206" t="s">
        <v>1634</v>
      </c>
      <c r="H162" s="207" t="s">
        <v>872</v>
      </c>
      <c r="I162" s="125" t="s">
        <v>622</v>
      </c>
      <c r="J162" s="126" t="s">
        <v>600</v>
      </c>
    </row>
    <row r="163" spans="2:10" ht="172.8" x14ac:dyDescent="0.3">
      <c r="B163" s="203">
        <v>1004</v>
      </c>
      <c r="C163" s="204" t="s">
        <v>794</v>
      </c>
      <c r="D163" s="205" t="s">
        <v>931</v>
      </c>
      <c r="E163" s="205" t="s">
        <v>1519</v>
      </c>
      <c r="F163" s="205" t="s">
        <v>1637</v>
      </c>
      <c r="G163" s="206" t="s">
        <v>1638</v>
      </c>
      <c r="H163" s="207" t="s">
        <v>980</v>
      </c>
      <c r="I163" s="125" t="s">
        <v>622</v>
      </c>
      <c r="J163" s="126" t="s">
        <v>600</v>
      </c>
    </row>
    <row r="164" spans="2:10" ht="129.6" x14ac:dyDescent="0.3">
      <c r="B164" s="203">
        <v>926</v>
      </c>
      <c r="C164" s="204" t="s">
        <v>794</v>
      </c>
      <c r="D164" s="205" t="s">
        <v>1556</v>
      </c>
      <c r="E164" s="205" t="s">
        <v>1519</v>
      </c>
      <c r="F164" s="205" t="s">
        <v>985</v>
      </c>
      <c r="G164" s="206" t="s">
        <v>986</v>
      </c>
      <c r="H164" s="207" t="s">
        <v>980</v>
      </c>
      <c r="I164" s="125" t="s">
        <v>622</v>
      </c>
      <c r="J164" s="126" t="s">
        <v>600</v>
      </c>
    </row>
    <row r="165" spans="2:10" ht="100.8" x14ac:dyDescent="0.3">
      <c r="B165" s="203">
        <v>925</v>
      </c>
      <c r="C165" s="204" t="s">
        <v>794</v>
      </c>
      <c r="D165" s="205" t="s">
        <v>1556</v>
      </c>
      <c r="E165" s="205" t="s">
        <v>1519</v>
      </c>
      <c r="F165" s="205" t="s">
        <v>983</v>
      </c>
      <c r="G165" s="206" t="s">
        <v>984</v>
      </c>
      <c r="H165" s="207" t="s">
        <v>980</v>
      </c>
      <c r="I165" s="125" t="s">
        <v>622</v>
      </c>
      <c r="J165" s="126" t="s">
        <v>600</v>
      </c>
    </row>
    <row r="166" spans="2:10" ht="43.2" x14ac:dyDescent="0.3">
      <c r="B166" s="203">
        <v>1010</v>
      </c>
      <c r="C166" s="204" t="s">
        <v>794</v>
      </c>
      <c r="D166" s="205" t="s">
        <v>931</v>
      </c>
      <c r="E166" s="205" t="s">
        <v>1519</v>
      </c>
      <c r="F166" s="205" t="s">
        <v>1139</v>
      </c>
      <c r="G166" s="206" t="s">
        <v>1639</v>
      </c>
      <c r="H166" s="207" t="s">
        <v>621</v>
      </c>
      <c r="I166" s="125" t="s">
        <v>1140</v>
      </c>
      <c r="J166" s="126" t="s">
        <v>600</v>
      </c>
    </row>
    <row r="167" spans="2:10" ht="129.6" x14ac:dyDescent="0.3">
      <c r="B167" s="203">
        <v>1018</v>
      </c>
      <c r="C167" s="204" t="s">
        <v>794</v>
      </c>
      <c r="D167" s="205" t="s">
        <v>894</v>
      </c>
      <c r="E167" s="205" t="s">
        <v>1519</v>
      </c>
      <c r="F167" s="205" t="s">
        <v>1156</v>
      </c>
      <c r="G167" s="206" t="s">
        <v>1157</v>
      </c>
      <c r="H167" s="207" t="s">
        <v>595</v>
      </c>
      <c r="I167" s="125" t="s">
        <v>596</v>
      </c>
      <c r="J167" s="126" t="s">
        <v>615</v>
      </c>
    </row>
    <row r="168" spans="2:10" ht="86.4" x14ac:dyDescent="0.3">
      <c r="B168" s="203">
        <v>1007</v>
      </c>
      <c r="C168" s="204" t="s">
        <v>794</v>
      </c>
      <c r="D168" s="205" t="s">
        <v>894</v>
      </c>
      <c r="E168" s="205" t="s">
        <v>1519</v>
      </c>
      <c r="F168" s="205" t="s">
        <v>1133</v>
      </c>
      <c r="G168" s="206" t="s">
        <v>1134</v>
      </c>
      <c r="H168" s="207" t="s">
        <v>595</v>
      </c>
      <c r="I168" s="125" t="s">
        <v>596</v>
      </c>
      <c r="J168" s="126" t="s">
        <v>600</v>
      </c>
    </row>
    <row r="169" spans="2:10" ht="57.6" x14ac:dyDescent="0.3">
      <c r="B169" s="203">
        <v>995</v>
      </c>
      <c r="C169" s="204" t="s">
        <v>794</v>
      </c>
      <c r="D169" s="205" t="s">
        <v>877</v>
      </c>
      <c r="E169" s="205" t="s">
        <v>1519</v>
      </c>
      <c r="F169" s="205" t="s">
        <v>1110</v>
      </c>
      <c r="G169" s="206" t="s">
        <v>1111</v>
      </c>
      <c r="H169" s="207" t="s">
        <v>595</v>
      </c>
      <c r="I169" s="125" t="s">
        <v>596</v>
      </c>
      <c r="J169" s="126" t="s">
        <v>600</v>
      </c>
    </row>
    <row r="170" spans="2:10" ht="115.2" x14ac:dyDescent="0.3">
      <c r="B170" s="203">
        <v>1055</v>
      </c>
      <c r="C170" s="204" t="s">
        <v>794</v>
      </c>
      <c r="D170" s="205" t="s">
        <v>873</v>
      </c>
      <c r="E170" s="205" t="s">
        <v>1519</v>
      </c>
      <c r="F170" s="205" t="s">
        <v>1230</v>
      </c>
      <c r="G170" s="206" t="s">
        <v>1231</v>
      </c>
      <c r="H170" s="207" t="s">
        <v>595</v>
      </c>
      <c r="I170" s="125" t="s">
        <v>596</v>
      </c>
      <c r="J170" s="126" t="s">
        <v>615</v>
      </c>
    </row>
    <row r="171" spans="2:10" ht="28.8" x14ac:dyDescent="0.3">
      <c r="B171" s="203">
        <v>433</v>
      </c>
      <c r="C171" s="204" t="s">
        <v>794</v>
      </c>
      <c r="D171" s="205" t="s">
        <v>877</v>
      </c>
      <c r="E171" s="205" t="s">
        <v>1519</v>
      </c>
      <c r="F171" s="205" t="s">
        <v>878</v>
      </c>
      <c r="G171" s="206" t="s">
        <v>879</v>
      </c>
      <c r="H171" s="207" t="s">
        <v>595</v>
      </c>
      <c r="I171" s="125" t="s">
        <v>701</v>
      </c>
      <c r="J171" s="126" t="s">
        <v>600</v>
      </c>
    </row>
    <row r="172" spans="2:10" ht="115.2" x14ac:dyDescent="0.3">
      <c r="B172" s="203">
        <v>1046</v>
      </c>
      <c r="C172" s="204" t="s">
        <v>794</v>
      </c>
      <c r="D172" s="205" t="s">
        <v>873</v>
      </c>
      <c r="E172" s="205" t="s">
        <v>1519</v>
      </c>
      <c r="F172" s="205" t="s">
        <v>1216</v>
      </c>
      <c r="G172" s="206" t="s">
        <v>1215</v>
      </c>
      <c r="H172" s="207" t="s">
        <v>595</v>
      </c>
      <c r="I172" s="125" t="s">
        <v>596</v>
      </c>
      <c r="J172" s="126" t="s">
        <v>600</v>
      </c>
    </row>
    <row r="173" spans="2:10" ht="28.8" x14ac:dyDescent="0.3">
      <c r="B173" s="203">
        <v>1048</v>
      </c>
      <c r="C173" s="204" t="s">
        <v>794</v>
      </c>
      <c r="D173" s="205" t="s">
        <v>873</v>
      </c>
      <c r="E173" s="205" t="s">
        <v>1519</v>
      </c>
      <c r="F173" s="205" t="s">
        <v>1219</v>
      </c>
      <c r="G173" s="206" t="s">
        <v>1220</v>
      </c>
      <c r="H173" s="207" t="s">
        <v>595</v>
      </c>
      <c r="I173" s="125" t="s">
        <v>622</v>
      </c>
      <c r="J173" s="126" t="s">
        <v>615</v>
      </c>
    </row>
    <row r="174" spans="2:10" ht="28.8" x14ac:dyDescent="0.3">
      <c r="B174" s="203">
        <v>382</v>
      </c>
      <c r="C174" s="204" t="s">
        <v>794</v>
      </c>
      <c r="D174" s="205" t="s">
        <v>873</v>
      </c>
      <c r="E174" s="205" t="s">
        <v>1519</v>
      </c>
      <c r="F174" s="205" t="s">
        <v>876</v>
      </c>
      <c r="G174" s="206" t="s">
        <v>1232</v>
      </c>
      <c r="H174" s="207" t="s">
        <v>595</v>
      </c>
      <c r="I174" s="125" t="s">
        <v>636</v>
      </c>
      <c r="J174" s="126" t="s">
        <v>615</v>
      </c>
    </row>
    <row r="175" spans="2:10" ht="43.2" x14ac:dyDescent="0.3">
      <c r="B175" s="203">
        <v>381</v>
      </c>
      <c r="C175" s="204" t="s">
        <v>794</v>
      </c>
      <c r="D175" s="205" t="s">
        <v>873</v>
      </c>
      <c r="E175" s="205" t="s">
        <v>1519</v>
      </c>
      <c r="F175" s="205" t="s">
        <v>875</v>
      </c>
      <c r="G175" s="206" t="s">
        <v>1635</v>
      </c>
      <c r="H175" s="207" t="s">
        <v>595</v>
      </c>
      <c r="I175" s="125" t="s">
        <v>596</v>
      </c>
      <c r="J175" s="126" t="s">
        <v>615</v>
      </c>
    </row>
    <row r="176" spans="2:10" ht="28.8" x14ac:dyDescent="0.3">
      <c r="B176" s="203">
        <v>900</v>
      </c>
      <c r="C176" s="204" t="s">
        <v>794</v>
      </c>
      <c r="D176" s="205" t="s">
        <v>972</v>
      </c>
      <c r="E176" s="205" t="s">
        <v>1519</v>
      </c>
      <c r="F176" s="205" t="s">
        <v>973</v>
      </c>
      <c r="G176" s="206" t="s">
        <v>974</v>
      </c>
      <c r="H176" s="207" t="s">
        <v>595</v>
      </c>
      <c r="I176" s="125" t="s">
        <v>975</v>
      </c>
      <c r="J176" s="126" t="s">
        <v>600</v>
      </c>
    </row>
    <row r="177" spans="2:10" ht="57.6" x14ac:dyDescent="0.3">
      <c r="B177" s="203">
        <v>928</v>
      </c>
      <c r="C177" s="204" t="s">
        <v>794</v>
      </c>
      <c r="D177" s="205" t="s">
        <v>1556</v>
      </c>
      <c r="E177" s="205" t="s">
        <v>1519</v>
      </c>
      <c r="F177" s="205" t="s">
        <v>989</v>
      </c>
      <c r="G177" s="206" t="s">
        <v>990</v>
      </c>
      <c r="H177" s="207" t="s">
        <v>595</v>
      </c>
      <c r="I177" s="125" t="s">
        <v>991</v>
      </c>
      <c r="J177" s="126" t="s">
        <v>600</v>
      </c>
    </row>
    <row r="178" spans="2:10" ht="43.2" x14ac:dyDescent="0.3">
      <c r="B178" s="203">
        <v>828</v>
      </c>
      <c r="C178" s="204" t="s">
        <v>794</v>
      </c>
      <c r="D178" s="205" t="s">
        <v>1556</v>
      </c>
      <c r="E178" s="205" t="s">
        <v>1519</v>
      </c>
      <c r="F178" s="205" t="s">
        <v>945</v>
      </c>
      <c r="G178" s="206" t="s">
        <v>1633</v>
      </c>
      <c r="H178" s="207" t="s">
        <v>595</v>
      </c>
      <c r="I178" s="125" t="s">
        <v>636</v>
      </c>
      <c r="J178" s="126" t="s">
        <v>600</v>
      </c>
    </row>
    <row r="179" spans="2:10" ht="100.8" x14ac:dyDescent="0.3">
      <c r="B179" s="203">
        <v>942</v>
      </c>
      <c r="C179" s="204" t="s">
        <v>794</v>
      </c>
      <c r="D179" s="205" t="s">
        <v>920</v>
      </c>
      <c r="E179" s="205" t="s">
        <v>1519</v>
      </c>
      <c r="F179" s="205" t="s">
        <v>1016</v>
      </c>
      <c r="G179" s="206" t="s">
        <v>1017</v>
      </c>
      <c r="H179" s="207" t="s">
        <v>595</v>
      </c>
      <c r="I179" s="125" t="s">
        <v>596</v>
      </c>
      <c r="J179" s="126" t="s">
        <v>600</v>
      </c>
    </row>
    <row r="180" spans="2:10" ht="57.6" x14ac:dyDescent="0.3">
      <c r="B180" s="203">
        <v>931</v>
      </c>
      <c r="C180" s="204" t="s">
        <v>794</v>
      </c>
      <c r="D180" s="205" t="s">
        <v>1556</v>
      </c>
      <c r="E180" s="205" t="s">
        <v>1519</v>
      </c>
      <c r="F180" s="205" t="s">
        <v>996</v>
      </c>
      <c r="G180" s="206" t="s">
        <v>995</v>
      </c>
      <c r="H180" s="207" t="s">
        <v>595</v>
      </c>
      <c r="I180" s="125" t="s">
        <v>596</v>
      </c>
      <c r="J180" s="126" t="s">
        <v>600</v>
      </c>
    </row>
    <row r="181" spans="2:10" ht="43.2" x14ac:dyDescent="0.3">
      <c r="B181" s="203">
        <v>993</v>
      </c>
      <c r="C181" s="204" t="s">
        <v>794</v>
      </c>
      <c r="D181" s="205" t="s">
        <v>877</v>
      </c>
      <c r="E181" s="205" t="s">
        <v>1519</v>
      </c>
      <c r="F181" s="205" t="s">
        <v>1106</v>
      </c>
      <c r="G181" s="206" t="s">
        <v>1107</v>
      </c>
      <c r="H181" s="207" t="s">
        <v>595</v>
      </c>
      <c r="I181" s="125" t="s">
        <v>596</v>
      </c>
      <c r="J181" s="126" t="s">
        <v>600</v>
      </c>
    </row>
    <row r="182" spans="2:10" ht="28.8" x14ac:dyDescent="0.3">
      <c r="B182" s="203">
        <v>41</v>
      </c>
      <c r="C182" s="204" t="s">
        <v>756</v>
      </c>
      <c r="D182" s="205" t="s">
        <v>757</v>
      </c>
      <c r="E182" s="205" t="s">
        <v>1519</v>
      </c>
      <c r="F182" s="205" t="s">
        <v>781</v>
      </c>
      <c r="G182" s="206" t="s">
        <v>782</v>
      </c>
      <c r="H182" s="207" t="s">
        <v>595</v>
      </c>
      <c r="I182" s="125" t="s">
        <v>622</v>
      </c>
      <c r="J182" s="126" t="s">
        <v>600</v>
      </c>
    </row>
    <row r="183" spans="2:10" ht="115.2" x14ac:dyDescent="0.3">
      <c r="B183" s="203">
        <v>38</v>
      </c>
      <c r="C183" s="204" t="s">
        <v>756</v>
      </c>
      <c r="D183" s="205" t="s">
        <v>757</v>
      </c>
      <c r="E183" s="205" t="s">
        <v>1519</v>
      </c>
      <c r="F183" s="205" t="s">
        <v>779</v>
      </c>
      <c r="G183" s="206" t="s">
        <v>780</v>
      </c>
      <c r="H183" s="207" t="s">
        <v>595</v>
      </c>
      <c r="I183" s="125" t="s">
        <v>596</v>
      </c>
      <c r="J183" s="126" t="s">
        <v>600</v>
      </c>
    </row>
    <row r="184" spans="2:10" ht="43.2" x14ac:dyDescent="0.3">
      <c r="B184" s="203">
        <v>17</v>
      </c>
      <c r="C184" s="204" t="s">
        <v>756</v>
      </c>
      <c r="D184" s="205" t="s">
        <v>757</v>
      </c>
      <c r="E184" s="205" t="s">
        <v>1519</v>
      </c>
      <c r="F184" s="205" t="s">
        <v>758</v>
      </c>
      <c r="G184" s="206" t="s">
        <v>759</v>
      </c>
      <c r="H184" s="207" t="s">
        <v>595</v>
      </c>
      <c r="I184" s="125" t="s">
        <v>636</v>
      </c>
      <c r="J184" s="126" t="s">
        <v>600</v>
      </c>
    </row>
    <row r="185" spans="2:10" ht="57.6" x14ac:dyDescent="0.3">
      <c r="B185" s="203">
        <v>18</v>
      </c>
      <c r="C185" s="204" t="s">
        <v>756</v>
      </c>
      <c r="D185" s="205" t="s">
        <v>757</v>
      </c>
      <c r="E185" s="205" t="s">
        <v>1519</v>
      </c>
      <c r="F185" s="205" t="s">
        <v>760</v>
      </c>
      <c r="G185" s="206" t="s">
        <v>1598</v>
      </c>
      <c r="H185" s="207" t="s">
        <v>595</v>
      </c>
      <c r="I185" s="125" t="s">
        <v>596</v>
      </c>
      <c r="J185" s="126" t="s">
        <v>600</v>
      </c>
    </row>
    <row r="186" spans="2:10" ht="57.6" x14ac:dyDescent="0.3">
      <c r="B186" s="203">
        <v>994</v>
      </c>
      <c r="C186" s="204" t="s">
        <v>794</v>
      </c>
      <c r="D186" s="205" t="s">
        <v>877</v>
      </c>
      <c r="E186" s="205" t="s">
        <v>1519</v>
      </c>
      <c r="F186" s="205" t="s">
        <v>1108</v>
      </c>
      <c r="G186" s="206" t="s">
        <v>1109</v>
      </c>
      <c r="H186" s="207" t="s">
        <v>595</v>
      </c>
      <c r="I186" s="125" t="s">
        <v>596</v>
      </c>
      <c r="J186" s="126" t="s">
        <v>600</v>
      </c>
    </row>
    <row r="187" spans="2:10" ht="57.6" x14ac:dyDescent="0.3">
      <c r="B187" s="203">
        <v>924</v>
      </c>
      <c r="C187" s="204" t="s">
        <v>794</v>
      </c>
      <c r="D187" s="205" t="s">
        <v>1556</v>
      </c>
      <c r="E187" s="205" t="s">
        <v>1519</v>
      </c>
      <c r="F187" s="205" t="s">
        <v>981</v>
      </c>
      <c r="G187" s="206" t="s">
        <v>982</v>
      </c>
      <c r="H187" s="207" t="s">
        <v>980</v>
      </c>
      <c r="I187" s="125" t="s">
        <v>622</v>
      </c>
      <c r="J187" s="126" t="s">
        <v>600</v>
      </c>
    </row>
    <row r="188" spans="2:10" ht="244.8" x14ac:dyDescent="0.3">
      <c r="B188" s="203">
        <v>1027</v>
      </c>
      <c r="C188" s="204" t="s">
        <v>794</v>
      </c>
      <c r="D188" s="205" t="s">
        <v>920</v>
      </c>
      <c r="E188" s="205" t="s">
        <v>1519</v>
      </c>
      <c r="F188" s="205" t="s">
        <v>1178</v>
      </c>
      <c r="G188" s="206" t="s">
        <v>1179</v>
      </c>
      <c r="H188" s="207" t="s">
        <v>980</v>
      </c>
      <c r="I188" s="125" t="s">
        <v>622</v>
      </c>
      <c r="J188" s="126" t="s">
        <v>600</v>
      </c>
    </row>
    <row r="189" spans="2:10" ht="43.2" x14ac:dyDescent="0.3">
      <c r="B189" s="203">
        <v>923</v>
      </c>
      <c r="C189" s="204" t="s">
        <v>794</v>
      </c>
      <c r="D189" s="205" t="s">
        <v>1556</v>
      </c>
      <c r="E189" s="205" t="s">
        <v>1519</v>
      </c>
      <c r="F189" s="205" t="s">
        <v>978</v>
      </c>
      <c r="G189" s="206" t="s">
        <v>979</v>
      </c>
      <c r="H189" s="207" t="s">
        <v>980</v>
      </c>
      <c r="I189" s="125" t="s">
        <v>622</v>
      </c>
      <c r="J189" s="126" t="s">
        <v>600</v>
      </c>
    </row>
    <row r="190" spans="2:10" ht="43.2" x14ac:dyDescent="0.3">
      <c r="B190" s="203">
        <v>929</v>
      </c>
      <c r="C190" s="204" t="s">
        <v>794</v>
      </c>
      <c r="D190" s="205" t="s">
        <v>1556</v>
      </c>
      <c r="E190" s="205" t="s">
        <v>1519</v>
      </c>
      <c r="F190" s="205" t="s">
        <v>992</v>
      </c>
      <c r="G190" s="206" t="s">
        <v>993</v>
      </c>
      <c r="H190" s="207" t="s">
        <v>980</v>
      </c>
      <c r="I190" s="125" t="s">
        <v>622</v>
      </c>
      <c r="J190" s="126" t="s">
        <v>600</v>
      </c>
    </row>
    <row r="191" spans="2:10" ht="57.6" x14ac:dyDescent="0.3">
      <c r="B191" s="203">
        <v>1039</v>
      </c>
      <c r="C191" s="204" t="s">
        <v>794</v>
      </c>
      <c r="D191" s="205" t="s">
        <v>873</v>
      </c>
      <c r="E191" s="205" t="s">
        <v>1519</v>
      </c>
      <c r="F191" s="205" t="s">
        <v>1204</v>
      </c>
      <c r="G191" s="206" t="s">
        <v>1205</v>
      </c>
      <c r="H191" s="207" t="s">
        <v>980</v>
      </c>
      <c r="I191" s="125" t="s">
        <v>622</v>
      </c>
      <c r="J191" s="126" t="s">
        <v>600</v>
      </c>
    </row>
    <row r="192" spans="2:10" ht="115.2" x14ac:dyDescent="0.3">
      <c r="B192" s="203">
        <v>1041</v>
      </c>
      <c r="C192" s="204" t="s">
        <v>794</v>
      </c>
      <c r="D192" s="205" t="s">
        <v>873</v>
      </c>
      <c r="E192" s="205" t="s">
        <v>1519</v>
      </c>
      <c r="F192" s="205" t="s">
        <v>1206</v>
      </c>
      <c r="G192" s="206" t="s">
        <v>1207</v>
      </c>
      <c r="H192" s="207" t="s">
        <v>1120</v>
      </c>
      <c r="I192" s="125" t="s">
        <v>622</v>
      </c>
      <c r="J192" s="126" t="s">
        <v>600</v>
      </c>
    </row>
    <row r="193" spans="2:10" ht="86.4" x14ac:dyDescent="0.3">
      <c r="B193" s="203">
        <v>1042</v>
      </c>
      <c r="C193" s="204" t="s">
        <v>794</v>
      </c>
      <c r="D193" s="205" t="s">
        <v>873</v>
      </c>
      <c r="E193" s="205" t="s">
        <v>1519</v>
      </c>
      <c r="F193" s="205" t="s">
        <v>1208</v>
      </c>
      <c r="G193" s="206" t="s">
        <v>1209</v>
      </c>
      <c r="H193" s="207" t="s">
        <v>621</v>
      </c>
      <c r="I193" s="125" t="s">
        <v>622</v>
      </c>
      <c r="J193" s="126" t="s">
        <v>615</v>
      </c>
    </row>
    <row r="194" spans="2:10" ht="57.6" x14ac:dyDescent="0.3">
      <c r="B194" s="203">
        <v>1003</v>
      </c>
      <c r="C194" s="204" t="s">
        <v>794</v>
      </c>
      <c r="D194" s="205" t="s">
        <v>931</v>
      </c>
      <c r="E194" s="205" t="s">
        <v>1519</v>
      </c>
      <c r="F194" s="205" t="s">
        <v>1127</v>
      </c>
      <c r="G194" s="206" t="s">
        <v>1128</v>
      </c>
      <c r="H194" s="207" t="s">
        <v>980</v>
      </c>
      <c r="I194" s="125" t="s">
        <v>596</v>
      </c>
      <c r="J194" s="126" t="s">
        <v>600</v>
      </c>
    </row>
    <row r="195" spans="2:10" ht="57.6" x14ac:dyDescent="0.3">
      <c r="B195" s="203">
        <v>1044</v>
      </c>
      <c r="C195" s="204" t="s">
        <v>794</v>
      </c>
      <c r="D195" s="205" t="s">
        <v>873</v>
      </c>
      <c r="E195" s="205" t="s">
        <v>1519</v>
      </c>
      <c r="F195" s="205" t="s">
        <v>1212</v>
      </c>
      <c r="G195" s="206" t="s">
        <v>1213</v>
      </c>
      <c r="H195" s="207" t="s">
        <v>980</v>
      </c>
      <c r="I195" s="125" t="s">
        <v>622</v>
      </c>
      <c r="J195" s="126" t="s">
        <v>600</v>
      </c>
    </row>
    <row r="196" spans="2:10" ht="115.2" x14ac:dyDescent="0.3">
      <c r="B196" s="203">
        <v>1045</v>
      </c>
      <c r="C196" s="204" t="s">
        <v>794</v>
      </c>
      <c r="D196" s="205" t="s">
        <v>873</v>
      </c>
      <c r="E196" s="205" t="s">
        <v>1519</v>
      </c>
      <c r="F196" s="205" t="s">
        <v>1214</v>
      </c>
      <c r="G196" s="206" t="s">
        <v>1215</v>
      </c>
      <c r="H196" s="207" t="s">
        <v>621</v>
      </c>
      <c r="I196" s="125" t="s">
        <v>622</v>
      </c>
      <c r="J196" s="126" t="s">
        <v>600</v>
      </c>
    </row>
    <row r="197" spans="2:10" ht="28.8" x14ac:dyDescent="0.3">
      <c r="B197" s="203">
        <v>1047</v>
      </c>
      <c r="C197" s="204" t="s">
        <v>794</v>
      </c>
      <c r="D197" s="205" t="s">
        <v>873</v>
      </c>
      <c r="E197" s="205" t="s">
        <v>1519</v>
      </c>
      <c r="F197" s="205" t="s">
        <v>1217</v>
      </c>
      <c r="G197" s="206" t="s">
        <v>1218</v>
      </c>
      <c r="H197" s="207" t="s">
        <v>621</v>
      </c>
      <c r="I197" s="125" t="s">
        <v>622</v>
      </c>
      <c r="J197" s="126" t="s">
        <v>600</v>
      </c>
    </row>
    <row r="198" spans="2:10" ht="144" x14ac:dyDescent="0.3">
      <c r="B198" s="203">
        <v>1037</v>
      </c>
      <c r="C198" s="204" t="s">
        <v>794</v>
      </c>
      <c r="D198" s="205" t="s">
        <v>873</v>
      </c>
      <c r="E198" s="205" t="s">
        <v>1519</v>
      </c>
      <c r="F198" s="205" t="s">
        <v>1200</v>
      </c>
      <c r="G198" s="206" t="s">
        <v>1201</v>
      </c>
      <c r="H198" s="207" t="s">
        <v>1202</v>
      </c>
      <c r="I198" s="125" t="s">
        <v>622</v>
      </c>
      <c r="J198" s="126" t="s">
        <v>615</v>
      </c>
    </row>
    <row r="199" spans="2:10" ht="72" x14ac:dyDescent="0.3">
      <c r="B199" s="203">
        <v>956</v>
      </c>
      <c r="C199" s="204" t="s">
        <v>794</v>
      </c>
      <c r="D199" s="205" t="s">
        <v>894</v>
      </c>
      <c r="E199" s="205" t="s">
        <v>1519</v>
      </c>
      <c r="F199" s="205" t="s">
        <v>1045</v>
      </c>
      <c r="G199" s="206" t="s">
        <v>1046</v>
      </c>
      <c r="H199" s="207" t="s">
        <v>621</v>
      </c>
      <c r="I199" s="125" t="s">
        <v>622</v>
      </c>
      <c r="J199" s="126" t="s">
        <v>600</v>
      </c>
    </row>
    <row r="200" spans="2:10" ht="144" x14ac:dyDescent="0.3">
      <c r="B200" s="203">
        <v>944</v>
      </c>
      <c r="C200" s="204" t="s">
        <v>794</v>
      </c>
      <c r="D200" s="205" t="s">
        <v>920</v>
      </c>
      <c r="E200" s="205" t="s">
        <v>1519</v>
      </c>
      <c r="F200" s="205" t="s">
        <v>1020</v>
      </c>
      <c r="G200" s="206" t="s">
        <v>1021</v>
      </c>
      <c r="H200" s="207" t="s">
        <v>621</v>
      </c>
      <c r="I200" s="125" t="s">
        <v>622</v>
      </c>
      <c r="J200" s="126" t="s">
        <v>600</v>
      </c>
    </row>
    <row r="201" spans="2:10" ht="115.2" x14ac:dyDescent="0.3">
      <c r="B201" s="203">
        <v>943</v>
      </c>
      <c r="C201" s="204" t="s">
        <v>794</v>
      </c>
      <c r="D201" s="205" t="s">
        <v>920</v>
      </c>
      <c r="E201" s="205" t="s">
        <v>1519</v>
      </c>
      <c r="F201" s="205" t="s">
        <v>1018</v>
      </c>
      <c r="G201" s="206" t="s">
        <v>1019</v>
      </c>
      <c r="H201" s="207" t="s">
        <v>621</v>
      </c>
      <c r="I201" s="125" t="s">
        <v>622</v>
      </c>
      <c r="J201" s="126" t="s">
        <v>600</v>
      </c>
    </row>
    <row r="202" spans="2:10" ht="57.6" x14ac:dyDescent="0.3">
      <c r="B202" s="203">
        <v>935</v>
      </c>
      <c r="C202" s="204" t="s">
        <v>794</v>
      </c>
      <c r="D202" s="205" t="s">
        <v>972</v>
      </c>
      <c r="E202" s="205" t="s">
        <v>1519</v>
      </c>
      <c r="F202" s="205" t="s">
        <v>1003</v>
      </c>
      <c r="G202" s="206" t="s">
        <v>1004</v>
      </c>
      <c r="H202" s="207" t="s">
        <v>621</v>
      </c>
      <c r="I202" s="125" t="s">
        <v>622</v>
      </c>
      <c r="J202" s="126" t="s">
        <v>600</v>
      </c>
    </row>
    <row r="203" spans="2:10" ht="115.2" x14ac:dyDescent="0.3">
      <c r="B203" s="203">
        <v>987</v>
      </c>
      <c r="C203" s="204" t="s">
        <v>794</v>
      </c>
      <c r="D203" s="205" t="s">
        <v>870</v>
      </c>
      <c r="E203" s="205" t="s">
        <v>1519</v>
      </c>
      <c r="F203" s="205" t="s">
        <v>1096</v>
      </c>
      <c r="G203" s="206" t="s">
        <v>1097</v>
      </c>
      <c r="H203" s="207" t="s">
        <v>1067</v>
      </c>
      <c r="I203" s="125" t="s">
        <v>622</v>
      </c>
      <c r="J203" s="126" t="s">
        <v>600</v>
      </c>
    </row>
    <row r="204" spans="2:10" ht="43.2" x14ac:dyDescent="0.3">
      <c r="B204" s="203">
        <v>1011</v>
      </c>
      <c r="C204" s="204" t="s">
        <v>794</v>
      </c>
      <c r="D204" s="205" t="s">
        <v>931</v>
      </c>
      <c r="E204" s="205" t="s">
        <v>1519</v>
      </c>
      <c r="F204" s="205" t="s">
        <v>1141</v>
      </c>
      <c r="G204" s="206" t="s">
        <v>1142</v>
      </c>
      <c r="H204" s="207" t="s">
        <v>595</v>
      </c>
      <c r="I204" s="125" t="s">
        <v>596</v>
      </c>
      <c r="J204" s="126" t="s">
        <v>600</v>
      </c>
    </row>
    <row r="205" spans="2:10" ht="28.8" x14ac:dyDescent="0.3">
      <c r="B205" s="203">
        <v>997</v>
      </c>
      <c r="C205" s="204" t="s">
        <v>794</v>
      </c>
      <c r="D205" s="205" t="s">
        <v>1112</v>
      </c>
      <c r="E205" s="205" t="s">
        <v>1519</v>
      </c>
      <c r="F205" s="205" t="s">
        <v>1115</v>
      </c>
      <c r="G205" s="206" t="s">
        <v>1116</v>
      </c>
      <c r="H205" s="207" t="s">
        <v>1117</v>
      </c>
      <c r="I205" s="125" t="s">
        <v>596</v>
      </c>
      <c r="J205" s="126" t="s">
        <v>600</v>
      </c>
    </row>
    <row r="206" spans="2:10" ht="57.6" x14ac:dyDescent="0.3">
      <c r="B206" s="203">
        <v>966</v>
      </c>
      <c r="C206" s="204" t="s">
        <v>794</v>
      </c>
      <c r="D206" s="205" t="s">
        <v>894</v>
      </c>
      <c r="E206" s="205" t="s">
        <v>1519</v>
      </c>
      <c r="F206" s="205" t="s">
        <v>1068</v>
      </c>
      <c r="G206" s="206" t="s">
        <v>1069</v>
      </c>
      <c r="H206" s="207" t="s">
        <v>980</v>
      </c>
      <c r="I206" s="125" t="s">
        <v>622</v>
      </c>
      <c r="J206" s="126" t="s">
        <v>600</v>
      </c>
    </row>
    <row r="207" spans="2:10" ht="100.8" x14ac:dyDescent="0.3">
      <c r="B207" s="203">
        <v>945</v>
      </c>
      <c r="C207" s="204" t="s">
        <v>794</v>
      </c>
      <c r="D207" s="205" t="s">
        <v>920</v>
      </c>
      <c r="E207" s="205" t="s">
        <v>1519</v>
      </c>
      <c r="F207" s="205" t="s">
        <v>1022</v>
      </c>
      <c r="G207" s="206" t="s">
        <v>1023</v>
      </c>
      <c r="H207" s="207" t="s">
        <v>621</v>
      </c>
      <c r="I207" s="125" t="s">
        <v>622</v>
      </c>
      <c r="J207" s="126" t="s">
        <v>600</v>
      </c>
    </row>
    <row r="208" spans="2:10" ht="72" x14ac:dyDescent="0.3">
      <c r="B208" s="203">
        <v>1034</v>
      </c>
      <c r="C208" s="204" t="s">
        <v>794</v>
      </c>
      <c r="D208" s="205" t="s">
        <v>873</v>
      </c>
      <c r="E208" s="205" t="s">
        <v>1519</v>
      </c>
      <c r="F208" s="205" t="s">
        <v>1192</v>
      </c>
      <c r="G208" s="206" t="s">
        <v>1193</v>
      </c>
      <c r="H208" s="207" t="s">
        <v>621</v>
      </c>
      <c r="I208" s="125" t="s">
        <v>41</v>
      </c>
      <c r="J208" s="126" t="s">
        <v>600</v>
      </c>
    </row>
    <row r="209" spans="2:10" ht="57.6" x14ac:dyDescent="0.3">
      <c r="B209" s="203">
        <v>1052</v>
      </c>
      <c r="C209" s="204" t="s">
        <v>794</v>
      </c>
      <c r="D209" s="205" t="s">
        <v>873</v>
      </c>
      <c r="E209" s="205" t="s">
        <v>1519</v>
      </c>
      <c r="F209" s="205" t="s">
        <v>1227</v>
      </c>
      <c r="G209" s="206" t="s">
        <v>1223</v>
      </c>
      <c r="H209" s="207" t="s">
        <v>980</v>
      </c>
      <c r="I209" s="125" t="s">
        <v>622</v>
      </c>
      <c r="J209" s="126" t="s">
        <v>600</v>
      </c>
    </row>
    <row r="210" spans="2:10" ht="43.2" x14ac:dyDescent="0.3">
      <c r="B210" s="203">
        <v>1058</v>
      </c>
      <c r="C210" s="204" t="s">
        <v>794</v>
      </c>
      <c r="D210" s="205" t="s">
        <v>873</v>
      </c>
      <c r="E210" s="205" t="s">
        <v>1519</v>
      </c>
      <c r="F210" s="205" t="s">
        <v>1235</v>
      </c>
      <c r="G210" s="206" t="s">
        <v>1236</v>
      </c>
      <c r="H210" s="207" t="s">
        <v>1067</v>
      </c>
      <c r="I210" s="125" t="s">
        <v>596</v>
      </c>
      <c r="J210" s="126" t="s">
        <v>615</v>
      </c>
    </row>
    <row r="211" spans="2:10" ht="72" x14ac:dyDescent="0.3">
      <c r="B211" s="203">
        <v>950</v>
      </c>
      <c r="C211" s="204" t="s">
        <v>794</v>
      </c>
      <c r="D211" s="205" t="s">
        <v>1030</v>
      </c>
      <c r="E211" s="205" t="s">
        <v>1519</v>
      </c>
      <c r="F211" s="205" t="s">
        <v>1033</v>
      </c>
      <c r="G211" s="206" t="s">
        <v>1636</v>
      </c>
      <c r="H211" s="207" t="s">
        <v>980</v>
      </c>
      <c r="I211" s="125" t="s">
        <v>596</v>
      </c>
      <c r="J211" s="126" t="s">
        <v>600</v>
      </c>
    </row>
    <row r="212" spans="2:10" ht="144" x14ac:dyDescent="0.3">
      <c r="B212" s="203">
        <v>22</v>
      </c>
      <c r="C212" s="204" t="s">
        <v>756</v>
      </c>
      <c r="D212" s="205" t="s">
        <v>757</v>
      </c>
      <c r="E212" s="205" t="s">
        <v>1519</v>
      </c>
      <c r="F212" s="205" t="s">
        <v>761</v>
      </c>
      <c r="G212" s="206" t="s">
        <v>762</v>
      </c>
      <c r="H212" s="207" t="s">
        <v>595</v>
      </c>
      <c r="I212" s="125" t="s">
        <v>636</v>
      </c>
      <c r="J212" s="126" t="s">
        <v>600</v>
      </c>
    </row>
    <row r="213" spans="2:10" ht="115.2" x14ac:dyDescent="0.3">
      <c r="B213" s="203">
        <v>27</v>
      </c>
      <c r="C213" s="204" t="s">
        <v>756</v>
      </c>
      <c r="D213" s="205" t="s">
        <v>757</v>
      </c>
      <c r="E213" s="205" t="s">
        <v>1519</v>
      </c>
      <c r="F213" s="205" t="s">
        <v>766</v>
      </c>
      <c r="G213" s="206" t="s">
        <v>767</v>
      </c>
      <c r="H213" s="207" t="s">
        <v>595</v>
      </c>
      <c r="I213" s="125" t="s">
        <v>607</v>
      </c>
      <c r="J213" s="126" t="s">
        <v>615</v>
      </c>
    </row>
    <row r="214" spans="2:10" ht="144" x14ac:dyDescent="0.3">
      <c r="B214" s="203">
        <v>28</v>
      </c>
      <c r="C214" s="204" t="s">
        <v>756</v>
      </c>
      <c r="D214" s="205" t="s">
        <v>757</v>
      </c>
      <c r="E214" s="205" t="s">
        <v>1519</v>
      </c>
      <c r="F214" s="205" t="s">
        <v>768</v>
      </c>
      <c r="G214" s="206" t="s">
        <v>769</v>
      </c>
      <c r="H214" s="207" t="s">
        <v>595</v>
      </c>
      <c r="I214" s="125" t="s">
        <v>622</v>
      </c>
      <c r="J214" s="126" t="s">
        <v>600</v>
      </c>
    </row>
    <row r="215" spans="2:10" ht="86.4" x14ac:dyDescent="0.3">
      <c r="B215" s="203">
        <v>30</v>
      </c>
      <c r="C215" s="204" t="s">
        <v>756</v>
      </c>
      <c r="D215" s="205" t="s">
        <v>757</v>
      </c>
      <c r="E215" s="205" t="s">
        <v>1519</v>
      </c>
      <c r="F215" s="205" t="s">
        <v>770</v>
      </c>
      <c r="G215" s="206" t="s">
        <v>771</v>
      </c>
      <c r="H215" s="207" t="s">
        <v>595</v>
      </c>
      <c r="I215" s="125" t="s">
        <v>596</v>
      </c>
      <c r="J215" s="126" t="s">
        <v>600</v>
      </c>
    </row>
    <row r="216" spans="2:10" ht="57.6" x14ac:dyDescent="0.3">
      <c r="B216" s="203">
        <v>930</v>
      </c>
      <c r="C216" s="204" t="s">
        <v>794</v>
      </c>
      <c r="D216" s="205" t="s">
        <v>1556</v>
      </c>
      <c r="E216" s="205" t="s">
        <v>1519</v>
      </c>
      <c r="F216" s="205" t="s">
        <v>994</v>
      </c>
      <c r="G216" s="206" t="s">
        <v>995</v>
      </c>
      <c r="H216" s="207" t="s">
        <v>621</v>
      </c>
      <c r="I216" s="125" t="s">
        <v>622</v>
      </c>
      <c r="J216" s="126" t="s">
        <v>600</v>
      </c>
    </row>
    <row r="217" spans="2:10" ht="129.6" x14ac:dyDescent="0.3">
      <c r="B217" s="203">
        <v>1006</v>
      </c>
      <c r="C217" s="204" t="s">
        <v>794</v>
      </c>
      <c r="D217" s="205" t="s">
        <v>897</v>
      </c>
      <c r="E217" s="205" t="s">
        <v>1519</v>
      </c>
      <c r="F217" s="205" t="s">
        <v>1131</v>
      </c>
      <c r="G217" s="206" t="s">
        <v>1132</v>
      </c>
      <c r="H217" s="207" t="s">
        <v>1120</v>
      </c>
      <c r="I217" s="125" t="s">
        <v>622</v>
      </c>
      <c r="J217" s="126" t="s">
        <v>600</v>
      </c>
    </row>
    <row r="218" spans="2:10" ht="216" x14ac:dyDescent="0.3">
      <c r="B218" s="203">
        <v>1005</v>
      </c>
      <c r="C218" s="204" t="s">
        <v>794</v>
      </c>
      <c r="D218" s="205" t="s">
        <v>931</v>
      </c>
      <c r="E218" s="205" t="s">
        <v>1519</v>
      </c>
      <c r="F218" s="205" t="s">
        <v>1129</v>
      </c>
      <c r="G218" s="206" t="s">
        <v>1130</v>
      </c>
      <c r="H218" s="207" t="s">
        <v>980</v>
      </c>
      <c r="I218" s="125" t="s">
        <v>596</v>
      </c>
      <c r="J218" s="126" t="s">
        <v>600</v>
      </c>
    </row>
    <row r="219" spans="2:10" ht="158.4" x14ac:dyDescent="0.3">
      <c r="B219" s="203">
        <v>1029</v>
      </c>
      <c r="C219" s="204" t="s">
        <v>794</v>
      </c>
      <c r="D219" s="205" t="s">
        <v>920</v>
      </c>
      <c r="E219" s="205" t="s">
        <v>1519</v>
      </c>
      <c r="F219" s="205" t="s">
        <v>1182</v>
      </c>
      <c r="G219" s="206" t="s">
        <v>1183</v>
      </c>
      <c r="H219" s="207" t="s">
        <v>621</v>
      </c>
      <c r="I219" s="125" t="s">
        <v>622</v>
      </c>
      <c r="J219" s="126" t="s">
        <v>615</v>
      </c>
    </row>
    <row r="220" spans="2:10" ht="129.6" x14ac:dyDescent="0.3">
      <c r="B220" s="203">
        <v>1030</v>
      </c>
      <c r="C220" s="204" t="s">
        <v>794</v>
      </c>
      <c r="D220" s="205" t="s">
        <v>920</v>
      </c>
      <c r="E220" s="205" t="s">
        <v>1519</v>
      </c>
      <c r="F220" s="205" t="s">
        <v>1184</v>
      </c>
      <c r="G220" s="206" t="s">
        <v>1185</v>
      </c>
      <c r="H220" s="207" t="s">
        <v>621</v>
      </c>
      <c r="I220" s="125" t="s">
        <v>622</v>
      </c>
      <c r="J220" s="126" t="s">
        <v>600</v>
      </c>
    </row>
    <row r="221" spans="2:10" ht="72" x14ac:dyDescent="0.3">
      <c r="B221" s="203">
        <v>1031</v>
      </c>
      <c r="C221" s="204" t="s">
        <v>794</v>
      </c>
      <c r="D221" s="205" t="s">
        <v>920</v>
      </c>
      <c r="E221" s="205" t="s">
        <v>1519</v>
      </c>
      <c r="F221" s="205" t="s">
        <v>1186</v>
      </c>
      <c r="G221" s="206" t="s">
        <v>1187</v>
      </c>
      <c r="H221" s="207" t="s">
        <v>621</v>
      </c>
      <c r="I221" s="125" t="s">
        <v>41</v>
      </c>
      <c r="J221" s="126" t="s">
        <v>600</v>
      </c>
    </row>
    <row r="222" spans="2:10" ht="72" x14ac:dyDescent="0.3">
      <c r="B222" s="203">
        <v>589</v>
      </c>
      <c r="C222" s="204" t="s">
        <v>794</v>
      </c>
      <c r="D222" s="205" t="s">
        <v>873</v>
      </c>
      <c r="E222" s="205" t="s">
        <v>1519</v>
      </c>
      <c r="F222" s="205" t="s">
        <v>892</v>
      </c>
      <c r="G222" s="206" t="s">
        <v>893</v>
      </c>
      <c r="H222" s="207" t="s">
        <v>621</v>
      </c>
      <c r="I222" s="125" t="s">
        <v>622</v>
      </c>
      <c r="J222" s="126" t="s">
        <v>600</v>
      </c>
    </row>
    <row r="223" spans="2:10" ht="43.2" x14ac:dyDescent="0.3">
      <c r="B223" s="203">
        <v>1043</v>
      </c>
      <c r="C223" s="204" t="s">
        <v>794</v>
      </c>
      <c r="D223" s="205" t="s">
        <v>873</v>
      </c>
      <c r="E223" s="205" t="s">
        <v>1519</v>
      </c>
      <c r="F223" s="205" t="s">
        <v>1210</v>
      </c>
      <c r="G223" s="206" t="s">
        <v>1211</v>
      </c>
      <c r="H223" s="207" t="s">
        <v>980</v>
      </c>
      <c r="I223" s="125" t="s">
        <v>622</v>
      </c>
      <c r="J223" s="126" t="s">
        <v>600</v>
      </c>
    </row>
    <row r="224" spans="2:10" ht="115.2" x14ac:dyDescent="0.3">
      <c r="B224" s="203">
        <v>1033</v>
      </c>
      <c r="C224" s="204" t="s">
        <v>794</v>
      </c>
      <c r="D224" s="205" t="s">
        <v>873</v>
      </c>
      <c r="E224" s="205" t="s">
        <v>1519</v>
      </c>
      <c r="F224" s="205" t="s">
        <v>1190</v>
      </c>
      <c r="G224" s="206" t="s">
        <v>1191</v>
      </c>
      <c r="H224" s="207" t="s">
        <v>980</v>
      </c>
      <c r="I224" s="125" t="s">
        <v>622</v>
      </c>
      <c r="J224" s="126" t="s">
        <v>600</v>
      </c>
    </row>
    <row r="225" spans="2:10" ht="144" x14ac:dyDescent="0.3">
      <c r="B225" s="203">
        <v>1051</v>
      </c>
      <c r="C225" s="204" t="s">
        <v>794</v>
      </c>
      <c r="D225" s="205" t="s">
        <v>873</v>
      </c>
      <c r="E225" s="205" t="s">
        <v>1519</v>
      </c>
      <c r="F225" s="205" t="s">
        <v>1224</v>
      </c>
      <c r="G225" s="206" t="s">
        <v>1225</v>
      </c>
      <c r="H225" s="207" t="s">
        <v>1226</v>
      </c>
      <c r="I225" s="125" t="s">
        <v>622</v>
      </c>
      <c r="J225" s="126" t="s">
        <v>615</v>
      </c>
    </row>
    <row r="226" spans="2:10" ht="57.6" x14ac:dyDescent="0.3">
      <c r="B226" s="203">
        <v>1053</v>
      </c>
      <c r="C226" s="204" t="s">
        <v>794</v>
      </c>
      <c r="D226" s="205" t="s">
        <v>873</v>
      </c>
      <c r="E226" s="205" t="s">
        <v>1519</v>
      </c>
      <c r="F226" s="205" t="s">
        <v>1228</v>
      </c>
      <c r="G226" s="206" t="s">
        <v>1223</v>
      </c>
      <c r="H226" s="207" t="s">
        <v>980</v>
      </c>
      <c r="I226" s="125" t="s">
        <v>622</v>
      </c>
      <c r="J226" s="126" t="s">
        <v>600</v>
      </c>
    </row>
    <row r="227" spans="2:10" ht="100.8" x14ac:dyDescent="0.3">
      <c r="B227" s="203">
        <v>1057</v>
      </c>
      <c r="C227" s="204" t="s">
        <v>794</v>
      </c>
      <c r="D227" s="205" t="s">
        <v>873</v>
      </c>
      <c r="E227" s="205" t="s">
        <v>1519</v>
      </c>
      <c r="F227" s="205" t="s">
        <v>1233</v>
      </c>
      <c r="G227" s="206" t="s">
        <v>1234</v>
      </c>
      <c r="H227" s="207" t="s">
        <v>980</v>
      </c>
      <c r="I227" s="125" t="s">
        <v>641</v>
      </c>
      <c r="J227" s="126" t="s">
        <v>615</v>
      </c>
    </row>
    <row r="228" spans="2:10" ht="144" x14ac:dyDescent="0.3">
      <c r="B228" s="203">
        <v>927</v>
      </c>
      <c r="C228" s="204" t="s">
        <v>794</v>
      </c>
      <c r="D228" s="205" t="s">
        <v>1556</v>
      </c>
      <c r="E228" s="205" t="s">
        <v>1519</v>
      </c>
      <c r="F228" s="205" t="s">
        <v>987</v>
      </c>
      <c r="G228" s="206" t="s">
        <v>988</v>
      </c>
      <c r="H228" s="207" t="s">
        <v>980</v>
      </c>
      <c r="I228" s="125" t="s">
        <v>622</v>
      </c>
      <c r="J228" s="126" t="s">
        <v>600</v>
      </c>
    </row>
    <row r="229" spans="2:10" ht="115.2" x14ac:dyDescent="0.3">
      <c r="B229" s="203">
        <v>82</v>
      </c>
      <c r="C229" s="204" t="s">
        <v>756</v>
      </c>
      <c r="D229" s="205" t="s">
        <v>757</v>
      </c>
      <c r="E229" s="205" t="s">
        <v>1519</v>
      </c>
      <c r="F229" s="205" t="s">
        <v>790</v>
      </c>
      <c r="G229" s="206" t="s">
        <v>786</v>
      </c>
      <c r="H229" s="207" t="s">
        <v>791</v>
      </c>
      <c r="I229" s="125" t="s">
        <v>596</v>
      </c>
      <c r="J229" s="126" t="s">
        <v>600</v>
      </c>
    </row>
    <row r="230" spans="2:10" ht="72" x14ac:dyDescent="0.3">
      <c r="B230" s="203">
        <v>126</v>
      </c>
      <c r="C230" s="204" t="s">
        <v>756</v>
      </c>
      <c r="D230" s="205" t="s">
        <v>757</v>
      </c>
      <c r="E230" s="205" t="s">
        <v>1519</v>
      </c>
      <c r="F230" s="205" t="s">
        <v>800</v>
      </c>
      <c r="G230" s="206" t="s">
        <v>801</v>
      </c>
      <c r="H230" s="207" t="s">
        <v>787</v>
      </c>
      <c r="I230" s="125" t="s">
        <v>622</v>
      </c>
      <c r="J230" s="126" t="s">
        <v>615</v>
      </c>
    </row>
    <row r="231" spans="2:10" ht="115.2" x14ac:dyDescent="0.3">
      <c r="B231" s="203">
        <v>36</v>
      </c>
      <c r="C231" s="204" t="s">
        <v>756</v>
      </c>
      <c r="D231" s="205" t="s">
        <v>757</v>
      </c>
      <c r="E231" s="205" t="s">
        <v>1519</v>
      </c>
      <c r="F231" s="205" t="s">
        <v>777</v>
      </c>
      <c r="G231" s="206" t="s">
        <v>775</v>
      </c>
      <c r="H231" s="207" t="s">
        <v>778</v>
      </c>
      <c r="I231" s="125" t="s">
        <v>596</v>
      </c>
      <c r="J231" s="126" t="s">
        <v>600</v>
      </c>
    </row>
    <row r="232" spans="2:10" ht="129.6" x14ac:dyDescent="0.3">
      <c r="B232" s="203">
        <v>693</v>
      </c>
      <c r="C232" s="204" t="s">
        <v>794</v>
      </c>
      <c r="D232" s="205" t="s">
        <v>894</v>
      </c>
      <c r="E232" s="205" t="s">
        <v>1519</v>
      </c>
      <c r="F232" s="205" t="s">
        <v>907</v>
      </c>
      <c r="G232" s="206" t="s">
        <v>908</v>
      </c>
      <c r="H232" s="207" t="s">
        <v>595</v>
      </c>
      <c r="I232" s="125" t="s">
        <v>41</v>
      </c>
      <c r="J232" s="126" t="s">
        <v>600</v>
      </c>
    </row>
    <row r="233" spans="2:10" ht="28.8" x14ac:dyDescent="0.3">
      <c r="B233" s="203">
        <v>687</v>
      </c>
      <c r="C233" s="204" t="s">
        <v>794</v>
      </c>
      <c r="D233" s="205" t="s">
        <v>894</v>
      </c>
      <c r="E233" s="205" t="s">
        <v>1519</v>
      </c>
      <c r="F233" s="205" t="s">
        <v>905</v>
      </c>
      <c r="G233" s="206" t="s">
        <v>906</v>
      </c>
      <c r="H233" s="207" t="s">
        <v>595</v>
      </c>
      <c r="I233" s="125" t="s">
        <v>607</v>
      </c>
      <c r="J233" s="126" t="s">
        <v>615</v>
      </c>
    </row>
    <row r="234" spans="2:10" ht="115.2" x14ac:dyDescent="0.3">
      <c r="B234" s="203">
        <v>685</v>
      </c>
      <c r="C234" s="204" t="s">
        <v>794</v>
      </c>
      <c r="D234" s="205" t="s">
        <v>894</v>
      </c>
      <c r="E234" s="205" t="s">
        <v>1519</v>
      </c>
      <c r="F234" s="205" t="s">
        <v>903</v>
      </c>
      <c r="G234" s="206" t="s">
        <v>904</v>
      </c>
      <c r="H234" s="207" t="s">
        <v>595</v>
      </c>
      <c r="I234" s="125" t="s">
        <v>41</v>
      </c>
      <c r="J234" s="126" t="s">
        <v>600</v>
      </c>
    </row>
    <row r="235" spans="2:10" ht="57.6" x14ac:dyDescent="0.3">
      <c r="B235" s="203">
        <v>658</v>
      </c>
      <c r="C235" s="204" t="s">
        <v>794</v>
      </c>
      <c r="D235" s="205" t="s">
        <v>897</v>
      </c>
      <c r="E235" s="205" t="s">
        <v>1519</v>
      </c>
      <c r="F235" s="205" t="s">
        <v>900</v>
      </c>
      <c r="G235" s="206" t="s">
        <v>901</v>
      </c>
      <c r="H235" s="207" t="s">
        <v>595</v>
      </c>
      <c r="I235" s="125" t="s">
        <v>902</v>
      </c>
      <c r="J235" s="126" t="s">
        <v>600</v>
      </c>
    </row>
    <row r="236" spans="2:10" ht="72" x14ac:dyDescent="0.3">
      <c r="B236" s="203">
        <v>795</v>
      </c>
      <c r="C236" s="204" t="s">
        <v>794</v>
      </c>
      <c r="D236" s="205" t="s">
        <v>873</v>
      </c>
      <c r="E236" s="205" t="s">
        <v>1519</v>
      </c>
      <c r="F236" s="205" t="s">
        <v>924</v>
      </c>
      <c r="G236" s="206" t="s">
        <v>925</v>
      </c>
      <c r="H236" s="207" t="s">
        <v>595</v>
      </c>
      <c r="I236" s="125" t="s">
        <v>596</v>
      </c>
      <c r="J236" s="126" t="s">
        <v>604</v>
      </c>
    </row>
    <row r="237" spans="2:10" ht="100.8" x14ac:dyDescent="0.3">
      <c r="B237" s="203">
        <v>794</v>
      </c>
      <c r="C237" s="204" t="s">
        <v>756</v>
      </c>
      <c r="D237" s="205" t="s">
        <v>756</v>
      </c>
      <c r="E237" s="205" t="s">
        <v>1519</v>
      </c>
      <c r="F237" s="205" t="s">
        <v>1568</v>
      </c>
      <c r="G237" s="206" t="s">
        <v>923</v>
      </c>
      <c r="H237" s="207" t="s">
        <v>621</v>
      </c>
      <c r="I237" s="125" t="s">
        <v>622</v>
      </c>
      <c r="J237" s="126" t="s">
        <v>600</v>
      </c>
    </row>
    <row r="238" spans="2:10" ht="86.4" x14ac:dyDescent="0.3">
      <c r="B238" s="203">
        <v>784</v>
      </c>
      <c r="C238" s="204" t="s">
        <v>756</v>
      </c>
      <c r="D238" s="205" t="s">
        <v>756</v>
      </c>
      <c r="E238" s="205" t="s">
        <v>1519</v>
      </c>
      <c r="F238" s="205" t="s">
        <v>914</v>
      </c>
      <c r="G238" s="206" t="s">
        <v>915</v>
      </c>
      <c r="H238" s="207" t="s">
        <v>621</v>
      </c>
      <c r="I238" s="125" t="s">
        <v>622</v>
      </c>
      <c r="J238" s="126" t="s">
        <v>600</v>
      </c>
    </row>
    <row r="239" spans="2:10" ht="100.8" x14ac:dyDescent="0.3">
      <c r="B239" s="203">
        <v>868</v>
      </c>
      <c r="C239" s="204" t="s">
        <v>794</v>
      </c>
      <c r="D239" s="205" t="s">
        <v>972</v>
      </c>
      <c r="E239" s="205" t="s">
        <v>1519</v>
      </c>
      <c r="F239" s="205" t="s">
        <v>948</v>
      </c>
      <c r="G239" s="206" t="s">
        <v>949</v>
      </c>
      <c r="H239" s="207" t="s">
        <v>950</v>
      </c>
      <c r="I239" s="125" t="s">
        <v>41</v>
      </c>
      <c r="J239" s="126" t="s">
        <v>600</v>
      </c>
    </row>
    <row r="240" spans="2:10" ht="172.8" x14ac:dyDescent="0.3">
      <c r="B240" s="203">
        <v>890</v>
      </c>
      <c r="C240" s="204" t="s">
        <v>794</v>
      </c>
      <c r="D240" s="205" t="s">
        <v>972</v>
      </c>
      <c r="E240" s="205" t="s">
        <v>1519</v>
      </c>
      <c r="F240" s="205" t="s">
        <v>959</v>
      </c>
      <c r="G240" s="206" t="s">
        <v>960</v>
      </c>
      <c r="H240" s="207" t="s">
        <v>621</v>
      </c>
      <c r="I240" s="125" t="s">
        <v>41</v>
      </c>
      <c r="J240" s="126" t="s">
        <v>600</v>
      </c>
    </row>
    <row r="241" spans="2:10" ht="86.4" x14ac:dyDescent="0.3">
      <c r="B241" s="203">
        <v>86</v>
      </c>
      <c r="C241" s="204" t="s">
        <v>756</v>
      </c>
      <c r="D241" s="205" t="s">
        <v>757</v>
      </c>
      <c r="E241" s="205" t="s">
        <v>1519</v>
      </c>
      <c r="F241" s="205" t="s">
        <v>792</v>
      </c>
      <c r="G241" s="206" t="s">
        <v>793</v>
      </c>
      <c r="H241" s="207" t="s">
        <v>765</v>
      </c>
      <c r="I241" s="125" t="s">
        <v>596</v>
      </c>
      <c r="J241" s="126" t="s">
        <v>600</v>
      </c>
    </row>
    <row r="242" spans="2:10" ht="43.2" x14ac:dyDescent="0.3">
      <c r="B242" s="203">
        <v>1095</v>
      </c>
      <c r="C242" s="204" t="s">
        <v>756</v>
      </c>
      <c r="D242" s="205" t="s">
        <v>756</v>
      </c>
      <c r="E242" s="205" t="s">
        <v>1519</v>
      </c>
      <c r="F242" s="205" t="s">
        <v>1248</v>
      </c>
      <c r="G242" s="206" t="s">
        <v>1249</v>
      </c>
      <c r="H242" s="207" t="s">
        <v>765</v>
      </c>
      <c r="I242" s="125" t="s">
        <v>596</v>
      </c>
      <c r="J242" s="126" t="s">
        <v>600</v>
      </c>
    </row>
    <row r="243" spans="2:10" ht="28.8" x14ac:dyDescent="0.3">
      <c r="B243" s="203">
        <v>783</v>
      </c>
      <c r="C243" s="204" t="s">
        <v>794</v>
      </c>
      <c r="D243" s="205" t="s">
        <v>873</v>
      </c>
      <c r="E243" s="205" t="s">
        <v>1519</v>
      </c>
      <c r="F243" s="205" t="s">
        <v>912</v>
      </c>
      <c r="G243" s="206" t="s">
        <v>913</v>
      </c>
      <c r="H243" s="207" t="s">
        <v>595</v>
      </c>
      <c r="I243" s="125" t="s">
        <v>10</v>
      </c>
      <c r="J243" s="126" t="s">
        <v>604</v>
      </c>
    </row>
    <row r="244" spans="2:10" ht="158.4" x14ac:dyDescent="0.3">
      <c r="B244" s="203">
        <v>796</v>
      </c>
      <c r="C244" s="204" t="s">
        <v>794</v>
      </c>
      <c r="D244" s="205" t="s">
        <v>873</v>
      </c>
      <c r="E244" s="205" t="s">
        <v>1519</v>
      </c>
      <c r="F244" s="205" t="s">
        <v>926</v>
      </c>
      <c r="G244" s="206" t="s">
        <v>927</v>
      </c>
      <c r="H244" s="207" t="s">
        <v>595</v>
      </c>
      <c r="I244" s="125" t="s">
        <v>10</v>
      </c>
      <c r="J244" s="126" t="s">
        <v>604</v>
      </c>
    </row>
    <row r="245" spans="2:10" ht="86.4" x14ac:dyDescent="0.3">
      <c r="B245" s="203">
        <v>798</v>
      </c>
      <c r="C245" s="204" t="s">
        <v>756</v>
      </c>
      <c r="D245" s="205" t="s">
        <v>757</v>
      </c>
      <c r="E245" s="205" t="s">
        <v>1519</v>
      </c>
      <c r="F245" s="205" t="s">
        <v>928</v>
      </c>
      <c r="G245" s="206" t="s">
        <v>929</v>
      </c>
      <c r="H245" s="207" t="s">
        <v>621</v>
      </c>
      <c r="I245" s="125" t="s">
        <v>622</v>
      </c>
      <c r="J245" s="126" t="s">
        <v>600</v>
      </c>
    </row>
    <row r="246" spans="2:10" ht="144" x14ac:dyDescent="0.3">
      <c r="B246" s="203">
        <v>899</v>
      </c>
      <c r="C246" s="204" t="s">
        <v>794</v>
      </c>
      <c r="D246" s="205" t="s">
        <v>894</v>
      </c>
      <c r="E246" s="205" t="s">
        <v>1519</v>
      </c>
      <c r="F246" s="205" t="s">
        <v>970</v>
      </c>
      <c r="G246" s="206" t="s">
        <v>971</v>
      </c>
      <c r="H246" s="207" t="s">
        <v>621</v>
      </c>
      <c r="I246" s="125" t="s">
        <v>706</v>
      </c>
      <c r="J246" s="126" t="s">
        <v>615</v>
      </c>
    </row>
    <row r="247" spans="2:10" ht="115.2" x14ac:dyDescent="0.3">
      <c r="B247" s="203">
        <v>80</v>
      </c>
      <c r="C247" s="204" t="s">
        <v>756</v>
      </c>
      <c r="D247" s="205" t="s">
        <v>757</v>
      </c>
      <c r="E247" s="205" t="s">
        <v>1519</v>
      </c>
      <c r="F247" s="205" t="s">
        <v>785</v>
      </c>
      <c r="G247" s="206" t="s">
        <v>786</v>
      </c>
      <c r="H247" s="207" t="s">
        <v>787</v>
      </c>
      <c r="I247" s="125" t="s">
        <v>622</v>
      </c>
      <c r="J247" s="126" t="s">
        <v>600</v>
      </c>
    </row>
    <row r="248" spans="2:10" ht="28.8" x14ac:dyDescent="0.3">
      <c r="B248" s="203">
        <v>973</v>
      </c>
      <c r="C248" s="204" t="s">
        <v>756</v>
      </c>
      <c r="D248" s="205" t="s">
        <v>756</v>
      </c>
      <c r="E248" s="205" t="s">
        <v>1519</v>
      </c>
      <c r="F248" s="205" t="s">
        <v>1079</v>
      </c>
      <c r="G248" s="206" t="s">
        <v>1080</v>
      </c>
      <c r="H248" s="207" t="s">
        <v>621</v>
      </c>
      <c r="I248" s="125" t="s">
        <v>622</v>
      </c>
      <c r="J248" s="126" t="s">
        <v>600</v>
      </c>
    </row>
    <row r="249" spans="2:10" ht="129.6" x14ac:dyDescent="0.3">
      <c r="B249" s="203">
        <v>805</v>
      </c>
      <c r="C249" s="204" t="s">
        <v>756</v>
      </c>
      <c r="D249" s="205" t="s">
        <v>756</v>
      </c>
      <c r="E249" s="205" t="s">
        <v>1519</v>
      </c>
      <c r="F249" s="205" t="s">
        <v>936</v>
      </c>
      <c r="G249" s="206" t="s">
        <v>1565</v>
      </c>
      <c r="H249" s="207" t="s">
        <v>595</v>
      </c>
      <c r="I249" s="125" t="s">
        <v>622</v>
      </c>
      <c r="J249" s="126" t="s">
        <v>600</v>
      </c>
    </row>
    <row r="250" spans="2:10" ht="72" x14ac:dyDescent="0.3">
      <c r="B250" s="203">
        <v>81</v>
      </c>
      <c r="C250" s="204" t="s">
        <v>756</v>
      </c>
      <c r="D250" s="205" t="s">
        <v>757</v>
      </c>
      <c r="E250" s="205" t="s">
        <v>1519</v>
      </c>
      <c r="F250" s="205" t="s">
        <v>788</v>
      </c>
      <c r="G250" s="206" t="s">
        <v>789</v>
      </c>
      <c r="H250" s="207" t="s">
        <v>787</v>
      </c>
      <c r="I250" s="125" t="s">
        <v>622</v>
      </c>
      <c r="J250" s="126" t="s">
        <v>600</v>
      </c>
    </row>
    <row r="251" spans="2:10" ht="86.4" x14ac:dyDescent="0.3">
      <c r="B251" s="203">
        <v>807</v>
      </c>
      <c r="C251" s="204" t="s">
        <v>794</v>
      </c>
      <c r="D251" s="205" t="s">
        <v>920</v>
      </c>
      <c r="E251" s="205" t="s">
        <v>1519</v>
      </c>
      <c r="F251" s="205" t="s">
        <v>939</v>
      </c>
      <c r="G251" s="206" t="s">
        <v>940</v>
      </c>
      <c r="H251" s="207" t="s">
        <v>595</v>
      </c>
      <c r="I251" s="125" t="s">
        <v>622</v>
      </c>
      <c r="J251" s="126" t="s">
        <v>615</v>
      </c>
    </row>
    <row r="252" spans="2:10" ht="72" x14ac:dyDescent="0.3">
      <c r="B252" s="203">
        <v>812</v>
      </c>
      <c r="C252" s="204" t="s">
        <v>794</v>
      </c>
      <c r="D252" s="205" t="s">
        <v>873</v>
      </c>
      <c r="E252" s="205" t="s">
        <v>1519</v>
      </c>
      <c r="F252" s="205" t="s">
        <v>941</v>
      </c>
      <c r="G252" s="206" t="s">
        <v>942</v>
      </c>
      <c r="H252" s="207" t="s">
        <v>595</v>
      </c>
      <c r="I252" s="125" t="s">
        <v>10</v>
      </c>
      <c r="J252" s="126" t="s">
        <v>604</v>
      </c>
    </row>
    <row r="253" spans="2:10" ht="57.6" x14ac:dyDescent="0.3">
      <c r="B253" s="203">
        <v>888</v>
      </c>
      <c r="C253" s="204" t="s">
        <v>794</v>
      </c>
      <c r="D253" s="205" t="s">
        <v>972</v>
      </c>
      <c r="E253" s="205" t="s">
        <v>1519</v>
      </c>
      <c r="F253" s="205" t="s">
        <v>956</v>
      </c>
      <c r="G253" s="206" t="s">
        <v>957</v>
      </c>
      <c r="H253" s="207" t="s">
        <v>595</v>
      </c>
      <c r="I253" s="125" t="s">
        <v>706</v>
      </c>
      <c r="J253" s="126" t="s">
        <v>600</v>
      </c>
    </row>
    <row r="254" spans="2:10" ht="86.4" x14ac:dyDescent="0.3">
      <c r="B254" s="203">
        <v>892</v>
      </c>
      <c r="C254" s="204" t="s">
        <v>794</v>
      </c>
      <c r="D254" s="205" t="s">
        <v>1556</v>
      </c>
      <c r="E254" s="205" t="s">
        <v>1519</v>
      </c>
      <c r="F254" s="205" t="s">
        <v>964</v>
      </c>
      <c r="G254" s="206" t="s">
        <v>965</v>
      </c>
      <c r="H254" s="207" t="s">
        <v>595</v>
      </c>
      <c r="I254" s="125" t="s">
        <v>596</v>
      </c>
      <c r="J254" s="126" t="s">
        <v>600</v>
      </c>
    </row>
    <row r="255" spans="2:10" ht="100.8" x14ac:dyDescent="0.3">
      <c r="B255" s="203">
        <v>813</v>
      </c>
      <c r="C255" s="204" t="s">
        <v>794</v>
      </c>
      <c r="D255" s="205" t="s">
        <v>873</v>
      </c>
      <c r="E255" s="205" t="s">
        <v>1519</v>
      </c>
      <c r="F255" s="205" t="s">
        <v>943</v>
      </c>
      <c r="G255" s="206" t="s">
        <v>944</v>
      </c>
      <c r="H255" s="207" t="s">
        <v>595</v>
      </c>
      <c r="I255" s="125" t="s">
        <v>902</v>
      </c>
      <c r="J255" s="126" t="s">
        <v>615</v>
      </c>
    </row>
    <row r="256" spans="2:10" ht="28.8" x14ac:dyDescent="0.3">
      <c r="B256" s="203">
        <v>782</v>
      </c>
      <c r="C256" s="204" t="s">
        <v>794</v>
      </c>
      <c r="D256" s="205" t="s">
        <v>873</v>
      </c>
      <c r="E256" s="205" t="s">
        <v>1519</v>
      </c>
      <c r="F256" s="205" t="s">
        <v>910</v>
      </c>
      <c r="G256" s="206" t="s">
        <v>911</v>
      </c>
      <c r="H256" s="207" t="s">
        <v>595</v>
      </c>
      <c r="I256" s="125" t="s">
        <v>10</v>
      </c>
      <c r="J256" s="126" t="s">
        <v>604</v>
      </c>
    </row>
    <row r="257" spans="2:10" ht="43.2" x14ac:dyDescent="0.3">
      <c r="B257" s="203">
        <v>788</v>
      </c>
      <c r="C257" s="204" t="s">
        <v>794</v>
      </c>
      <c r="D257" s="205" t="s">
        <v>920</v>
      </c>
      <c r="E257" s="205" t="s">
        <v>1519</v>
      </c>
      <c r="F257" s="205" t="s">
        <v>918</v>
      </c>
      <c r="G257" s="206" t="s">
        <v>919</v>
      </c>
      <c r="H257" s="207" t="s">
        <v>787</v>
      </c>
      <c r="I257" s="125" t="s">
        <v>622</v>
      </c>
      <c r="J257" s="126" t="s">
        <v>600</v>
      </c>
    </row>
    <row r="258" spans="2:10" ht="115.2" x14ac:dyDescent="0.3">
      <c r="B258" s="203">
        <v>786</v>
      </c>
      <c r="C258" s="204" t="s">
        <v>756</v>
      </c>
      <c r="D258" s="205" t="s">
        <v>756</v>
      </c>
      <c r="E258" s="205" t="s">
        <v>1519</v>
      </c>
      <c r="F258" s="205" t="s">
        <v>916</v>
      </c>
      <c r="G258" s="206" t="s">
        <v>917</v>
      </c>
      <c r="H258" s="207" t="s">
        <v>621</v>
      </c>
      <c r="I258" s="125" t="s">
        <v>622</v>
      </c>
      <c r="J258" s="126" t="s">
        <v>600</v>
      </c>
    </row>
    <row r="259" spans="2:10" ht="100.8" x14ac:dyDescent="0.3">
      <c r="B259" s="203">
        <v>800</v>
      </c>
      <c r="C259" s="204" t="s">
        <v>756</v>
      </c>
      <c r="D259" s="205" t="s">
        <v>757</v>
      </c>
      <c r="E259" s="205" t="s">
        <v>1519</v>
      </c>
      <c r="F259" s="205" t="s">
        <v>930</v>
      </c>
      <c r="G259" s="206" t="s">
        <v>1572</v>
      </c>
      <c r="H259" s="207" t="s">
        <v>621</v>
      </c>
      <c r="I259" s="125" t="s">
        <v>622</v>
      </c>
      <c r="J259" s="126" t="s">
        <v>600</v>
      </c>
    </row>
    <row r="260" spans="2:10" ht="144" x14ac:dyDescent="0.3">
      <c r="B260" s="203">
        <v>947</v>
      </c>
      <c r="C260" s="204" t="s">
        <v>794</v>
      </c>
      <c r="D260" s="205" t="s">
        <v>1556</v>
      </c>
      <c r="E260" s="205" t="s">
        <v>1519</v>
      </c>
      <c r="F260" s="205" t="s">
        <v>1026</v>
      </c>
      <c r="G260" s="206" t="s">
        <v>1027</v>
      </c>
      <c r="H260" s="207" t="s">
        <v>980</v>
      </c>
      <c r="I260" s="125" t="s">
        <v>622</v>
      </c>
      <c r="J260" s="126" t="s">
        <v>600</v>
      </c>
    </row>
    <row r="261" spans="2:10" ht="86.4" x14ac:dyDescent="0.3">
      <c r="B261" s="203">
        <v>948</v>
      </c>
      <c r="C261" s="204" t="s">
        <v>794</v>
      </c>
      <c r="D261" s="205" t="s">
        <v>894</v>
      </c>
      <c r="E261" s="205" t="s">
        <v>1519</v>
      </c>
      <c r="F261" s="205" t="s">
        <v>1028</v>
      </c>
      <c r="G261" s="206" t="s">
        <v>1029</v>
      </c>
      <c r="H261" s="207" t="s">
        <v>621</v>
      </c>
      <c r="I261" s="125" t="s">
        <v>622</v>
      </c>
      <c r="J261" s="126" t="s">
        <v>600</v>
      </c>
    </row>
    <row r="262" spans="2:10" ht="158.4" x14ac:dyDescent="0.3">
      <c r="B262" s="203">
        <v>946</v>
      </c>
      <c r="C262" s="204" t="s">
        <v>794</v>
      </c>
      <c r="D262" s="205" t="s">
        <v>894</v>
      </c>
      <c r="E262" s="205" t="s">
        <v>1519</v>
      </c>
      <c r="F262" s="205" t="s">
        <v>1024</v>
      </c>
      <c r="G262" s="206" t="s">
        <v>1025</v>
      </c>
      <c r="H262" s="207" t="s">
        <v>980</v>
      </c>
      <c r="I262" s="125" t="s">
        <v>622</v>
      </c>
      <c r="J262" s="126" t="s">
        <v>600</v>
      </c>
    </row>
    <row r="263" spans="2:10" ht="72" x14ac:dyDescent="0.3">
      <c r="B263" s="203">
        <v>869</v>
      </c>
      <c r="C263" s="204" t="s">
        <v>794</v>
      </c>
      <c r="D263" s="205" t="s">
        <v>972</v>
      </c>
      <c r="E263" s="205" t="s">
        <v>1519</v>
      </c>
      <c r="F263" s="205" t="s">
        <v>951</v>
      </c>
      <c r="G263" s="206" t="s">
        <v>952</v>
      </c>
      <c r="H263" s="207" t="s">
        <v>621</v>
      </c>
      <c r="I263" s="125" t="s">
        <v>622</v>
      </c>
      <c r="J263" s="126" t="s">
        <v>600</v>
      </c>
    </row>
    <row r="264" spans="2:10" ht="144" x14ac:dyDescent="0.3">
      <c r="B264" s="203">
        <v>885</v>
      </c>
      <c r="C264" s="204" t="s">
        <v>794</v>
      </c>
      <c r="D264" s="205" t="s">
        <v>972</v>
      </c>
      <c r="E264" s="205" t="s">
        <v>1519</v>
      </c>
      <c r="F264" s="205" t="s">
        <v>953</v>
      </c>
      <c r="G264" s="206" t="s">
        <v>954</v>
      </c>
      <c r="H264" s="207" t="s">
        <v>621</v>
      </c>
      <c r="I264" s="125" t="s">
        <v>622</v>
      </c>
      <c r="J264" s="126" t="s">
        <v>600</v>
      </c>
    </row>
    <row r="265" spans="2:10" ht="144" x14ac:dyDescent="0.3">
      <c r="B265" s="203">
        <v>887</v>
      </c>
      <c r="C265" s="204" t="s">
        <v>794</v>
      </c>
      <c r="D265" s="205" t="s">
        <v>972</v>
      </c>
      <c r="E265" s="205" t="s">
        <v>1519</v>
      </c>
      <c r="F265" s="205" t="s">
        <v>955</v>
      </c>
      <c r="G265" s="206" t="s">
        <v>954</v>
      </c>
      <c r="H265" s="207" t="s">
        <v>621</v>
      </c>
      <c r="I265" s="125" t="s">
        <v>622</v>
      </c>
      <c r="J265" s="126" t="s">
        <v>600</v>
      </c>
    </row>
    <row r="266" spans="2:10" ht="57.6" x14ac:dyDescent="0.3">
      <c r="B266" s="203">
        <v>889</v>
      </c>
      <c r="C266" s="204" t="s">
        <v>794</v>
      </c>
      <c r="D266" s="205" t="s">
        <v>972</v>
      </c>
      <c r="E266" s="205" t="s">
        <v>1519</v>
      </c>
      <c r="F266" s="205" t="s">
        <v>958</v>
      </c>
      <c r="G266" s="206" t="s">
        <v>957</v>
      </c>
      <c r="H266" s="207" t="s">
        <v>621</v>
      </c>
      <c r="I266" s="125" t="s">
        <v>622</v>
      </c>
      <c r="J266" s="126" t="s">
        <v>600</v>
      </c>
    </row>
    <row r="267" spans="2:10" ht="244.8" x14ac:dyDescent="0.3">
      <c r="B267" s="203">
        <v>597</v>
      </c>
      <c r="C267" s="204" t="s">
        <v>794</v>
      </c>
      <c r="D267" s="205" t="s">
        <v>894</v>
      </c>
      <c r="E267" s="205" t="s">
        <v>1519</v>
      </c>
      <c r="F267" s="205" t="s">
        <v>1562</v>
      </c>
      <c r="G267" s="206" t="s">
        <v>895</v>
      </c>
      <c r="H267" s="207" t="s">
        <v>595</v>
      </c>
      <c r="I267" s="125" t="s">
        <v>706</v>
      </c>
      <c r="J267" s="126" t="s">
        <v>600</v>
      </c>
    </row>
    <row r="268" spans="2:10" ht="86.4" x14ac:dyDescent="0.3">
      <c r="B268" s="203">
        <v>467</v>
      </c>
      <c r="C268" s="204" t="s">
        <v>794</v>
      </c>
      <c r="D268" s="205" t="s">
        <v>873</v>
      </c>
      <c r="E268" s="205" t="s">
        <v>1519</v>
      </c>
      <c r="F268" s="205" t="s">
        <v>882</v>
      </c>
      <c r="G268" s="206" t="s">
        <v>1567</v>
      </c>
      <c r="H268" s="207" t="s">
        <v>621</v>
      </c>
      <c r="I268" s="125" t="s">
        <v>622</v>
      </c>
      <c r="J268" s="126" t="s">
        <v>600</v>
      </c>
    </row>
    <row r="269" spans="2:10" ht="86.4" x14ac:dyDescent="0.3">
      <c r="B269" s="203">
        <v>376</v>
      </c>
      <c r="C269" s="204" t="s">
        <v>794</v>
      </c>
      <c r="D269" s="205" t="s">
        <v>873</v>
      </c>
      <c r="E269" s="205" t="s">
        <v>1519</v>
      </c>
      <c r="F269" s="205" t="s">
        <v>874</v>
      </c>
      <c r="G269" s="206" t="s">
        <v>1655</v>
      </c>
      <c r="H269" s="207" t="s">
        <v>595</v>
      </c>
      <c r="I269" s="125" t="s">
        <v>596</v>
      </c>
      <c r="J269" s="126" t="s">
        <v>600</v>
      </c>
    </row>
    <row r="270" spans="2:10" ht="129.6" x14ac:dyDescent="0.3">
      <c r="B270" s="203">
        <v>806</v>
      </c>
      <c r="C270" s="204" t="s">
        <v>756</v>
      </c>
      <c r="D270" s="205" t="s">
        <v>756</v>
      </c>
      <c r="E270" s="205" t="s">
        <v>1519</v>
      </c>
      <c r="F270" s="205" t="s">
        <v>937</v>
      </c>
      <c r="G270" s="206" t="s">
        <v>938</v>
      </c>
      <c r="H270" s="207" t="s">
        <v>595</v>
      </c>
      <c r="I270" s="125" t="s">
        <v>622</v>
      </c>
      <c r="J270" s="126" t="s">
        <v>615</v>
      </c>
    </row>
    <row r="271" spans="2:10" ht="158.4" x14ac:dyDescent="0.3">
      <c r="B271" s="203">
        <v>975</v>
      </c>
      <c r="C271" s="204" t="s">
        <v>756</v>
      </c>
      <c r="D271" s="205" t="s">
        <v>757</v>
      </c>
      <c r="E271" s="205" t="s">
        <v>1519</v>
      </c>
      <c r="F271" s="205" t="s">
        <v>1084</v>
      </c>
      <c r="G271" s="206" t="s">
        <v>1085</v>
      </c>
      <c r="H271" s="207" t="s">
        <v>621</v>
      </c>
      <c r="I271" s="125" t="s">
        <v>622</v>
      </c>
      <c r="J271" s="126" t="s">
        <v>600</v>
      </c>
    </row>
    <row r="272" spans="2:10" ht="273.60000000000002" x14ac:dyDescent="0.3">
      <c r="B272" s="203">
        <v>891</v>
      </c>
      <c r="C272" s="204" t="s">
        <v>794</v>
      </c>
      <c r="D272" s="205" t="s">
        <v>894</v>
      </c>
      <c r="E272" s="205" t="s">
        <v>1519</v>
      </c>
      <c r="F272" s="205" t="s">
        <v>961</v>
      </c>
      <c r="G272" s="206" t="s">
        <v>962</v>
      </c>
      <c r="H272" s="207" t="s">
        <v>963</v>
      </c>
      <c r="I272" s="125" t="s">
        <v>641</v>
      </c>
      <c r="J272" s="126" t="s">
        <v>600</v>
      </c>
    </row>
    <row r="273" spans="2:10" ht="230.4" x14ac:dyDescent="0.3">
      <c r="B273" s="203">
        <v>972</v>
      </c>
      <c r="C273" s="204" t="s">
        <v>756</v>
      </c>
      <c r="D273" s="205" t="s">
        <v>756</v>
      </c>
      <c r="E273" s="205" t="s">
        <v>1519</v>
      </c>
      <c r="F273" s="205" t="s">
        <v>1077</v>
      </c>
      <c r="G273" s="206" t="s">
        <v>1078</v>
      </c>
      <c r="H273" s="207" t="s">
        <v>980</v>
      </c>
      <c r="I273" s="125" t="s">
        <v>596</v>
      </c>
      <c r="J273" s="126" t="s">
        <v>600</v>
      </c>
    </row>
    <row r="274" spans="2:10" ht="86.4" x14ac:dyDescent="0.3">
      <c r="B274" s="203">
        <v>804</v>
      </c>
      <c r="C274" s="204" t="s">
        <v>756</v>
      </c>
      <c r="D274" s="205" t="s">
        <v>756</v>
      </c>
      <c r="E274" s="205" t="s">
        <v>1519</v>
      </c>
      <c r="F274" s="205" t="s">
        <v>934</v>
      </c>
      <c r="G274" s="206" t="s">
        <v>935</v>
      </c>
      <c r="H274" s="207" t="s">
        <v>621</v>
      </c>
      <c r="I274" s="125" t="s">
        <v>622</v>
      </c>
      <c r="J274" s="126" t="s">
        <v>600</v>
      </c>
    </row>
    <row r="275" spans="2:10" ht="43.2" x14ac:dyDescent="0.3">
      <c r="B275" s="208">
        <v>802</v>
      </c>
      <c r="C275" s="209" t="s">
        <v>794</v>
      </c>
      <c r="D275" s="210" t="s">
        <v>931</v>
      </c>
      <c r="E275" s="210" t="s">
        <v>1519</v>
      </c>
      <c r="F275" s="210" t="s">
        <v>932</v>
      </c>
      <c r="G275" s="211" t="s">
        <v>933</v>
      </c>
      <c r="H275" s="212" t="s">
        <v>595</v>
      </c>
      <c r="I275" s="200" t="s">
        <v>701</v>
      </c>
      <c r="J275" s="201" t="s">
        <v>600</v>
      </c>
    </row>
    <row r="276" spans="2:10" ht="86.4" x14ac:dyDescent="0.3">
      <c r="B276" s="203">
        <v>33</v>
      </c>
      <c r="C276" s="204" t="s">
        <v>756</v>
      </c>
      <c r="D276" s="205" t="s">
        <v>757</v>
      </c>
      <c r="E276" s="205" t="s">
        <v>1519</v>
      </c>
      <c r="F276" s="205" t="s">
        <v>772</v>
      </c>
      <c r="G276" s="206" t="s">
        <v>773</v>
      </c>
      <c r="H276" s="207" t="s">
        <v>765</v>
      </c>
      <c r="I276" s="125" t="s">
        <v>622</v>
      </c>
      <c r="J276" s="126" t="s">
        <v>600</v>
      </c>
    </row>
    <row r="277" spans="2:10" ht="72" x14ac:dyDescent="0.3">
      <c r="B277" s="203">
        <v>974</v>
      </c>
      <c r="C277" s="204" t="s">
        <v>756</v>
      </c>
      <c r="D277" s="205" t="s">
        <v>756</v>
      </c>
      <c r="E277" s="205" t="s">
        <v>1519</v>
      </c>
      <c r="F277" s="205" t="s">
        <v>1081</v>
      </c>
      <c r="G277" s="206" t="s">
        <v>1082</v>
      </c>
      <c r="H277" s="207" t="s">
        <v>1083</v>
      </c>
      <c r="I277" s="125" t="s">
        <v>622</v>
      </c>
      <c r="J277" s="126" t="s">
        <v>600</v>
      </c>
    </row>
    <row r="278" spans="2:10" ht="28.8" x14ac:dyDescent="0.3">
      <c r="B278" s="203">
        <v>790</v>
      </c>
      <c r="C278" s="204" t="s">
        <v>794</v>
      </c>
      <c r="D278" s="205" t="s">
        <v>920</v>
      </c>
      <c r="E278" s="205" t="s">
        <v>1519</v>
      </c>
      <c r="F278" s="205" t="s">
        <v>921</v>
      </c>
      <c r="G278" s="206" t="s">
        <v>922</v>
      </c>
      <c r="H278" s="207" t="s">
        <v>595</v>
      </c>
      <c r="I278" s="125" t="s">
        <v>622</v>
      </c>
      <c r="J278" s="126" t="s">
        <v>615</v>
      </c>
    </row>
    <row r="279" spans="2:10" ht="115.2" x14ac:dyDescent="0.3">
      <c r="B279" s="203">
        <v>25</v>
      </c>
      <c r="C279" s="204" t="s">
        <v>756</v>
      </c>
      <c r="D279" s="205" t="s">
        <v>757</v>
      </c>
      <c r="E279" s="205" t="s">
        <v>1519</v>
      </c>
      <c r="F279" s="205" t="s">
        <v>763</v>
      </c>
      <c r="G279" s="206" t="s">
        <v>764</v>
      </c>
      <c r="H279" s="207" t="s">
        <v>765</v>
      </c>
      <c r="I279" s="125" t="s">
        <v>607</v>
      </c>
      <c r="J279" s="126" t="s">
        <v>615</v>
      </c>
    </row>
    <row r="280" spans="2:10" ht="129.6" x14ac:dyDescent="0.3">
      <c r="B280" s="203">
        <v>127</v>
      </c>
      <c r="C280" s="204" t="s">
        <v>756</v>
      </c>
      <c r="D280" s="205" t="s">
        <v>757</v>
      </c>
      <c r="E280" s="205" t="s">
        <v>1519</v>
      </c>
      <c r="F280" s="205" t="s">
        <v>802</v>
      </c>
      <c r="G280" s="206" t="s">
        <v>803</v>
      </c>
      <c r="H280" s="207" t="s">
        <v>765</v>
      </c>
      <c r="I280" s="125" t="s">
        <v>596</v>
      </c>
      <c r="J280" s="126" t="s">
        <v>600</v>
      </c>
    </row>
    <row r="281" spans="2:10" ht="115.2" x14ac:dyDescent="0.3">
      <c r="B281" s="208">
        <v>42</v>
      </c>
      <c r="C281" s="209" t="s">
        <v>756</v>
      </c>
      <c r="D281" s="210" t="s">
        <v>757</v>
      </c>
      <c r="E281" s="210" t="s">
        <v>1519</v>
      </c>
      <c r="F281" s="210" t="s">
        <v>783</v>
      </c>
      <c r="G281" s="211" t="s">
        <v>784</v>
      </c>
      <c r="H281" s="212" t="s">
        <v>765</v>
      </c>
      <c r="I281" s="200" t="s">
        <v>607</v>
      </c>
      <c r="J281" s="201" t="s">
        <v>600</v>
      </c>
    </row>
    <row r="282" spans="2:10" ht="115.2" x14ac:dyDescent="0.3">
      <c r="B282" s="208">
        <v>35</v>
      </c>
      <c r="C282" s="209" t="s">
        <v>756</v>
      </c>
      <c r="D282" s="210" t="s">
        <v>757</v>
      </c>
      <c r="E282" s="210" t="s">
        <v>1519</v>
      </c>
      <c r="F282" s="210" t="s">
        <v>774</v>
      </c>
      <c r="G282" s="211" t="s">
        <v>775</v>
      </c>
      <c r="H282" s="212" t="s">
        <v>776</v>
      </c>
      <c r="I282" s="200" t="s">
        <v>607</v>
      </c>
      <c r="J282" s="201" t="s">
        <v>600</v>
      </c>
    </row>
    <row r="283" spans="2:10" ht="115.2" x14ac:dyDescent="0.3">
      <c r="B283" s="203">
        <v>968</v>
      </c>
      <c r="C283" s="204" t="s">
        <v>756</v>
      </c>
      <c r="D283" s="205" t="s">
        <v>756</v>
      </c>
      <c r="E283" s="205" t="s">
        <v>1519</v>
      </c>
      <c r="F283" s="205" t="s">
        <v>1070</v>
      </c>
      <c r="G283" s="206" t="s">
        <v>1071</v>
      </c>
      <c r="H283" s="207" t="s">
        <v>1072</v>
      </c>
      <c r="I283" s="125" t="s">
        <v>622</v>
      </c>
      <c r="J283" s="126" t="s">
        <v>600</v>
      </c>
    </row>
    <row r="284" spans="2:10" ht="144" x14ac:dyDescent="0.3">
      <c r="B284" s="203">
        <v>969</v>
      </c>
      <c r="C284" s="204" t="s">
        <v>756</v>
      </c>
      <c r="D284" s="205" t="s">
        <v>756</v>
      </c>
      <c r="E284" s="205" t="s">
        <v>1519</v>
      </c>
      <c r="F284" s="205" t="s">
        <v>1073</v>
      </c>
      <c r="G284" s="206" t="s">
        <v>1074</v>
      </c>
      <c r="H284" s="207" t="s">
        <v>1072</v>
      </c>
      <c r="I284" s="125" t="s">
        <v>622</v>
      </c>
      <c r="J284" s="126" t="s">
        <v>600</v>
      </c>
    </row>
    <row r="285" spans="2:10" ht="72" x14ac:dyDescent="0.3">
      <c r="B285" s="208">
        <v>970</v>
      </c>
      <c r="C285" s="209" t="s">
        <v>756</v>
      </c>
      <c r="D285" s="210" t="s">
        <v>756</v>
      </c>
      <c r="E285" s="210" t="s">
        <v>1519</v>
      </c>
      <c r="F285" s="210" t="s">
        <v>1075</v>
      </c>
      <c r="G285" s="211" t="s">
        <v>1076</v>
      </c>
      <c r="H285" s="212" t="s">
        <v>980</v>
      </c>
      <c r="I285" s="200" t="s">
        <v>622</v>
      </c>
      <c r="J285" s="201" t="s">
        <v>600</v>
      </c>
    </row>
    <row r="286" spans="2:10" ht="43.2" x14ac:dyDescent="0.3">
      <c r="B286" s="208">
        <v>522</v>
      </c>
      <c r="C286" s="209" t="s">
        <v>1260</v>
      </c>
      <c r="D286" s="210" t="s">
        <v>1273</v>
      </c>
      <c r="E286" s="210" t="s">
        <v>1520</v>
      </c>
      <c r="F286" s="210" t="s">
        <v>1277</v>
      </c>
      <c r="G286" s="211" t="s">
        <v>1278</v>
      </c>
      <c r="H286" s="212" t="s">
        <v>595</v>
      </c>
      <c r="I286" s="200" t="s">
        <v>10</v>
      </c>
      <c r="J286" s="201" t="s">
        <v>604</v>
      </c>
    </row>
    <row r="287" spans="2:10" ht="43.2" x14ac:dyDescent="0.3">
      <c r="B287" s="208">
        <v>1085</v>
      </c>
      <c r="C287" s="209" t="s">
        <v>1260</v>
      </c>
      <c r="D287" s="210" t="s">
        <v>1261</v>
      </c>
      <c r="E287" s="210" t="s">
        <v>1520</v>
      </c>
      <c r="F287" s="210" t="s">
        <v>1290</v>
      </c>
      <c r="G287" s="211" t="s">
        <v>1291</v>
      </c>
      <c r="H287" s="212" t="s">
        <v>621</v>
      </c>
      <c r="I287" s="200" t="s">
        <v>622</v>
      </c>
      <c r="J287" s="201" t="s">
        <v>600</v>
      </c>
    </row>
    <row r="288" spans="2:10" ht="72" x14ac:dyDescent="0.3">
      <c r="B288" s="203">
        <v>1115</v>
      </c>
      <c r="C288" s="204" t="s">
        <v>1260</v>
      </c>
      <c r="D288" s="205" t="s">
        <v>1261</v>
      </c>
      <c r="E288" s="205" t="s">
        <v>1520</v>
      </c>
      <c r="F288" s="205" t="s">
        <v>1295</v>
      </c>
      <c r="G288" s="206" t="s">
        <v>1296</v>
      </c>
      <c r="H288" s="207" t="s">
        <v>1297</v>
      </c>
      <c r="I288" s="125" t="s">
        <v>622</v>
      </c>
      <c r="J288" s="126" t="s">
        <v>600</v>
      </c>
    </row>
    <row r="289" spans="2:10" ht="43.2" x14ac:dyDescent="0.3">
      <c r="B289" s="203">
        <v>1094</v>
      </c>
      <c r="C289" s="204" t="s">
        <v>1260</v>
      </c>
      <c r="D289" s="205" t="s">
        <v>1273</v>
      </c>
      <c r="E289" s="205" t="s">
        <v>1520</v>
      </c>
      <c r="F289" s="205" t="s">
        <v>1293</v>
      </c>
      <c r="G289" s="206" t="s">
        <v>1294</v>
      </c>
      <c r="H289" s="207" t="s">
        <v>595</v>
      </c>
      <c r="I289" s="125" t="s">
        <v>10</v>
      </c>
      <c r="J289" s="126" t="s">
        <v>604</v>
      </c>
    </row>
    <row r="290" spans="2:10" ht="57.6" x14ac:dyDescent="0.3">
      <c r="B290" s="203">
        <v>632</v>
      </c>
      <c r="C290" s="204" t="s">
        <v>1260</v>
      </c>
      <c r="D290" s="205" t="s">
        <v>1273</v>
      </c>
      <c r="E290" s="205" t="s">
        <v>1520</v>
      </c>
      <c r="F290" s="205" t="s">
        <v>1283</v>
      </c>
      <c r="G290" s="206" t="s">
        <v>1560</v>
      </c>
      <c r="H290" s="207" t="s">
        <v>595</v>
      </c>
      <c r="I290" s="125" t="s">
        <v>10</v>
      </c>
      <c r="J290" s="126" t="s">
        <v>604</v>
      </c>
    </row>
    <row r="291" spans="2:10" ht="72" x14ac:dyDescent="0.3">
      <c r="B291" s="203">
        <v>601</v>
      </c>
      <c r="C291" s="204" t="s">
        <v>1260</v>
      </c>
      <c r="D291" s="205" t="s">
        <v>1273</v>
      </c>
      <c r="E291" s="205" t="s">
        <v>1520</v>
      </c>
      <c r="F291" s="205" t="s">
        <v>1279</v>
      </c>
      <c r="G291" s="206" t="s">
        <v>1280</v>
      </c>
      <c r="H291" s="207" t="s">
        <v>595</v>
      </c>
      <c r="I291" s="125" t="s">
        <v>10</v>
      </c>
      <c r="J291" s="126" t="s">
        <v>604</v>
      </c>
    </row>
    <row r="292" spans="2:10" ht="216" x14ac:dyDescent="0.3">
      <c r="B292" s="203">
        <v>774</v>
      </c>
      <c r="C292" s="204" t="s">
        <v>1260</v>
      </c>
      <c r="D292" s="205" t="s">
        <v>1273</v>
      </c>
      <c r="E292" s="205" t="s">
        <v>1520</v>
      </c>
      <c r="F292" s="205" t="s">
        <v>1288</v>
      </c>
      <c r="G292" s="206" t="s">
        <v>1289</v>
      </c>
      <c r="H292" s="207" t="s">
        <v>595</v>
      </c>
      <c r="I292" s="125" t="s">
        <v>701</v>
      </c>
      <c r="J292" s="126" t="s">
        <v>600</v>
      </c>
    </row>
    <row r="293" spans="2:10" ht="273.60000000000002" x14ac:dyDescent="0.3">
      <c r="B293" s="208">
        <v>330</v>
      </c>
      <c r="C293" s="209" t="s">
        <v>1260</v>
      </c>
      <c r="D293" s="210" t="s">
        <v>1261</v>
      </c>
      <c r="E293" s="210" t="s">
        <v>1520</v>
      </c>
      <c r="F293" s="210" t="s">
        <v>1264</v>
      </c>
      <c r="G293" s="211" t="s">
        <v>1265</v>
      </c>
      <c r="H293" s="212" t="s">
        <v>621</v>
      </c>
      <c r="I293" s="200" t="s">
        <v>622</v>
      </c>
      <c r="J293" s="201" t="s">
        <v>600</v>
      </c>
    </row>
    <row r="294" spans="2:10" ht="28.8" x14ac:dyDescent="0.3">
      <c r="B294" s="203">
        <v>1092</v>
      </c>
      <c r="C294" s="204" t="s">
        <v>1260</v>
      </c>
      <c r="D294" s="205" t="s">
        <v>1261</v>
      </c>
      <c r="E294" s="205" t="s">
        <v>1520</v>
      </c>
      <c r="F294" s="205" t="s">
        <v>1596</v>
      </c>
      <c r="G294" s="206" t="s">
        <v>1597</v>
      </c>
      <c r="H294" s="207" t="s">
        <v>621</v>
      </c>
      <c r="I294" s="125" t="s">
        <v>622</v>
      </c>
      <c r="J294" s="126" t="s">
        <v>600</v>
      </c>
    </row>
    <row r="295" spans="2:10" ht="316.8" x14ac:dyDescent="0.3">
      <c r="B295" s="208">
        <v>487</v>
      </c>
      <c r="C295" s="209" t="s">
        <v>1260</v>
      </c>
      <c r="D295" s="210" t="s">
        <v>1273</v>
      </c>
      <c r="E295" s="210" t="s">
        <v>1520</v>
      </c>
      <c r="F295" s="210" t="s">
        <v>1274</v>
      </c>
      <c r="G295" s="211" t="s">
        <v>1564</v>
      </c>
      <c r="H295" s="212" t="s">
        <v>595</v>
      </c>
      <c r="I295" s="200" t="s">
        <v>10</v>
      </c>
      <c r="J295" s="201" t="s">
        <v>600</v>
      </c>
    </row>
    <row r="296" spans="2:10" ht="28.8" x14ac:dyDescent="0.3">
      <c r="B296" s="203">
        <v>1086</v>
      </c>
      <c r="C296" s="204" t="s">
        <v>1260</v>
      </c>
      <c r="D296" s="205" t="s">
        <v>1273</v>
      </c>
      <c r="E296" s="205" t="s">
        <v>1520</v>
      </c>
      <c r="F296" s="205" t="s">
        <v>1292</v>
      </c>
      <c r="G296" s="206" t="s">
        <v>595</v>
      </c>
      <c r="H296" s="207" t="s">
        <v>595</v>
      </c>
      <c r="I296" s="125" t="s">
        <v>10</v>
      </c>
      <c r="J296" s="126" t="s">
        <v>600</v>
      </c>
    </row>
    <row r="297" spans="2:10" ht="43.2" x14ac:dyDescent="0.3">
      <c r="B297" s="203">
        <v>331</v>
      </c>
      <c r="C297" s="204" t="s">
        <v>1260</v>
      </c>
      <c r="D297" s="205" t="s">
        <v>1261</v>
      </c>
      <c r="E297" s="205" t="s">
        <v>1520</v>
      </c>
      <c r="F297" s="205" t="s">
        <v>1266</v>
      </c>
      <c r="G297" s="206" t="s">
        <v>1267</v>
      </c>
      <c r="H297" s="207" t="s">
        <v>595</v>
      </c>
      <c r="I297" s="125" t="s">
        <v>600</v>
      </c>
      <c r="J297" s="126" t="s">
        <v>596</v>
      </c>
    </row>
    <row r="298" spans="2:10" ht="72" x14ac:dyDescent="0.3">
      <c r="B298" s="203">
        <v>333</v>
      </c>
      <c r="C298" s="204" t="s">
        <v>1260</v>
      </c>
      <c r="D298" s="205" t="s">
        <v>1261</v>
      </c>
      <c r="E298" s="205" t="s">
        <v>1520</v>
      </c>
      <c r="F298" s="205" t="s">
        <v>1270</v>
      </c>
      <c r="G298" s="206" t="s">
        <v>1271</v>
      </c>
      <c r="H298" s="207" t="s">
        <v>595</v>
      </c>
      <c r="I298" s="125" t="s">
        <v>600</v>
      </c>
      <c r="J298" s="126" t="s">
        <v>1609</v>
      </c>
    </row>
    <row r="299" spans="2:10" ht="144" x14ac:dyDescent="0.3">
      <c r="B299" s="203">
        <v>871</v>
      </c>
      <c r="C299" s="204" t="s">
        <v>1260</v>
      </c>
      <c r="D299" s="205" t="s">
        <v>1261</v>
      </c>
      <c r="E299" s="205" t="s">
        <v>1520</v>
      </c>
      <c r="F299" s="205" t="s">
        <v>1620</v>
      </c>
      <c r="G299" s="206" t="s">
        <v>1621</v>
      </c>
      <c r="H299" s="207" t="s">
        <v>595</v>
      </c>
      <c r="I299" s="125" t="s">
        <v>596</v>
      </c>
      <c r="J299" s="126" t="s">
        <v>600</v>
      </c>
    </row>
    <row r="300" spans="2:10" ht="57.6" x14ac:dyDescent="0.3">
      <c r="B300" s="208">
        <v>521</v>
      </c>
      <c r="C300" s="209" t="s">
        <v>1260</v>
      </c>
      <c r="D300" s="210" t="s">
        <v>1273</v>
      </c>
      <c r="E300" s="210" t="s">
        <v>1520</v>
      </c>
      <c r="F300" s="210" t="s">
        <v>1275</v>
      </c>
      <c r="G300" s="211" t="s">
        <v>1276</v>
      </c>
      <c r="H300" s="212" t="s">
        <v>595</v>
      </c>
      <c r="I300" s="200" t="s">
        <v>10</v>
      </c>
      <c r="J300" s="201" t="s">
        <v>604</v>
      </c>
    </row>
    <row r="301" spans="2:10" ht="100.8" x14ac:dyDescent="0.3">
      <c r="B301" s="203">
        <v>332</v>
      </c>
      <c r="C301" s="204" t="s">
        <v>1260</v>
      </c>
      <c r="D301" s="205" t="s">
        <v>1261</v>
      </c>
      <c r="E301" s="205" t="s">
        <v>1520</v>
      </c>
      <c r="F301" s="205" t="s">
        <v>1268</v>
      </c>
      <c r="G301" s="206" t="s">
        <v>1269</v>
      </c>
      <c r="H301" s="207" t="s">
        <v>621</v>
      </c>
      <c r="I301" s="125" t="s">
        <v>622</v>
      </c>
      <c r="J301" s="126" t="s">
        <v>600</v>
      </c>
    </row>
    <row r="302" spans="2:10" ht="259.2" x14ac:dyDescent="0.3">
      <c r="B302" s="203">
        <v>769</v>
      </c>
      <c r="C302" s="204" t="s">
        <v>1260</v>
      </c>
      <c r="D302" s="205" t="s">
        <v>1261</v>
      </c>
      <c r="E302" s="205" t="s">
        <v>1520</v>
      </c>
      <c r="F302" s="205" t="s">
        <v>1570</v>
      </c>
      <c r="G302" s="206" t="s">
        <v>1571</v>
      </c>
      <c r="H302" s="207" t="s">
        <v>621</v>
      </c>
      <c r="I302" s="125" t="s">
        <v>622</v>
      </c>
      <c r="J302" s="126" t="s">
        <v>600</v>
      </c>
    </row>
    <row r="303" spans="2:10" ht="216" x14ac:dyDescent="0.3">
      <c r="B303" s="203">
        <v>326</v>
      </c>
      <c r="C303" s="204" t="s">
        <v>1260</v>
      </c>
      <c r="D303" s="205" t="s">
        <v>1261</v>
      </c>
      <c r="E303" s="205" t="s">
        <v>1520</v>
      </c>
      <c r="F303" s="205" t="s">
        <v>1262</v>
      </c>
      <c r="G303" s="206" t="s">
        <v>1263</v>
      </c>
      <c r="H303" s="207" t="s">
        <v>621</v>
      </c>
      <c r="I303" s="125" t="s">
        <v>622</v>
      </c>
      <c r="J303" s="126" t="s">
        <v>600</v>
      </c>
    </row>
    <row r="304" spans="2:10" ht="144" x14ac:dyDescent="0.3">
      <c r="B304" s="203">
        <v>772</v>
      </c>
      <c r="C304" s="204" t="s">
        <v>1260</v>
      </c>
      <c r="D304" s="205" t="s">
        <v>1261</v>
      </c>
      <c r="E304" s="205" t="s">
        <v>1520</v>
      </c>
      <c r="F304" s="205" t="s">
        <v>1286</v>
      </c>
      <c r="G304" s="206" t="s">
        <v>1287</v>
      </c>
      <c r="H304" s="207" t="s">
        <v>621</v>
      </c>
      <c r="I304" s="125" t="s">
        <v>641</v>
      </c>
      <c r="J304" s="126" t="s">
        <v>600</v>
      </c>
    </row>
    <row r="305" spans="2:10" ht="216" x14ac:dyDescent="0.3">
      <c r="B305" s="203">
        <v>770</v>
      </c>
      <c r="C305" s="204" t="s">
        <v>1260</v>
      </c>
      <c r="D305" s="205" t="s">
        <v>1261</v>
      </c>
      <c r="E305" s="205" t="s">
        <v>1520</v>
      </c>
      <c r="F305" s="205" t="s">
        <v>1284</v>
      </c>
      <c r="G305" s="206" t="s">
        <v>1285</v>
      </c>
      <c r="H305" s="207" t="s">
        <v>621</v>
      </c>
      <c r="I305" s="125" t="s">
        <v>622</v>
      </c>
      <c r="J305" s="126" t="s">
        <v>600</v>
      </c>
    </row>
    <row r="306" spans="2:10" ht="158.4" x14ac:dyDescent="0.3">
      <c r="B306" s="208">
        <v>711</v>
      </c>
      <c r="C306" s="209" t="s">
        <v>1555</v>
      </c>
      <c r="D306" s="210" t="s">
        <v>1555</v>
      </c>
      <c r="E306" s="210" t="s">
        <v>1521</v>
      </c>
      <c r="F306" s="210" t="s">
        <v>1546</v>
      </c>
      <c r="G306" s="211" t="s">
        <v>909</v>
      </c>
      <c r="H306" s="212" t="s">
        <v>595</v>
      </c>
      <c r="I306" s="200" t="s">
        <v>10</v>
      </c>
      <c r="J306" s="201" t="s">
        <v>604</v>
      </c>
    </row>
    <row r="307" spans="2:10" ht="72" x14ac:dyDescent="0.3">
      <c r="B307" s="203">
        <v>611</v>
      </c>
      <c r="C307" s="204" t="s">
        <v>1559</v>
      </c>
      <c r="D307" s="205" t="s">
        <v>1559</v>
      </c>
      <c r="E307" s="205" t="s">
        <v>1521</v>
      </c>
      <c r="F307" s="205" t="s">
        <v>1362</v>
      </c>
      <c r="G307" s="206" t="s">
        <v>1363</v>
      </c>
      <c r="H307" s="207" t="s">
        <v>595</v>
      </c>
      <c r="I307" s="125" t="s">
        <v>10</v>
      </c>
      <c r="J307" s="126" t="s">
        <v>604</v>
      </c>
    </row>
    <row r="308" spans="2:10" ht="86.4" x14ac:dyDescent="0.3">
      <c r="B308" s="203">
        <v>610</v>
      </c>
      <c r="C308" s="204" t="s">
        <v>1559</v>
      </c>
      <c r="D308" s="205" t="s">
        <v>1559</v>
      </c>
      <c r="E308" s="205" t="s">
        <v>1521</v>
      </c>
      <c r="F308" s="205" t="s">
        <v>1358</v>
      </c>
      <c r="G308" s="206" t="s">
        <v>1359</v>
      </c>
      <c r="H308" s="207" t="s">
        <v>1360</v>
      </c>
      <c r="I308" s="125" t="s">
        <v>1361</v>
      </c>
      <c r="J308" s="126" t="s">
        <v>600</v>
      </c>
    </row>
    <row r="309" spans="2:10" ht="72" x14ac:dyDescent="0.3">
      <c r="B309" s="208">
        <v>537</v>
      </c>
      <c r="C309" s="209" t="s">
        <v>1555</v>
      </c>
      <c r="D309" s="210" t="s">
        <v>887</v>
      </c>
      <c r="E309" s="210" t="s">
        <v>1521</v>
      </c>
      <c r="F309" s="210" t="s">
        <v>888</v>
      </c>
      <c r="G309" s="211" t="s">
        <v>889</v>
      </c>
      <c r="H309" s="212" t="s">
        <v>595</v>
      </c>
      <c r="I309" s="200" t="s">
        <v>10</v>
      </c>
      <c r="J309" s="201" t="s">
        <v>604</v>
      </c>
    </row>
    <row r="310" spans="2:10" ht="172.8" x14ac:dyDescent="0.3">
      <c r="B310" s="203">
        <v>478</v>
      </c>
      <c r="C310" s="204" t="s">
        <v>1559</v>
      </c>
      <c r="D310" s="205" t="s">
        <v>1559</v>
      </c>
      <c r="E310" s="205" t="s">
        <v>1521</v>
      </c>
      <c r="F310" s="205" t="s">
        <v>1350</v>
      </c>
      <c r="G310" s="206" t="s">
        <v>1351</v>
      </c>
      <c r="H310" s="207" t="s">
        <v>621</v>
      </c>
      <c r="I310" s="125" t="s">
        <v>622</v>
      </c>
      <c r="J310" s="126" t="s">
        <v>615</v>
      </c>
    </row>
    <row r="311" spans="2:10" ht="129.6" x14ac:dyDescent="0.3">
      <c r="B311" s="203">
        <v>540</v>
      </c>
      <c r="C311" s="204" t="s">
        <v>1555</v>
      </c>
      <c r="D311" s="205" t="s">
        <v>887</v>
      </c>
      <c r="E311" s="205" t="s">
        <v>1521</v>
      </c>
      <c r="F311" s="205" t="s">
        <v>890</v>
      </c>
      <c r="G311" s="206" t="s">
        <v>891</v>
      </c>
      <c r="H311" s="207" t="s">
        <v>595</v>
      </c>
      <c r="I311" s="125" t="s">
        <v>596</v>
      </c>
      <c r="J311" s="126" t="s">
        <v>600</v>
      </c>
    </row>
    <row r="312" spans="2:10" ht="57.6" x14ac:dyDescent="0.3">
      <c r="B312" s="203">
        <v>1065</v>
      </c>
      <c r="C312" s="204" t="s">
        <v>1559</v>
      </c>
      <c r="D312" s="205" t="s">
        <v>1559</v>
      </c>
      <c r="E312" s="205" t="s">
        <v>1521</v>
      </c>
      <c r="F312" s="205" t="s">
        <v>1370</v>
      </c>
      <c r="G312" s="206" t="s">
        <v>1371</v>
      </c>
      <c r="H312" s="207" t="s">
        <v>595</v>
      </c>
      <c r="I312" s="125" t="s">
        <v>653</v>
      </c>
      <c r="J312" s="126" t="s">
        <v>615</v>
      </c>
    </row>
    <row r="313" spans="2:10" ht="129.6" x14ac:dyDescent="0.3">
      <c r="B313" s="203">
        <v>1116</v>
      </c>
      <c r="C313" s="204" t="s">
        <v>1559</v>
      </c>
      <c r="D313" s="205" t="s">
        <v>1559</v>
      </c>
      <c r="E313" s="205" t="s">
        <v>1521</v>
      </c>
      <c r="F313" s="205" t="s">
        <v>1627</v>
      </c>
      <c r="G313" s="206" t="s">
        <v>1628</v>
      </c>
      <c r="H313" s="207" t="s">
        <v>595</v>
      </c>
      <c r="I313" s="125" t="s">
        <v>1629</v>
      </c>
      <c r="J313" s="126" t="s">
        <v>600</v>
      </c>
    </row>
    <row r="314" spans="2:10" ht="43.2" x14ac:dyDescent="0.3">
      <c r="B314" s="203">
        <v>140</v>
      </c>
      <c r="C314" s="204" t="s">
        <v>1555</v>
      </c>
      <c r="D314" s="205" t="s">
        <v>1578</v>
      </c>
      <c r="E314" s="205" t="s">
        <v>1521</v>
      </c>
      <c r="F314" s="205" t="s">
        <v>819</v>
      </c>
      <c r="G314" s="206" t="s">
        <v>820</v>
      </c>
      <c r="H314" s="207" t="s">
        <v>595</v>
      </c>
      <c r="I314" s="125" t="s">
        <v>636</v>
      </c>
      <c r="J314" s="126" t="s">
        <v>600</v>
      </c>
    </row>
    <row r="315" spans="2:10" ht="115.2" x14ac:dyDescent="0.3">
      <c r="B315" s="203">
        <v>124</v>
      </c>
      <c r="C315" s="204" t="s">
        <v>1555</v>
      </c>
      <c r="D315" s="205" t="s">
        <v>1555</v>
      </c>
      <c r="E315" s="205" t="s">
        <v>1521</v>
      </c>
      <c r="F315" s="205" t="s">
        <v>798</v>
      </c>
      <c r="G315" s="206" t="s">
        <v>799</v>
      </c>
      <c r="H315" s="207" t="s">
        <v>595</v>
      </c>
      <c r="I315" s="125" t="s">
        <v>596</v>
      </c>
      <c r="J315" s="126" t="s">
        <v>600</v>
      </c>
    </row>
    <row r="316" spans="2:10" ht="72" x14ac:dyDescent="0.3">
      <c r="B316" s="203">
        <v>135</v>
      </c>
      <c r="C316" s="204" t="s">
        <v>1555</v>
      </c>
      <c r="D316" s="205" t="s">
        <v>1555</v>
      </c>
      <c r="E316" s="205" t="s">
        <v>1521</v>
      </c>
      <c r="F316" s="205" t="s">
        <v>812</v>
      </c>
      <c r="G316" s="206" t="s">
        <v>813</v>
      </c>
      <c r="H316" s="207" t="s">
        <v>595</v>
      </c>
      <c r="I316" s="125" t="s">
        <v>636</v>
      </c>
      <c r="J316" s="126" t="s">
        <v>600</v>
      </c>
    </row>
    <row r="317" spans="2:10" ht="244.8" x14ac:dyDescent="0.3">
      <c r="B317" s="203">
        <v>132</v>
      </c>
      <c r="C317" s="204" t="s">
        <v>1555</v>
      </c>
      <c r="D317" s="205" t="s">
        <v>1555</v>
      </c>
      <c r="E317" s="205" t="s">
        <v>1521</v>
      </c>
      <c r="F317" s="205" t="s">
        <v>808</v>
      </c>
      <c r="G317" s="206" t="s">
        <v>809</v>
      </c>
      <c r="H317" s="207" t="s">
        <v>595</v>
      </c>
      <c r="I317" s="125" t="s">
        <v>596</v>
      </c>
      <c r="J317" s="126" t="s">
        <v>615</v>
      </c>
    </row>
    <row r="318" spans="2:10" ht="230.4" x14ac:dyDescent="0.3">
      <c r="B318" s="203">
        <v>174</v>
      </c>
      <c r="C318" s="204" t="s">
        <v>1559</v>
      </c>
      <c r="D318" s="205" t="s">
        <v>1559</v>
      </c>
      <c r="E318" s="205" t="s">
        <v>1521</v>
      </c>
      <c r="F318" s="205" t="s">
        <v>1304</v>
      </c>
      <c r="G318" s="206" t="s">
        <v>1305</v>
      </c>
      <c r="H318" s="207" t="s">
        <v>595</v>
      </c>
      <c r="I318" s="125" t="s">
        <v>596</v>
      </c>
      <c r="J318" s="126" t="s">
        <v>600</v>
      </c>
    </row>
    <row r="319" spans="2:10" ht="86.4" x14ac:dyDescent="0.3">
      <c r="B319" s="203">
        <v>160</v>
      </c>
      <c r="C319" s="204" t="s">
        <v>1555</v>
      </c>
      <c r="D319" s="205" t="s">
        <v>1578</v>
      </c>
      <c r="E319" s="205" t="s">
        <v>1521</v>
      </c>
      <c r="F319" s="205" t="s">
        <v>845</v>
      </c>
      <c r="G319" s="206" t="s">
        <v>846</v>
      </c>
      <c r="H319" s="207" t="s">
        <v>595</v>
      </c>
      <c r="I319" s="125" t="s">
        <v>596</v>
      </c>
      <c r="J319" s="126" t="s">
        <v>600</v>
      </c>
    </row>
    <row r="320" spans="2:10" ht="43.2" x14ac:dyDescent="0.3">
      <c r="B320" s="203">
        <v>137</v>
      </c>
      <c r="C320" s="204" t="s">
        <v>1555</v>
      </c>
      <c r="D320" s="205" t="s">
        <v>1578</v>
      </c>
      <c r="E320" s="205" t="s">
        <v>1521</v>
      </c>
      <c r="F320" s="205" t="s">
        <v>814</v>
      </c>
      <c r="G320" s="206" t="s">
        <v>815</v>
      </c>
      <c r="H320" s="207" t="s">
        <v>595</v>
      </c>
      <c r="I320" s="125" t="s">
        <v>10</v>
      </c>
      <c r="J320" s="126" t="s">
        <v>600</v>
      </c>
    </row>
    <row r="321" spans="2:10" ht="115.2" x14ac:dyDescent="0.3">
      <c r="B321" s="203">
        <v>457</v>
      </c>
      <c r="C321" s="204" t="s">
        <v>1555</v>
      </c>
      <c r="D321" s="205" t="s">
        <v>1555</v>
      </c>
      <c r="E321" s="205" t="s">
        <v>1521</v>
      </c>
      <c r="F321" s="205" t="s">
        <v>880</v>
      </c>
      <c r="G321" s="206" t="s">
        <v>881</v>
      </c>
      <c r="H321" s="207" t="s">
        <v>595</v>
      </c>
      <c r="I321" s="125" t="s">
        <v>10</v>
      </c>
      <c r="J321" s="126" t="s">
        <v>604</v>
      </c>
    </row>
    <row r="322" spans="2:10" ht="158.4" x14ac:dyDescent="0.3">
      <c r="B322" s="203">
        <v>535</v>
      </c>
      <c r="C322" s="204" t="s">
        <v>1555</v>
      </c>
      <c r="D322" s="205" t="s">
        <v>1578</v>
      </c>
      <c r="E322" s="205" t="s">
        <v>1521</v>
      </c>
      <c r="F322" s="205" t="s">
        <v>885</v>
      </c>
      <c r="G322" s="206" t="s">
        <v>886</v>
      </c>
      <c r="H322" s="207" t="s">
        <v>595</v>
      </c>
      <c r="I322" s="125" t="s">
        <v>10</v>
      </c>
      <c r="J322" s="126" t="s">
        <v>604</v>
      </c>
    </row>
    <row r="323" spans="2:10" ht="172.8" x14ac:dyDescent="0.3">
      <c r="B323" s="208">
        <v>161</v>
      </c>
      <c r="C323" s="209" t="s">
        <v>1555</v>
      </c>
      <c r="D323" s="210" t="s">
        <v>1555</v>
      </c>
      <c r="E323" s="210" t="s">
        <v>1521</v>
      </c>
      <c r="F323" s="210" t="s">
        <v>847</v>
      </c>
      <c r="G323" s="211" t="s">
        <v>848</v>
      </c>
      <c r="H323" s="212" t="s">
        <v>595</v>
      </c>
      <c r="I323" s="200" t="s">
        <v>10</v>
      </c>
      <c r="J323" s="201" t="s">
        <v>604</v>
      </c>
    </row>
    <row r="324" spans="2:10" ht="129.6" x14ac:dyDescent="0.3">
      <c r="B324" s="203">
        <v>663</v>
      </c>
      <c r="C324" s="204" t="s">
        <v>1559</v>
      </c>
      <c r="D324" s="205" t="s">
        <v>1559</v>
      </c>
      <c r="E324" s="205" t="s">
        <v>1521</v>
      </c>
      <c r="F324" s="205" t="s">
        <v>1368</v>
      </c>
      <c r="G324" s="206" t="s">
        <v>1369</v>
      </c>
      <c r="H324" s="207" t="s">
        <v>595</v>
      </c>
      <c r="I324" s="125" t="s">
        <v>1361</v>
      </c>
      <c r="J324" s="126" t="s">
        <v>600</v>
      </c>
    </row>
    <row r="325" spans="2:10" ht="43.2" x14ac:dyDescent="0.3">
      <c r="B325" s="203">
        <v>534</v>
      </c>
      <c r="C325" s="204" t="s">
        <v>1555</v>
      </c>
      <c r="D325" s="205" t="s">
        <v>1578</v>
      </c>
      <c r="E325" s="205" t="s">
        <v>1521</v>
      </c>
      <c r="F325" s="205" t="s">
        <v>883</v>
      </c>
      <c r="G325" s="206" t="s">
        <v>884</v>
      </c>
      <c r="H325" s="207" t="s">
        <v>595</v>
      </c>
      <c r="I325" s="125" t="s">
        <v>10</v>
      </c>
      <c r="J325" s="126" t="s">
        <v>604</v>
      </c>
    </row>
    <row r="326" spans="2:10" ht="129.6" x14ac:dyDescent="0.3">
      <c r="B326" s="203">
        <v>1121</v>
      </c>
      <c r="C326" s="204" t="s">
        <v>1555</v>
      </c>
      <c r="D326" s="205" t="s">
        <v>1555</v>
      </c>
      <c r="E326" s="205" t="s">
        <v>1521</v>
      </c>
      <c r="F326" s="205" t="s">
        <v>1580</v>
      </c>
      <c r="G326" s="206" t="s">
        <v>1581</v>
      </c>
      <c r="H326" s="207" t="s">
        <v>595</v>
      </c>
      <c r="I326" s="125" t="s">
        <v>10</v>
      </c>
      <c r="J326" s="126" t="s">
        <v>604</v>
      </c>
    </row>
    <row r="327" spans="2:10" ht="28.8" x14ac:dyDescent="0.3">
      <c r="B327" s="203">
        <v>155</v>
      </c>
      <c r="C327" s="204" t="s">
        <v>1555</v>
      </c>
      <c r="D327" s="205" t="s">
        <v>1555</v>
      </c>
      <c r="E327" s="205" t="s">
        <v>1521</v>
      </c>
      <c r="F327" s="205" t="s">
        <v>837</v>
      </c>
      <c r="G327" s="206" t="s">
        <v>838</v>
      </c>
      <c r="H327" s="207" t="s">
        <v>776</v>
      </c>
      <c r="I327" s="125" t="s">
        <v>596</v>
      </c>
      <c r="J327" s="126" t="s">
        <v>600</v>
      </c>
    </row>
    <row r="328" spans="2:10" ht="244.8" x14ac:dyDescent="0.3">
      <c r="B328" s="203">
        <v>1106</v>
      </c>
      <c r="C328" s="204" t="s">
        <v>1555</v>
      </c>
      <c r="D328" s="205" t="s">
        <v>1555</v>
      </c>
      <c r="E328" s="205" t="s">
        <v>1521</v>
      </c>
      <c r="F328" s="205" t="s">
        <v>1253</v>
      </c>
      <c r="G328" s="206" t="s">
        <v>1254</v>
      </c>
      <c r="H328" s="207" t="s">
        <v>1255</v>
      </c>
      <c r="I328" s="125" t="s">
        <v>10</v>
      </c>
      <c r="J328" s="126" t="s">
        <v>604</v>
      </c>
    </row>
    <row r="329" spans="2:10" ht="187.2" x14ac:dyDescent="0.3">
      <c r="B329" s="203">
        <v>1108</v>
      </c>
      <c r="C329" s="204" t="s">
        <v>1555</v>
      </c>
      <c r="D329" s="205" t="s">
        <v>1578</v>
      </c>
      <c r="E329" s="205" t="s">
        <v>1521</v>
      </c>
      <c r="F329" s="205" t="s">
        <v>1258</v>
      </c>
      <c r="G329" s="206" t="s">
        <v>1259</v>
      </c>
      <c r="H329" s="207" t="s">
        <v>621</v>
      </c>
      <c r="I329" s="125" t="s">
        <v>622</v>
      </c>
      <c r="J329" s="126" t="s">
        <v>600</v>
      </c>
    </row>
    <row r="330" spans="2:10" ht="57.6" x14ac:dyDescent="0.3">
      <c r="B330" s="203">
        <v>1105</v>
      </c>
      <c r="C330" s="204" t="s">
        <v>1555</v>
      </c>
      <c r="D330" s="205" t="s">
        <v>887</v>
      </c>
      <c r="E330" s="205" t="s">
        <v>1521</v>
      </c>
      <c r="F330" s="205" t="s">
        <v>1250</v>
      </c>
      <c r="G330" s="206" t="s">
        <v>1251</v>
      </c>
      <c r="H330" s="207" t="s">
        <v>1252</v>
      </c>
      <c r="I330" s="125" t="s">
        <v>10</v>
      </c>
      <c r="J330" s="126" t="s">
        <v>604</v>
      </c>
    </row>
    <row r="331" spans="2:10" ht="409.6" x14ac:dyDescent="0.3">
      <c r="B331" s="203">
        <v>634</v>
      </c>
      <c r="C331" s="204" t="s">
        <v>1301</v>
      </c>
      <c r="D331" s="205" t="s">
        <v>1301</v>
      </c>
      <c r="E331" s="205" t="s">
        <v>1521</v>
      </c>
      <c r="F331" s="205" t="s">
        <v>1365</v>
      </c>
      <c r="G331" s="206" t="s">
        <v>1618</v>
      </c>
      <c r="H331" s="207" t="s">
        <v>1366</v>
      </c>
      <c r="I331" s="125" t="s">
        <v>622</v>
      </c>
      <c r="J331" s="126" t="s">
        <v>600</v>
      </c>
    </row>
    <row r="332" spans="2:10" ht="100.8" x14ac:dyDescent="0.3">
      <c r="B332" s="203">
        <v>181</v>
      </c>
      <c r="C332" s="204" t="s">
        <v>1559</v>
      </c>
      <c r="D332" s="205" t="s">
        <v>1559</v>
      </c>
      <c r="E332" s="205" t="s">
        <v>1521</v>
      </c>
      <c r="F332" s="205" t="s">
        <v>1306</v>
      </c>
      <c r="G332" s="206" t="s">
        <v>1307</v>
      </c>
      <c r="H332" s="207" t="s">
        <v>621</v>
      </c>
      <c r="I332" s="125" t="s">
        <v>622</v>
      </c>
      <c r="J332" s="126" t="s">
        <v>615</v>
      </c>
    </row>
    <row r="333" spans="2:10" ht="72" x14ac:dyDescent="0.3">
      <c r="B333" s="203">
        <v>187</v>
      </c>
      <c r="C333" s="204" t="s">
        <v>1559</v>
      </c>
      <c r="D333" s="205" t="s">
        <v>1559</v>
      </c>
      <c r="E333" s="205" t="s">
        <v>1521</v>
      </c>
      <c r="F333" s="205" t="s">
        <v>1312</v>
      </c>
      <c r="G333" s="206" t="s">
        <v>1313</v>
      </c>
      <c r="H333" s="207" t="s">
        <v>1314</v>
      </c>
      <c r="I333" s="125" t="s">
        <v>641</v>
      </c>
      <c r="J333" s="126" t="s">
        <v>600</v>
      </c>
    </row>
    <row r="334" spans="2:10" ht="100.8" x14ac:dyDescent="0.3">
      <c r="B334" s="203">
        <v>150</v>
      </c>
      <c r="C334" s="204" t="s">
        <v>1555</v>
      </c>
      <c r="D334" s="205" t="s">
        <v>1578</v>
      </c>
      <c r="E334" s="205" t="s">
        <v>1521</v>
      </c>
      <c r="F334" s="205" t="s">
        <v>827</v>
      </c>
      <c r="G334" s="206" t="s">
        <v>828</v>
      </c>
      <c r="H334" s="207" t="s">
        <v>621</v>
      </c>
      <c r="I334" s="125" t="s">
        <v>622</v>
      </c>
      <c r="J334" s="126" t="s">
        <v>600</v>
      </c>
    </row>
    <row r="335" spans="2:10" ht="72" x14ac:dyDescent="0.3">
      <c r="B335" s="203">
        <v>157</v>
      </c>
      <c r="C335" s="204" t="s">
        <v>1555</v>
      </c>
      <c r="D335" s="205" t="s">
        <v>1555</v>
      </c>
      <c r="E335" s="205" t="s">
        <v>1521</v>
      </c>
      <c r="F335" s="205" t="s">
        <v>839</v>
      </c>
      <c r="G335" s="206" t="s">
        <v>840</v>
      </c>
      <c r="H335" s="207" t="s">
        <v>621</v>
      </c>
      <c r="I335" s="125" t="s">
        <v>622</v>
      </c>
      <c r="J335" s="126" t="s">
        <v>600</v>
      </c>
    </row>
    <row r="336" spans="2:10" ht="144" x14ac:dyDescent="0.3">
      <c r="B336" s="203">
        <v>163</v>
      </c>
      <c r="C336" s="204" t="s">
        <v>1555</v>
      </c>
      <c r="D336" s="205" t="s">
        <v>1578</v>
      </c>
      <c r="E336" s="205" t="s">
        <v>1521</v>
      </c>
      <c r="F336" s="205" t="s">
        <v>852</v>
      </c>
      <c r="G336" s="206" t="s">
        <v>853</v>
      </c>
      <c r="H336" s="207" t="s">
        <v>621</v>
      </c>
      <c r="I336" s="125" t="s">
        <v>622</v>
      </c>
      <c r="J336" s="126" t="s">
        <v>600</v>
      </c>
    </row>
    <row r="337" spans="2:10" ht="72" x14ac:dyDescent="0.3">
      <c r="B337" s="203">
        <v>1073</v>
      </c>
      <c r="C337" s="204" t="s">
        <v>1301</v>
      </c>
      <c r="D337" s="205" t="s">
        <v>1301</v>
      </c>
      <c r="E337" s="205" t="s">
        <v>1521</v>
      </c>
      <c r="F337" s="205" t="s">
        <v>1379</v>
      </c>
      <c r="G337" s="206" t="s">
        <v>1334</v>
      </c>
      <c r="H337" s="207" t="s">
        <v>1330</v>
      </c>
      <c r="I337" s="125" t="s">
        <v>596</v>
      </c>
      <c r="J337" s="126" t="s">
        <v>600</v>
      </c>
    </row>
    <row r="338" spans="2:10" ht="244.8" x14ac:dyDescent="0.3">
      <c r="B338" s="203">
        <v>830</v>
      </c>
      <c r="C338" s="204" t="s">
        <v>1555</v>
      </c>
      <c r="D338" s="205" t="s">
        <v>1555</v>
      </c>
      <c r="E338" s="205" t="s">
        <v>1521</v>
      </c>
      <c r="F338" s="205" t="s">
        <v>946</v>
      </c>
      <c r="G338" s="206" t="s">
        <v>947</v>
      </c>
      <c r="H338" s="207" t="s">
        <v>621</v>
      </c>
      <c r="I338" s="125" t="s">
        <v>641</v>
      </c>
      <c r="J338" s="126" t="s">
        <v>600</v>
      </c>
    </row>
    <row r="339" spans="2:10" ht="100.8" x14ac:dyDescent="0.3">
      <c r="B339" s="203">
        <v>144</v>
      </c>
      <c r="C339" s="204" t="s">
        <v>1555</v>
      </c>
      <c r="D339" s="205" t="s">
        <v>1555</v>
      </c>
      <c r="E339" s="205" t="s">
        <v>1521</v>
      </c>
      <c r="F339" s="205" t="s">
        <v>823</v>
      </c>
      <c r="G339" s="206" t="s">
        <v>824</v>
      </c>
      <c r="H339" s="207" t="s">
        <v>621</v>
      </c>
      <c r="I339" s="125" t="s">
        <v>33</v>
      </c>
      <c r="J339" s="126" t="s">
        <v>600</v>
      </c>
    </row>
    <row r="340" spans="2:10" ht="129.6" x14ac:dyDescent="0.3">
      <c r="B340" s="203">
        <v>267</v>
      </c>
      <c r="C340" s="204" t="s">
        <v>1301</v>
      </c>
      <c r="D340" s="205" t="s">
        <v>1301</v>
      </c>
      <c r="E340" s="205" t="s">
        <v>1521</v>
      </c>
      <c r="F340" s="205" t="s">
        <v>1331</v>
      </c>
      <c r="G340" s="206" t="s">
        <v>1332</v>
      </c>
      <c r="H340" s="207" t="s">
        <v>1330</v>
      </c>
      <c r="I340" s="125" t="s">
        <v>596</v>
      </c>
      <c r="J340" s="126" t="s">
        <v>600</v>
      </c>
    </row>
    <row r="341" spans="2:10" ht="72" x14ac:dyDescent="0.3">
      <c r="B341" s="203">
        <v>268</v>
      </c>
      <c r="C341" s="204" t="s">
        <v>1301</v>
      </c>
      <c r="D341" s="205" t="s">
        <v>1301</v>
      </c>
      <c r="E341" s="205" t="s">
        <v>1521</v>
      </c>
      <c r="F341" s="205" t="s">
        <v>1333</v>
      </c>
      <c r="G341" s="206" t="s">
        <v>1334</v>
      </c>
      <c r="H341" s="207" t="s">
        <v>1330</v>
      </c>
      <c r="I341" s="125" t="s">
        <v>596</v>
      </c>
      <c r="J341" s="126" t="s">
        <v>600</v>
      </c>
    </row>
    <row r="342" spans="2:10" ht="86.4" x14ac:dyDescent="0.3">
      <c r="B342" s="203">
        <v>271</v>
      </c>
      <c r="C342" s="204" t="s">
        <v>1301</v>
      </c>
      <c r="D342" s="205" t="s">
        <v>1301</v>
      </c>
      <c r="E342" s="205" t="s">
        <v>1521</v>
      </c>
      <c r="F342" s="205" t="s">
        <v>1337</v>
      </c>
      <c r="G342" s="206" t="s">
        <v>1338</v>
      </c>
      <c r="H342" s="207" t="s">
        <v>1330</v>
      </c>
      <c r="I342" s="125" t="s">
        <v>706</v>
      </c>
      <c r="J342" s="126" t="s">
        <v>600</v>
      </c>
    </row>
    <row r="343" spans="2:10" ht="86.4" x14ac:dyDescent="0.3">
      <c r="B343" s="203">
        <v>272</v>
      </c>
      <c r="C343" s="204" t="s">
        <v>1301</v>
      </c>
      <c r="D343" s="205" t="s">
        <v>1301</v>
      </c>
      <c r="E343" s="205" t="s">
        <v>1521</v>
      </c>
      <c r="F343" s="205" t="s">
        <v>1339</v>
      </c>
      <c r="G343" s="206" t="s">
        <v>1340</v>
      </c>
      <c r="H343" s="207" t="s">
        <v>1330</v>
      </c>
      <c r="I343" s="125" t="s">
        <v>596</v>
      </c>
      <c r="J343" s="126" t="s">
        <v>600</v>
      </c>
    </row>
    <row r="344" spans="2:10" ht="72" x14ac:dyDescent="0.3">
      <c r="B344" s="203">
        <v>288</v>
      </c>
      <c r="C344" s="204" t="s">
        <v>1301</v>
      </c>
      <c r="D344" s="205" t="s">
        <v>1301</v>
      </c>
      <c r="E344" s="205" t="s">
        <v>1521</v>
      </c>
      <c r="F344" s="205" t="s">
        <v>1343</v>
      </c>
      <c r="G344" s="206" t="s">
        <v>1334</v>
      </c>
      <c r="H344" s="207" t="s">
        <v>1330</v>
      </c>
      <c r="I344" s="125" t="s">
        <v>706</v>
      </c>
      <c r="J344" s="126" t="s">
        <v>600</v>
      </c>
    </row>
    <row r="345" spans="2:10" ht="86.4" x14ac:dyDescent="0.3">
      <c r="B345" s="203">
        <v>336</v>
      </c>
      <c r="C345" s="204" t="s">
        <v>1555</v>
      </c>
      <c r="D345" s="205" t="s">
        <v>863</v>
      </c>
      <c r="E345" s="205" t="s">
        <v>1521</v>
      </c>
      <c r="F345" s="205" t="s">
        <v>866</v>
      </c>
      <c r="G345" s="206" t="s">
        <v>865</v>
      </c>
      <c r="H345" s="207" t="s">
        <v>621</v>
      </c>
      <c r="I345" s="125" t="s">
        <v>622</v>
      </c>
      <c r="J345" s="126" t="s">
        <v>600</v>
      </c>
    </row>
    <row r="346" spans="2:10" ht="230.4" x14ac:dyDescent="0.3">
      <c r="B346" s="203">
        <v>134</v>
      </c>
      <c r="C346" s="204" t="s">
        <v>1555</v>
      </c>
      <c r="D346" s="205" t="s">
        <v>1578</v>
      </c>
      <c r="E346" s="205" t="s">
        <v>1521</v>
      </c>
      <c r="F346" s="205" t="s">
        <v>810</v>
      </c>
      <c r="G346" s="206" t="s">
        <v>811</v>
      </c>
      <c r="H346" s="207" t="s">
        <v>621</v>
      </c>
      <c r="I346" s="125" t="s">
        <v>622</v>
      </c>
      <c r="J346" s="126" t="s">
        <v>600</v>
      </c>
    </row>
    <row r="347" spans="2:10" ht="43.2" x14ac:dyDescent="0.3">
      <c r="B347" s="203">
        <v>131</v>
      </c>
      <c r="C347" s="204" t="s">
        <v>1555</v>
      </c>
      <c r="D347" s="205" t="s">
        <v>1555</v>
      </c>
      <c r="E347" s="205" t="s">
        <v>1521</v>
      </c>
      <c r="F347" s="205" t="s">
        <v>806</v>
      </c>
      <c r="G347" s="206" t="s">
        <v>807</v>
      </c>
      <c r="H347" s="207" t="s">
        <v>621</v>
      </c>
      <c r="I347" s="125" t="s">
        <v>622</v>
      </c>
      <c r="J347" s="126" t="s">
        <v>600</v>
      </c>
    </row>
    <row r="348" spans="2:10" ht="409.6" x14ac:dyDescent="0.3">
      <c r="B348" s="203">
        <v>112</v>
      </c>
      <c r="C348" s="204" t="s">
        <v>1301</v>
      </c>
      <c r="D348" s="205" t="s">
        <v>1301</v>
      </c>
      <c r="E348" s="205" t="s">
        <v>1521</v>
      </c>
      <c r="F348" s="205" t="s">
        <v>1302</v>
      </c>
      <c r="G348" s="206" t="s">
        <v>1602</v>
      </c>
      <c r="H348" s="207" t="s">
        <v>1303</v>
      </c>
      <c r="I348" s="125" t="s">
        <v>975</v>
      </c>
      <c r="J348" s="126" t="s">
        <v>600</v>
      </c>
    </row>
    <row r="349" spans="2:10" ht="86.4" x14ac:dyDescent="0.3">
      <c r="B349" s="203">
        <v>165</v>
      </c>
      <c r="C349" s="204" t="s">
        <v>1555</v>
      </c>
      <c r="D349" s="205" t="s">
        <v>1578</v>
      </c>
      <c r="E349" s="205" t="s">
        <v>1521</v>
      </c>
      <c r="F349" s="205" t="s">
        <v>1579</v>
      </c>
      <c r="G349" s="206" t="s">
        <v>856</v>
      </c>
      <c r="H349" s="207" t="s">
        <v>621</v>
      </c>
      <c r="I349" s="125" t="s">
        <v>10</v>
      </c>
      <c r="J349" s="126" t="s">
        <v>604</v>
      </c>
    </row>
    <row r="350" spans="2:10" ht="43.2" x14ac:dyDescent="0.3">
      <c r="B350" s="203">
        <v>166</v>
      </c>
      <c r="C350" s="204" t="s">
        <v>1555</v>
      </c>
      <c r="D350" s="205" t="s">
        <v>1578</v>
      </c>
      <c r="E350" s="205" t="s">
        <v>1521</v>
      </c>
      <c r="F350" s="205" t="s">
        <v>857</v>
      </c>
      <c r="G350" s="206" t="s">
        <v>858</v>
      </c>
      <c r="H350" s="207" t="s">
        <v>584</v>
      </c>
      <c r="I350" s="125" t="s">
        <v>716</v>
      </c>
      <c r="J350" s="126" t="s">
        <v>615</v>
      </c>
    </row>
    <row r="351" spans="2:10" ht="86.4" x14ac:dyDescent="0.3">
      <c r="B351" s="203">
        <v>334</v>
      </c>
      <c r="C351" s="204" t="s">
        <v>1555</v>
      </c>
      <c r="D351" s="205" t="s">
        <v>863</v>
      </c>
      <c r="E351" s="205" t="s">
        <v>1521</v>
      </c>
      <c r="F351" s="205" t="s">
        <v>864</v>
      </c>
      <c r="G351" s="206" t="s">
        <v>865</v>
      </c>
      <c r="H351" s="207" t="s">
        <v>621</v>
      </c>
      <c r="I351" s="125" t="s">
        <v>622</v>
      </c>
      <c r="J351" s="126" t="s">
        <v>600</v>
      </c>
    </row>
    <row r="352" spans="2:10" ht="100.8" x14ac:dyDescent="0.3">
      <c r="B352" s="203">
        <v>529</v>
      </c>
      <c r="C352" s="204" t="s">
        <v>1301</v>
      </c>
      <c r="D352" s="205" t="s">
        <v>1301</v>
      </c>
      <c r="E352" s="205" t="s">
        <v>1521</v>
      </c>
      <c r="F352" s="205" t="s">
        <v>1355</v>
      </c>
      <c r="G352" s="206" t="s">
        <v>1356</v>
      </c>
      <c r="H352" s="207" t="s">
        <v>1357</v>
      </c>
      <c r="I352" s="125" t="s">
        <v>10</v>
      </c>
      <c r="J352" s="126" t="s">
        <v>604</v>
      </c>
    </row>
    <row r="353" spans="2:10" ht="43.2" x14ac:dyDescent="0.3">
      <c r="B353" s="203">
        <v>143</v>
      </c>
      <c r="C353" s="204" t="s">
        <v>1555</v>
      </c>
      <c r="D353" s="205" t="s">
        <v>1578</v>
      </c>
      <c r="E353" s="205" t="s">
        <v>1521</v>
      </c>
      <c r="F353" s="205" t="s">
        <v>821</v>
      </c>
      <c r="G353" s="206" t="s">
        <v>822</v>
      </c>
      <c r="H353" s="207" t="s">
        <v>621</v>
      </c>
      <c r="I353" s="125" t="s">
        <v>622</v>
      </c>
      <c r="J353" s="126" t="s">
        <v>615</v>
      </c>
    </row>
    <row r="354" spans="2:10" ht="86.4" x14ac:dyDescent="0.3">
      <c r="B354" s="203">
        <v>138</v>
      </c>
      <c r="C354" s="204" t="s">
        <v>1555</v>
      </c>
      <c r="D354" s="205" t="s">
        <v>1578</v>
      </c>
      <c r="E354" s="205" t="s">
        <v>1521</v>
      </c>
      <c r="F354" s="205" t="s">
        <v>816</v>
      </c>
      <c r="G354" s="206" t="s">
        <v>817</v>
      </c>
      <c r="H354" s="207" t="s">
        <v>818</v>
      </c>
      <c r="I354" s="125" t="s">
        <v>596</v>
      </c>
      <c r="J354" s="126" t="s">
        <v>600</v>
      </c>
    </row>
    <row r="355" spans="2:10" ht="86.4" x14ac:dyDescent="0.3">
      <c r="B355" s="203">
        <v>188</v>
      </c>
      <c r="C355" s="204" t="s">
        <v>1555</v>
      </c>
      <c r="D355" s="205" t="s">
        <v>1555</v>
      </c>
      <c r="E355" s="205" t="s">
        <v>1521</v>
      </c>
      <c r="F355" s="205" t="s">
        <v>861</v>
      </c>
      <c r="G355" s="206" t="s">
        <v>862</v>
      </c>
      <c r="H355" s="207" t="s">
        <v>621</v>
      </c>
      <c r="I355" s="125" t="s">
        <v>641</v>
      </c>
      <c r="J355" s="126" t="s">
        <v>600</v>
      </c>
    </row>
    <row r="356" spans="2:10" ht="86.4" x14ac:dyDescent="0.3">
      <c r="B356" s="203">
        <v>182</v>
      </c>
      <c r="C356" s="204" t="s">
        <v>1559</v>
      </c>
      <c r="D356" s="205" t="s">
        <v>1559</v>
      </c>
      <c r="E356" s="205" t="s">
        <v>1521</v>
      </c>
      <c r="F356" s="205" t="s">
        <v>1308</v>
      </c>
      <c r="G356" s="206" t="s">
        <v>1309</v>
      </c>
      <c r="H356" s="207" t="s">
        <v>621</v>
      </c>
      <c r="I356" s="125" t="s">
        <v>622</v>
      </c>
      <c r="J356" s="126" t="s">
        <v>615</v>
      </c>
    </row>
    <row r="357" spans="2:10" ht="187.2" x14ac:dyDescent="0.3">
      <c r="B357" s="203">
        <v>162</v>
      </c>
      <c r="C357" s="204" t="s">
        <v>1555</v>
      </c>
      <c r="D357" s="205" t="s">
        <v>1555</v>
      </c>
      <c r="E357" s="205" t="s">
        <v>1521</v>
      </c>
      <c r="F357" s="205" t="s">
        <v>849</v>
      </c>
      <c r="G357" s="206" t="s">
        <v>850</v>
      </c>
      <c r="H357" s="207" t="s">
        <v>851</v>
      </c>
      <c r="I357" s="125" t="s">
        <v>706</v>
      </c>
      <c r="J357" s="126" t="s">
        <v>600</v>
      </c>
    </row>
    <row r="358" spans="2:10" ht="129.6" x14ac:dyDescent="0.3">
      <c r="B358" s="203">
        <v>266</v>
      </c>
      <c r="C358" s="204" t="s">
        <v>1301</v>
      </c>
      <c r="D358" s="205" t="s">
        <v>1301</v>
      </c>
      <c r="E358" s="205" t="s">
        <v>1521</v>
      </c>
      <c r="F358" s="205" t="s">
        <v>1328</v>
      </c>
      <c r="G358" s="206" t="s">
        <v>1329</v>
      </c>
      <c r="H358" s="207" t="s">
        <v>1330</v>
      </c>
      <c r="I358" s="125" t="s">
        <v>706</v>
      </c>
      <c r="J358" s="126" t="s">
        <v>600</v>
      </c>
    </row>
    <row r="359" spans="2:10" ht="57.6" x14ac:dyDescent="0.3">
      <c r="B359" s="203">
        <v>148</v>
      </c>
      <c r="C359" s="204" t="s">
        <v>1555</v>
      </c>
      <c r="D359" s="205" t="s">
        <v>1578</v>
      </c>
      <c r="E359" s="205" t="s">
        <v>1521</v>
      </c>
      <c r="F359" s="205" t="s">
        <v>825</v>
      </c>
      <c r="G359" s="206" t="s">
        <v>826</v>
      </c>
      <c r="H359" s="207" t="s">
        <v>621</v>
      </c>
      <c r="I359" s="125" t="s">
        <v>622</v>
      </c>
      <c r="J359" s="126" t="s">
        <v>600</v>
      </c>
    </row>
    <row r="360" spans="2:10" ht="172.8" x14ac:dyDescent="0.3">
      <c r="B360" s="203">
        <v>265</v>
      </c>
      <c r="C360" s="204" t="s">
        <v>1301</v>
      </c>
      <c r="D360" s="205" t="s">
        <v>1301</v>
      </c>
      <c r="E360" s="205" t="s">
        <v>1521</v>
      </c>
      <c r="F360" s="205" t="s">
        <v>1326</v>
      </c>
      <c r="G360" s="206" t="s">
        <v>1327</v>
      </c>
      <c r="H360" s="207" t="s">
        <v>621</v>
      </c>
      <c r="I360" s="125" t="s">
        <v>622</v>
      </c>
      <c r="J360" s="126" t="s">
        <v>600</v>
      </c>
    </row>
    <row r="361" spans="2:10" ht="86.4" x14ac:dyDescent="0.3">
      <c r="B361" s="203">
        <v>101</v>
      </c>
      <c r="C361" s="204" t="s">
        <v>1301</v>
      </c>
      <c r="D361" s="205" t="s">
        <v>1301</v>
      </c>
      <c r="E361" s="205" t="s">
        <v>1521</v>
      </c>
      <c r="F361" s="205" t="s">
        <v>1300</v>
      </c>
      <c r="G361" s="206" t="s">
        <v>1299</v>
      </c>
      <c r="H361" s="207" t="s">
        <v>621</v>
      </c>
      <c r="I361" s="125" t="s">
        <v>622</v>
      </c>
      <c r="J361" s="126" t="s">
        <v>600</v>
      </c>
    </row>
    <row r="362" spans="2:10" ht="187.2" x14ac:dyDescent="0.3">
      <c r="B362" s="203">
        <v>293</v>
      </c>
      <c r="C362" s="204" t="s">
        <v>1301</v>
      </c>
      <c r="D362" s="205" t="s">
        <v>1301</v>
      </c>
      <c r="E362" s="205" t="s">
        <v>1521</v>
      </c>
      <c r="F362" s="205" t="s">
        <v>1345</v>
      </c>
      <c r="G362" s="206" t="s">
        <v>1346</v>
      </c>
      <c r="H362" s="207" t="s">
        <v>621</v>
      </c>
      <c r="I362" s="125" t="s">
        <v>622</v>
      </c>
      <c r="J362" s="126" t="s">
        <v>600</v>
      </c>
    </row>
    <row r="363" spans="2:10" ht="86.4" x14ac:dyDescent="0.3">
      <c r="B363" s="203">
        <v>1069</v>
      </c>
      <c r="C363" s="204" t="s">
        <v>1559</v>
      </c>
      <c r="D363" s="205" t="s">
        <v>1559</v>
      </c>
      <c r="E363" s="205" t="s">
        <v>1521</v>
      </c>
      <c r="F363" s="205" t="s">
        <v>1377</v>
      </c>
      <c r="G363" s="206" t="s">
        <v>1378</v>
      </c>
      <c r="H363" s="207" t="s">
        <v>621</v>
      </c>
      <c r="I363" s="125" t="s">
        <v>622</v>
      </c>
      <c r="J363" s="126" t="s">
        <v>615</v>
      </c>
    </row>
    <row r="364" spans="2:10" ht="158.4" x14ac:dyDescent="0.3">
      <c r="B364" s="203">
        <v>1066</v>
      </c>
      <c r="C364" s="204" t="s">
        <v>1559</v>
      </c>
      <c r="D364" s="205" t="s">
        <v>1559</v>
      </c>
      <c r="E364" s="205" t="s">
        <v>1521</v>
      </c>
      <c r="F364" s="205" t="s">
        <v>1372</v>
      </c>
      <c r="G364" s="206" t="s">
        <v>1373</v>
      </c>
      <c r="H364" s="207" t="s">
        <v>1374</v>
      </c>
      <c r="I364" s="125" t="s">
        <v>622</v>
      </c>
      <c r="J364" s="126" t="s">
        <v>615</v>
      </c>
    </row>
    <row r="365" spans="2:10" ht="86.4" x14ac:dyDescent="0.3">
      <c r="B365" s="203">
        <v>1068</v>
      </c>
      <c r="C365" s="204" t="s">
        <v>1559</v>
      </c>
      <c r="D365" s="205" t="s">
        <v>1559</v>
      </c>
      <c r="E365" s="205" t="s">
        <v>1521</v>
      </c>
      <c r="F365" s="205" t="s">
        <v>1375</v>
      </c>
      <c r="G365" s="206" t="s">
        <v>1376</v>
      </c>
      <c r="H365" s="207" t="s">
        <v>621</v>
      </c>
      <c r="I365" s="125" t="s">
        <v>622</v>
      </c>
      <c r="J365" s="126" t="s">
        <v>615</v>
      </c>
    </row>
    <row r="366" spans="2:10" ht="72" x14ac:dyDescent="0.3">
      <c r="B366" s="203">
        <v>186</v>
      </c>
      <c r="C366" s="204" t="s">
        <v>1559</v>
      </c>
      <c r="D366" s="205" t="s">
        <v>1559</v>
      </c>
      <c r="E366" s="205" t="s">
        <v>1521</v>
      </c>
      <c r="F366" s="205" t="s">
        <v>1310</v>
      </c>
      <c r="G366" s="206" t="s">
        <v>1311</v>
      </c>
      <c r="H366" s="207" t="s">
        <v>621</v>
      </c>
      <c r="I366" s="125" t="s">
        <v>622</v>
      </c>
      <c r="J366" s="126" t="s">
        <v>615</v>
      </c>
    </row>
    <row r="367" spans="2:10" ht="144" x14ac:dyDescent="0.3">
      <c r="B367" s="203">
        <v>256</v>
      </c>
      <c r="C367" s="204" t="s">
        <v>1301</v>
      </c>
      <c r="D367" s="205" t="s">
        <v>1301</v>
      </c>
      <c r="E367" s="205" t="s">
        <v>1521</v>
      </c>
      <c r="F367" s="205" t="s">
        <v>1318</v>
      </c>
      <c r="G367" s="206" t="s">
        <v>1319</v>
      </c>
      <c r="H367" s="207" t="s">
        <v>1320</v>
      </c>
      <c r="I367" s="125" t="s">
        <v>622</v>
      </c>
      <c r="J367" s="126" t="s">
        <v>600</v>
      </c>
    </row>
    <row r="368" spans="2:10" ht="345.6" x14ac:dyDescent="0.3">
      <c r="B368" s="203">
        <v>527</v>
      </c>
      <c r="C368" s="204" t="s">
        <v>1301</v>
      </c>
      <c r="D368" s="205" t="s">
        <v>1301</v>
      </c>
      <c r="E368" s="205" t="s">
        <v>1521</v>
      </c>
      <c r="F368" s="205" t="s">
        <v>1352</v>
      </c>
      <c r="G368" s="206" t="s">
        <v>1616</v>
      </c>
      <c r="H368" s="207" t="s">
        <v>1330</v>
      </c>
      <c r="I368" s="125" t="s">
        <v>706</v>
      </c>
      <c r="J368" s="126" t="s">
        <v>600</v>
      </c>
    </row>
    <row r="369" spans="2:10" ht="86.4" x14ac:dyDescent="0.3">
      <c r="B369" s="203">
        <v>273</v>
      </c>
      <c r="C369" s="204" t="s">
        <v>1301</v>
      </c>
      <c r="D369" s="205" t="s">
        <v>1301</v>
      </c>
      <c r="E369" s="205" t="s">
        <v>1521</v>
      </c>
      <c r="F369" s="205" t="s">
        <v>1341</v>
      </c>
      <c r="G369" s="206" t="s">
        <v>1342</v>
      </c>
      <c r="H369" s="207" t="s">
        <v>595</v>
      </c>
      <c r="I369" s="125" t="s">
        <v>706</v>
      </c>
      <c r="J369" s="126" t="s">
        <v>600</v>
      </c>
    </row>
    <row r="370" spans="2:10" ht="57.6" x14ac:dyDescent="0.3">
      <c r="B370" s="203">
        <v>297</v>
      </c>
      <c r="C370" s="204" t="s">
        <v>1301</v>
      </c>
      <c r="D370" s="205" t="s">
        <v>1301</v>
      </c>
      <c r="E370" s="205" t="s">
        <v>1521</v>
      </c>
      <c r="F370" s="205" t="s">
        <v>1577</v>
      </c>
      <c r="G370" s="206" t="s">
        <v>1349</v>
      </c>
      <c r="H370" s="207" t="s">
        <v>595</v>
      </c>
      <c r="I370" s="125" t="s">
        <v>636</v>
      </c>
      <c r="J370" s="126" t="s">
        <v>600</v>
      </c>
    </row>
    <row r="371" spans="2:10" ht="129.6" x14ac:dyDescent="0.3">
      <c r="B371" s="203">
        <v>159</v>
      </c>
      <c r="C371" s="204" t="s">
        <v>1555</v>
      </c>
      <c r="D371" s="205" t="s">
        <v>1555</v>
      </c>
      <c r="E371" s="205" t="s">
        <v>1521</v>
      </c>
      <c r="F371" s="205" t="s">
        <v>843</v>
      </c>
      <c r="G371" s="206" t="s">
        <v>844</v>
      </c>
      <c r="H371" s="207" t="s">
        <v>595</v>
      </c>
      <c r="I371" s="125" t="s">
        <v>596</v>
      </c>
      <c r="J371" s="126" t="s">
        <v>600</v>
      </c>
    </row>
    <row r="372" spans="2:10" ht="144" x14ac:dyDescent="0.3">
      <c r="B372" s="203">
        <v>158</v>
      </c>
      <c r="C372" s="204" t="s">
        <v>1555</v>
      </c>
      <c r="D372" s="205" t="s">
        <v>1555</v>
      </c>
      <c r="E372" s="205" t="s">
        <v>1521</v>
      </c>
      <c r="F372" s="205" t="s">
        <v>841</v>
      </c>
      <c r="G372" s="206" t="s">
        <v>842</v>
      </c>
      <c r="H372" s="207" t="s">
        <v>595</v>
      </c>
      <c r="I372" s="125" t="s">
        <v>596</v>
      </c>
      <c r="J372" s="126" t="s">
        <v>600</v>
      </c>
    </row>
    <row r="373" spans="2:10" ht="129.6" x14ac:dyDescent="0.3">
      <c r="B373" s="203">
        <v>152</v>
      </c>
      <c r="C373" s="204" t="s">
        <v>1555</v>
      </c>
      <c r="D373" s="205" t="s">
        <v>1555</v>
      </c>
      <c r="E373" s="205" t="s">
        <v>1521</v>
      </c>
      <c r="F373" s="205" t="s">
        <v>831</v>
      </c>
      <c r="G373" s="206" t="s">
        <v>832</v>
      </c>
      <c r="H373" s="207" t="s">
        <v>595</v>
      </c>
      <c r="I373" s="125" t="s">
        <v>706</v>
      </c>
      <c r="J373" s="126" t="s">
        <v>600</v>
      </c>
    </row>
    <row r="374" spans="2:10" ht="72" x14ac:dyDescent="0.3">
      <c r="B374" s="203">
        <v>294</v>
      </c>
      <c r="C374" s="204" t="s">
        <v>1301</v>
      </c>
      <c r="D374" s="205" t="s">
        <v>1301</v>
      </c>
      <c r="E374" s="205" t="s">
        <v>1521</v>
      </c>
      <c r="F374" s="205" t="s">
        <v>1347</v>
      </c>
      <c r="G374" s="206" t="s">
        <v>1348</v>
      </c>
      <c r="H374" s="207" t="s">
        <v>621</v>
      </c>
      <c r="I374" s="125" t="s">
        <v>622</v>
      </c>
      <c r="J374" s="126" t="s">
        <v>600</v>
      </c>
    </row>
    <row r="375" spans="2:10" ht="144" x14ac:dyDescent="0.3">
      <c r="B375" s="203">
        <v>154</v>
      </c>
      <c r="C375" s="204" t="s">
        <v>1555</v>
      </c>
      <c r="D375" s="205" t="s">
        <v>1555</v>
      </c>
      <c r="E375" s="205" t="s">
        <v>1521</v>
      </c>
      <c r="F375" s="205" t="s">
        <v>835</v>
      </c>
      <c r="G375" s="206" t="s">
        <v>836</v>
      </c>
      <c r="H375" s="207" t="s">
        <v>595</v>
      </c>
      <c r="I375" s="125" t="s">
        <v>596</v>
      </c>
      <c r="J375" s="126" t="s">
        <v>600</v>
      </c>
    </row>
    <row r="376" spans="2:10" ht="409.6" x14ac:dyDescent="0.3">
      <c r="B376" s="203">
        <v>528</v>
      </c>
      <c r="C376" s="204" t="s">
        <v>1301</v>
      </c>
      <c r="D376" s="205" t="s">
        <v>1301</v>
      </c>
      <c r="E376" s="205" t="s">
        <v>1521</v>
      </c>
      <c r="F376" s="205" t="s">
        <v>1353</v>
      </c>
      <c r="G376" s="206" t="s">
        <v>1617</v>
      </c>
      <c r="H376" s="207" t="s">
        <v>1354</v>
      </c>
      <c r="I376" s="125" t="s">
        <v>706</v>
      </c>
      <c r="J376" s="126" t="s">
        <v>600</v>
      </c>
    </row>
    <row r="377" spans="2:10" ht="43.2" x14ac:dyDescent="0.3">
      <c r="B377" s="203">
        <v>153</v>
      </c>
      <c r="C377" s="204" t="s">
        <v>1555</v>
      </c>
      <c r="D377" s="205" t="s">
        <v>1555</v>
      </c>
      <c r="E377" s="205" t="s">
        <v>1521</v>
      </c>
      <c r="F377" s="205" t="s">
        <v>833</v>
      </c>
      <c r="G377" s="206" t="s">
        <v>834</v>
      </c>
      <c r="H377" s="207" t="s">
        <v>595</v>
      </c>
      <c r="I377" s="125" t="s">
        <v>33</v>
      </c>
      <c r="J377" s="126" t="s">
        <v>600</v>
      </c>
    </row>
    <row r="378" spans="2:10" ht="43.2" x14ac:dyDescent="0.3">
      <c r="B378" s="203">
        <v>249</v>
      </c>
      <c r="C378" s="204" t="s">
        <v>1301</v>
      </c>
      <c r="D378" s="205" t="s">
        <v>1301</v>
      </c>
      <c r="E378" s="205" t="s">
        <v>1521</v>
      </c>
      <c r="F378" s="205" t="s">
        <v>1315</v>
      </c>
      <c r="G378" s="206" t="s">
        <v>1316</v>
      </c>
      <c r="H378" s="207" t="s">
        <v>621</v>
      </c>
      <c r="I378" s="125" t="s">
        <v>622</v>
      </c>
      <c r="J378" s="126" t="s">
        <v>600</v>
      </c>
    </row>
    <row r="379" spans="2:10" ht="201.6" x14ac:dyDescent="0.3">
      <c r="B379" s="203">
        <v>262</v>
      </c>
      <c r="C379" s="204" t="s">
        <v>1301</v>
      </c>
      <c r="D379" s="205" t="s">
        <v>1301</v>
      </c>
      <c r="E379" s="205" t="s">
        <v>1521</v>
      </c>
      <c r="F379" s="205" t="s">
        <v>1324</v>
      </c>
      <c r="G379" s="206" t="s">
        <v>1576</v>
      </c>
      <c r="H379" s="207" t="s">
        <v>1325</v>
      </c>
      <c r="I379" s="125" t="s">
        <v>622</v>
      </c>
      <c r="J379" s="126" t="s">
        <v>600</v>
      </c>
    </row>
    <row r="380" spans="2:10" ht="72" x14ac:dyDescent="0.3">
      <c r="B380" s="203">
        <v>289</v>
      </c>
      <c r="C380" s="204" t="s">
        <v>1301</v>
      </c>
      <c r="D380" s="205" t="s">
        <v>1301</v>
      </c>
      <c r="E380" s="205" t="s">
        <v>1521</v>
      </c>
      <c r="F380" s="205" t="s">
        <v>1344</v>
      </c>
      <c r="G380" s="206" t="s">
        <v>1334</v>
      </c>
      <c r="H380" s="207" t="s">
        <v>621</v>
      </c>
      <c r="I380" s="125" t="s">
        <v>622</v>
      </c>
      <c r="J380" s="126" t="s">
        <v>600</v>
      </c>
    </row>
    <row r="381" spans="2:10" ht="144" x14ac:dyDescent="0.3">
      <c r="B381" s="203">
        <v>270</v>
      </c>
      <c r="C381" s="204" t="s">
        <v>1301</v>
      </c>
      <c r="D381" s="205" t="s">
        <v>1301</v>
      </c>
      <c r="E381" s="205" t="s">
        <v>1521</v>
      </c>
      <c r="F381" s="205" t="s">
        <v>1335</v>
      </c>
      <c r="G381" s="206" t="s">
        <v>1336</v>
      </c>
      <c r="H381" s="207" t="s">
        <v>621</v>
      </c>
      <c r="I381" s="125" t="s">
        <v>622</v>
      </c>
      <c r="J381" s="126" t="s">
        <v>600</v>
      </c>
    </row>
    <row r="382" spans="2:10" ht="72" x14ac:dyDescent="0.3">
      <c r="B382" s="203">
        <v>252</v>
      </c>
      <c r="C382" s="204" t="s">
        <v>1301</v>
      </c>
      <c r="D382" s="205" t="s">
        <v>1301</v>
      </c>
      <c r="E382" s="205" t="s">
        <v>1521</v>
      </c>
      <c r="F382" s="205" t="s">
        <v>1317</v>
      </c>
      <c r="G382" s="206" t="s">
        <v>1605</v>
      </c>
      <c r="H382" s="207" t="s">
        <v>1606</v>
      </c>
      <c r="I382" s="125" t="s">
        <v>622</v>
      </c>
      <c r="J382" s="126" t="s">
        <v>600</v>
      </c>
    </row>
    <row r="383" spans="2:10" ht="244.8" x14ac:dyDescent="0.3">
      <c r="B383" s="203">
        <v>261</v>
      </c>
      <c r="C383" s="204" t="s">
        <v>1301</v>
      </c>
      <c r="D383" s="205" t="s">
        <v>1301</v>
      </c>
      <c r="E383" s="205" t="s">
        <v>1521</v>
      </c>
      <c r="F383" s="205" t="s">
        <v>1322</v>
      </c>
      <c r="G383" s="206" t="s">
        <v>1575</v>
      </c>
      <c r="H383" s="207" t="s">
        <v>1323</v>
      </c>
      <c r="I383" s="125" t="s">
        <v>622</v>
      </c>
      <c r="J383" s="126" t="s">
        <v>600</v>
      </c>
    </row>
    <row r="384" spans="2:10" ht="43.2" x14ac:dyDescent="0.3">
      <c r="B384" s="203">
        <v>164</v>
      </c>
      <c r="C384" s="204" t="s">
        <v>1555</v>
      </c>
      <c r="D384" s="205" t="s">
        <v>1578</v>
      </c>
      <c r="E384" s="205" t="s">
        <v>1521</v>
      </c>
      <c r="F384" s="205" t="s">
        <v>854</v>
      </c>
      <c r="G384" s="206" t="s">
        <v>855</v>
      </c>
      <c r="H384" s="207" t="s">
        <v>595</v>
      </c>
      <c r="I384" s="125" t="s">
        <v>641</v>
      </c>
      <c r="J384" s="126" t="s">
        <v>600</v>
      </c>
    </row>
    <row r="385" spans="2:10" ht="187.2" x14ac:dyDescent="0.3">
      <c r="B385" s="203">
        <v>260</v>
      </c>
      <c r="C385" s="204" t="s">
        <v>1301</v>
      </c>
      <c r="D385" s="205" t="s">
        <v>1301</v>
      </c>
      <c r="E385" s="205" t="s">
        <v>1521</v>
      </c>
      <c r="F385" s="205" t="s">
        <v>1573</v>
      </c>
      <c r="G385" s="206" t="s">
        <v>1574</v>
      </c>
      <c r="H385" s="207" t="s">
        <v>1321</v>
      </c>
      <c r="I385" s="125" t="s">
        <v>622</v>
      </c>
      <c r="J385" s="126" t="s">
        <v>600</v>
      </c>
    </row>
    <row r="386" spans="2:10" ht="144" x14ac:dyDescent="0.3">
      <c r="B386" s="203">
        <v>151</v>
      </c>
      <c r="C386" s="204" t="s">
        <v>1555</v>
      </c>
      <c r="D386" s="205" t="s">
        <v>1578</v>
      </c>
      <c r="E386" s="205" t="s">
        <v>1521</v>
      </c>
      <c r="F386" s="205" t="s">
        <v>829</v>
      </c>
      <c r="G386" s="206" t="s">
        <v>830</v>
      </c>
      <c r="H386" s="207" t="s">
        <v>595</v>
      </c>
      <c r="I386" s="125" t="s">
        <v>641</v>
      </c>
      <c r="J386" s="126" t="s">
        <v>615</v>
      </c>
    </row>
    <row r="387" spans="2:10" ht="43.2" x14ac:dyDescent="0.3">
      <c r="B387" s="203">
        <v>168</v>
      </c>
      <c r="C387" s="204" t="s">
        <v>1555</v>
      </c>
      <c r="D387" s="205" t="s">
        <v>1555</v>
      </c>
      <c r="E387" s="205" t="s">
        <v>1521</v>
      </c>
      <c r="F387" s="205" t="s">
        <v>859</v>
      </c>
      <c r="G387" s="206" t="s">
        <v>860</v>
      </c>
      <c r="H387" s="207" t="s">
        <v>595</v>
      </c>
      <c r="I387" s="125" t="s">
        <v>10</v>
      </c>
      <c r="J387" s="126" t="s">
        <v>604</v>
      </c>
    </row>
    <row r="388" spans="2:10" ht="288" x14ac:dyDescent="0.3">
      <c r="B388" s="203">
        <v>1107</v>
      </c>
      <c r="C388" s="204" t="s">
        <v>1555</v>
      </c>
      <c r="D388" s="205" t="s">
        <v>1578</v>
      </c>
      <c r="E388" s="205" t="s">
        <v>1521</v>
      </c>
      <c r="F388" s="205" t="s">
        <v>1256</v>
      </c>
      <c r="G388" s="206" t="s">
        <v>1257</v>
      </c>
      <c r="H388" s="207" t="s">
        <v>621</v>
      </c>
      <c r="I388" s="125" t="s">
        <v>622</v>
      </c>
      <c r="J388" s="126" t="s">
        <v>615</v>
      </c>
    </row>
    <row r="389" spans="2:10" ht="86.4" x14ac:dyDescent="0.3">
      <c r="B389" s="203">
        <v>100</v>
      </c>
      <c r="C389" s="204" t="s">
        <v>1301</v>
      </c>
      <c r="D389" s="205" t="s">
        <v>1301</v>
      </c>
      <c r="E389" s="205" t="s">
        <v>1521</v>
      </c>
      <c r="F389" s="205" t="s">
        <v>1298</v>
      </c>
      <c r="G389" s="206" t="s">
        <v>1299</v>
      </c>
      <c r="H389" s="207" t="s">
        <v>595</v>
      </c>
      <c r="I389" s="125" t="s">
        <v>596</v>
      </c>
      <c r="J389" s="126" t="s">
        <v>600</v>
      </c>
    </row>
    <row r="390" spans="2:10" ht="86.4" x14ac:dyDescent="0.3">
      <c r="B390" s="203">
        <v>129</v>
      </c>
      <c r="C390" s="204" t="s">
        <v>1555</v>
      </c>
      <c r="D390" s="205" t="s">
        <v>1555</v>
      </c>
      <c r="E390" s="205" t="s">
        <v>1521</v>
      </c>
      <c r="F390" s="205" t="s">
        <v>804</v>
      </c>
      <c r="G390" s="206" t="s">
        <v>805</v>
      </c>
      <c r="H390" s="207" t="s">
        <v>584</v>
      </c>
      <c r="I390" s="125" t="s">
        <v>596</v>
      </c>
      <c r="J390" s="126" t="s">
        <v>600</v>
      </c>
    </row>
    <row r="391" spans="2:10" ht="28.8" x14ac:dyDescent="0.3">
      <c r="B391" s="208">
        <v>1070</v>
      </c>
      <c r="C391" s="209" t="s">
        <v>1396</v>
      </c>
      <c r="D391" s="210" t="s">
        <v>1404</v>
      </c>
      <c r="E391" s="210" t="s">
        <v>1525</v>
      </c>
      <c r="F391" s="210" t="s">
        <v>1412</v>
      </c>
      <c r="G391" s="211" t="s">
        <v>1413</v>
      </c>
      <c r="H391" s="212" t="s">
        <v>595</v>
      </c>
      <c r="I391" s="200" t="s">
        <v>902</v>
      </c>
      <c r="J391" s="201" t="s">
        <v>600</v>
      </c>
    </row>
    <row r="392" spans="2:10" ht="43.2" x14ac:dyDescent="0.3">
      <c r="B392" s="203">
        <v>1113</v>
      </c>
      <c r="C392" s="204" t="s">
        <v>1396</v>
      </c>
      <c r="D392" s="205" t="s">
        <v>1410</v>
      </c>
      <c r="E392" s="205" t="s">
        <v>1525</v>
      </c>
      <c r="F392" s="205" t="s">
        <v>1414</v>
      </c>
      <c r="G392" s="206" t="s">
        <v>1415</v>
      </c>
      <c r="H392" s="207" t="s">
        <v>595</v>
      </c>
      <c r="I392" s="125" t="s">
        <v>596</v>
      </c>
      <c r="J392" s="126" t="s">
        <v>600</v>
      </c>
    </row>
    <row r="393" spans="2:10" ht="43.2" x14ac:dyDescent="0.3">
      <c r="B393" s="203">
        <v>582</v>
      </c>
      <c r="C393" s="204" t="s">
        <v>1396</v>
      </c>
      <c r="D393" s="205" t="s">
        <v>1397</v>
      </c>
      <c r="E393" s="205" t="s">
        <v>1525</v>
      </c>
      <c r="F393" s="205" t="s">
        <v>1407</v>
      </c>
      <c r="G393" s="206" t="s">
        <v>1408</v>
      </c>
      <c r="H393" s="207" t="s">
        <v>1409</v>
      </c>
      <c r="I393" s="125" t="s">
        <v>10</v>
      </c>
      <c r="J393" s="126" t="s">
        <v>604</v>
      </c>
    </row>
    <row r="394" spans="2:10" ht="43.2" x14ac:dyDescent="0.3">
      <c r="B394" s="203">
        <v>579</v>
      </c>
      <c r="C394" s="204" t="s">
        <v>1396</v>
      </c>
      <c r="D394" s="205" t="s">
        <v>1404</v>
      </c>
      <c r="E394" s="205" t="s">
        <v>1525</v>
      </c>
      <c r="F394" s="205" t="s">
        <v>1405</v>
      </c>
      <c r="G394" s="206" t="s">
        <v>1406</v>
      </c>
      <c r="H394" s="207" t="s">
        <v>595</v>
      </c>
      <c r="I394" s="125" t="s">
        <v>10</v>
      </c>
      <c r="J394" s="126" t="s">
        <v>604</v>
      </c>
    </row>
    <row r="395" spans="2:10" ht="43.2" x14ac:dyDescent="0.3">
      <c r="B395" s="203">
        <v>495</v>
      </c>
      <c r="C395" s="204" t="s">
        <v>1396</v>
      </c>
      <c r="D395" s="205" t="s">
        <v>1397</v>
      </c>
      <c r="E395" s="205" t="s">
        <v>1525</v>
      </c>
      <c r="F395" s="205" t="s">
        <v>1398</v>
      </c>
      <c r="G395" s="206" t="s">
        <v>1399</v>
      </c>
      <c r="H395" s="207" t="s">
        <v>595</v>
      </c>
      <c r="I395" s="125" t="s">
        <v>10</v>
      </c>
      <c r="J395" s="126" t="s">
        <v>604</v>
      </c>
    </row>
    <row r="396" spans="2:10" ht="28.8" x14ac:dyDescent="0.3">
      <c r="B396" s="203">
        <v>496</v>
      </c>
      <c r="C396" s="204" t="s">
        <v>1396</v>
      </c>
      <c r="D396" s="205" t="s">
        <v>1397</v>
      </c>
      <c r="E396" s="205" t="s">
        <v>1525</v>
      </c>
      <c r="F396" s="205" t="s">
        <v>1400</v>
      </c>
      <c r="G396" s="206" t="s">
        <v>1401</v>
      </c>
      <c r="H396" s="207" t="s">
        <v>595</v>
      </c>
      <c r="I396" s="125" t="s">
        <v>10</v>
      </c>
      <c r="J396" s="126" t="s">
        <v>604</v>
      </c>
    </row>
    <row r="397" spans="2:10" ht="57.6" x14ac:dyDescent="0.3">
      <c r="B397" s="203">
        <v>578</v>
      </c>
      <c r="C397" s="204" t="s">
        <v>1396</v>
      </c>
      <c r="D397" s="205" t="s">
        <v>1397</v>
      </c>
      <c r="E397" s="205" t="s">
        <v>1525</v>
      </c>
      <c r="F397" s="205" t="s">
        <v>1402</v>
      </c>
      <c r="G397" s="206" t="s">
        <v>1403</v>
      </c>
      <c r="H397" s="207" t="s">
        <v>595</v>
      </c>
      <c r="I397" s="125" t="s">
        <v>10</v>
      </c>
      <c r="J397" s="126" t="s">
        <v>604</v>
      </c>
    </row>
    <row r="398" spans="2:10" ht="43.2" x14ac:dyDescent="0.3">
      <c r="B398" s="208">
        <v>461</v>
      </c>
      <c r="C398" s="209" t="s">
        <v>1526</v>
      </c>
      <c r="D398" s="210" t="s">
        <v>1526</v>
      </c>
      <c r="E398" s="210" t="s">
        <v>1526</v>
      </c>
      <c r="F398" s="210" t="s">
        <v>1419</v>
      </c>
      <c r="G398" s="211" t="s">
        <v>1614</v>
      </c>
      <c r="H398" s="212" t="s">
        <v>595</v>
      </c>
      <c r="I398" s="200" t="s">
        <v>10</v>
      </c>
      <c r="J398" s="201" t="s">
        <v>604</v>
      </c>
    </row>
    <row r="399" spans="2:10" ht="115.2" x14ac:dyDescent="0.3">
      <c r="B399" s="208">
        <v>725</v>
      </c>
      <c r="C399" s="209" t="s">
        <v>1428</v>
      </c>
      <c r="D399" s="210" t="s">
        <v>1428</v>
      </c>
      <c r="E399" s="210" t="s">
        <v>1526</v>
      </c>
      <c r="F399" s="210" t="s">
        <v>1434</v>
      </c>
      <c r="G399" s="211" t="s">
        <v>1435</v>
      </c>
      <c r="H399" s="212" t="s">
        <v>621</v>
      </c>
      <c r="I399" s="200" t="s">
        <v>41</v>
      </c>
      <c r="J399" s="201" t="s">
        <v>600</v>
      </c>
    </row>
    <row r="400" spans="2:10" ht="57.6" x14ac:dyDescent="0.3">
      <c r="B400" s="203">
        <v>728</v>
      </c>
      <c r="C400" s="204" t="s">
        <v>1526</v>
      </c>
      <c r="D400" s="205" t="s">
        <v>1526</v>
      </c>
      <c r="E400" s="205" t="s">
        <v>1526</v>
      </c>
      <c r="F400" s="205" t="s">
        <v>1438</v>
      </c>
      <c r="G400" s="206" t="s">
        <v>1439</v>
      </c>
      <c r="H400" s="207" t="s">
        <v>621</v>
      </c>
      <c r="I400" s="125" t="s">
        <v>33</v>
      </c>
      <c r="J400" s="126" t="s">
        <v>600</v>
      </c>
    </row>
    <row r="401" spans="2:10" ht="28.8" x14ac:dyDescent="0.3">
      <c r="B401" s="208">
        <v>729</v>
      </c>
      <c r="C401" s="209" t="s">
        <v>1526</v>
      </c>
      <c r="D401" s="210" t="s">
        <v>1526</v>
      </c>
      <c r="E401" s="210" t="s">
        <v>1526</v>
      </c>
      <c r="F401" s="210" t="s">
        <v>1440</v>
      </c>
      <c r="G401" s="211" t="s">
        <v>1441</v>
      </c>
      <c r="H401" s="212" t="s">
        <v>1442</v>
      </c>
      <c r="I401" s="200" t="s">
        <v>641</v>
      </c>
      <c r="J401" s="201" t="s">
        <v>600</v>
      </c>
    </row>
    <row r="402" spans="2:10" ht="43.2" x14ac:dyDescent="0.3">
      <c r="B402" s="203">
        <v>909</v>
      </c>
      <c r="C402" s="204" t="s">
        <v>1428</v>
      </c>
      <c r="D402" s="205" t="s">
        <v>1428</v>
      </c>
      <c r="E402" s="205" t="s">
        <v>1526</v>
      </c>
      <c r="F402" s="205" t="s">
        <v>1443</v>
      </c>
      <c r="G402" s="206" t="s">
        <v>1444</v>
      </c>
      <c r="H402" s="207" t="s">
        <v>1445</v>
      </c>
      <c r="I402" s="125" t="s">
        <v>1272</v>
      </c>
      <c r="J402" s="126" t="s">
        <v>600</v>
      </c>
    </row>
    <row r="403" spans="2:10" ht="86.4" x14ac:dyDescent="0.3">
      <c r="B403" s="203">
        <v>581</v>
      </c>
      <c r="C403" s="204" t="s">
        <v>1526</v>
      </c>
      <c r="D403" s="205" t="s">
        <v>1526</v>
      </c>
      <c r="E403" s="205" t="s">
        <v>1526</v>
      </c>
      <c r="F403" s="205" t="s">
        <v>1425</v>
      </c>
      <c r="G403" s="206" t="s">
        <v>1426</v>
      </c>
      <c r="H403" s="207" t="s">
        <v>595</v>
      </c>
      <c r="I403" s="125" t="s">
        <v>10</v>
      </c>
      <c r="J403" s="126" t="s">
        <v>600</v>
      </c>
    </row>
    <row r="404" spans="2:10" ht="144" x14ac:dyDescent="0.3">
      <c r="B404" s="203">
        <v>722</v>
      </c>
      <c r="C404" s="204" t="s">
        <v>1526</v>
      </c>
      <c r="D404" s="205" t="s">
        <v>1526</v>
      </c>
      <c r="E404" s="205" t="s">
        <v>1526</v>
      </c>
      <c r="F404" s="205" t="s">
        <v>1430</v>
      </c>
      <c r="G404" s="206" t="s">
        <v>1431</v>
      </c>
      <c r="H404" s="207" t="s">
        <v>621</v>
      </c>
      <c r="I404" s="125" t="s">
        <v>622</v>
      </c>
      <c r="J404" s="126" t="s">
        <v>600</v>
      </c>
    </row>
    <row r="405" spans="2:10" ht="28.8" x14ac:dyDescent="0.3">
      <c r="B405" s="203">
        <v>1114</v>
      </c>
      <c r="C405" s="204" t="s">
        <v>1526</v>
      </c>
      <c r="D405" s="205" t="s">
        <v>1526</v>
      </c>
      <c r="E405" s="205" t="s">
        <v>1526</v>
      </c>
      <c r="F405" s="205" t="s">
        <v>1448</v>
      </c>
      <c r="G405" s="206" t="s">
        <v>1449</v>
      </c>
      <c r="H405" s="207" t="s">
        <v>595</v>
      </c>
      <c r="I405" s="125" t="s">
        <v>10</v>
      </c>
      <c r="J405" s="126" t="s">
        <v>604</v>
      </c>
    </row>
    <row r="406" spans="2:10" ht="43.2" x14ac:dyDescent="0.3">
      <c r="B406" s="208">
        <v>434</v>
      </c>
      <c r="C406" s="209" t="s">
        <v>1526</v>
      </c>
      <c r="D406" s="210" t="s">
        <v>1526</v>
      </c>
      <c r="E406" s="210" t="s">
        <v>1526</v>
      </c>
      <c r="F406" s="210" t="s">
        <v>1418</v>
      </c>
      <c r="G406" s="211" t="s">
        <v>1613</v>
      </c>
      <c r="H406" s="212" t="s">
        <v>595</v>
      </c>
      <c r="I406" s="200" t="s">
        <v>975</v>
      </c>
      <c r="J406" s="201" t="s">
        <v>600</v>
      </c>
    </row>
    <row r="407" spans="2:10" ht="72" x14ac:dyDescent="0.3">
      <c r="B407" s="208">
        <v>103</v>
      </c>
      <c r="C407" s="209" t="s">
        <v>1526</v>
      </c>
      <c r="D407" s="210" t="s">
        <v>1526</v>
      </c>
      <c r="E407" s="210" t="s">
        <v>1526</v>
      </c>
      <c r="F407" s="210" t="s">
        <v>1416</v>
      </c>
      <c r="G407" s="211" t="s">
        <v>1417</v>
      </c>
      <c r="H407" s="212" t="s">
        <v>595</v>
      </c>
      <c r="I407" s="200" t="s">
        <v>41</v>
      </c>
      <c r="J407" s="201" t="s">
        <v>615</v>
      </c>
    </row>
    <row r="408" spans="2:10" ht="28.8" x14ac:dyDescent="0.3">
      <c r="B408" s="203">
        <v>726</v>
      </c>
      <c r="C408" s="204" t="s">
        <v>1428</v>
      </c>
      <c r="D408" s="205" t="s">
        <v>1428</v>
      </c>
      <c r="E408" s="205" t="s">
        <v>1526</v>
      </c>
      <c r="F408" s="205" t="s">
        <v>1436</v>
      </c>
      <c r="G408" s="206" t="s">
        <v>1569</v>
      </c>
      <c r="H408" s="207" t="s">
        <v>1437</v>
      </c>
      <c r="I408" s="125" t="s">
        <v>41</v>
      </c>
      <c r="J408" s="126" t="s">
        <v>600</v>
      </c>
    </row>
    <row r="409" spans="2:10" ht="115.2" x14ac:dyDescent="0.3">
      <c r="B409" s="203">
        <v>506</v>
      </c>
      <c r="C409" s="204" t="s">
        <v>1526</v>
      </c>
      <c r="D409" s="205" t="s">
        <v>1526</v>
      </c>
      <c r="E409" s="205" t="s">
        <v>1526</v>
      </c>
      <c r="F409" s="205" t="s">
        <v>1421</v>
      </c>
      <c r="G409" s="206" t="s">
        <v>1422</v>
      </c>
      <c r="H409" s="207" t="s">
        <v>621</v>
      </c>
      <c r="I409" s="125" t="s">
        <v>33</v>
      </c>
      <c r="J409" s="126" t="s">
        <v>600</v>
      </c>
    </row>
    <row r="410" spans="2:10" ht="28.8" x14ac:dyDescent="0.3">
      <c r="B410" s="208">
        <v>1112</v>
      </c>
      <c r="C410" s="209" t="s">
        <v>1526</v>
      </c>
      <c r="D410" s="210" t="s">
        <v>1526</v>
      </c>
      <c r="E410" s="210" t="s">
        <v>1526</v>
      </c>
      <c r="F410" s="210" t="s">
        <v>1446</v>
      </c>
      <c r="G410" s="211" t="s">
        <v>1447</v>
      </c>
      <c r="H410" s="212" t="s">
        <v>595</v>
      </c>
      <c r="I410" s="200" t="s">
        <v>10</v>
      </c>
      <c r="J410" s="201" t="s">
        <v>604</v>
      </c>
    </row>
    <row r="411" spans="2:10" ht="201.6" x14ac:dyDescent="0.3">
      <c r="B411" s="203">
        <v>573</v>
      </c>
      <c r="C411" s="204" t="s">
        <v>1526</v>
      </c>
      <c r="D411" s="205" t="s">
        <v>1526</v>
      </c>
      <c r="E411" s="205" t="s">
        <v>1526</v>
      </c>
      <c r="F411" s="205" t="s">
        <v>1423</v>
      </c>
      <c r="G411" s="206" t="s">
        <v>1424</v>
      </c>
      <c r="H411" s="207" t="s">
        <v>595</v>
      </c>
      <c r="I411" s="125" t="s">
        <v>10</v>
      </c>
      <c r="J411" s="126" t="s">
        <v>604</v>
      </c>
    </row>
    <row r="412" spans="2:10" ht="57.6" x14ac:dyDescent="0.3">
      <c r="B412" s="208">
        <v>724</v>
      </c>
      <c r="C412" s="209" t="s">
        <v>1428</v>
      </c>
      <c r="D412" s="210" t="s">
        <v>1428</v>
      </c>
      <c r="E412" s="210" t="s">
        <v>1526</v>
      </c>
      <c r="F412" s="210" t="s">
        <v>1432</v>
      </c>
      <c r="G412" s="211" t="s">
        <v>1433</v>
      </c>
      <c r="H412" s="212" t="s">
        <v>621</v>
      </c>
      <c r="I412" s="200" t="s">
        <v>41</v>
      </c>
      <c r="J412" s="201" t="s">
        <v>600</v>
      </c>
    </row>
    <row r="413" spans="2:10" ht="57.6" x14ac:dyDescent="0.3">
      <c r="B413" s="203">
        <v>811</v>
      </c>
      <c r="C413" s="204" t="s">
        <v>1450</v>
      </c>
      <c r="D413" s="205" t="s">
        <v>1450</v>
      </c>
      <c r="E413" s="205" t="s">
        <v>1450</v>
      </c>
      <c r="F413" s="205" t="s">
        <v>1453</v>
      </c>
      <c r="G413" s="206" t="s">
        <v>1566</v>
      </c>
      <c r="H413" s="207" t="s">
        <v>595</v>
      </c>
      <c r="I413" s="125" t="s">
        <v>902</v>
      </c>
      <c r="J413" s="126" t="s">
        <v>600</v>
      </c>
    </row>
    <row r="414" spans="2:10" ht="57.6" x14ac:dyDescent="0.3">
      <c r="B414" s="203">
        <v>499</v>
      </c>
      <c r="C414" s="204" t="s">
        <v>1472</v>
      </c>
      <c r="D414" s="205" t="s">
        <v>1472</v>
      </c>
      <c r="E414" s="205" t="s">
        <v>1527</v>
      </c>
      <c r="F414" s="205" t="s">
        <v>1454</v>
      </c>
      <c r="G414" s="206" t="s">
        <v>1455</v>
      </c>
      <c r="H414" s="207" t="s">
        <v>595</v>
      </c>
      <c r="I414" s="125" t="s">
        <v>10</v>
      </c>
      <c r="J414" s="126" t="s">
        <v>604</v>
      </c>
    </row>
    <row r="415" spans="2:10" ht="57.6" x14ac:dyDescent="0.3">
      <c r="B415" s="208">
        <v>543</v>
      </c>
      <c r="C415" s="209" t="s">
        <v>1582</v>
      </c>
      <c r="D415" s="210" t="s">
        <v>1582</v>
      </c>
      <c r="E415" s="210" t="s">
        <v>1527</v>
      </c>
      <c r="F415" s="210" t="s">
        <v>1456</v>
      </c>
      <c r="G415" s="211" t="s">
        <v>1457</v>
      </c>
      <c r="H415" s="212" t="s">
        <v>595</v>
      </c>
      <c r="I415" s="200" t="s">
        <v>10</v>
      </c>
      <c r="J415" s="201" t="s">
        <v>604</v>
      </c>
    </row>
    <row r="416" spans="2:10" ht="43.2" x14ac:dyDescent="0.3">
      <c r="B416" s="203">
        <v>558</v>
      </c>
      <c r="C416" s="204" t="s">
        <v>1472</v>
      </c>
      <c r="D416" s="205" t="s">
        <v>1472</v>
      </c>
      <c r="E416" s="205" t="s">
        <v>1527</v>
      </c>
      <c r="F416" s="205" t="s">
        <v>1473</v>
      </c>
      <c r="G416" s="206" t="s">
        <v>1474</v>
      </c>
      <c r="H416" s="207" t="s">
        <v>621</v>
      </c>
      <c r="I416" s="125" t="s">
        <v>33</v>
      </c>
      <c r="J416" s="126" t="s">
        <v>600</v>
      </c>
    </row>
    <row r="417" spans="2:10" ht="72" x14ac:dyDescent="0.3">
      <c r="B417" s="203">
        <v>1118</v>
      </c>
      <c r="C417" s="204" t="s">
        <v>1472</v>
      </c>
      <c r="D417" s="205" t="s">
        <v>1472</v>
      </c>
      <c r="E417" s="205" t="s">
        <v>1527</v>
      </c>
      <c r="F417" s="205" t="s">
        <v>1584</v>
      </c>
      <c r="G417" s="206" t="s">
        <v>1585</v>
      </c>
      <c r="H417" s="207" t="s">
        <v>595</v>
      </c>
      <c r="I417" s="125" t="s">
        <v>10</v>
      </c>
      <c r="J417" s="126" t="s">
        <v>604</v>
      </c>
    </row>
    <row r="418" spans="2:10" ht="43.2" x14ac:dyDescent="0.3">
      <c r="B418" s="203">
        <v>551</v>
      </c>
      <c r="C418" s="204" t="s">
        <v>1458</v>
      </c>
      <c r="D418" s="205" t="s">
        <v>1458</v>
      </c>
      <c r="E418" s="205" t="s">
        <v>1527</v>
      </c>
      <c r="F418" s="205" t="s">
        <v>1468</v>
      </c>
      <c r="G418" s="206" t="s">
        <v>1469</v>
      </c>
      <c r="H418" s="207" t="s">
        <v>595</v>
      </c>
      <c r="I418" s="125" t="s">
        <v>10</v>
      </c>
      <c r="J418" s="126" t="s">
        <v>604</v>
      </c>
    </row>
    <row r="419" spans="2:10" ht="57.6" x14ac:dyDescent="0.3">
      <c r="B419" s="203">
        <v>1119</v>
      </c>
      <c r="C419" s="204" t="s">
        <v>1472</v>
      </c>
      <c r="D419" s="205" t="s">
        <v>1472</v>
      </c>
      <c r="E419" s="205" t="s">
        <v>1527</v>
      </c>
      <c r="F419" s="205" t="s">
        <v>1586</v>
      </c>
      <c r="G419" s="206" t="s">
        <v>1587</v>
      </c>
      <c r="H419" s="207" t="s">
        <v>595</v>
      </c>
      <c r="I419" s="125" t="s">
        <v>10</v>
      </c>
      <c r="J419" s="126" t="s">
        <v>604</v>
      </c>
    </row>
    <row r="420" spans="2:10" ht="72" x14ac:dyDescent="0.3">
      <c r="B420" s="203">
        <v>706</v>
      </c>
      <c r="C420" s="204" t="s">
        <v>1472</v>
      </c>
      <c r="D420" s="205" t="s">
        <v>1472</v>
      </c>
      <c r="E420" s="205" t="s">
        <v>1527</v>
      </c>
      <c r="F420" s="205" t="s">
        <v>1476</v>
      </c>
      <c r="G420" s="206" t="s">
        <v>1477</v>
      </c>
      <c r="H420" s="207" t="s">
        <v>595</v>
      </c>
      <c r="I420" s="125" t="s">
        <v>10</v>
      </c>
      <c r="J420" s="126" t="s">
        <v>604</v>
      </c>
    </row>
    <row r="421" spans="2:10" ht="43.2" x14ac:dyDescent="0.3">
      <c r="B421" s="203">
        <v>718</v>
      </c>
      <c r="C421" s="204" t="s">
        <v>1472</v>
      </c>
      <c r="D421" s="205" t="s">
        <v>1472</v>
      </c>
      <c r="E421" s="205" t="s">
        <v>1527</v>
      </c>
      <c r="F421" s="205" t="s">
        <v>1478</v>
      </c>
      <c r="G421" s="206" t="s">
        <v>1561</v>
      </c>
      <c r="H421" s="207" t="s">
        <v>595</v>
      </c>
      <c r="I421" s="125" t="s">
        <v>10</v>
      </c>
      <c r="J421" s="126" t="s">
        <v>604</v>
      </c>
    </row>
    <row r="422" spans="2:10" ht="57.6" x14ac:dyDescent="0.3">
      <c r="B422" s="208">
        <v>547</v>
      </c>
      <c r="C422" s="209" t="s">
        <v>1582</v>
      </c>
      <c r="D422" s="210" t="s">
        <v>1582</v>
      </c>
      <c r="E422" s="210" t="s">
        <v>1527</v>
      </c>
      <c r="F422" s="210" t="s">
        <v>1461</v>
      </c>
      <c r="G422" s="211" t="s">
        <v>1462</v>
      </c>
      <c r="H422" s="212" t="s">
        <v>595</v>
      </c>
      <c r="I422" s="200" t="s">
        <v>1463</v>
      </c>
      <c r="J422" s="201" t="s">
        <v>600</v>
      </c>
    </row>
    <row r="423" spans="2:10" ht="57.6" x14ac:dyDescent="0.3">
      <c r="B423" s="203">
        <v>553</v>
      </c>
      <c r="C423" s="204" t="s">
        <v>1458</v>
      </c>
      <c r="D423" s="205" t="s">
        <v>1458</v>
      </c>
      <c r="E423" s="205" t="s">
        <v>1527</v>
      </c>
      <c r="F423" s="205" t="s">
        <v>1470</v>
      </c>
      <c r="G423" s="206" t="s">
        <v>1471</v>
      </c>
      <c r="H423" s="207" t="s">
        <v>1445</v>
      </c>
      <c r="I423" s="125" t="s">
        <v>641</v>
      </c>
      <c r="J423" s="126" t="s">
        <v>600</v>
      </c>
    </row>
    <row r="424" spans="2:10" ht="57.6" x14ac:dyDescent="0.3">
      <c r="B424" s="203">
        <v>548</v>
      </c>
      <c r="C424" s="204" t="s">
        <v>1582</v>
      </c>
      <c r="D424" s="205" t="s">
        <v>1582</v>
      </c>
      <c r="E424" s="205" t="s">
        <v>1527</v>
      </c>
      <c r="F424" s="205" t="s">
        <v>1464</v>
      </c>
      <c r="G424" s="206" t="s">
        <v>1465</v>
      </c>
      <c r="H424" s="207" t="s">
        <v>1466</v>
      </c>
      <c r="I424" s="125" t="s">
        <v>1467</v>
      </c>
      <c r="J424" s="126" t="s">
        <v>600</v>
      </c>
    </row>
    <row r="425" spans="2:10" ht="72" x14ac:dyDescent="0.3">
      <c r="B425" s="203">
        <v>1120</v>
      </c>
      <c r="C425" s="204" t="s">
        <v>1472</v>
      </c>
      <c r="D425" s="205" t="s">
        <v>1472</v>
      </c>
      <c r="E425" s="205" t="s">
        <v>1527</v>
      </c>
      <c r="F425" s="205" t="s">
        <v>1588</v>
      </c>
      <c r="G425" s="206" t="s">
        <v>1589</v>
      </c>
      <c r="H425" s="207" t="s">
        <v>595</v>
      </c>
      <c r="I425" s="125" t="s">
        <v>10</v>
      </c>
      <c r="J425" s="126" t="s">
        <v>604</v>
      </c>
    </row>
    <row r="426" spans="2:10" ht="86.4" x14ac:dyDescent="0.3">
      <c r="B426" s="208">
        <v>544</v>
      </c>
      <c r="C426" s="209" t="s">
        <v>1458</v>
      </c>
      <c r="D426" s="210" t="s">
        <v>1458</v>
      </c>
      <c r="E426" s="210" t="s">
        <v>1527</v>
      </c>
      <c r="F426" s="210" t="s">
        <v>1459</v>
      </c>
      <c r="G426" s="211" t="s">
        <v>1460</v>
      </c>
      <c r="H426" s="212" t="s">
        <v>595</v>
      </c>
      <c r="I426" s="200" t="s">
        <v>10</v>
      </c>
      <c r="J426" s="201" t="s">
        <v>604</v>
      </c>
    </row>
    <row r="427" spans="2:10" s="213" customFormat="1" x14ac:dyDescent="0.3"/>
  </sheetData>
  <sheetProtection algorithmName="SHA-512" hashValue="LwGRK+2QoiM4nl6dLq+uzK5pq2qaQi4tZEsfd29VCjzNd5+ypFOv2oEAk1JgplUsQ205fZ4584mghMtsjAOu5A==" saltValue="KjjHtQC7EpJEBXoD8ypX0A==" spinCount="100000" sheet="1" autoFilter="0"/>
  <mergeCells count="1">
    <mergeCell ref="D3:G3"/>
  </mergeCells>
  <conditionalFormatting sqref="F6:F426">
    <cfRule type="duplicateValues" dxfId="17" priority="109"/>
  </conditionalFormatting>
  <pageMargins left="0.7" right="0.7" top="0.75" bottom="0.75" header="0.3" footer="0.3"/>
  <headerFooter>
    <oddFooter>&amp;L_x000D_&amp;1#&amp;"Calibri"&amp;10&amp;K000000 Public</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V78"/>
  <sheetViews>
    <sheetView showGridLines="0" zoomScaleNormal="100" workbookViewId="0">
      <selection activeCell="E7" sqref="E7"/>
    </sheetView>
  </sheetViews>
  <sheetFormatPr defaultColWidth="0" defaultRowHeight="14.4" zeroHeight="1" x14ac:dyDescent="0.3"/>
  <cols>
    <col min="1" max="1" width="3.33203125" customWidth="1"/>
    <col min="2" max="2" width="10.6640625" hidden="1" customWidth="1"/>
    <col min="3" max="3" width="32.6640625" customWidth="1"/>
    <col min="4" max="4" width="62.6640625" customWidth="1"/>
    <col min="5" max="5" width="18.77734375" customWidth="1"/>
    <col min="6" max="19" width="15.77734375" customWidth="1"/>
    <col min="20" max="20" width="8.6640625" customWidth="1"/>
    <col min="21" max="16384" width="8.6640625" hidden="1"/>
  </cols>
  <sheetData>
    <row r="1" spans="1:22" ht="22.95" customHeight="1" x14ac:dyDescent="0.3">
      <c r="A1" s="48"/>
      <c r="B1" s="48"/>
      <c r="C1" s="130" t="str">
        <f>IF(Data_Country="","Please select your country at the Start page","2026 Midyear Reporting: "&amp;Data_Country)</f>
        <v>2026 Midyear Reporting: Afghanistan</v>
      </c>
      <c r="D1" s="48"/>
      <c r="E1" s="48"/>
      <c r="F1" s="48"/>
      <c r="G1" s="48"/>
      <c r="H1" s="48"/>
      <c r="I1" s="48"/>
      <c r="J1" s="48"/>
      <c r="K1" s="48"/>
      <c r="L1" s="48"/>
      <c r="M1" s="48"/>
      <c r="N1" s="48"/>
      <c r="O1" s="48"/>
      <c r="P1" s="48"/>
      <c r="Q1" s="48"/>
      <c r="R1" s="48"/>
      <c r="S1" s="48"/>
    </row>
    <row r="2" spans="1:22" ht="43.95" customHeight="1" x14ac:dyDescent="0.3">
      <c r="A2" s="6"/>
      <c r="B2" s="6"/>
      <c r="C2" s="47"/>
      <c r="D2" s="6"/>
      <c r="E2" s="6"/>
      <c r="F2" s="6"/>
      <c r="G2" s="6"/>
      <c r="H2" s="46" t="str">
        <f>IF(AND(Data_EO1="",Data_MDR1=""),"Emergency Appeal 1 Indicators",
IF(AND(Data_EO1&lt;&gt;"",Data_MDR1&lt;&gt;""),Data_EO1&amp;" ("&amp;Data_MDR1&amp;") indicators",
IF(Data_EO1&lt;&gt;"",Data_EO1&amp;" indicators",
IF(Data_MDR1&lt;&gt;"",Data_MDR1&amp;" indicators"))))</f>
        <v>Emergency Appeal 1 Indicators</v>
      </c>
      <c r="I2" s="6"/>
      <c r="J2" s="6"/>
      <c r="K2" s="6"/>
      <c r="L2" s="6"/>
      <c r="M2" s="6"/>
      <c r="N2" s="6"/>
      <c r="O2" s="6"/>
      <c r="P2" s="6"/>
      <c r="Q2" s="6"/>
    </row>
    <row r="3" spans="1:22" ht="35.700000000000003" customHeight="1" x14ac:dyDescent="0.3">
      <c r="A3" s="6"/>
      <c r="B3" s="6"/>
      <c r="C3" s="6"/>
      <c r="D3" s="267" t="s">
        <v>1479</v>
      </c>
      <c r="E3" s="268"/>
      <c r="F3" s="268"/>
      <c r="G3" s="268"/>
      <c r="H3" s="268"/>
      <c r="I3" s="268"/>
      <c r="J3" s="6"/>
      <c r="K3" s="6"/>
      <c r="L3" s="6"/>
      <c r="M3" s="6"/>
      <c r="N3" s="6"/>
      <c r="O3" s="6"/>
      <c r="P3" s="6"/>
      <c r="Q3" s="6"/>
    </row>
    <row r="4" spans="1:22" ht="15" thickBot="1" x14ac:dyDescent="0.35">
      <c r="A4" s="6"/>
      <c r="B4" s="6"/>
      <c r="C4" s="6"/>
      <c r="D4" s="6"/>
      <c r="E4" s="29"/>
      <c r="F4" s="29"/>
      <c r="G4" s="90"/>
      <c r="H4" s="90"/>
      <c r="I4" s="90"/>
      <c r="J4" s="90"/>
      <c r="K4" s="90"/>
      <c r="L4" s="90"/>
      <c r="M4" s="90"/>
      <c r="N4" s="90"/>
      <c r="O4" s="90"/>
      <c r="P4" s="90"/>
      <c r="Q4" s="6"/>
    </row>
    <row r="5" spans="1:22" ht="28.2" customHeight="1" thickBot="1" x14ac:dyDescent="0.35">
      <c r="A5" s="6"/>
      <c r="B5" s="6"/>
      <c r="C5" s="6"/>
      <c r="D5" s="6"/>
      <c r="E5" s="29"/>
      <c r="F5" s="273" t="s">
        <v>566</v>
      </c>
      <c r="G5" s="274"/>
      <c r="H5" s="274"/>
      <c r="I5" s="274"/>
      <c r="J5" s="274"/>
      <c r="K5" s="274"/>
      <c r="L5" s="274"/>
      <c r="M5" s="274"/>
      <c r="N5" s="274"/>
      <c r="O5" s="274"/>
      <c r="P5" s="274"/>
      <c r="Q5" s="277"/>
      <c r="R5" s="91" t="s">
        <v>567</v>
      </c>
      <c r="S5" s="58" t="s">
        <v>568</v>
      </c>
    </row>
    <row r="6" spans="1:22" ht="43.95" customHeight="1" x14ac:dyDescent="0.3">
      <c r="A6" s="6"/>
      <c r="B6" s="41" t="s">
        <v>1656</v>
      </c>
      <c r="C6" s="59" t="s">
        <v>569</v>
      </c>
      <c r="D6" s="60" t="s">
        <v>18</v>
      </c>
      <c r="E6" s="38" t="s">
        <v>570</v>
      </c>
      <c r="F6" s="39" t="s">
        <v>571</v>
      </c>
      <c r="G6" s="40" t="s">
        <v>572</v>
      </c>
      <c r="H6" s="191" t="s">
        <v>573</v>
      </c>
      <c r="I6" s="192" t="s">
        <v>574</v>
      </c>
      <c r="J6" s="196" t="s">
        <v>1646</v>
      </c>
      <c r="K6" s="196" t="s">
        <v>1647</v>
      </c>
      <c r="L6" s="196" t="s">
        <v>1648</v>
      </c>
      <c r="M6" s="197" t="s">
        <v>1649</v>
      </c>
      <c r="N6" s="194" t="s">
        <v>1650</v>
      </c>
      <c r="O6" s="193" t="s">
        <v>1651</v>
      </c>
      <c r="P6" s="193" t="s">
        <v>1652</v>
      </c>
      <c r="Q6" s="193" t="s">
        <v>1653</v>
      </c>
      <c r="R6" s="39" t="s">
        <v>1536</v>
      </c>
      <c r="S6" s="42" t="s">
        <v>575</v>
      </c>
      <c r="U6" s="6"/>
    </row>
    <row r="7" spans="1:22" ht="43.95" customHeight="1" x14ac:dyDescent="0.3">
      <c r="A7" s="6"/>
      <c r="B7" s="217">
        <v>754</v>
      </c>
      <c r="C7" s="149" t="s">
        <v>576</v>
      </c>
      <c r="D7" s="150" t="s">
        <v>1540</v>
      </c>
      <c r="E7" s="37"/>
      <c r="F7" s="55"/>
      <c r="G7" s="56"/>
      <c r="H7" s="88"/>
      <c r="I7" s="89"/>
      <c r="J7" s="56"/>
      <c r="K7" s="57"/>
      <c r="L7" s="57"/>
      <c r="M7" s="198"/>
      <c r="N7" s="195"/>
      <c r="O7" s="57"/>
      <c r="P7" s="57"/>
      <c r="Q7" s="57"/>
      <c r="R7" s="55"/>
      <c r="S7" s="152" t="str">
        <f>IF(COUNTA(F7:R7)=0,"",MAX(Data_emergency1[[#This Row],[Total Direct]],SUM(Data_emergency1[[#This Row],[Total male]:[Other/ 
Unknown]]),SUM(Data_emergency1[[#This Row],[Male &lt;5]:[Female 50+]]))+Data_emergency1[[#This Row],[Indirectly reached]])</f>
        <v/>
      </c>
      <c r="U7" s="6"/>
    </row>
    <row r="8" spans="1:22" ht="43.95" customHeight="1" x14ac:dyDescent="0.3">
      <c r="A8" s="6"/>
      <c r="B8" s="218">
        <v>619</v>
      </c>
      <c r="C8" s="149" t="s">
        <v>576</v>
      </c>
      <c r="D8" s="150" t="s">
        <v>577</v>
      </c>
      <c r="E8" s="37"/>
      <c r="F8" s="55"/>
      <c r="G8" s="56"/>
      <c r="H8" s="88"/>
      <c r="I8" s="89"/>
      <c r="J8" s="56"/>
      <c r="K8" s="57"/>
      <c r="L8" s="57"/>
      <c r="M8" s="198"/>
      <c r="N8" s="195"/>
      <c r="O8" s="57"/>
      <c r="P8" s="57"/>
      <c r="Q8" s="57"/>
      <c r="R8" s="55"/>
      <c r="S8" s="152" t="str">
        <f>IF(COUNTA(F8:R8)=0,"",MAX(Data_emergency1[[#This Row],[Total Direct]],SUM(Data_emergency1[[#This Row],[Total male]:[Other/ 
Unknown]]),SUM(Data_emergency1[[#This Row],[Male &lt;5]:[Female 50+]]))+Data_emergency1[[#This Row],[Indirectly reached]])</f>
        <v/>
      </c>
      <c r="U8" s="6"/>
    </row>
    <row r="9" spans="1:22" ht="31.2" customHeight="1" x14ac:dyDescent="0.3">
      <c r="A9" s="6"/>
      <c r="B9" s="218">
        <v>618</v>
      </c>
      <c r="C9" s="149" t="s">
        <v>1537</v>
      </c>
      <c r="D9" s="150" t="s">
        <v>719</v>
      </c>
      <c r="E9" s="37"/>
      <c r="F9" s="55"/>
      <c r="G9" s="56"/>
      <c r="H9" s="88"/>
      <c r="I9" s="89"/>
      <c r="J9" s="56"/>
      <c r="K9" s="57"/>
      <c r="L9" s="57"/>
      <c r="M9" s="198"/>
      <c r="N9" s="195"/>
      <c r="O9" s="57"/>
      <c r="P9" s="57"/>
      <c r="Q9" s="57"/>
      <c r="R9" s="55"/>
      <c r="S9" s="152" t="str">
        <f>IF(COUNTA(F9:R9)=0,"",MAX(Data_emergency1[[#This Row],[Total Direct]],SUM(Data_emergency1[[#This Row],[Total male]:[Other/ 
Unknown]]),SUM(Data_emergency1[[#This Row],[Male &lt;5]:[Female 50+]]))+Data_emergency1[[#This Row],[Indirectly reached]])</f>
        <v/>
      </c>
      <c r="U9" s="6"/>
      <c r="V9" s="6"/>
    </row>
    <row r="10" spans="1:22" ht="49.5" customHeight="1" x14ac:dyDescent="0.3">
      <c r="A10" s="6"/>
      <c r="B10" s="218">
        <v>620</v>
      </c>
      <c r="C10" s="149" t="s">
        <v>1537</v>
      </c>
      <c r="D10" s="150" t="s">
        <v>720</v>
      </c>
      <c r="E10" s="37"/>
      <c r="F10" s="36"/>
      <c r="G10" s="142"/>
      <c r="H10" s="143"/>
      <c r="I10" s="143"/>
      <c r="J10" s="143"/>
      <c r="K10" s="143"/>
      <c r="L10" s="143"/>
      <c r="M10" s="143"/>
      <c r="N10" s="143"/>
      <c r="O10" s="143"/>
      <c r="P10" s="143"/>
      <c r="Q10" s="143"/>
      <c r="R10" s="143"/>
      <c r="S10" s="156" t="str">
        <f>IF(Data_emergency1[[#This Row],[Total Direct]]="","",Data_emergency1[[#This Row],[Total Direct]])</f>
        <v/>
      </c>
      <c r="U10" s="6"/>
      <c r="V10" s="6"/>
    </row>
    <row r="11" spans="1:22" ht="31.2" customHeight="1" x14ac:dyDescent="0.3">
      <c r="A11" s="6"/>
      <c r="B11" s="218">
        <v>621</v>
      </c>
      <c r="C11" s="149" t="s">
        <v>1537</v>
      </c>
      <c r="D11" s="150" t="s">
        <v>578</v>
      </c>
      <c r="E11" s="37"/>
      <c r="F11" s="55"/>
      <c r="G11" s="56"/>
      <c r="H11" s="88"/>
      <c r="I11" s="89"/>
      <c r="J11" s="56"/>
      <c r="K11" s="57"/>
      <c r="L11" s="57"/>
      <c r="M11" s="198"/>
      <c r="N11" s="195"/>
      <c r="O11" s="57"/>
      <c r="P11" s="57"/>
      <c r="Q11" s="57"/>
      <c r="R11" s="55"/>
      <c r="S11" s="152" t="str">
        <f>IF(COUNTA(F11:R11)=0,"",MAX(Data_emergency1[[#This Row],[Total Direct]],SUM(Data_emergency1[[#This Row],[Total male]:[Other/ 
Unknown]]),SUM(Data_emergency1[[#This Row],[Male &lt;5]:[Female 50+]]))+Data_emergency1[[#This Row],[Indirectly reached]])</f>
        <v/>
      </c>
      <c r="U11" s="6"/>
      <c r="V11" s="6"/>
    </row>
    <row r="12" spans="1:22" ht="51.6" customHeight="1" x14ac:dyDescent="0.3">
      <c r="A12" s="6"/>
      <c r="B12" s="218">
        <v>622</v>
      </c>
      <c r="C12" s="149" t="s">
        <v>1537</v>
      </c>
      <c r="D12" s="150" t="s">
        <v>721</v>
      </c>
      <c r="E12" s="37"/>
      <c r="F12" s="55"/>
      <c r="G12" s="56"/>
      <c r="H12" s="88"/>
      <c r="I12" s="89"/>
      <c r="J12" s="56"/>
      <c r="K12" s="57"/>
      <c r="L12" s="57"/>
      <c r="M12" s="198"/>
      <c r="N12" s="195"/>
      <c r="O12" s="57"/>
      <c r="P12" s="57"/>
      <c r="Q12" s="57"/>
      <c r="R12" s="55"/>
      <c r="S12" s="152" t="str">
        <f>IF(COUNTA(F12:R12)=0,"",MAX(Data_emergency1[[#This Row],[Total Direct]],SUM(Data_emergency1[[#This Row],[Total male]:[Other/ 
Unknown]]),SUM(Data_emergency1[[#This Row],[Male &lt;5]:[Female 50+]]))+Data_emergency1[[#This Row],[Indirectly reached]])</f>
        <v/>
      </c>
      <c r="U12" s="6"/>
      <c r="V12" s="6"/>
    </row>
    <row r="13" spans="1:22" ht="45.6" customHeight="1" x14ac:dyDescent="0.3">
      <c r="A13" s="6"/>
      <c r="B13" s="218">
        <v>612</v>
      </c>
      <c r="C13" s="149" t="s">
        <v>1538</v>
      </c>
      <c r="D13" s="150" t="s">
        <v>620</v>
      </c>
      <c r="E13" s="37"/>
      <c r="F13" s="55"/>
      <c r="G13" s="56"/>
      <c r="H13" s="88"/>
      <c r="I13" s="89"/>
      <c r="J13" s="56"/>
      <c r="K13" s="57"/>
      <c r="L13" s="57"/>
      <c r="M13" s="198"/>
      <c r="N13" s="195"/>
      <c r="O13" s="57"/>
      <c r="P13" s="57"/>
      <c r="Q13" s="57"/>
      <c r="R13" s="55"/>
      <c r="S13" s="152" t="str">
        <f>IF(COUNTA(F13:R13)=0,"",MAX(Data_emergency1[[#This Row],[Total Direct]],SUM(Data_emergency1[[#This Row],[Total male]:[Other/ 
Unknown]]),SUM(Data_emergency1[[#This Row],[Male &lt;5]:[Female 50+]]))+Data_emergency1[[#This Row],[Indirectly reached]])</f>
        <v/>
      </c>
      <c r="U13" s="6"/>
      <c r="V13" s="6"/>
    </row>
    <row r="14" spans="1:22" ht="46.95" customHeight="1" x14ac:dyDescent="0.3">
      <c r="A14" s="6"/>
      <c r="B14" s="218">
        <v>613</v>
      </c>
      <c r="C14" s="149" t="s">
        <v>1538</v>
      </c>
      <c r="D14" s="150" t="s">
        <v>623</v>
      </c>
      <c r="E14" s="37"/>
      <c r="F14" s="56"/>
      <c r="G14" s="56"/>
      <c r="H14" s="88"/>
      <c r="I14" s="89"/>
      <c r="J14" s="56"/>
      <c r="K14" s="57"/>
      <c r="L14" s="57"/>
      <c r="M14" s="198"/>
      <c r="N14" s="195"/>
      <c r="O14" s="57"/>
      <c r="P14" s="57"/>
      <c r="Q14" s="57"/>
      <c r="R14" s="55"/>
      <c r="S14" s="152" t="str">
        <f>IF(COUNTA(F14:R14)=0,"",MAX(Data_emergency1[[#This Row],[Total Direct]],SUM(Data_emergency1[[#This Row],[Total male]:[Other/ 
Unknown]]),SUM(Data_emergency1[[#This Row],[Male &lt;5]:[Female 50+]]))+Data_emergency1[[#This Row],[Indirectly reached]])</f>
        <v/>
      </c>
      <c r="U14" s="6"/>
      <c r="V14" s="6"/>
    </row>
    <row r="15" spans="1:22" ht="31.2" customHeight="1" x14ac:dyDescent="0.3">
      <c r="A15" s="6"/>
      <c r="B15" s="218">
        <v>614</v>
      </c>
      <c r="C15" s="149" t="s">
        <v>1538</v>
      </c>
      <c r="D15" s="150" t="s">
        <v>624</v>
      </c>
      <c r="E15" s="37"/>
      <c r="F15" s="55"/>
      <c r="G15" s="56"/>
      <c r="H15" s="88"/>
      <c r="I15" s="89"/>
      <c r="J15" s="56"/>
      <c r="K15" s="57"/>
      <c r="L15" s="57"/>
      <c r="M15" s="198"/>
      <c r="N15" s="195"/>
      <c r="O15" s="57"/>
      <c r="P15" s="57"/>
      <c r="Q15" s="57"/>
      <c r="R15" s="55"/>
      <c r="S15" s="152" t="str">
        <f>IF(COUNTA(F15:R15)=0,"",MAX(Data_emergency1[[#This Row],[Total Direct]],SUM(Data_emergency1[[#This Row],[Total male]:[Other/ 
Unknown]]),SUM(Data_emergency1[[#This Row],[Male &lt;5]:[Female 50+]]))+Data_emergency1[[#This Row],[Indirectly reached]])</f>
        <v/>
      </c>
      <c r="U15" s="6"/>
      <c r="V15" s="6"/>
    </row>
    <row r="16" spans="1:22" ht="48" customHeight="1" x14ac:dyDescent="0.3">
      <c r="A16" s="6"/>
      <c r="B16" s="218">
        <v>623</v>
      </c>
      <c r="C16" s="149" t="s">
        <v>1519</v>
      </c>
      <c r="D16" s="150" t="s">
        <v>1530</v>
      </c>
      <c r="E16" s="37"/>
      <c r="F16" s="55"/>
      <c r="G16" s="56"/>
      <c r="H16" s="88"/>
      <c r="I16" s="89"/>
      <c r="J16" s="56"/>
      <c r="K16" s="57"/>
      <c r="L16" s="57"/>
      <c r="M16" s="198"/>
      <c r="N16" s="195"/>
      <c r="O16" s="57"/>
      <c r="P16" s="57"/>
      <c r="Q16" s="57"/>
      <c r="R16" s="55"/>
      <c r="S16" s="152" t="str">
        <f>IF(COUNTA(F16:R16)=0,"",MAX(Data_emergency1[[#This Row],[Total Direct]],SUM(Data_emergency1[[#This Row],[Total male]:[Other/ 
Unknown]]),SUM(Data_emergency1[[#This Row],[Male &lt;5]:[Female 50+]]))+Data_emergency1[[#This Row],[Indirectly reached]])</f>
        <v/>
      </c>
      <c r="U16" s="6"/>
      <c r="V16" s="6"/>
    </row>
    <row r="17" spans="1:22" ht="53.25" customHeight="1" x14ac:dyDescent="0.3">
      <c r="A17" s="6"/>
      <c r="B17" s="218">
        <v>624</v>
      </c>
      <c r="C17" s="149" t="s">
        <v>1519</v>
      </c>
      <c r="D17" s="150" t="s">
        <v>1531</v>
      </c>
      <c r="E17" s="37"/>
      <c r="F17" s="55"/>
      <c r="G17" s="56"/>
      <c r="H17" s="88"/>
      <c r="I17" s="89"/>
      <c r="J17" s="56"/>
      <c r="K17" s="57"/>
      <c r="L17" s="57"/>
      <c r="M17" s="198"/>
      <c r="N17" s="195"/>
      <c r="O17" s="57"/>
      <c r="P17" s="57"/>
      <c r="Q17" s="57"/>
      <c r="R17" s="55"/>
      <c r="S17" s="152" t="str">
        <f>IF(COUNTA(F17:R17)=0,"",MAX(Data_emergency1[[#This Row],[Total Direct]],SUM(Data_emergency1[[#This Row],[Total male]:[Other/ 
Unknown]]),SUM(Data_emergency1[[#This Row],[Male &lt;5]:[Female 50+]]))+Data_emergency1[[#This Row],[Indirectly reached]])</f>
        <v/>
      </c>
      <c r="U17" s="6"/>
      <c r="V17" s="6"/>
    </row>
    <row r="18" spans="1:22" ht="31.2" customHeight="1" x14ac:dyDescent="0.3">
      <c r="A18" s="6"/>
      <c r="B18" s="218">
        <v>627</v>
      </c>
      <c r="C18" s="149" t="s">
        <v>1519</v>
      </c>
      <c r="D18" s="150" t="s">
        <v>896</v>
      </c>
      <c r="E18" s="37"/>
      <c r="F18" s="55"/>
      <c r="G18" s="56"/>
      <c r="H18" s="88"/>
      <c r="I18" s="89"/>
      <c r="J18" s="56"/>
      <c r="K18" s="57"/>
      <c r="L18" s="57"/>
      <c r="M18" s="198"/>
      <c r="N18" s="195"/>
      <c r="O18" s="57"/>
      <c r="P18" s="57"/>
      <c r="Q18" s="57"/>
      <c r="R18" s="145"/>
      <c r="S18" s="152" t="str">
        <f>IF(COUNTA(F18:R18)=0,"",MAX(Data_emergency1[[#This Row],[Total Direct]],SUM(Data_emergency1[[#This Row],[Total male]:[Other/ 
Unknown]]),SUM(Data_emergency1[[#This Row],[Male &lt;5]:[Female 50+]]))+Data_emergency1[[#This Row],[Indirectly reached]])</f>
        <v/>
      </c>
      <c r="U18" s="6"/>
      <c r="V18" s="6"/>
    </row>
    <row r="19" spans="1:22" ht="31.2" customHeight="1" x14ac:dyDescent="0.3">
      <c r="A19" s="6"/>
      <c r="B19" s="218">
        <v>628</v>
      </c>
      <c r="C19" s="149" t="s">
        <v>1519</v>
      </c>
      <c r="D19" s="150" t="s">
        <v>898</v>
      </c>
      <c r="E19" s="37"/>
      <c r="F19" s="55"/>
      <c r="G19" s="56"/>
      <c r="H19" s="88"/>
      <c r="I19" s="89"/>
      <c r="J19" s="56"/>
      <c r="K19" s="57"/>
      <c r="L19" s="57"/>
      <c r="M19" s="198"/>
      <c r="N19" s="195"/>
      <c r="O19" s="57"/>
      <c r="P19" s="57"/>
      <c r="Q19" s="57"/>
      <c r="R19" s="145"/>
      <c r="S19" s="152" t="str">
        <f>IF(COUNTA(F19:R19)=0,"",MAX(Data_emergency1[[#This Row],[Total Direct]],SUM(Data_emergency1[[#This Row],[Total male]:[Other/ 
Unknown]]),SUM(Data_emergency1[[#This Row],[Male &lt;5]:[Female 50+]]))+Data_emergency1[[#This Row],[Indirectly reached]])</f>
        <v/>
      </c>
      <c r="U19" s="6"/>
      <c r="V19" s="6"/>
    </row>
    <row r="20" spans="1:22" ht="31.2" customHeight="1" x14ac:dyDescent="0.3">
      <c r="A20" s="6"/>
      <c r="B20" s="218">
        <v>629</v>
      </c>
      <c r="C20" s="149" t="s">
        <v>1520</v>
      </c>
      <c r="D20" s="150" t="s">
        <v>1281</v>
      </c>
      <c r="E20" s="37"/>
      <c r="F20" s="55"/>
      <c r="G20" s="56"/>
      <c r="H20" s="88"/>
      <c r="I20" s="89"/>
      <c r="J20" s="56"/>
      <c r="K20" s="57"/>
      <c r="L20" s="57"/>
      <c r="M20" s="198"/>
      <c r="N20" s="195"/>
      <c r="O20" s="57"/>
      <c r="P20" s="57"/>
      <c r="Q20" s="57"/>
      <c r="R20" s="55"/>
      <c r="S20" s="152" t="str">
        <f>IF(COUNTA(F20:R20)=0,"",MAX(Data_emergency1[[#This Row],[Total Direct]],SUM(Data_emergency1[[#This Row],[Total male]:[Other/ 
Unknown]]),SUM(Data_emergency1[[#This Row],[Male &lt;5]:[Female 50+]]))+Data_emergency1[[#This Row],[Indirectly reached]])</f>
        <v/>
      </c>
      <c r="U20" s="6"/>
      <c r="V20" s="6"/>
    </row>
    <row r="21" spans="1:22" ht="54.75" customHeight="1" x14ac:dyDescent="0.3">
      <c r="A21" s="6"/>
      <c r="B21" s="218">
        <v>630</v>
      </c>
      <c r="C21" s="149" t="s">
        <v>1520</v>
      </c>
      <c r="D21" s="150" t="s">
        <v>1533</v>
      </c>
      <c r="E21" s="168"/>
      <c r="F21" s="55"/>
      <c r="G21" s="143"/>
      <c r="H21" s="143"/>
      <c r="I21" s="143"/>
      <c r="J21" s="143"/>
      <c r="K21" s="143"/>
      <c r="L21" s="143"/>
      <c r="M21" s="143"/>
      <c r="N21" s="143"/>
      <c r="O21" s="143"/>
      <c r="P21" s="143"/>
      <c r="Q21" s="143"/>
      <c r="R21" s="143"/>
      <c r="S21" s="152" t="str">
        <f>IF(COUNTA(F21:R21)=0,"",MAX(Data_emergency1[[#This Row],[Total Direct]],SUM(Data_emergency1[[#This Row],[Total male]:[Other/ 
Unknown]]),SUM(Data_emergency1[[#This Row],[Male &lt;5]:[Female 50+]]))+Data_emergency1[[#This Row],[Indirectly reached]])</f>
        <v/>
      </c>
      <c r="U21" s="6"/>
      <c r="V21" s="6"/>
    </row>
    <row r="22" spans="1:22" ht="68.25" customHeight="1" x14ac:dyDescent="0.3">
      <c r="A22" s="6"/>
      <c r="B22" s="218">
        <v>633</v>
      </c>
      <c r="C22" s="149" t="s">
        <v>1539</v>
      </c>
      <c r="D22" s="150" t="s">
        <v>1364</v>
      </c>
      <c r="E22" s="37"/>
      <c r="F22" s="55"/>
      <c r="G22" s="56"/>
      <c r="H22" s="88"/>
      <c r="I22" s="89"/>
      <c r="J22" s="56"/>
      <c r="K22" s="57"/>
      <c r="L22" s="57"/>
      <c r="M22" s="198"/>
      <c r="N22" s="195"/>
      <c r="O22" s="57"/>
      <c r="P22" s="57"/>
      <c r="Q22" s="57"/>
      <c r="R22" s="55"/>
      <c r="S22" s="152" t="str">
        <f>IF(COUNTA(F22:R22)=0,"",MAX(Data_emergency1[[#This Row],[Total Direct]],SUM(Data_emergency1[[#This Row],[Total male]:[Other/ 
Unknown]]),SUM(Data_emergency1[[#This Row],[Male &lt;5]:[Female 50+]]))+Data_emergency1[[#This Row],[Indirectly reached]])</f>
        <v/>
      </c>
      <c r="U22" s="6"/>
      <c r="V22" s="6"/>
    </row>
    <row r="23" spans="1:22" ht="44.7" customHeight="1" x14ac:dyDescent="0.3">
      <c r="A23" s="6"/>
      <c r="B23" s="218">
        <v>635</v>
      </c>
      <c r="C23" s="149" t="s">
        <v>1539</v>
      </c>
      <c r="D23" s="170" t="s">
        <v>899</v>
      </c>
      <c r="E23" s="37"/>
      <c r="F23" s="55"/>
      <c r="G23" s="56"/>
      <c r="H23" s="88"/>
      <c r="I23" s="89"/>
      <c r="J23" s="56"/>
      <c r="K23" s="57"/>
      <c r="L23" s="57"/>
      <c r="M23" s="198"/>
      <c r="N23" s="195"/>
      <c r="O23" s="57"/>
      <c r="P23" s="57"/>
      <c r="Q23" s="57"/>
      <c r="R23" s="55"/>
      <c r="S23" s="152" t="str">
        <f>IF(COUNTA(F23:R23)=0,"",MAX(Data_emergency1[[#This Row],[Total Direct]],SUM(Data_emergency1[[#This Row],[Total male]:[Other/ 
Unknown]]),SUM(Data_emergency1[[#This Row],[Male &lt;5]:[Female 50+]]))+Data_emergency1[[#This Row],[Indirectly reached]])</f>
        <v/>
      </c>
      <c r="U23" s="6"/>
      <c r="V23" s="6"/>
    </row>
    <row r="24" spans="1:22" ht="45" customHeight="1" x14ac:dyDescent="0.3">
      <c r="A24" s="6"/>
      <c r="B24" s="219" t="str">
        <f>IFERROR(_xlfn.XLOOKUP(Data_emergency1[[#This Row],[Indicator]],Final[Indicator Name],Final[KPI ID]),"")</f>
        <v/>
      </c>
      <c r="C24" s="161"/>
      <c r="D24" s="162"/>
      <c r="E24" s="37"/>
      <c r="F24" s="119"/>
      <c r="G24" s="56"/>
      <c r="H24" s="88"/>
      <c r="I24" s="89"/>
      <c r="J24" s="56"/>
      <c r="K24" s="57"/>
      <c r="L24" s="57"/>
      <c r="M24" s="198"/>
      <c r="N24" s="195"/>
      <c r="O24" s="57"/>
      <c r="P24" s="57"/>
      <c r="Q24" s="57"/>
      <c r="R24" s="55"/>
      <c r="S24" s="152" t="str">
        <f>IF(COUNTA(F24:R24)=0,"",MAX(Data_emergency1[[#This Row],[Total Direct]],SUM(Data_emergency1[[#This Row],[Total male]:[Other/ 
Unknown]]),SUM(Data_emergency1[[#This Row],[Male &lt;5]:[Female 50+]]))+Data_emergency1[[#This Row],[Indirectly reached]])</f>
        <v/>
      </c>
      <c r="U24" s="6"/>
    </row>
    <row r="25" spans="1:22" ht="45" customHeight="1" x14ac:dyDescent="0.3">
      <c r="A25" s="6"/>
      <c r="B25" s="219" t="str">
        <f>IFERROR(_xlfn.XLOOKUP(Data_emergency1[[#This Row],[Indicator]],Final[Indicator Name],Final[KPI ID]),"")</f>
        <v/>
      </c>
      <c r="C25" s="161"/>
      <c r="D25" s="162"/>
      <c r="E25" s="37"/>
      <c r="F25" s="119"/>
      <c r="G25" s="56"/>
      <c r="H25" s="88"/>
      <c r="I25" s="89"/>
      <c r="J25" s="56"/>
      <c r="K25" s="57"/>
      <c r="L25" s="57"/>
      <c r="M25" s="198"/>
      <c r="N25" s="195"/>
      <c r="O25" s="57"/>
      <c r="P25" s="57"/>
      <c r="Q25" s="57"/>
      <c r="R25" s="55"/>
      <c r="S25" s="152" t="str">
        <f>IF(COUNTA(F25:R25)=0,"",MAX(Data_emergency1[[#This Row],[Total Direct]],SUM(Data_emergency1[[#This Row],[Total male]:[Other/ 
Unknown]]),SUM(Data_emergency1[[#This Row],[Male &lt;5]:[Female 50+]]))+Data_emergency1[[#This Row],[Indirectly reached]])</f>
        <v/>
      </c>
      <c r="U25" s="6"/>
    </row>
    <row r="26" spans="1:22" ht="45" customHeight="1" x14ac:dyDescent="0.3">
      <c r="A26" s="6"/>
      <c r="B26" s="219" t="str">
        <f>IFERROR(_xlfn.XLOOKUP(Data_emergency1[[#This Row],[Indicator]],Final[Indicator Name],Final[KPI ID]),"")</f>
        <v/>
      </c>
      <c r="C26" s="161"/>
      <c r="D26" s="162"/>
      <c r="E26" s="37"/>
      <c r="F26" s="119"/>
      <c r="G26" s="56"/>
      <c r="H26" s="88"/>
      <c r="I26" s="89"/>
      <c r="J26" s="56"/>
      <c r="K26" s="57"/>
      <c r="L26" s="57"/>
      <c r="M26" s="198"/>
      <c r="N26" s="195"/>
      <c r="O26" s="57"/>
      <c r="P26" s="57"/>
      <c r="Q26" s="57"/>
      <c r="R26" s="55"/>
      <c r="S26" s="152" t="str">
        <f>IF(COUNTA(F26:R26)=0,"",MAX(Data_emergency1[[#This Row],[Total Direct]],SUM(Data_emergency1[[#This Row],[Total male]:[Other/ 
Unknown]]),SUM(Data_emergency1[[#This Row],[Male &lt;5]:[Female 50+]]))+Data_emergency1[[#This Row],[Indirectly reached]])</f>
        <v/>
      </c>
      <c r="U26" s="6"/>
    </row>
    <row r="27" spans="1:22" ht="45" customHeight="1" x14ac:dyDescent="0.3">
      <c r="A27" s="6"/>
      <c r="B27" s="219" t="str">
        <f>IFERROR(_xlfn.XLOOKUP(Data_emergency1[[#This Row],[Indicator]],Final[Indicator Name],Final[KPI ID]),"")</f>
        <v/>
      </c>
      <c r="C27" s="161"/>
      <c r="D27" s="162"/>
      <c r="E27" s="37"/>
      <c r="F27" s="119"/>
      <c r="G27" s="56"/>
      <c r="H27" s="88"/>
      <c r="I27" s="89"/>
      <c r="J27" s="56"/>
      <c r="K27" s="57"/>
      <c r="L27" s="57"/>
      <c r="M27" s="198"/>
      <c r="N27" s="195"/>
      <c r="O27" s="57"/>
      <c r="P27" s="57"/>
      <c r="Q27" s="57"/>
      <c r="R27" s="55"/>
      <c r="S27" s="152" t="str">
        <f>IF(COUNTA(F27:R27)=0,"",MAX(Data_emergency1[[#This Row],[Total Direct]],SUM(Data_emergency1[[#This Row],[Total male]:[Other/ 
Unknown]]),SUM(Data_emergency1[[#This Row],[Male &lt;5]:[Female 50+]]))+Data_emergency1[[#This Row],[Indirectly reached]])</f>
        <v/>
      </c>
      <c r="U27" s="6"/>
    </row>
    <row r="28" spans="1:22" ht="45" customHeight="1" x14ac:dyDescent="0.3">
      <c r="A28" s="6"/>
      <c r="B28" s="219" t="str">
        <f>IFERROR(_xlfn.XLOOKUP(Data_emergency1[[#This Row],[Indicator]],Final[Indicator Name],Final[KPI ID]),"")</f>
        <v/>
      </c>
      <c r="C28" s="161"/>
      <c r="D28" s="162"/>
      <c r="E28" s="37"/>
      <c r="F28" s="119"/>
      <c r="G28" s="56"/>
      <c r="H28" s="88"/>
      <c r="I28" s="89"/>
      <c r="J28" s="56"/>
      <c r="K28" s="57"/>
      <c r="L28" s="57"/>
      <c r="M28" s="198"/>
      <c r="N28" s="195"/>
      <c r="O28" s="57"/>
      <c r="P28" s="57"/>
      <c r="Q28" s="57"/>
      <c r="R28" s="55"/>
      <c r="S28" s="152" t="str">
        <f>IF(COUNTA(F28:R28)=0,"",MAX(Data_emergency1[[#This Row],[Total Direct]],SUM(Data_emergency1[[#This Row],[Total male]:[Other/ 
Unknown]]),SUM(Data_emergency1[[#This Row],[Male &lt;5]:[Female 50+]]))+Data_emergency1[[#This Row],[Indirectly reached]])</f>
        <v/>
      </c>
      <c r="U28" s="6"/>
    </row>
    <row r="29" spans="1:22" ht="45" customHeight="1" x14ac:dyDescent="0.3">
      <c r="A29" s="6"/>
      <c r="B29" s="219" t="str">
        <f>IFERROR(_xlfn.XLOOKUP(Data_emergency1[[#This Row],[Indicator]],Final[Indicator Name],Final[KPI ID]),"")</f>
        <v/>
      </c>
      <c r="C29" s="161"/>
      <c r="D29" s="162"/>
      <c r="E29" s="37"/>
      <c r="F29" s="119"/>
      <c r="G29" s="56"/>
      <c r="H29" s="88"/>
      <c r="I29" s="89"/>
      <c r="J29" s="56"/>
      <c r="K29" s="57"/>
      <c r="L29" s="57"/>
      <c r="M29" s="198"/>
      <c r="N29" s="195"/>
      <c r="O29" s="57"/>
      <c r="P29" s="57"/>
      <c r="Q29" s="57"/>
      <c r="R29" s="55"/>
      <c r="S29" s="152" t="str">
        <f>IF(COUNTA(F29:R29)=0,"",MAX(Data_emergency1[[#This Row],[Total Direct]],SUM(Data_emergency1[[#This Row],[Total male]:[Other/ 
Unknown]]),SUM(Data_emergency1[[#This Row],[Male &lt;5]:[Female 50+]]))+Data_emergency1[[#This Row],[Indirectly reached]])</f>
        <v/>
      </c>
      <c r="U29" s="6"/>
    </row>
    <row r="30" spans="1:22" ht="45" customHeight="1" x14ac:dyDescent="0.3">
      <c r="A30" s="6"/>
      <c r="B30" s="219" t="str">
        <f>IFERROR(_xlfn.XLOOKUP(Data_emergency1[[#This Row],[Indicator]],Final[Indicator Name],Final[KPI ID]),"")</f>
        <v/>
      </c>
      <c r="C30" s="161"/>
      <c r="D30" s="162"/>
      <c r="E30" s="37"/>
      <c r="F30" s="119"/>
      <c r="G30" s="56"/>
      <c r="H30" s="88"/>
      <c r="I30" s="89"/>
      <c r="J30" s="56"/>
      <c r="K30" s="57"/>
      <c r="L30" s="57"/>
      <c r="M30" s="198"/>
      <c r="N30" s="195"/>
      <c r="O30" s="57"/>
      <c r="P30" s="57"/>
      <c r="Q30" s="57"/>
      <c r="R30" s="55"/>
      <c r="S30" s="152" t="str">
        <f>IF(COUNTA(F30:R30)=0,"",MAX(Data_emergency1[[#This Row],[Total Direct]],SUM(Data_emergency1[[#This Row],[Total male]:[Other/ 
Unknown]]),SUM(Data_emergency1[[#This Row],[Male &lt;5]:[Female 50+]]))+Data_emergency1[[#This Row],[Indirectly reached]])</f>
        <v/>
      </c>
      <c r="U30" s="6"/>
    </row>
    <row r="31" spans="1:22" ht="45" customHeight="1" x14ac:dyDescent="0.3">
      <c r="A31" s="6"/>
      <c r="B31" s="219" t="str">
        <f>IFERROR(_xlfn.XLOOKUP(Data_emergency1[[#This Row],[Indicator]],Final[Indicator Name],Final[KPI ID]),"")</f>
        <v/>
      </c>
      <c r="C31" s="161"/>
      <c r="D31" s="162"/>
      <c r="E31" s="37"/>
      <c r="F31" s="119"/>
      <c r="G31" s="56"/>
      <c r="H31" s="88"/>
      <c r="I31" s="89"/>
      <c r="J31" s="56"/>
      <c r="K31" s="57"/>
      <c r="L31" s="57"/>
      <c r="M31" s="198"/>
      <c r="N31" s="195"/>
      <c r="O31" s="57"/>
      <c r="P31" s="57"/>
      <c r="Q31" s="57"/>
      <c r="R31" s="55"/>
      <c r="S31" s="152" t="str">
        <f>IF(COUNTA(F31:R31)=0,"",MAX(Data_emergency1[[#This Row],[Total Direct]],SUM(Data_emergency1[[#This Row],[Total male]:[Other/ 
Unknown]]),SUM(Data_emergency1[[#This Row],[Male &lt;5]:[Female 50+]]))+Data_emergency1[[#This Row],[Indirectly reached]])</f>
        <v/>
      </c>
      <c r="U31" s="6"/>
    </row>
    <row r="32" spans="1:22" ht="45" customHeight="1" x14ac:dyDescent="0.3">
      <c r="A32" s="6"/>
      <c r="B32" s="219" t="str">
        <f>IFERROR(_xlfn.XLOOKUP(Data_emergency1[[#This Row],[Indicator]],Final[Indicator Name],Final[KPI ID]),"")</f>
        <v/>
      </c>
      <c r="C32" s="161"/>
      <c r="D32" s="162"/>
      <c r="E32" s="37"/>
      <c r="F32" s="119"/>
      <c r="G32" s="56"/>
      <c r="H32" s="88"/>
      <c r="I32" s="89"/>
      <c r="J32" s="56"/>
      <c r="K32" s="57"/>
      <c r="L32" s="57"/>
      <c r="M32" s="198"/>
      <c r="N32" s="195"/>
      <c r="O32" s="57"/>
      <c r="P32" s="57"/>
      <c r="Q32" s="57"/>
      <c r="R32" s="55"/>
      <c r="S32" s="152" t="str">
        <f>IF(COUNTA(F32:R32)=0,"",MAX(Data_emergency1[[#This Row],[Total Direct]],SUM(Data_emergency1[[#This Row],[Total male]:[Other/ 
Unknown]]),SUM(Data_emergency1[[#This Row],[Male &lt;5]:[Female 50+]]))+Data_emergency1[[#This Row],[Indirectly reached]])</f>
        <v/>
      </c>
      <c r="U32" s="6"/>
    </row>
    <row r="33" spans="1:21" ht="45" customHeight="1" x14ac:dyDescent="0.3">
      <c r="A33" s="6"/>
      <c r="B33" s="219" t="str">
        <f>IFERROR(_xlfn.XLOOKUP(Data_emergency1[[#This Row],[Indicator]],Final[Indicator Name],Final[KPI ID]),"")</f>
        <v/>
      </c>
      <c r="C33" s="161"/>
      <c r="D33" s="162"/>
      <c r="E33" s="37"/>
      <c r="F33" s="119"/>
      <c r="G33" s="56"/>
      <c r="H33" s="88"/>
      <c r="I33" s="89"/>
      <c r="J33" s="56"/>
      <c r="K33" s="57"/>
      <c r="L33" s="57"/>
      <c r="M33" s="198"/>
      <c r="N33" s="195"/>
      <c r="O33" s="57"/>
      <c r="P33" s="57"/>
      <c r="Q33" s="57"/>
      <c r="R33" s="55"/>
      <c r="S33" s="152" t="str">
        <f>IF(COUNTA(F33:R33)=0,"",MAX(Data_emergency1[[#This Row],[Total Direct]],SUM(Data_emergency1[[#This Row],[Total male]:[Other/ 
Unknown]]),SUM(Data_emergency1[[#This Row],[Male &lt;5]:[Female 50+]]))+Data_emergency1[[#This Row],[Indirectly reached]])</f>
        <v/>
      </c>
      <c r="U33" s="6"/>
    </row>
    <row r="34" spans="1:21" ht="45" customHeight="1" x14ac:dyDescent="0.3">
      <c r="A34" s="6"/>
      <c r="B34" s="219" t="str">
        <f>IFERROR(_xlfn.XLOOKUP(Data_emergency1[[#This Row],[Indicator]],Final[Indicator Name],Final[KPI ID]),"")</f>
        <v/>
      </c>
      <c r="C34" s="161"/>
      <c r="D34" s="162"/>
      <c r="E34" s="37"/>
      <c r="F34" s="119"/>
      <c r="G34" s="56"/>
      <c r="H34" s="88"/>
      <c r="I34" s="89"/>
      <c r="J34" s="56"/>
      <c r="K34" s="57"/>
      <c r="L34" s="57"/>
      <c r="M34" s="198"/>
      <c r="N34" s="195"/>
      <c r="O34" s="57"/>
      <c r="P34" s="57"/>
      <c r="Q34" s="57"/>
      <c r="R34" s="55"/>
      <c r="S34" s="152" t="str">
        <f>IF(COUNTA(F34:R34)=0,"",MAX(Data_emergency1[[#This Row],[Total Direct]],SUM(Data_emergency1[[#This Row],[Total male]:[Other/ 
Unknown]]),SUM(Data_emergency1[[#This Row],[Male &lt;5]:[Female 50+]]))+Data_emergency1[[#This Row],[Indirectly reached]])</f>
        <v/>
      </c>
      <c r="U34" s="6"/>
    </row>
    <row r="35" spans="1:21" ht="45" customHeight="1" x14ac:dyDescent="0.3">
      <c r="A35" s="6"/>
      <c r="B35" s="219" t="str">
        <f>IFERROR(_xlfn.XLOOKUP(Data_emergency1[[#This Row],[Indicator]],Final[Indicator Name],Final[KPI ID]),"")</f>
        <v/>
      </c>
      <c r="C35" s="161"/>
      <c r="D35" s="162"/>
      <c r="E35" s="37"/>
      <c r="F35" s="119"/>
      <c r="G35" s="56"/>
      <c r="H35" s="88"/>
      <c r="I35" s="89"/>
      <c r="J35" s="56"/>
      <c r="K35" s="57"/>
      <c r="L35" s="57"/>
      <c r="M35" s="198"/>
      <c r="N35" s="195"/>
      <c r="O35" s="57"/>
      <c r="P35" s="57"/>
      <c r="Q35" s="57"/>
      <c r="R35" s="55"/>
      <c r="S35" s="152" t="str">
        <f>IF(COUNTA(F35:R35)=0,"",MAX(Data_emergency1[[#This Row],[Total Direct]],SUM(Data_emergency1[[#This Row],[Total male]:[Other/ 
Unknown]]),SUM(Data_emergency1[[#This Row],[Male &lt;5]:[Female 50+]]))+Data_emergency1[[#This Row],[Indirectly reached]])</f>
        <v/>
      </c>
      <c r="U35" s="6"/>
    </row>
    <row r="36" spans="1:21" ht="45" customHeight="1" x14ac:dyDescent="0.3">
      <c r="A36" s="6"/>
      <c r="B36" s="219" t="str">
        <f>IFERROR(_xlfn.XLOOKUP(Data_emergency1[[#This Row],[Indicator]],Final[Indicator Name],Final[KPI ID]),"")</f>
        <v/>
      </c>
      <c r="C36" s="161"/>
      <c r="D36" s="162"/>
      <c r="E36" s="37"/>
      <c r="F36" s="119"/>
      <c r="G36" s="56"/>
      <c r="H36" s="88"/>
      <c r="I36" s="89"/>
      <c r="J36" s="56"/>
      <c r="K36" s="57"/>
      <c r="L36" s="57"/>
      <c r="M36" s="198"/>
      <c r="N36" s="195"/>
      <c r="O36" s="57"/>
      <c r="P36" s="57"/>
      <c r="Q36" s="57"/>
      <c r="R36" s="55"/>
      <c r="S36" s="152" t="str">
        <f>IF(COUNTA(F36:R36)=0,"",MAX(Data_emergency1[[#This Row],[Total Direct]],SUM(Data_emergency1[[#This Row],[Total male]:[Other/ 
Unknown]]),SUM(Data_emergency1[[#This Row],[Male &lt;5]:[Female 50+]]))+Data_emergency1[[#This Row],[Indirectly reached]])</f>
        <v/>
      </c>
      <c r="U36" s="6"/>
    </row>
    <row r="37" spans="1:21" ht="45" customHeight="1" x14ac:dyDescent="0.3">
      <c r="A37" s="6"/>
      <c r="B37" s="219" t="str">
        <f>IFERROR(_xlfn.XLOOKUP(Data_emergency1[[#This Row],[Indicator]],Final[Indicator Name],Final[KPI ID]),"")</f>
        <v/>
      </c>
      <c r="C37" s="161"/>
      <c r="D37" s="162"/>
      <c r="E37" s="37"/>
      <c r="F37" s="119"/>
      <c r="G37" s="56"/>
      <c r="H37" s="88"/>
      <c r="I37" s="89"/>
      <c r="J37" s="56"/>
      <c r="K37" s="57"/>
      <c r="L37" s="57"/>
      <c r="M37" s="198"/>
      <c r="N37" s="195"/>
      <c r="O37" s="57"/>
      <c r="P37" s="57"/>
      <c r="Q37" s="57"/>
      <c r="R37" s="55"/>
      <c r="S37" s="152" t="str">
        <f>IF(COUNTA(F37:R37)=0,"",MAX(Data_emergency1[[#This Row],[Total Direct]],SUM(Data_emergency1[[#This Row],[Total male]:[Other/ 
Unknown]]),SUM(Data_emergency1[[#This Row],[Male &lt;5]:[Female 50+]]))+Data_emergency1[[#This Row],[Indirectly reached]])</f>
        <v/>
      </c>
      <c r="U37" s="6"/>
    </row>
    <row r="38" spans="1:21" ht="45" customHeight="1" x14ac:dyDescent="0.3">
      <c r="A38" s="6"/>
      <c r="B38" s="219" t="str">
        <f>IFERROR(_xlfn.XLOOKUP(Data_emergency1[[#This Row],[Indicator]],Final[Indicator Name],Final[KPI ID]),"")</f>
        <v/>
      </c>
      <c r="C38" s="161"/>
      <c r="D38" s="162"/>
      <c r="E38" s="37"/>
      <c r="F38" s="119"/>
      <c r="G38" s="56"/>
      <c r="H38" s="88"/>
      <c r="I38" s="89"/>
      <c r="J38" s="56"/>
      <c r="K38" s="57"/>
      <c r="L38" s="57"/>
      <c r="M38" s="198"/>
      <c r="N38" s="195"/>
      <c r="O38" s="57"/>
      <c r="P38" s="57"/>
      <c r="Q38" s="57"/>
      <c r="R38" s="55"/>
      <c r="S38" s="152" t="str">
        <f>IF(COUNTA(F38:R38)=0,"",MAX(Data_emergency1[[#This Row],[Total Direct]],SUM(Data_emergency1[[#This Row],[Total male]:[Other/ 
Unknown]]),SUM(Data_emergency1[[#This Row],[Male &lt;5]:[Female 50+]]))+Data_emergency1[[#This Row],[Indirectly reached]])</f>
        <v/>
      </c>
      <c r="U38" s="6"/>
    </row>
    <row r="39" spans="1:21" ht="45" customHeight="1" x14ac:dyDescent="0.3">
      <c r="A39" s="6"/>
      <c r="B39" s="219" t="str">
        <f>IFERROR(_xlfn.XLOOKUP(Data_emergency1[[#This Row],[Indicator]],Final[Indicator Name],Final[KPI ID]),"")</f>
        <v/>
      </c>
      <c r="C39" s="161"/>
      <c r="D39" s="162"/>
      <c r="E39" s="37"/>
      <c r="F39" s="119"/>
      <c r="G39" s="56"/>
      <c r="H39" s="88"/>
      <c r="I39" s="89"/>
      <c r="J39" s="56"/>
      <c r="K39" s="57"/>
      <c r="L39" s="57"/>
      <c r="M39" s="198"/>
      <c r="N39" s="195"/>
      <c r="O39" s="57"/>
      <c r="P39" s="57"/>
      <c r="Q39" s="57"/>
      <c r="R39" s="55"/>
      <c r="S39" s="152" t="str">
        <f>IF(COUNTA(F39:R39)=0,"",MAX(Data_emergency1[[#This Row],[Total Direct]],SUM(Data_emergency1[[#This Row],[Total male]:[Other/ 
Unknown]]),SUM(Data_emergency1[[#This Row],[Male &lt;5]:[Female 50+]]))+Data_emergency1[[#This Row],[Indirectly reached]])</f>
        <v/>
      </c>
      <c r="U39" s="6"/>
    </row>
    <row r="40" spans="1:21" ht="45" customHeight="1" x14ac:dyDescent="0.3">
      <c r="A40" s="6"/>
      <c r="B40" s="219" t="str">
        <f>IFERROR(_xlfn.XLOOKUP(Data_emergency1[[#This Row],[Indicator]],Final[Indicator Name],Final[KPI ID]),"")</f>
        <v/>
      </c>
      <c r="C40" s="161"/>
      <c r="D40" s="162"/>
      <c r="E40" s="37"/>
      <c r="F40" s="119"/>
      <c r="G40" s="56"/>
      <c r="H40" s="88"/>
      <c r="I40" s="89"/>
      <c r="J40" s="56"/>
      <c r="K40" s="57"/>
      <c r="L40" s="57"/>
      <c r="M40" s="198"/>
      <c r="N40" s="195"/>
      <c r="O40" s="57"/>
      <c r="P40" s="57"/>
      <c r="Q40" s="57"/>
      <c r="R40" s="55"/>
      <c r="S40" s="152" t="str">
        <f>IF(COUNTA(F40:R40)=0,"",MAX(Data_emergency1[[#This Row],[Total Direct]],SUM(Data_emergency1[[#This Row],[Total male]:[Other/ 
Unknown]]),SUM(Data_emergency1[[#This Row],[Male &lt;5]:[Female 50+]]))+Data_emergency1[[#This Row],[Indirectly reached]])</f>
        <v/>
      </c>
      <c r="U40" s="6"/>
    </row>
    <row r="41" spans="1:21" ht="45" customHeight="1" x14ac:dyDescent="0.3">
      <c r="A41" s="6"/>
      <c r="B41" s="219" t="str">
        <f>IFERROR(_xlfn.XLOOKUP(Data_emergency1[[#This Row],[Indicator]],Final[Indicator Name],Final[KPI ID]),"")</f>
        <v/>
      </c>
      <c r="C41" s="161"/>
      <c r="D41" s="162"/>
      <c r="E41" s="37"/>
      <c r="F41" s="119"/>
      <c r="G41" s="56"/>
      <c r="H41" s="88"/>
      <c r="I41" s="89"/>
      <c r="J41" s="56"/>
      <c r="K41" s="57"/>
      <c r="L41" s="57"/>
      <c r="M41" s="198"/>
      <c r="N41" s="195"/>
      <c r="O41" s="57"/>
      <c r="P41" s="57"/>
      <c r="Q41" s="57"/>
      <c r="R41" s="55"/>
      <c r="S41" s="152" t="str">
        <f>IF(COUNTA(F41:R41)=0,"",MAX(Data_emergency1[[#This Row],[Total Direct]],SUM(Data_emergency1[[#This Row],[Total male]:[Other/ 
Unknown]]),SUM(Data_emergency1[[#This Row],[Male &lt;5]:[Female 50+]]))+Data_emergency1[[#This Row],[Indirectly reached]])</f>
        <v/>
      </c>
      <c r="U41" s="6"/>
    </row>
    <row r="42" spans="1:21" ht="45" customHeight="1" x14ac:dyDescent="0.3">
      <c r="A42" s="6"/>
      <c r="B42" s="219" t="str">
        <f>IFERROR(_xlfn.XLOOKUP(Data_emergency1[[#This Row],[Indicator]],Final[Indicator Name],Final[KPI ID]),"")</f>
        <v/>
      </c>
      <c r="C42" s="161"/>
      <c r="D42" s="162"/>
      <c r="E42" s="37"/>
      <c r="F42" s="119"/>
      <c r="G42" s="56"/>
      <c r="H42" s="88"/>
      <c r="I42" s="89"/>
      <c r="J42" s="56"/>
      <c r="K42" s="57"/>
      <c r="L42" s="57"/>
      <c r="M42" s="198"/>
      <c r="N42" s="195"/>
      <c r="O42" s="57"/>
      <c r="P42" s="57"/>
      <c r="Q42" s="57"/>
      <c r="R42" s="55"/>
      <c r="S42" s="152" t="str">
        <f>IF(COUNTA(F42:R42)=0,"",MAX(Data_emergency1[[#This Row],[Total Direct]],SUM(Data_emergency1[[#This Row],[Total male]:[Other/ 
Unknown]]),SUM(Data_emergency1[[#This Row],[Male &lt;5]:[Female 50+]]))+Data_emergency1[[#This Row],[Indirectly reached]])</f>
        <v/>
      </c>
      <c r="U42" s="6"/>
    </row>
    <row r="43" spans="1:21" ht="45" customHeight="1" x14ac:dyDescent="0.3">
      <c r="A43" s="6"/>
      <c r="B43" s="219" t="str">
        <f>IFERROR(_xlfn.XLOOKUP(Data_emergency1[[#This Row],[Indicator]],Final[Indicator Name],Final[KPI ID]),"")</f>
        <v/>
      </c>
      <c r="C43" s="161"/>
      <c r="D43" s="162"/>
      <c r="E43" s="37"/>
      <c r="F43" s="119"/>
      <c r="G43" s="56"/>
      <c r="H43" s="88"/>
      <c r="I43" s="89"/>
      <c r="J43" s="56"/>
      <c r="K43" s="57"/>
      <c r="L43" s="57"/>
      <c r="M43" s="198"/>
      <c r="N43" s="195"/>
      <c r="O43" s="57"/>
      <c r="P43" s="57"/>
      <c r="Q43" s="57"/>
      <c r="R43" s="55"/>
      <c r="S43" s="152" t="str">
        <f>IF(COUNTA(F43:R43)=0,"",MAX(Data_emergency1[[#This Row],[Total Direct]],SUM(Data_emergency1[[#This Row],[Total male]:[Other/ 
Unknown]]),SUM(Data_emergency1[[#This Row],[Male &lt;5]:[Female 50+]]))+Data_emergency1[[#This Row],[Indirectly reached]])</f>
        <v/>
      </c>
      <c r="U43" s="6"/>
    </row>
    <row r="44" spans="1:21" ht="45" customHeight="1" x14ac:dyDescent="0.3">
      <c r="A44" s="6"/>
      <c r="B44" s="219" t="str">
        <f>IFERROR(_xlfn.XLOOKUP(Data_emergency1[[#This Row],[Indicator]],Final[Indicator Name],Final[KPI ID]),"")</f>
        <v/>
      </c>
      <c r="C44" s="161"/>
      <c r="D44" s="162"/>
      <c r="E44" s="37"/>
      <c r="F44" s="119"/>
      <c r="G44" s="56"/>
      <c r="H44" s="88"/>
      <c r="I44" s="89"/>
      <c r="J44" s="56"/>
      <c r="K44" s="57"/>
      <c r="L44" s="57"/>
      <c r="M44" s="198"/>
      <c r="N44" s="195"/>
      <c r="O44" s="57"/>
      <c r="P44" s="57"/>
      <c r="Q44" s="57"/>
      <c r="R44" s="55"/>
      <c r="S44" s="152" t="str">
        <f>IF(COUNTA(F44:R44)=0,"",MAX(Data_emergency1[[#This Row],[Total Direct]],SUM(Data_emergency1[[#This Row],[Total male]:[Other/ 
Unknown]]),SUM(Data_emergency1[[#This Row],[Male &lt;5]:[Female 50+]]))+Data_emergency1[[#This Row],[Indirectly reached]])</f>
        <v/>
      </c>
      <c r="U44" s="6"/>
    </row>
    <row r="45" spans="1:21" ht="45" customHeight="1" x14ac:dyDescent="0.3">
      <c r="A45" s="6"/>
      <c r="B45" s="219" t="str">
        <f>IFERROR(_xlfn.XLOOKUP(Data_emergency1[[#This Row],[Indicator]],Final[Indicator Name],Final[KPI ID]),"")</f>
        <v/>
      </c>
      <c r="C45" s="161"/>
      <c r="D45" s="162"/>
      <c r="E45" s="37"/>
      <c r="F45" s="119"/>
      <c r="G45" s="56"/>
      <c r="H45" s="88"/>
      <c r="I45" s="89"/>
      <c r="J45" s="56"/>
      <c r="K45" s="57"/>
      <c r="L45" s="57"/>
      <c r="M45" s="198"/>
      <c r="N45" s="195"/>
      <c r="O45" s="57"/>
      <c r="P45" s="57"/>
      <c r="Q45" s="57"/>
      <c r="R45" s="55"/>
      <c r="S45" s="152" t="str">
        <f>IF(COUNTA(F45:R45)=0,"",MAX(Data_emergency1[[#This Row],[Total Direct]],SUM(Data_emergency1[[#This Row],[Total male]:[Other/ 
Unknown]]),SUM(Data_emergency1[[#This Row],[Male &lt;5]:[Female 50+]]))+Data_emergency1[[#This Row],[Indirectly reached]])</f>
        <v/>
      </c>
      <c r="U45" s="6"/>
    </row>
    <row r="46" spans="1:21" ht="45" customHeight="1" x14ac:dyDescent="0.3">
      <c r="A46" s="6"/>
      <c r="B46" s="219" t="str">
        <f>IFERROR(_xlfn.XLOOKUP(Data_emergency1[[#This Row],[Indicator]],Final[Indicator Name],Final[KPI ID]),"")</f>
        <v/>
      </c>
      <c r="C46" s="161"/>
      <c r="D46" s="162"/>
      <c r="E46" s="37"/>
      <c r="F46" s="119"/>
      <c r="G46" s="56"/>
      <c r="H46" s="88"/>
      <c r="I46" s="89"/>
      <c r="J46" s="56"/>
      <c r="K46" s="57"/>
      <c r="L46" s="57"/>
      <c r="M46" s="198"/>
      <c r="N46" s="195"/>
      <c r="O46" s="57"/>
      <c r="P46" s="57"/>
      <c r="Q46" s="57"/>
      <c r="R46" s="55"/>
      <c r="S46" s="152" t="str">
        <f>IF(COUNTA(F46:R46)=0,"",MAX(Data_emergency1[[#This Row],[Total Direct]],SUM(Data_emergency1[[#This Row],[Total male]:[Other/ 
Unknown]]),SUM(Data_emergency1[[#This Row],[Male &lt;5]:[Female 50+]]))+Data_emergency1[[#This Row],[Indirectly reached]])</f>
        <v/>
      </c>
      <c r="U46" s="6"/>
    </row>
    <row r="47" spans="1:21" ht="45" customHeight="1" x14ac:dyDescent="0.3">
      <c r="A47" s="6"/>
      <c r="B47" s="219" t="str">
        <f>IFERROR(_xlfn.XLOOKUP(Data_emergency1[[#This Row],[Indicator]],Final[Indicator Name],Final[KPI ID]),"")</f>
        <v/>
      </c>
      <c r="C47" s="161"/>
      <c r="D47" s="162"/>
      <c r="E47" s="37"/>
      <c r="F47" s="119"/>
      <c r="G47" s="56"/>
      <c r="H47" s="88"/>
      <c r="I47" s="89"/>
      <c r="J47" s="56"/>
      <c r="K47" s="57"/>
      <c r="L47" s="57"/>
      <c r="M47" s="198"/>
      <c r="N47" s="195"/>
      <c r="O47" s="57"/>
      <c r="P47" s="57"/>
      <c r="Q47" s="57"/>
      <c r="R47" s="55"/>
      <c r="S47" s="152" t="str">
        <f>IF(COUNTA(F47:R47)=0,"",MAX(Data_emergency1[[#This Row],[Total Direct]],SUM(Data_emergency1[[#This Row],[Total male]:[Other/ 
Unknown]]),SUM(Data_emergency1[[#This Row],[Male &lt;5]:[Female 50+]]))+Data_emergency1[[#This Row],[Indirectly reached]])</f>
        <v/>
      </c>
      <c r="U47" s="6"/>
    </row>
    <row r="48" spans="1:21" ht="45" customHeight="1" x14ac:dyDescent="0.3">
      <c r="A48" s="6"/>
      <c r="B48" s="219" t="str">
        <f>IFERROR(_xlfn.XLOOKUP(Data_emergency1[[#This Row],[Indicator]],Final[Indicator Name],Final[KPI ID]),"")</f>
        <v/>
      </c>
      <c r="C48" s="161"/>
      <c r="D48" s="162"/>
      <c r="E48" s="37"/>
      <c r="F48" s="119"/>
      <c r="G48" s="56"/>
      <c r="H48" s="88"/>
      <c r="I48" s="89"/>
      <c r="J48" s="56"/>
      <c r="K48" s="57"/>
      <c r="L48" s="57"/>
      <c r="M48" s="198"/>
      <c r="N48" s="195"/>
      <c r="O48" s="57"/>
      <c r="P48" s="57"/>
      <c r="Q48" s="57"/>
      <c r="R48" s="55"/>
      <c r="S48" s="152" t="str">
        <f>IF(COUNTA(F48:R48)=0,"",MAX(Data_emergency1[[#This Row],[Total Direct]],SUM(Data_emergency1[[#This Row],[Total male]:[Other/ 
Unknown]]),SUM(Data_emergency1[[#This Row],[Male &lt;5]:[Female 50+]]))+Data_emergency1[[#This Row],[Indirectly reached]])</f>
        <v/>
      </c>
      <c r="U48" s="6"/>
    </row>
    <row r="49" spans="1:21" ht="45" customHeight="1" x14ac:dyDescent="0.3">
      <c r="A49" s="6"/>
      <c r="B49" s="219" t="str">
        <f>IFERROR(_xlfn.XLOOKUP(Data_emergency1[[#This Row],[Indicator]],Final[Indicator Name],Final[KPI ID]),"")</f>
        <v/>
      </c>
      <c r="C49" s="161"/>
      <c r="D49" s="162"/>
      <c r="E49" s="37"/>
      <c r="F49" s="119"/>
      <c r="G49" s="56"/>
      <c r="H49" s="88"/>
      <c r="I49" s="89"/>
      <c r="J49" s="56"/>
      <c r="K49" s="57"/>
      <c r="L49" s="57"/>
      <c r="M49" s="198"/>
      <c r="N49" s="195"/>
      <c r="O49" s="57"/>
      <c r="P49" s="57"/>
      <c r="Q49" s="57"/>
      <c r="R49" s="55"/>
      <c r="S49" s="152" t="str">
        <f>IF(COUNTA(F49:R49)=0,"",MAX(Data_emergency1[[#This Row],[Total Direct]],SUM(Data_emergency1[[#This Row],[Total male]:[Other/ 
Unknown]]),SUM(Data_emergency1[[#This Row],[Male &lt;5]:[Female 50+]]))+Data_emergency1[[#This Row],[Indirectly reached]])</f>
        <v/>
      </c>
      <c r="U49" s="6"/>
    </row>
    <row r="50" spans="1:21" ht="45" customHeight="1" x14ac:dyDescent="0.3">
      <c r="A50" s="6"/>
      <c r="B50" s="219" t="str">
        <f>IFERROR(_xlfn.XLOOKUP(Data_emergency1[[#This Row],[Indicator]],Final[Indicator Name],Final[KPI ID]),"")</f>
        <v/>
      </c>
      <c r="C50" s="161"/>
      <c r="D50" s="162"/>
      <c r="E50" s="37"/>
      <c r="F50" s="119"/>
      <c r="G50" s="56"/>
      <c r="H50" s="88"/>
      <c r="I50" s="89"/>
      <c r="J50" s="56"/>
      <c r="K50" s="57"/>
      <c r="L50" s="57"/>
      <c r="M50" s="198"/>
      <c r="N50" s="195"/>
      <c r="O50" s="57"/>
      <c r="P50" s="57"/>
      <c r="Q50" s="57"/>
      <c r="R50" s="55"/>
      <c r="S50" s="152" t="str">
        <f>IF(COUNTA(F50:R50)=0,"",MAX(Data_emergency1[[#This Row],[Total Direct]],SUM(Data_emergency1[[#This Row],[Total male]:[Other/ 
Unknown]]),SUM(Data_emergency1[[#This Row],[Male &lt;5]:[Female 50+]]))+Data_emergency1[[#This Row],[Indirectly reached]])</f>
        <v/>
      </c>
      <c r="U50" s="6"/>
    </row>
    <row r="51" spans="1:21" ht="45" customHeight="1" x14ac:dyDescent="0.3">
      <c r="A51" s="6"/>
      <c r="B51" s="219" t="str">
        <f>IFERROR(_xlfn.XLOOKUP(Data_emergency1[[#This Row],[Indicator]],Final[Indicator Name],Final[KPI ID]),"")</f>
        <v/>
      </c>
      <c r="C51" s="161"/>
      <c r="D51" s="162"/>
      <c r="E51" s="37"/>
      <c r="F51" s="119"/>
      <c r="G51" s="56"/>
      <c r="H51" s="88"/>
      <c r="I51" s="89"/>
      <c r="J51" s="56"/>
      <c r="K51" s="57"/>
      <c r="L51" s="57"/>
      <c r="M51" s="198"/>
      <c r="N51" s="195"/>
      <c r="O51" s="57"/>
      <c r="P51" s="57"/>
      <c r="Q51" s="57"/>
      <c r="R51" s="55"/>
      <c r="S51" s="152" t="str">
        <f>IF(COUNTA(F51:R51)=0,"",MAX(Data_emergency1[[#This Row],[Total Direct]],SUM(Data_emergency1[[#This Row],[Total male]:[Other/ 
Unknown]]),SUM(Data_emergency1[[#This Row],[Male &lt;5]:[Female 50+]]))+Data_emergency1[[#This Row],[Indirectly reached]])</f>
        <v/>
      </c>
      <c r="U51" s="6"/>
    </row>
    <row r="52" spans="1:21" ht="45" customHeight="1" x14ac:dyDescent="0.3">
      <c r="A52" s="6"/>
      <c r="B52" s="219" t="str">
        <f>IFERROR(_xlfn.XLOOKUP(Data_emergency1[[#This Row],[Indicator]],Final[Indicator Name],Final[KPI ID]),"")</f>
        <v/>
      </c>
      <c r="C52" s="161"/>
      <c r="D52" s="162"/>
      <c r="E52" s="37"/>
      <c r="F52" s="119"/>
      <c r="G52" s="56"/>
      <c r="H52" s="88"/>
      <c r="I52" s="89"/>
      <c r="J52" s="56"/>
      <c r="K52" s="57"/>
      <c r="L52" s="57"/>
      <c r="M52" s="198"/>
      <c r="N52" s="195"/>
      <c r="O52" s="57"/>
      <c r="P52" s="57"/>
      <c r="Q52" s="57"/>
      <c r="R52" s="55"/>
      <c r="S52" s="152" t="str">
        <f>IF(COUNTA(F52:R52)=0,"",MAX(Data_emergency1[[#This Row],[Total Direct]],SUM(Data_emergency1[[#This Row],[Total male]:[Other/ 
Unknown]]),SUM(Data_emergency1[[#This Row],[Male &lt;5]:[Female 50+]]))+Data_emergency1[[#This Row],[Indirectly reached]])</f>
        <v/>
      </c>
      <c r="U52" s="6"/>
    </row>
    <row r="53" spans="1:21" ht="45" customHeight="1" x14ac:dyDescent="0.3">
      <c r="A53" s="6"/>
      <c r="B53" s="219" t="str">
        <f>IFERROR(_xlfn.XLOOKUP(Data_emergency1[[#This Row],[Indicator]],Final[Indicator Name],Final[KPI ID]),"")</f>
        <v/>
      </c>
      <c r="C53" s="161"/>
      <c r="D53" s="162"/>
      <c r="E53" s="37"/>
      <c r="F53" s="119"/>
      <c r="G53" s="56"/>
      <c r="H53" s="88"/>
      <c r="I53" s="89"/>
      <c r="J53" s="56"/>
      <c r="K53" s="57"/>
      <c r="L53" s="57"/>
      <c r="M53" s="198"/>
      <c r="N53" s="195"/>
      <c r="O53" s="57"/>
      <c r="P53" s="57"/>
      <c r="Q53" s="57"/>
      <c r="R53" s="55"/>
      <c r="S53" s="152" t="str">
        <f>IF(COUNTA(F53:R53)=0,"",MAX(Data_emergency1[[#This Row],[Total Direct]],SUM(Data_emergency1[[#This Row],[Total male]:[Other/ 
Unknown]]),SUM(Data_emergency1[[#This Row],[Male &lt;5]:[Female 50+]]))+Data_emergency1[[#This Row],[Indirectly reached]])</f>
        <v/>
      </c>
      <c r="U53" s="6"/>
    </row>
    <row r="54" spans="1:21" ht="19.2" customHeight="1" x14ac:dyDescent="0.3">
      <c r="A54" s="6"/>
      <c r="B54" s="6"/>
      <c r="C54" s="6"/>
      <c r="D54" s="6"/>
      <c r="E54" s="6"/>
      <c r="F54" s="6"/>
      <c r="G54" s="6"/>
      <c r="H54" s="6"/>
      <c r="I54" s="6"/>
      <c r="J54" s="6"/>
      <c r="K54" s="6"/>
      <c r="L54" s="6"/>
      <c r="M54" s="6"/>
      <c r="N54" s="6"/>
      <c r="O54" s="6"/>
      <c r="P54" s="6"/>
    </row>
    <row r="55" spans="1:21" x14ac:dyDescent="0.3"/>
    <row r="56" spans="1:21" x14ac:dyDescent="0.3"/>
    <row r="57" spans="1:21" x14ac:dyDescent="0.3"/>
    <row r="58" spans="1:21" x14ac:dyDescent="0.3"/>
    <row r="59" spans="1:21" x14ac:dyDescent="0.3"/>
    <row r="60" spans="1:21" x14ac:dyDescent="0.3"/>
    <row r="61" spans="1:21" x14ac:dyDescent="0.3"/>
    <row r="62" spans="1:21" x14ac:dyDescent="0.3"/>
    <row r="63" spans="1:21" x14ac:dyDescent="0.3"/>
    <row r="64" spans="1:21"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sheetData>
  <sheetProtection algorithmName="SHA-512" hashValue="keTUVN4ltazVGS8VGo/2Qo+KJovy/l9e6JwZCESUFXH77mWvH7FYeR+goa3iPhsldajIrwfmtf5PAid0HtKfow==" saltValue="D8dMCnzwkCdt4j7NGmJC8A==" spinCount="100000" sheet="1" objects="1" scenarios="1"/>
  <mergeCells count="2">
    <mergeCell ref="D3:I3"/>
    <mergeCell ref="F5:Q5"/>
  </mergeCells>
  <conditionalFormatting sqref="A1:S1">
    <cfRule type="expression" dxfId="16" priority="80">
      <formula>Data_Country=""</formula>
    </cfRule>
  </conditionalFormatting>
  <conditionalFormatting sqref="D7:D23">
    <cfRule type="duplicateValues" dxfId="15" priority="184"/>
  </conditionalFormatting>
  <conditionalFormatting sqref="F7:S53">
    <cfRule type="expression" dxfId="14" priority="115">
      <formula>$E7&lt;&gt;"Applicable"</formula>
    </cfRule>
  </conditionalFormatting>
  <dataValidations count="8">
    <dataValidation type="list" allowBlank="1" showInputMessage="1" showErrorMessage="1" sqref="C24:C53" xr:uid="{1466CCEA-DAB6-49FE-BE32-BC518DA26B67}">
      <formula1>SPs</formula1>
    </dataValidation>
    <dataValidation type="whole" allowBlank="1" showInputMessage="1" showErrorMessage="1" sqref="G22:R53 G11:Q20 R11:R17 R20 G7:R9 F7:F9 F11:F53" xr:uid="{00000000-0002-0000-0400-000002000000}">
      <formula1>0</formula1>
      <formula2>100000000</formula2>
    </dataValidation>
    <dataValidation allowBlank="1" showErrorMessage="1" prompt="1. This uses &quot;Total direct&quot; if not empty._x000a_2. Otherwise, it uses &quot;Total male&quot; and &quot;Total female&quot; if not empty._x000a_3. If none of the above is available, it uses &quot;sex age disaggregation&quot; data." sqref="S6" xr:uid="{2866FEC2-A451-4E12-8914-53537BF3B1FB}"/>
    <dataValidation type="decimal" allowBlank="1" showInputMessage="1" showErrorMessage="1" sqref="F10" xr:uid="{736A8D0E-3BD6-4A41-84D2-EB02BA529E13}">
      <formula1>0</formula1>
      <formula2>1</formula2>
    </dataValidation>
    <dataValidation type="list" allowBlank="1" showInputMessage="1" showErrorMessage="1" sqref="D24:D53" xr:uid="{5F44A928-3F8D-4B32-9654-65F4E5BB041A}">
      <formula1>OFFSET(_Indicator, MATCH($C24, _SP, 0) - 1, 0, COUNTIF(_SP, $C24), 1)</formula1>
    </dataValidation>
    <dataValidation type="list" allowBlank="1" showInputMessage="1" showErrorMessage="1" prompt="If an indicator is applicable but you don't have the data, you have the option to select 'Applicable- data not available'." sqref="E7:E53" xr:uid="{00000000-0002-0000-0400-000003000000}">
      <formula1>"Applicable,Applicable- data not available"</formula1>
    </dataValidation>
    <dataValidation allowBlank="1" showErrorMessage="1" promptTitle="Formula calculation" prompt="1. This uses &quot;Total direct&quot; if not empty._x000a_2. Otherwise, it uses &quot;Total male&quot; and &quot;Total female&quot; if not empty._x000a_3. If none of the above is available, it uses &quot;sex age disaggregation&quot; data." sqref="S7:S53" xr:uid="{CFFEB694-B53E-4FA7-96A4-D383AAAEF289}"/>
    <dataValidation type="whole" operator="equal" allowBlank="1" showInputMessage="1" showErrorMessage="1" sqref="G10:R10 R18:R19 G21:R21" xr:uid="{263020AA-FF3E-4326-B591-420533CAEEC0}">
      <formula1>90</formula1>
    </dataValidation>
  </dataValidations>
  <pageMargins left="0.7" right="0.7" top="0.75" bottom="0.75" header="0.3" footer="0.3"/>
  <headerFooter>
    <oddFooter>&amp;L_x000D_&amp;1#&amp;"Calibri"&amp;10&amp;K000000 Public</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1333-6C27-4FDF-8EC0-7E0C57D936B1}">
  <sheetPr codeName="Sheet6"/>
  <dimension ref="A1:V78"/>
  <sheetViews>
    <sheetView showGridLines="0" zoomScaleNormal="100" workbookViewId="0">
      <selection activeCell="E7" sqref="E7"/>
    </sheetView>
  </sheetViews>
  <sheetFormatPr defaultColWidth="0" defaultRowHeight="14.4" zeroHeight="1" x14ac:dyDescent="0.3"/>
  <cols>
    <col min="1" max="1" width="3.33203125" customWidth="1"/>
    <col min="2" max="2" width="8.88671875" hidden="1" customWidth="1"/>
    <col min="3" max="3" width="32.6640625" customWidth="1"/>
    <col min="4" max="4" width="62.6640625" customWidth="1"/>
    <col min="5" max="5" width="18.77734375" customWidth="1"/>
    <col min="6" max="19" width="15.77734375" customWidth="1"/>
    <col min="20" max="20" width="7.44140625" customWidth="1"/>
    <col min="21" max="16384" width="20.5546875" hidden="1"/>
  </cols>
  <sheetData>
    <row r="1" spans="1:22" ht="22.95" customHeight="1" x14ac:dyDescent="0.3">
      <c r="A1" s="48"/>
      <c r="B1" s="48"/>
      <c r="C1" s="130" t="str">
        <f>IF(Data_Country="","Please select your country at the Start page","2026 Midyear Reporting: "&amp;Data_Country)</f>
        <v>2026 Midyear Reporting: Afghanistan</v>
      </c>
      <c r="D1" s="48"/>
      <c r="E1" s="48"/>
      <c r="F1" s="48"/>
      <c r="G1" s="48"/>
      <c r="H1" s="48"/>
      <c r="I1" s="48"/>
      <c r="J1" s="48"/>
      <c r="K1" s="48"/>
      <c r="L1" s="48"/>
      <c r="M1" s="48"/>
      <c r="N1" s="48"/>
      <c r="O1" s="48"/>
      <c r="P1" s="48"/>
      <c r="Q1" s="48"/>
      <c r="R1" s="48"/>
      <c r="S1" s="48"/>
    </row>
    <row r="2" spans="1:22" ht="43.95" customHeight="1" x14ac:dyDescent="0.3">
      <c r="A2" s="6"/>
      <c r="B2" s="6"/>
      <c r="C2" s="47"/>
      <c r="D2" s="6"/>
      <c r="E2" s="6"/>
      <c r="F2" s="6"/>
      <c r="G2" s="6"/>
      <c r="H2" s="46" t="str">
        <f>IF(AND(Data_EO2="",Data_MDR2=""),"Emergency Appeal 2 Indicators",
IF(AND(Data_EO2&lt;&gt;"",Data_MDR2&lt;&gt;""),Data_EO2&amp;" ("&amp;Data_MDR2&amp;") indicators",
IF(Data_EO2&lt;&gt;"",Data_EO2&amp;" indicators",
IF(Data_MDR2&lt;&gt;"",Data_MDR2&amp;" indicators"))))</f>
        <v>Emergency Appeal 2 Indicators</v>
      </c>
      <c r="I2" s="6"/>
      <c r="J2" s="6"/>
      <c r="K2" s="6"/>
      <c r="L2" s="6"/>
      <c r="M2" s="6"/>
      <c r="N2" s="6"/>
      <c r="O2" s="6"/>
      <c r="P2" s="6"/>
      <c r="Q2" s="6"/>
    </row>
    <row r="3" spans="1:22" ht="35.700000000000003" customHeight="1" x14ac:dyDescent="0.3">
      <c r="A3" s="6"/>
      <c r="B3" s="6"/>
      <c r="C3" s="6"/>
      <c r="D3" s="267" t="s">
        <v>1479</v>
      </c>
      <c r="E3" s="268"/>
      <c r="F3" s="268"/>
      <c r="G3" s="268"/>
      <c r="H3" s="268"/>
      <c r="I3" s="268"/>
      <c r="J3" s="6"/>
      <c r="K3" s="6"/>
      <c r="L3" s="6"/>
      <c r="M3" s="6"/>
      <c r="N3" s="6"/>
      <c r="O3" s="6"/>
      <c r="P3" s="6"/>
      <c r="Q3" s="6"/>
      <c r="T3" s="6"/>
    </row>
    <row r="4" spans="1:22" ht="15" thickBot="1" x14ac:dyDescent="0.35">
      <c r="A4" s="6"/>
      <c r="B4" s="6"/>
      <c r="C4" s="6"/>
      <c r="D4" s="6"/>
      <c r="E4" s="29"/>
      <c r="F4" s="29"/>
      <c r="G4" s="90"/>
      <c r="H4" s="90"/>
      <c r="I4" s="90"/>
      <c r="J4" s="90"/>
      <c r="K4" s="90"/>
      <c r="L4" s="90"/>
      <c r="M4" s="90"/>
      <c r="N4" s="90"/>
      <c r="O4" s="90"/>
      <c r="P4" s="90"/>
      <c r="Q4" s="6"/>
    </row>
    <row r="5" spans="1:22" ht="28.2" customHeight="1" thickBot="1" x14ac:dyDescent="0.35">
      <c r="A5" s="6"/>
      <c r="B5" s="6"/>
      <c r="C5" s="6"/>
      <c r="D5" s="6"/>
      <c r="E5" s="29"/>
      <c r="F5" s="273" t="s">
        <v>566</v>
      </c>
      <c r="G5" s="274"/>
      <c r="H5" s="274"/>
      <c r="I5" s="274"/>
      <c r="J5" s="274"/>
      <c r="K5" s="274"/>
      <c r="L5" s="274"/>
      <c r="M5" s="274"/>
      <c r="N5" s="274"/>
      <c r="O5" s="274"/>
      <c r="P5" s="274"/>
      <c r="Q5" s="277"/>
      <c r="R5" s="91" t="s">
        <v>567</v>
      </c>
      <c r="S5" s="58" t="s">
        <v>568</v>
      </c>
    </row>
    <row r="6" spans="1:22" ht="43.95" customHeight="1" x14ac:dyDescent="0.3">
      <c r="A6" s="6"/>
      <c r="B6" s="41" t="s">
        <v>1656</v>
      </c>
      <c r="C6" s="59" t="s">
        <v>569</v>
      </c>
      <c r="D6" s="60" t="s">
        <v>18</v>
      </c>
      <c r="E6" s="38" t="s">
        <v>570</v>
      </c>
      <c r="F6" s="39" t="s">
        <v>571</v>
      </c>
      <c r="G6" s="40" t="s">
        <v>572</v>
      </c>
      <c r="H6" s="191" t="s">
        <v>573</v>
      </c>
      <c r="I6" s="192" t="s">
        <v>574</v>
      </c>
      <c r="J6" s="193" t="s">
        <v>1646</v>
      </c>
      <c r="K6" s="193" t="s">
        <v>1647</v>
      </c>
      <c r="L6" s="193" t="s">
        <v>1648</v>
      </c>
      <c r="M6" s="197" t="s">
        <v>1649</v>
      </c>
      <c r="N6" s="194" t="s">
        <v>1650</v>
      </c>
      <c r="O6" s="193" t="s">
        <v>1651</v>
      </c>
      <c r="P6" s="193" t="s">
        <v>1652</v>
      </c>
      <c r="Q6" s="193" t="s">
        <v>1653</v>
      </c>
      <c r="R6" s="39" t="s">
        <v>1536</v>
      </c>
      <c r="S6" s="42" t="s">
        <v>575</v>
      </c>
      <c r="U6" s="6"/>
    </row>
    <row r="7" spans="1:22" ht="43.95" customHeight="1" x14ac:dyDescent="0.3">
      <c r="A7" s="6"/>
      <c r="B7" s="220">
        <v>754</v>
      </c>
      <c r="C7" s="149" t="s">
        <v>576</v>
      </c>
      <c r="D7" s="150" t="s">
        <v>1540</v>
      </c>
      <c r="E7" s="37"/>
      <c r="F7" s="55"/>
      <c r="G7" s="56"/>
      <c r="H7" s="88"/>
      <c r="I7" s="89"/>
      <c r="J7" s="56"/>
      <c r="K7" s="57"/>
      <c r="L7" s="57"/>
      <c r="M7" s="198"/>
      <c r="N7" s="195"/>
      <c r="O7" s="57"/>
      <c r="P7" s="57"/>
      <c r="Q7" s="57"/>
      <c r="R7" s="55"/>
      <c r="S7" s="152" t="str">
        <f>IF(COUNTA(F7:R7)=0,"",MAX(Data_emergency2[[#This Row],[Total Direct]],SUM(Data_emergency2[[#This Row],[Total male]:[Other/ 
Unknown]]),SUM(Data_emergency2[[#This Row],[Male &lt;5]:[Female 50+]]))+Data_emergency2[[#This Row],[Indirectly reached]])</f>
        <v/>
      </c>
      <c r="U7" s="6"/>
    </row>
    <row r="8" spans="1:22" ht="43.95" customHeight="1" x14ac:dyDescent="0.3">
      <c r="A8" s="6"/>
      <c r="B8" s="221">
        <v>619</v>
      </c>
      <c r="C8" s="149" t="s">
        <v>576</v>
      </c>
      <c r="D8" s="150" t="s">
        <v>577</v>
      </c>
      <c r="E8" s="37"/>
      <c r="F8" s="55"/>
      <c r="G8" s="56"/>
      <c r="H8" s="88"/>
      <c r="I8" s="89"/>
      <c r="J8" s="56"/>
      <c r="K8" s="57"/>
      <c r="L8" s="57"/>
      <c r="M8" s="198"/>
      <c r="N8" s="195"/>
      <c r="O8" s="57"/>
      <c r="P8" s="57"/>
      <c r="Q8" s="57"/>
      <c r="R8" s="55"/>
      <c r="S8" s="152" t="str">
        <f>IF(COUNTA(F8:R8)=0,"",MAX(Data_emergency2[[#This Row],[Total Direct]],SUM(Data_emergency2[[#This Row],[Total male]:[Other/ 
Unknown]]),SUM(Data_emergency2[[#This Row],[Male &lt;5]:[Female 50+]]))+Data_emergency2[[#This Row],[Indirectly reached]])</f>
        <v/>
      </c>
      <c r="U8" s="6"/>
    </row>
    <row r="9" spans="1:22" ht="31.2" customHeight="1" x14ac:dyDescent="0.3">
      <c r="A9" s="6"/>
      <c r="B9" s="221">
        <v>618</v>
      </c>
      <c r="C9" s="149" t="s">
        <v>1537</v>
      </c>
      <c r="D9" s="150" t="s">
        <v>719</v>
      </c>
      <c r="E9" s="37"/>
      <c r="F9" s="55"/>
      <c r="G9" s="56"/>
      <c r="H9" s="88"/>
      <c r="I9" s="89"/>
      <c r="J9" s="56"/>
      <c r="K9" s="57"/>
      <c r="L9" s="57"/>
      <c r="M9" s="198"/>
      <c r="N9" s="195"/>
      <c r="O9" s="57"/>
      <c r="P9" s="57"/>
      <c r="Q9" s="57"/>
      <c r="R9" s="55"/>
      <c r="S9" s="152" t="str">
        <f>IF(COUNTA(F9:R9)=0,"",MAX(Data_emergency2[[#This Row],[Total Direct]],SUM(Data_emergency2[[#This Row],[Total male]:[Other/ 
Unknown]]),SUM(Data_emergency2[[#This Row],[Male &lt;5]:[Female 50+]]))+Data_emergency2[[#This Row],[Indirectly reached]])</f>
        <v/>
      </c>
      <c r="U9" s="6"/>
      <c r="V9" s="6"/>
    </row>
    <row r="10" spans="1:22" ht="45" customHeight="1" x14ac:dyDescent="0.3">
      <c r="A10" s="6"/>
      <c r="B10" s="221">
        <v>620</v>
      </c>
      <c r="C10" s="149" t="s">
        <v>1537</v>
      </c>
      <c r="D10" s="150" t="s">
        <v>720</v>
      </c>
      <c r="E10" s="37"/>
      <c r="F10" s="36"/>
      <c r="G10" s="142"/>
      <c r="H10" s="143"/>
      <c r="I10" s="143"/>
      <c r="J10" s="143"/>
      <c r="K10" s="143"/>
      <c r="L10" s="143"/>
      <c r="M10" s="143"/>
      <c r="N10" s="143"/>
      <c r="O10" s="143"/>
      <c r="P10" s="143"/>
      <c r="Q10" s="143"/>
      <c r="R10" s="143"/>
      <c r="S10" s="156" t="str">
        <f>IF(Data_emergency2[[#This Row],[Total Direct]]="","",Data_emergency2[[#This Row],[Total Direct]])</f>
        <v/>
      </c>
      <c r="U10" s="6"/>
      <c r="V10" s="6"/>
    </row>
    <row r="11" spans="1:22" ht="31.2" customHeight="1" x14ac:dyDescent="0.3">
      <c r="A11" s="6"/>
      <c r="B11" s="221">
        <v>621</v>
      </c>
      <c r="C11" s="149" t="s">
        <v>1537</v>
      </c>
      <c r="D11" s="150" t="s">
        <v>578</v>
      </c>
      <c r="E11" s="37"/>
      <c r="F11" s="55"/>
      <c r="G11" s="56"/>
      <c r="H11" s="88"/>
      <c r="I11" s="89"/>
      <c r="J11" s="56"/>
      <c r="K11" s="57"/>
      <c r="L11" s="57"/>
      <c r="M11" s="198"/>
      <c r="N11" s="195"/>
      <c r="O11" s="57"/>
      <c r="P11" s="57"/>
      <c r="Q11" s="57"/>
      <c r="R11" s="55"/>
      <c r="S11" s="152" t="str">
        <f>IF(COUNTA(F11:R11)=0,"",MAX(Data_emergency2[[#This Row],[Total Direct]],SUM(Data_emergency2[[#This Row],[Total male]:[Other/ 
Unknown]]),SUM(Data_emergency2[[#This Row],[Male &lt;5]:[Female 50+]]))+Data_emergency2[[#This Row],[Indirectly reached]])</f>
        <v/>
      </c>
      <c r="U11" s="6"/>
      <c r="V11" s="6"/>
    </row>
    <row r="12" spans="1:22" ht="51.6" customHeight="1" x14ac:dyDescent="0.3">
      <c r="A12" s="6"/>
      <c r="B12" s="221">
        <v>622</v>
      </c>
      <c r="C12" s="149" t="s">
        <v>1537</v>
      </c>
      <c r="D12" s="150" t="s">
        <v>721</v>
      </c>
      <c r="E12" s="37"/>
      <c r="F12" s="55"/>
      <c r="G12" s="56"/>
      <c r="H12" s="88"/>
      <c r="I12" s="89"/>
      <c r="J12" s="56"/>
      <c r="K12" s="57"/>
      <c r="L12" s="57"/>
      <c r="M12" s="198"/>
      <c r="N12" s="195"/>
      <c r="O12" s="57"/>
      <c r="P12" s="57"/>
      <c r="Q12" s="57"/>
      <c r="R12" s="55"/>
      <c r="S12" s="152" t="str">
        <f>IF(COUNTA(F12:R12)=0,"",MAX(Data_emergency2[[#This Row],[Total Direct]],SUM(Data_emergency2[[#This Row],[Total male]:[Other/ 
Unknown]]),SUM(Data_emergency2[[#This Row],[Male &lt;5]:[Female 50+]]))+Data_emergency2[[#This Row],[Indirectly reached]])</f>
        <v/>
      </c>
      <c r="U12" s="6"/>
      <c r="V12" s="6"/>
    </row>
    <row r="13" spans="1:22" ht="45.6" customHeight="1" x14ac:dyDescent="0.3">
      <c r="A13" s="6"/>
      <c r="B13" s="221">
        <v>612</v>
      </c>
      <c r="C13" s="149" t="s">
        <v>1538</v>
      </c>
      <c r="D13" s="150" t="s">
        <v>620</v>
      </c>
      <c r="E13" s="37"/>
      <c r="F13" s="55"/>
      <c r="G13" s="56"/>
      <c r="H13" s="88"/>
      <c r="I13" s="89"/>
      <c r="J13" s="56"/>
      <c r="K13" s="57"/>
      <c r="L13" s="57"/>
      <c r="M13" s="198"/>
      <c r="N13" s="195"/>
      <c r="O13" s="57"/>
      <c r="P13" s="57"/>
      <c r="Q13" s="57"/>
      <c r="R13" s="55"/>
      <c r="S13" s="152" t="str">
        <f>IF(COUNTA(F13:R13)=0,"",MAX(Data_emergency2[[#This Row],[Total Direct]],SUM(Data_emergency2[[#This Row],[Total male]:[Other/ 
Unknown]]),SUM(Data_emergency2[[#This Row],[Male &lt;5]:[Female 50+]]))+Data_emergency2[[#This Row],[Indirectly reached]])</f>
        <v/>
      </c>
      <c r="U13" s="6"/>
      <c r="V13" s="6"/>
    </row>
    <row r="14" spans="1:22" ht="46.95" customHeight="1" x14ac:dyDescent="0.3">
      <c r="A14" s="6"/>
      <c r="B14" s="221">
        <v>613</v>
      </c>
      <c r="C14" s="149" t="s">
        <v>1538</v>
      </c>
      <c r="D14" s="150" t="s">
        <v>623</v>
      </c>
      <c r="E14" s="37"/>
      <c r="F14" s="56"/>
      <c r="G14" s="56"/>
      <c r="H14" s="88"/>
      <c r="I14" s="89"/>
      <c r="J14" s="56"/>
      <c r="K14" s="57"/>
      <c r="L14" s="57"/>
      <c r="M14" s="198"/>
      <c r="N14" s="195"/>
      <c r="O14" s="57"/>
      <c r="P14" s="57"/>
      <c r="Q14" s="57"/>
      <c r="R14" s="55"/>
      <c r="S14" s="152" t="str">
        <f>IF(COUNTA(F14:R14)=0,"",MAX(Data_emergency2[[#This Row],[Total Direct]],SUM(Data_emergency2[[#This Row],[Total male]:[Other/ 
Unknown]]),SUM(Data_emergency2[[#This Row],[Male &lt;5]:[Female 50+]]))+Data_emergency2[[#This Row],[Indirectly reached]])</f>
        <v/>
      </c>
      <c r="U14" s="6"/>
      <c r="V14" s="6"/>
    </row>
    <row r="15" spans="1:22" ht="44.25" customHeight="1" x14ac:dyDescent="0.3">
      <c r="A15" s="6"/>
      <c r="B15" s="221">
        <v>614</v>
      </c>
      <c r="C15" s="149" t="s">
        <v>1538</v>
      </c>
      <c r="D15" s="150" t="s">
        <v>624</v>
      </c>
      <c r="E15" s="37"/>
      <c r="F15" s="55"/>
      <c r="G15" s="56"/>
      <c r="H15" s="88"/>
      <c r="I15" s="89"/>
      <c r="J15" s="56"/>
      <c r="K15" s="57"/>
      <c r="L15" s="57"/>
      <c r="M15" s="198"/>
      <c r="N15" s="195"/>
      <c r="O15" s="57"/>
      <c r="P15" s="57"/>
      <c r="Q15" s="57"/>
      <c r="R15" s="55"/>
      <c r="S15" s="152" t="str">
        <f>IF(COUNTA(F15:R15)=0,"",MAX(Data_emergency2[[#This Row],[Total Direct]],SUM(Data_emergency2[[#This Row],[Total male]:[Other/ 
Unknown]]),SUM(Data_emergency2[[#This Row],[Male &lt;5]:[Female 50+]]))+Data_emergency2[[#This Row],[Indirectly reached]])</f>
        <v/>
      </c>
      <c r="U15" s="6"/>
      <c r="V15" s="6"/>
    </row>
    <row r="16" spans="1:22" ht="31.2" customHeight="1" x14ac:dyDescent="0.3">
      <c r="A16" s="6"/>
      <c r="B16" s="221">
        <v>623</v>
      </c>
      <c r="C16" s="149" t="s">
        <v>1519</v>
      </c>
      <c r="D16" s="150" t="s">
        <v>1530</v>
      </c>
      <c r="E16" s="37"/>
      <c r="F16" s="55"/>
      <c r="G16" s="56"/>
      <c r="H16" s="88"/>
      <c r="I16" s="89"/>
      <c r="J16" s="56"/>
      <c r="K16" s="57"/>
      <c r="L16" s="57"/>
      <c r="M16" s="198"/>
      <c r="N16" s="195"/>
      <c r="O16" s="57"/>
      <c r="P16" s="57"/>
      <c r="Q16" s="57"/>
      <c r="R16" s="55"/>
      <c r="S16" s="152" t="str">
        <f>IF(COUNTA(F16:R16)=0,"",MAX(Data_emergency2[[#This Row],[Total Direct]],SUM(Data_emergency2[[#This Row],[Total male]:[Other/ 
Unknown]]),SUM(Data_emergency2[[#This Row],[Male &lt;5]:[Female 50+]]))+Data_emergency2[[#This Row],[Indirectly reached]])</f>
        <v/>
      </c>
      <c r="U16" s="6"/>
      <c r="V16" s="6"/>
    </row>
    <row r="17" spans="1:22" ht="31.2" customHeight="1" x14ac:dyDescent="0.3">
      <c r="A17" s="6"/>
      <c r="B17" s="221">
        <v>624</v>
      </c>
      <c r="C17" s="149" t="s">
        <v>1519</v>
      </c>
      <c r="D17" s="150" t="s">
        <v>1531</v>
      </c>
      <c r="E17" s="37"/>
      <c r="F17" s="55"/>
      <c r="G17" s="56"/>
      <c r="H17" s="88"/>
      <c r="I17" s="89"/>
      <c r="J17" s="56"/>
      <c r="K17" s="57"/>
      <c r="L17" s="57"/>
      <c r="M17" s="198"/>
      <c r="N17" s="195"/>
      <c r="O17" s="57"/>
      <c r="P17" s="57"/>
      <c r="Q17" s="57"/>
      <c r="R17" s="55"/>
      <c r="S17" s="152" t="str">
        <f>IF(COUNTA(F17:R17)=0,"",MAX(Data_emergency2[[#This Row],[Total Direct]],SUM(Data_emergency2[[#This Row],[Total male]:[Other/ 
Unknown]]),SUM(Data_emergency2[[#This Row],[Male &lt;5]:[Female 50+]]))+Data_emergency2[[#This Row],[Indirectly reached]])</f>
        <v/>
      </c>
      <c r="U17" s="6"/>
      <c r="V17" s="6"/>
    </row>
    <row r="18" spans="1:22" ht="31.2" customHeight="1" x14ac:dyDescent="0.3">
      <c r="A18" s="6"/>
      <c r="B18" s="221">
        <v>627</v>
      </c>
      <c r="C18" s="149" t="s">
        <v>1519</v>
      </c>
      <c r="D18" s="150" t="s">
        <v>896</v>
      </c>
      <c r="E18" s="37"/>
      <c r="F18" s="55"/>
      <c r="G18" s="56"/>
      <c r="H18" s="88"/>
      <c r="I18" s="89"/>
      <c r="J18" s="56"/>
      <c r="K18" s="57"/>
      <c r="L18" s="57"/>
      <c r="M18" s="198"/>
      <c r="N18" s="195"/>
      <c r="O18" s="57"/>
      <c r="P18" s="57"/>
      <c r="Q18" s="57"/>
      <c r="R18" s="145"/>
      <c r="S18" s="152" t="str">
        <f>IF(COUNTA(F18:R18)=0,"",MAX(Data_emergency2[[#This Row],[Total Direct]],SUM(Data_emergency2[[#This Row],[Total male]:[Other/ 
Unknown]]),SUM(Data_emergency2[[#This Row],[Male &lt;5]:[Female 50+]]))+Data_emergency2[[#This Row],[Indirectly reached]])</f>
        <v/>
      </c>
      <c r="U18" s="6"/>
      <c r="V18" s="6"/>
    </row>
    <row r="19" spans="1:22" ht="31.2" customHeight="1" x14ac:dyDescent="0.3">
      <c r="A19" s="6"/>
      <c r="B19" s="221">
        <v>628</v>
      </c>
      <c r="C19" s="149" t="s">
        <v>1519</v>
      </c>
      <c r="D19" s="150" t="s">
        <v>898</v>
      </c>
      <c r="E19" s="37"/>
      <c r="F19" s="55"/>
      <c r="G19" s="56"/>
      <c r="H19" s="88"/>
      <c r="I19" s="89"/>
      <c r="J19" s="56"/>
      <c r="K19" s="57"/>
      <c r="L19" s="57"/>
      <c r="M19" s="198"/>
      <c r="N19" s="195"/>
      <c r="O19" s="57"/>
      <c r="P19" s="57"/>
      <c r="Q19" s="57"/>
      <c r="R19" s="145"/>
      <c r="S19" s="152" t="str">
        <f>IF(COUNTA(F19:R19)=0,"",MAX(Data_emergency2[[#This Row],[Total Direct]],SUM(Data_emergency2[[#This Row],[Total male]:[Other/ 
Unknown]]),SUM(Data_emergency2[[#This Row],[Male &lt;5]:[Female 50+]]))+Data_emergency2[[#This Row],[Indirectly reached]])</f>
        <v/>
      </c>
      <c r="U19" s="6"/>
      <c r="V19" s="6"/>
    </row>
    <row r="20" spans="1:22" ht="31.2" customHeight="1" x14ac:dyDescent="0.3">
      <c r="A20" s="6"/>
      <c r="B20" s="221">
        <v>629</v>
      </c>
      <c r="C20" s="149" t="s">
        <v>1520</v>
      </c>
      <c r="D20" s="150" t="s">
        <v>1281</v>
      </c>
      <c r="E20" s="37"/>
      <c r="F20" s="55"/>
      <c r="G20" s="56"/>
      <c r="H20" s="88"/>
      <c r="I20" s="89"/>
      <c r="J20" s="56"/>
      <c r="K20" s="57"/>
      <c r="L20" s="57"/>
      <c r="M20" s="198"/>
      <c r="N20" s="195"/>
      <c r="O20" s="57"/>
      <c r="P20" s="57"/>
      <c r="Q20" s="57"/>
      <c r="R20" s="55"/>
      <c r="S20" s="152" t="str">
        <f>IF(COUNTA(F20:R20)=0,"",MAX(Data_emergency2[[#This Row],[Total Direct]],SUM(Data_emergency2[[#This Row],[Total male]:[Other/ 
Unknown]]),SUM(Data_emergency2[[#This Row],[Male &lt;5]:[Female 50+]]))+Data_emergency2[[#This Row],[Indirectly reached]])</f>
        <v/>
      </c>
      <c r="U20" s="6"/>
      <c r="V20" s="6"/>
    </row>
    <row r="21" spans="1:22" ht="55.5" customHeight="1" x14ac:dyDescent="0.3">
      <c r="A21" s="6"/>
      <c r="B21" s="221">
        <v>630</v>
      </c>
      <c r="C21" s="149" t="s">
        <v>1520</v>
      </c>
      <c r="D21" s="150" t="s">
        <v>1533</v>
      </c>
      <c r="E21" s="168"/>
      <c r="F21" s="55"/>
      <c r="G21" s="143"/>
      <c r="H21" s="143"/>
      <c r="I21" s="143"/>
      <c r="J21" s="143"/>
      <c r="K21" s="143"/>
      <c r="L21" s="143"/>
      <c r="M21" s="143"/>
      <c r="N21" s="143"/>
      <c r="O21" s="143"/>
      <c r="P21" s="143"/>
      <c r="Q21" s="143"/>
      <c r="R21" s="143"/>
      <c r="S21" s="152" t="str">
        <f>IF(COUNTA(F21:R21)=0,"",MAX(Data_emergency2[[#This Row],[Total Direct]],SUM(Data_emergency2[[#This Row],[Total male]:[Other/ 
Unknown]]),SUM(Data_emergency2[[#This Row],[Male &lt;5]:[Female 50+]]))+Data_emergency2[[#This Row],[Indirectly reached]])</f>
        <v/>
      </c>
      <c r="U21" s="6"/>
      <c r="V21" s="6"/>
    </row>
    <row r="22" spans="1:22" ht="68.25" customHeight="1" x14ac:dyDescent="0.3">
      <c r="A22" s="6"/>
      <c r="B22" s="221">
        <v>633</v>
      </c>
      <c r="C22" s="149" t="s">
        <v>1539</v>
      </c>
      <c r="D22" s="150" t="s">
        <v>1364</v>
      </c>
      <c r="E22" s="37"/>
      <c r="F22" s="55"/>
      <c r="G22" s="56"/>
      <c r="H22" s="88"/>
      <c r="I22" s="89"/>
      <c r="J22" s="56"/>
      <c r="K22" s="57"/>
      <c r="L22" s="57"/>
      <c r="M22" s="198"/>
      <c r="N22" s="195"/>
      <c r="O22" s="57"/>
      <c r="P22" s="57"/>
      <c r="Q22" s="57"/>
      <c r="R22" s="55"/>
      <c r="S22" s="152" t="str">
        <f>IF(COUNTA(F22:R22)=0,"",MAX(Data_emergency2[[#This Row],[Total Direct]],SUM(Data_emergency2[[#This Row],[Total male]:[Other/ 
Unknown]]),SUM(Data_emergency2[[#This Row],[Male &lt;5]:[Female 50+]]))+Data_emergency2[[#This Row],[Indirectly reached]])</f>
        <v/>
      </c>
      <c r="U22" s="6"/>
      <c r="V22" s="6"/>
    </row>
    <row r="23" spans="1:22" ht="44.7" customHeight="1" x14ac:dyDescent="0.3">
      <c r="A23" s="6"/>
      <c r="B23" s="221">
        <v>635</v>
      </c>
      <c r="C23" s="149" t="s">
        <v>1539</v>
      </c>
      <c r="D23" s="170" t="s">
        <v>899</v>
      </c>
      <c r="E23" s="37"/>
      <c r="F23" s="55"/>
      <c r="G23" s="56"/>
      <c r="H23" s="88"/>
      <c r="I23" s="89"/>
      <c r="J23" s="56"/>
      <c r="K23" s="57"/>
      <c r="L23" s="57"/>
      <c r="M23" s="198"/>
      <c r="N23" s="195"/>
      <c r="O23" s="57"/>
      <c r="P23" s="57"/>
      <c r="Q23" s="57"/>
      <c r="R23" s="55"/>
      <c r="S23" s="152" t="str">
        <f>IF(COUNTA(F23:R23)=0,"",MAX(Data_emergency2[[#This Row],[Total Direct]],SUM(Data_emergency2[[#This Row],[Total male]:[Other/ 
Unknown]]),SUM(Data_emergency2[[#This Row],[Male &lt;5]:[Female 50+]]))+Data_emergency2[[#This Row],[Indirectly reached]])</f>
        <v/>
      </c>
      <c r="U23" s="6"/>
      <c r="V23" s="6"/>
    </row>
    <row r="24" spans="1:22" ht="45" customHeight="1" x14ac:dyDescent="0.3">
      <c r="A24" s="6"/>
      <c r="B24" s="222" t="str">
        <f>IFERROR(_xlfn.XLOOKUP(Data_emergency2[[#This Row],[Indicator]],Final[Indicator Name],Final[KPI ID]),"")</f>
        <v/>
      </c>
      <c r="C24" s="161"/>
      <c r="D24" s="162"/>
      <c r="E24" s="37"/>
      <c r="F24" s="119"/>
      <c r="G24" s="56"/>
      <c r="H24" s="88"/>
      <c r="I24" s="89"/>
      <c r="J24" s="56"/>
      <c r="K24" s="57"/>
      <c r="L24" s="57"/>
      <c r="M24" s="198"/>
      <c r="N24" s="195"/>
      <c r="O24" s="57"/>
      <c r="P24" s="57"/>
      <c r="Q24" s="57"/>
      <c r="R24" s="55"/>
      <c r="S24" s="152" t="str">
        <f>IF(COUNTA(F24:R24)=0,"",MAX(Data_emergency2[[#This Row],[Total Direct]],SUM(Data_emergency2[[#This Row],[Total male]:[Other/ 
Unknown]]),SUM(Data_emergency2[[#This Row],[Male &lt;5]:[Female 50+]]))+Data_emergency2[[#This Row],[Indirectly reached]])</f>
        <v/>
      </c>
      <c r="U24" s="6"/>
    </row>
    <row r="25" spans="1:22" ht="45" customHeight="1" x14ac:dyDescent="0.3">
      <c r="A25" s="6"/>
      <c r="B25" s="222" t="str">
        <f>IFERROR(_xlfn.XLOOKUP(Data_emergency2[[#This Row],[Indicator]],Final[Indicator Name],Final[KPI ID]),"")</f>
        <v/>
      </c>
      <c r="C25" s="161"/>
      <c r="D25" s="162"/>
      <c r="E25" s="37"/>
      <c r="F25" s="119"/>
      <c r="G25" s="56"/>
      <c r="H25" s="88"/>
      <c r="I25" s="89"/>
      <c r="J25" s="56"/>
      <c r="K25" s="57"/>
      <c r="L25" s="57"/>
      <c r="M25" s="198"/>
      <c r="N25" s="195"/>
      <c r="O25" s="57"/>
      <c r="P25" s="57"/>
      <c r="Q25" s="57"/>
      <c r="R25" s="55"/>
      <c r="S25" s="152" t="str">
        <f>IF(COUNTA(F25:R25)=0,"",MAX(Data_emergency2[[#This Row],[Total Direct]],SUM(Data_emergency2[[#This Row],[Total male]:[Other/ 
Unknown]]),SUM(Data_emergency2[[#This Row],[Male &lt;5]:[Female 50+]]))+Data_emergency2[[#This Row],[Indirectly reached]])</f>
        <v/>
      </c>
      <c r="U25" s="6"/>
    </row>
    <row r="26" spans="1:22" ht="45" customHeight="1" x14ac:dyDescent="0.3">
      <c r="A26" s="6"/>
      <c r="B26" s="222" t="str">
        <f>IFERROR(_xlfn.XLOOKUP(Data_emergency2[[#This Row],[Indicator]],Final[Indicator Name],Final[KPI ID]),"")</f>
        <v/>
      </c>
      <c r="C26" s="161"/>
      <c r="D26" s="162"/>
      <c r="E26" s="37"/>
      <c r="F26" s="119"/>
      <c r="G26" s="56"/>
      <c r="H26" s="88"/>
      <c r="I26" s="89"/>
      <c r="J26" s="56"/>
      <c r="K26" s="57"/>
      <c r="L26" s="57"/>
      <c r="M26" s="198"/>
      <c r="N26" s="195"/>
      <c r="O26" s="57"/>
      <c r="P26" s="57"/>
      <c r="Q26" s="57"/>
      <c r="R26" s="55"/>
      <c r="S26" s="152" t="str">
        <f>IF(COUNTA(F26:R26)=0,"",MAX(Data_emergency2[[#This Row],[Total Direct]],SUM(Data_emergency2[[#This Row],[Total male]:[Other/ 
Unknown]]),SUM(Data_emergency2[[#This Row],[Male &lt;5]:[Female 50+]]))+Data_emergency2[[#This Row],[Indirectly reached]])</f>
        <v/>
      </c>
      <c r="U26" s="6"/>
    </row>
    <row r="27" spans="1:22" ht="45" customHeight="1" x14ac:dyDescent="0.3">
      <c r="A27" s="6"/>
      <c r="B27" s="222" t="str">
        <f>IFERROR(_xlfn.XLOOKUP(Data_emergency2[[#This Row],[Indicator]],Final[Indicator Name],Final[KPI ID]),"")</f>
        <v/>
      </c>
      <c r="C27" s="161"/>
      <c r="D27" s="162"/>
      <c r="E27" s="37"/>
      <c r="F27" s="119"/>
      <c r="G27" s="56"/>
      <c r="H27" s="88"/>
      <c r="I27" s="89"/>
      <c r="J27" s="56"/>
      <c r="K27" s="57"/>
      <c r="L27" s="57"/>
      <c r="M27" s="198"/>
      <c r="N27" s="195"/>
      <c r="O27" s="57"/>
      <c r="P27" s="57"/>
      <c r="Q27" s="57"/>
      <c r="R27" s="55"/>
      <c r="S27" s="152" t="str">
        <f>IF(COUNTA(F27:R27)=0,"",MAX(Data_emergency2[[#This Row],[Total Direct]],SUM(Data_emergency2[[#This Row],[Total male]:[Other/ 
Unknown]]),SUM(Data_emergency2[[#This Row],[Male &lt;5]:[Female 50+]]))+Data_emergency2[[#This Row],[Indirectly reached]])</f>
        <v/>
      </c>
      <c r="U27" s="6"/>
    </row>
    <row r="28" spans="1:22" ht="45" customHeight="1" x14ac:dyDescent="0.3">
      <c r="A28" s="6"/>
      <c r="B28" s="222" t="str">
        <f>IFERROR(_xlfn.XLOOKUP(Data_emergency2[[#This Row],[Indicator]],Final[Indicator Name],Final[KPI ID]),"")</f>
        <v/>
      </c>
      <c r="C28" s="161"/>
      <c r="D28" s="162"/>
      <c r="E28" s="37"/>
      <c r="F28" s="119"/>
      <c r="G28" s="56"/>
      <c r="H28" s="88"/>
      <c r="I28" s="89"/>
      <c r="J28" s="56"/>
      <c r="K28" s="57"/>
      <c r="L28" s="57"/>
      <c r="M28" s="198"/>
      <c r="N28" s="195"/>
      <c r="O28" s="57"/>
      <c r="P28" s="57"/>
      <c r="Q28" s="57"/>
      <c r="R28" s="55"/>
      <c r="S28" s="152" t="str">
        <f>IF(COUNTA(F28:R28)=0,"",MAX(Data_emergency2[[#This Row],[Total Direct]],SUM(Data_emergency2[[#This Row],[Total male]:[Other/ 
Unknown]]),SUM(Data_emergency2[[#This Row],[Male &lt;5]:[Female 50+]]))+Data_emergency2[[#This Row],[Indirectly reached]])</f>
        <v/>
      </c>
      <c r="U28" s="6"/>
    </row>
    <row r="29" spans="1:22" ht="45" customHeight="1" x14ac:dyDescent="0.3">
      <c r="A29" s="6"/>
      <c r="B29" s="222" t="str">
        <f>IFERROR(_xlfn.XLOOKUP(Data_emergency2[[#This Row],[Indicator]],Final[Indicator Name],Final[KPI ID]),"")</f>
        <v/>
      </c>
      <c r="C29" s="161"/>
      <c r="D29" s="162"/>
      <c r="E29" s="37"/>
      <c r="F29" s="119"/>
      <c r="G29" s="56"/>
      <c r="H29" s="88"/>
      <c r="I29" s="89"/>
      <c r="J29" s="56"/>
      <c r="K29" s="57"/>
      <c r="L29" s="57"/>
      <c r="M29" s="198"/>
      <c r="N29" s="195"/>
      <c r="O29" s="57"/>
      <c r="P29" s="57"/>
      <c r="Q29" s="57"/>
      <c r="R29" s="55"/>
      <c r="S29" s="152" t="str">
        <f>IF(COUNTA(F29:R29)=0,"",MAX(Data_emergency2[[#This Row],[Total Direct]],SUM(Data_emergency2[[#This Row],[Total male]:[Other/ 
Unknown]]),SUM(Data_emergency2[[#This Row],[Male &lt;5]:[Female 50+]]))+Data_emergency2[[#This Row],[Indirectly reached]])</f>
        <v/>
      </c>
      <c r="U29" s="6"/>
    </row>
    <row r="30" spans="1:22" ht="45" customHeight="1" x14ac:dyDescent="0.3">
      <c r="A30" s="6"/>
      <c r="B30" s="222" t="str">
        <f>IFERROR(_xlfn.XLOOKUP(Data_emergency2[[#This Row],[Indicator]],Final[Indicator Name],Final[KPI ID]),"")</f>
        <v/>
      </c>
      <c r="C30" s="161"/>
      <c r="D30" s="162"/>
      <c r="E30" s="37"/>
      <c r="F30" s="119"/>
      <c r="G30" s="56"/>
      <c r="H30" s="88"/>
      <c r="I30" s="89"/>
      <c r="J30" s="56"/>
      <c r="K30" s="57"/>
      <c r="L30" s="57"/>
      <c r="M30" s="198"/>
      <c r="N30" s="195"/>
      <c r="O30" s="57"/>
      <c r="P30" s="57"/>
      <c r="Q30" s="57"/>
      <c r="R30" s="55"/>
      <c r="S30" s="152" t="str">
        <f>IF(COUNTA(F30:R30)=0,"",MAX(Data_emergency2[[#This Row],[Total Direct]],SUM(Data_emergency2[[#This Row],[Total male]:[Other/ 
Unknown]]),SUM(Data_emergency2[[#This Row],[Male &lt;5]:[Female 50+]]))+Data_emergency2[[#This Row],[Indirectly reached]])</f>
        <v/>
      </c>
      <c r="U30" s="6"/>
    </row>
    <row r="31" spans="1:22" ht="45" customHeight="1" x14ac:dyDescent="0.3">
      <c r="A31" s="6"/>
      <c r="B31" s="222" t="str">
        <f>IFERROR(_xlfn.XLOOKUP(Data_emergency2[[#This Row],[Indicator]],Final[Indicator Name],Final[KPI ID]),"")</f>
        <v/>
      </c>
      <c r="C31" s="161"/>
      <c r="D31" s="162"/>
      <c r="E31" s="37"/>
      <c r="F31" s="119"/>
      <c r="G31" s="56"/>
      <c r="H31" s="88"/>
      <c r="I31" s="89"/>
      <c r="J31" s="56"/>
      <c r="K31" s="57"/>
      <c r="L31" s="57"/>
      <c r="M31" s="198"/>
      <c r="N31" s="195"/>
      <c r="O31" s="57"/>
      <c r="P31" s="57"/>
      <c r="Q31" s="57"/>
      <c r="R31" s="55"/>
      <c r="S31" s="152" t="str">
        <f>IF(COUNTA(F31:R31)=0,"",MAX(Data_emergency2[[#This Row],[Total Direct]],SUM(Data_emergency2[[#This Row],[Total male]:[Other/ 
Unknown]]),SUM(Data_emergency2[[#This Row],[Male &lt;5]:[Female 50+]]))+Data_emergency2[[#This Row],[Indirectly reached]])</f>
        <v/>
      </c>
      <c r="U31" s="6"/>
    </row>
    <row r="32" spans="1:22" ht="45" customHeight="1" x14ac:dyDescent="0.3">
      <c r="A32" s="6"/>
      <c r="B32" s="222" t="str">
        <f>IFERROR(_xlfn.XLOOKUP(Data_emergency2[[#This Row],[Indicator]],Final[Indicator Name],Final[KPI ID]),"")</f>
        <v/>
      </c>
      <c r="C32" s="161"/>
      <c r="D32" s="162"/>
      <c r="E32" s="37"/>
      <c r="F32" s="119"/>
      <c r="G32" s="56"/>
      <c r="H32" s="88"/>
      <c r="I32" s="89"/>
      <c r="J32" s="56"/>
      <c r="K32" s="57"/>
      <c r="L32" s="57"/>
      <c r="M32" s="198"/>
      <c r="N32" s="195"/>
      <c r="O32" s="57"/>
      <c r="P32" s="57"/>
      <c r="Q32" s="57"/>
      <c r="R32" s="55"/>
      <c r="S32" s="152" t="str">
        <f>IF(COUNTA(F32:R32)=0,"",MAX(Data_emergency2[[#This Row],[Total Direct]],SUM(Data_emergency2[[#This Row],[Total male]:[Other/ 
Unknown]]),SUM(Data_emergency2[[#This Row],[Male &lt;5]:[Female 50+]]))+Data_emergency2[[#This Row],[Indirectly reached]])</f>
        <v/>
      </c>
      <c r="U32" s="6"/>
    </row>
    <row r="33" spans="1:21" ht="45" customHeight="1" x14ac:dyDescent="0.3">
      <c r="A33" s="6"/>
      <c r="B33" s="222" t="str">
        <f>IFERROR(_xlfn.XLOOKUP(Data_emergency2[[#This Row],[Indicator]],Final[Indicator Name],Final[KPI ID]),"")</f>
        <v/>
      </c>
      <c r="C33" s="161"/>
      <c r="D33" s="162"/>
      <c r="E33" s="37"/>
      <c r="F33" s="119"/>
      <c r="G33" s="56"/>
      <c r="H33" s="88"/>
      <c r="I33" s="89"/>
      <c r="J33" s="56"/>
      <c r="K33" s="57"/>
      <c r="L33" s="57"/>
      <c r="M33" s="198"/>
      <c r="N33" s="195"/>
      <c r="O33" s="57"/>
      <c r="P33" s="57"/>
      <c r="Q33" s="57"/>
      <c r="R33" s="55"/>
      <c r="S33" s="152" t="str">
        <f>IF(COUNTA(F33:R33)=0,"",MAX(Data_emergency2[[#This Row],[Total Direct]],SUM(Data_emergency2[[#This Row],[Total male]:[Other/ 
Unknown]]),SUM(Data_emergency2[[#This Row],[Male &lt;5]:[Female 50+]]))+Data_emergency2[[#This Row],[Indirectly reached]])</f>
        <v/>
      </c>
      <c r="U33" s="6"/>
    </row>
    <row r="34" spans="1:21" ht="45" customHeight="1" x14ac:dyDescent="0.3">
      <c r="A34" s="6"/>
      <c r="B34" s="222" t="str">
        <f>IFERROR(_xlfn.XLOOKUP(Data_emergency2[[#This Row],[Indicator]],Final[Indicator Name],Final[KPI ID]),"")</f>
        <v/>
      </c>
      <c r="C34" s="161"/>
      <c r="D34" s="162"/>
      <c r="E34" s="37"/>
      <c r="F34" s="119"/>
      <c r="G34" s="56"/>
      <c r="H34" s="88"/>
      <c r="I34" s="89"/>
      <c r="J34" s="56"/>
      <c r="K34" s="57"/>
      <c r="L34" s="57"/>
      <c r="M34" s="198"/>
      <c r="N34" s="195"/>
      <c r="O34" s="57"/>
      <c r="P34" s="57"/>
      <c r="Q34" s="57"/>
      <c r="R34" s="55"/>
      <c r="S34" s="152" t="str">
        <f>IF(COUNTA(F34:R34)=0,"",MAX(Data_emergency2[[#This Row],[Total Direct]],SUM(Data_emergency2[[#This Row],[Total male]:[Other/ 
Unknown]]),SUM(Data_emergency2[[#This Row],[Male &lt;5]:[Female 50+]]))+Data_emergency2[[#This Row],[Indirectly reached]])</f>
        <v/>
      </c>
      <c r="U34" s="6"/>
    </row>
    <row r="35" spans="1:21" ht="45" customHeight="1" x14ac:dyDescent="0.3">
      <c r="A35" s="6"/>
      <c r="B35" s="222" t="str">
        <f>IFERROR(_xlfn.XLOOKUP(Data_emergency2[[#This Row],[Indicator]],Final[Indicator Name],Final[KPI ID]),"")</f>
        <v/>
      </c>
      <c r="C35" s="161"/>
      <c r="D35" s="162"/>
      <c r="E35" s="37"/>
      <c r="F35" s="119"/>
      <c r="G35" s="56"/>
      <c r="H35" s="88"/>
      <c r="I35" s="89"/>
      <c r="J35" s="56"/>
      <c r="K35" s="57"/>
      <c r="L35" s="57"/>
      <c r="M35" s="198"/>
      <c r="N35" s="195"/>
      <c r="O35" s="57"/>
      <c r="P35" s="57"/>
      <c r="Q35" s="57"/>
      <c r="R35" s="55"/>
      <c r="S35" s="152" t="str">
        <f>IF(COUNTA(F35:R35)=0,"",MAX(Data_emergency2[[#This Row],[Total Direct]],SUM(Data_emergency2[[#This Row],[Total male]:[Other/ 
Unknown]]),SUM(Data_emergency2[[#This Row],[Male &lt;5]:[Female 50+]]))+Data_emergency2[[#This Row],[Indirectly reached]])</f>
        <v/>
      </c>
      <c r="U35" s="6"/>
    </row>
    <row r="36" spans="1:21" ht="45" customHeight="1" x14ac:dyDescent="0.3">
      <c r="A36" s="6"/>
      <c r="B36" s="222" t="str">
        <f>IFERROR(_xlfn.XLOOKUP(Data_emergency2[[#This Row],[Indicator]],Final[Indicator Name],Final[KPI ID]),"")</f>
        <v/>
      </c>
      <c r="C36" s="161"/>
      <c r="D36" s="162"/>
      <c r="E36" s="37"/>
      <c r="F36" s="119"/>
      <c r="G36" s="56"/>
      <c r="H36" s="88"/>
      <c r="I36" s="89"/>
      <c r="J36" s="56"/>
      <c r="K36" s="57"/>
      <c r="L36" s="57"/>
      <c r="M36" s="198"/>
      <c r="N36" s="195"/>
      <c r="O36" s="57"/>
      <c r="P36" s="57"/>
      <c r="Q36" s="57"/>
      <c r="R36" s="55"/>
      <c r="S36" s="152" t="str">
        <f>IF(COUNTA(F36:R36)=0,"",MAX(Data_emergency2[[#This Row],[Total Direct]],SUM(Data_emergency2[[#This Row],[Total male]:[Other/ 
Unknown]]),SUM(Data_emergency2[[#This Row],[Male &lt;5]:[Female 50+]]))+Data_emergency2[[#This Row],[Indirectly reached]])</f>
        <v/>
      </c>
      <c r="U36" s="6"/>
    </row>
    <row r="37" spans="1:21" ht="45" customHeight="1" x14ac:dyDescent="0.3">
      <c r="A37" s="6"/>
      <c r="B37" s="222" t="str">
        <f>IFERROR(_xlfn.XLOOKUP(Data_emergency2[[#This Row],[Indicator]],Final[Indicator Name],Final[KPI ID]),"")</f>
        <v/>
      </c>
      <c r="C37" s="161"/>
      <c r="D37" s="162"/>
      <c r="E37" s="37"/>
      <c r="F37" s="119"/>
      <c r="G37" s="56"/>
      <c r="H37" s="88"/>
      <c r="I37" s="89"/>
      <c r="J37" s="56"/>
      <c r="K37" s="57"/>
      <c r="L37" s="57"/>
      <c r="M37" s="198"/>
      <c r="N37" s="195"/>
      <c r="O37" s="57"/>
      <c r="P37" s="57"/>
      <c r="Q37" s="57"/>
      <c r="R37" s="55"/>
      <c r="S37" s="152" t="str">
        <f>IF(COUNTA(F37:R37)=0,"",MAX(Data_emergency2[[#This Row],[Total Direct]],SUM(Data_emergency2[[#This Row],[Total male]:[Other/ 
Unknown]]),SUM(Data_emergency2[[#This Row],[Male &lt;5]:[Female 50+]]))+Data_emergency2[[#This Row],[Indirectly reached]])</f>
        <v/>
      </c>
      <c r="U37" s="6"/>
    </row>
    <row r="38" spans="1:21" ht="45" customHeight="1" x14ac:dyDescent="0.3">
      <c r="A38" s="6"/>
      <c r="B38" s="222" t="str">
        <f>IFERROR(_xlfn.XLOOKUP(Data_emergency2[[#This Row],[Indicator]],Final[Indicator Name],Final[KPI ID]),"")</f>
        <v/>
      </c>
      <c r="C38" s="161"/>
      <c r="D38" s="162"/>
      <c r="E38" s="37"/>
      <c r="F38" s="119"/>
      <c r="G38" s="56"/>
      <c r="H38" s="88"/>
      <c r="I38" s="89"/>
      <c r="J38" s="56"/>
      <c r="K38" s="57"/>
      <c r="L38" s="57"/>
      <c r="M38" s="198"/>
      <c r="N38" s="195"/>
      <c r="O38" s="57"/>
      <c r="P38" s="57"/>
      <c r="Q38" s="57"/>
      <c r="R38" s="55"/>
      <c r="S38" s="152" t="str">
        <f>IF(COUNTA(F38:R38)=0,"",MAX(Data_emergency2[[#This Row],[Total Direct]],SUM(Data_emergency2[[#This Row],[Total male]:[Other/ 
Unknown]]),SUM(Data_emergency2[[#This Row],[Male &lt;5]:[Female 50+]]))+Data_emergency2[[#This Row],[Indirectly reached]])</f>
        <v/>
      </c>
      <c r="U38" s="6"/>
    </row>
    <row r="39" spans="1:21" ht="45" customHeight="1" x14ac:dyDescent="0.3">
      <c r="A39" s="6"/>
      <c r="B39" s="222" t="str">
        <f>IFERROR(_xlfn.XLOOKUP(Data_emergency2[[#This Row],[Indicator]],Final[Indicator Name],Final[KPI ID]),"")</f>
        <v/>
      </c>
      <c r="C39" s="161"/>
      <c r="D39" s="162"/>
      <c r="E39" s="37"/>
      <c r="F39" s="119"/>
      <c r="G39" s="56"/>
      <c r="H39" s="88"/>
      <c r="I39" s="89"/>
      <c r="J39" s="56"/>
      <c r="K39" s="57"/>
      <c r="L39" s="57"/>
      <c r="M39" s="198"/>
      <c r="N39" s="195"/>
      <c r="O39" s="57"/>
      <c r="P39" s="57"/>
      <c r="Q39" s="57"/>
      <c r="R39" s="55"/>
      <c r="S39" s="152" t="str">
        <f>IF(COUNTA(F39:R39)=0,"",MAX(Data_emergency2[[#This Row],[Total Direct]],SUM(Data_emergency2[[#This Row],[Total male]:[Other/ 
Unknown]]),SUM(Data_emergency2[[#This Row],[Male &lt;5]:[Female 50+]]))+Data_emergency2[[#This Row],[Indirectly reached]])</f>
        <v/>
      </c>
      <c r="U39" s="6"/>
    </row>
    <row r="40" spans="1:21" ht="45" customHeight="1" x14ac:dyDescent="0.3">
      <c r="A40" s="6"/>
      <c r="B40" s="222" t="str">
        <f>IFERROR(_xlfn.XLOOKUP(Data_emergency2[[#This Row],[Indicator]],Final[Indicator Name],Final[KPI ID]),"")</f>
        <v/>
      </c>
      <c r="C40" s="161"/>
      <c r="D40" s="162"/>
      <c r="E40" s="37"/>
      <c r="F40" s="119"/>
      <c r="G40" s="56"/>
      <c r="H40" s="88"/>
      <c r="I40" s="89"/>
      <c r="J40" s="56"/>
      <c r="K40" s="57"/>
      <c r="L40" s="57"/>
      <c r="M40" s="198"/>
      <c r="N40" s="195"/>
      <c r="O40" s="57"/>
      <c r="P40" s="57"/>
      <c r="Q40" s="57"/>
      <c r="R40" s="55"/>
      <c r="S40" s="152" t="str">
        <f>IF(COUNTA(F40:R40)=0,"",MAX(Data_emergency2[[#This Row],[Total Direct]],SUM(Data_emergency2[[#This Row],[Total male]:[Other/ 
Unknown]]),SUM(Data_emergency2[[#This Row],[Male &lt;5]:[Female 50+]]))+Data_emergency2[[#This Row],[Indirectly reached]])</f>
        <v/>
      </c>
      <c r="U40" s="6"/>
    </row>
    <row r="41" spans="1:21" ht="45" customHeight="1" x14ac:dyDescent="0.3">
      <c r="A41" s="6"/>
      <c r="B41" s="222" t="str">
        <f>IFERROR(_xlfn.XLOOKUP(Data_emergency2[[#This Row],[Indicator]],Final[Indicator Name],Final[KPI ID]),"")</f>
        <v/>
      </c>
      <c r="C41" s="161"/>
      <c r="D41" s="162"/>
      <c r="E41" s="37"/>
      <c r="F41" s="119"/>
      <c r="G41" s="56"/>
      <c r="H41" s="88"/>
      <c r="I41" s="89"/>
      <c r="J41" s="56"/>
      <c r="K41" s="57"/>
      <c r="L41" s="57"/>
      <c r="M41" s="198"/>
      <c r="N41" s="195"/>
      <c r="O41" s="57"/>
      <c r="P41" s="57"/>
      <c r="Q41" s="57"/>
      <c r="R41" s="55"/>
      <c r="S41" s="152" t="str">
        <f>IF(COUNTA(F41:R41)=0,"",MAX(Data_emergency2[[#This Row],[Total Direct]],SUM(Data_emergency2[[#This Row],[Total male]:[Other/ 
Unknown]]),SUM(Data_emergency2[[#This Row],[Male &lt;5]:[Female 50+]]))+Data_emergency2[[#This Row],[Indirectly reached]])</f>
        <v/>
      </c>
      <c r="U41" s="6"/>
    </row>
    <row r="42" spans="1:21" ht="45" customHeight="1" x14ac:dyDescent="0.3">
      <c r="A42" s="6"/>
      <c r="B42" s="222" t="str">
        <f>IFERROR(_xlfn.XLOOKUP(Data_emergency2[[#This Row],[Indicator]],Final[Indicator Name],Final[KPI ID]),"")</f>
        <v/>
      </c>
      <c r="C42" s="161"/>
      <c r="D42" s="162"/>
      <c r="E42" s="37"/>
      <c r="F42" s="119"/>
      <c r="G42" s="56"/>
      <c r="H42" s="88"/>
      <c r="I42" s="89"/>
      <c r="J42" s="56"/>
      <c r="K42" s="57"/>
      <c r="L42" s="57"/>
      <c r="M42" s="198"/>
      <c r="N42" s="195"/>
      <c r="O42" s="57"/>
      <c r="P42" s="57"/>
      <c r="Q42" s="57"/>
      <c r="R42" s="55"/>
      <c r="S42" s="152" t="str">
        <f>IF(COUNTA(F42:R42)=0,"",MAX(Data_emergency2[[#This Row],[Total Direct]],SUM(Data_emergency2[[#This Row],[Total male]:[Other/ 
Unknown]]),SUM(Data_emergency2[[#This Row],[Male &lt;5]:[Female 50+]]))+Data_emergency2[[#This Row],[Indirectly reached]])</f>
        <v/>
      </c>
      <c r="U42" s="6"/>
    </row>
    <row r="43" spans="1:21" ht="45" customHeight="1" x14ac:dyDescent="0.3">
      <c r="A43" s="6"/>
      <c r="B43" s="222" t="str">
        <f>IFERROR(_xlfn.XLOOKUP(Data_emergency2[[#This Row],[Indicator]],Final[Indicator Name],Final[KPI ID]),"")</f>
        <v/>
      </c>
      <c r="C43" s="161"/>
      <c r="D43" s="162"/>
      <c r="E43" s="37"/>
      <c r="F43" s="119"/>
      <c r="G43" s="56"/>
      <c r="H43" s="88"/>
      <c r="I43" s="89"/>
      <c r="J43" s="56"/>
      <c r="K43" s="57"/>
      <c r="L43" s="57"/>
      <c r="M43" s="198"/>
      <c r="N43" s="195"/>
      <c r="O43" s="57"/>
      <c r="P43" s="57"/>
      <c r="Q43" s="57"/>
      <c r="R43" s="55"/>
      <c r="S43" s="152" t="str">
        <f>IF(COUNTA(F43:R43)=0,"",MAX(Data_emergency2[[#This Row],[Total Direct]],SUM(Data_emergency2[[#This Row],[Total male]:[Other/ 
Unknown]]),SUM(Data_emergency2[[#This Row],[Male &lt;5]:[Female 50+]]))+Data_emergency2[[#This Row],[Indirectly reached]])</f>
        <v/>
      </c>
      <c r="U43" s="6"/>
    </row>
    <row r="44" spans="1:21" ht="45" customHeight="1" x14ac:dyDescent="0.3">
      <c r="A44" s="6"/>
      <c r="B44" s="222" t="str">
        <f>IFERROR(_xlfn.XLOOKUP(Data_emergency2[[#This Row],[Indicator]],Final[Indicator Name],Final[KPI ID]),"")</f>
        <v/>
      </c>
      <c r="C44" s="161"/>
      <c r="D44" s="162"/>
      <c r="E44" s="37"/>
      <c r="F44" s="119"/>
      <c r="G44" s="56"/>
      <c r="H44" s="88"/>
      <c r="I44" s="89"/>
      <c r="J44" s="56"/>
      <c r="K44" s="57"/>
      <c r="L44" s="57"/>
      <c r="M44" s="198"/>
      <c r="N44" s="195"/>
      <c r="O44" s="57"/>
      <c r="P44" s="57"/>
      <c r="Q44" s="57"/>
      <c r="R44" s="55"/>
      <c r="S44" s="152" t="str">
        <f>IF(COUNTA(F44:R44)=0,"",MAX(Data_emergency2[[#This Row],[Total Direct]],SUM(Data_emergency2[[#This Row],[Total male]:[Other/ 
Unknown]]),SUM(Data_emergency2[[#This Row],[Male &lt;5]:[Female 50+]]))+Data_emergency2[[#This Row],[Indirectly reached]])</f>
        <v/>
      </c>
      <c r="U44" s="6"/>
    </row>
    <row r="45" spans="1:21" ht="45" customHeight="1" x14ac:dyDescent="0.3">
      <c r="A45" s="6"/>
      <c r="B45" s="222" t="str">
        <f>IFERROR(_xlfn.XLOOKUP(Data_emergency2[[#This Row],[Indicator]],Final[Indicator Name],Final[KPI ID]),"")</f>
        <v/>
      </c>
      <c r="C45" s="161"/>
      <c r="D45" s="162"/>
      <c r="E45" s="37"/>
      <c r="F45" s="119"/>
      <c r="G45" s="56"/>
      <c r="H45" s="88"/>
      <c r="I45" s="89"/>
      <c r="J45" s="56"/>
      <c r="K45" s="57"/>
      <c r="L45" s="57"/>
      <c r="M45" s="198"/>
      <c r="N45" s="195"/>
      <c r="O45" s="57"/>
      <c r="P45" s="57"/>
      <c r="Q45" s="57"/>
      <c r="R45" s="55"/>
      <c r="S45" s="152" t="str">
        <f>IF(COUNTA(F45:R45)=0,"",MAX(Data_emergency2[[#This Row],[Total Direct]],SUM(Data_emergency2[[#This Row],[Total male]:[Other/ 
Unknown]]),SUM(Data_emergency2[[#This Row],[Male &lt;5]:[Female 50+]]))+Data_emergency2[[#This Row],[Indirectly reached]])</f>
        <v/>
      </c>
      <c r="U45" s="6"/>
    </row>
    <row r="46" spans="1:21" ht="45" customHeight="1" x14ac:dyDescent="0.3">
      <c r="A46" s="6"/>
      <c r="B46" s="222" t="str">
        <f>IFERROR(_xlfn.XLOOKUP(Data_emergency2[[#This Row],[Indicator]],Final[Indicator Name],Final[KPI ID]),"")</f>
        <v/>
      </c>
      <c r="C46" s="161"/>
      <c r="D46" s="162"/>
      <c r="E46" s="37"/>
      <c r="F46" s="119"/>
      <c r="G46" s="56"/>
      <c r="H46" s="88"/>
      <c r="I46" s="89"/>
      <c r="J46" s="56"/>
      <c r="K46" s="57"/>
      <c r="L46" s="57"/>
      <c r="M46" s="198"/>
      <c r="N46" s="195"/>
      <c r="O46" s="57"/>
      <c r="P46" s="57"/>
      <c r="Q46" s="57"/>
      <c r="R46" s="55"/>
      <c r="S46" s="152" t="str">
        <f>IF(COUNTA(F46:R46)=0,"",MAX(Data_emergency2[[#This Row],[Total Direct]],SUM(Data_emergency2[[#This Row],[Total male]:[Other/ 
Unknown]]),SUM(Data_emergency2[[#This Row],[Male &lt;5]:[Female 50+]]))+Data_emergency2[[#This Row],[Indirectly reached]])</f>
        <v/>
      </c>
      <c r="U46" s="6"/>
    </row>
    <row r="47" spans="1:21" ht="45" customHeight="1" x14ac:dyDescent="0.3">
      <c r="A47" s="6"/>
      <c r="B47" s="222" t="str">
        <f>IFERROR(_xlfn.XLOOKUP(Data_emergency2[[#This Row],[Indicator]],Final[Indicator Name],Final[KPI ID]),"")</f>
        <v/>
      </c>
      <c r="C47" s="161"/>
      <c r="D47" s="162"/>
      <c r="E47" s="37"/>
      <c r="F47" s="119"/>
      <c r="G47" s="56"/>
      <c r="H47" s="88"/>
      <c r="I47" s="89"/>
      <c r="J47" s="56"/>
      <c r="K47" s="57"/>
      <c r="L47" s="57"/>
      <c r="M47" s="198"/>
      <c r="N47" s="195"/>
      <c r="O47" s="57"/>
      <c r="P47" s="57"/>
      <c r="Q47" s="57"/>
      <c r="R47" s="55"/>
      <c r="S47" s="152" t="str">
        <f>IF(COUNTA(F47:R47)=0,"",MAX(Data_emergency2[[#This Row],[Total Direct]],SUM(Data_emergency2[[#This Row],[Total male]:[Other/ 
Unknown]]),SUM(Data_emergency2[[#This Row],[Male &lt;5]:[Female 50+]]))+Data_emergency2[[#This Row],[Indirectly reached]])</f>
        <v/>
      </c>
      <c r="U47" s="6"/>
    </row>
    <row r="48" spans="1:21" ht="45" customHeight="1" x14ac:dyDescent="0.3">
      <c r="A48" s="6"/>
      <c r="B48" s="222" t="str">
        <f>IFERROR(_xlfn.XLOOKUP(Data_emergency2[[#This Row],[Indicator]],Final[Indicator Name],Final[KPI ID]),"")</f>
        <v/>
      </c>
      <c r="C48" s="161"/>
      <c r="D48" s="162"/>
      <c r="E48" s="37"/>
      <c r="F48" s="119"/>
      <c r="G48" s="56"/>
      <c r="H48" s="88"/>
      <c r="I48" s="89"/>
      <c r="J48" s="56"/>
      <c r="K48" s="57"/>
      <c r="L48" s="57"/>
      <c r="M48" s="198"/>
      <c r="N48" s="195"/>
      <c r="O48" s="57"/>
      <c r="P48" s="57"/>
      <c r="Q48" s="57"/>
      <c r="R48" s="55"/>
      <c r="S48" s="152" t="str">
        <f>IF(COUNTA(F48:R48)=0,"",MAX(Data_emergency2[[#This Row],[Total Direct]],SUM(Data_emergency2[[#This Row],[Total male]:[Other/ 
Unknown]]),SUM(Data_emergency2[[#This Row],[Male &lt;5]:[Female 50+]]))+Data_emergency2[[#This Row],[Indirectly reached]])</f>
        <v/>
      </c>
      <c r="U48" s="6"/>
    </row>
    <row r="49" spans="1:21" ht="45" customHeight="1" x14ac:dyDescent="0.3">
      <c r="A49" s="6"/>
      <c r="B49" s="222" t="str">
        <f>IFERROR(_xlfn.XLOOKUP(Data_emergency2[[#This Row],[Indicator]],Final[Indicator Name],Final[KPI ID]),"")</f>
        <v/>
      </c>
      <c r="C49" s="161"/>
      <c r="D49" s="162"/>
      <c r="E49" s="37"/>
      <c r="F49" s="119"/>
      <c r="G49" s="56"/>
      <c r="H49" s="88"/>
      <c r="I49" s="89"/>
      <c r="J49" s="56"/>
      <c r="K49" s="57"/>
      <c r="L49" s="57"/>
      <c r="M49" s="198"/>
      <c r="N49" s="195"/>
      <c r="O49" s="57"/>
      <c r="P49" s="57"/>
      <c r="Q49" s="57"/>
      <c r="R49" s="55"/>
      <c r="S49" s="152" t="str">
        <f>IF(COUNTA(F49:R49)=0,"",MAX(Data_emergency2[[#This Row],[Total Direct]],SUM(Data_emergency2[[#This Row],[Total male]:[Other/ 
Unknown]]),SUM(Data_emergency2[[#This Row],[Male &lt;5]:[Female 50+]]))+Data_emergency2[[#This Row],[Indirectly reached]])</f>
        <v/>
      </c>
      <c r="U49" s="6"/>
    </row>
    <row r="50" spans="1:21" ht="45" customHeight="1" x14ac:dyDescent="0.3">
      <c r="A50" s="6"/>
      <c r="B50" s="222" t="str">
        <f>IFERROR(_xlfn.XLOOKUP(Data_emergency2[[#This Row],[Indicator]],Final[Indicator Name],Final[KPI ID]),"")</f>
        <v/>
      </c>
      <c r="C50" s="161"/>
      <c r="D50" s="162"/>
      <c r="E50" s="37"/>
      <c r="F50" s="119"/>
      <c r="G50" s="56"/>
      <c r="H50" s="88"/>
      <c r="I50" s="89"/>
      <c r="J50" s="56"/>
      <c r="K50" s="57"/>
      <c r="L50" s="57"/>
      <c r="M50" s="198"/>
      <c r="N50" s="195"/>
      <c r="O50" s="57"/>
      <c r="P50" s="57"/>
      <c r="Q50" s="57"/>
      <c r="R50" s="55"/>
      <c r="S50" s="152" t="str">
        <f>IF(COUNTA(F50:R50)=0,"",MAX(Data_emergency2[[#This Row],[Total Direct]],SUM(Data_emergency2[[#This Row],[Total male]:[Other/ 
Unknown]]),SUM(Data_emergency2[[#This Row],[Male &lt;5]:[Female 50+]]))+Data_emergency2[[#This Row],[Indirectly reached]])</f>
        <v/>
      </c>
      <c r="U50" s="6"/>
    </row>
    <row r="51" spans="1:21" ht="45" customHeight="1" x14ac:dyDescent="0.3">
      <c r="A51" s="6"/>
      <c r="B51" s="222" t="str">
        <f>IFERROR(_xlfn.XLOOKUP(Data_emergency2[[#This Row],[Indicator]],Final[Indicator Name],Final[KPI ID]),"")</f>
        <v/>
      </c>
      <c r="C51" s="161"/>
      <c r="D51" s="162"/>
      <c r="E51" s="37"/>
      <c r="F51" s="119"/>
      <c r="G51" s="56"/>
      <c r="H51" s="88"/>
      <c r="I51" s="89"/>
      <c r="J51" s="56"/>
      <c r="K51" s="57"/>
      <c r="L51" s="57"/>
      <c r="M51" s="198"/>
      <c r="N51" s="195"/>
      <c r="O51" s="57"/>
      <c r="P51" s="57"/>
      <c r="Q51" s="57"/>
      <c r="R51" s="55"/>
      <c r="S51" s="152" t="str">
        <f>IF(COUNTA(F51:R51)=0,"",MAX(Data_emergency2[[#This Row],[Total Direct]],SUM(Data_emergency2[[#This Row],[Total male]:[Other/ 
Unknown]]),SUM(Data_emergency2[[#This Row],[Male &lt;5]:[Female 50+]]))+Data_emergency2[[#This Row],[Indirectly reached]])</f>
        <v/>
      </c>
      <c r="U51" s="6"/>
    </row>
    <row r="52" spans="1:21" ht="45" customHeight="1" x14ac:dyDescent="0.3">
      <c r="A52" s="6"/>
      <c r="B52" s="222" t="str">
        <f>IFERROR(_xlfn.XLOOKUP(Data_emergency2[[#This Row],[Indicator]],Final[Indicator Name],Final[KPI ID]),"")</f>
        <v/>
      </c>
      <c r="C52" s="161"/>
      <c r="D52" s="162"/>
      <c r="E52" s="37"/>
      <c r="F52" s="119"/>
      <c r="G52" s="56"/>
      <c r="H52" s="88"/>
      <c r="I52" s="89"/>
      <c r="J52" s="56"/>
      <c r="K52" s="57"/>
      <c r="L52" s="57"/>
      <c r="M52" s="198"/>
      <c r="N52" s="195"/>
      <c r="O52" s="57"/>
      <c r="P52" s="57"/>
      <c r="Q52" s="57"/>
      <c r="R52" s="55"/>
      <c r="S52" s="152" t="str">
        <f>IF(COUNTA(F52:R52)=0,"",MAX(Data_emergency2[[#This Row],[Total Direct]],SUM(Data_emergency2[[#This Row],[Total male]:[Other/ 
Unknown]]),SUM(Data_emergency2[[#This Row],[Male &lt;5]:[Female 50+]]))+Data_emergency2[[#This Row],[Indirectly reached]])</f>
        <v/>
      </c>
      <c r="U52" s="6"/>
    </row>
    <row r="53" spans="1:21" ht="45" customHeight="1" x14ac:dyDescent="0.3">
      <c r="A53" s="6"/>
      <c r="B53" s="222" t="str">
        <f>IFERROR(_xlfn.XLOOKUP(Data_emergency2[[#This Row],[Indicator]],Final[Indicator Name],Final[KPI ID]),"")</f>
        <v/>
      </c>
      <c r="C53" s="161"/>
      <c r="D53" s="162"/>
      <c r="E53" s="37"/>
      <c r="F53" s="119"/>
      <c r="G53" s="56"/>
      <c r="H53" s="88"/>
      <c r="I53" s="89"/>
      <c r="J53" s="56"/>
      <c r="K53" s="57"/>
      <c r="L53" s="57"/>
      <c r="M53" s="198"/>
      <c r="N53" s="195"/>
      <c r="O53" s="57"/>
      <c r="P53" s="57"/>
      <c r="Q53" s="57"/>
      <c r="R53" s="55"/>
      <c r="S53" s="152" t="str">
        <f>IF(COUNTA(F53:R53)=0,"",MAX(Data_emergency2[[#This Row],[Total Direct]],SUM(Data_emergency2[[#This Row],[Total male]:[Other/ 
Unknown]]),SUM(Data_emergency2[[#This Row],[Male &lt;5]:[Female 50+]]))+Data_emergency2[[#This Row],[Indirectly reached]])</f>
        <v/>
      </c>
      <c r="U53" s="6"/>
    </row>
    <row r="54" spans="1:21" ht="19.2" customHeight="1" x14ac:dyDescent="0.3">
      <c r="A54" s="6"/>
      <c r="B54" s="6"/>
      <c r="C54" s="6"/>
      <c r="D54" s="6"/>
      <c r="E54" s="6"/>
      <c r="F54" s="6"/>
      <c r="G54" s="6"/>
      <c r="H54" s="6"/>
      <c r="I54" s="6"/>
      <c r="J54" s="6"/>
      <c r="K54" s="6"/>
      <c r="L54" s="6"/>
      <c r="M54" s="6"/>
      <c r="N54" s="6"/>
      <c r="O54" s="6"/>
      <c r="P54" s="6"/>
    </row>
    <row r="55" spans="1:21" x14ac:dyDescent="0.3"/>
    <row r="56" spans="1:21" x14ac:dyDescent="0.3"/>
    <row r="57" spans="1:21" x14ac:dyDescent="0.3"/>
    <row r="58" spans="1:21" x14ac:dyDescent="0.3"/>
    <row r="59" spans="1:21" x14ac:dyDescent="0.3"/>
    <row r="60" spans="1:21" x14ac:dyDescent="0.3"/>
    <row r="61" spans="1:21" x14ac:dyDescent="0.3"/>
    <row r="62" spans="1:21" x14ac:dyDescent="0.3"/>
    <row r="63" spans="1:21" x14ac:dyDescent="0.3"/>
    <row r="64" spans="1:21"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sheetData>
  <sheetProtection algorithmName="SHA-512" hashValue="iWjIHFakAFuzFN4YhQEBX+B13/+TQI45uHrk2J7qxz+Blo9g141iXPBYe336bzOqA9I5PNfk/gexHV8JXCKYow==" saltValue="gdWOpfXp/cGOSR0DsiZpoQ==" spinCount="100000" sheet="1" objects="1" scenarios="1"/>
  <mergeCells count="2">
    <mergeCell ref="D3:I3"/>
    <mergeCell ref="F5:Q5"/>
  </mergeCells>
  <conditionalFormatting sqref="A1:P1">
    <cfRule type="expression" dxfId="13" priority="89">
      <formula>Data_Country=""</formula>
    </cfRule>
  </conditionalFormatting>
  <conditionalFormatting sqref="D7:D53">
    <cfRule type="duplicateValues" dxfId="12" priority="213"/>
  </conditionalFormatting>
  <conditionalFormatting sqref="F7:R53">
    <cfRule type="expression" dxfId="11" priority="1">
      <formula>$E7&lt;&gt;"Applicable"</formula>
    </cfRule>
  </conditionalFormatting>
  <conditionalFormatting sqref="S7:S53">
    <cfRule type="expression" dxfId="10" priority="117">
      <formula>$E7&lt;&gt;"Applicable"</formula>
    </cfRule>
  </conditionalFormatting>
  <dataValidations count="8">
    <dataValidation allowBlank="1" showErrorMessage="1" prompt="1. This uses &quot;Total direct&quot; if not empty._x000a_2. Otherwise, it uses &quot;Total male&quot; and &quot;Total female&quot; if not empty._x000a_3. If none of the above is available, it uses &quot;sex age disaggregation&quot; data." sqref="S6" xr:uid="{72CEBAE6-B5E0-4056-B598-4911EF066294}"/>
    <dataValidation type="whole" allowBlank="1" showInputMessage="1" showErrorMessage="1" sqref="G22:R53 G11:Q20 R11:R17 R20 F7:R9 F11:F53" xr:uid="{B5B3F4A8-23D2-4447-8426-546270D605E0}">
      <formula1>0</formula1>
      <formula2>100000000</formula2>
    </dataValidation>
    <dataValidation type="list" allowBlank="1" showInputMessage="1" showErrorMessage="1" sqref="C24:C53" xr:uid="{9DB16146-B66C-435E-9754-154950C66A18}">
      <formula1>SPs</formula1>
    </dataValidation>
    <dataValidation allowBlank="1" showErrorMessage="1" promptTitle="Formula calculation" prompt="1. This uses &quot;Total direct&quot; if not empty._x000a_2. Otherwise, it uses &quot;Total male&quot; and &quot;Total female&quot; if not empty._x000a_3. If none of the above is available, it uses &quot;sex age disaggregation&quot; data." sqref="S7:S53" xr:uid="{17084768-E915-4C43-9A08-9A5945F397CF}"/>
    <dataValidation type="list" allowBlank="1" showInputMessage="1" showErrorMessage="1" prompt="If an indicator is applicable but you don't have the data, you have the option to select 'Applicable- data not available'." sqref="E7:E53" xr:uid="{D0910674-2977-4D97-BB55-4EADC46E15D0}">
      <formula1>"Applicable,Applicable- data not available"</formula1>
    </dataValidation>
    <dataValidation type="decimal" allowBlank="1" showInputMessage="1" showErrorMessage="1" sqref="F10" xr:uid="{72DDEB1A-6D9E-4D7A-BFCC-04A3082A1994}">
      <formula1>0</formula1>
      <formula2>1</formula2>
    </dataValidation>
    <dataValidation type="list" allowBlank="1" showInputMessage="1" showErrorMessage="1" sqref="D24:D53" xr:uid="{BA12CC17-F021-4F28-B88F-045944FD315B}">
      <formula1>OFFSET(_Indicator, MATCH($C24, _SP, 0) - 1, 0, COUNTIF(_SP, $C24), 1)</formula1>
    </dataValidation>
    <dataValidation type="whole" operator="equal" allowBlank="1" showInputMessage="1" showErrorMessage="1" sqref="G10:R10 R18:R19 G21:R21" xr:uid="{4A474B8B-0C7F-4A09-9471-73967D2A0B62}">
      <formula1>90</formula1>
    </dataValidation>
  </dataValidations>
  <pageMargins left="0.7" right="0.7" top="0.75" bottom="0.75" header="0.3" footer="0.3"/>
  <headerFooter>
    <oddFooter>&amp;L_x000D_&amp;1#&amp;"Calibri"&amp;10&amp;K000000 Public</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7C5E-5A22-40F9-8D05-2009570D4B38}">
  <sheetPr codeName="Sheet10"/>
  <dimension ref="A1:V77"/>
  <sheetViews>
    <sheetView zoomScaleNormal="100" workbookViewId="0">
      <selection activeCell="E7" sqref="E7"/>
    </sheetView>
  </sheetViews>
  <sheetFormatPr defaultColWidth="0" defaultRowHeight="14.4" zeroHeight="1" x14ac:dyDescent="0.3"/>
  <cols>
    <col min="1" max="1" width="3.33203125" customWidth="1"/>
    <col min="2" max="2" width="8" hidden="1" customWidth="1"/>
    <col min="3" max="3" width="32.6640625" customWidth="1"/>
    <col min="4" max="4" width="62.6640625" customWidth="1"/>
    <col min="5" max="5" width="18.77734375" customWidth="1"/>
    <col min="6" max="19" width="15.77734375" customWidth="1"/>
    <col min="20" max="20" width="8" style="6" customWidth="1"/>
    <col min="21" max="21" width="13.6640625" hidden="1" customWidth="1"/>
    <col min="22" max="22" width="12.33203125" hidden="1" customWidth="1"/>
    <col min="23" max="16384" width="1.6640625" hidden="1"/>
  </cols>
  <sheetData>
    <row r="1" spans="1:22" ht="22.95" customHeight="1" x14ac:dyDescent="0.3">
      <c r="A1" s="48"/>
      <c r="B1" s="48"/>
      <c r="C1" s="130" t="str">
        <f>IF(Data_Country="","Please select your country at the Start page","2026 Midyear Reporting: "&amp;Data_Country)</f>
        <v>2026 Midyear Reporting: Afghanistan</v>
      </c>
      <c r="D1" s="48"/>
      <c r="E1" s="48"/>
      <c r="F1" s="48"/>
      <c r="G1" s="48"/>
      <c r="H1" s="48"/>
      <c r="I1" s="48"/>
      <c r="J1" s="48"/>
      <c r="K1" s="48"/>
      <c r="L1" s="48"/>
      <c r="M1" s="48"/>
      <c r="N1" s="48"/>
      <c r="O1" s="48"/>
      <c r="P1" s="48"/>
      <c r="Q1" s="48"/>
      <c r="R1" s="48"/>
      <c r="S1" s="48"/>
    </row>
    <row r="2" spans="1:22" ht="43.95" customHeight="1" x14ac:dyDescent="0.3">
      <c r="A2" s="6"/>
      <c r="B2" s="6"/>
      <c r="C2" s="47"/>
      <c r="D2" s="6"/>
      <c r="E2" s="6"/>
      <c r="F2" s="6"/>
      <c r="G2" s="6"/>
      <c r="H2" s="46" t="str">
        <f>IF(AND(Data_EO3="",Data_MDR3=""),"Emergency Appeal 3 Indicators",
IF(AND(Data_EO3&lt;&gt;"",Data_MDR3&lt;&gt;""),Data_EO3&amp;" ("&amp;Data_MDR3&amp;") indicators",
IF(Data_EO3&lt;&gt;"",Data_EO3&amp;" indicators",
IF(Data_MDR3&lt;&gt;"",Data_MDR3&amp;" indicators"))))</f>
        <v>Emergency Appeal 3 Indicators</v>
      </c>
      <c r="I2" s="6"/>
      <c r="J2" s="6"/>
      <c r="K2" s="6"/>
      <c r="L2" s="6"/>
      <c r="M2" s="6"/>
      <c r="N2" s="6"/>
      <c r="O2" s="6"/>
      <c r="P2" s="6"/>
      <c r="Q2" s="6"/>
      <c r="R2" s="6"/>
      <c r="S2" s="6"/>
    </row>
    <row r="3" spans="1:22" ht="35.700000000000003" customHeight="1" x14ac:dyDescent="0.3">
      <c r="A3" s="6"/>
      <c r="B3" s="6"/>
      <c r="C3" s="6"/>
      <c r="D3" s="267" t="s">
        <v>1479</v>
      </c>
      <c r="E3" s="268"/>
      <c r="F3" s="268"/>
      <c r="G3" s="268"/>
      <c r="H3" s="268"/>
      <c r="I3" s="268"/>
      <c r="J3" s="6"/>
      <c r="K3" s="6"/>
      <c r="L3" s="6"/>
      <c r="M3" s="6"/>
      <c r="N3" s="6"/>
      <c r="O3" s="6"/>
      <c r="P3" s="6"/>
      <c r="Q3" s="6"/>
      <c r="R3" s="6"/>
      <c r="S3" s="6"/>
    </row>
    <row r="4" spans="1:22" ht="15" thickBot="1" x14ac:dyDescent="0.35">
      <c r="A4" s="6"/>
      <c r="B4" s="6"/>
      <c r="C4" s="6"/>
      <c r="D4" s="6"/>
      <c r="E4" s="29"/>
      <c r="F4" s="29"/>
      <c r="G4" s="90"/>
      <c r="H4" s="90"/>
      <c r="I4" s="90"/>
      <c r="J4" s="90"/>
      <c r="K4" s="90"/>
      <c r="L4" s="90"/>
      <c r="M4" s="90"/>
      <c r="N4" s="90"/>
      <c r="O4" s="90"/>
      <c r="P4" s="90"/>
      <c r="Q4" s="6"/>
    </row>
    <row r="5" spans="1:22" ht="28.2" customHeight="1" thickBot="1" x14ac:dyDescent="0.35">
      <c r="A5" s="6"/>
      <c r="B5" s="6"/>
      <c r="C5" s="6"/>
      <c r="D5" s="6"/>
      <c r="E5" s="29"/>
      <c r="F5" s="273" t="s">
        <v>566</v>
      </c>
      <c r="G5" s="274"/>
      <c r="H5" s="274"/>
      <c r="I5" s="274"/>
      <c r="J5" s="274"/>
      <c r="K5" s="274"/>
      <c r="L5" s="274"/>
      <c r="M5" s="274"/>
      <c r="N5" s="274"/>
      <c r="O5" s="274"/>
      <c r="P5" s="274"/>
      <c r="Q5" s="277"/>
      <c r="R5" s="91" t="s">
        <v>567</v>
      </c>
      <c r="S5" s="58" t="s">
        <v>568</v>
      </c>
    </row>
    <row r="6" spans="1:22" ht="43.95" customHeight="1" x14ac:dyDescent="0.3">
      <c r="A6" s="6"/>
      <c r="B6" s="41" t="s">
        <v>1656</v>
      </c>
      <c r="C6" s="59" t="s">
        <v>569</v>
      </c>
      <c r="D6" s="60" t="s">
        <v>18</v>
      </c>
      <c r="E6" s="38" t="s">
        <v>570</v>
      </c>
      <c r="F6" s="39" t="s">
        <v>571</v>
      </c>
      <c r="G6" s="40" t="s">
        <v>572</v>
      </c>
      <c r="H6" s="191" t="s">
        <v>573</v>
      </c>
      <c r="I6" s="192" t="s">
        <v>574</v>
      </c>
      <c r="J6" s="193" t="s">
        <v>1646</v>
      </c>
      <c r="K6" s="193" t="s">
        <v>1647</v>
      </c>
      <c r="L6" s="193" t="s">
        <v>1648</v>
      </c>
      <c r="M6" s="197" t="s">
        <v>1649</v>
      </c>
      <c r="N6" s="194" t="s">
        <v>1650</v>
      </c>
      <c r="O6" s="193" t="s">
        <v>1651</v>
      </c>
      <c r="P6" s="193" t="s">
        <v>1652</v>
      </c>
      <c r="Q6" s="193" t="s">
        <v>1653</v>
      </c>
      <c r="R6" s="39" t="s">
        <v>1536</v>
      </c>
      <c r="S6" s="42" t="s">
        <v>575</v>
      </c>
      <c r="U6" s="6"/>
    </row>
    <row r="7" spans="1:22" ht="43.95" customHeight="1" x14ac:dyDescent="0.3">
      <c r="A7" s="6"/>
      <c r="B7" s="217">
        <v>754</v>
      </c>
      <c r="C7" s="149" t="s">
        <v>576</v>
      </c>
      <c r="D7" s="150" t="s">
        <v>1540</v>
      </c>
      <c r="E7" s="37"/>
      <c r="F7" s="55"/>
      <c r="G7" s="56"/>
      <c r="H7" s="88"/>
      <c r="I7" s="89"/>
      <c r="J7" s="56"/>
      <c r="K7" s="57"/>
      <c r="L7" s="57"/>
      <c r="M7" s="198"/>
      <c r="N7" s="195"/>
      <c r="O7" s="57"/>
      <c r="P7" s="57"/>
      <c r="Q7" s="57"/>
      <c r="R7" s="55"/>
      <c r="S7" s="141" t="str">
        <f>IF(Data_emergency3[[#This Row],[Total Direct]]="","",Data_emergency3[[#This Row],[Total Direct]])</f>
        <v/>
      </c>
      <c r="U7" s="6"/>
    </row>
    <row r="8" spans="1:22" ht="43.95" customHeight="1" x14ac:dyDescent="0.3">
      <c r="A8" s="6"/>
      <c r="B8" s="218">
        <v>619</v>
      </c>
      <c r="C8" s="149" t="s">
        <v>576</v>
      </c>
      <c r="D8" s="150" t="s">
        <v>577</v>
      </c>
      <c r="E8" s="37"/>
      <c r="F8" s="55"/>
      <c r="G8" s="56"/>
      <c r="H8" s="88"/>
      <c r="I8" s="89"/>
      <c r="J8" s="56"/>
      <c r="K8" s="57"/>
      <c r="L8" s="57"/>
      <c r="M8" s="198"/>
      <c r="N8" s="195"/>
      <c r="O8" s="57"/>
      <c r="P8" s="57"/>
      <c r="Q8" s="57"/>
      <c r="R8" s="55"/>
      <c r="S8" s="141" t="str">
        <f>IF(Data_emergency3[[#This Row],[Total Direct]]="","",Data_emergency3[[#This Row],[Total Direct]])</f>
        <v/>
      </c>
      <c r="U8" s="6"/>
    </row>
    <row r="9" spans="1:22" ht="31.2" customHeight="1" x14ac:dyDescent="0.3">
      <c r="A9" s="6"/>
      <c r="B9" s="218">
        <v>618</v>
      </c>
      <c r="C9" s="149" t="s">
        <v>1537</v>
      </c>
      <c r="D9" s="150" t="s">
        <v>719</v>
      </c>
      <c r="E9" s="37"/>
      <c r="F9" s="55"/>
      <c r="G9" s="56"/>
      <c r="H9" s="88"/>
      <c r="I9" s="89"/>
      <c r="J9" s="56"/>
      <c r="K9" s="57"/>
      <c r="L9" s="57"/>
      <c r="M9" s="198"/>
      <c r="N9" s="195"/>
      <c r="O9" s="57"/>
      <c r="P9" s="57"/>
      <c r="Q9" s="57"/>
      <c r="R9" s="55"/>
      <c r="S9" s="141" t="str">
        <f>IF(Data_emergency3[[#This Row],[Total Direct]]="","",Data_emergency3[[#This Row],[Total Direct]])</f>
        <v/>
      </c>
      <c r="U9" s="6"/>
      <c r="V9" s="6"/>
    </row>
    <row r="10" spans="1:22" ht="49.5" customHeight="1" x14ac:dyDescent="0.3">
      <c r="A10" s="6"/>
      <c r="B10" s="218">
        <v>620</v>
      </c>
      <c r="C10" s="149" t="s">
        <v>1537</v>
      </c>
      <c r="D10" s="150" t="s">
        <v>720</v>
      </c>
      <c r="E10" s="37"/>
      <c r="F10" s="36"/>
      <c r="G10" s="142"/>
      <c r="H10" s="143"/>
      <c r="I10" s="143"/>
      <c r="J10" s="143"/>
      <c r="K10" s="143"/>
      <c r="L10" s="143"/>
      <c r="M10" s="143"/>
      <c r="N10" s="143"/>
      <c r="O10" s="143"/>
      <c r="P10" s="143"/>
      <c r="Q10" s="143"/>
      <c r="R10" s="143"/>
      <c r="S10" s="156" t="str">
        <f>IF(Data_emergency3[[#This Row],[Total Direct]]="","",Data_emergency3[[#This Row],[Total Direct]])</f>
        <v/>
      </c>
      <c r="U10" s="6"/>
      <c r="V10" s="6"/>
    </row>
    <row r="11" spans="1:22" ht="31.2" customHeight="1" x14ac:dyDescent="0.3">
      <c r="A11" s="6"/>
      <c r="B11" s="218">
        <v>621</v>
      </c>
      <c r="C11" s="149" t="s">
        <v>1537</v>
      </c>
      <c r="D11" s="150" t="s">
        <v>578</v>
      </c>
      <c r="E11" s="37"/>
      <c r="F11" s="55"/>
      <c r="G11" s="56"/>
      <c r="H11" s="88"/>
      <c r="I11" s="89"/>
      <c r="J11" s="56"/>
      <c r="K11" s="57"/>
      <c r="L11" s="57"/>
      <c r="M11" s="198"/>
      <c r="N11" s="195"/>
      <c r="O11" s="57"/>
      <c r="P11" s="57"/>
      <c r="Q11" s="57"/>
      <c r="R11" s="55"/>
      <c r="S11" s="141" t="str">
        <f>IF(Data_emergency3[[#This Row],[Total Direct]]="","",Data_emergency3[[#This Row],[Total Direct]])</f>
        <v/>
      </c>
      <c r="U11" s="6"/>
      <c r="V11" s="6"/>
    </row>
    <row r="12" spans="1:22" ht="51.6" customHeight="1" x14ac:dyDescent="0.3">
      <c r="A12" s="6"/>
      <c r="B12" s="218">
        <v>622</v>
      </c>
      <c r="C12" s="149" t="s">
        <v>1537</v>
      </c>
      <c r="D12" s="150" t="s">
        <v>721</v>
      </c>
      <c r="E12" s="37"/>
      <c r="F12" s="55"/>
      <c r="G12" s="56"/>
      <c r="H12" s="88"/>
      <c r="I12" s="89"/>
      <c r="J12" s="56"/>
      <c r="K12" s="57"/>
      <c r="L12" s="57"/>
      <c r="M12" s="198"/>
      <c r="N12" s="195"/>
      <c r="O12" s="57"/>
      <c r="P12" s="57"/>
      <c r="Q12" s="57"/>
      <c r="R12" s="55"/>
      <c r="S12" s="141" t="str">
        <f>IF(Data_emergency3[[#This Row],[Total Direct]]="","",Data_emergency3[[#This Row],[Total Direct]])</f>
        <v/>
      </c>
      <c r="U12" s="6"/>
      <c r="V12" s="6"/>
    </row>
    <row r="13" spans="1:22" ht="45.6" customHeight="1" x14ac:dyDescent="0.3">
      <c r="A13" s="6"/>
      <c r="B13" s="218">
        <v>612</v>
      </c>
      <c r="C13" s="149" t="s">
        <v>1538</v>
      </c>
      <c r="D13" s="150" t="s">
        <v>620</v>
      </c>
      <c r="E13" s="37"/>
      <c r="F13" s="55"/>
      <c r="G13" s="56"/>
      <c r="H13" s="88"/>
      <c r="I13" s="89"/>
      <c r="J13" s="56"/>
      <c r="K13" s="57"/>
      <c r="L13" s="57"/>
      <c r="M13" s="198"/>
      <c r="N13" s="195"/>
      <c r="O13" s="57"/>
      <c r="P13" s="57"/>
      <c r="Q13" s="57"/>
      <c r="R13" s="55"/>
      <c r="S13" s="141" t="str">
        <f>IF(Data_emergency3[[#This Row],[Total Direct]]="","",Data_emergency3[[#This Row],[Total Direct]])</f>
        <v/>
      </c>
      <c r="U13" s="6"/>
      <c r="V13" s="6"/>
    </row>
    <row r="14" spans="1:22" ht="46.95" customHeight="1" x14ac:dyDescent="0.3">
      <c r="A14" s="6"/>
      <c r="B14" s="218">
        <v>613</v>
      </c>
      <c r="C14" s="149" t="s">
        <v>1538</v>
      </c>
      <c r="D14" s="150" t="s">
        <v>623</v>
      </c>
      <c r="E14" s="37"/>
      <c r="F14" s="56"/>
      <c r="G14" s="56"/>
      <c r="H14" s="88"/>
      <c r="I14" s="89"/>
      <c r="J14" s="56"/>
      <c r="K14" s="57"/>
      <c r="L14" s="57"/>
      <c r="M14" s="198"/>
      <c r="N14" s="195"/>
      <c r="O14" s="57"/>
      <c r="P14" s="57"/>
      <c r="Q14" s="57"/>
      <c r="R14" s="55"/>
      <c r="S14" s="141" t="str">
        <f>IF(Data_emergency3[[#This Row],[Total Direct]]="","",Data_emergency3[[#This Row],[Total Direct]])</f>
        <v/>
      </c>
      <c r="U14" s="6"/>
      <c r="V14" s="6"/>
    </row>
    <row r="15" spans="1:22" ht="28.8" x14ac:dyDescent="0.3">
      <c r="A15" s="6"/>
      <c r="B15" s="218">
        <v>614</v>
      </c>
      <c r="C15" s="149" t="s">
        <v>1538</v>
      </c>
      <c r="D15" s="150" t="s">
        <v>624</v>
      </c>
      <c r="E15" s="37"/>
      <c r="F15" s="55"/>
      <c r="G15" s="56"/>
      <c r="H15" s="88"/>
      <c r="I15" s="89"/>
      <c r="J15" s="56"/>
      <c r="K15" s="57"/>
      <c r="L15" s="57"/>
      <c r="M15" s="198"/>
      <c r="N15" s="195"/>
      <c r="O15" s="57"/>
      <c r="P15" s="57"/>
      <c r="Q15" s="57"/>
      <c r="R15" s="55"/>
      <c r="S15" s="141" t="str">
        <f>IF(Data_emergency3[[#This Row],[Total Direct]]="","",Data_emergency3[[#This Row],[Total Direct]])</f>
        <v/>
      </c>
      <c r="U15" s="6"/>
      <c r="V15" s="6"/>
    </row>
    <row r="16" spans="1:22" ht="53.25" customHeight="1" x14ac:dyDescent="0.3">
      <c r="A16" s="6"/>
      <c r="B16" s="218">
        <v>623</v>
      </c>
      <c r="C16" s="149" t="s">
        <v>1519</v>
      </c>
      <c r="D16" s="150" t="s">
        <v>1530</v>
      </c>
      <c r="E16" s="37"/>
      <c r="F16" s="55"/>
      <c r="G16" s="56"/>
      <c r="H16" s="88"/>
      <c r="I16" s="89"/>
      <c r="J16" s="56"/>
      <c r="K16" s="57"/>
      <c r="L16" s="57"/>
      <c r="M16" s="198"/>
      <c r="N16" s="195"/>
      <c r="O16" s="57"/>
      <c r="P16" s="57"/>
      <c r="Q16" s="57"/>
      <c r="R16" s="55"/>
      <c r="S16" s="141" t="str">
        <f>IF(Data_emergency3[[#This Row],[Total Direct]]="","",Data_emergency3[[#This Row],[Total Direct]])</f>
        <v/>
      </c>
      <c r="U16" s="6"/>
      <c r="V16" s="6"/>
    </row>
    <row r="17" spans="1:22" ht="49.5" customHeight="1" x14ac:dyDescent="0.3">
      <c r="A17" s="6"/>
      <c r="B17" s="218">
        <v>624</v>
      </c>
      <c r="C17" s="149" t="s">
        <v>1519</v>
      </c>
      <c r="D17" s="150" t="s">
        <v>1531</v>
      </c>
      <c r="E17" s="37"/>
      <c r="F17" s="55"/>
      <c r="G17" s="56"/>
      <c r="H17" s="88"/>
      <c r="I17" s="89"/>
      <c r="J17" s="56"/>
      <c r="K17" s="57"/>
      <c r="L17" s="57"/>
      <c r="M17" s="198"/>
      <c r="N17" s="195"/>
      <c r="O17" s="57"/>
      <c r="P17" s="57"/>
      <c r="Q17" s="57"/>
      <c r="R17" s="55"/>
      <c r="S17" s="141" t="str">
        <f>IF(Data_emergency3[[#This Row],[Total Direct]]="","",Data_emergency3[[#This Row],[Total Direct]])</f>
        <v/>
      </c>
      <c r="U17" s="6"/>
      <c r="V17" s="6"/>
    </row>
    <row r="18" spans="1:22" ht="31.2" customHeight="1" x14ac:dyDescent="0.3">
      <c r="A18" s="6"/>
      <c r="B18" s="218">
        <v>627</v>
      </c>
      <c r="C18" s="149" t="s">
        <v>1519</v>
      </c>
      <c r="D18" s="150" t="s">
        <v>896</v>
      </c>
      <c r="E18" s="37"/>
      <c r="F18" s="55"/>
      <c r="G18" s="56"/>
      <c r="H18" s="88"/>
      <c r="I18" s="89"/>
      <c r="J18" s="56"/>
      <c r="K18" s="57"/>
      <c r="L18" s="57"/>
      <c r="M18" s="198"/>
      <c r="N18" s="195"/>
      <c r="O18" s="57"/>
      <c r="P18" s="57"/>
      <c r="Q18" s="57"/>
      <c r="R18" s="145"/>
      <c r="S18" s="141" t="str">
        <f>IF(Data_emergency3[[#This Row],[Total Direct]]="","",Data_emergency3[[#This Row],[Total Direct]])</f>
        <v/>
      </c>
      <c r="U18" s="6"/>
      <c r="V18" s="6"/>
    </row>
    <row r="19" spans="1:22" ht="18.45" customHeight="1" x14ac:dyDescent="0.3">
      <c r="A19" s="6"/>
      <c r="B19" s="218">
        <v>628</v>
      </c>
      <c r="C19" s="149" t="s">
        <v>1519</v>
      </c>
      <c r="D19" s="150" t="s">
        <v>898</v>
      </c>
      <c r="E19" s="37"/>
      <c r="F19" s="55"/>
      <c r="G19" s="56"/>
      <c r="H19" s="88"/>
      <c r="I19" s="89"/>
      <c r="J19" s="56"/>
      <c r="K19" s="57"/>
      <c r="L19" s="57"/>
      <c r="M19" s="198"/>
      <c r="N19" s="195"/>
      <c r="O19" s="57"/>
      <c r="P19" s="57"/>
      <c r="Q19" s="57"/>
      <c r="R19" s="145"/>
      <c r="S19" s="141" t="str">
        <f>IF(Data_emergency3[[#This Row],[Total Direct]]="","",Data_emergency3[[#This Row],[Total Direct]])</f>
        <v/>
      </c>
      <c r="U19" s="6"/>
      <c r="V19" s="6"/>
    </row>
    <row r="20" spans="1:22" ht="38.700000000000003" customHeight="1" x14ac:dyDescent="0.3">
      <c r="A20" s="6"/>
      <c r="B20" s="218">
        <v>629</v>
      </c>
      <c r="C20" s="149" t="s">
        <v>1520</v>
      </c>
      <c r="D20" s="150" t="s">
        <v>1281</v>
      </c>
      <c r="E20" s="37"/>
      <c r="F20" s="55"/>
      <c r="G20" s="56"/>
      <c r="H20" s="88"/>
      <c r="I20" s="89"/>
      <c r="J20" s="56"/>
      <c r="K20" s="57"/>
      <c r="L20" s="57"/>
      <c r="M20" s="198"/>
      <c r="N20" s="195"/>
      <c r="O20" s="57"/>
      <c r="P20" s="57"/>
      <c r="Q20" s="57"/>
      <c r="R20" s="55"/>
      <c r="S20" s="141" t="str">
        <f>IF(Data_emergency3[[#This Row],[Total Direct]]="","",Data_emergency3[[#This Row],[Total Direct]])</f>
        <v/>
      </c>
      <c r="U20" s="6"/>
      <c r="V20" s="6"/>
    </row>
    <row r="21" spans="1:22" ht="40.200000000000003" customHeight="1" x14ac:dyDescent="0.3">
      <c r="A21" s="6"/>
      <c r="B21" s="218">
        <v>630</v>
      </c>
      <c r="C21" s="149" t="s">
        <v>1520</v>
      </c>
      <c r="D21" s="150" t="s">
        <v>1533</v>
      </c>
      <c r="E21" s="168"/>
      <c r="F21" s="55"/>
      <c r="G21" s="143"/>
      <c r="H21" s="143"/>
      <c r="I21" s="143"/>
      <c r="J21" s="143"/>
      <c r="K21" s="143"/>
      <c r="L21" s="143"/>
      <c r="M21" s="143"/>
      <c r="N21" s="143"/>
      <c r="O21" s="143"/>
      <c r="P21" s="143"/>
      <c r="Q21" s="143"/>
      <c r="R21" s="143"/>
      <c r="S21" s="141" t="str">
        <f>IF(Data_emergency3[[#This Row],[Total Direct]]="","",Data_emergency3[[#This Row],[Total Direct]])</f>
        <v/>
      </c>
      <c r="U21" s="6"/>
      <c r="V21" s="6"/>
    </row>
    <row r="22" spans="1:22" ht="68.25" customHeight="1" x14ac:dyDescent="0.3">
      <c r="A22" s="6"/>
      <c r="B22" s="218">
        <v>633</v>
      </c>
      <c r="C22" s="149" t="s">
        <v>1539</v>
      </c>
      <c r="D22" s="150" t="s">
        <v>1364</v>
      </c>
      <c r="E22" s="37"/>
      <c r="F22" s="55"/>
      <c r="G22" s="56"/>
      <c r="H22" s="88"/>
      <c r="I22" s="89"/>
      <c r="J22" s="56"/>
      <c r="K22" s="57"/>
      <c r="L22" s="57"/>
      <c r="M22" s="198"/>
      <c r="N22" s="195"/>
      <c r="O22" s="57"/>
      <c r="P22" s="57"/>
      <c r="Q22" s="57"/>
      <c r="R22" s="55"/>
      <c r="S22" s="141" t="str">
        <f>IF(Data_emergency3[[#This Row],[Total Direct]]="","",Data_emergency3[[#This Row],[Total Direct]])</f>
        <v/>
      </c>
      <c r="U22" s="6"/>
      <c r="V22" s="6"/>
    </row>
    <row r="23" spans="1:22" ht="44.7" customHeight="1" x14ac:dyDescent="0.3">
      <c r="A23" s="6"/>
      <c r="B23" s="218">
        <v>635</v>
      </c>
      <c r="C23" s="149" t="s">
        <v>1539</v>
      </c>
      <c r="D23" s="170" t="s">
        <v>899</v>
      </c>
      <c r="E23" s="37"/>
      <c r="F23" s="55"/>
      <c r="G23" s="56"/>
      <c r="H23" s="88"/>
      <c r="I23" s="89"/>
      <c r="J23" s="56"/>
      <c r="K23" s="57"/>
      <c r="L23" s="57"/>
      <c r="M23" s="198"/>
      <c r="N23" s="195"/>
      <c r="O23" s="57"/>
      <c r="P23" s="57"/>
      <c r="Q23" s="57"/>
      <c r="R23" s="55"/>
      <c r="S23" s="141" t="str">
        <f>IF(Data_emergency3[[#This Row],[Total Direct]]="","",Data_emergency3[[#This Row],[Total Direct]])</f>
        <v/>
      </c>
      <c r="U23" s="6"/>
      <c r="V23" s="6"/>
    </row>
    <row r="24" spans="1:22" ht="45" customHeight="1" x14ac:dyDescent="0.3">
      <c r="A24" s="6"/>
      <c r="B24" s="219" t="str">
        <f>IFERROR(_xlfn.XLOOKUP(Data_emergency3[[#This Row],[Indicator]],Final[Indicator Name],Final[KPI ID]),"")</f>
        <v/>
      </c>
      <c r="C24" s="161"/>
      <c r="D24" s="162"/>
      <c r="E24" s="37"/>
      <c r="F24" s="119"/>
      <c r="G24" s="56"/>
      <c r="H24" s="88"/>
      <c r="I24" s="89"/>
      <c r="J24" s="56"/>
      <c r="K24" s="57"/>
      <c r="L24" s="57"/>
      <c r="M24" s="198"/>
      <c r="N24" s="195"/>
      <c r="O24" s="57"/>
      <c r="P24" s="57"/>
      <c r="Q24" s="57"/>
      <c r="R24" s="55"/>
      <c r="S24" s="141" t="str">
        <f>IF(Data_emergency3[[#This Row],[Total Direct]]="","",Data_emergency3[[#This Row],[Total Direct]])</f>
        <v/>
      </c>
      <c r="U24" s="6"/>
    </row>
    <row r="25" spans="1:22" ht="45" customHeight="1" x14ac:dyDescent="0.3">
      <c r="A25" s="6"/>
      <c r="B25" s="219" t="str">
        <f>IFERROR(_xlfn.XLOOKUP(Data_emergency3[[#This Row],[Indicator]],Final[Indicator Name],Final[KPI ID]),"")</f>
        <v/>
      </c>
      <c r="C25" s="161"/>
      <c r="D25" s="162"/>
      <c r="E25" s="37"/>
      <c r="F25" s="119"/>
      <c r="G25" s="56"/>
      <c r="H25" s="88"/>
      <c r="I25" s="89"/>
      <c r="J25" s="56"/>
      <c r="K25" s="57"/>
      <c r="L25" s="57"/>
      <c r="M25" s="198"/>
      <c r="N25" s="195"/>
      <c r="O25" s="57"/>
      <c r="P25" s="57"/>
      <c r="Q25" s="57"/>
      <c r="R25" s="55"/>
      <c r="S25" s="141" t="str">
        <f>IF(Data_emergency3[[#This Row],[Total Direct]]="","",Data_emergency3[[#This Row],[Total Direct]])</f>
        <v/>
      </c>
      <c r="U25" s="6"/>
    </row>
    <row r="26" spans="1:22" ht="45" customHeight="1" x14ac:dyDescent="0.3">
      <c r="A26" s="6"/>
      <c r="B26" s="219" t="str">
        <f>IFERROR(_xlfn.XLOOKUP(Data_emergency3[[#This Row],[Indicator]],Final[Indicator Name],Final[KPI ID]),"")</f>
        <v/>
      </c>
      <c r="C26" s="161"/>
      <c r="D26" s="162"/>
      <c r="E26" s="37"/>
      <c r="F26" s="119"/>
      <c r="G26" s="56"/>
      <c r="H26" s="88"/>
      <c r="I26" s="89"/>
      <c r="J26" s="56"/>
      <c r="K26" s="57"/>
      <c r="L26" s="57"/>
      <c r="M26" s="198"/>
      <c r="N26" s="195"/>
      <c r="O26" s="57"/>
      <c r="P26" s="57"/>
      <c r="Q26" s="57"/>
      <c r="R26" s="55"/>
      <c r="S26" s="141" t="str">
        <f>IF(Data_emergency3[[#This Row],[Total Direct]]="","",Data_emergency3[[#This Row],[Total Direct]])</f>
        <v/>
      </c>
      <c r="U26" s="6"/>
    </row>
    <row r="27" spans="1:22" ht="45" customHeight="1" x14ac:dyDescent="0.3">
      <c r="A27" s="6"/>
      <c r="B27" s="219" t="str">
        <f>IFERROR(_xlfn.XLOOKUP(Data_emergency3[[#This Row],[Indicator]],Final[Indicator Name],Final[KPI ID]),"")</f>
        <v/>
      </c>
      <c r="C27" s="161"/>
      <c r="D27" s="162"/>
      <c r="E27" s="37"/>
      <c r="F27" s="119"/>
      <c r="G27" s="56"/>
      <c r="H27" s="88"/>
      <c r="I27" s="89"/>
      <c r="J27" s="56"/>
      <c r="K27" s="57"/>
      <c r="L27" s="57"/>
      <c r="M27" s="198"/>
      <c r="N27" s="195"/>
      <c r="O27" s="57"/>
      <c r="P27" s="57"/>
      <c r="Q27" s="57"/>
      <c r="R27" s="55"/>
      <c r="S27" s="141" t="str">
        <f>IF(Data_emergency3[[#This Row],[Total Direct]]="","",Data_emergency3[[#This Row],[Total Direct]])</f>
        <v/>
      </c>
      <c r="U27" s="6"/>
    </row>
    <row r="28" spans="1:22" ht="45" customHeight="1" x14ac:dyDescent="0.3">
      <c r="A28" s="6"/>
      <c r="B28" s="219" t="str">
        <f>IFERROR(_xlfn.XLOOKUP(Data_emergency3[[#This Row],[Indicator]],Final[Indicator Name],Final[KPI ID]),"")</f>
        <v/>
      </c>
      <c r="C28" s="161"/>
      <c r="D28" s="162"/>
      <c r="E28" s="37"/>
      <c r="F28" s="119"/>
      <c r="G28" s="56"/>
      <c r="H28" s="88"/>
      <c r="I28" s="89"/>
      <c r="J28" s="56"/>
      <c r="K28" s="57"/>
      <c r="L28" s="57"/>
      <c r="M28" s="198"/>
      <c r="N28" s="195"/>
      <c r="O28" s="57"/>
      <c r="P28" s="57"/>
      <c r="Q28" s="57"/>
      <c r="R28" s="55"/>
      <c r="S28" s="141" t="str">
        <f>IF(Data_emergency3[[#This Row],[Total Direct]]="","",Data_emergency3[[#This Row],[Total Direct]])</f>
        <v/>
      </c>
      <c r="U28" s="6"/>
    </row>
    <row r="29" spans="1:22" ht="45" customHeight="1" x14ac:dyDescent="0.3">
      <c r="A29" s="6"/>
      <c r="B29" s="219" t="str">
        <f>IFERROR(_xlfn.XLOOKUP(Data_emergency3[[#This Row],[Indicator]],Final[Indicator Name],Final[KPI ID]),"")</f>
        <v/>
      </c>
      <c r="C29" s="161"/>
      <c r="D29" s="162"/>
      <c r="E29" s="37"/>
      <c r="F29" s="119"/>
      <c r="G29" s="56"/>
      <c r="H29" s="88"/>
      <c r="I29" s="89"/>
      <c r="J29" s="56"/>
      <c r="K29" s="57"/>
      <c r="L29" s="57"/>
      <c r="M29" s="198"/>
      <c r="N29" s="195"/>
      <c r="O29" s="57"/>
      <c r="P29" s="57"/>
      <c r="Q29" s="57"/>
      <c r="R29" s="55"/>
      <c r="S29" s="141" t="str">
        <f>IF(Data_emergency3[[#This Row],[Total Direct]]="","",Data_emergency3[[#This Row],[Total Direct]])</f>
        <v/>
      </c>
      <c r="U29" s="6"/>
    </row>
    <row r="30" spans="1:22" ht="45" customHeight="1" x14ac:dyDescent="0.3">
      <c r="A30" s="6"/>
      <c r="B30" s="219" t="str">
        <f>IFERROR(_xlfn.XLOOKUP(Data_emergency3[[#This Row],[Indicator]],Final[Indicator Name],Final[KPI ID]),"")</f>
        <v/>
      </c>
      <c r="C30" s="161"/>
      <c r="D30" s="162"/>
      <c r="E30" s="37"/>
      <c r="F30" s="119"/>
      <c r="G30" s="56"/>
      <c r="H30" s="88"/>
      <c r="I30" s="89"/>
      <c r="J30" s="56"/>
      <c r="K30" s="57"/>
      <c r="L30" s="57"/>
      <c r="M30" s="198"/>
      <c r="N30" s="195"/>
      <c r="O30" s="57"/>
      <c r="P30" s="57"/>
      <c r="Q30" s="57"/>
      <c r="R30" s="55"/>
      <c r="S30" s="141" t="str">
        <f>IF(Data_emergency3[[#This Row],[Total Direct]]="","",Data_emergency3[[#This Row],[Total Direct]])</f>
        <v/>
      </c>
      <c r="U30" s="6"/>
    </row>
    <row r="31" spans="1:22" ht="45" customHeight="1" x14ac:dyDescent="0.3">
      <c r="A31" s="6"/>
      <c r="B31" s="219" t="str">
        <f>IFERROR(_xlfn.XLOOKUP(Data_emergency3[[#This Row],[Indicator]],Final[Indicator Name],Final[KPI ID]),"")</f>
        <v/>
      </c>
      <c r="C31" s="161"/>
      <c r="D31" s="162"/>
      <c r="E31" s="37"/>
      <c r="F31" s="119"/>
      <c r="G31" s="56"/>
      <c r="H31" s="88"/>
      <c r="I31" s="89"/>
      <c r="J31" s="56"/>
      <c r="K31" s="57"/>
      <c r="L31" s="57"/>
      <c r="M31" s="198"/>
      <c r="N31" s="195"/>
      <c r="O31" s="57"/>
      <c r="P31" s="57"/>
      <c r="Q31" s="57"/>
      <c r="R31" s="55"/>
      <c r="S31" s="141" t="str">
        <f>IF(Data_emergency3[[#This Row],[Total Direct]]="","",Data_emergency3[[#This Row],[Total Direct]])</f>
        <v/>
      </c>
      <c r="U31" s="6"/>
    </row>
    <row r="32" spans="1:22" ht="45" customHeight="1" x14ac:dyDescent="0.3">
      <c r="A32" s="6"/>
      <c r="B32" s="219" t="str">
        <f>IFERROR(_xlfn.XLOOKUP(Data_emergency3[[#This Row],[Indicator]],Final[Indicator Name],Final[KPI ID]),"")</f>
        <v/>
      </c>
      <c r="C32" s="161"/>
      <c r="D32" s="162"/>
      <c r="E32" s="37"/>
      <c r="F32" s="119"/>
      <c r="G32" s="56"/>
      <c r="H32" s="88"/>
      <c r="I32" s="89"/>
      <c r="J32" s="56"/>
      <c r="K32" s="57"/>
      <c r="L32" s="57"/>
      <c r="M32" s="198"/>
      <c r="N32" s="195"/>
      <c r="O32" s="57"/>
      <c r="P32" s="57"/>
      <c r="Q32" s="57"/>
      <c r="R32" s="55"/>
      <c r="S32" s="141" t="str">
        <f>IF(Data_emergency3[[#This Row],[Total Direct]]="","",Data_emergency3[[#This Row],[Total Direct]])</f>
        <v/>
      </c>
      <c r="U32" s="6"/>
    </row>
    <row r="33" spans="1:21" ht="45" customHeight="1" x14ac:dyDescent="0.3">
      <c r="A33" s="6"/>
      <c r="B33" s="219" t="str">
        <f>IFERROR(_xlfn.XLOOKUP(Data_emergency3[[#This Row],[Indicator]],Final[Indicator Name],Final[KPI ID]),"")</f>
        <v/>
      </c>
      <c r="C33" s="161"/>
      <c r="D33" s="162"/>
      <c r="E33" s="37"/>
      <c r="F33" s="119"/>
      <c r="G33" s="56"/>
      <c r="H33" s="88"/>
      <c r="I33" s="89"/>
      <c r="J33" s="56"/>
      <c r="K33" s="57"/>
      <c r="L33" s="57"/>
      <c r="M33" s="198"/>
      <c r="N33" s="195"/>
      <c r="O33" s="57"/>
      <c r="P33" s="57"/>
      <c r="Q33" s="57"/>
      <c r="R33" s="55"/>
      <c r="S33" s="141" t="str">
        <f>IF(Data_emergency3[[#This Row],[Total Direct]]="","",Data_emergency3[[#This Row],[Total Direct]])</f>
        <v/>
      </c>
      <c r="U33" s="6"/>
    </row>
    <row r="34" spans="1:21" ht="45" customHeight="1" x14ac:dyDescent="0.3">
      <c r="A34" s="6"/>
      <c r="B34" s="219" t="str">
        <f>IFERROR(_xlfn.XLOOKUP(Data_emergency3[[#This Row],[Indicator]],Final[Indicator Name],Final[KPI ID]),"")</f>
        <v/>
      </c>
      <c r="C34" s="161"/>
      <c r="D34" s="162"/>
      <c r="E34" s="37"/>
      <c r="F34" s="119"/>
      <c r="G34" s="56"/>
      <c r="H34" s="88"/>
      <c r="I34" s="89"/>
      <c r="J34" s="56"/>
      <c r="K34" s="57"/>
      <c r="L34" s="57"/>
      <c r="M34" s="198"/>
      <c r="N34" s="195"/>
      <c r="O34" s="57"/>
      <c r="P34" s="57"/>
      <c r="Q34" s="57"/>
      <c r="R34" s="55"/>
      <c r="S34" s="141" t="str">
        <f>IF(Data_emergency3[[#This Row],[Total Direct]]="","",Data_emergency3[[#This Row],[Total Direct]])</f>
        <v/>
      </c>
      <c r="U34" s="6"/>
    </row>
    <row r="35" spans="1:21" ht="45" customHeight="1" x14ac:dyDescent="0.3">
      <c r="A35" s="6"/>
      <c r="B35" s="219" t="str">
        <f>IFERROR(_xlfn.XLOOKUP(Data_emergency3[[#This Row],[Indicator]],Final[Indicator Name],Final[KPI ID]),"")</f>
        <v/>
      </c>
      <c r="C35" s="161"/>
      <c r="D35" s="162"/>
      <c r="E35" s="37"/>
      <c r="F35" s="119"/>
      <c r="G35" s="56"/>
      <c r="H35" s="88"/>
      <c r="I35" s="89"/>
      <c r="J35" s="56"/>
      <c r="K35" s="57"/>
      <c r="L35" s="57"/>
      <c r="M35" s="198"/>
      <c r="N35" s="195"/>
      <c r="O35" s="57"/>
      <c r="P35" s="57"/>
      <c r="Q35" s="57"/>
      <c r="R35" s="55"/>
      <c r="S35" s="141" t="str">
        <f>IF(Data_emergency3[[#This Row],[Total Direct]]="","",Data_emergency3[[#This Row],[Total Direct]])</f>
        <v/>
      </c>
      <c r="U35" s="6"/>
    </row>
    <row r="36" spans="1:21" ht="45" customHeight="1" x14ac:dyDescent="0.3">
      <c r="A36" s="6"/>
      <c r="B36" s="219" t="str">
        <f>IFERROR(_xlfn.XLOOKUP(Data_emergency3[[#This Row],[Indicator]],Final[Indicator Name],Final[KPI ID]),"")</f>
        <v/>
      </c>
      <c r="C36" s="161"/>
      <c r="D36" s="162"/>
      <c r="E36" s="37"/>
      <c r="F36" s="119"/>
      <c r="G36" s="56"/>
      <c r="H36" s="88"/>
      <c r="I36" s="89"/>
      <c r="J36" s="56"/>
      <c r="K36" s="57"/>
      <c r="L36" s="57"/>
      <c r="M36" s="198"/>
      <c r="N36" s="195"/>
      <c r="O36" s="57"/>
      <c r="P36" s="57"/>
      <c r="Q36" s="57"/>
      <c r="R36" s="55"/>
      <c r="S36" s="141" t="str">
        <f>IF(Data_emergency3[[#This Row],[Total Direct]]="","",Data_emergency3[[#This Row],[Total Direct]])</f>
        <v/>
      </c>
      <c r="U36" s="6"/>
    </row>
    <row r="37" spans="1:21" ht="45" customHeight="1" x14ac:dyDescent="0.3">
      <c r="A37" s="6"/>
      <c r="B37" s="219" t="str">
        <f>IFERROR(_xlfn.XLOOKUP(Data_emergency3[[#This Row],[Indicator]],Final[Indicator Name],Final[KPI ID]),"")</f>
        <v/>
      </c>
      <c r="C37" s="161"/>
      <c r="D37" s="162"/>
      <c r="E37" s="37"/>
      <c r="F37" s="119"/>
      <c r="G37" s="56"/>
      <c r="H37" s="88"/>
      <c r="I37" s="89"/>
      <c r="J37" s="56"/>
      <c r="K37" s="57"/>
      <c r="L37" s="57"/>
      <c r="M37" s="198"/>
      <c r="N37" s="195"/>
      <c r="O37" s="57"/>
      <c r="P37" s="57"/>
      <c r="Q37" s="57"/>
      <c r="R37" s="55"/>
      <c r="S37" s="141" t="str">
        <f>IF(Data_emergency3[[#This Row],[Total Direct]]="","",Data_emergency3[[#This Row],[Total Direct]])</f>
        <v/>
      </c>
      <c r="U37" s="6"/>
    </row>
    <row r="38" spans="1:21" ht="45" customHeight="1" x14ac:dyDescent="0.3">
      <c r="A38" s="6"/>
      <c r="B38" s="219" t="str">
        <f>IFERROR(_xlfn.XLOOKUP(Data_emergency3[[#This Row],[Indicator]],Final[Indicator Name],Final[KPI ID]),"")</f>
        <v/>
      </c>
      <c r="C38" s="161"/>
      <c r="D38" s="162"/>
      <c r="E38" s="37"/>
      <c r="F38" s="119"/>
      <c r="G38" s="56"/>
      <c r="H38" s="88"/>
      <c r="I38" s="89"/>
      <c r="J38" s="56"/>
      <c r="K38" s="57"/>
      <c r="L38" s="57"/>
      <c r="M38" s="198"/>
      <c r="N38" s="195"/>
      <c r="O38" s="57"/>
      <c r="P38" s="57"/>
      <c r="Q38" s="57"/>
      <c r="R38" s="55"/>
      <c r="S38" s="141" t="str">
        <f>IF(Data_emergency3[[#This Row],[Total Direct]]="","",Data_emergency3[[#This Row],[Total Direct]])</f>
        <v/>
      </c>
      <c r="U38" s="6"/>
    </row>
    <row r="39" spans="1:21" ht="45" customHeight="1" x14ac:dyDescent="0.3">
      <c r="A39" s="6"/>
      <c r="B39" s="219" t="str">
        <f>IFERROR(_xlfn.XLOOKUP(Data_emergency3[[#This Row],[Indicator]],Final[Indicator Name],Final[KPI ID]),"")</f>
        <v/>
      </c>
      <c r="C39" s="161"/>
      <c r="D39" s="162"/>
      <c r="E39" s="37"/>
      <c r="F39" s="119"/>
      <c r="G39" s="56"/>
      <c r="H39" s="88"/>
      <c r="I39" s="89"/>
      <c r="J39" s="56"/>
      <c r="K39" s="57"/>
      <c r="L39" s="57"/>
      <c r="M39" s="198"/>
      <c r="N39" s="195"/>
      <c r="O39" s="57"/>
      <c r="P39" s="57"/>
      <c r="Q39" s="57"/>
      <c r="R39" s="55"/>
      <c r="S39" s="141" t="str">
        <f>IF(Data_emergency3[[#This Row],[Total Direct]]="","",Data_emergency3[[#This Row],[Total Direct]])</f>
        <v/>
      </c>
      <c r="U39" s="6"/>
    </row>
    <row r="40" spans="1:21" ht="45" customHeight="1" x14ac:dyDescent="0.3">
      <c r="A40" s="6"/>
      <c r="B40" s="219" t="str">
        <f>IFERROR(_xlfn.XLOOKUP(Data_emergency3[[#This Row],[Indicator]],Final[Indicator Name],Final[KPI ID]),"")</f>
        <v/>
      </c>
      <c r="C40" s="161"/>
      <c r="D40" s="162"/>
      <c r="E40" s="37"/>
      <c r="F40" s="119"/>
      <c r="G40" s="56"/>
      <c r="H40" s="88"/>
      <c r="I40" s="89"/>
      <c r="J40" s="56"/>
      <c r="K40" s="57"/>
      <c r="L40" s="57"/>
      <c r="M40" s="198"/>
      <c r="N40" s="195"/>
      <c r="O40" s="57"/>
      <c r="P40" s="57"/>
      <c r="Q40" s="57"/>
      <c r="R40" s="55"/>
      <c r="S40" s="141" t="str">
        <f>IF(Data_emergency3[[#This Row],[Total Direct]]="","",Data_emergency3[[#This Row],[Total Direct]])</f>
        <v/>
      </c>
      <c r="U40" s="6"/>
    </row>
    <row r="41" spans="1:21" ht="45" customHeight="1" x14ac:dyDescent="0.3">
      <c r="A41" s="6"/>
      <c r="B41" s="219" t="str">
        <f>IFERROR(_xlfn.XLOOKUP(Data_emergency3[[#This Row],[Indicator]],Final[Indicator Name],Final[KPI ID]),"")</f>
        <v/>
      </c>
      <c r="C41" s="161"/>
      <c r="D41" s="162"/>
      <c r="E41" s="37"/>
      <c r="F41" s="119"/>
      <c r="G41" s="56"/>
      <c r="H41" s="88"/>
      <c r="I41" s="89"/>
      <c r="J41" s="56"/>
      <c r="K41" s="57"/>
      <c r="L41" s="57"/>
      <c r="M41" s="198"/>
      <c r="N41" s="195"/>
      <c r="O41" s="57"/>
      <c r="P41" s="57"/>
      <c r="Q41" s="57"/>
      <c r="R41" s="55"/>
      <c r="S41" s="141" t="str">
        <f>IF(Data_emergency3[[#This Row],[Total Direct]]="","",Data_emergency3[[#This Row],[Total Direct]])</f>
        <v/>
      </c>
      <c r="U41" s="6"/>
    </row>
    <row r="42" spans="1:21" ht="45" customHeight="1" x14ac:dyDescent="0.3">
      <c r="A42" s="6"/>
      <c r="B42" s="219" t="str">
        <f>IFERROR(_xlfn.XLOOKUP(Data_emergency3[[#This Row],[Indicator]],Final[Indicator Name],Final[KPI ID]),"")</f>
        <v/>
      </c>
      <c r="C42" s="161"/>
      <c r="D42" s="162"/>
      <c r="E42" s="37"/>
      <c r="F42" s="119"/>
      <c r="G42" s="56"/>
      <c r="H42" s="88"/>
      <c r="I42" s="89"/>
      <c r="J42" s="56"/>
      <c r="K42" s="57"/>
      <c r="L42" s="57"/>
      <c r="M42" s="198"/>
      <c r="N42" s="195"/>
      <c r="O42" s="57"/>
      <c r="P42" s="57"/>
      <c r="Q42" s="57"/>
      <c r="R42" s="55"/>
      <c r="S42" s="141" t="str">
        <f>IF(Data_emergency3[[#This Row],[Total Direct]]="","",Data_emergency3[[#This Row],[Total Direct]])</f>
        <v/>
      </c>
      <c r="U42" s="6"/>
    </row>
    <row r="43" spans="1:21" ht="45" customHeight="1" x14ac:dyDescent="0.3">
      <c r="A43" s="6"/>
      <c r="B43" s="219" t="str">
        <f>IFERROR(_xlfn.XLOOKUP(Data_emergency3[[#This Row],[Indicator]],Final[Indicator Name],Final[KPI ID]),"")</f>
        <v/>
      </c>
      <c r="C43" s="161"/>
      <c r="D43" s="162"/>
      <c r="E43" s="37"/>
      <c r="F43" s="119"/>
      <c r="G43" s="56"/>
      <c r="H43" s="88"/>
      <c r="I43" s="89"/>
      <c r="J43" s="56"/>
      <c r="K43" s="57"/>
      <c r="L43" s="57"/>
      <c r="M43" s="198"/>
      <c r="N43" s="195"/>
      <c r="O43" s="57"/>
      <c r="P43" s="57"/>
      <c r="Q43" s="57"/>
      <c r="R43" s="55"/>
      <c r="S43" s="141" t="str">
        <f>IF(Data_emergency3[[#This Row],[Total Direct]]="","",Data_emergency3[[#This Row],[Total Direct]])</f>
        <v/>
      </c>
      <c r="U43" s="6"/>
    </row>
    <row r="44" spans="1:21" ht="45" customHeight="1" x14ac:dyDescent="0.3">
      <c r="A44" s="6"/>
      <c r="B44" s="219" t="str">
        <f>IFERROR(_xlfn.XLOOKUP(Data_emergency3[[#This Row],[Indicator]],Final[Indicator Name],Final[KPI ID]),"")</f>
        <v/>
      </c>
      <c r="C44" s="161"/>
      <c r="D44" s="162"/>
      <c r="E44" s="37"/>
      <c r="F44" s="119"/>
      <c r="G44" s="56"/>
      <c r="H44" s="88"/>
      <c r="I44" s="89"/>
      <c r="J44" s="56"/>
      <c r="K44" s="57"/>
      <c r="L44" s="57"/>
      <c r="M44" s="198"/>
      <c r="N44" s="195"/>
      <c r="O44" s="57"/>
      <c r="P44" s="57"/>
      <c r="Q44" s="57"/>
      <c r="R44" s="55"/>
      <c r="S44" s="141" t="str">
        <f>IF(Data_emergency3[[#This Row],[Total Direct]]="","",Data_emergency3[[#This Row],[Total Direct]])</f>
        <v/>
      </c>
      <c r="U44" s="6"/>
    </row>
    <row r="45" spans="1:21" ht="45" customHeight="1" x14ac:dyDescent="0.3">
      <c r="A45" s="6"/>
      <c r="B45" s="219" t="str">
        <f>IFERROR(_xlfn.XLOOKUP(Data_emergency3[[#This Row],[Indicator]],Final[Indicator Name],Final[KPI ID]),"")</f>
        <v/>
      </c>
      <c r="C45" s="161"/>
      <c r="D45" s="162"/>
      <c r="E45" s="37"/>
      <c r="F45" s="119"/>
      <c r="G45" s="56"/>
      <c r="H45" s="88"/>
      <c r="I45" s="89"/>
      <c r="J45" s="56"/>
      <c r="K45" s="57"/>
      <c r="L45" s="57"/>
      <c r="M45" s="198"/>
      <c r="N45" s="195"/>
      <c r="O45" s="57"/>
      <c r="P45" s="57"/>
      <c r="Q45" s="57"/>
      <c r="R45" s="55"/>
      <c r="S45" s="141" t="str">
        <f>IF(Data_emergency3[[#This Row],[Total Direct]]="","",Data_emergency3[[#This Row],[Total Direct]])</f>
        <v/>
      </c>
      <c r="U45" s="6"/>
    </row>
    <row r="46" spans="1:21" ht="45" customHeight="1" x14ac:dyDescent="0.3">
      <c r="A46" s="6"/>
      <c r="B46" s="219" t="str">
        <f>IFERROR(_xlfn.XLOOKUP(Data_emergency3[[#This Row],[Indicator]],Final[Indicator Name],Final[KPI ID]),"")</f>
        <v/>
      </c>
      <c r="C46" s="161"/>
      <c r="D46" s="162"/>
      <c r="E46" s="37"/>
      <c r="F46" s="119"/>
      <c r="G46" s="56"/>
      <c r="H46" s="88"/>
      <c r="I46" s="89"/>
      <c r="J46" s="56"/>
      <c r="K46" s="57"/>
      <c r="L46" s="57"/>
      <c r="M46" s="198"/>
      <c r="N46" s="195"/>
      <c r="O46" s="57"/>
      <c r="P46" s="57"/>
      <c r="Q46" s="57"/>
      <c r="R46" s="55"/>
      <c r="S46" s="141" t="str">
        <f>IF(Data_emergency3[[#This Row],[Total Direct]]="","",Data_emergency3[[#This Row],[Total Direct]])</f>
        <v/>
      </c>
      <c r="U46" s="6"/>
    </row>
    <row r="47" spans="1:21" ht="45" customHeight="1" x14ac:dyDescent="0.3">
      <c r="A47" s="6"/>
      <c r="B47" s="219" t="str">
        <f>IFERROR(_xlfn.XLOOKUP(Data_emergency3[[#This Row],[Indicator]],Final[Indicator Name],Final[KPI ID]),"")</f>
        <v/>
      </c>
      <c r="C47" s="161"/>
      <c r="D47" s="162"/>
      <c r="E47" s="37"/>
      <c r="F47" s="119"/>
      <c r="G47" s="56"/>
      <c r="H47" s="88"/>
      <c r="I47" s="89"/>
      <c r="J47" s="56"/>
      <c r="K47" s="57"/>
      <c r="L47" s="57"/>
      <c r="M47" s="198"/>
      <c r="N47" s="195"/>
      <c r="O47" s="57"/>
      <c r="P47" s="57"/>
      <c r="Q47" s="57"/>
      <c r="R47" s="55"/>
      <c r="S47" s="141" t="str">
        <f>IF(Data_emergency3[[#This Row],[Total Direct]]="","",Data_emergency3[[#This Row],[Total Direct]])</f>
        <v/>
      </c>
      <c r="U47" s="6"/>
    </row>
    <row r="48" spans="1:21" ht="45" customHeight="1" x14ac:dyDescent="0.3">
      <c r="A48" s="6"/>
      <c r="B48" s="219" t="str">
        <f>IFERROR(_xlfn.XLOOKUP(Data_emergency3[[#This Row],[Indicator]],Final[Indicator Name],Final[KPI ID]),"")</f>
        <v/>
      </c>
      <c r="C48" s="161"/>
      <c r="D48" s="162"/>
      <c r="E48" s="37"/>
      <c r="F48" s="119"/>
      <c r="G48" s="56"/>
      <c r="H48" s="88"/>
      <c r="I48" s="89"/>
      <c r="J48" s="56"/>
      <c r="K48" s="57"/>
      <c r="L48" s="57"/>
      <c r="M48" s="198"/>
      <c r="N48" s="195"/>
      <c r="O48" s="57"/>
      <c r="P48" s="57"/>
      <c r="Q48" s="57"/>
      <c r="R48" s="55"/>
      <c r="S48" s="141" t="str">
        <f>IF(Data_emergency3[[#This Row],[Total Direct]]="","",Data_emergency3[[#This Row],[Total Direct]])</f>
        <v/>
      </c>
      <c r="U48" s="6"/>
    </row>
    <row r="49" spans="1:21" ht="45" customHeight="1" x14ac:dyDescent="0.3">
      <c r="A49" s="6"/>
      <c r="B49" s="219" t="str">
        <f>IFERROR(_xlfn.XLOOKUP(Data_emergency3[[#This Row],[Indicator]],Final[Indicator Name],Final[KPI ID]),"")</f>
        <v/>
      </c>
      <c r="C49" s="161"/>
      <c r="D49" s="162"/>
      <c r="E49" s="37"/>
      <c r="F49" s="119"/>
      <c r="G49" s="56"/>
      <c r="H49" s="88"/>
      <c r="I49" s="89"/>
      <c r="J49" s="56"/>
      <c r="K49" s="57"/>
      <c r="L49" s="57"/>
      <c r="M49" s="198"/>
      <c r="N49" s="195"/>
      <c r="O49" s="57"/>
      <c r="P49" s="57"/>
      <c r="Q49" s="57"/>
      <c r="R49" s="55"/>
      <c r="S49" s="141" t="str">
        <f>IF(Data_emergency3[[#This Row],[Total Direct]]="","",Data_emergency3[[#This Row],[Total Direct]])</f>
        <v/>
      </c>
      <c r="U49" s="6"/>
    </row>
    <row r="50" spans="1:21" ht="45" customHeight="1" x14ac:dyDescent="0.3">
      <c r="A50" s="6"/>
      <c r="B50" s="219" t="str">
        <f>IFERROR(_xlfn.XLOOKUP(Data_emergency3[[#This Row],[Indicator]],Final[Indicator Name],Final[KPI ID]),"")</f>
        <v/>
      </c>
      <c r="C50" s="161"/>
      <c r="D50" s="162"/>
      <c r="E50" s="37"/>
      <c r="F50" s="119"/>
      <c r="G50" s="56"/>
      <c r="H50" s="88"/>
      <c r="I50" s="89"/>
      <c r="J50" s="56"/>
      <c r="K50" s="57"/>
      <c r="L50" s="57"/>
      <c r="M50" s="198"/>
      <c r="N50" s="195"/>
      <c r="O50" s="57"/>
      <c r="P50" s="57"/>
      <c r="Q50" s="57"/>
      <c r="R50" s="55"/>
      <c r="S50" s="141" t="str">
        <f>IF(Data_emergency3[[#This Row],[Total Direct]]="","",Data_emergency3[[#This Row],[Total Direct]])</f>
        <v/>
      </c>
      <c r="U50" s="6"/>
    </row>
    <row r="51" spans="1:21" ht="45" customHeight="1" x14ac:dyDescent="0.3">
      <c r="A51" s="6"/>
      <c r="B51" s="219" t="str">
        <f>IFERROR(_xlfn.XLOOKUP(Data_emergency3[[#This Row],[Indicator]],Final[Indicator Name],Final[KPI ID]),"")</f>
        <v/>
      </c>
      <c r="C51" s="161"/>
      <c r="D51" s="162"/>
      <c r="E51" s="37"/>
      <c r="F51" s="119"/>
      <c r="G51" s="56"/>
      <c r="H51" s="88"/>
      <c r="I51" s="89"/>
      <c r="J51" s="56"/>
      <c r="K51" s="57"/>
      <c r="L51" s="57"/>
      <c r="M51" s="198"/>
      <c r="N51" s="195"/>
      <c r="O51" s="57"/>
      <c r="P51" s="57"/>
      <c r="Q51" s="57"/>
      <c r="R51" s="55"/>
      <c r="S51" s="141" t="str">
        <f>IF(Data_emergency3[[#This Row],[Total Direct]]="","",Data_emergency3[[#This Row],[Total Direct]])</f>
        <v/>
      </c>
      <c r="U51" s="6"/>
    </row>
    <row r="52" spans="1:21" ht="45" customHeight="1" x14ac:dyDescent="0.3">
      <c r="A52" s="6"/>
      <c r="B52" s="219" t="str">
        <f>IFERROR(_xlfn.XLOOKUP(Data_emergency3[[#This Row],[Indicator]],Final[Indicator Name],Final[KPI ID]),"")</f>
        <v/>
      </c>
      <c r="C52" s="161"/>
      <c r="D52" s="162"/>
      <c r="E52" s="37"/>
      <c r="F52" s="119"/>
      <c r="G52" s="56"/>
      <c r="H52" s="88"/>
      <c r="I52" s="89"/>
      <c r="J52" s="56"/>
      <c r="K52" s="57"/>
      <c r="L52" s="57"/>
      <c r="M52" s="198"/>
      <c r="N52" s="195"/>
      <c r="O52" s="57"/>
      <c r="P52" s="57"/>
      <c r="Q52" s="57"/>
      <c r="R52" s="55"/>
      <c r="S52" s="141" t="str">
        <f>IF(Data_emergency3[[#This Row],[Total Direct]]="","",Data_emergency3[[#This Row],[Total Direct]])</f>
        <v/>
      </c>
      <c r="U52" s="6"/>
    </row>
    <row r="53" spans="1:21" ht="45" customHeight="1" x14ac:dyDescent="0.3">
      <c r="A53" s="6"/>
      <c r="B53" s="219" t="str">
        <f>IFERROR(_xlfn.XLOOKUP(Data_emergency3[[#This Row],[Indicator]],Final[Indicator Name],Final[KPI ID]),"")</f>
        <v/>
      </c>
      <c r="C53" s="161"/>
      <c r="D53" s="162"/>
      <c r="E53" s="37"/>
      <c r="F53" s="119"/>
      <c r="G53" s="56"/>
      <c r="H53" s="88"/>
      <c r="I53" s="89"/>
      <c r="J53" s="56"/>
      <c r="K53" s="57"/>
      <c r="L53" s="57"/>
      <c r="M53" s="198"/>
      <c r="N53" s="195"/>
      <c r="O53" s="57"/>
      <c r="P53" s="57"/>
      <c r="Q53" s="57"/>
      <c r="R53" s="55"/>
      <c r="S53" s="141" t="str">
        <f>IF(Data_emergency3[[#This Row],[Total Direct]]="","",Data_emergency3[[#This Row],[Total Direct]])</f>
        <v/>
      </c>
      <c r="U53" s="6"/>
    </row>
    <row r="54" spans="1:21" ht="19.2" customHeight="1" x14ac:dyDescent="0.3">
      <c r="A54" s="6"/>
      <c r="B54" s="6"/>
      <c r="C54" s="6"/>
      <c r="D54" s="6"/>
      <c r="E54" s="6"/>
      <c r="F54" s="6"/>
      <c r="G54" s="6"/>
      <c r="H54" s="6"/>
      <c r="I54" s="6"/>
      <c r="J54" s="6"/>
      <c r="K54" s="6"/>
      <c r="L54" s="6"/>
      <c r="M54" s="6"/>
      <c r="N54" s="6"/>
      <c r="O54" s="6"/>
      <c r="P54" s="6"/>
    </row>
    <row r="55" spans="1:21" x14ac:dyDescent="0.3"/>
    <row r="56" spans="1:21" x14ac:dyDescent="0.3"/>
    <row r="57" spans="1:21" x14ac:dyDescent="0.3"/>
    <row r="58" spans="1:21" x14ac:dyDescent="0.3"/>
    <row r="59" spans="1:21" x14ac:dyDescent="0.3"/>
    <row r="60" spans="1:21" x14ac:dyDescent="0.3"/>
    <row r="61" spans="1:21" x14ac:dyDescent="0.3"/>
    <row r="62" spans="1:21" x14ac:dyDescent="0.3"/>
    <row r="63" spans="1:21" x14ac:dyDescent="0.3"/>
    <row r="64" spans="1:21"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sheetData>
  <sheetProtection algorithmName="SHA-512" hashValue="uyHuQPG6k9B4PA0l6HJzf8a1w8Ux7Dn7CfIAYu62nasUUuVkT31em0ICZVYylSEPNjioObKQCVb+Dln4SmS0Ug==" saltValue="m2OBGTRM5Pp6ziXnJYBbmQ==" spinCount="100000" sheet="1" objects="1" scenarios="1"/>
  <mergeCells count="2">
    <mergeCell ref="D3:I3"/>
    <mergeCell ref="F5:Q5"/>
  </mergeCells>
  <phoneticPr fontId="44" type="noConversion"/>
  <conditionalFormatting sqref="A1:P1">
    <cfRule type="expression" dxfId="9" priority="107">
      <formula>Data_Country=""</formula>
    </cfRule>
  </conditionalFormatting>
  <conditionalFormatting sqref="D7:D53">
    <cfRule type="duplicateValues" dxfId="8" priority="256"/>
  </conditionalFormatting>
  <conditionalFormatting sqref="F7:R53">
    <cfRule type="expression" dxfId="7" priority="1">
      <formula>$E7&lt;&gt;"Applicable"</formula>
    </cfRule>
  </conditionalFormatting>
  <conditionalFormatting sqref="S7:S53">
    <cfRule type="expression" dxfId="6" priority="118">
      <formula>$E7&lt;&gt;"Applicable"</formula>
    </cfRule>
  </conditionalFormatting>
  <dataValidations count="8">
    <dataValidation type="list" allowBlank="1" showInputMessage="1" showErrorMessage="1" sqref="C24:C53" xr:uid="{11BF9244-2ADF-4AEC-A72E-D341E83DC765}">
      <formula1>SPs</formula1>
    </dataValidation>
    <dataValidation type="whole" allowBlank="1" showInputMessage="1" showErrorMessage="1" sqref="G22:R53 G11:Q20 R11:R17 R20 F7:R9 F11:F53" xr:uid="{ABB3A0C7-4AC6-430F-ACBF-3F5BFFC0E93C}">
      <formula1>0</formula1>
      <formula2>100000000</formula2>
    </dataValidation>
    <dataValidation allowBlank="1" showErrorMessage="1" prompt="1. This uses &quot;Total direct&quot; if not empty._x000a_2. Otherwise, it uses &quot;Total male&quot; and &quot;Total female&quot; if not empty._x000a_3. If none of the above is available, it uses &quot;sex age disaggregation&quot; data." sqref="S6" xr:uid="{AFF62987-4D01-4EE2-A01A-51B7D7933771}"/>
    <dataValidation type="list" allowBlank="1" showInputMessage="1" showErrorMessage="1" prompt="If an indicator is applicable but you don't have the data, you have the option to select 'Applicable- data not available'." sqref="E7:E53" xr:uid="{44AC3750-2596-49AB-9AED-C9EA02BB1CEF}">
      <formula1>"Applicable,Applicable- data not available"</formula1>
    </dataValidation>
    <dataValidation type="decimal" allowBlank="1" showInputMessage="1" showErrorMessage="1" sqref="F10" xr:uid="{9C76A8FE-DA2C-44EB-AA68-F9708B5E2F33}">
      <formula1>0</formula1>
      <formula2>1</formula2>
    </dataValidation>
    <dataValidation type="list" allowBlank="1" showInputMessage="1" showErrorMessage="1" sqref="D24:D53" xr:uid="{79F693A8-7F68-426C-A094-C091274805BE}">
      <formula1>OFFSET(_Indicator, MATCH($C24, _SP, 0) - 1, 0, COUNTIF(_SP, $C24), 1)</formula1>
    </dataValidation>
    <dataValidation allowBlank="1" showErrorMessage="1" promptTitle="Formula calculation" prompt="1. This uses &quot;Total direct&quot; if not empty._x000a_2. Otherwise, it uses &quot;Total male&quot; and &quot;Total female&quot; if not empty._x000a_3. If none of the above is available, it uses &quot;sex age disaggregation&quot; data." sqref="S7:S53" xr:uid="{17FF2471-53C9-469A-8ACC-74B1F12729EC}"/>
    <dataValidation type="whole" operator="equal" allowBlank="1" showInputMessage="1" showErrorMessage="1" sqref="G10:R10 R18:R19 G21:R21" xr:uid="{A378F269-B9BE-46A6-98D1-A366622F846C}">
      <formula1>90</formula1>
    </dataValidation>
  </dataValidations>
  <pageMargins left="0.7" right="0.7" top="0.75" bottom="0.75" header="0.3" footer="0.3"/>
  <headerFooter>
    <oddFooter>&amp;L_x000D_&amp;1#&amp;"Calibri"&amp;10&amp;K000000 Public</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0BEC-DA89-4105-80D3-450BA649D13A}">
  <sheetPr codeName="Sheet7"/>
  <dimension ref="A1:U29"/>
  <sheetViews>
    <sheetView topLeftCell="C3" zoomScaleNormal="100" workbookViewId="0">
      <selection activeCell="G9" sqref="G9"/>
    </sheetView>
  </sheetViews>
  <sheetFormatPr defaultColWidth="0" defaultRowHeight="0" customHeight="1" zeroHeight="1" x14ac:dyDescent="0.3"/>
  <cols>
    <col min="1" max="1" width="2.44140625" customWidth="1"/>
    <col min="2" max="2" width="26" customWidth="1"/>
    <col min="3" max="3" width="19.6640625" customWidth="1"/>
    <col min="4" max="4" width="19.33203125" customWidth="1"/>
    <col min="5" max="5" width="19.33203125" hidden="1" customWidth="1"/>
    <col min="6" max="6" width="21" customWidth="1"/>
    <col min="7" max="7" width="19.33203125" customWidth="1"/>
    <col min="8" max="8" width="2.6640625" customWidth="1"/>
    <col min="9" max="9" width="16.44140625" customWidth="1"/>
    <col min="10" max="10" width="17" customWidth="1"/>
    <col min="11" max="11" width="18.33203125" customWidth="1"/>
    <col min="12" max="12" width="9.6640625" customWidth="1"/>
    <col min="13" max="13" width="5.5546875" customWidth="1"/>
    <col min="14" max="15" width="8.6640625" hidden="1" customWidth="1"/>
    <col min="16" max="21" width="0" hidden="1" customWidth="1"/>
    <col min="22" max="16384" width="8.6640625" hidden="1"/>
  </cols>
  <sheetData>
    <row r="1" spans="1:13" ht="21" customHeight="1" x14ac:dyDescent="0.3">
      <c r="A1" s="103"/>
      <c r="B1" s="104" t="str">
        <f>IF(Data_Country="","Please select your country at the Start page","2026 Midyear Reporting: "&amp;Data_Country)</f>
        <v>2026 Midyear Reporting: Afghanistan</v>
      </c>
      <c r="C1" s="103"/>
      <c r="D1" s="103"/>
      <c r="E1" s="103"/>
      <c r="F1" s="103"/>
      <c r="G1" s="103"/>
      <c r="H1" s="103"/>
      <c r="I1" s="103"/>
      <c r="J1" s="103"/>
      <c r="K1" s="103"/>
      <c r="L1" s="103"/>
      <c r="M1" s="103"/>
    </row>
    <row r="2" spans="1:13" ht="18" x14ac:dyDescent="0.3">
      <c r="A2" s="1"/>
      <c r="B2" s="47"/>
      <c r="C2" s="1"/>
      <c r="D2" s="1"/>
      <c r="E2" s="1"/>
      <c r="F2" s="1"/>
      <c r="G2" s="1"/>
      <c r="H2" s="1"/>
      <c r="I2" s="1"/>
      <c r="J2" s="1"/>
      <c r="K2" s="1"/>
      <c r="L2" s="1"/>
      <c r="M2" s="1"/>
    </row>
    <row r="3" spans="1:13" ht="25.95" customHeight="1" x14ac:dyDescent="0.3">
      <c r="A3" s="1"/>
      <c r="B3" s="278" t="s">
        <v>1516</v>
      </c>
      <c r="C3" s="278"/>
      <c r="D3" s="278"/>
      <c r="E3" s="278"/>
      <c r="F3" s="278"/>
      <c r="G3" s="278"/>
      <c r="H3" s="278"/>
      <c r="I3" s="278"/>
      <c r="J3" s="278"/>
      <c r="K3" s="1"/>
      <c r="L3" s="1"/>
      <c r="M3" s="1"/>
    </row>
    <row r="4" spans="1:13" ht="13.95" customHeight="1" x14ac:dyDescent="0.3">
      <c r="A4" s="1"/>
      <c r="B4" s="127"/>
      <c r="C4" s="1"/>
      <c r="D4" s="1"/>
      <c r="E4" s="1"/>
      <c r="F4" s="1"/>
      <c r="G4" s="1"/>
      <c r="H4" s="1"/>
      <c r="I4" s="1"/>
      <c r="J4" s="1"/>
      <c r="K4" s="1"/>
      <c r="L4" s="1"/>
      <c r="M4" s="1"/>
    </row>
    <row r="5" spans="1:13" ht="38.700000000000003" customHeight="1" x14ac:dyDescent="0.3">
      <c r="A5" s="1"/>
      <c r="B5" s="1"/>
      <c r="C5" s="1"/>
      <c r="D5" s="1"/>
      <c r="E5" s="1" t="s">
        <v>14</v>
      </c>
      <c r="F5" s="105" t="s">
        <v>1514</v>
      </c>
      <c r="G5" s="105" t="s">
        <v>1515</v>
      </c>
      <c r="H5" s="106"/>
      <c r="I5" s="279" t="s">
        <v>1480</v>
      </c>
      <c r="J5" s="279"/>
      <c r="K5" s="279"/>
      <c r="L5" s="279"/>
      <c r="M5" s="1"/>
    </row>
    <row r="6" spans="1:13" ht="24" customHeight="1" x14ac:dyDescent="0.3">
      <c r="A6" s="1"/>
      <c r="B6" s="1"/>
      <c r="C6" s="286" t="s">
        <v>1481</v>
      </c>
      <c r="D6" s="286"/>
      <c r="E6" s="107" t="s">
        <v>1481</v>
      </c>
      <c r="F6" s="98"/>
      <c r="G6" s="98"/>
      <c r="H6" s="108"/>
      <c r="I6" s="279"/>
      <c r="J6" s="279"/>
      <c r="K6" s="279"/>
      <c r="L6" s="279"/>
      <c r="M6" s="1"/>
    </row>
    <row r="7" spans="1:13" ht="24.6" customHeight="1" x14ac:dyDescent="0.3">
      <c r="A7" s="1"/>
      <c r="B7" s="283" t="s">
        <v>1482</v>
      </c>
      <c r="C7" s="287" t="s">
        <v>1483</v>
      </c>
      <c r="D7" s="287"/>
      <c r="E7" s="109" t="s">
        <v>1484</v>
      </c>
      <c r="F7" s="99"/>
      <c r="G7" s="110"/>
      <c r="H7" s="110"/>
      <c r="I7" s="279"/>
      <c r="J7" s="279"/>
      <c r="K7" s="279"/>
      <c r="L7" s="279"/>
      <c r="M7" s="1"/>
    </row>
    <row r="8" spans="1:13" ht="24" customHeight="1" x14ac:dyDescent="0.3">
      <c r="A8" s="1"/>
      <c r="B8" s="284"/>
      <c r="C8" s="287" t="s">
        <v>1485</v>
      </c>
      <c r="D8" s="287"/>
      <c r="E8" s="109" t="s">
        <v>1486</v>
      </c>
      <c r="F8" s="99"/>
      <c r="G8" s="110"/>
      <c r="H8" s="110"/>
      <c r="I8" s="279"/>
      <c r="J8" s="279"/>
      <c r="K8" s="279"/>
      <c r="L8" s="279"/>
      <c r="M8" s="1"/>
    </row>
    <row r="9" spans="1:13" ht="24" customHeight="1" x14ac:dyDescent="0.3">
      <c r="A9" s="1"/>
      <c r="B9" s="284"/>
      <c r="C9" s="287" t="s">
        <v>1487</v>
      </c>
      <c r="D9" s="287"/>
      <c r="E9" s="109" t="s">
        <v>1488</v>
      </c>
      <c r="F9" s="99"/>
      <c r="G9" s="110"/>
      <c r="H9" s="110"/>
      <c r="I9" s="279"/>
      <c r="J9" s="279"/>
      <c r="K9" s="279"/>
      <c r="L9" s="279"/>
      <c r="M9" s="1"/>
    </row>
    <row r="10" spans="1:13" ht="25.95" customHeight="1" x14ac:dyDescent="0.3">
      <c r="A10" s="1"/>
      <c r="B10" s="1"/>
      <c r="C10" s="1"/>
      <c r="D10" s="1"/>
      <c r="E10" s="1"/>
      <c r="F10" s="1"/>
      <c r="G10" s="1"/>
      <c r="H10" s="1"/>
      <c r="I10" s="1"/>
      <c r="J10" s="111"/>
      <c r="K10" s="111"/>
      <c r="L10" s="1"/>
      <c r="M10" s="1"/>
    </row>
    <row r="11" spans="1:13" ht="14.7" customHeight="1" x14ac:dyDescent="0.3">
      <c r="A11" s="1"/>
      <c r="B11" s="1"/>
      <c r="C11" s="1"/>
      <c r="D11" s="1"/>
      <c r="E11" s="1"/>
      <c r="F11" s="1"/>
      <c r="G11" s="1"/>
      <c r="H11" s="1"/>
      <c r="I11" s="1"/>
      <c r="J11" s="111"/>
      <c r="K11" s="111"/>
      <c r="L11" s="1"/>
      <c r="M11" s="1"/>
    </row>
    <row r="12" spans="1:13" ht="28.95" customHeight="1" x14ac:dyDescent="0.3">
      <c r="A12" s="1"/>
      <c r="B12" s="1"/>
      <c r="C12" s="1"/>
      <c r="D12" s="1"/>
      <c r="E12" s="7" t="s">
        <v>14</v>
      </c>
      <c r="F12" s="105" t="s">
        <v>1489</v>
      </c>
      <c r="G12" s="112" t="s">
        <v>1490</v>
      </c>
      <c r="H12" s="106"/>
      <c r="I12" s="1"/>
      <c r="J12" s="1"/>
      <c r="K12" s="1"/>
      <c r="L12" s="1"/>
      <c r="M12" s="1"/>
    </row>
    <row r="13" spans="1:13" ht="28.95" customHeight="1" x14ac:dyDescent="0.3">
      <c r="A13" s="1"/>
      <c r="B13" s="1"/>
      <c r="C13" s="285" t="s">
        <v>1481</v>
      </c>
      <c r="D13" s="286"/>
      <c r="E13" s="107" t="s">
        <v>1481</v>
      </c>
      <c r="F13" s="113">
        <f t="shared" ref="F13" si="0">F6</f>
        <v>0</v>
      </c>
      <c r="G13" s="114">
        <f t="shared" ref="G13" si="1">G6</f>
        <v>0</v>
      </c>
      <c r="H13" s="115"/>
      <c r="I13" s="1"/>
      <c r="J13" s="1"/>
      <c r="K13" s="1"/>
      <c r="L13" s="1"/>
      <c r="M13" s="1"/>
    </row>
    <row r="14" spans="1:13" ht="24" customHeight="1" x14ac:dyDescent="0.3">
      <c r="A14" s="1"/>
      <c r="B14" s="280" t="s">
        <v>1491</v>
      </c>
      <c r="C14" s="147"/>
      <c r="D14" s="146" t="s">
        <v>1517</v>
      </c>
      <c r="E14" s="116" t="s">
        <v>82</v>
      </c>
      <c r="F14" s="99"/>
      <c r="G14" s="100"/>
      <c r="H14" s="117"/>
      <c r="I14" s="1"/>
      <c r="J14" s="1"/>
      <c r="K14" s="1"/>
      <c r="L14" s="1"/>
      <c r="M14" s="1"/>
    </row>
    <row r="15" spans="1:13" ht="24" customHeight="1" x14ac:dyDescent="0.3">
      <c r="A15" s="1"/>
      <c r="B15" s="281"/>
      <c r="C15" s="148"/>
      <c r="D15" s="146" t="s">
        <v>1518</v>
      </c>
      <c r="E15" s="116" t="s">
        <v>32</v>
      </c>
      <c r="F15" s="99"/>
      <c r="G15" s="100"/>
      <c r="H15" s="117"/>
      <c r="I15" s="1"/>
      <c r="J15" s="1"/>
      <c r="K15" s="1"/>
      <c r="L15" s="1"/>
      <c r="M15" s="1"/>
    </row>
    <row r="16" spans="1:13" ht="24" customHeight="1" x14ac:dyDescent="0.3">
      <c r="A16" s="1"/>
      <c r="B16" s="281"/>
      <c r="C16" s="147"/>
      <c r="D16" s="146" t="s">
        <v>1519</v>
      </c>
      <c r="E16" s="116" t="s">
        <v>47</v>
      </c>
      <c r="F16" s="99"/>
      <c r="G16" s="100"/>
      <c r="H16" s="117"/>
      <c r="I16" s="1"/>
      <c r="J16" s="1"/>
      <c r="K16" s="1"/>
      <c r="L16" s="1"/>
      <c r="M16" s="1"/>
    </row>
    <row r="17" spans="1:13" ht="24" customHeight="1" x14ac:dyDescent="0.3">
      <c r="A17" s="1"/>
      <c r="B17" s="281"/>
      <c r="C17" s="148"/>
      <c r="D17" s="146" t="s">
        <v>1520</v>
      </c>
      <c r="E17" s="116" t="s">
        <v>26</v>
      </c>
      <c r="F17" s="99"/>
      <c r="G17" s="100"/>
      <c r="H17" s="117"/>
      <c r="I17" s="1"/>
      <c r="J17" s="1"/>
      <c r="K17" s="1"/>
      <c r="L17" s="1"/>
      <c r="M17" s="1"/>
    </row>
    <row r="18" spans="1:13" ht="24" customHeight="1" x14ac:dyDescent="0.3">
      <c r="A18" s="1"/>
      <c r="B18" s="281"/>
      <c r="C18" s="147"/>
      <c r="D18" s="146" t="s">
        <v>1521</v>
      </c>
      <c r="E18" s="116" t="s">
        <v>37</v>
      </c>
      <c r="F18" s="99"/>
      <c r="G18" s="100"/>
      <c r="H18" s="117"/>
      <c r="I18" s="1"/>
      <c r="J18" s="1"/>
      <c r="K18" s="1"/>
      <c r="L18" s="1"/>
      <c r="M18" s="1"/>
    </row>
    <row r="19" spans="1:13" ht="24" customHeight="1" x14ac:dyDescent="0.3">
      <c r="A19" s="1"/>
      <c r="B19" s="282"/>
      <c r="C19" s="147"/>
      <c r="D19" s="146" t="s">
        <v>1494</v>
      </c>
      <c r="E19" s="118" t="s">
        <v>42</v>
      </c>
      <c r="F19" s="101"/>
      <c r="G19" s="102"/>
      <c r="H19" s="117"/>
      <c r="I19" s="1"/>
      <c r="J19" s="1"/>
      <c r="K19" s="1"/>
      <c r="L19" s="1"/>
      <c r="M19" s="1"/>
    </row>
    <row r="20" spans="1:13" ht="41.7" customHeight="1" x14ac:dyDescent="0.3">
      <c r="A20" s="1"/>
      <c r="B20" s="1"/>
      <c r="C20" s="1"/>
      <c r="D20" s="1"/>
      <c r="E20" s="1"/>
      <c r="F20" s="1"/>
      <c r="G20" s="1"/>
      <c r="H20" s="1"/>
      <c r="I20" s="1"/>
      <c r="J20" s="1"/>
      <c r="K20" s="1"/>
      <c r="L20" s="1"/>
      <c r="M20" s="1"/>
    </row>
    <row r="21" spans="1:13" ht="14.4" hidden="1" x14ac:dyDescent="0.3"/>
    <row r="22" spans="1:13" ht="14.4" hidden="1" x14ac:dyDescent="0.3"/>
    <row r="23" spans="1:13" ht="14.4" hidden="1" x14ac:dyDescent="0.3"/>
    <row r="24" spans="1:13" ht="14.4" hidden="1" x14ac:dyDescent="0.3"/>
    <row r="25" spans="1:13" ht="14.4" hidden="1" x14ac:dyDescent="0.3"/>
    <row r="26" spans="1:13" ht="14.4" hidden="1" x14ac:dyDescent="0.3"/>
    <row r="27" spans="1:13" ht="14.4" hidden="1" x14ac:dyDescent="0.3"/>
    <row r="28" spans="1:13" ht="14.4" hidden="1" x14ac:dyDescent="0.3"/>
    <row r="29" spans="1:13" ht="14.7" hidden="1" customHeight="1" x14ac:dyDescent="0.3"/>
  </sheetData>
  <sheetProtection algorithmName="SHA-512" hashValue="Y3avooVPf5FxN+sdW2kTpvhoZ3h55pqp6yijcFSdOefGadb0QIHLAn8vuvNEefbXBCDYobNcA8Yk4mUXuYZtnw==" saltValue="ds4VPt1ggCHb0Cz/tfZysw==" spinCount="100000" sheet="1" objects="1" scenarios="1"/>
  <mergeCells count="9">
    <mergeCell ref="B3:J3"/>
    <mergeCell ref="I5:L9"/>
    <mergeCell ref="B14:B19"/>
    <mergeCell ref="B7:B9"/>
    <mergeCell ref="C13:D13"/>
    <mergeCell ref="C6:D6"/>
    <mergeCell ref="C7:D7"/>
    <mergeCell ref="C8:D8"/>
    <mergeCell ref="C9:D9"/>
  </mergeCells>
  <conditionalFormatting sqref="A1:M1">
    <cfRule type="expression" dxfId="5" priority="1">
      <formula>Data_Country=""</formula>
    </cfRule>
  </conditionalFormatting>
  <dataValidations count="1">
    <dataValidation type="whole" operator="greaterThan" allowBlank="1" showInputMessage="1" showErrorMessage="1" sqref="F14:G19 F6:F9 G6" xr:uid="{AE2FEBB8-DF3C-455C-876D-C8A955A9877A}">
      <formula1>0</formula1>
    </dataValidation>
  </dataValidations>
  <pageMargins left="0.7" right="0.7" top="0.75" bottom="0.75" header="0.3" footer="0.3"/>
  <headerFooter>
    <oddFooter>&amp;L_x000D_&amp;1#&amp;"Calibri"&amp;10&amp;K000000 Public</oddFooter>
  </headerFooter>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Q61"/>
  <sheetViews>
    <sheetView workbookViewId="0">
      <selection activeCell="F11" sqref="F11"/>
    </sheetView>
  </sheetViews>
  <sheetFormatPr defaultColWidth="0" defaultRowHeight="14.4" zeroHeight="1" x14ac:dyDescent="0.3"/>
  <cols>
    <col min="1" max="1" width="4.33203125" customWidth="1"/>
    <col min="2" max="2" width="27.6640625" customWidth="1"/>
    <col min="3" max="3" width="34.6640625" customWidth="1"/>
    <col min="4" max="4" width="34.6640625" hidden="1" customWidth="1"/>
    <col min="5" max="16" width="10.33203125" customWidth="1"/>
    <col min="17" max="17" width="3.33203125" customWidth="1"/>
    <col min="18" max="16384" width="8.6640625" hidden="1"/>
  </cols>
  <sheetData>
    <row r="1" spans="1:17" ht="24.6" customHeight="1" x14ac:dyDescent="0.3">
      <c r="A1" s="48"/>
      <c r="B1" s="104" t="str">
        <f>IF(Data_Country="","Please select your country at the Start page","2026 Midyear Reporting: "&amp;Data_Country)</f>
        <v>2026 Midyear Reporting: Afghanistan</v>
      </c>
      <c r="C1" s="48"/>
      <c r="D1" s="48"/>
      <c r="E1" s="48"/>
      <c r="F1" s="48"/>
      <c r="G1" s="48"/>
      <c r="H1" s="48"/>
      <c r="I1" s="48"/>
      <c r="J1" s="48"/>
      <c r="K1" s="48"/>
      <c r="L1" s="48"/>
      <c r="M1" s="48"/>
      <c r="N1" s="48"/>
      <c r="O1" s="48"/>
      <c r="P1" s="48"/>
      <c r="Q1" s="48"/>
    </row>
    <row r="2" spans="1:17" ht="43.95" customHeight="1" x14ac:dyDescent="0.3">
      <c r="A2" s="6"/>
      <c r="B2" s="47"/>
      <c r="C2" s="6"/>
      <c r="D2" s="6"/>
      <c r="E2" s="6"/>
      <c r="F2" s="6"/>
      <c r="G2" s="6"/>
      <c r="H2" s="46" t="s">
        <v>1492</v>
      </c>
      <c r="I2" s="6"/>
      <c r="J2" s="6"/>
      <c r="K2" s="6"/>
      <c r="L2" s="6"/>
      <c r="M2" s="6"/>
      <c r="N2" s="6"/>
      <c r="O2" s="6"/>
      <c r="P2" s="6"/>
      <c r="Q2" s="6"/>
    </row>
    <row r="3" spans="1:17" ht="56.7" customHeight="1" x14ac:dyDescent="0.3">
      <c r="A3" s="6"/>
      <c r="B3" s="289" t="s">
        <v>1493</v>
      </c>
      <c r="C3" s="268"/>
      <c r="D3" s="268"/>
      <c r="E3" s="268"/>
      <c r="F3" s="268"/>
      <c r="G3" s="268"/>
      <c r="H3" s="268"/>
      <c r="I3" s="268"/>
      <c r="J3" s="268"/>
      <c r="K3" s="268"/>
      <c r="L3" s="268"/>
      <c r="M3" s="268"/>
      <c r="N3" s="6"/>
      <c r="O3" s="6"/>
      <c r="P3" s="6"/>
      <c r="Q3" s="6"/>
    </row>
    <row r="4" spans="1:17" ht="8.6999999999999993" customHeight="1" x14ac:dyDescent="0.3">
      <c r="A4" s="6"/>
      <c r="B4" s="29"/>
      <c r="C4" s="29"/>
      <c r="D4" s="29"/>
      <c r="E4" s="28"/>
      <c r="F4" s="28"/>
      <c r="G4" s="28"/>
      <c r="H4" s="28"/>
      <c r="I4" s="28"/>
      <c r="J4" s="28"/>
      <c r="K4" s="28"/>
      <c r="L4" s="28"/>
      <c r="M4" s="28"/>
      <c r="N4" s="28"/>
      <c r="O4" s="28"/>
      <c r="P4" s="28"/>
      <c r="Q4" s="6"/>
    </row>
    <row r="5" spans="1:17" ht="31.2" customHeight="1" x14ac:dyDescent="0.3">
      <c r="A5" s="6"/>
      <c r="B5" s="290"/>
      <c r="C5" s="290"/>
      <c r="D5" s="29"/>
      <c r="E5" s="288" t="s">
        <v>1517</v>
      </c>
      <c r="F5" s="288"/>
      <c r="G5" s="288" t="s">
        <v>1518</v>
      </c>
      <c r="H5" s="288"/>
      <c r="I5" s="288" t="s">
        <v>1519</v>
      </c>
      <c r="J5" s="288"/>
      <c r="K5" s="288" t="s">
        <v>1520</v>
      </c>
      <c r="L5" s="288"/>
      <c r="M5" s="288" t="s">
        <v>1521</v>
      </c>
      <c r="N5" s="288"/>
      <c r="O5" s="288" t="s">
        <v>1494</v>
      </c>
      <c r="P5" s="288"/>
      <c r="Q5" s="6"/>
    </row>
    <row r="6" spans="1:17" ht="24.6" customHeight="1" x14ac:dyDescent="0.3">
      <c r="A6" s="6"/>
      <c r="B6" s="25" t="s">
        <v>0</v>
      </c>
      <c r="C6" s="25" t="s">
        <v>1495</v>
      </c>
      <c r="D6" s="74" t="s">
        <v>10</v>
      </c>
      <c r="E6" s="19" t="s">
        <v>1496</v>
      </c>
      <c r="F6" s="19" t="s">
        <v>1497</v>
      </c>
      <c r="G6" s="19" t="s">
        <v>1496</v>
      </c>
      <c r="H6" s="19" t="s">
        <v>1497</v>
      </c>
      <c r="I6" s="19" t="s">
        <v>1496</v>
      </c>
      <c r="J6" s="19" t="s">
        <v>1497</v>
      </c>
      <c r="K6" s="19" t="s">
        <v>1496</v>
      </c>
      <c r="L6" s="19" t="s">
        <v>1497</v>
      </c>
      <c r="M6" s="19" t="s">
        <v>1496</v>
      </c>
      <c r="N6" s="19" t="s">
        <v>1497</v>
      </c>
      <c r="O6" s="19" t="s">
        <v>1496</v>
      </c>
      <c r="P6" s="19" t="s">
        <v>1497</v>
      </c>
      <c r="Q6" s="6"/>
    </row>
    <row r="7" spans="1:17" ht="28.8" hidden="1" x14ac:dyDescent="0.3">
      <c r="A7" s="6"/>
      <c r="B7" s="25"/>
      <c r="C7" s="25"/>
      <c r="D7" s="74" t="s">
        <v>10</v>
      </c>
      <c r="E7" s="75" t="s">
        <v>1500</v>
      </c>
      <c r="F7" s="75" t="s">
        <v>1501</v>
      </c>
      <c r="G7" s="75" t="s">
        <v>1498</v>
      </c>
      <c r="H7" s="75" t="s">
        <v>1499</v>
      </c>
      <c r="I7" s="75" t="s">
        <v>1502</v>
      </c>
      <c r="J7" s="75" t="s">
        <v>1503</v>
      </c>
      <c r="K7" s="75" t="s">
        <v>1504</v>
      </c>
      <c r="L7" s="75" t="s">
        <v>1505</v>
      </c>
      <c r="M7" s="75" t="s">
        <v>1506</v>
      </c>
      <c r="N7" s="75" t="s">
        <v>1507</v>
      </c>
      <c r="O7" s="75" t="s">
        <v>1508</v>
      </c>
      <c r="P7" s="75" t="s">
        <v>1509</v>
      </c>
      <c r="Q7" s="6"/>
    </row>
    <row r="8" spans="1:17" ht="16.2" customHeight="1" x14ac:dyDescent="0.3">
      <c r="A8" s="291" t="s">
        <v>1510</v>
      </c>
      <c r="B8" s="22" t="str">
        <f>IFERROR(_xlfn.XLOOKUP(C8,NSMap[NS name],NSMap[Region]),"")</f>
        <v>Europe &amp; CA</v>
      </c>
      <c r="C8" s="52" t="str" cm="1">
        <f t="array" ref="C8:C11">IF(Data_Country=""," ",IFERROR(_xlfn.UNIQUE(_xlfn._xlws.FILTER(_xlfn._xlws.FILTER(PlannedActivities[Value],PlannedActivities[Country]=Data_Country),_xlfn._xlws.FILTER(PlannedActivities[Value],PlannedActivities[Country]=Data_Country)&lt;&gt;"All other sources")),"No bilateral PNS support in Plan 2025"))</f>
        <v>Danish Red Cross</v>
      </c>
      <c r="D8" s="71" t="str">
        <f t="shared" ref="D8:D32" si="0">IF(C8="","",C8)</f>
        <v>Danish Red Cross</v>
      </c>
      <c r="E8" s="23" t="str">
        <f>IF(COUNTIFS(PlannedActivities[Country],Data_Country,PlannedActivities[Attribute],"SP1",PlannedActivities[Value],C8)=1,"X","")</f>
        <v/>
      </c>
      <c r="F8" s="20"/>
      <c r="G8" s="23" t="str">
        <f>IF(COUNTIFS(PlannedActivities[Country],Data_Country,PlannedActivities[Attribute],"SP2",PlannedActivities[Value],C8)=1,"X","")</f>
        <v>X</v>
      </c>
      <c r="H8" s="20"/>
      <c r="I8" s="23" t="str">
        <f>IF(COUNTIFS(PlannedActivities[Country],Data_Country,PlannedActivities[Attribute],"SP3",PlannedActivities[Value],C8)=1,"X","")</f>
        <v>X</v>
      </c>
      <c r="J8" s="20"/>
      <c r="K8" s="23" t="str">
        <f>IF(COUNTIFS(PlannedActivities[Country],Data_Country,PlannedActivities[Attribute],"SP4",PlannedActivities[Value],C8)=1,"X","")</f>
        <v>X</v>
      </c>
      <c r="L8" s="20"/>
      <c r="M8" s="23" t="str">
        <f>IF(COUNTIFS(PlannedActivities[Country],Data_Country,PlannedActivities[Attribute],"SP5",PlannedActivities[Value],C8)=1,"X","")</f>
        <v>X</v>
      </c>
      <c r="N8" s="20"/>
      <c r="O8" s="23" t="str">
        <f>IF(COUNTIFS(PlannedActivities[Country],Data_Country,PlannedActivities[Attribute],"EF",PlannedActivities[Value],C8)=1,"X","")</f>
        <v/>
      </c>
      <c r="P8" s="72"/>
      <c r="Q8" s="6"/>
    </row>
    <row r="9" spans="1:17" ht="16.2" customHeight="1" x14ac:dyDescent="0.3">
      <c r="A9" s="291"/>
      <c r="B9" s="22" t="str">
        <f>IFERROR(_xlfn.XLOOKUP(C9,NSMap[NS name],NSMap[Region]),"")</f>
        <v>Europe &amp; CA</v>
      </c>
      <c r="C9" s="53" t="str">
        <v>Norwegian Red Cross</v>
      </c>
      <c r="D9" s="71" t="str">
        <f t="shared" si="0"/>
        <v>Norwegian Red Cross</v>
      </c>
      <c r="E9" s="23" t="str">
        <f>IF(COUNTIFS(PlannedActivities[Country],Data_Country,PlannedActivities[Attribute],"SP1",PlannedActivities[Value],C9)=1,"X","")</f>
        <v/>
      </c>
      <c r="F9" s="21"/>
      <c r="G9" s="23" t="str">
        <f>IF(COUNTIFS(PlannedActivities[Country],Data_Country,PlannedActivities[Attribute],"SP2",PlannedActivities[Value],C9)=1,"X","")</f>
        <v>X</v>
      </c>
      <c r="H9" s="21"/>
      <c r="I9" s="23" t="str">
        <f>IF(COUNTIFS(PlannedActivities[Country],Data_Country,PlannedActivities[Attribute],"SP3",PlannedActivities[Value],C9)=1,"X","")</f>
        <v>X</v>
      </c>
      <c r="J9" s="21"/>
      <c r="K9" s="23" t="str">
        <f>IF(COUNTIFS(PlannedActivities[Country],Data_Country,PlannedActivities[Attribute],"SP4",PlannedActivities[Value],C9)=1,"X","")</f>
        <v>X</v>
      </c>
      <c r="L9" s="21"/>
      <c r="M9" s="23" t="str">
        <f>IF(COUNTIFS(PlannedActivities[Country],Data_Country,PlannedActivities[Attribute],"SP5",PlannedActivities[Value],C9)=1,"X","")</f>
        <v/>
      </c>
      <c r="N9" s="21"/>
      <c r="O9" s="23" t="str">
        <f>IF(COUNTIFS(PlannedActivities[Country],Data_Country,PlannedActivities[Attribute],"EF",PlannedActivities[Value],C9)=1,"X","")</f>
        <v/>
      </c>
      <c r="P9" s="73"/>
      <c r="Q9" s="6"/>
    </row>
    <row r="10" spans="1:17" ht="16.2" customHeight="1" x14ac:dyDescent="0.3">
      <c r="A10" s="291"/>
      <c r="B10" s="22" t="str">
        <f>IFERROR(_xlfn.XLOOKUP(C10,NSMap[NS name],NSMap[Region]),"")</f>
        <v>MENA</v>
      </c>
      <c r="C10" s="22" t="str">
        <v>Qatar Red Crescent Society</v>
      </c>
      <c r="D10" s="71" t="str">
        <f t="shared" si="0"/>
        <v>Qatar Red Crescent Society</v>
      </c>
      <c r="E10" s="23" t="str">
        <f>IF(COUNTIFS(PlannedActivities[Country],Data_Country,PlannedActivities[Attribute],"SP1",PlannedActivities[Value],C10)=1,"X","")</f>
        <v/>
      </c>
      <c r="F10" s="20"/>
      <c r="G10" s="23" t="str">
        <f>IF(COUNTIFS(PlannedActivities[Country],Data_Country,PlannedActivities[Attribute],"SP2",PlannedActivities[Value],C10)=1,"X","")</f>
        <v>X</v>
      </c>
      <c r="H10" s="20"/>
      <c r="I10" s="23" t="str">
        <f>IF(COUNTIFS(PlannedActivities[Country],Data_Country,PlannedActivities[Attribute],"SP3",PlannedActivities[Value],C10)=1,"X","")</f>
        <v>X</v>
      </c>
      <c r="J10" s="20"/>
      <c r="K10" s="23" t="str">
        <f>IF(COUNTIFS(PlannedActivities[Country],Data_Country,PlannedActivities[Attribute],"SP4",PlannedActivities[Value],C10)=1,"X","")</f>
        <v>X</v>
      </c>
      <c r="L10" s="20"/>
      <c r="M10" s="23" t="str">
        <f>IF(COUNTIFS(PlannedActivities[Country],Data_Country,PlannedActivities[Attribute],"SP5",PlannedActivities[Value],C10)=1,"X","")</f>
        <v/>
      </c>
      <c r="N10" s="20"/>
      <c r="O10" s="23" t="str">
        <f>IF(COUNTIFS(PlannedActivities[Country],Data_Country,PlannedActivities[Attribute],"EF",PlannedActivities[Value],C10)=1,"X","")</f>
        <v/>
      </c>
      <c r="P10" s="72"/>
      <c r="Q10" s="6"/>
    </row>
    <row r="11" spans="1:17" ht="16.2" customHeight="1" x14ac:dyDescent="0.3">
      <c r="A11" s="291"/>
      <c r="B11" s="22" t="str">
        <f>IFERROR(_xlfn.XLOOKUP(C11,NSMap[NS name],NSMap[Region]),"")</f>
        <v>Europe &amp; CA</v>
      </c>
      <c r="C11" s="54" t="str">
        <v>Turkish Red Crescent Society</v>
      </c>
      <c r="D11" s="71" t="str">
        <f t="shared" si="0"/>
        <v>Turkish Red Crescent Society</v>
      </c>
      <c r="E11" s="23" t="str">
        <f>IF(COUNTIFS(PlannedActivities[Country],Data_Country,PlannedActivities[Attribute],"SP1",PlannedActivities[Value],C11)=1,"X","")</f>
        <v>X</v>
      </c>
      <c r="F11" s="21"/>
      <c r="G11" s="23" t="str">
        <f>IF(COUNTIFS(PlannedActivities[Country],Data_Country,PlannedActivities[Attribute],"SP2",PlannedActivities[Value],C11)=1,"X","")</f>
        <v>X</v>
      </c>
      <c r="H11" s="21"/>
      <c r="I11" s="23" t="str">
        <f>IF(COUNTIFS(PlannedActivities[Country],Data_Country,PlannedActivities[Attribute],"SP3",PlannedActivities[Value],C11)=1,"X","")</f>
        <v>X</v>
      </c>
      <c r="J11" s="21"/>
      <c r="K11" s="23" t="str">
        <f>IF(COUNTIFS(PlannedActivities[Country],Data_Country,PlannedActivities[Attribute],"SP4",PlannedActivities[Value],C11)=1,"X","")</f>
        <v>X</v>
      </c>
      <c r="L11" s="21"/>
      <c r="M11" s="23" t="str">
        <f>IF(COUNTIFS(PlannedActivities[Country],Data_Country,PlannedActivities[Attribute],"SP5",PlannedActivities[Value],C11)=1,"X","")</f>
        <v>X</v>
      </c>
      <c r="N11" s="21"/>
      <c r="O11" s="23" t="str">
        <f>IF(COUNTIFS(PlannedActivities[Country],Data_Country,PlannedActivities[Attribute],"EF",PlannedActivities[Value],C11)=1,"X","")</f>
        <v/>
      </c>
      <c r="P11" s="73"/>
      <c r="Q11" s="6"/>
    </row>
    <row r="12" spans="1:17" ht="16.2" customHeight="1" x14ac:dyDescent="0.3">
      <c r="A12" s="291"/>
      <c r="B12" s="22" t="str">
        <f>IFERROR(_xlfn.XLOOKUP(C12,NSMap[NS name],NSMap[Region]),"")</f>
        <v/>
      </c>
      <c r="C12" s="22"/>
      <c r="D12" s="71" t="str">
        <f t="shared" si="0"/>
        <v/>
      </c>
      <c r="E12" s="23" t="str">
        <f>IF(COUNTIFS(PlannedActivities[Country],Data_Country,PlannedActivities[Attribute],"SP1",PlannedActivities[Value],C12)=1,"X","")</f>
        <v/>
      </c>
      <c r="F12" s="20"/>
      <c r="G12" s="23" t="str">
        <f>IF(COUNTIFS(PlannedActivities[Country],Data_Country,PlannedActivities[Attribute],"SP2",PlannedActivities[Value],C12)=1,"X","")</f>
        <v/>
      </c>
      <c r="H12" s="20"/>
      <c r="I12" s="23" t="str">
        <f>IF(COUNTIFS(PlannedActivities[Country],Data_Country,PlannedActivities[Attribute],"SP3",PlannedActivities[Value],C12)=1,"X","")</f>
        <v/>
      </c>
      <c r="J12" s="20"/>
      <c r="K12" s="23" t="str">
        <f>IF(COUNTIFS(PlannedActivities[Country],Data_Country,PlannedActivities[Attribute],"SP4",PlannedActivities[Value],C12)=1,"X","")</f>
        <v/>
      </c>
      <c r="L12" s="20"/>
      <c r="M12" s="23" t="str">
        <f>IF(COUNTIFS(PlannedActivities[Country],Data_Country,PlannedActivities[Attribute],"SP5",PlannedActivities[Value],C12)=1,"X","")</f>
        <v/>
      </c>
      <c r="N12" s="20"/>
      <c r="O12" s="23" t="str">
        <f>IF(COUNTIFS(PlannedActivities[Country],Data_Country,PlannedActivities[Attribute],"EF",PlannedActivities[Value],C12)=1,"X","")</f>
        <v/>
      </c>
      <c r="P12" s="72"/>
      <c r="Q12" s="6"/>
    </row>
    <row r="13" spans="1:17" ht="16.2" customHeight="1" x14ac:dyDescent="0.3">
      <c r="A13" s="291"/>
      <c r="B13" s="22" t="str">
        <f>IFERROR(_xlfn.XLOOKUP(C13,NSMap[NS name],NSMap[Region]),"")</f>
        <v/>
      </c>
      <c r="C13" s="54"/>
      <c r="D13" s="71" t="str">
        <f t="shared" si="0"/>
        <v/>
      </c>
      <c r="E13" s="23" t="str">
        <f>IF(COUNTIFS(PlannedActivities[Country],Data_Country,PlannedActivities[Attribute],"SP1",PlannedActivities[Value],C13)=1,"X","")</f>
        <v/>
      </c>
      <c r="F13" s="21"/>
      <c r="G13" s="23" t="str">
        <f>IF(COUNTIFS(PlannedActivities[Country],Data_Country,PlannedActivities[Attribute],"SP2",PlannedActivities[Value],C13)=1,"X","")</f>
        <v/>
      </c>
      <c r="H13" s="21"/>
      <c r="I13" s="23" t="str">
        <f>IF(COUNTIFS(PlannedActivities[Country],Data_Country,PlannedActivities[Attribute],"SP3",PlannedActivities[Value],C13)=1,"X","")</f>
        <v/>
      </c>
      <c r="J13" s="21"/>
      <c r="K13" s="23" t="str">
        <f>IF(COUNTIFS(PlannedActivities[Country],Data_Country,PlannedActivities[Attribute],"SP4",PlannedActivities[Value],C13)=1,"X","")</f>
        <v/>
      </c>
      <c r="L13" s="21"/>
      <c r="M13" s="23" t="str">
        <f>IF(COUNTIFS(PlannedActivities[Country],Data_Country,PlannedActivities[Attribute],"SP5",PlannedActivities[Value],C13)=1,"X","")</f>
        <v/>
      </c>
      <c r="N13" s="21"/>
      <c r="O13" s="23" t="str">
        <f>IF(COUNTIFS(PlannedActivities[Country],Data_Country,PlannedActivities[Attribute],"EF",PlannedActivities[Value],C13)=1,"X","")</f>
        <v/>
      </c>
      <c r="P13" s="73"/>
      <c r="Q13" s="6"/>
    </row>
    <row r="14" spans="1:17" ht="16.2" customHeight="1" x14ac:dyDescent="0.3">
      <c r="A14" s="291"/>
      <c r="B14" s="22" t="str">
        <f>IFERROR(_xlfn.XLOOKUP(C14,NSMap[NS name],NSMap[Region]),"")</f>
        <v/>
      </c>
      <c r="C14" s="22"/>
      <c r="D14" s="71" t="str">
        <f t="shared" si="0"/>
        <v/>
      </c>
      <c r="E14" s="23" t="str">
        <f>IF(COUNTIFS(PlannedActivities[Country],Data_Country,PlannedActivities[Attribute],"SP1",PlannedActivities[Value],C14)=1,"X","")</f>
        <v/>
      </c>
      <c r="F14" s="20"/>
      <c r="G14" s="23" t="str">
        <f>IF(COUNTIFS(PlannedActivities[Country],Data_Country,PlannedActivities[Attribute],"SP2",PlannedActivities[Value],C14)=1,"X","")</f>
        <v/>
      </c>
      <c r="H14" s="20"/>
      <c r="I14" s="23" t="str">
        <f>IF(COUNTIFS(PlannedActivities[Country],Data_Country,PlannedActivities[Attribute],"SP3",PlannedActivities[Value],C14)=1,"X","")</f>
        <v/>
      </c>
      <c r="J14" s="20"/>
      <c r="K14" s="23" t="str">
        <f>IF(COUNTIFS(PlannedActivities[Country],Data_Country,PlannedActivities[Attribute],"SP4",PlannedActivities[Value],C14)=1,"X","")</f>
        <v/>
      </c>
      <c r="L14" s="20"/>
      <c r="M14" s="23" t="str">
        <f>IF(COUNTIFS(PlannedActivities[Country],Data_Country,PlannedActivities[Attribute],"SP5",PlannedActivities[Value],C14)=1,"X","")</f>
        <v/>
      </c>
      <c r="N14" s="20"/>
      <c r="O14" s="23" t="str">
        <f>IF(COUNTIFS(PlannedActivities[Country],Data_Country,PlannedActivities[Attribute],"EF",PlannedActivities[Value],C14)=1,"X","")</f>
        <v/>
      </c>
      <c r="P14" s="72"/>
      <c r="Q14" s="6"/>
    </row>
    <row r="15" spans="1:17" ht="16.2" customHeight="1" x14ac:dyDescent="0.3">
      <c r="A15" s="291"/>
      <c r="B15" s="22" t="str">
        <f>IFERROR(_xlfn.XLOOKUP(C15,NSMap[NS name],NSMap[Region]),"")</f>
        <v/>
      </c>
      <c r="C15" s="54"/>
      <c r="D15" s="71" t="str">
        <f t="shared" si="0"/>
        <v/>
      </c>
      <c r="E15" s="23" t="str">
        <f>IF(COUNTIFS(PlannedActivities[Country],Data_Country,PlannedActivities[Attribute],"SP1",PlannedActivities[Value],C15)=1,"X","")</f>
        <v/>
      </c>
      <c r="F15" s="21"/>
      <c r="G15" s="23" t="str">
        <f>IF(COUNTIFS(PlannedActivities[Country],Data_Country,PlannedActivities[Attribute],"SP2",PlannedActivities[Value],C15)=1,"X","")</f>
        <v/>
      </c>
      <c r="H15" s="21"/>
      <c r="I15" s="23" t="str">
        <f>IF(COUNTIFS(PlannedActivities[Country],Data_Country,PlannedActivities[Attribute],"SP3",PlannedActivities[Value],C15)=1,"X","")</f>
        <v/>
      </c>
      <c r="J15" s="21"/>
      <c r="K15" s="23" t="str">
        <f>IF(COUNTIFS(PlannedActivities[Country],Data_Country,PlannedActivities[Attribute],"SP4",PlannedActivities[Value],C15)=1,"X","")</f>
        <v/>
      </c>
      <c r="L15" s="21"/>
      <c r="M15" s="23" t="str">
        <f>IF(COUNTIFS(PlannedActivities[Country],Data_Country,PlannedActivities[Attribute],"SP5",PlannedActivities[Value],C15)=1,"X","")</f>
        <v/>
      </c>
      <c r="N15" s="21"/>
      <c r="O15" s="23" t="str">
        <f>IF(COUNTIFS(PlannedActivities[Country],Data_Country,PlannedActivities[Attribute],"EF",PlannedActivities[Value],C15)=1,"X","")</f>
        <v/>
      </c>
      <c r="P15" s="73"/>
      <c r="Q15" s="6"/>
    </row>
    <row r="16" spans="1:17" ht="16.2" customHeight="1" x14ac:dyDescent="0.3">
      <c r="A16" s="291"/>
      <c r="B16" s="22" t="str">
        <f>IFERROR(_xlfn.XLOOKUP(C16,NSMap[NS name],NSMap[Region]),"")</f>
        <v/>
      </c>
      <c r="C16" s="22"/>
      <c r="D16" s="71" t="str">
        <f t="shared" si="0"/>
        <v/>
      </c>
      <c r="E16" s="23" t="str">
        <f>IF(COUNTIFS(PlannedActivities[Country],Data_Country,PlannedActivities[Attribute],"SP1",PlannedActivities[Value],C16)=1,"X","")</f>
        <v/>
      </c>
      <c r="F16" s="20"/>
      <c r="G16" s="23" t="str">
        <f>IF(COUNTIFS(PlannedActivities[Country],Data_Country,PlannedActivities[Attribute],"SP2",PlannedActivities[Value],C16)=1,"X","")</f>
        <v/>
      </c>
      <c r="H16" s="20"/>
      <c r="I16" s="23" t="str">
        <f>IF(COUNTIFS(PlannedActivities[Country],Data_Country,PlannedActivities[Attribute],"SP3",PlannedActivities[Value],C16)=1,"X","")</f>
        <v/>
      </c>
      <c r="J16" s="20"/>
      <c r="K16" s="23" t="str">
        <f>IF(COUNTIFS(PlannedActivities[Country],Data_Country,PlannedActivities[Attribute],"SP4",PlannedActivities[Value],C16)=1,"X","")</f>
        <v/>
      </c>
      <c r="L16" s="20"/>
      <c r="M16" s="23" t="str">
        <f>IF(COUNTIFS(PlannedActivities[Country],Data_Country,PlannedActivities[Attribute],"SP5",PlannedActivities[Value],C16)=1,"X","")</f>
        <v/>
      </c>
      <c r="N16" s="20"/>
      <c r="O16" s="23" t="str">
        <f>IF(COUNTIFS(PlannedActivities[Country],Data_Country,PlannedActivities[Attribute],"EF",PlannedActivities[Value],C16)=1,"X","")</f>
        <v/>
      </c>
      <c r="P16" s="72"/>
      <c r="Q16" s="6"/>
    </row>
    <row r="17" spans="1:17" ht="16.2" customHeight="1" x14ac:dyDescent="0.3">
      <c r="A17" s="291"/>
      <c r="B17" s="22" t="str">
        <f>IFERROR(_xlfn.XLOOKUP(C17,NSMap[NS name],NSMap[Region]),"")</f>
        <v/>
      </c>
      <c r="C17" s="22"/>
      <c r="D17" s="71" t="str">
        <f t="shared" si="0"/>
        <v/>
      </c>
      <c r="E17" s="23" t="str">
        <f>IF(COUNTIFS(PlannedActivities[Country],Data_Country,PlannedActivities[Attribute],"SP1",PlannedActivities[Value],C17)=1,"X","")</f>
        <v/>
      </c>
      <c r="F17" s="20"/>
      <c r="G17" s="23" t="str">
        <f>IF(COUNTIFS(PlannedActivities[Country],Data_Country,PlannedActivities[Attribute],"SP2",PlannedActivities[Value],C17)=1,"X","")</f>
        <v/>
      </c>
      <c r="H17" s="20"/>
      <c r="I17" s="23" t="str">
        <f>IF(COUNTIFS(PlannedActivities[Country],Data_Country,PlannedActivities[Attribute],"SP3",PlannedActivities[Value],C17)=1,"X","")</f>
        <v/>
      </c>
      <c r="J17" s="20"/>
      <c r="K17" s="23" t="str">
        <f>IF(COUNTIFS(PlannedActivities[Country],Data_Country,PlannedActivities[Attribute],"SP4",PlannedActivities[Value],C17)=1,"X","")</f>
        <v/>
      </c>
      <c r="L17" s="20"/>
      <c r="M17" s="23" t="str">
        <f>IF(COUNTIFS(PlannedActivities[Country],Data_Country,PlannedActivities[Attribute],"SP5",PlannedActivities[Value],C17)=1,"X","")</f>
        <v/>
      </c>
      <c r="N17" s="20"/>
      <c r="O17" s="23" t="str">
        <f>IF(COUNTIFS(PlannedActivities[Country],Data_Country,PlannedActivities[Attribute],"EF",PlannedActivities[Value],C17)=1,"X","")</f>
        <v/>
      </c>
      <c r="P17" s="72"/>
      <c r="Q17" s="6"/>
    </row>
    <row r="18" spans="1:17" ht="16.2" customHeight="1" x14ac:dyDescent="0.3">
      <c r="A18" s="291"/>
      <c r="B18" s="22" t="str">
        <f>IFERROR(_xlfn.XLOOKUP(C18,NSMap[NS name],NSMap[Region]),"")</f>
        <v/>
      </c>
      <c r="C18" s="22"/>
      <c r="D18" s="71" t="str">
        <f t="shared" si="0"/>
        <v/>
      </c>
      <c r="E18" s="23" t="str">
        <f>IF(COUNTIFS(PlannedActivities[Country],Data_Country,PlannedActivities[Attribute],"SP1",PlannedActivities[Value],C18)=1,"X","")</f>
        <v/>
      </c>
      <c r="F18" s="20"/>
      <c r="G18" s="23" t="str">
        <f>IF(COUNTIFS(PlannedActivities[Country],Data_Country,PlannedActivities[Attribute],"SP2",PlannedActivities[Value],C18)=1,"X","")</f>
        <v/>
      </c>
      <c r="H18" s="20"/>
      <c r="I18" s="23" t="str">
        <f>IF(COUNTIFS(PlannedActivities[Country],Data_Country,PlannedActivities[Attribute],"SP3",PlannedActivities[Value],C18)=1,"X","")</f>
        <v/>
      </c>
      <c r="J18" s="20"/>
      <c r="K18" s="23" t="str">
        <f>IF(COUNTIFS(PlannedActivities[Country],Data_Country,PlannedActivities[Attribute],"SP4",PlannedActivities[Value],C18)=1,"X","")</f>
        <v/>
      </c>
      <c r="L18" s="20"/>
      <c r="M18" s="23" t="str">
        <f>IF(COUNTIFS(PlannedActivities[Country],Data_Country,PlannedActivities[Attribute],"SP5",PlannedActivities[Value],C18)=1,"X","")</f>
        <v/>
      </c>
      <c r="N18" s="20"/>
      <c r="O18" s="23" t="str">
        <f>IF(COUNTIFS(PlannedActivities[Country],Data_Country,PlannedActivities[Attribute],"EF",PlannedActivities[Value],C18)=1,"X","")</f>
        <v/>
      </c>
      <c r="P18" s="72"/>
      <c r="Q18" s="6"/>
    </row>
    <row r="19" spans="1:17" ht="16.2" customHeight="1" x14ac:dyDescent="0.3">
      <c r="A19" s="291"/>
      <c r="B19" s="22" t="str">
        <f>IFERROR(_xlfn.XLOOKUP(C19,NSMap[NS name],NSMap[Region]),"")</f>
        <v/>
      </c>
      <c r="C19" s="22"/>
      <c r="D19" s="77" t="str">
        <f t="shared" ref="D19:D31" si="1">IF(C19="","",C19)</f>
        <v/>
      </c>
      <c r="E19" s="23" t="str">
        <f>IF(COUNTIFS(PlannedActivities[Country],Data_Country,PlannedActivities[Attribute],"SP1",PlannedActivities[Value],C19)=1,"X","")</f>
        <v/>
      </c>
      <c r="F19" s="97"/>
      <c r="G19" s="23" t="str">
        <f>IF(COUNTIFS(PlannedActivities[Country],Data_Country,PlannedActivities[Attribute],"SP2",PlannedActivities[Value],C19)=1,"X","")</f>
        <v/>
      </c>
      <c r="H19" s="97"/>
      <c r="I19" s="23" t="str">
        <f>IF(COUNTIFS(PlannedActivities[Country],Data_Country,PlannedActivities[Attribute],"SP3",PlannedActivities[Value],C19)=1,"X","")</f>
        <v/>
      </c>
      <c r="J19" s="97"/>
      <c r="K19" s="23" t="str">
        <f>IF(COUNTIFS(PlannedActivities[Country],Data_Country,PlannedActivities[Attribute],"SP4",PlannedActivities[Value],C19)=1,"X","")</f>
        <v/>
      </c>
      <c r="L19" s="97"/>
      <c r="M19" s="23" t="str">
        <f>IF(COUNTIFS(PlannedActivities[Country],Data_Country,PlannedActivities[Attribute],"SP5",PlannedActivities[Value],C19)=1,"X","")</f>
        <v/>
      </c>
      <c r="N19" s="97"/>
      <c r="O19" s="23" t="str">
        <f>IF(COUNTIFS(PlannedActivities[Country],Data_Country,PlannedActivities[Attribute],"EF",PlannedActivities[Value],C19)=1,"X","")</f>
        <v/>
      </c>
      <c r="P19" s="120"/>
      <c r="Q19" s="6"/>
    </row>
    <row r="20" spans="1:17" ht="16.2" customHeight="1" x14ac:dyDescent="0.3">
      <c r="A20" s="291"/>
      <c r="B20" s="22" t="str">
        <f>IFERROR(_xlfn.XLOOKUP(C20,NSMap[NS name],NSMap[Region]),"")</f>
        <v/>
      </c>
      <c r="C20" s="22"/>
      <c r="D20" s="77" t="str">
        <f t="shared" si="1"/>
        <v/>
      </c>
      <c r="E20" s="23" t="str">
        <f>IF(COUNTIFS(PlannedActivities[Country],Data_Country,PlannedActivities[Attribute],"SP1",PlannedActivities[Value],C20)=1,"X","")</f>
        <v/>
      </c>
      <c r="F20" s="97"/>
      <c r="G20" s="23" t="str">
        <f>IF(COUNTIFS(PlannedActivities[Country],Data_Country,PlannedActivities[Attribute],"SP2",PlannedActivities[Value],C20)=1,"X","")</f>
        <v/>
      </c>
      <c r="H20" s="97"/>
      <c r="I20" s="23" t="str">
        <f>IF(COUNTIFS(PlannedActivities[Country],Data_Country,PlannedActivities[Attribute],"SP3",PlannedActivities[Value],C20)=1,"X","")</f>
        <v/>
      </c>
      <c r="J20" s="97"/>
      <c r="K20" s="23" t="str">
        <f>IF(COUNTIFS(PlannedActivities[Country],Data_Country,PlannedActivities[Attribute],"SP4",PlannedActivities[Value],C20)=1,"X","")</f>
        <v/>
      </c>
      <c r="L20" s="97"/>
      <c r="M20" s="23" t="str">
        <f>IF(COUNTIFS(PlannedActivities[Country],Data_Country,PlannedActivities[Attribute],"SP5",PlannedActivities[Value],C20)=1,"X","")</f>
        <v/>
      </c>
      <c r="N20" s="97"/>
      <c r="O20" s="23" t="str">
        <f>IF(COUNTIFS(PlannedActivities[Country],Data_Country,PlannedActivities[Attribute],"EF",PlannedActivities[Value],C20)=1,"X","")</f>
        <v/>
      </c>
      <c r="P20" s="120"/>
      <c r="Q20" s="6"/>
    </row>
    <row r="21" spans="1:17" ht="16.2" customHeight="1" x14ac:dyDescent="0.3">
      <c r="A21" s="291"/>
      <c r="B21" s="22" t="str">
        <f>IFERROR(_xlfn.XLOOKUP(C21,NSMap[NS name],NSMap[Region]),"")</f>
        <v/>
      </c>
      <c r="C21" s="22"/>
      <c r="D21" s="77" t="str">
        <f t="shared" si="1"/>
        <v/>
      </c>
      <c r="E21" s="23" t="str">
        <f>IF(COUNTIFS(PlannedActivities[Country],Data_Country,PlannedActivities[Attribute],"SP1",PlannedActivities[Value],C21)=1,"X","")</f>
        <v/>
      </c>
      <c r="F21" s="97"/>
      <c r="G21" s="23" t="str">
        <f>IF(COUNTIFS(PlannedActivities[Country],Data_Country,PlannedActivities[Attribute],"SP2",PlannedActivities[Value],C21)=1,"X","")</f>
        <v/>
      </c>
      <c r="H21" s="97"/>
      <c r="I21" s="23" t="str">
        <f>IF(COUNTIFS(PlannedActivities[Country],Data_Country,PlannedActivities[Attribute],"SP3",PlannedActivities[Value],C21)=1,"X","")</f>
        <v/>
      </c>
      <c r="J21" s="97"/>
      <c r="K21" s="23" t="str">
        <f>IF(COUNTIFS(PlannedActivities[Country],Data_Country,PlannedActivities[Attribute],"SP4",PlannedActivities[Value],C21)=1,"X","")</f>
        <v/>
      </c>
      <c r="L21" s="97"/>
      <c r="M21" s="23" t="str">
        <f>IF(COUNTIFS(PlannedActivities[Country],Data_Country,PlannedActivities[Attribute],"SP5",PlannedActivities[Value],C21)=1,"X","")</f>
        <v/>
      </c>
      <c r="N21" s="97"/>
      <c r="O21" s="23" t="str">
        <f>IF(COUNTIFS(PlannedActivities[Country],Data_Country,PlannedActivities[Attribute],"EF",PlannedActivities[Value],C21)=1,"X","")</f>
        <v/>
      </c>
      <c r="P21" s="120"/>
      <c r="Q21" s="6"/>
    </row>
    <row r="22" spans="1:17" ht="16.2" customHeight="1" x14ac:dyDescent="0.3">
      <c r="A22" s="291"/>
      <c r="B22" s="22" t="str">
        <f>IFERROR(_xlfn.XLOOKUP(C22,NSMap[NS name],NSMap[Region]),"")</f>
        <v/>
      </c>
      <c r="C22" s="22"/>
      <c r="D22" s="77" t="str">
        <f t="shared" si="1"/>
        <v/>
      </c>
      <c r="E22" s="23" t="str">
        <f>IF(COUNTIFS(PlannedActivities[Country],Data_Country,PlannedActivities[Attribute],"SP1",PlannedActivities[Value],C22)=1,"X","")</f>
        <v/>
      </c>
      <c r="F22" s="97"/>
      <c r="G22" s="23" t="str">
        <f>IF(COUNTIFS(PlannedActivities[Country],Data_Country,PlannedActivities[Attribute],"SP2",PlannedActivities[Value],C22)=1,"X","")</f>
        <v/>
      </c>
      <c r="H22" s="97"/>
      <c r="I22" s="23" t="str">
        <f>IF(COUNTIFS(PlannedActivities[Country],Data_Country,PlannedActivities[Attribute],"SP3",PlannedActivities[Value],C22)=1,"X","")</f>
        <v/>
      </c>
      <c r="J22" s="97"/>
      <c r="K22" s="23" t="str">
        <f>IF(COUNTIFS(PlannedActivities[Country],Data_Country,PlannedActivities[Attribute],"SP4",PlannedActivities[Value],C22)=1,"X","")</f>
        <v/>
      </c>
      <c r="L22" s="97"/>
      <c r="M22" s="23" t="str">
        <f>IF(COUNTIFS(PlannedActivities[Country],Data_Country,PlannedActivities[Attribute],"SP5",PlannedActivities[Value],C22)=1,"X","")</f>
        <v/>
      </c>
      <c r="N22" s="97"/>
      <c r="O22" s="23" t="str">
        <f>IF(COUNTIFS(PlannedActivities[Country],Data_Country,PlannedActivities[Attribute],"EF",PlannedActivities[Value],C22)=1,"X","")</f>
        <v/>
      </c>
      <c r="P22" s="120"/>
      <c r="Q22" s="6"/>
    </row>
    <row r="23" spans="1:17" ht="16.2" customHeight="1" x14ac:dyDescent="0.3">
      <c r="A23" s="291"/>
      <c r="B23" s="22" t="str">
        <f>IFERROR(_xlfn.XLOOKUP(C23,NSMap[NS name],NSMap[Region]),"")</f>
        <v/>
      </c>
      <c r="C23" s="22"/>
      <c r="D23" s="77" t="str">
        <f t="shared" si="1"/>
        <v/>
      </c>
      <c r="E23" s="23" t="str">
        <f>IF(COUNTIFS(PlannedActivities[Country],Data_Country,PlannedActivities[Attribute],"SP1",PlannedActivities[Value],C23)=1,"X","")</f>
        <v/>
      </c>
      <c r="F23" s="97"/>
      <c r="G23" s="23" t="str">
        <f>IF(COUNTIFS(PlannedActivities[Country],Data_Country,PlannedActivities[Attribute],"SP2",PlannedActivities[Value],C23)=1,"X","")</f>
        <v/>
      </c>
      <c r="H23" s="97"/>
      <c r="I23" s="23" t="str">
        <f>IF(COUNTIFS(PlannedActivities[Country],Data_Country,PlannedActivities[Attribute],"SP3",PlannedActivities[Value],C23)=1,"X","")</f>
        <v/>
      </c>
      <c r="J23" s="97"/>
      <c r="K23" s="23" t="str">
        <f>IF(COUNTIFS(PlannedActivities[Country],Data_Country,PlannedActivities[Attribute],"SP4",PlannedActivities[Value],C23)=1,"X","")</f>
        <v/>
      </c>
      <c r="L23" s="97"/>
      <c r="M23" s="23" t="str">
        <f>IF(COUNTIFS(PlannedActivities[Country],Data_Country,PlannedActivities[Attribute],"SP5",PlannedActivities[Value],C23)=1,"X","")</f>
        <v/>
      </c>
      <c r="N23" s="97"/>
      <c r="O23" s="23" t="str">
        <f>IF(COUNTIFS(PlannedActivities[Country],Data_Country,PlannedActivities[Attribute],"EF",PlannedActivities[Value],C23)=1,"X","")</f>
        <v/>
      </c>
      <c r="P23" s="120"/>
      <c r="Q23" s="6"/>
    </row>
    <row r="24" spans="1:17" ht="16.2" customHeight="1" x14ac:dyDescent="0.3">
      <c r="A24" s="291"/>
      <c r="B24" s="22" t="str">
        <f>IFERROR(_xlfn.XLOOKUP(C24,NSMap[NS name],NSMap[Region]),"")</f>
        <v/>
      </c>
      <c r="C24" s="22"/>
      <c r="D24" s="77" t="str">
        <f t="shared" si="1"/>
        <v/>
      </c>
      <c r="E24" s="23" t="str">
        <f>IF(COUNTIFS(PlannedActivities[Country],Data_Country,PlannedActivities[Attribute],"SP1",PlannedActivities[Value],C24)=1,"X","")</f>
        <v/>
      </c>
      <c r="F24" s="97"/>
      <c r="G24" s="23" t="str">
        <f>IF(COUNTIFS(PlannedActivities[Country],Data_Country,PlannedActivities[Attribute],"SP2",PlannedActivities[Value],C24)=1,"X","")</f>
        <v/>
      </c>
      <c r="H24" s="97"/>
      <c r="I24" s="23" t="str">
        <f>IF(COUNTIFS(PlannedActivities[Country],Data_Country,PlannedActivities[Attribute],"SP3",PlannedActivities[Value],C24)=1,"X","")</f>
        <v/>
      </c>
      <c r="J24" s="97"/>
      <c r="K24" s="23" t="str">
        <f>IF(COUNTIFS(PlannedActivities[Country],Data_Country,PlannedActivities[Attribute],"SP4",PlannedActivities[Value],C24)=1,"X","")</f>
        <v/>
      </c>
      <c r="L24" s="97"/>
      <c r="M24" s="23" t="str">
        <f>IF(COUNTIFS(PlannedActivities[Country],Data_Country,PlannedActivities[Attribute],"SP5",PlannedActivities[Value],C24)=1,"X","")</f>
        <v/>
      </c>
      <c r="N24" s="97"/>
      <c r="O24" s="23" t="str">
        <f>IF(COUNTIFS(PlannedActivities[Country],Data_Country,PlannedActivities[Attribute],"EF",PlannedActivities[Value],C24)=1,"X","")</f>
        <v/>
      </c>
      <c r="P24" s="120"/>
      <c r="Q24" s="6"/>
    </row>
    <row r="25" spans="1:17" ht="16.2" customHeight="1" x14ac:dyDescent="0.3">
      <c r="A25" s="291"/>
      <c r="B25" s="22" t="str">
        <f>IFERROR(_xlfn.XLOOKUP(C25,NSMap[NS name],NSMap[Region]),"")</f>
        <v/>
      </c>
      <c r="C25" s="22"/>
      <c r="D25" s="77" t="str">
        <f t="shared" si="1"/>
        <v/>
      </c>
      <c r="E25" s="23" t="str">
        <f>IF(COUNTIFS(PlannedActivities[Country],Data_Country,PlannedActivities[Attribute],"SP1",PlannedActivities[Value],C25)=1,"X","")</f>
        <v/>
      </c>
      <c r="F25" s="97"/>
      <c r="G25" s="23" t="str">
        <f>IF(COUNTIFS(PlannedActivities[Country],Data_Country,PlannedActivities[Attribute],"SP2",PlannedActivities[Value],C25)=1,"X","")</f>
        <v/>
      </c>
      <c r="H25" s="97"/>
      <c r="I25" s="23" t="str">
        <f>IF(COUNTIFS(PlannedActivities[Country],Data_Country,PlannedActivities[Attribute],"SP3",PlannedActivities[Value],C25)=1,"X","")</f>
        <v/>
      </c>
      <c r="J25" s="97"/>
      <c r="K25" s="23" t="str">
        <f>IF(COUNTIFS(PlannedActivities[Country],Data_Country,PlannedActivities[Attribute],"SP4",PlannedActivities[Value],C25)=1,"X","")</f>
        <v/>
      </c>
      <c r="L25" s="97"/>
      <c r="M25" s="23" t="str">
        <f>IF(COUNTIFS(PlannedActivities[Country],Data_Country,PlannedActivities[Attribute],"SP5",PlannedActivities[Value],C25)=1,"X","")</f>
        <v/>
      </c>
      <c r="N25" s="97"/>
      <c r="O25" s="23" t="str">
        <f>IF(COUNTIFS(PlannedActivities[Country],Data_Country,PlannedActivities[Attribute],"EF",PlannedActivities[Value],C25)=1,"X","")</f>
        <v/>
      </c>
      <c r="P25" s="120"/>
      <c r="Q25" s="6"/>
    </row>
    <row r="26" spans="1:17" ht="16.2" customHeight="1" x14ac:dyDescent="0.3">
      <c r="A26" s="291"/>
      <c r="B26" s="22" t="str">
        <f>IFERROR(_xlfn.XLOOKUP(C26,NSMap[NS name],NSMap[Region]),"")</f>
        <v/>
      </c>
      <c r="C26" s="22"/>
      <c r="D26" s="77" t="str">
        <f t="shared" si="1"/>
        <v/>
      </c>
      <c r="E26" s="23" t="str">
        <f>IF(COUNTIFS(PlannedActivities[Country],Data_Country,PlannedActivities[Attribute],"SP1",PlannedActivities[Value],C26)=1,"X","")</f>
        <v/>
      </c>
      <c r="F26" s="97"/>
      <c r="G26" s="23" t="str">
        <f>IF(COUNTIFS(PlannedActivities[Country],Data_Country,PlannedActivities[Attribute],"SP2",PlannedActivities[Value],C26)=1,"X","")</f>
        <v/>
      </c>
      <c r="H26" s="97"/>
      <c r="I26" s="23" t="str">
        <f>IF(COUNTIFS(PlannedActivities[Country],Data_Country,PlannedActivities[Attribute],"SP3",PlannedActivities[Value],C26)=1,"X","")</f>
        <v/>
      </c>
      <c r="J26" s="97"/>
      <c r="K26" s="23" t="str">
        <f>IF(COUNTIFS(PlannedActivities[Country],Data_Country,PlannedActivities[Attribute],"SP4",PlannedActivities[Value],C26)=1,"X","")</f>
        <v/>
      </c>
      <c r="L26" s="97"/>
      <c r="M26" s="23" t="str">
        <f>IF(COUNTIFS(PlannedActivities[Country],Data_Country,PlannedActivities[Attribute],"SP5",PlannedActivities[Value],C26)=1,"X","")</f>
        <v/>
      </c>
      <c r="N26" s="97"/>
      <c r="O26" s="23" t="str">
        <f>IF(COUNTIFS(PlannedActivities[Country],Data_Country,PlannedActivities[Attribute],"EF",PlannedActivities[Value],C26)=1,"X","")</f>
        <v/>
      </c>
      <c r="P26" s="120"/>
      <c r="Q26" s="6"/>
    </row>
    <row r="27" spans="1:17" ht="16.2" customHeight="1" x14ac:dyDescent="0.3">
      <c r="A27" s="291"/>
      <c r="B27" s="22" t="str">
        <f>IFERROR(_xlfn.XLOOKUP(C27,NSMap[NS name],NSMap[Region]),"")</f>
        <v/>
      </c>
      <c r="C27" s="22"/>
      <c r="D27" s="77" t="str">
        <f t="shared" si="1"/>
        <v/>
      </c>
      <c r="E27" s="23" t="str">
        <f>IF(COUNTIFS(PlannedActivities[Country],Data_Country,PlannedActivities[Attribute],"SP1",PlannedActivities[Value],C27)=1,"X","")</f>
        <v/>
      </c>
      <c r="F27" s="97"/>
      <c r="G27" s="23" t="str">
        <f>IF(COUNTIFS(PlannedActivities[Country],Data_Country,PlannedActivities[Attribute],"SP2",PlannedActivities[Value],C27)=1,"X","")</f>
        <v/>
      </c>
      <c r="H27" s="97"/>
      <c r="I27" s="23" t="str">
        <f>IF(COUNTIFS(PlannedActivities[Country],Data_Country,PlannedActivities[Attribute],"SP3",PlannedActivities[Value],C27)=1,"X","")</f>
        <v/>
      </c>
      <c r="J27" s="97"/>
      <c r="K27" s="23" t="str">
        <f>IF(COUNTIFS(PlannedActivities[Country],Data_Country,PlannedActivities[Attribute],"SP4",PlannedActivities[Value],C27)=1,"X","")</f>
        <v/>
      </c>
      <c r="L27" s="97"/>
      <c r="M27" s="23" t="str">
        <f>IF(COUNTIFS(PlannedActivities[Country],Data_Country,PlannedActivities[Attribute],"SP5",PlannedActivities[Value],C27)=1,"X","")</f>
        <v/>
      </c>
      <c r="N27" s="97"/>
      <c r="O27" s="23" t="str">
        <f>IF(COUNTIFS(PlannedActivities[Country],Data_Country,PlannedActivities[Attribute],"EF",PlannedActivities[Value],C27)=1,"X","")</f>
        <v/>
      </c>
      <c r="P27" s="120"/>
      <c r="Q27" s="6"/>
    </row>
    <row r="28" spans="1:17" ht="16.2" customHeight="1" x14ac:dyDescent="0.3">
      <c r="A28" s="291"/>
      <c r="B28" s="22" t="str">
        <f>IFERROR(_xlfn.XLOOKUP(C28,NSMap[NS name],NSMap[Region]),"")</f>
        <v/>
      </c>
      <c r="C28" s="22"/>
      <c r="D28" s="77" t="str">
        <f t="shared" si="1"/>
        <v/>
      </c>
      <c r="E28" s="23" t="str">
        <f>IF(COUNTIFS(PlannedActivities[Country],Data_Country,PlannedActivities[Attribute],"SP1",PlannedActivities[Value],C28)=1,"X","")</f>
        <v/>
      </c>
      <c r="F28" s="97"/>
      <c r="G28" s="23" t="str">
        <f>IF(COUNTIFS(PlannedActivities[Country],Data_Country,PlannedActivities[Attribute],"SP2",PlannedActivities[Value],C28)=1,"X","")</f>
        <v/>
      </c>
      <c r="H28" s="97"/>
      <c r="I28" s="23" t="str">
        <f>IF(COUNTIFS(PlannedActivities[Country],Data_Country,PlannedActivities[Attribute],"SP3",PlannedActivities[Value],C28)=1,"X","")</f>
        <v/>
      </c>
      <c r="J28" s="97"/>
      <c r="K28" s="23" t="str">
        <f>IF(COUNTIFS(PlannedActivities[Country],Data_Country,PlannedActivities[Attribute],"SP4",PlannedActivities[Value],C28)=1,"X","")</f>
        <v/>
      </c>
      <c r="L28" s="97"/>
      <c r="M28" s="23" t="str">
        <f>IF(COUNTIFS(PlannedActivities[Country],Data_Country,PlannedActivities[Attribute],"SP5",PlannedActivities[Value],C28)=1,"X","")</f>
        <v/>
      </c>
      <c r="N28" s="97"/>
      <c r="O28" s="23" t="str">
        <f>IF(COUNTIFS(PlannedActivities[Country],Data_Country,PlannedActivities[Attribute],"EF",PlannedActivities[Value],C28)=1,"X","")</f>
        <v/>
      </c>
      <c r="P28" s="120"/>
      <c r="Q28" s="6"/>
    </row>
    <row r="29" spans="1:17" ht="16.2" customHeight="1" x14ac:dyDescent="0.3">
      <c r="A29" s="291"/>
      <c r="B29" s="22" t="str">
        <f>IFERROR(_xlfn.XLOOKUP(C29,NSMap[NS name],NSMap[Region]),"")</f>
        <v/>
      </c>
      <c r="C29" s="22"/>
      <c r="D29" s="77" t="str">
        <f t="shared" si="1"/>
        <v/>
      </c>
      <c r="E29" s="23" t="str">
        <f>IF(COUNTIFS(PlannedActivities[Country],Data_Country,PlannedActivities[Attribute],"SP1",PlannedActivities[Value],C29)=1,"X","")</f>
        <v/>
      </c>
      <c r="F29" s="97"/>
      <c r="G29" s="23" t="str">
        <f>IF(COUNTIFS(PlannedActivities[Country],Data_Country,PlannedActivities[Attribute],"SP2",PlannedActivities[Value],C29)=1,"X","")</f>
        <v/>
      </c>
      <c r="H29" s="97"/>
      <c r="I29" s="23" t="str">
        <f>IF(COUNTIFS(PlannedActivities[Country],Data_Country,PlannedActivities[Attribute],"SP3",PlannedActivities[Value],C29)=1,"X","")</f>
        <v/>
      </c>
      <c r="J29" s="97"/>
      <c r="K29" s="23" t="str">
        <f>IF(COUNTIFS(PlannedActivities[Country],Data_Country,PlannedActivities[Attribute],"SP4",PlannedActivities[Value],C29)=1,"X","")</f>
        <v/>
      </c>
      <c r="L29" s="97"/>
      <c r="M29" s="23" t="str">
        <f>IF(COUNTIFS(PlannedActivities[Country],Data_Country,PlannedActivities[Attribute],"SP5",PlannedActivities[Value],C29)=1,"X","")</f>
        <v/>
      </c>
      <c r="N29" s="97"/>
      <c r="O29" s="23" t="str">
        <f>IF(COUNTIFS(PlannedActivities[Country],Data_Country,PlannedActivities[Attribute],"EF",PlannedActivities[Value],C29)=1,"X","")</f>
        <v/>
      </c>
      <c r="P29" s="120"/>
      <c r="Q29" s="6"/>
    </row>
    <row r="30" spans="1:17" ht="16.2" customHeight="1" x14ac:dyDescent="0.3">
      <c r="A30" s="291"/>
      <c r="B30" s="22" t="str">
        <f>IFERROR(_xlfn.XLOOKUP(C30,NSMap[NS name],NSMap[Region]),"")</f>
        <v/>
      </c>
      <c r="C30" s="22"/>
      <c r="D30" s="77" t="str">
        <f t="shared" si="1"/>
        <v/>
      </c>
      <c r="E30" s="23" t="str">
        <f>IF(COUNTIFS(PlannedActivities[Country],Data_Country,PlannedActivities[Attribute],"SP1",PlannedActivities[Value],C30)=1,"X","")</f>
        <v/>
      </c>
      <c r="F30" s="97"/>
      <c r="G30" s="23" t="str">
        <f>IF(COUNTIFS(PlannedActivities[Country],Data_Country,PlannedActivities[Attribute],"SP2",PlannedActivities[Value],C30)=1,"X","")</f>
        <v/>
      </c>
      <c r="H30" s="97"/>
      <c r="I30" s="23" t="str">
        <f>IF(COUNTIFS(PlannedActivities[Country],Data_Country,PlannedActivities[Attribute],"SP3",PlannedActivities[Value],C30)=1,"X","")</f>
        <v/>
      </c>
      <c r="J30" s="97"/>
      <c r="K30" s="23" t="str">
        <f>IF(COUNTIFS(PlannedActivities[Country],Data_Country,PlannedActivities[Attribute],"SP4",PlannedActivities[Value],C30)=1,"X","")</f>
        <v/>
      </c>
      <c r="L30" s="97"/>
      <c r="M30" s="23" t="str">
        <f>IF(COUNTIFS(PlannedActivities[Country],Data_Country,PlannedActivities[Attribute],"SP5",PlannedActivities[Value],C30)=1,"X","")</f>
        <v/>
      </c>
      <c r="N30" s="97"/>
      <c r="O30" s="23" t="str">
        <f>IF(COUNTIFS(PlannedActivities[Country],Data_Country,PlannedActivities[Attribute],"EF",PlannedActivities[Value],C30)=1,"X","")</f>
        <v/>
      </c>
      <c r="P30" s="120"/>
      <c r="Q30" s="6"/>
    </row>
    <row r="31" spans="1:17" ht="16.2" customHeight="1" x14ac:dyDescent="0.3">
      <c r="A31" s="291"/>
      <c r="B31" s="22" t="str">
        <f>IFERROR(_xlfn.XLOOKUP(C31,NSMap[NS name],NSMap[Region]),"")</f>
        <v/>
      </c>
      <c r="C31" s="22"/>
      <c r="D31" s="77" t="str">
        <f t="shared" si="1"/>
        <v/>
      </c>
      <c r="E31" s="23" t="str">
        <f>IF(COUNTIFS(PlannedActivities[Country],Data_Country,PlannedActivities[Attribute],"SP1",PlannedActivities[Value],C31)=1,"X","")</f>
        <v/>
      </c>
      <c r="F31" s="97"/>
      <c r="G31" s="23" t="str">
        <f>IF(COUNTIFS(PlannedActivities[Country],Data_Country,PlannedActivities[Attribute],"SP2",PlannedActivities[Value],C31)=1,"X","")</f>
        <v/>
      </c>
      <c r="H31" s="97"/>
      <c r="I31" s="23" t="str">
        <f>IF(COUNTIFS(PlannedActivities[Country],Data_Country,PlannedActivities[Attribute],"SP3",PlannedActivities[Value],C31)=1,"X","")</f>
        <v/>
      </c>
      <c r="J31" s="97"/>
      <c r="K31" s="23" t="str">
        <f>IF(COUNTIFS(PlannedActivities[Country],Data_Country,PlannedActivities[Attribute],"SP4",PlannedActivities[Value],C31)=1,"X","")</f>
        <v/>
      </c>
      <c r="L31" s="97"/>
      <c r="M31" s="23" t="str">
        <f>IF(COUNTIFS(PlannedActivities[Country],Data_Country,PlannedActivities[Attribute],"SP5",PlannedActivities[Value],C31)=1,"X","")</f>
        <v/>
      </c>
      <c r="N31" s="97"/>
      <c r="O31" s="23" t="str">
        <f>IF(COUNTIFS(PlannedActivities[Country],Data_Country,PlannedActivities[Attribute],"EF",PlannedActivities[Value],C31)=1,"X","")</f>
        <v/>
      </c>
      <c r="P31" s="120"/>
      <c r="Q31" s="6"/>
    </row>
    <row r="32" spans="1:17" ht="16.2" customHeight="1" x14ac:dyDescent="0.3">
      <c r="A32" s="291"/>
      <c r="B32" s="22" t="str">
        <f>IFERROR(_xlfn.XLOOKUP(C32,NSMap[NS name],NSMap[Region]),"")</f>
        <v/>
      </c>
      <c r="C32" s="54"/>
      <c r="D32" s="77" t="str">
        <f t="shared" si="0"/>
        <v/>
      </c>
      <c r="E32" s="23" t="str">
        <f>IF(COUNTIFS(PlannedActivities[Country],Data_Country,PlannedActivities[Attribute],"SP1",PlannedActivities[Value],C32)=1,"X","")</f>
        <v/>
      </c>
      <c r="F32" s="78"/>
      <c r="G32" s="23" t="str">
        <f>IF(COUNTIFS(PlannedActivities[Country],Data_Country,PlannedActivities[Attribute],"SP2",PlannedActivities[Value],C32)=1,"X","")</f>
        <v/>
      </c>
      <c r="H32" s="78"/>
      <c r="I32" s="23" t="str">
        <f>IF(COUNTIFS(PlannedActivities[Country],Data_Country,PlannedActivities[Attribute],"SP3",PlannedActivities[Value],C32)=1,"X","")</f>
        <v/>
      </c>
      <c r="J32" s="78"/>
      <c r="K32" s="23" t="str">
        <f>IF(COUNTIFS(PlannedActivities[Country],Data_Country,PlannedActivities[Attribute],"SP4",PlannedActivities[Value],C32)=1,"X","")</f>
        <v/>
      </c>
      <c r="L32" s="78"/>
      <c r="M32" s="23" t="str">
        <f>IF(COUNTIFS(PlannedActivities[Country],Data_Country,PlannedActivities[Attribute],"SP5",PlannedActivities[Value],C32)=1,"X","")</f>
        <v/>
      </c>
      <c r="N32" s="78"/>
      <c r="O32" s="23" t="str">
        <f>IF(COUNTIFS(PlannedActivities[Country],Data_Country,PlannedActivities[Attribute],"EF",PlannedActivities[Value],C32)=1,"X","")</f>
        <v/>
      </c>
      <c r="P32" s="79"/>
      <c r="Q32" s="6"/>
    </row>
    <row r="33" spans="1:17" ht="9" customHeight="1" x14ac:dyDescent="0.3">
      <c r="A33" s="6"/>
      <c r="B33" s="86"/>
      <c r="C33" s="87"/>
      <c r="D33" s="10"/>
      <c r="E33" s="30"/>
      <c r="F33" s="31"/>
      <c r="G33" s="30"/>
      <c r="H33" s="31"/>
      <c r="I33" s="30"/>
      <c r="J33" s="31"/>
      <c r="K33" s="30"/>
      <c r="L33" s="31"/>
      <c r="M33" s="30"/>
      <c r="N33" s="31"/>
      <c r="O33" s="30"/>
      <c r="P33" s="43"/>
      <c r="Q33" s="6"/>
    </row>
    <row r="34" spans="1:17" ht="19.95" customHeight="1" x14ac:dyDescent="0.3">
      <c r="A34" s="6"/>
      <c r="B34" s="83" t="s">
        <v>1511</v>
      </c>
      <c r="C34" s="84"/>
      <c r="D34" s="85"/>
      <c r="E34" s="85"/>
      <c r="F34" s="85"/>
      <c r="G34" s="85"/>
      <c r="H34" s="85"/>
      <c r="I34" s="85"/>
      <c r="J34" s="85"/>
      <c r="K34" s="85"/>
      <c r="L34" s="85"/>
      <c r="M34" s="85"/>
      <c r="N34" s="85"/>
      <c r="O34" s="85"/>
      <c r="P34" s="85"/>
      <c r="Q34" s="6"/>
    </row>
    <row r="35" spans="1:17" ht="10.199999999999999" customHeight="1" x14ac:dyDescent="0.3">
      <c r="A35" s="6"/>
      <c r="B35" s="44"/>
      <c r="C35" s="45"/>
      <c r="D35" s="45"/>
      <c r="E35" s="45"/>
      <c r="F35" s="45"/>
      <c r="G35" s="45"/>
      <c r="H35" s="45"/>
      <c r="I35" s="45"/>
      <c r="J35" s="45"/>
      <c r="K35" s="45"/>
      <c r="L35" s="45"/>
      <c r="M35" s="45"/>
      <c r="N35" s="45"/>
      <c r="O35" s="45"/>
      <c r="P35" s="45"/>
      <c r="Q35" s="6"/>
    </row>
    <row r="36" spans="1:17" ht="28.8" hidden="1" x14ac:dyDescent="0.3">
      <c r="A36" s="6"/>
      <c r="B36" s="80"/>
      <c r="C36" s="81"/>
      <c r="D36" s="74" t="s">
        <v>10</v>
      </c>
      <c r="E36" s="75" t="s">
        <v>1498</v>
      </c>
      <c r="F36" s="75" t="s">
        <v>1499</v>
      </c>
      <c r="G36" s="75" t="s">
        <v>1500</v>
      </c>
      <c r="H36" s="75" t="s">
        <v>1501</v>
      </c>
      <c r="I36" s="75" t="s">
        <v>1502</v>
      </c>
      <c r="J36" s="75" t="s">
        <v>1503</v>
      </c>
      <c r="K36" s="75" t="s">
        <v>1504</v>
      </c>
      <c r="L36" s="75" t="s">
        <v>1505</v>
      </c>
      <c r="M36" s="75" t="s">
        <v>1506</v>
      </c>
      <c r="N36" s="75" t="s">
        <v>1507</v>
      </c>
      <c r="O36" s="75" t="s">
        <v>1508</v>
      </c>
      <c r="P36" s="76" t="s">
        <v>1509</v>
      </c>
      <c r="Q36" s="6"/>
    </row>
    <row r="37" spans="1:17" ht="16.2" customHeight="1" x14ac:dyDescent="0.3">
      <c r="A37" s="6"/>
      <c r="B37" s="26"/>
      <c r="C37" s="92"/>
      <c r="D37" s="93"/>
      <c r="E37" s="94"/>
      <c r="F37" s="27"/>
      <c r="G37" s="94"/>
      <c r="H37" s="27"/>
      <c r="I37" s="94"/>
      <c r="J37" s="27"/>
      <c r="K37" s="94"/>
      <c r="L37" s="27"/>
      <c r="M37" s="94"/>
      <c r="N37" s="27"/>
      <c r="O37" s="94"/>
      <c r="P37" s="82"/>
      <c r="Q37" s="6"/>
    </row>
    <row r="38" spans="1:17" ht="16.2" customHeight="1" x14ac:dyDescent="0.3">
      <c r="A38" s="6"/>
      <c r="B38" s="24"/>
      <c r="C38" s="92"/>
      <c r="D38" s="93" t="str">
        <f t="shared" ref="D38:D60" si="2">IF(C38="","",C38)</f>
        <v/>
      </c>
      <c r="E38" s="20"/>
      <c r="F38" s="21"/>
      <c r="G38" s="20"/>
      <c r="H38" s="21"/>
      <c r="I38" s="20"/>
      <c r="J38" s="21"/>
      <c r="K38" s="20"/>
      <c r="L38" s="21"/>
      <c r="M38" s="20"/>
      <c r="N38" s="21"/>
      <c r="O38" s="20"/>
      <c r="P38" s="73"/>
      <c r="Q38" s="6"/>
    </row>
    <row r="39" spans="1:17" ht="16.2" customHeight="1" x14ac:dyDescent="0.3">
      <c r="A39" s="6"/>
      <c r="B39" s="24"/>
      <c r="C39" s="95"/>
      <c r="D39" s="93" t="str">
        <f t="shared" si="2"/>
        <v/>
      </c>
      <c r="E39" s="20"/>
      <c r="F39" s="21"/>
      <c r="G39" s="20"/>
      <c r="H39" s="21"/>
      <c r="I39" s="20"/>
      <c r="J39" s="21"/>
      <c r="K39" s="20"/>
      <c r="L39" s="21"/>
      <c r="M39" s="20"/>
      <c r="N39" s="21"/>
      <c r="O39" s="20"/>
      <c r="P39" s="73"/>
      <c r="Q39" s="6"/>
    </row>
    <row r="40" spans="1:17" ht="16.2" customHeight="1" x14ac:dyDescent="0.3">
      <c r="A40" s="6"/>
      <c r="B40" s="24"/>
      <c r="C40" s="95"/>
      <c r="D40" s="93" t="str">
        <f t="shared" si="2"/>
        <v/>
      </c>
      <c r="E40" s="20"/>
      <c r="F40" s="21"/>
      <c r="G40" s="20"/>
      <c r="H40" s="21"/>
      <c r="I40" s="20"/>
      <c r="J40" s="21"/>
      <c r="K40" s="20"/>
      <c r="L40" s="21"/>
      <c r="M40" s="20"/>
      <c r="N40" s="21"/>
      <c r="O40" s="20"/>
      <c r="P40" s="73"/>
      <c r="Q40" s="6"/>
    </row>
    <row r="41" spans="1:17" ht="16.2" customHeight="1" x14ac:dyDescent="0.3">
      <c r="A41" s="6"/>
      <c r="B41" s="24"/>
      <c r="C41" s="95"/>
      <c r="D41" s="93" t="str">
        <f t="shared" si="2"/>
        <v/>
      </c>
      <c r="E41" s="20"/>
      <c r="F41" s="21"/>
      <c r="G41" s="20"/>
      <c r="H41" s="21"/>
      <c r="I41" s="20"/>
      <c r="J41" s="21"/>
      <c r="K41" s="20"/>
      <c r="L41" s="21"/>
      <c r="M41" s="20"/>
      <c r="N41" s="21"/>
      <c r="O41" s="20"/>
      <c r="P41" s="73"/>
      <c r="Q41" s="6"/>
    </row>
    <row r="42" spans="1:17" ht="16.2" customHeight="1" x14ac:dyDescent="0.3">
      <c r="A42" s="6"/>
      <c r="B42" s="24"/>
      <c r="C42" s="95"/>
      <c r="D42" s="93" t="str">
        <f t="shared" si="2"/>
        <v/>
      </c>
      <c r="E42" s="20"/>
      <c r="F42" s="21"/>
      <c r="G42" s="20"/>
      <c r="H42" s="21"/>
      <c r="I42" s="20"/>
      <c r="J42" s="21"/>
      <c r="K42" s="20"/>
      <c r="L42" s="21"/>
      <c r="M42" s="20"/>
      <c r="N42" s="21"/>
      <c r="O42" s="20"/>
      <c r="P42" s="73"/>
      <c r="Q42" s="6"/>
    </row>
    <row r="43" spans="1:17" ht="16.2" customHeight="1" x14ac:dyDescent="0.3">
      <c r="A43" s="6"/>
      <c r="B43" s="24"/>
      <c r="C43" s="95"/>
      <c r="D43" s="93" t="str">
        <f t="shared" si="2"/>
        <v/>
      </c>
      <c r="E43" s="20"/>
      <c r="F43" s="21"/>
      <c r="G43" s="20"/>
      <c r="H43" s="21"/>
      <c r="I43" s="20"/>
      <c r="J43" s="21"/>
      <c r="K43" s="20"/>
      <c r="L43" s="21"/>
      <c r="M43" s="20"/>
      <c r="N43" s="21"/>
      <c r="O43" s="20"/>
      <c r="P43" s="73"/>
      <c r="Q43" s="6"/>
    </row>
    <row r="44" spans="1:17" ht="16.2" customHeight="1" x14ac:dyDescent="0.3">
      <c r="A44" s="6"/>
      <c r="B44" s="24"/>
      <c r="C44" s="95"/>
      <c r="D44" s="93" t="str">
        <f t="shared" si="2"/>
        <v/>
      </c>
      <c r="E44" s="20"/>
      <c r="F44" s="21"/>
      <c r="G44" s="20"/>
      <c r="H44" s="21"/>
      <c r="I44" s="20"/>
      <c r="J44" s="21"/>
      <c r="K44" s="20"/>
      <c r="L44" s="21"/>
      <c r="M44" s="20"/>
      <c r="N44" s="21"/>
      <c r="O44" s="20"/>
      <c r="P44" s="73"/>
      <c r="Q44" s="6"/>
    </row>
    <row r="45" spans="1:17" ht="16.2" customHeight="1" x14ac:dyDescent="0.3">
      <c r="A45" s="6"/>
      <c r="B45" s="24"/>
      <c r="C45" s="95"/>
      <c r="D45" s="93" t="str">
        <f t="shared" si="2"/>
        <v/>
      </c>
      <c r="E45" s="20"/>
      <c r="F45" s="21"/>
      <c r="G45" s="20"/>
      <c r="H45" s="21"/>
      <c r="I45" s="20"/>
      <c r="J45" s="21"/>
      <c r="K45" s="20"/>
      <c r="L45" s="21"/>
      <c r="M45" s="20"/>
      <c r="N45" s="21"/>
      <c r="O45" s="20"/>
      <c r="P45" s="73"/>
      <c r="Q45" s="6"/>
    </row>
    <row r="46" spans="1:17" ht="16.2" customHeight="1" x14ac:dyDescent="0.3">
      <c r="A46" s="6"/>
      <c r="B46" s="24"/>
      <c r="C46" s="95"/>
      <c r="D46" s="93" t="str">
        <f t="shared" si="2"/>
        <v/>
      </c>
      <c r="E46" s="20"/>
      <c r="F46" s="21"/>
      <c r="G46" s="20"/>
      <c r="H46" s="21"/>
      <c r="I46" s="20"/>
      <c r="J46" s="21"/>
      <c r="K46" s="20"/>
      <c r="L46" s="21"/>
      <c r="M46" s="20"/>
      <c r="N46" s="21"/>
      <c r="O46" s="20"/>
      <c r="P46" s="73"/>
      <c r="Q46" s="6"/>
    </row>
    <row r="47" spans="1:17" ht="16.2" customHeight="1" x14ac:dyDescent="0.3">
      <c r="A47" s="6"/>
      <c r="B47" s="24"/>
      <c r="C47" s="95"/>
      <c r="D47" s="93" t="str">
        <f t="shared" si="2"/>
        <v/>
      </c>
      <c r="E47" s="20"/>
      <c r="F47" s="21"/>
      <c r="G47" s="20"/>
      <c r="H47" s="21"/>
      <c r="I47" s="20"/>
      <c r="J47" s="21"/>
      <c r="K47" s="20"/>
      <c r="L47" s="21"/>
      <c r="M47" s="20"/>
      <c r="N47" s="21"/>
      <c r="O47" s="20"/>
      <c r="P47" s="73"/>
      <c r="Q47" s="6"/>
    </row>
    <row r="48" spans="1:17" ht="16.2" customHeight="1" x14ac:dyDescent="0.3">
      <c r="A48" s="6"/>
      <c r="B48" s="24"/>
      <c r="C48" s="95"/>
      <c r="D48" s="93" t="str">
        <f t="shared" si="2"/>
        <v/>
      </c>
      <c r="E48" s="20"/>
      <c r="F48" s="21"/>
      <c r="G48" s="20"/>
      <c r="H48" s="21"/>
      <c r="I48" s="20"/>
      <c r="J48" s="21"/>
      <c r="K48" s="20"/>
      <c r="L48" s="21"/>
      <c r="M48" s="20"/>
      <c r="N48" s="21"/>
      <c r="O48" s="20"/>
      <c r="P48" s="73"/>
      <c r="Q48" s="6"/>
    </row>
    <row r="49" spans="1:17" ht="16.2" customHeight="1" x14ac:dyDescent="0.3">
      <c r="A49" s="6"/>
      <c r="B49" s="24"/>
      <c r="C49" s="95"/>
      <c r="D49" s="93" t="str">
        <f t="shared" si="2"/>
        <v/>
      </c>
      <c r="E49" s="20"/>
      <c r="F49" s="21"/>
      <c r="G49" s="20"/>
      <c r="H49" s="21"/>
      <c r="I49" s="20"/>
      <c r="J49" s="21"/>
      <c r="K49" s="20"/>
      <c r="L49" s="21"/>
      <c r="M49" s="20"/>
      <c r="N49" s="21"/>
      <c r="O49" s="20"/>
      <c r="P49" s="73"/>
      <c r="Q49" s="6"/>
    </row>
    <row r="50" spans="1:17" ht="16.2" customHeight="1" x14ac:dyDescent="0.3">
      <c r="A50" s="6"/>
      <c r="B50" s="24"/>
      <c r="C50" s="95"/>
      <c r="D50" s="93" t="str">
        <f t="shared" si="2"/>
        <v/>
      </c>
      <c r="E50" s="20"/>
      <c r="F50" s="21"/>
      <c r="G50" s="20"/>
      <c r="H50" s="21"/>
      <c r="I50" s="20"/>
      <c r="J50" s="21"/>
      <c r="K50" s="20"/>
      <c r="L50" s="21"/>
      <c r="M50" s="20"/>
      <c r="N50" s="21"/>
      <c r="O50" s="20"/>
      <c r="P50" s="73"/>
      <c r="Q50" s="6"/>
    </row>
    <row r="51" spans="1:17" ht="16.2" customHeight="1" x14ac:dyDescent="0.3">
      <c r="A51" s="6"/>
      <c r="B51" s="24"/>
      <c r="C51" s="95"/>
      <c r="D51" s="93" t="str">
        <f t="shared" si="2"/>
        <v/>
      </c>
      <c r="E51" s="20"/>
      <c r="F51" s="21"/>
      <c r="G51" s="20"/>
      <c r="H51" s="21"/>
      <c r="I51" s="20"/>
      <c r="J51" s="21"/>
      <c r="K51" s="20"/>
      <c r="L51" s="21"/>
      <c r="M51" s="20"/>
      <c r="N51" s="21"/>
      <c r="O51" s="20"/>
      <c r="P51" s="73"/>
      <c r="Q51" s="6"/>
    </row>
    <row r="52" spans="1:17" ht="16.2" customHeight="1" x14ac:dyDescent="0.3">
      <c r="A52" s="6"/>
      <c r="B52" s="24"/>
      <c r="C52" s="95"/>
      <c r="D52" s="93" t="str">
        <f t="shared" si="2"/>
        <v/>
      </c>
      <c r="E52" s="20"/>
      <c r="F52" s="21"/>
      <c r="G52" s="20"/>
      <c r="H52" s="21"/>
      <c r="I52" s="20"/>
      <c r="J52" s="21"/>
      <c r="K52" s="20"/>
      <c r="L52" s="21"/>
      <c r="M52" s="20"/>
      <c r="N52" s="21"/>
      <c r="O52" s="20"/>
      <c r="P52" s="73"/>
      <c r="Q52" s="6"/>
    </row>
    <row r="53" spans="1:17" ht="16.2" customHeight="1" x14ac:dyDescent="0.3">
      <c r="A53" s="6"/>
      <c r="B53" s="24"/>
      <c r="C53" s="95"/>
      <c r="D53" s="93" t="str">
        <f t="shared" si="2"/>
        <v/>
      </c>
      <c r="E53" s="20"/>
      <c r="F53" s="21"/>
      <c r="G53" s="20"/>
      <c r="H53" s="21"/>
      <c r="I53" s="20"/>
      <c r="J53" s="21"/>
      <c r="K53" s="20"/>
      <c r="L53" s="21"/>
      <c r="M53" s="20"/>
      <c r="N53" s="21"/>
      <c r="O53" s="20"/>
      <c r="P53" s="73"/>
      <c r="Q53" s="6"/>
    </row>
    <row r="54" spans="1:17" ht="16.2" customHeight="1" x14ac:dyDescent="0.3">
      <c r="A54" s="6"/>
      <c r="B54" s="24"/>
      <c r="C54" s="95"/>
      <c r="D54" s="93" t="str">
        <f>IF(C54="","",C54)</f>
        <v/>
      </c>
      <c r="E54" s="20"/>
      <c r="F54" s="21"/>
      <c r="G54" s="20"/>
      <c r="H54" s="21"/>
      <c r="I54" s="20"/>
      <c r="J54" s="21"/>
      <c r="K54" s="20"/>
      <c r="L54" s="21"/>
      <c r="M54" s="20"/>
      <c r="N54" s="21"/>
      <c r="O54" s="20"/>
      <c r="P54" s="73"/>
      <c r="Q54" s="6"/>
    </row>
    <row r="55" spans="1:17" ht="16.2" customHeight="1" x14ac:dyDescent="0.3">
      <c r="A55" s="6"/>
      <c r="B55" s="24"/>
      <c r="C55" s="95"/>
      <c r="D55" s="93" t="str">
        <f t="shared" si="2"/>
        <v/>
      </c>
      <c r="E55" s="20"/>
      <c r="F55" s="21"/>
      <c r="G55" s="20"/>
      <c r="H55" s="21"/>
      <c r="I55" s="20"/>
      <c r="J55" s="21"/>
      <c r="K55" s="20"/>
      <c r="L55" s="21"/>
      <c r="M55" s="20"/>
      <c r="N55" s="21"/>
      <c r="O55" s="20"/>
      <c r="P55" s="73"/>
      <c r="Q55" s="6"/>
    </row>
    <row r="56" spans="1:17" ht="16.2" customHeight="1" x14ac:dyDescent="0.3">
      <c r="A56" s="6"/>
      <c r="B56" s="24"/>
      <c r="C56" s="95"/>
      <c r="D56" s="93" t="str">
        <f t="shared" si="2"/>
        <v/>
      </c>
      <c r="E56" s="20"/>
      <c r="F56" s="21"/>
      <c r="G56" s="20"/>
      <c r="H56" s="21"/>
      <c r="I56" s="20"/>
      <c r="J56" s="21"/>
      <c r="K56" s="20"/>
      <c r="L56" s="21"/>
      <c r="M56" s="20"/>
      <c r="N56" s="21"/>
      <c r="O56" s="20"/>
      <c r="P56" s="73"/>
      <c r="Q56" s="6"/>
    </row>
    <row r="57" spans="1:17" ht="16.2" customHeight="1" x14ac:dyDescent="0.3">
      <c r="A57" s="6"/>
      <c r="B57" s="24"/>
      <c r="C57" s="95"/>
      <c r="D57" s="93" t="str">
        <f t="shared" si="2"/>
        <v/>
      </c>
      <c r="E57" s="20"/>
      <c r="F57" s="21"/>
      <c r="G57" s="20"/>
      <c r="H57" s="21"/>
      <c r="I57" s="20"/>
      <c r="J57" s="21"/>
      <c r="K57" s="20"/>
      <c r="L57" s="21"/>
      <c r="M57" s="20"/>
      <c r="N57" s="21"/>
      <c r="O57" s="20"/>
      <c r="P57" s="73"/>
      <c r="Q57" s="6"/>
    </row>
    <row r="58" spans="1:17" ht="16.2" customHeight="1" x14ac:dyDescent="0.3">
      <c r="A58" s="6"/>
      <c r="B58" s="24"/>
      <c r="C58" s="95"/>
      <c r="D58" s="93" t="str">
        <f t="shared" si="2"/>
        <v/>
      </c>
      <c r="E58" s="20"/>
      <c r="F58" s="21"/>
      <c r="G58" s="20"/>
      <c r="H58" s="21"/>
      <c r="I58" s="20"/>
      <c r="J58" s="21"/>
      <c r="K58" s="20"/>
      <c r="L58" s="21"/>
      <c r="M58" s="20"/>
      <c r="N58" s="21"/>
      <c r="O58" s="20"/>
      <c r="P58" s="73"/>
      <c r="Q58" s="6"/>
    </row>
    <row r="59" spans="1:17" ht="16.2" customHeight="1" x14ac:dyDescent="0.3">
      <c r="A59" s="6"/>
      <c r="B59" s="24"/>
      <c r="C59" s="95"/>
      <c r="D59" s="93" t="str">
        <f t="shared" si="2"/>
        <v/>
      </c>
      <c r="E59" s="20"/>
      <c r="F59" s="21"/>
      <c r="G59" s="20"/>
      <c r="H59" s="21"/>
      <c r="I59" s="20"/>
      <c r="J59" s="21"/>
      <c r="K59" s="20"/>
      <c r="L59" s="21"/>
      <c r="M59" s="20"/>
      <c r="N59" s="21"/>
      <c r="O59" s="20"/>
      <c r="P59" s="73"/>
      <c r="Q59" s="6"/>
    </row>
    <row r="60" spans="1:17" ht="16.2" customHeight="1" x14ac:dyDescent="0.3">
      <c r="A60" s="6"/>
      <c r="B60" s="24"/>
      <c r="C60" s="95"/>
      <c r="D60" s="96" t="str">
        <f t="shared" si="2"/>
        <v/>
      </c>
      <c r="E60" s="97"/>
      <c r="F60" s="78"/>
      <c r="G60" s="97"/>
      <c r="H60" s="78"/>
      <c r="I60" s="97"/>
      <c r="J60" s="78"/>
      <c r="K60" s="97"/>
      <c r="L60" s="78"/>
      <c r="M60" s="97"/>
      <c r="N60" s="78"/>
      <c r="O60" s="97"/>
      <c r="P60" s="79"/>
      <c r="Q60" s="6"/>
    </row>
    <row r="61" spans="1:17" x14ac:dyDescent="0.3">
      <c r="A61" s="6"/>
      <c r="B61" s="6"/>
      <c r="C61" s="6"/>
      <c r="D61" s="6"/>
      <c r="E61" s="6"/>
      <c r="F61" s="6"/>
      <c r="G61" s="6"/>
      <c r="H61" s="6"/>
      <c r="I61" s="6"/>
      <c r="J61" s="6"/>
      <c r="K61" s="6"/>
      <c r="L61" s="6"/>
      <c r="M61" s="6"/>
      <c r="N61" s="6"/>
      <c r="O61" s="6"/>
      <c r="P61" s="6"/>
      <c r="Q61" s="6"/>
    </row>
  </sheetData>
  <sheetProtection algorithmName="SHA-512" hashValue="ItGdS1H6EEPn4bmkU/Is7if5PlrbDS0raBG5n7RIZF8AhuRQc08aK+L+w9nvqghIRpz/S0D2mB69tRVF5wc+PA==" saltValue="InNV4g+K1IkFWNZWp/NNzg==" spinCount="100000" sheet="1" objects="1" scenarios="1"/>
  <mergeCells count="9">
    <mergeCell ref="M5:N5"/>
    <mergeCell ref="O5:P5"/>
    <mergeCell ref="B3:M3"/>
    <mergeCell ref="B5:C5"/>
    <mergeCell ref="A8:A32"/>
    <mergeCell ref="E5:F5"/>
    <mergeCell ref="G5:H5"/>
    <mergeCell ref="I5:J5"/>
    <mergeCell ref="K5:L5"/>
  </mergeCells>
  <conditionalFormatting sqref="A1:Q1">
    <cfRule type="expression" dxfId="4" priority="1">
      <formula>Data_Country=""</formula>
    </cfRule>
  </conditionalFormatting>
  <conditionalFormatting sqref="B8:B33 B37:B60">
    <cfRule type="expression" dxfId="3" priority="3">
      <formula>C8="Please add below any PNS not listed above"</formula>
    </cfRule>
    <cfRule type="cellIs" dxfId="2" priority="5" operator="equal">
      <formula>"Please select a region first"</formula>
    </cfRule>
  </conditionalFormatting>
  <conditionalFormatting sqref="C37:C60 C8:C33">
    <cfRule type="duplicateValues" dxfId="1" priority="9"/>
  </conditionalFormatting>
  <conditionalFormatting sqref="E37:P60">
    <cfRule type="expression" dxfId="0" priority="8">
      <formula>OR($C37="",$C37="Please select a region first")</formula>
    </cfRule>
  </conditionalFormatting>
  <conditionalFormatting sqref="F10">
    <cfRule type="iconSet" priority="2">
      <iconSet iconSet="3Symbols">
        <cfvo type="percent" val="0"/>
        <cfvo type="percent" val="33"/>
        <cfvo type="percent" val="67"/>
      </iconSet>
    </cfRule>
  </conditionalFormatting>
  <dataValidations count="4">
    <dataValidation type="list" allowBlank="1" showInputMessage="1" showErrorMessage="1" sqref="E37:E60 G37:G60 I37:I60 K37:K60 M37:M60 O37:O60" xr:uid="{00000000-0002-0000-0200-000000000000}">
      <formula1>"X"</formula1>
    </dataValidation>
    <dataValidation type="list" allowBlank="1" showInputMessage="1" showErrorMessage="1" sqref="C37:C60" xr:uid="{00000000-0002-0000-0200-000001000000}">
      <formula1>OFFSET(_StartB,MATCH(B37,_ColumnB,0)-1,0,COUNTIF(_ColumnB,B37),1)</formula1>
    </dataValidation>
    <dataValidation type="list" allowBlank="1" showInputMessage="1" showErrorMessage="1" sqref="B37:B60" xr:uid="{00000000-0002-0000-0200-000002000000}">
      <formula1>Region</formula1>
    </dataValidation>
    <dataValidation type="list" allowBlank="1" showInputMessage="1" showErrorMessage="1" sqref="H37:H60 J37:J60 L37:L60 N37:N60 P37:P60 F37:F60 P8:P32 F8:F32 H8:H32 J8:J32 L8:L32 N8:N32" xr:uid="{00000000-0002-0000-0200-000003000000}">
      <formula1>"✓"</formula1>
    </dataValidation>
  </dataValidations>
  <pageMargins left="0.7" right="0.7" top="0.75" bottom="0.75" header="0.3" footer="0.3"/>
  <headerFooter>
    <oddFooter>&amp;L_x000D_&amp;1#&amp;"Calibri"&amp;10&amp;K000000 Public</oddFooter>
  </headerFooter>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F755B-CD6A-479F-B977-81B1758FDD0C}">
  <sheetPr codeName="Sheet9">
    <pageSetUpPr autoPageBreaks="0"/>
  </sheetPr>
  <dimension ref="A1:N12"/>
  <sheetViews>
    <sheetView workbookViewId="0">
      <selection activeCell="B4" sqref="B4:M11"/>
    </sheetView>
  </sheetViews>
  <sheetFormatPr defaultColWidth="0" defaultRowHeight="14.4" zeroHeight="1" x14ac:dyDescent="0.3"/>
  <cols>
    <col min="1" max="13" width="8.6640625" customWidth="1"/>
    <col min="14" max="14" width="5.33203125" customWidth="1"/>
    <col min="15" max="16384" width="8.6640625" hidden="1"/>
  </cols>
  <sheetData>
    <row r="1" spans="1:14" x14ac:dyDescent="0.3">
      <c r="A1" s="50"/>
      <c r="B1" s="50"/>
      <c r="C1" s="50"/>
      <c r="D1" s="50"/>
      <c r="E1" s="50"/>
      <c r="F1" s="50"/>
      <c r="G1" s="50"/>
      <c r="H1" s="50"/>
      <c r="I1" s="50"/>
      <c r="J1" s="50"/>
      <c r="K1" s="50"/>
      <c r="L1" s="50"/>
      <c r="M1" s="50"/>
      <c r="N1" s="50"/>
    </row>
    <row r="2" spans="1:14" ht="23.4" x14ac:dyDescent="0.45">
      <c r="A2" s="50"/>
      <c r="B2" s="50"/>
      <c r="C2" s="50"/>
      <c r="D2" s="50"/>
      <c r="E2" s="50"/>
      <c r="F2" s="50"/>
      <c r="G2" s="51" t="s">
        <v>1512</v>
      </c>
      <c r="H2" s="50"/>
      <c r="I2" s="50"/>
      <c r="J2" s="50"/>
      <c r="K2" s="50"/>
      <c r="L2" s="50"/>
      <c r="M2" s="50"/>
      <c r="N2" s="50"/>
    </row>
    <row r="3" spans="1:14" x14ac:dyDescent="0.3">
      <c r="A3" s="50"/>
      <c r="B3" s="50"/>
      <c r="C3" s="50"/>
      <c r="D3" s="50"/>
      <c r="E3" s="50"/>
      <c r="F3" s="50"/>
      <c r="G3" s="50"/>
      <c r="H3" s="50"/>
      <c r="I3" s="50"/>
      <c r="J3" s="50"/>
      <c r="K3" s="50"/>
      <c r="L3" s="50"/>
      <c r="M3" s="50"/>
      <c r="N3" s="50"/>
    </row>
    <row r="4" spans="1:14" x14ac:dyDescent="0.3">
      <c r="A4" s="50"/>
      <c r="B4" s="292"/>
      <c r="C4" s="292"/>
      <c r="D4" s="292"/>
      <c r="E4" s="292"/>
      <c r="F4" s="292"/>
      <c r="G4" s="292"/>
      <c r="H4" s="292"/>
      <c r="I4" s="292"/>
      <c r="J4" s="292"/>
      <c r="K4" s="292"/>
      <c r="L4" s="292"/>
      <c r="M4" s="292"/>
      <c r="N4" s="50"/>
    </row>
    <row r="5" spans="1:14" x14ac:dyDescent="0.3">
      <c r="A5" s="50"/>
      <c r="B5" s="292"/>
      <c r="C5" s="292"/>
      <c r="D5" s="292"/>
      <c r="E5" s="292"/>
      <c r="F5" s="292"/>
      <c r="G5" s="292"/>
      <c r="H5" s="292"/>
      <c r="I5" s="292"/>
      <c r="J5" s="292"/>
      <c r="K5" s="292"/>
      <c r="L5" s="292"/>
      <c r="M5" s="292"/>
      <c r="N5" s="50"/>
    </row>
    <row r="6" spans="1:14" x14ac:dyDescent="0.3">
      <c r="A6" s="50"/>
      <c r="B6" s="292"/>
      <c r="C6" s="292"/>
      <c r="D6" s="292"/>
      <c r="E6" s="292"/>
      <c r="F6" s="292"/>
      <c r="G6" s="292"/>
      <c r="H6" s="292"/>
      <c r="I6" s="292"/>
      <c r="J6" s="292"/>
      <c r="K6" s="292"/>
      <c r="L6" s="292"/>
      <c r="M6" s="292"/>
      <c r="N6" s="50"/>
    </row>
    <row r="7" spans="1:14" x14ac:dyDescent="0.3">
      <c r="A7" s="50"/>
      <c r="B7" s="292"/>
      <c r="C7" s="292"/>
      <c r="D7" s="292"/>
      <c r="E7" s="292"/>
      <c r="F7" s="292"/>
      <c r="G7" s="292"/>
      <c r="H7" s="292"/>
      <c r="I7" s="292"/>
      <c r="J7" s="292"/>
      <c r="K7" s="292"/>
      <c r="L7" s="292"/>
      <c r="M7" s="292"/>
      <c r="N7" s="50"/>
    </row>
    <row r="8" spans="1:14" x14ac:dyDescent="0.3">
      <c r="A8" s="50"/>
      <c r="B8" s="292"/>
      <c r="C8" s="292"/>
      <c r="D8" s="292"/>
      <c r="E8" s="292"/>
      <c r="F8" s="292"/>
      <c r="G8" s="292"/>
      <c r="H8" s="292"/>
      <c r="I8" s="292"/>
      <c r="J8" s="292"/>
      <c r="K8" s="292"/>
      <c r="L8" s="292"/>
      <c r="M8" s="292"/>
      <c r="N8" s="50"/>
    </row>
    <row r="9" spans="1:14" x14ac:dyDescent="0.3">
      <c r="A9" s="50"/>
      <c r="B9" s="292"/>
      <c r="C9" s="292"/>
      <c r="D9" s="292"/>
      <c r="E9" s="292"/>
      <c r="F9" s="292"/>
      <c r="G9" s="292"/>
      <c r="H9" s="292"/>
      <c r="I9" s="292"/>
      <c r="J9" s="292"/>
      <c r="K9" s="292"/>
      <c r="L9" s="292"/>
      <c r="M9" s="292"/>
      <c r="N9" s="50"/>
    </row>
    <row r="10" spans="1:14" x14ac:dyDescent="0.3">
      <c r="A10" s="50"/>
      <c r="B10" s="292"/>
      <c r="C10" s="292"/>
      <c r="D10" s="292"/>
      <c r="E10" s="292"/>
      <c r="F10" s="292"/>
      <c r="G10" s="292"/>
      <c r="H10" s="292"/>
      <c r="I10" s="292"/>
      <c r="J10" s="292"/>
      <c r="K10" s="292"/>
      <c r="L10" s="292"/>
      <c r="M10" s="292"/>
      <c r="N10" s="50"/>
    </row>
    <row r="11" spans="1:14" x14ac:dyDescent="0.3">
      <c r="A11" s="50"/>
      <c r="B11" s="292"/>
      <c r="C11" s="292"/>
      <c r="D11" s="292"/>
      <c r="E11" s="292"/>
      <c r="F11" s="292"/>
      <c r="G11" s="292"/>
      <c r="H11" s="292"/>
      <c r="I11" s="292"/>
      <c r="J11" s="292"/>
      <c r="K11" s="292"/>
      <c r="L11" s="292"/>
      <c r="M11" s="292"/>
      <c r="N11" s="50"/>
    </row>
    <row r="12" spans="1:14" ht="23.4" customHeight="1" x14ac:dyDescent="0.3">
      <c r="A12" s="50"/>
      <c r="B12" s="50"/>
      <c r="C12" s="50"/>
      <c r="D12" s="50"/>
      <c r="E12" s="50"/>
      <c r="F12" s="50"/>
      <c r="G12" s="50"/>
      <c r="H12" s="50"/>
      <c r="I12" s="50"/>
      <c r="J12" s="50"/>
      <c r="K12" s="50"/>
      <c r="L12" s="50"/>
      <c r="M12" s="50"/>
      <c r="N12" s="50"/>
    </row>
  </sheetData>
  <sheetProtection algorithmName="SHA-512" hashValue="reTRkw4kGjfAYltmQlrun1ltZQ1ly1nFq0SDL0K8U0+JEgPb3n5SbF6yNFNmW3xdEnVRTO/sCheYu0lWWJd6LA==" saltValue="u1XttVPFIJx0dtNsumtNdg==" spinCount="100000" sheet="1" objects="1" scenarios="1"/>
  <mergeCells count="1">
    <mergeCell ref="B4:M11"/>
  </mergeCells>
  <pageMargins left="0.7" right="0.7" top="0.75" bottom="0.75" header="0.3" footer="0.3"/>
  <pageSetup orientation="portrait" horizontalDpi="1200" verticalDpi="1200" r:id="rId1"/>
  <headerFooter>
    <oddFooter>&amp;L_x000D_&amp;1#&amp;"Calibri"&amp;10&amp;K000000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ffb314bc-7b2d-45ce-a517-7d370eafd82d" xsi:nil="true"/>
    <lcf76f155ced4ddcb4097134ff3c332f xmlns="67bd97f6-f5f5-4f29-8f0d-e757ed3ec3ad">
      <Terms xmlns="http://schemas.microsoft.com/office/infopath/2007/PartnerControls"/>
    </lcf76f155ced4ddcb4097134ff3c332f>
    <Summary xmlns="67bd97f6-f5f5-4f29-8f0d-e757ed3ec3a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90A46C601EF784FB4DBF90453A8B30A" ma:contentTypeVersion="20" ma:contentTypeDescription="Create a new document." ma:contentTypeScope="" ma:versionID="04ae43cd61c236257f41580e830362ba">
  <xsd:schema xmlns:xsd="http://www.w3.org/2001/XMLSchema" xmlns:xs="http://www.w3.org/2001/XMLSchema" xmlns:p="http://schemas.microsoft.com/office/2006/metadata/properties" xmlns:ns2="67bd97f6-f5f5-4f29-8f0d-e757ed3ec3ad" xmlns:ns3="ffb314bc-7b2d-45ce-a517-7d370eafd82d" targetNamespace="http://schemas.microsoft.com/office/2006/metadata/properties" ma:root="true" ma:fieldsID="203b84fffd410675164ba71041c58b17" ns2:_="" ns3:_="">
    <xsd:import namespace="67bd97f6-f5f5-4f29-8f0d-e757ed3ec3ad"/>
    <xsd:import namespace="ffb314bc-7b2d-45ce-a517-7d370eafd8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Summar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bd97f6-f5f5-4f29-8f0d-e757ed3ec3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description=""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14f832c-f6f1-485d-8901-6765a4832c5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Summary" ma:index="25" nillable="true" ma:displayName="Summary" ma:description="Summary of document content" ma:format="Dropdown" ma:internalName="Summary">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b314bc-7b2d-45ce-a517-7d370eafd82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7bd8c229-fb44-4a46-a07d-edf5d86c7a44}" ma:internalName="TaxCatchAll" ma:showField="CatchAllData" ma:web="ffb314bc-7b2d-45ce-a517-7d370eafd8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07B6CA-4943-4333-8790-95EEAAD289A6}">
  <ds:schemaRefs>
    <ds:schemaRef ds:uri="http://schemas.microsoft.com/DataMashup"/>
  </ds:schemaRefs>
</ds:datastoreItem>
</file>

<file path=customXml/itemProps2.xml><?xml version="1.0" encoding="utf-8"?>
<ds:datastoreItem xmlns:ds="http://schemas.openxmlformats.org/officeDocument/2006/customXml" ds:itemID="{5AC87DDB-6184-455F-9DCB-F2C41976BC5F}">
  <ds:schemaRefs>
    <ds:schemaRef ds:uri="http://schemas.microsoft.com/office/2006/metadata/properties"/>
    <ds:schemaRef ds:uri="http://schemas.microsoft.com/office/infopath/2007/PartnerControls"/>
    <ds:schemaRef ds:uri="ffb314bc-7b2d-45ce-a517-7d370eafd82d"/>
    <ds:schemaRef ds:uri="67bd97f6-f5f5-4f29-8f0d-e757ed3ec3ad"/>
  </ds:schemaRefs>
</ds:datastoreItem>
</file>

<file path=customXml/itemProps3.xml><?xml version="1.0" encoding="utf-8"?>
<ds:datastoreItem xmlns:ds="http://schemas.openxmlformats.org/officeDocument/2006/customXml" ds:itemID="{103B55E2-0B60-4F6B-BB87-81D77C1C4784}">
  <ds:schemaRefs>
    <ds:schemaRef ds:uri="http://schemas.microsoft.com/sharepoint/v3/contenttype/forms"/>
  </ds:schemaRefs>
</ds:datastoreItem>
</file>

<file path=customXml/itemProps4.xml><?xml version="1.0" encoding="utf-8"?>
<ds:datastoreItem xmlns:ds="http://schemas.openxmlformats.org/officeDocument/2006/customXml" ds:itemID="{13DCCD66-599C-4795-B8D1-3C1196FDE1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bd97f6-f5f5-4f29-8f0d-e757ed3ec3ad"/>
    <ds:schemaRef ds:uri="ffb314bc-7b2d-45ce-a517-7d370eaf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21</vt:i4>
      </vt:variant>
    </vt:vector>
  </HeadingPairs>
  <TitlesOfParts>
    <vt:vector size="32" baseType="lpstr">
      <vt:lpstr>TemplateData</vt:lpstr>
      <vt:lpstr>Guidance</vt:lpstr>
      <vt:lpstr>Start</vt:lpstr>
      <vt:lpstr>Overall action Indicators</vt:lpstr>
      <vt:lpstr>Indicators list</vt:lpstr>
      <vt:lpstr>Emergency Appeal 1</vt:lpstr>
      <vt:lpstr>Emergency Appeal 2</vt:lpstr>
      <vt:lpstr>Emergency Appeal 3</vt:lpstr>
      <vt:lpstr>Funding</vt:lpstr>
      <vt:lpstr>Bilateral Support</vt:lpstr>
      <vt:lpstr>Comments</vt:lpstr>
      <vt:lpstr>_Column</vt:lpstr>
      <vt:lpstr>_ColumnB</vt:lpstr>
      <vt:lpstr>_Indicator</vt:lpstr>
      <vt:lpstr>_SP</vt:lpstr>
      <vt:lpstr>_Start</vt:lpstr>
      <vt:lpstr>_StartB</vt:lpstr>
      <vt:lpstr>Commetns_overall</vt:lpstr>
      <vt:lpstr>Data_branches</vt:lpstr>
      <vt:lpstr>Data_Country</vt:lpstr>
      <vt:lpstr>Data_EO1</vt:lpstr>
      <vt:lpstr>Data_EO2</vt:lpstr>
      <vt:lpstr>Data_EO3</vt:lpstr>
      <vt:lpstr>Data_MDR1</vt:lpstr>
      <vt:lpstr>Data_MDR2</vt:lpstr>
      <vt:lpstr>Data_MDR3</vt:lpstr>
      <vt:lpstr>Data_staff</vt:lpstr>
      <vt:lpstr>Data_units</vt:lpstr>
      <vt:lpstr>Data_vol</vt:lpstr>
      <vt:lpstr>Region</vt:lpstr>
      <vt:lpstr>SPs</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Haytham ALSOUFI</dc:creator>
  <cp:keywords/>
  <dc:description/>
  <cp:lastModifiedBy>Haytham ALSOUFI</cp:lastModifiedBy>
  <cp:revision/>
  <dcterms:created xsi:type="dcterms:W3CDTF">2023-12-20T10:48:20Z</dcterms:created>
  <dcterms:modified xsi:type="dcterms:W3CDTF">2026-07-15T09:41:32Z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0x010100690A46C601EF784FB4DBF90453A8B30A</vt:lpwstr>
  </property>
  <property fmtid="{D5CDD505-2E9C-101B-9397-08002B2CF9AE}" pid="3" name="MediaServiceImageTags">
    <vt:lpwstr/>
  </property>
  <property fmtid="{D5CDD505-2E9C-101B-9397-08002B2CF9AE}" pid="4" name="MSIP_Label_caf3f7fd-5cd4-4287-9002-aceb9af13c42_Enabled">
    <vt:lpwstr>true</vt:lpwstr>
  </property>
  <property fmtid="{D5CDD505-2E9C-101B-9397-08002B2CF9AE}" pid="5" name="MSIP_Label_caf3f7fd-5cd4-4287-9002-aceb9af13c42_SetDate">
    <vt:lpwstr>2025-01-14T21:02:52Z</vt:lpwstr>
  </property>
  <property fmtid="{D5CDD505-2E9C-101B-9397-08002B2CF9AE}" pid="6" name="MSIP_Label_caf3f7fd-5cd4-4287-9002-aceb9af13c42_Method">
    <vt:lpwstr>Privileged</vt:lpwstr>
  </property>
  <property fmtid="{D5CDD505-2E9C-101B-9397-08002B2CF9AE}" pid="7" name="MSIP_Label_caf3f7fd-5cd4-4287-9002-aceb9af13c42_Name">
    <vt:lpwstr>Public</vt:lpwstr>
  </property>
  <property fmtid="{D5CDD505-2E9C-101B-9397-08002B2CF9AE}" pid="8" name="MSIP_Label_caf3f7fd-5cd4-4287-9002-aceb9af13c42_SiteId">
    <vt:lpwstr>a2b53be5-734e-4e6c-ab0d-d184f60fd917</vt:lpwstr>
  </property>
  <property fmtid="{D5CDD505-2E9C-101B-9397-08002B2CF9AE}" pid="9" name="MSIP_Label_caf3f7fd-5cd4-4287-9002-aceb9af13c42_ActionId">
    <vt:lpwstr>c9b719ae-83bd-40c6-9b7c-808603f65a3e</vt:lpwstr>
  </property>
  <property fmtid="{D5CDD505-2E9C-101B-9397-08002B2CF9AE}" pid="10" name="MSIP_Label_caf3f7fd-5cd4-4287-9002-aceb9af13c42_ContentBits">
    <vt:lpwstr>2</vt:lpwstr>
  </property>
  <property fmtid="{D5CDD505-2E9C-101B-9397-08002B2CF9AE}" pid="11" name="MSIP_Label_caf3f7fd-5cd4-4287-9002-aceb9af13c42_Tag">
    <vt:lpwstr>10, 0, 1, 2</vt:lpwstr>
  </property>
</Properties>
</file>