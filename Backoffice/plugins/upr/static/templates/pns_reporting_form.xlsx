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frcorg.sharepoint.com/sites/THEFDRSTEAM/Shared Documents/Unified Planning and Reporting/2025 Annual/Templates/"/>
    </mc:Choice>
  </mc:AlternateContent>
  <xr:revisionPtr revIDLastSave="25" documentId="8_{5CC582DC-A9B3-4D45-A060-9B65D5BF309D}" xr6:coauthVersionLast="47" xr6:coauthVersionMax="47" xr10:uidLastSave="{B603E04F-900A-4BBC-95EF-7945BDF7CA0E}"/>
  <workbookProtection workbookAlgorithmName="SHA-512" workbookHashValue="ikKPFUS1vkolzSuhvSp0gUfYwNxp8A0fNfDREd9FfLXtAdEEDVHzy6V0kIPwKEytW3e2y3wOPBbXKWcq9XBBzw==" workbookSaltValue="dTxW1RGqRtcRrsTtvIQX6w==" workbookSpinCount="100000" lockStructure="1"/>
  <bookViews>
    <workbookView xWindow="19090" yWindow="-4710" windowWidth="38620" windowHeight="21100" xr2:uid="{00000000-000D-0000-FFFF-FFFF00000000}"/>
  </bookViews>
  <sheets>
    <sheet name="Funding data" sheetId="3" r:id="rId1"/>
    <sheet name="PNS Staff Presence" sheetId="8" r:id="rId2"/>
    <sheet name="Funding Requirement by Country" sheetId="6" r:id="rId3"/>
    <sheet name="FR" sheetId="7" state="hidden" r:id="rId4"/>
    <sheet name="list" sheetId="2" state="hidden" r:id="rId5"/>
  </sheets>
  <externalReferences>
    <externalReference r:id="rId6"/>
  </externalReferences>
  <definedNames>
    <definedName name="_Region">Table8[Region]</definedName>
    <definedName name="_Start">All_NS_list[[#Headers],[Country]]</definedName>
    <definedName name="CountryList">All_NS_list[Country]</definedName>
    <definedName name="ExternalData_1" localSheetId="3" hidden="1">FR!$A$1:$D$324</definedName>
    <definedName name="ExternalData_1" localSheetId="4" hidden="1">list!$A$1:$C$28</definedName>
    <definedName name="ExternalData_2" localSheetId="4" hidden="1">list!$E$1:$F$192</definedName>
    <definedName name="PNS" localSheetId="1">'[1]FR data'!$G$4:$G$35</definedName>
    <definedName name="PNS">'Funding data'!$D$3</definedName>
    <definedName name="RegionList">All_NS_list[[#All], [Region]]</definedName>
    <definedName name="selecte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 a="1"/>
  <c r="D15" i="3" s="1"/>
  <c r="D16" i="3" a="1"/>
  <c r="D16" i="3" s="1"/>
  <c r="D17" i="3" a="1"/>
  <c r="D17" i="3" s="1"/>
  <c r="D18" i="3" a="1"/>
  <c r="D18" i="3" s="1"/>
  <c r="D19" i="3" a="1"/>
  <c r="D19" i="3" s="1"/>
  <c r="D20" i="3" a="1"/>
  <c r="D20" i="3" s="1"/>
  <c r="D21" i="3" a="1"/>
  <c r="D21" i="3" s="1"/>
  <c r="D22" i="3" a="1"/>
  <c r="D22" i="3" s="1"/>
  <c r="D23" i="3" a="1"/>
  <c r="D23" i="3" s="1"/>
  <c r="D24" i="3" a="1"/>
  <c r="D24" i="3" s="1"/>
  <c r="D25" i="3" a="1"/>
  <c r="D25" i="3" s="1"/>
  <c r="D26" i="3" a="1"/>
  <c r="D26" i="3" s="1"/>
  <c r="D27" i="3" a="1"/>
  <c r="D27" i="3" s="1"/>
  <c r="D28" i="3" a="1"/>
  <c r="D28" i="3" s="1"/>
  <c r="D29" i="3" a="1"/>
  <c r="D29" i="3" s="1"/>
  <c r="D30" i="3" a="1"/>
  <c r="D30" i="3" s="1"/>
  <c r="D31" i="3" a="1"/>
  <c r="D31" i="3" s="1"/>
  <c r="D32" i="3" a="1"/>
  <c r="D32" i="3" s="1"/>
  <c r="D33" i="3" a="1"/>
  <c r="D33" i="3" s="1"/>
  <c r="D34" i="3" a="1"/>
  <c r="D34" i="3" s="1"/>
  <c r="D35" i="3" a="1"/>
  <c r="D35" i="3" s="1"/>
  <c r="D36" i="3" a="1"/>
  <c r="D36" i="3" s="1"/>
  <c r="D37" i="3" a="1"/>
  <c r="D37" i="3" s="1"/>
  <c r="D38" i="3" a="1"/>
  <c r="D38" i="3" s="1"/>
  <c r="D39" i="3" a="1"/>
  <c r="D39" i="3" s="1"/>
  <c r="D40" i="3" a="1"/>
  <c r="D40" i="3" s="1"/>
  <c r="D41" i="3" a="1"/>
  <c r="D41" i="3" s="1"/>
  <c r="D42" i="3" a="1"/>
  <c r="D42" i="3" s="1"/>
  <c r="D43" i="3" a="1"/>
  <c r="D43" i="3" s="1"/>
  <c r="D44" i="3" a="1"/>
  <c r="D44" i="3" s="1"/>
  <c r="D45" i="3" a="1"/>
  <c r="D45" i="3" s="1"/>
  <c r="D46" i="3" a="1"/>
  <c r="D46" i="3" s="1"/>
  <c r="D47" i="3" a="1"/>
  <c r="D47" i="3" s="1"/>
  <c r="D48" i="3" a="1"/>
  <c r="D48" i="3" s="1"/>
  <c r="D49" i="3" a="1"/>
  <c r="D49" i="3" s="1"/>
  <c r="D50" i="3" a="1"/>
  <c r="D50" i="3" s="1"/>
  <c r="D51" i="3" a="1"/>
  <c r="D51" i="3" s="1"/>
  <c r="D52" i="3" a="1"/>
  <c r="D52" i="3" s="1"/>
  <c r="D53" i="3" a="1"/>
  <c r="D53" i="3" s="1"/>
  <c r="D54" i="3" a="1"/>
  <c r="D54" i="3" s="1"/>
  <c r="D55" i="3" a="1"/>
  <c r="D55" i="3" s="1"/>
  <c r="D56" i="3" a="1"/>
  <c r="D56" i="3" s="1"/>
  <c r="D57" i="3" a="1"/>
  <c r="D57" i="3" s="1"/>
  <c r="D58" i="3" a="1"/>
  <c r="D58" i="3" s="1"/>
  <c r="D59" i="3" a="1"/>
  <c r="D59" i="3" s="1"/>
  <c r="D60" i="3" a="1"/>
  <c r="D60" i="3" s="1"/>
  <c r="D61" i="3" a="1"/>
  <c r="D61" i="3" s="1"/>
  <c r="D62" i="3" a="1"/>
  <c r="D62" i="3" s="1"/>
  <c r="D63" i="3" a="1"/>
  <c r="D63" i="3" s="1"/>
  <c r="D64" i="3" a="1"/>
  <c r="D64" i="3" s="1"/>
  <c r="D65" i="3" a="1"/>
  <c r="D65" i="3" s="1"/>
  <c r="D66" i="3" a="1"/>
  <c r="D66" i="3" s="1"/>
  <c r="D67" i="3" a="1"/>
  <c r="D67" i="3" s="1"/>
  <c r="D68" i="3" a="1"/>
  <c r="D68" i="3" s="1"/>
  <c r="D69" i="3" a="1"/>
  <c r="D69" i="3" s="1"/>
  <c r="D70" i="3" a="1"/>
  <c r="D70" i="3" s="1"/>
  <c r="B9" i="6" l="1" a="1"/>
  <c r="B9" i="6" s="1"/>
  <c r="J3" i="3" a="1"/>
  <c r="J3" i="3" s="1"/>
  <c r="C6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<sst xmlns="http://schemas.openxmlformats.org/spreadsheetml/2006/main" count="2080" uniqueCount="467">
  <si>
    <t>Please create a copy of this file on your device to be able to edit</t>
  </si>
  <si>
    <r>
      <rPr>
        <b/>
        <sz val="11"/>
        <color rgb="FF000000"/>
        <rFont val="Calibri"/>
        <scheme val="minor"/>
      </rPr>
      <t xml:space="preserve">Select the name of your National Society   </t>
    </r>
    <r>
      <rPr>
        <b/>
        <sz val="11"/>
        <color rgb="FFFF0000"/>
        <rFont val="Calibri"/>
        <scheme val="minor"/>
      </rPr>
      <t>⮞⮞</t>
    </r>
  </si>
  <si>
    <t>American Red Cross</t>
  </si>
  <si>
    <t>Total planned funding requirements
(Based on our 2025 Planning data):</t>
  </si>
  <si>
    <t>For details by country check the "Requirement by Country" sheet</t>
  </si>
  <si>
    <t>PNS Reporting Guidelines:</t>
  </si>
  <si>
    <r>
      <rPr>
        <b/>
        <sz val="11"/>
        <color rgb="FF3F3F76"/>
        <rFont val="Calibri"/>
        <family val="2"/>
        <scheme val="minor"/>
      </rPr>
      <t xml:space="preserve">1. </t>
    </r>
    <r>
      <rPr>
        <sz val="11"/>
        <color rgb="FF3F3F76"/>
        <rFont val="Calibri"/>
        <family val="2"/>
        <scheme val="minor"/>
      </rPr>
      <t xml:space="preserve">Work Advance: Ensure work advances are included across all three categories.
</t>
    </r>
    <r>
      <rPr>
        <b/>
        <sz val="11"/>
        <color rgb="FF3F3F76"/>
        <rFont val="Calibri"/>
        <family val="2"/>
        <scheme val="minor"/>
      </rPr>
      <t>2.</t>
    </r>
    <r>
      <rPr>
        <sz val="11"/>
        <color rgb="FF3F3F76"/>
        <rFont val="Calibri"/>
        <family val="2"/>
        <scheme val="minor"/>
      </rPr>
      <t xml:space="preserve"> Transfers via other PNSs: Report transfers made through other PNSs (as part of a consortium) and provide explanations in the comments.
</t>
    </r>
    <r>
      <rPr>
        <b/>
        <sz val="11"/>
        <color rgb="FF3F3F76"/>
        <rFont val="Calibri"/>
        <family val="2"/>
        <scheme val="minor"/>
      </rPr>
      <t xml:space="preserve">3. </t>
    </r>
    <r>
      <rPr>
        <sz val="11"/>
        <color rgb="FF3F3F76"/>
        <rFont val="Calibri"/>
        <family val="2"/>
        <scheme val="minor"/>
      </rPr>
      <t xml:space="preserve">Total Funding: Include the total fiscal value of money, material goods, and services available to the National Society during the reporting year. This covers opening balances and all income sources.
</t>
    </r>
    <r>
      <rPr>
        <b/>
        <sz val="11"/>
        <color rgb="FF3F3F76"/>
        <rFont val="Calibri"/>
        <family val="2"/>
        <scheme val="minor"/>
      </rPr>
      <t xml:space="preserve">4. </t>
    </r>
    <r>
      <rPr>
        <sz val="11"/>
        <color rgb="FF3F3F76"/>
        <rFont val="Calibri"/>
        <family val="2"/>
        <scheme val="minor"/>
      </rPr>
      <t xml:space="preserve">Total Expenditure: Report the fiscal value of expenditures during the year, excluding internal transfers. This should include indirect costs, operational expenses, logistics, salaries, administrative fees, and other expenditures.
</t>
    </r>
    <r>
      <rPr>
        <b/>
        <sz val="11"/>
        <color rgb="FF3F3F76"/>
        <rFont val="Calibri"/>
        <family val="2"/>
        <scheme val="minor"/>
      </rPr>
      <t>5.</t>
    </r>
    <r>
      <rPr>
        <sz val="11"/>
        <color rgb="FF3F3F76"/>
        <rFont val="Calibri"/>
        <family val="2"/>
        <scheme val="minor"/>
      </rPr>
      <t xml:space="preserve"> Total Transferred to HNS: Indicate the total funds transferred to HNS, including cash advances, funds transfers, or any other modalities deposited in HNS accounts. Exclude direct payments made by the PNS for in-country implementation, such as procurement, salaries, or in-kind donations.
</t>
    </r>
    <r>
      <rPr>
        <b/>
        <sz val="11"/>
        <color rgb="FFFF0000"/>
        <rFont val="Calibri"/>
        <family val="2"/>
        <scheme val="minor"/>
      </rPr>
      <t>6.</t>
    </r>
    <r>
      <rPr>
        <sz val="11"/>
        <color rgb="FFFF0000"/>
        <rFont val="Calibri"/>
        <family val="2"/>
        <scheme val="minor"/>
      </rPr>
      <t xml:space="preserve"> Bilateral Assistance: Ensure reported figures reflect exclusively bilateral assistance.</t>
    </r>
  </si>
  <si>
    <t>(Optional)</t>
  </si>
  <si>
    <r>
      <t>Please report in</t>
    </r>
    <r>
      <rPr>
        <b/>
        <sz val="11"/>
        <color rgb="FF3F3F76"/>
        <rFont val="Calibri"/>
        <family val="2"/>
        <scheme val="minor"/>
      </rPr>
      <t xml:space="preserve"> Swiss francs</t>
    </r>
  </si>
  <si>
    <t>(Required)</t>
  </si>
  <si>
    <t>(Expenditure breakdown, including longer-term work and emergency operations)</t>
  </si>
  <si>
    <t>Totals</t>
  </si>
  <si>
    <t>Breakdown by IFRC Strategic Priorities and Enabling Functions</t>
  </si>
  <si>
    <t>Comments/Notes</t>
  </si>
  <si>
    <t>Region</t>
  </si>
  <si>
    <t>Country</t>
  </si>
  <si>
    <t>Planned Funding requirement
(Automatically prefilled from 2025 plans data)</t>
  </si>
  <si>
    <t>Total Funding</t>
  </si>
  <si>
    <t>Total Expenditure</t>
  </si>
  <si>
    <t>Total transferred to HNS</t>
  </si>
  <si>
    <t>Climate and environment</t>
  </si>
  <si>
    <t>Disasters and Crises</t>
  </si>
  <si>
    <t>Health and wellbeing</t>
  </si>
  <si>
    <t>Migration and displacement</t>
  </si>
  <si>
    <t>Values, power and inclusion</t>
  </si>
  <si>
    <t>Enabling functions</t>
  </si>
  <si>
    <t>FR</t>
  </si>
  <si>
    <t>Funding</t>
  </si>
  <si>
    <t>Expenditure</t>
  </si>
  <si>
    <t>Transferred</t>
  </si>
  <si>
    <t>SP1</t>
  </si>
  <si>
    <t>SP2</t>
  </si>
  <si>
    <t>SP3</t>
  </si>
  <si>
    <t>SP4</t>
  </si>
  <si>
    <t>SP5</t>
  </si>
  <si>
    <t>EFs</t>
  </si>
  <si>
    <t>Comments</t>
  </si>
  <si>
    <t>Asia Pacific</t>
  </si>
  <si>
    <t>This page is for reference only</t>
  </si>
  <si>
    <t>Below is the planned funding requirement submitted by your National Society for the year 2025 for each of the listed countries</t>
  </si>
  <si>
    <t>Listed countries for</t>
  </si>
  <si>
    <t>PNS</t>
  </si>
  <si>
    <t>Funding requirements
for 2025</t>
  </si>
  <si>
    <t>Value</t>
  </si>
  <si>
    <t>Bangladesh</t>
  </si>
  <si>
    <t>Americas</t>
  </si>
  <si>
    <t>Colombia</t>
  </si>
  <si>
    <t>El Salvador</t>
  </si>
  <si>
    <t>Africa</t>
  </si>
  <si>
    <t>Ethiopia</t>
  </si>
  <si>
    <t>Guatemala</t>
  </si>
  <si>
    <t>Honduras</t>
  </si>
  <si>
    <t>Indonesia</t>
  </si>
  <si>
    <t>Kenya</t>
  </si>
  <si>
    <t>Malaysia</t>
  </si>
  <si>
    <t>Marshall Islands</t>
  </si>
  <si>
    <t>Micronesia, Federated States of</t>
  </si>
  <si>
    <t>Nepal</t>
  </si>
  <si>
    <t>Palau</t>
  </si>
  <si>
    <t>MENA</t>
  </si>
  <si>
    <t>Palestine, State of</t>
  </si>
  <si>
    <t>Philippines</t>
  </si>
  <si>
    <t>Solomon Islands</t>
  </si>
  <si>
    <t>Timor-Leste</t>
  </si>
  <si>
    <t>Tuvalu</t>
  </si>
  <si>
    <t>Vanuatu</t>
  </si>
  <si>
    <t>Zambia</t>
  </si>
  <si>
    <t>Australian Red Cross</t>
  </si>
  <si>
    <t>Mongolia</t>
  </si>
  <si>
    <t>Austrian Red Cross</t>
  </si>
  <si>
    <t>Europe &amp; CA</t>
  </si>
  <si>
    <t>Albania</t>
  </si>
  <si>
    <t>Armenia</t>
  </si>
  <si>
    <t>Bosnia and Herzegovina</t>
  </si>
  <si>
    <t>Burkina Faso</t>
  </si>
  <si>
    <t>Georgia</t>
  </si>
  <si>
    <t>Lebanon</t>
  </si>
  <si>
    <t>Mozambique</t>
  </si>
  <si>
    <t>North Macedonia</t>
  </si>
  <si>
    <t>Rwanda</t>
  </si>
  <si>
    <t>Serbia</t>
  </si>
  <si>
    <t>Syrian Arab Republic</t>
  </si>
  <si>
    <t>Uganda</t>
  </si>
  <si>
    <t>Ukraine</t>
  </si>
  <si>
    <t>Belgian Red Cross</t>
  </si>
  <si>
    <t>Benin</t>
  </si>
  <si>
    <t>Burundi</t>
  </si>
  <si>
    <t>Congo, the Democratic Republic of the</t>
  </si>
  <si>
    <t>Malawi</t>
  </si>
  <si>
    <t>Mali</t>
  </si>
  <si>
    <t>Niger</t>
  </si>
  <si>
    <t>Senegal</t>
  </si>
  <si>
    <t>British Red Cross</t>
  </si>
  <si>
    <t>Chad</t>
  </si>
  <si>
    <t>Eswatini, the Kingdom of</t>
  </si>
  <si>
    <t>Iraq</t>
  </si>
  <si>
    <t>Libya</t>
  </si>
  <si>
    <t>Mauritania</t>
  </si>
  <si>
    <t>Morocco</t>
  </si>
  <si>
    <t>Nigeria</t>
  </si>
  <si>
    <t>Romania</t>
  </si>
  <si>
    <t>Sierra Leone</t>
  </si>
  <si>
    <t>Somalia</t>
  </si>
  <si>
    <t>Türkiye</t>
  </si>
  <si>
    <t>Yemen</t>
  </si>
  <si>
    <t>Zimbabwe</t>
  </si>
  <si>
    <t>Danish Red Cross</t>
  </si>
  <si>
    <t>Afghanistan</t>
  </si>
  <si>
    <t>Myanmar</t>
  </si>
  <si>
    <t>South Sudan</t>
  </si>
  <si>
    <t>Sudan</t>
  </si>
  <si>
    <t>Finnish Red Cross</t>
  </si>
  <si>
    <t>Bhutan</t>
  </si>
  <si>
    <t>Tajikistan</t>
  </si>
  <si>
    <t>Tanzania, United Republic of</t>
  </si>
  <si>
    <t>French Red Cross</t>
  </si>
  <si>
    <t>Cameroon</t>
  </si>
  <si>
    <t>Comoros</t>
  </si>
  <si>
    <t>Madagascar</t>
  </si>
  <si>
    <t>Mauritius</t>
  </si>
  <si>
    <t>Moldova, Republic of</t>
  </si>
  <si>
    <t>Togo</t>
  </si>
  <si>
    <t>German Red Cross</t>
  </si>
  <si>
    <t>Costa Rica</t>
  </si>
  <si>
    <t>Ecuador</t>
  </si>
  <si>
    <t>Mexico</t>
  </si>
  <si>
    <t>Pakistan</t>
  </si>
  <si>
    <t>Poland</t>
  </si>
  <si>
    <t>Venezuela, Bolivarian Republic of</t>
  </si>
  <si>
    <t>Hong Kong Red Cross, Branch of the Red Cross Society of China</t>
  </si>
  <si>
    <t>Bulgaria</t>
  </si>
  <si>
    <t>Icelandic Red Cross</t>
  </si>
  <si>
    <t>Irish Red Cross Society</t>
  </si>
  <si>
    <t>Italian Red Cross</t>
  </si>
  <si>
    <t>Angola</t>
  </si>
  <si>
    <t>Djibouti</t>
  </si>
  <si>
    <t>Guinea-Bissau</t>
  </si>
  <si>
    <t>Kazakhstan</t>
  </si>
  <si>
    <t>Kyrgyzstan</t>
  </si>
  <si>
    <t>Montenegro</t>
  </si>
  <si>
    <t>Panama</t>
  </si>
  <si>
    <t>Uruguay</t>
  </si>
  <si>
    <t>Japanese Red Cross Society</t>
  </si>
  <si>
    <t>Kuwait Red Crescent Society</t>
  </si>
  <si>
    <t>Jordan</t>
  </si>
  <si>
    <t>Luxembourg Red Cross</t>
  </si>
  <si>
    <t>Norwegian Red Cross</t>
  </si>
  <si>
    <t>Qatar Red Crescent Society</t>
  </si>
  <si>
    <t>Red Crescent Society of the United Arab Emirates</t>
  </si>
  <si>
    <t>Red Cross Society of China</t>
  </si>
  <si>
    <t>Red Cross of Monaco</t>
  </si>
  <si>
    <t>Spanish Red Cross</t>
  </si>
  <si>
    <t>Algeria</t>
  </si>
  <si>
    <t>Gambia</t>
  </si>
  <si>
    <t>Haiti</t>
  </si>
  <si>
    <t>Swedish Red Cross</t>
  </si>
  <si>
    <t>Liberia</t>
  </si>
  <si>
    <t>Swiss Red Cross</t>
  </si>
  <si>
    <t>Bolivia, Plurinational State of</t>
  </si>
  <si>
    <t>Lao People's Democratic Republic</t>
  </si>
  <si>
    <t>Paraguay</t>
  </si>
  <si>
    <t>The Canadian Red Cross Society</t>
  </si>
  <si>
    <t>Dominican Republic</t>
  </si>
  <si>
    <t>India</t>
  </si>
  <si>
    <t>Lithuania</t>
  </si>
  <si>
    <t>The Netherlands Red Cross</t>
  </si>
  <si>
    <t>Central African Republic</t>
  </si>
  <si>
    <t>Côte d'Ivoire</t>
  </si>
  <si>
    <t>Egypt</t>
  </si>
  <si>
    <t>The Republic of Korea National Red Cross</t>
  </si>
  <si>
    <t>Turkish Red Crescent Society</t>
  </si>
  <si>
    <t>Azerbaijan</t>
  </si>
  <si>
    <t>Country Map</t>
  </si>
  <si>
    <t>ISO3</t>
  </si>
  <si>
    <t>USA</t>
  </si>
  <si>
    <t>AUS</t>
  </si>
  <si>
    <t>AUT</t>
  </si>
  <si>
    <t>Botswana</t>
  </si>
  <si>
    <t>BEL</t>
  </si>
  <si>
    <t>Europe and Central Asia</t>
  </si>
  <si>
    <t>GBR</t>
  </si>
  <si>
    <t>DNK</t>
  </si>
  <si>
    <t>FIN</t>
  </si>
  <si>
    <t>Cape Verde</t>
  </si>
  <si>
    <t>FRA</t>
  </si>
  <si>
    <t>DEU</t>
  </si>
  <si>
    <t>ISL</t>
  </si>
  <si>
    <t>IRL</t>
  </si>
  <si>
    <t>Congo</t>
  </si>
  <si>
    <t>ITA</t>
  </si>
  <si>
    <t>JPN</t>
  </si>
  <si>
    <t>KWT</t>
  </si>
  <si>
    <t>LUX</t>
  </si>
  <si>
    <t>Equatorial Guinea</t>
  </si>
  <si>
    <t>NOR</t>
  </si>
  <si>
    <t>QAT</t>
  </si>
  <si>
    <t>ARE</t>
  </si>
  <si>
    <t>Gabon</t>
  </si>
  <si>
    <t>CHN</t>
  </si>
  <si>
    <t>MCO</t>
  </si>
  <si>
    <t>Ghana</t>
  </si>
  <si>
    <t>ESP</t>
  </si>
  <si>
    <t>Guinea</t>
  </si>
  <si>
    <t>SWE</t>
  </si>
  <si>
    <t>CHE</t>
  </si>
  <si>
    <t>CAN</t>
  </si>
  <si>
    <t>Lesotho</t>
  </si>
  <si>
    <t>NLD</t>
  </si>
  <si>
    <t>KOR</t>
  </si>
  <si>
    <t>TUR</t>
  </si>
  <si>
    <t>Namibia</t>
  </si>
  <si>
    <t>Sao Tome and Principe</t>
  </si>
  <si>
    <t>Seychelles</t>
  </si>
  <si>
    <t>South Africa</t>
  </si>
  <si>
    <t>Antigua and Barbuda</t>
  </si>
  <si>
    <t>Argentina</t>
  </si>
  <si>
    <t>Bahamas</t>
  </si>
  <si>
    <t>Barbados</t>
  </si>
  <si>
    <t>Belize</t>
  </si>
  <si>
    <t>Brazil</t>
  </si>
  <si>
    <t>Canada</t>
  </si>
  <si>
    <t>Chile</t>
  </si>
  <si>
    <t>Cuba</t>
  </si>
  <si>
    <t>Dominica</t>
  </si>
  <si>
    <t>Grenada</t>
  </si>
  <si>
    <t>Guyana</t>
  </si>
  <si>
    <t>Jamaica</t>
  </si>
  <si>
    <t>Peru</t>
  </si>
  <si>
    <t>Saint Kitts and Nevis</t>
  </si>
  <si>
    <t>Saint Lucia</t>
  </si>
  <si>
    <t>Saint Vincent and the Grenadines</t>
  </si>
  <si>
    <t>Suriname</t>
  </si>
  <si>
    <t>Trinidad and Tobago</t>
  </si>
  <si>
    <t>United States</t>
  </si>
  <si>
    <t>Australia</t>
  </si>
  <si>
    <t>Brunei Darussalam</t>
  </si>
  <si>
    <t>Cambodia</t>
  </si>
  <si>
    <t>China</t>
  </si>
  <si>
    <t>Cook Islands</t>
  </si>
  <si>
    <t>Fiji</t>
  </si>
  <si>
    <t>Japan</t>
  </si>
  <si>
    <t>Kiribati</t>
  </si>
  <si>
    <t>Korea, Democratic People's Republic of</t>
  </si>
  <si>
    <t>Korea, Republic of</t>
  </si>
  <si>
    <t>Maldives</t>
  </si>
  <si>
    <t>New Zealand</t>
  </si>
  <si>
    <t>Papua New Guinea</t>
  </si>
  <si>
    <t>Samoa</t>
  </si>
  <si>
    <t>Singapore</t>
  </si>
  <si>
    <t>Sri Lanka</t>
  </si>
  <si>
    <t>Thailand</t>
  </si>
  <si>
    <t>Tonga</t>
  </si>
  <si>
    <t>Viet Nam</t>
  </si>
  <si>
    <t>Andorra</t>
  </si>
  <si>
    <t>Austria</t>
  </si>
  <si>
    <t>Belarus</t>
  </si>
  <si>
    <t>Belgium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</si>
  <si>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</si>
  <si>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</si>
  <si>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</si>
  <si>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</si>
  <si>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</si>
  <si>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</si>
  <si>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</si>
  <si>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</si>
  <si>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</si>
  <si>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</si>
  <si>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</si>
  <si>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</si>
  <si>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</si>
  <si>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</si>
  <si>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Latvia</t>
  </si>
  <si>
    <t>Liechtenstein</t>
  </si>
  <si>
    <t>Luxembourg</t>
  </si>
  <si>
    <t>Malta</t>
  </si>
  <si>
    <t>Monaco</t>
  </si>
  <si>
    <t>Netherlands</t>
  </si>
  <si>
    <t>Norway</t>
  </si>
  <si>
    <t>Portugal</t>
  </si>
  <si>
    <t>Russian Federation</t>
  </si>
  <si>
    <t>San Marino</t>
  </si>
  <si>
    <t>Slovakia</t>
  </si>
  <si>
    <t>Slovenia</t>
  </si>
  <si>
    <t>Spain</t>
  </si>
  <si>
    <t>Sweden</t>
  </si>
  <si>
    <t>Switzerland</t>
  </si>
  <si>
    <t>Turkmenistan</t>
  </si>
  <si>
    <t>United Kingdom</t>
  </si>
  <si>
    <t>Uzbekistan</t>
  </si>
  <si>
    <t>Bahrain</t>
  </si>
  <si>
    <t>Iran, Islamic Republic of</t>
  </si>
  <si>
    <t>Kuwait</t>
  </si>
  <si>
    <t>Qatar</t>
  </si>
  <si>
    <t>Saudi Arabia</t>
  </si>
  <si>
    <t>Tunisia</t>
  </si>
  <si>
    <t>United Arab Emirates</t>
  </si>
  <si>
    <t># of international delegates integrated with the HNS</t>
  </si>
  <si>
    <t># of national staff hired through the HNS (PNS operating under HNS legal umbrella)</t>
  </si>
  <si>
    <t># of international delegates integrated with the IFRC</t>
  </si>
  <si>
    <t xml:space="preserve"># of national staff hired through the IFRC (PNS operating under IFRC legal umbrella)
</t>
  </si>
  <si>
    <t># of national staff hired through the HNS (PNS operating under IFRC legal umbrella)</t>
  </si>
  <si>
    <t>AGO</t>
  </si>
  <si>
    <t>BEN</t>
  </si>
  <si>
    <t>BWA</t>
  </si>
  <si>
    <t>BFA</t>
  </si>
  <si>
    <t>BDI</t>
  </si>
  <si>
    <t>CMR</t>
  </si>
  <si>
    <t>CPV</t>
  </si>
  <si>
    <t>CAF</t>
  </si>
  <si>
    <t>TCD</t>
  </si>
  <si>
    <t>COM</t>
  </si>
  <si>
    <t>COG</t>
  </si>
  <si>
    <t>COD</t>
  </si>
  <si>
    <t>CIV</t>
  </si>
  <si>
    <t>DJI</t>
  </si>
  <si>
    <t>GNQ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</si>
  <si>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</si>
  <si>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</si>
  <si>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</si>
  <si>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</si>
  <si>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</si>
  <si>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</si>
  <si>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</si>
  <si>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</si>
  <si>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</si>
  <si>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</si>
  <si>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MDG</t>
  </si>
  <si>
    <t>MWI</t>
  </si>
  <si>
    <t>MLI</t>
  </si>
  <si>
    <t>MRT</t>
  </si>
  <si>
    <t>MUS</t>
  </si>
  <si>
    <t>MOZ</t>
  </si>
  <si>
    <t>NAM</t>
  </si>
  <si>
    <t>NER</t>
  </si>
  <si>
    <t>NGA</t>
  </si>
  <si>
    <t>RWA</t>
  </si>
  <si>
    <t>STP</t>
  </si>
  <si>
    <t>SEN</t>
  </si>
  <si>
    <t>SYC</t>
  </si>
  <si>
    <t>SLE</t>
  </si>
  <si>
    <t>SOM</t>
  </si>
  <si>
    <t>ZAF</t>
  </si>
  <si>
    <t>SSD</t>
  </si>
  <si>
    <t>SDN</t>
  </si>
  <si>
    <t>TZA</t>
  </si>
  <si>
    <t>TGO</t>
  </si>
  <si>
    <t>UGA</t>
  </si>
  <si>
    <t>ZMB</t>
  </si>
  <si>
    <t>ZWE</t>
  </si>
  <si>
    <t>ATG</t>
  </si>
  <si>
    <t>ARG</t>
  </si>
  <si>
    <t>BHS</t>
  </si>
  <si>
    <t>BRB</t>
  </si>
  <si>
    <t>BLZ</t>
  </si>
  <si>
    <t>BOL</t>
  </si>
  <si>
    <t>BRA</t>
  </si>
  <si>
    <t>CHL</t>
  </si>
  <si>
    <t>COL</t>
  </si>
  <si>
    <t>CRI</t>
  </si>
  <si>
    <t>CUB</t>
  </si>
  <si>
    <t>DMA</t>
  </si>
  <si>
    <t>DOM</t>
  </si>
  <si>
    <t>ECU</t>
  </si>
  <si>
    <t>SLV</t>
  </si>
  <si>
    <t>GRD</t>
  </si>
  <si>
    <t>GTM</t>
  </si>
  <si>
    <t>GUY</t>
  </si>
  <si>
    <t>HTI</t>
  </si>
  <si>
    <t>HND</t>
  </si>
  <si>
    <t>JAM</t>
  </si>
  <si>
    <t>MEX</t>
  </si>
  <si>
    <t>NIC</t>
  </si>
  <si>
    <t>Nicaragua</t>
  </si>
  <si>
    <t>PAN</t>
  </si>
  <si>
    <t>PRY</t>
  </si>
  <si>
    <t>PER</t>
  </si>
  <si>
    <t>KNA</t>
  </si>
  <si>
    <t>LCA</t>
  </si>
  <si>
    <t>VCT</t>
  </si>
  <si>
    <t>SUR</t>
  </si>
  <si>
    <t>TTO</t>
  </si>
  <si>
    <t>URY</t>
  </si>
  <si>
    <t>VEN</t>
  </si>
  <si>
    <t>AFG</t>
  </si>
  <si>
    <t>BGD</t>
  </si>
  <si>
    <t>BTN</t>
  </si>
  <si>
    <t>BRN</t>
  </si>
  <si>
    <t>KHM</t>
  </si>
  <si>
    <t>COK</t>
  </si>
  <si>
    <t>FJI</t>
  </si>
  <si>
    <t>IND</t>
  </si>
  <si>
    <t>IDN</t>
  </si>
  <si>
    <t>KIR</t>
  </si>
  <si>
    <t>PRK</t>
  </si>
  <si>
    <t>LAO</t>
  </si>
  <si>
    <t>MYS</t>
  </si>
  <si>
    <t>MDV</t>
  </si>
  <si>
    <t>MHL</t>
  </si>
  <si>
    <t>FSM</t>
  </si>
  <si>
    <t>MNG</t>
  </si>
  <si>
    <t>MMR</t>
  </si>
  <si>
    <t>NPL</t>
  </si>
  <si>
    <t>NZL</t>
  </si>
  <si>
    <t>PAK</t>
  </si>
  <si>
    <t>PLW</t>
  </si>
  <si>
    <t>PNG</t>
  </si>
  <si>
    <t>PHL</t>
  </si>
  <si>
    <t>WSM</t>
  </si>
  <si>
    <t>SGP</t>
  </si>
  <si>
    <t>SLB</t>
  </si>
  <si>
    <t>LKA</t>
  </si>
  <si>
    <t>THA</t>
  </si>
  <si>
    <t>TLS</t>
  </si>
  <si>
    <t>TON</t>
  </si>
  <si>
    <t>TUV</t>
  </si>
  <si>
    <t>VUT</t>
  </si>
  <si>
    <t>VNM</t>
  </si>
  <si>
    <t>ALB</t>
  </si>
  <si>
    <t>AND</t>
  </si>
  <si>
    <t>ARM</t>
  </si>
  <si>
    <t>AZE</t>
  </si>
  <si>
    <t>BLR</t>
  </si>
  <si>
    <t>BIH</t>
  </si>
  <si>
    <t>BGR</t>
  </si>
  <si>
    <t>HRV</t>
  </si>
  <si>
    <t>CYP</t>
  </si>
  <si>
    <t>CZE</t>
  </si>
  <si>
    <t>EST</t>
  </si>
  <si>
    <t>GEO</t>
  </si>
  <si>
    <t>GRC</t>
  </si>
  <si>
    <t>HUN</t>
  </si>
  <si>
    <t>ISR</t>
  </si>
  <si>
    <t>KAZ</t>
  </si>
  <si>
    <t>KGZ</t>
  </si>
  <si>
    <t>LVA</t>
  </si>
  <si>
    <t>LIE</t>
  </si>
  <si>
    <t>LTU</t>
  </si>
  <si>
    <t>MLT</t>
  </si>
  <si>
    <t>MDA</t>
  </si>
  <si>
    <t>MNE</t>
  </si>
  <si>
    <t>MKD</t>
  </si>
  <si>
    <t>POL</t>
  </si>
  <si>
    <t>PRT</t>
  </si>
  <si>
    <t>ROU</t>
  </si>
  <si>
    <t>RUS</t>
  </si>
  <si>
    <t>SMR</t>
  </si>
  <si>
    <t>SRB</t>
  </si>
  <si>
    <t>SVK</t>
  </si>
  <si>
    <t>SVN</t>
  </si>
  <si>
    <t>TJK</t>
  </si>
  <si>
    <t>TKM</t>
  </si>
  <si>
    <t>UKR</t>
  </si>
  <si>
    <t>UZB</t>
  </si>
  <si>
    <t>DZA</t>
  </si>
  <si>
    <t>BHR</t>
  </si>
  <si>
    <t>EGY</t>
  </si>
  <si>
    <t>IRN</t>
  </si>
  <si>
    <t>IRQ</t>
  </si>
  <si>
    <t>JOR</t>
  </si>
  <si>
    <t>LBN</t>
  </si>
  <si>
    <t>LBY</t>
  </si>
  <si>
    <t>MAR</t>
  </si>
  <si>
    <t>PSE</t>
  </si>
  <si>
    <t>SAU</t>
  </si>
  <si>
    <t>SYR</t>
  </si>
  <si>
    <t>TUN</t>
  </si>
  <si>
    <t>YEM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</si>
</sst>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CHF&quot;\ * #,##0.00_ ;_ &quot;CHF&quot;\ * \-#,##0.00_ ;_ &quot;CHF&quot;\ * &quot;-&quot;??_ ;_ @_ "/>
    <numFmt numFmtId="165" formatCode="_ * #,##0.00_ ;_ * \-#,##0.00_ ;_ * &quot;-&quot;??_ ;_ @_ "/>
    <numFmt numFmtId="166" formatCode="_ &quot;CHF&quot;\ * #,##0_ ;_ &quot;CHF&quot;\ * \-#,##0_ ;_ &quot;CHF&quot;\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rgb="FF3F3F76"/>
      <name val="Calibri"/>
      <family val="2"/>
      <scheme val="minor"/>
    </font>
    <font>
      <b/>
      <i/>
      <sz val="12"/>
      <color rgb="FF3F3F76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3F3F7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C99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theme="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79998168889431442"/>
        <bgColor theme="6" tint="0.79998168889431442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 style="thick">
        <color theme="5" tint="-0.2499465926084170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165" fontId="1" fillId="0" borderId="0" applyFont="0" applyFill="0" applyBorder="0" applyAlignment="0" applyProtection="0"/>
    <xf numFmtId="0" fontId="5" fillId="7" borderId="11" applyNumberFormat="0" applyAlignment="0" applyProtection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5" xfId="0" applyFill="1" applyBorder="1"/>
    <xf numFmtId="0" fontId="0" fillId="6" borderId="6" xfId="0" applyFill="1" applyBorder="1"/>
    <xf numFmtId="0" fontId="0" fillId="0" borderId="6" xfId="0" applyBorder="1"/>
    <xf numFmtId="0" fontId="0" fillId="0" borderId="7" xfId="0" applyBorder="1"/>
    <xf numFmtId="0" fontId="0" fillId="0" borderId="0" xfId="0" applyProtection="1">
      <protection hidden="1"/>
    </xf>
    <xf numFmtId="0" fontId="0" fillId="3" borderId="1" xfId="0" applyFill="1" applyBorder="1" applyAlignment="1" applyProtection="1">
      <alignment horizontal="left" vertical="center" wrapText="1" indent="1"/>
      <protection locked="0"/>
    </xf>
    <xf numFmtId="0" fontId="0" fillId="3" borderId="2" xfId="0" applyFill="1" applyBorder="1" applyAlignment="1" applyProtection="1">
      <alignment horizontal="left" vertical="center" wrapText="1" indent="1"/>
      <protection locked="0"/>
    </xf>
    <xf numFmtId="0" fontId="0" fillId="3" borderId="4" xfId="0" applyFill="1" applyBorder="1" applyAlignment="1" applyProtection="1">
      <alignment horizontal="center" vertical="center" wrapText="1"/>
      <protection locked="0"/>
    </xf>
    <xf numFmtId="166" fontId="0" fillId="3" borderId="1" xfId="4" applyNumberFormat="1" applyFont="1" applyFill="1" applyBorder="1" applyAlignment="1" applyProtection="1">
      <alignment horizontal="center" vertical="center"/>
      <protection locked="0"/>
    </xf>
    <xf numFmtId="166" fontId="0" fillId="3" borderId="2" xfId="4" applyNumberFormat="1" applyFont="1" applyFill="1" applyBorder="1" applyAlignment="1" applyProtection="1">
      <alignment horizontal="center" vertical="center"/>
      <protection locked="0"/>
    </xf>
    <xf numFmtId="166" fontId="0" fillId="3" borderId="4" xfId="4" applyNumberFormat="1" applyFont="1" applyFill="1" applyBorder="1" applyAlignment="1" applyProtection="1">
      <alignment horizontal="center" vertical="center"/>
      <protection locked="0"/>
    </xf>
    <xf numFmtId="166" fontId="0" fillId="3" borderId="17" xfId="4" applyNumberFormat="1" applyFont="1" applyFill="1" applyBorder="1" applyAlignment="1" applyProtection="1">
      <alignment horizontal="center" vertical="center"/>
      <protection locked="0"/>
    </xf>
    <xf numFmtId="166" fontId="0" fillId="3" borderId="23" xfId="4" applyNumberFormat="1" applyFont="1" applyFill="1" applyBorder="1" applyAlignment="1" applyProtection="1">
      <alignment horizontal="center" vertical="center"/>
      <protection locked="0"/>
    </xf>
    <xf numFmtId="166" fontId="0" fillId="3" borderId="24" xfId="4" applyNumberFormat="1" applyFont="1" applyFill="1" applyBorder="1" applyAlignment="1" applyProtection="1">
      <alignment horizontal="center" vertical="center"/>
      <protection locked="0"/>
    </xf>
    <xf numFmtId="166" fontId="0" fillId="3" borderId="21" xfId="4" applyNumberFormat="1" applyFont="1" applyFill="1" applyBorder="1" applyAlignment="1" applyProtection="1">
      <alignment horizontal="center" vertical="center"/>
      <protection locked="0"/>
    </xf>
    <xf numFmtId="166" fontId="0" fillId="3" borderId="22" xfId="4" applyNumberFormat="1" applyFont="1" applyFill="1" applyBorder="1" applyAlignment="1" applyProtection="1">
      <alignment horizontal="center" vertical="center"/>
      <protection locked="0"/>
    </xf>
    <xf numFmtId="166" fontId="0" fillId="3" borderId="25" xfId="4" applyNumberFormat="1" applyFont="1" applyFill="1" applyBorder="1" applyAlignment="1" applyProtection="1">
      <alignment horizontal="center" vertical="center"/>
      <protection locked="0"/>
    </xf>
    <xf numFmtId="166" fontId="0" fillId="3" borderId="26" xfId="4" applyNumberFormat="1" applyFont="1" applyFill="1" applyBorder="1" applyAlignment="1" applyProtection="1">
      <alignment horizontal="center" vertical="center"/>
      <protection locked="0"/>
    </xf>
    <xf numFmtId="166" fontId="0" fillId="3" borderId="27" xfId="4" applyNumberFormat="1" applyFont="1" applyFill="1" applyBorder="1" applyAlignment="1" applyProtection="1">
      <alignment horizontal="center" vertical="center"/>
      <protection locked="0"/>
    </xf>
    <xf numFmtId="166" fontId="0" fillId="3" borderId="29" xfId="4" applyNumberFormat="1" applyFont="1" applyFill="1" applyBorder="1" applyAlignment="1" applyProtection="1">
      <alignment horizontal="center" vertical="center"/>
      <protection locked="0"/>
    </xf>
    <xf numFmtId="0" fontId="1" fillId="2" borderId="1" xfId="1" applyBorder="1" applyAlignment="1">
      <alignment horizontal="center" vertical="center" wrapText="1"/>
    </xf>
    <xf numFmtId="0" fontId="0" fillId="5" borderId="0" xfId="0" applyFill="1" applyProtection="1">
      <protection hidden="1"/>
    </xf>
    <xf numFmtId="0" fontId="0" fillId="5" borderId="1" xfId="0" applyFill="1" applyBorder="1" applyAlignment="1">
      <alignment horizontal="center" vertical="center"/>
    </xf>
    <xf numFmtId="0" fontId="0" fillId="3" borderId="14" xfId="2" applyNumberFormat="1" applyFont="1" applyFill="1" applyBorder="1" applyAlignment="1" applyProtection="1">
      <alignment horizontal="center" vertical="center" wrapText="1"/>
      <protection locked="0"/>
    </xf>
    <xf numFmtId="0" fontId="0" fillId="3" borderId="15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5" borderId="0" xfId="3" quotePrefix="1" applyFill="1" applyBorder="1" applyAlignment="1" applyProtection="1">
      <alignment vertical="center" wrapText="1"/>
      <protection hidden="1"/>
    </xf>
    <xf numFmtId="166" fontId="0" fillId="0" borderId="0" xfId="4" applyNumberFormat="1" applyFont="1" applyProtection="1">
      <protection hidden="1"/>
    </xf>
    <xf numFmtId="0" fontId="10" fillId="5" borderId="0" xfId="0" applyFont="1" applyFill="1" applyAlignment="1">
      <alignment horizontal="center" vertical="center"/>
    </xf>
    <xf numFmtId="0" fontId="1" fillId="2" borderId="17" xfId="1" applyBorder="1" applyAlignment="1" applyProtection="1">
      <alignment horizontal="center" vertical="center" wrapText="1"/>
    </xf>
    <xf numFmtId="0" fontId="1" fillId="2" borderId="2" xfId="1" applyBorder="1" applyAlignment="1" applyProtection="1">
      <alignment horizontal="center" vertical="center" wrapText="1"/>
    </xf>
    <xf numFmtId="0" fontId="1" fillId="2" borderId="22" xfId="1" applyBorder="1" applyAlignment="1" applyProtection="1">
      <alignment horizontal="center" vertical="center" wrapText="1"/>
    </xf>
    <xf numFmtId="0" fontId="11" fillId="5" borderId="0" xfId="3" quotePrefix="1" applyFont="1" applyFill="1" applyBorder="1" applyAlignment="1" applyProtection="1">
      <alignment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8" borderId="31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10" borderId="8" xfId="0" applyFont="1" applyFill="1" applyBorder="1" applyAlignment="1" applyProtection="1">
      <alignment horizontal="center" vertical="center"/>
      <protection hidden="1"/>
    </xf>
    <xf numFmtId="0" fontId="3" fillId="10" borderId="9" xfId="0" applyFont="1" applyFill="1" applyBorder="1" applyAlignment="1" applyProtection="1">
      <alignment horizontal="center" vertical="center"/>
      <protection hidden="1"/>
    </xf>
    <xf numFmtId="0" fontId="3" fillId="10" borderId="10" xfId="0" applyFont="1" applyFill="1" applyBorder="1" applyAlignment="1" applyProtection="1">
      <alignment horizontal="center" vertical="center" wrapText="1"/>
      <protection hidden="1"/>
    </xf>
    <xf numFmtId="0" fontId="2" fillId="4" borderId="33" xfId="0" applyFont="1" applyFill="1" applyBorder="1" applyAlignment="1">
      <alignment horizontal="center" vertical="center" wrapText="1"/>
    </xf>
    <xf numFmtId="0" fontId="5" fillId="9" borderId="0" xfId="3" quotePrefix="1" applyFill="1" applyBorder="1" applyAlignment="1" applyProtection="1">
      <alignment horizontal="left" vertical="center" wrapText="1" indent="1"/>
    </xf>
    <xf numFmtId="166" fontId="2" fillId="0" borderId="0" xfId="4" applyNumberFormat="1" applyFont="1" applyProtection="1">
      <protection hidden="1"/>
    </xf>
    <xf numFmtId="0" fontId="14" fillId="5" borderId="0" xfId="3" quotePrefix="1" applyFont="1" applyFill="1" applyBorder="1" applyAlignment="1" applyProtection="1">
      <alignment horizontal="right" vertical="center" wrapText="1" indent="1"/>
      <protection hidden="1"/>
    </xf>
    <xf numFmtId="0" fontId="15" fillId="5" borderId="0" xfId="3" quotePrefix="1" applyFont="1" applyFill="1" applyBorder="1" applyAlignment="1" applyProtection="1">
      <alignment vertical="center" wrapText="1"/>
      <protection hidden="1"/>
    </xf>
    <xf numFmtId="166" fontId="0" fillId="3" borderId="34" xfId="4" applyNumberFormat="1" applyFont="1" applyFill="1" applyBorder="1" applyAlignment="1" applyProtection="1">
      <alignment horizontal="center" vertical="center"/>
      <protection locked="0"/>
    </xf>
    <xf numFmtId="0" fontId="0" fillId="3" borderId="3" xfId="2" applyNumberFormat="1" applyFont="1" applyFill="1" applyBorder="1" applyAlignment="1" applyProtection="1">
      <alignment horizontal="center" vertical="center" wrapText="1"/>
      <protection locked="0"/>
    </xf>
    <xf numFmtId="166" fontId="0" fillId="4" borderId="23" xfId="4" applyNumberFormat="1" applyFont="1" applyFill="1" applyBorder="1" applyAlignment="1" applyProtection="1">
      <alignment horizontal="center" vertical="center"/>
      <protection hidden="1"/>
    </xf>
    <xf numFmtId="166" fontId="0" fillId="4" borderId="21" xfId="4" applyNumberFormat="1" applyFont="1" applyFill="1" applyBorder="1" applyAlignment="1" applyProtection="1">
      <alignment horizontal="center" vertical="center"/>
      <protection hidden="1"/>
    </xf>
    <xf numFmtId="166" fontId="0" fillId="4" borderId="25" xfId="4" applyNumberFormat="1" applyFont="1" applyFill="1" applyBorder="1" applyAlignment="1" applyProtection="1">
      <alignment horizontal="center" vertical="center"/>
      <protection hidden="1"/>
    </xf>
    <xf numFmtId="0" fontId="0" fillId="0" borderId="1" xfId="0" applyBorder="1"/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 wrapText="1"/>
    </xf>
    <xf numFmtId="0" fontId="20" fillId="11" borderId="4" xfId="0" applyFont="1" applyFill="1" applyBorder="1"/>
    <xf numFmtId="0" fontId="20" fillId="11" borderId="1" xfId="0" applyFont="1" applyFill="1" applyBorder="1" applyAlignment="1">
      <alignment horizontal="left" indent="1"/>
    </xf>
    <xf numFmtId="0" fontId="20" fillId="0" borderId="4" xfId="0" applyFont="1" applyBorder="1"/>
    <xf numFmtId="0" fontId="20" fillId="0" borderId="1" xfId="0" applyFont="1" applyBorder="1" applyAlignment="1">
      <alignment horizontal="left" indent="1"/>
    </xf>
    <xf numFmtId="0" fontId="20" fillId="0" borderId="17" xfId="0" applyFont="1" applyBorder="1"/>
    <xf numFmtId="0" fontId="20" fillId="0" borderId="2" xfId="0" applyFont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36" xfId="0" applyBorder="1"/>
    <xf numFmtId="0" fontId="20" fillId="12" borderId="1" xfId="0" applyFont="1" applyFill="1" applyBorder="1" applyProtection="1">
      <protection locked="0"/>
    </xf>
    <xf numFmtId="0" fontId="20" fillId="3" borderId="1" xfId="0" applyFont="1" applyFill="1" applyBorder="1" applyProtection="1">
      <protection locked="0"/>
    </xf>
    <xf numFmtId="0" fontId="20" fillId="3" borderId="2" xfId="0" applyFont="1" applyFill="1" applyBorder="1" applyProtection="1">
      <protection locked="0"/>
    </xf>
    <xf numFmtId="0" fontId="7" fillId="5" borderId="0" xfId="0" applyFont="1" applyFill="1" applyAlignment="1">
      <alignment horizontal="center"/>
    </xf>
    <xf numFmtId="0" fontId="0" fillId="3" borderId="3" xfId="0" quotePrefix="1" applyFill="1" applyBorder="1" applyAlignment="1" applyProtection="1">
      <alignment horizontal="center" vertical="center" wrapText="1"/>
      <protection locked="0"/>
    </xf>
    <xf numFmtId="0" fontId="0" fillId="3" borderId="4" xfId="0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16" fillId="5" borderId="0" xfId="0" applyFont="1" applyFill="1" applyAlignment="1">
      <alignment horizontal="right" vertical="center" wrapText="1" indent="1"/>
    </xf>
    <xf numFmtId="0" fontId="2" fillId="5" borderId="0" xfId="0" applyFont="1" applyFill="1" applyAlignment="1">
      <alignment horizontal="right" vertical="center" wrapText="1" indent="1"/>
    </xf>
    <xf numFmtId="0" fontId="5" fillId="7" borderId="18" xfId="3" applyBorder="1" applyAlignment="1" applyProtection="1">
      <alignment horizontal="center" vertical="center" wrapText="1"/>
    </xf>
    <xf numFmtId="0" fontId="5" fillId="7" borderId="19" xfId="3" applyBorder="1" applyAlignment="1" applyProtection="1">
      <alignment horizontal="center" vertical="center"/>
    </xf>
    <xf numFmtId="0" fontId="5" fillId="7" borderId="20" xfId="3" applyBorder="1" applyAlignment="1" applyProtection="1">
      <alignment horizontal="center" vertical="center"/>
    </xf>
    <xf numFmtId="0" fontId="5" fillId="9" borderId="13" xfId="3" applyFill="1" applyBorder="1" applyAlignment="1" applyProtection="1">
      <alignment horizontal="left" vertical="center" wrapText="1" indent="1"/>
    </xf>
    <xf numFmtId="0" fontId="5" fillId="9" borderId="0" xfId="3" applyFill="1" applyBorder="1" applyAlignment="1" applyProtection="1">
      <alignment horizontal="left" vertical="center" wrapText="1" indent="1"/>
    </xf>
    <xf numFmtId="0" fontId="1" fillId="8" borderId="14" xfId="1" applyFill="1" applyBorder="1" applyAlignment="1" applyProtection="1">
      <alignment horizontal="center" vertical="center" wrapText="1"/>
    </xf>
    <xf numFmtId="0" fontId="1" fillId="8" borderId="28" xfId="1" applyFill="1" applyBorder="1" applyAlignment="1" applyProtection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6" fontId="2" fillId="4" borderId="1" xfId="4" applyNumberFormat="1" applyFont="1" applyFill="1" applyBorder="1" applyAlignment="1" applyProtection="1">
      <alignment horizontal="center" vertical="center"/>
      <protection hidden="1"/>
    </xf>
    <xf numFmtId="0" fontId="9" fillId="5" borderId="12" xfId="5" applyFill="1" applyBorder="1" applyAlignment="1" applyProtection="1">
      <alignment horizontal="left" vertical="center" wrapText="1" indent="1"/>
    </xf>
    <xf numFmtId="0" fontId="9" fillId="5" borderId="0" xfId="5" applyFill="1" applyBorder="1" applyAlignment="1" applyProtection="1">
      <alignment horizontal="left" vertical="center" wrapText="1" indent="1"/>
    </xf>
    <xf numFmtId="0" fontId="5" fillId="9" borderId="0" xfId="3" quotePrefix="1" applyFill="1" applyBorder="1" applyAlignment="1" applyProtection="1">
      <alignment horizontal="left" vertical="center" wrapText="1" indent="3"/>
    </xf>
    <xf numFmtId="0" fontId="6" fillId="9" borderId="0" xfId="3" quotePrefix="1" applyFont="1" applyFill="1" applyBorder="1" applyAlignment="1" applyProtection="1">
      <alignment horizontal="left" vertical="center" wrapText="1" indent="1"/>
    </xf>
    <xf numFmtId="0" fontId="5" fillId="9" borderId="13" xfId="3" quotePrefix="1" applyFill="1" applyBorder="1" applyAlignment="1" applyProtection="1">
      <alignment horizontal="left" vertical="center" wrapText="1" indent="1"/>
      <protection hidden="1"/>
    </xf>
    <xf numFmtId="0" fontId="5" fillId="9" borderId="0" xfId="3" quotePrefix="1" applyFill="1" applyBorder="1" applyAlignment="1" applyProtection="1">
      <alignment horizontal="left" vertical="center" wrapText="1" indent="1"/>
      <protection hidden="1"/>
    </xf>
    <xf numFmtId="0" fontId="21" fillId="7" borderId="11" xfId="3" applyFont="1" applyAlignment="1" applyProtection="1">
      <alignment horizontal="center"/>
      <protection hidden="1"/>
    </xf>
  </cellXfs>
  <cellStyles count="6">
    <cellStyle name="20% - Accent6" xfId="1" builtinId="50"/>
    <cellStyle name="Comma" xfId="2" builtinId="3"/>
    <cellStyle name="Currency" xfId="4" builtinId="4"/>
    <cellStyle name="Hyperlink" xfId="5" builtinId="8"/>
    <cellStyle name="Input" xfId="3" builtinId="20"/>
    <cellStyle name="Normal" xfId="0" builtinId="0"/>
  </cellStyles>
  <dxfs count="58"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rgb="FF9C0006"/>
      </font>
      <fill>
        <patternFill>
          <bgColor rgb="FFFFC7CE"/>
        </patternFill>
      </fill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3" tint="0.7999816888943144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&quot;CHF&quot;\ * #,##0_ ;_ &quot;CHF&quot;\ * \-#,##0_ ;_ &quot;CHF&quot;\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&quot;CHF&quot;\ * #,##0_ ;_ &quot;CHF&quot;\ * \-#,##0_ ;_ &quot;CHF&quot;\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&quot;CHF&quot;\ * #,##0_ ;_ &quot;CHF&quot;\ * \-#,##0_ ;_ &quot;CHF&quot;\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&quot;CHF&quot;\ * #,##0_ ;_ &quot;CHF&quot;\ * \-#,##0_ ;_ &quot;CHF&quot;\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&quot;CHF&quot;\ * #,##0_ ;_ &quot;CHF&quot;\ * \-#,##0_ ;_ &quot;CHF&quot;\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&quot;CHF&quot;\ * #,##0_ ;_ &quot;CHF&quot;\ * \-#,##0_ ;_ &quot;CHF&quot;\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&quot;CHF&quot;\ * #,##0_ ;_ &quot;CHF&quot;\ * \-#,##0_ ;_ &quot;CHF&quot;\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&quot;CHF&quot;\ * #,##0_ ;_ &quot;CHF&quot;\ * \-#,##0_ ;_ &quot;CHF&quot;\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&quot;CHF&quot;\ * #,##0_ ;_ &quot;CHF&quot;\ * \-#,##0_ ;_ &quot;CHF&quot;\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&quot;CHF&quot;\ * #,##0_ ;_ &quot;CHF&quot;\ * \-#,##0_ ;_ &quot;CHF&quot;\ * &quot;-&quot;??_ ;_ @_ 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C7CE"/>
      <color rgb="FFFFCC99"/>
      <color rgb="FFFFB7B9"/>
      <color rgb="FFFC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4</xdr:row>
      <xdr:rowOff>38100</xdr:rowOff>
    </xdr:from>
    <xdr:to>
      <xdr:col>2</xdr:col>
      <xdr:colOff>1268617</xdr:colOff>
      <xdr:row>8</xdr:row>
      <xdr:rowOff>724123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AB49CC9-FC0C-40A9-9B46-5434EC5E9B33}"/>
            </a:ext>
          </a:extLst>
        </xdr:cNvPr>
        <xdr:cNvGrpSpPr/>
      </xdr:nvGrpSpPr>
      <xdr:grpSpPr>
        <a:xfrm>
          <a:off x="613622" y="1214967"/>
          <a:ext cx="1864458" cy="1812089"/>
          <a:chOff x="2543949" y="607149"/>
          <a:chExt cx="6001966" cy="6001966"/>
        </a:xfrm>
      </xdr:grpSpPr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ACFF3A14-4787-BA50-5CC0-19E07972E3E5}"/>
              </a:ext>
            </a:extLst>
          </xdr:cNvPr>
          <xdr:cNvSpPr/>
        </xdr:nvSpPr>
        <xdr:spPr>
          <a:xfrm>
            <a:off x="2543949" y="607149"/>
            <a:ext cx="6001966" cy="6001966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CH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CH"/>
          </a:p>
        </xdr:txBody>
      </xdr:sp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18F543F8-C739-2C4B-B7BB-1B36E1447421}"/>
              </a:ext>
            </a:extLst>
          </xdr:cNvPr>
          <xdr:cNvSpPr/>
        </xdr:nvSpPr>
        <xdr:spPr>
          <a:xfrm>
            <a:off x="3150141" y="2198451"/>
            <a:ext cx="4383933" cy="4383933"/>
          </a:xfrm>
          <a:prstGeom prst="ellipse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CH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CH"/>
          </a:p>
        </xdr:txBody>
      </xdr: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AD40BFC4-2FEF-06DB-363F-CD24ADFEA511}"/>
              </a:ext>
            </a:extLst>
          </xdr:cNvPr>
          <xdr:cNvSpPr/>
        </xdr:nvSpPr>
        <xdr:spPr>
          <a:xfrm>
            <a:off x="3952673" y="3803515"/>
            <a:ext cx="2778869" cy="2778869"/>
          </a:xfrm>
          <a:prstGeom prst="ellipse">
            <a:avLst/>
          </a:prstGeom>
          <a:solidFill>
            <a:schemeClr val="accent2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CH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CH"/>
          </a:p>
        </xdr:txBody>
      </xdr:sp>
      <xdr:sp macro="" textlink="">
        <xdr:nvSpPr>
          <xdr:cNvPr id="20" name="TextBox 6">
            <a:extLst>
              <a:ext uri="{FF2B5EF4-FFF2-40B4-BE49-F238E27FC236}">
                <a16:creationId xmlns:a16="http://schemas.microsoft.com/office/drawing/2014/main" id="{B619DDDD-DA63-CB5E-C382-8E4B7B62BE51}"/>
              </a:ext>
            </a:extLst>
          </xdr:cNvPr>
          <xdr:cNvSpPr txBox="1"/>
        </xdr:nvSpPr>
        <xdr:spPr>
          <a:xfrm>
            <a:off x="3829456" y="1032739"/>
            <a:ext cx="3411151" cy="112964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CH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hr-BA" sz="1050" b="1">
                <a:solidFill>
                  <a:schemeClr val="bg1"/>
                </a:solidFill>
              </a:rPr>
              <a:t>Total </a:t>
            </a:r>
            <a:r>
              <a:rPr lang="en-CH" sz="1050" b="1">
                <a:solidFill>
                  <a:schemeClr val="bg1"/>
                </a:solidFill>
              </a:rPr>
              <a:t>Fund</a:t>
            </a:r>
            <a:r>
              <a:rPr lang="en-US" sz="1050" b="1">
                <a:solidFill>
                  <a:schemeClr val="bg1"/>
                </a:solidFill>
              </a:rPr>
              <a:t>ing</a:t>
            </a:r>
            <a:endParaRPr lang="en-CH" sz="1050" b="1">
              <a:solidFill>
                <a:schemeClr val="bg1"/>
              </a:solidFill>
            </a:endParaRPr>
          </a:p>
        </xdr:txBody>
      </xdr:sp>
      <xdr:sp macro="" textlink="">
        <xdr:nvSpPr>
          <xdr:cNvPr id="21" name="TextBox 7">
            <a:extLst>
              <a:ext uri="{FF2B5EF4-FFF2-40B4-BE49-F238E27FC236}">
                <a16:creationId xmlns:a16="http://schemas.microsoft.com/office/drawing/2014/main" id="{A5C852BC-8C13-8B20-B293-14609A77F3EE}"/>
              </a:ext>
            </a:extLst>
          </xdr:cNvPr>
          <xdr:cNvSpPr txBox="1"/>
        </xdr:nvSpPr>
        <xdr:spPr>
          <a:xfrm>
            <a:off x="3716207" y="2335052"/>
            <a:ext cx="3296255" cy="150609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CH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hr-BA" sz="1000" b="1">
                <a:solidFill>
                  <a:schemeClr val="bg1"/>
                </a:solidFill>
              </a:rPr>
              <a:t>Total Expenditure</a:t>
            </a:r>
            <a:endParaRPr lang="en-CH" sz="1000" b="1">
              <a:solidFill>
                <a:schemeClr val="bg1"/>
              </a:solidFill>
            </a:endParaRPr>
          </a:p>
        </xdr:txBody>
      </xdr:sp>
      <xdr:sp macro="" textlink="">
        <xdr:nvSpPr>
          <xdr:cNvPr id="22" name="TextBox 8">
            <a:extLst>
              <a:ext uri="{FF2B5EF4-FFF2-40B4-BE49-F238E27FC236}">
                <a16:creationId xmlns:a16="http://schemas.microsoft.com/office/drawing/2014/main" id="{7F3D20FC-8C5C-E8D7-2F81-327046F26380}"/>
              </a:ext>
            </a:extLst>
          </xdr:cNvPr>
          <xdr:cNvSpPr txBox="1"/>
        </xdr:nvSpPr>
        <xdr:spPr>
          <a:xfrm>
            <a:off x="3813304" y="4163927"/>
            <a:ext cx="3116416" cy="21755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CH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hr-BA" sz="1050" b="1">
                <a:solidFill>
                  <a:schemeClr val="bg1"/>
                </a:solidFill>
              </a:rPr>
              <a:t>Total Transferred to HNS</a:t>
            </a:r>
            <a:endParaRPr lang="en-CH" sz="105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Planning/Templates/Funding%20requirements%202026-2028%20bilateral%20support.xlsx" TargetMode="External"/><Relationship Id="rId2" Type="http://schemas.openxmlformats.org/officeDocument/2006/relationships/externalLinkPath" Target="https://ifrcorg.sharepoint.com/sites/THEFDRSTEAM/Shared%20Documents/Unified%20Planning%20and%20Reporting/2026%20Planning/Templates/Funding%20requirements%202026-2028%20bilateral%20support.xlsx" TargetMode="External"/><Relationship Id="rId1" Type="http://schemas.openxmlformats.org/officeDocument/2006/relationships/externalLinkPath" Target="/sites/THEFDRSTEAM/Shared%20Documents/Unified%20Planning%20and%20Reporting/2026%20Planning/Templates/Funding%20requirements%202026-2028%20bilateral%20sup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R data"/>
      <sheetName val="Activities data"/>
      <sheetName val="Funding Requirement"/>
      <sheetName val="PNS Staff Presence"/>
    </sheetNames>
    <sheetDataSet>
      <sheetData sheetId="0">
        <row r="4">
          <cell r="G4" t="str">
            <v>Other</v>
          </cell>
        </row>
        <row r="5">
          <cell r="G5" t="str">
            <v>American Red Cross</v>
          </cell>
        </row>
        <row r="6">
          <cell r="G6" t="str">
            <v>Australian Red Cross</v>
          </cell>
        </row>
        <row r="7">
          <cell r="G7" t="str">
            <v>Austrian Red Cross</v>
          </cell>
        </row>
        <row r="8">
          <cell r="G8" t="str">
            <v>Belgian Red Cross</v>
          </cell>
        </row>
        <row r="9">
          <cell r="G9" t="str">
            <v>British Red Cross</v>
          </cell>
        </row>
        <row r="10">
          <cell r="G10" t="str">
            <v>Danish Red Cross</v>
          </cell>
        </row>
        <row r="11">
          <cell r="G11" t="str">
            <v>Finnish Red Cross</v>
          </cell>
        </row>
        <row r="12">
          <cell r="G12" t="str">
            <v>French Red Cross</v>
          </cell>
        </row>
        <row r="13">
          <cell r="G13" t="str">
            <v>German Red Cross</v>
          </cell>
        </row>
        <row r="14">
          <cell r="G14" t="str">
            <v>Hong Kong Red Cross, Branch of the Red Cross Society of China</v>
          </cell>
        </row>
        <row r="15">
          <cell r="G15" t="str">
            <v>Icelandic Red Cross</v>
          </cell>
        </row>
        <row r="16">
          <cell r="G16" t="str">
            <v>Iranian Red Crescent</v>
          </cell>
        </row>
        <row r="17">
          <cell r="G17" t="str">
            <v>Irish Red Cross Society</v>
          </cell>
        </row>
        <row r="18">
          <cell r="G18" t="str">
            <v>Italian Red Cross</v>
          </cell>
        </row>
        <row r="19">
          <cell r="G19" t="str">
            <v>Japanese Red Cross Society</v>
          </cell>
        </row>
        <row r="20">
          <cell r="G20" t="str">
            <v>Kenya Red Cross Society</v>
          </cell>
        </row>
        <row r="21">
          <cell r="G21" t="str">
            <v>Kuwait Red Crescent Society</v>
          </cell>
        </row>
        <row r="22">
          <cell r="G22" t="str">
            <v>Luxembourg Red Cross</v>
          </cell>
        </row>
        <row r="23">
          <cell r="G23" t="str">
            <v>Magen David Adom</v>
          </cell>
        </row>
        <row r="24">
          <cell r="G24" t="str">
            <v>New Zealand Red Cross</v>
          </cell>
        </row>
        <row r="25">
          <cell r="G25" t="str">
            <v>Norwegian Red Cross</v>
          </cell>
        </row>
        <row r="26">
          <cell r="G26" t="str">
            <v>Qatar Red Crescent Society</v>
          </cell>
        </row>
        <row r="27">
          <cell r="G27" t="str">
            <v>Red Cross of Monaco</v>
          </cell>
        </row>
        <row r="28">
          <cell r="G28" t="str">
            <v>Spanish Red Cross</v>
          </cell>
        </row>
        <row r="29">
          <cell r="G29" t="str">
            <v>Swedish Red Cross</v>
          </cell>
        </row>
        <row r="30">
          <cell r="G30" t="str">
            <v>Swiss Red Cross</v>
          </cell>
        </row>
        <row r="31">
          <cell r="G31" t="str">
            <v>The Canadian Red Cross Society</v>
          </cell>
        </row>
        <row r="32">
          <cell r="G32" t="str">
            <v>The Netherlands Red Cross</v>
          </cell>
        </row>
        <row r="33">
          <cell r="G33" t="str">
            <v>The Republic of Korea National Red Cross</v>
          </cell>
        </row>
        <row r="34">
          <cell r="G34" t="str">
            <v>Turkish Red Crescent Society</v>
          </cell>
        </row>
        <row r="35">
          <cell r="G35" t="str">
            <v>United Arab Emirates Red Crescent</v>
          </cell>
        </row>
      </sheetData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E933EC-1D60-4727-B3A7-BE07061345A2}" name="Data_PNS" displayName="Data_PNS" ref="B14:N70" totalsRowShown="0" headerRowDxfId="57" dataDxfId="55" headerRowBorderDxfId="56" tableBorderDxfId="54" totalsRowBorderDxfId="53" dataCellStyle="Comma">
  <autoFilter ref="B14:N70" xr:uid="{21E933EC-1D60-4727-B3A7-BE07061345A2}"/>
  <tableColumns count="13">
    <tableColumn id="1" xr3:uid="{8F822777-0AF3-4FA4-8761-0E7AE91C1C76}" name="Region" dataDxfId="52"/>
    <tableColumn id="2" xr3:uid="{F1F48A34-A2E9-49BA-B5EB-EF36EC294207}" name="Country" dataDxfId="51"/>
    <tableColumn id="3" xr3:uid="{4483DC13-6D67-4749-95A8-DCEC21572877}" name="FR" dataDxfId="50" dataCellStyle="Currency">
      <calculatedColumnFormula array="1">_xlfn._xlws.FILTER(Table_FR[Value],(Table_FR[Country]=C15)*(Table_FR[PNS]=PNS),"-")</calculatedColumnFormula>
    </tableColumn>
    <tableColumn id="4" xr3:uid="{0BF54B7F-CE7D-45FF-9605-D78608E1092B}" name="Funding" dataDxfId="49" dataCellStyle="Currency"/>
    <tableColumn id="5" xr3:uid="{257D99F0-1B20-4EFD-AC09-0642C1C7CDB0}" name="Expenditure" dataDxfId="48" dataCellStyle="Currency"/>
    <tableColumn id="6" xr3:uid="{B05543A1-2844-40AA-86A7-BCD02E9F7BC3}" name="Transferred" dataDxfId="47" dataCellStyle="Currency"/>
    <tableColumn id="8" xr3:uid="{7316B7F3-8C2E-405D-A72E-0691D3CD8FD2}" name="SP1" dataDxfId="46" dataCellStyle="Currency"/>
    <tableColumn id="10" xr3:uid="{18192EB6-D4AB-4A7C-AA17-E36EFF9861C7}" name="SP2" dataDxfId="45" dataCellStyle="Currency"/>
    <tableColumn id="12" xr3:uid="{6E1D4FA8-23D2-4B0C-AE68-C8648C12E314}" name="SP3" dataDxfId="44" dataCellStyle="Currency"/>
    <tableColumn id="14" xr3:uid="{44E1E1DE-EF6F-4B28-85E1-89B3EEF0CDB3}" name="SP4" dataDxfId="43" dataCellStyle="Currency"/>
    <tableColumn id="16" xr3:uid="{31FE4B6B-5077-43AC-98CB-1305229C990D}" name="SP5" dataDxfId="42" dataCellStyle="Currency"/>
    <tableColumn id="18" xr3:uid="{E1943C4E-D1E5-49C6-AE94-B511F06031E7}" name="EFs" dataDxfId="41" dataCellStyle="Currency"/>
    <tableColumn id="26" xr3:uid="{00CFC2DE-4508-4E74-951A-C01B60AA26E1}" name="Comments" dataDxfId="40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A3007B-BE17-408F-8D7B-6E08ABA25CBC}" name="PNS_staff" displayName="PNS_staff" ref="A1:H193" totalsRowShown="0" headerRowDxfId="39" dataDxfId="37" headerRowBorderDxfId="38" tableBorderDxfId="36" totalsRowBorderDxfId="35">
  <autoFilter ref="A1:H193" xr:uid="{66C1BB73-F017-4FC9-9B52-AA37F2F0F124}"/>
  <tableColumns count="8">
    <tableColumn id="1" xr3:uid="{333D47C1-7CED-48DE-A288-F8107F98260F}" name="ISO3" dataDxfId="34"/>
    <tableColumn id="2" xr3:uid="{B94FEF8B-C283-45AD-8B0B-CE36B4194F37}" name="Region" dataDxfId="33"/>
    <tableColumn id="3" xr3:uid="{6DFAD366-B2CF-4688-A5A2-661ED47510EE}" name="Country" dataDxfId="32"/>
    <tableColumn id="4" xr3:uid="{D35C6F99-F28F-4898-BB63-CC468346B4E7}" name="# of international delegates integrated with the HNS" dataDxfId="31"/>
    <tableColumn id="5" xr3:uid="{D5408E1B-ADDE-47DB-8E44-8611246E3B17}" name="# of national staff hired through the HNS (PNS operating under HNS legal umbrella)" dataDxfId="30"/>
    <tableColumn id="6" xr3:uid="{846C0177-8EF1-4B83-8442-03E999F68A18}" name="# of international delegates integrated with the IFRC" dataDxfId="29"/>
    <tableColumn id="7" xr3:uid="{F44F3A53-EA41-432A-A02E-711F57ACE001}" name="# of national staff hired through the IFRC (PNS operating under IFRC legal umbrella)_x000a_" dataDxfId="28"/>
    <tableColumn id="8" xr3:uid="{503E8159-104B-4958-A84D-94B45B671BF2}" name="# of national staff hired through the HNS (PNS operating under IFRC legal umbrella)" dataDxfId="27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85441E-B225-471D-8C1F-4574E01457D7}" name="Table_FR" displayName="Table_FR" ref="A1:D324" totalsRowShown="0">
  <autoFilter ref="A1:D324" xr:uid="{FD85441E-B225-471D-8C1F-4574E01457D7}"/>
  <tableColumns count="4">
    <tableColumn id="1" xr3:uid="{3163B77C-62C1-4842-8A13-EDEAE802EA78}" name="PNS" dataDxfId="26"/>
    <tableColumn id="2" xr3:uid="{CCBBEEBF-B131-468E-96AE-9096EFC3310C}" name="Region" dataDxfId="25"/>
    <tableColumn id="3" xr3:uid="{59BC2C9E-E60F-4BF7-8DBE-D8860BE8EBC2}" name="Country" dataDxfId="24"/>
    <tableColumn id="4" xr3:uid="{17CB5428-852D-409F-A742-B695456FB63C}" name="Valu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DDC5BF-6E78-48AB-95A7-59A02948F348}" name="Table8" displayName="Table8" ref="H1:H6" totalsRowShown="0" headerRowDxfId="23" dataDxfId="21" headerRowBorderDxfId="22" tableBorderDxfId="20" totalsRowBorderDxfId="19">
  <autoFilter ref="H1:H6" xr:uid="{C1DDC5BF-6E78-48AB-95A7-59A02948F348}"/>
  <tableColumns count="1">
    <tableColumn id="1" xr3:uid="{2B815CE1-61A7-4D3D-8E7D-FDD7B9F5348F}" name="Region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B56164-D75D-4414-B782-F30C75137AA4}" name="PNS_table" displayName="PNS_table" ref="A1:C28" totalsRowShown="0">
  <autoFilter ref="A1:C28" xr:uid="{F5B56164-D75D-4414-B782-F30C75137AA4}"/>
  <tableColumns count="3">
    <tableColumn id="1" xr3:uid="{FDE6E0B7-415F-46EC-B14A-55755586393F}" name="PNS" dataDxfId="17"/>
    <tableColumn id="2" xr3:uid="{289D25B8-D6C9-4C8E-AE8A-9D4BE13F7EFA}" name="Country Map" dataDxfId="16"/>
    <tableColumn id="3" xr3:uid="{DA1CE8FB-E3DD-4D3D-B117-64CA2DB98DB6}" name="ISO3" dataDxf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182416-541A-4001-8654-5FA80FEF112B}" name="All_NS_list" displayName="All_NS_list" ref="E1:F192" totalsRowShown="0">
  <autoFilter ref="E1:F192" xr:uid="{8D182416-541A-4001-8654-5FA80FEF112B}"/>
  <tableColumns count="2">
    <tableColumn id="1" xr3:uid="{5E07449E-CAB5-4CFB-BC4B-AEFD84FC4BE2}" name="Region" dataDxfId="14"/>
    <tableColumn id="2" xr3:uid="{C05CDDD8-4908-425F-BDE9-190CF7CD9560}" name="Country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71"/>
  <sheetViews>
    <sheetView tabSelected="1" topLeftCell="A22" zoomScale="75" zoomScaleNormal="70" workbookViewId="0">
      <selection activeCell="D15" sqref="D15"/>
    </sheetView>
  </sheetViews>
  <sheetFormatPr defaultColWidth="0" defaultRowHeight="14.4" zeroHeight="1" x14ac:dyDescent="0.3"/>
  <cols>
    <col min="1" max="1" width="3.77734375" customWidth="1"/>
    <col min="2" max="2" width="13.77734375" customWidth="1"/>
    <col min="3" max="3" width="24.44140625" customWidth="1"/>
    <col min="4" max="4" width="22.21875" customWidth="1"/>
    <col min="5" max="5" width="16.21875" customWidth="1"/>
    <col min="6" max="6" width="15.77734375" customWidth="1"/>
    <col min="7" max="7" width="17" customWidth="1"/>
    <col min="8" max="13" width="16.44140625" customWidth="1"/>
    <col min="14" max="14" width="61.77734375" customWidth="1"/>
    <col min="15" max="15" width="4" customWidth="1"/>
    <col min="16" max="30" width="0" hidden="1" customWidth="1"/>
    <col min="31" max="16384" width="8.77734375" hidden="1"/>
  </cols>
  <sheetData>
    <row r="1" spans="1:15" ht="24" customHeight="1" x14ac:dyDescent="0.3">
      <c r="A1" s="5"/>
      <c r="B1" s="73" t="s">
        <v>0</v>
      </c>
      <c r="C1" s="73"/>
      <c r="D1" s="73"/>
      <c r="E1" s="73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4.2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31.2" customHeight="1" x14ac:dyDescent="0.3">
      <c r="A3" s="5"/>
      <c r="B3" s="79" t="s">
        <v>1</v>
      </c>
      <c r="C3" s="80"/>
      <c r="D3" s="74" t="s">
        <v>2</v>
      </c>
      <c r="E3" s="75"/>
      <c r="F3" s="5"/>
      <c r="G3" s="76" t="s">
        <v>3</v>
      </c>
      <c r="H3" s="76"/>
      <c r="I3" s="76"/>
      <c r="J3" s="91" cm="1">
        <f t="array" ref="J3">IFERROR(SUM(_xlfn._xlws.FILTER(Table_FR[Value], Table_FR[PNS] = PNS,"-")),"")</f>
        <v>7332936</v>
      </c>
      <c r="K3" s="91"/>
      <c r="L3" s="92" t="s">
        <v>4</v>
      </c>
      <c r="M3" s="93"/>
      <c r="N3" s="93"/>
      <c r="O3" s="5"/>
    </row>
    <row r="4" spans="1:15" ht="23.5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4.55" customHeight="1" x14ac:dyDescent="0.3">
      <c r="A5" s="5"/>
      <c r="B5" s="5"/>
      <c r="C5" s="5"/>
      <c r="D5" s="95" t="s">
        <v>5</v>
      </c>
      <c r="E5" s="95"/>
      <c r="F5" s="95"/>
      <c r="G5" s="49"/>
      <c r="H5" s="49"/>
      <c r="I5" s="49"/>
      <c r="J5" s="49"/>
      <c r="K5" s="49"/>
      <c r="L5" s="49"/>
      <c r="M5" s="49"/>
      <c r="N5" s="5"/>
      <c r="O5" s="5"/>
    </row>
    <row r="6" spans="1:15" ht="21" customHeight="1" x14ac:dyDescent="0.3">
      <c r="A6" s="5"/>
      <c r="B6" s="5"/>
      <c r="C6" s="5"/>
      <c r="D6" s="94" t="s">
        <v>6</v>
      </c>
      <c r="E6" s="94"/>
      <c r="F6" s="94"/>
      <c r="G6" s="94"/>
      <c r="H6" s="94"/>
      <c r="I6" s="94"/>
      <c r="J6" s="94"/>
      <c r="K6" s="94"/>
      <c r="L6" s="94"/>
      <c r="M6" s="94"/>
      <c r="N6" s="5"/>
      <c r="O6" s="5"/>
    </row>
    <row r="7" spans="1:15" s="2" customFormat="1" ht="10.95" customHeight="1" x14ac:dyDescent="0.3">
      <c r="A7" s="3"/>
      <c r="B7" s="3"/>
      <c r="C7" s="3"/>
      <c r="D7" s="94"/>
      <c r="E7" s="94"/>
      <c r="F7" s="94"/>
      <c r="G7" s="94"/>
      <c r="H7" s="94"/>
      <c r="I7" s="94"/>
      <c r="J7" s="94"/>
      <c r="K7" s="94"/>
      <c r="L7" s="94"/>
      <c r="M7" s="94"/>
      <c r="N7" s="5"/>
      <c r="O7" s="3"/>
    </row>
    <row r="8" spans="1:15" s="2" customFormat="1" ht="40.950000000000003" customHeight="1" x14ac:dyDescent="0.3">
      <c r="A8" s="3"/>
      <c r="B8" s="3"/>
      <c r="C8" s="3"/>
      <c r="D8" s="94"/>
      <c r="E8" s="94"/>
      <c r="F8" s="94"/>
      <c r="G8" s="94"/>
      <c r="H8" s="94"/>
      <c r="I8" s="94"/>
      <c r="J8" s="94"/>
      <c r="K8" s="94"/>
      <c r="L8" s="94"/>
      <c r="M8" s="94"/>
      <c r="N8" s="5"/>
      <c r="O8" s="3"/>
    </row>
    <row r="9" spans="1:15" s="2" customFormat="1" ht="70.95" customHeight="1" x14ac:dyDescent="0.3">
      <c r="A9" s="3"/>
      <c r="B9" s="3"/>
      <c r="C9" s="3"/>
      <c r="D9" s="94"/>
      <c r="E9" s="94"/>
      <c r="F9" s="94"/>
      <c r="G9" s="94"/>
      <c r="H9" s="94"/>
      <c r="I9" s="94"/>
      <c r="J9" s="94"/>
      <c r="K9" s="94"/>
      <c r="L9" s="94"/>
      <c r="M9" s="94"/>
      <c r="N9" s="5"/>
      <c r="O9" s="3"/>
    </row>
    <row r="10" spans="1:15" s="2" customFormat="1" ht="37.200000000000003" customHeight="1" x14ac:dyDescent="0.3">
      <c r="A10" s="3"/>
      <c r="C10" s="3"/>
      <c r="D10" s="3"/>
      <c r="E10" s="3"/>
      <c r="F10" s="3"/>
      <c r="G10" s="5"/>
      <c r="H10" s="89" t="s">
        <v>7</v>
      </c>
      <c r="I10" s="90"/>
      <c r="J10" s="90"/>
      <c r="K10" s="90"/>
      <c r="L10" s="90"/>
      <c r="M10" s="90"/>
      <c r="N10" s="5"/>
      <c r="O10" s="3"/>
    </row>
    <row r="11" spans="1:15" s="2" customFormat="1" ht="23.55" customHeight="1" thickBot="1" x14ac:dyDescent="0.35">
      <c r="A11" s="3"/>
      <c r="B11" s="84" t="s">
        <v>8</v>
      </c>
      <c r="C11" s="85"/>
      <c r="D11" s="3"/>
      <c r="E11" s="3"/>
      <c r="F11" s="36" t="s">
        <v>9</v>
      </c>
      <c r="G11" s="3"/>
      <c r="H11" s="88" t="s">
        <v>10</v>
      </c>
      <c r="I11" s="88"/>
      <c r="J11" s="88"/>
      <c r="K11" s="88"/>
      <c r="L11" s="88"/>
      <c r="M11" s="88"/>
      <c r="N11" s="3"/>
      <c r="O11" s="3"/>
    </row>
    <row r="12" spans="1:15" s="2" customFormat="1" ht="24" customHeight="1" x14ac:dyDescent="0.3">
      <c r="A12" s="3"/>
      <c r="B12" s="3"/>
      <c r="C12" s="3"/>
      <c r="D12" s="3"/>
      <c r="E12" s="81" t="s">
        <v>11</v>
      </c>
      <c r="F12" s="82"/>
      <c r="G12" s="83"/>
      <c r="H12" s="86" t="s">
        <v>12</v>
      </c>
      <c r="I12" s="86"/>
      <c r="J12" s="86"/>
      <c r="K12" s="86"/>
      <c r="L12" s="86"/>
      <c r="M12" s="87"/>
      <c r="N12" s="77" t="s">
        <v>13</v>
      </c>
      <c r="O12" s="3"/>
    </row>
    <row r="13" spans="1:15" s="2" customFormat="1" ht="78.599999999999994" customHeight="1" x14ac:dyDescent="0.3">
      <c r="A13" s="3"/>
      <c r="B13" s="41" t="s">
        <v>14</v>
      </c>
      <c r="C13" s="41" t="s">
        <v>15</v>
      </c>
      <c r="D13" s="48" t="s">
        <v>16</v>
      </c>
      <c r="E13" s="42" t="s">
        <v>17</v>
      </c>
      <c r="F13" s="43" t="s">
        <v>18</v>
      </c>
      <c r="G13" s="44" t="s">
        <v>19</v>
      </c>
      <c r="H13" s="37" t="s">
        <v>20</v>
      </c>
      <c r="I13" s="38" t="s">
        <v>21</v>
      </c>
      <c r="J13" s="38" t="s">
        <v>22</v>
      </c>
      <c r="K13" s="38" t="s">
        <v>23</v>
      </c>
      <c r="L13" s="38" t="s">
        <v>24</v>
      </c>
      <c r="M13" s="39" t="s">
        <v>25</v>
      </c>
      <c r="N13" s="78"/>
      <c r="O13" s="3"/>
    </row>
    <row r="14" spans="1:15" s="2" customFormat="1" ht="30.6" hidden="1" customHeight="1" x14ac:dyDescent="0.3">
      <c r="A14" s="3"/>
      <c r="B14" s="31" t="s">
        <v>14</v>
      </c>
      <c r="C14" s="31" t="s">
        <v>15</v>
      </c>
      <c r="D14" s="32" t="s">
        <v>26</v>
      </c>
      <c r="E14" s="33" t="s">
        <v>27</v>
      </c>
      <c r="F14" s="33" t="s">
        <v>28</v>
      </c>
      <c r="G14" s="33" t="s">
        <v>29</v>
      </c>
      <c r="H14" s="26" t="s">
        <v>30</v>
      </c>
      <c r="I14" s="26" t="s">
        <v>31</v>
      </c>
      <c r="J14" s="26" t="s">
        <v>32</v>
      </c>
      <c r="K14" s="26" t="s">
        <v>33</v>
      </c>
      <c r="L14" s="26" t="s">
        <v>34</v>
      </c>
      <c r="M14" s="26" t="s">
        <v>35</v>
      </c>
      <c r="N14" s="28" t="s">
        <v>36</v>
      </c>
      <c r="O14" s="3"/>
    </row>
    <row r="15" spans="1:15" s="2" customFormat="1" ht="39" customHeight="1" x14ac:dyDescent="0.3">
      <c r="A15" s="3"/>
      <c r="B15" s="13"/>
      <c r="C15" s="11"/>
      <c r="D15" s="55" t="str" cm="1">
        <f t="array" ref="D15">_xlfn._xlws.FILTER(Table_FR[Value],(Table_FR[Country]=C15)*(Table_FR[PNS]=PNS),"-")</f>
        <v>-</v>
      </c>
      <c r="E15" s="18"/>
      <c r="F15" s="14"/>
      <c r="G15" s="19"/>
      <c r="H15" s="16"/>
      <c r="I15" s="14"/>
      <c r="J15" s="14"/>
      <c r="K15" s="14"/>
      <c r="L15" s="14"/>
      <c r="M15" s="19"/>
      <c r="N15" s="29"/>
      <c r="O15" s="3"/>
    </row>
    <row r="16" spans="1:15" s="2" customFormat="1" ht="39" customHeight="1" x14ac:dyDescent="0.3">
      <c r="A16" s="3"/>
      <c r="B16" s="13"/>
      <c r="C16" s="11"/>
      <c r="D16" s="55" t="str" cm="1">
        <f t="array" ref="D16">_xlfn._xlws.FILTER(Table_FR[Value],(Table_FR[Country]=C16)*(Table_FR[PNS]=PNS),"-")</f>
        <v>-</v>
      </c>
      <c r="E16" s="18"/>
      <c r="F16" s="14"/>
      <c r="G16" s="19"/>
      <c r="H16" s="14"/>
      <c r="I16" s="14"/>
      <c r="J16" s="14"/>
      <c r="K16" s="14"/>
      <c r="L16" s="14"/>
      <c r="M16" s="19"/>
      <c r="N16" s="29"/>
      <c r="O16" s="3"/>
    </row>
    <row r="17" spans="1:15" s="1" customFormat="1" ht="39" customHeight="1" x14ac:dyDescent="0.3">
      <c r="A17" s="4"/>
      <c r="B17" s="13"/>
      <c r="C17" s="11"/>
      <c r="D17" s="55" t="str" cm="1">
        <f t="array" ref="D17">_xlfn._xlws.FILTER(Table_FR[Value],(Table_FR[Country]=C17)*(Table_FR[PNS]=PNS),"-")</f>
        <v>-</v>
      </c>
      <c r="E17" s="18"/>
      <c r="F17" s="14"/>
      <c r="G17" s="19"/>
      <c r="H17" s="16"/>
      <c r="I17" s="14"/>
      <c r="J17" s="14"/>
      <c r="K17" s="14"/>
      <c r="L17" s="14"/>
      <c r="M17" s="19"/>
      <c r="N17" s="29"/>
      <c r="O17" s="4"/>
    </row>
    <row r="18" spans="1:15" s="1" customFormat="1" ht="39" customHeight="1" x14ac:dyDescent="0.3">
      <c r="A18" s="4"/>
      <c r="B18" s="13"/>
      <c r="C18" s="11"/>
      <c r="D18" s="55" t="str" cm="1">
        <f t="array" ref="D18">_xlfn._xlws.FILTER(Table_FR[Value],(Table_FR[Country]=C18)*(Table_FR[PNS]=PNS),"-")</f>
        <v>-</v>
      </c>
      <c r="E18" s="18"/>
      <c r="F18" s="14"/>
      <c r="G18" s="19"/>
      <c r="H18" s="16"/>
      <c r="I18" s="14"/>
      <c r="J18" s="14"/>
      <c r="K18" s="14"/>
      <c r="L18" s="14"/>
      <c r="M18" s="19"/>
      <c r="N18" s="29"/>
      <c r="O18" s="4"/>
    </row>
    <row r="19" spans="1:15" s="1" customFormat="1" ht="39" customHeight="1" x14ac:dyDescent="0.3">
      <c r="A19" s="4"/>
      <c r="B19" s="13"/>
      <c r="C19" s="11"/>
      <c r="D19" s="55" t="str" cm="1">
        <f t="array" ref="D19">_xlfn._xlws.FILTER(Table_FR[Value],(Table_FR[Country]=C19)*(Table_FR[PNS]=PNS),"-")</f>
        <v>-</v>
      </c>
      <c r="E19" s="18"/>
      <c r="F19" s="14"/>
      <c r="G19" s="19"/>
      <c r="H19" s="16"/>
      <c r="I19" s="14"/>
      <c r="J19" s="14"/>
      <c r="K19" s="14"/>
      <c r="L19" s="14"/>
      <c r="M19" s="19"/>
      <c r="N19" s="29"/>
      <c r="O19" s="4"/>
    </row>
    <row r="20" spans="1:15" ht="39" customHeight="1" x14ac:dyDescent="0.3">
      <c r="A20" s="5"/>
      <c r="B20" s="13"/>
      <c r="C20" s="11"/>
      <c r="D20" s="55" t="str" cm="1">
        <f t="array" ref="D20">_xlfn._xlws.FILTER(Table_FR[Value],(Table_FR[Country]=C20)*(Table_FR[PNS]=PNS),"-")</f>
        <v>-</v>
      </c>
      <c r="E20" s="18"/>
      <c r="F20" s="14"/>
      <c r="G20" s="19"/>
      <c r="H20" s="16"/>
      <c r="I20" s="14"/>
      <c r="J20" s="14"/>
      <c r="K20" s="14"/>
      <c r="L20" s="14"/>
      <c r="M20" s="19"/>
      <c r="N20" s="29"/>
      <c r="O20" s="5"/>
    </row>
    <row r="21" spans="1:15" ht="39" customHeight="1" x14ac:dyDescent="0.3">
      <c r="A21" s="5"/>
      <c r="B21" s="13"/>
      <c r="C21" s="11"/>
      <c r="D21" s="55" t="str" cm="1">
        <f t="array" ref="D21">_xlfn._xlws.FILTER(Table_FR[Value],(Table_FR[Country]=C21)*(Table_FR[PNS]=PNS),"-")</f>
        <v>-</v>
      </c>
      <c r="E21" s="18"/>
      <c r="F21" s="14"/>
      <c r="G21" s="19"/>
      <c r="H21" s="16"/>
      <c r="I21" s="14"/>
      <c r="J21" s="14"/>
      <c r="K21" s="14"/>
      <c r="L21" s="14"/>
      <c r="M21" s="19"/>
      <c r="N21" s="29"/>
      <c r="O21" s="5"/>
    </row>
    <row r="22" spans="1:15" ht="39" customHeight="1" x14ac:dyDescent="0.3">
      <c r="A22" s="5"/>
      <c r="B22" s="13"/>
      <c r="C22" s="11"/>
      <c r="D22" s="55" t="str" cm="1">
        <f t="array" ref="D22">_xlfn._xlws.FILTER(Table_FR[Value],(Table_FR[Country]=C22)*(Table_FR[PNS]=PNS),"-")</f>
        <v>-</v>
      </c>
      <c r="E22" s="18"/>
      <c r="F22" s="14"/>
      <c r="G22" s="19"/>
      <c r="H22" s="16"/>
      <c r="I22" s="14"/>
      <c r="J22" s="14"/>
      <c r="K22" s="14"/>
      <c r="L22" s="14"/>
      <c r="M22" s="19"/>
      <c r="N22" s="29"/>
      <c r="O22" s="5"/>
    </row>
    <row r="23" spans="1:15" ht="39" customHeight="1" x14ac:dyDescent="0.3">
      <c r="A23" s="5"/>
      <c r="B23" s="13"/>
      <c r="C23" s="11"/>
      <c r="D23" s="55" t="str" cm="1">
        <f t="array" ref="D23">_xlfn._xlws.FILTER(Table_FR[Value],(Table_FR[Country]=C23)*(Table_FR[PNS]=PNS),"-")</f>
        <v>-</v>
      </c>
      <c r="E23" s="18"/>
      <c r="F23" s="14"/>
      <c r="G23" s="19"/>
      <c r="H23" s="16"/>
      <c r="I23" s="14"/>
      <c r="J23" s="14"/>
      <c r="K23" s="14"/>
      <c r="L23" s="14"/>
      <c r="M23" s="19"/>
      <c r="N23" s="29"/>
      <c r="O23" s="5"/>
    </row>
    <row r="24" spans="1:15" ht="39" customHeight="1" x14ac:dyDescent="0.3">
      <c r="A24" s="5"/>
      <c r="B24" s="13"/>
      <c r="C24" s="11"/>
      <c r="D24" s="55" t="str" cm="1">
        <f t="array" ref="D24">_xlfn._xlws.FILTER(Table_FR[Value],(Table_FR[Country]=C24)*(Table_FR[PNS]=PNS),"-")</f>
        <v>-</v>
      </c>
      <c r="E24" s="18"/>
      <c r="F24" s="14"/>
      <c r="G24" s="19"/>
      <c r="H24" s="16"/>
      <c r="I24" s="14"/>
      <c r="J24" s="14"/>
      <c r="K24" s="14"/>
      <c r="L24" s="14"/>
      <c r="M24" s="19"/>
      <c r="N24" s="29"/>
      <c r="O24" s="5"/>
    </row>
    <row r="25" spans="1:15" ht="39" customHeight="1" x14ac:dyDescent="0.3">
      <c r="A25" s="5"/>
      <c r="B25" s="13"/>
      <c r="C25" s="11"/>
      <c r="D25" s="55" t="str" cm="1">
        <f t="array" ref="D25">_xlfn._xlws.FILTER(Table_FR[Value],(Table_FR[Country]=C25)*(Table_FR[PNS]=PNS),"-")</f>
        <v>-</v>
      </c>
      <c r="E25" s="18"/>
      <c r="F25" s="14"/>
      <c r="G25" s="19"/>
      <c r="H25" s="16"/>
      <c r="I25" s="14"/>
      <c r="J25" s="14"/>
      <c r="K25" s="14"/>
      <c r="L25" s="14"/>
      <c r="M25" s="19"/>
      <c r="N25" s="29"/>
      <c r="O25" s="5"/>
    </row>
    <row r="26" spans="1:15" ht="39" customHeight="1" x14ac:dyDescent="0.3">
      <c r="A26" s="5"/>
      <c r="B26" s="13"/>
      <c r="C26" s="11"/>
      <c r="D26" s="55" t="str" cm="1">
        <f t="array" ref="D26">_xlfn._xlws.FILTER(Table_FR[Value],(Table_FR[Country]=C26)*(Table_FR[PNS]=PNS),"-")</f>
        <v>-</v>
      </c>
      <c r="E26" s="18"/>
      <c r="F26" s="14"/>
      <c r="G26" s="19"/>
      <c r="H26" s="16"/>
      <c r="I26" s="14"/>
      <c r="J26" s="14"/>
      <c r="K26" s="14"/>
      <c r="L26" s="14"/>
      <c r="M26" s="19"/>
      <c r="N26" s="29"/>
      <c r="O26" s="5"/>
    </row>
    <row r="27" spans="1:15" ht="39" customHeight="1" x14ac:dyDescent="0.3">
      <c r="A27" s="5"/>
      <c r="B27" s="13"/>
      <c r="C27" s="11"/>
      <c r="D27" s="55" t="str" cm="1">
        <f t="array" ref="D27">_xlfn._xlws.FILTER(Table_FR[Value],(Table_FR[Country]=C27)*(Table_FR[PNS]=PNS),"-")</f>
        <v>-</v>
      </c>
      <c r="E27" s="18"/>
      <c r="F27" s="14"/>
      <c r="G27" s="19"/>
      <c r="H27" s="16"/>
      <c r="I27" s="14"/>
      <c r="J27" s="14"/>
      <c r="K27" s="14"/>
      <c r="L27" s="14"/>
      <c r="M27" s="19"/>
      <c r="N27" s="29"/>
      <c r="O27" s="5"/>
    </row>
    <row r="28" spans="1:15" ht="39" customHeight="1" x14ac:dyDescent="0.3">
      <c r="A28" s="5"/>
      <c r="B28" s="13"/>
      <c r="C28" s="11"/>
      <c r="D28" s="55" t="str" cm="1">
        <f t="array" ref="D28">_xlfn._xlws.FILTER(Table_FR[Value],(Table_FR[Country]=C28)*(Table_FR[PNS]=PNS),"-")</f>
        <v>-</v>
      </c>
      <c r="E28" s="18"/>
      <c r="F28" s="14"/>
      <c r="G28" s="19"/>
      <c r="H28" s="16"/>
      <c r="I28" s="14"/>
      <c r="J28" s="14"/>
      <c r="K28" s="14"/>
      <c r="L28" s="14"/>
      <c r="M28" s="19"/>
      <c r="N28" s="29"/>
      <c r="O28" s="5"/>
    </row>
    <row r="29" spans="1:15" ht="39" customHeight="1" x14ac:dyDescent="0.3">
      <c r="A29" s="5"/>
      <c r="B29" s="13"/>
      <c r="C29" s="11"/>
      <c r="D29" s="55" t="str" cm="1">
        <f t="array" ref="D29">_xlfn._xlws.FILTER(Table_FR[Value],(Table_FR[Country]=C29)*(Table_FR[PNS]=PNS),"-")</f>
        <v>-</v>
      </c>
      <c r="E29" s="18"/>
      <c r="F29" s="14"/>
      <c r="G29" s="19"/>
      <c r="H29" s="16"/>
      <c r="I29" s="14"/>
      <c r="J29" s="14"/>
      <c r="K29" s="14"/>
      <c r="L29" s="14"/>
      <c r="M29" s="19"/>
      <c r="N29" s="29"/>
      <c r="O29" s="5"/>
    </row>
    <row r="30" spans="1:15" ht="39" customHeight="1" x14ac:dyDescent="0.3">
      <c r="A30" s="5"/>
      <c r="B30" s="13"/>
      <c r="C30" s="11"/>
      <c r="D30" s="55" t="str" cm="1">
        <f t="array" ref="D30">_xlfn._xlws.FILTER(Table_FR[Value],(Table_FR[Country]=C30)*(Table_FR[PNS]=PNS),"-")</f>
        <v>-</v>
      </c>
      <c r="E30" s="18"/>
      <c r="F30" s="14"/>
      <c r="G30" s="19"/>
      <c r="H30" s="16"/>
      <c r="I30" s="14"/>
      <c r="J30" s="14"/>
      <c r="K30" s="14"/>
      <c r="L30" s="14"/>
      <c r="M30" s="19"/>
      <c r="N30" s="29"/>
      <c r="O30" s="5"/>
    </row>
    <row r="31" spans="1:15" ht="39" customHeight="1" x14ac:dyDescent="0.3">
      <c r="A31" s="5"/>
      <c r="B31" s="13"/>
      <c r="C31" s="11"/>
      <c r="D31" s="55" t="str" cm="1">
        <f t="array" ref="D31">_xlfn._xlws.FILTER(Table_FR[Value],(Table_FR[Country]=C31)*(Table_FR[PNS]=PNS),"-")</f>
        <v>-</v>
      </c>
      <c r="E31" s="18"/>
      <c r="F31" s="14"/>
      <c r="G31" s="19"/>
      <c r="H31" s="16"/>
      <c r="I31" s="14"/>
      <c r="J31" s="14"/>
      <c r="K31" s="14"/>
      <c r="L31" s="14"/>
      <c r="M31" s="19"/>
      <c r="N31" s="29"/>
      <c r="O31" s="5"/>
    </row>
    <row r="32" spans="1:15" ht="39" customHeight="1" x14ac:dyDescent="0.3">
      <c r="A32" s="5"/>
      <c r="B32" s="13"/>
      <c r="C32" s="11"/>
      <c r="D32" s="55" t="str" cm="1">
        <f t="array" ref="D32">_xlfn._xlws.FILTER(Table_FR[Value],(Table_FR[Country]=C32)*(Table_FR[PNS]=PNS),"-")</f>
        <v>-</v>
      </c>
      <c r="E32" s="18"/>
      <c r="F32" s="14"/>
      <c r="G32" s="19"/>
      <c r="H32" s="16"/>
      <c r="I32" s="14"/>
      <c r="J32" s="14"/>
      <c r="K32" s="14"/>
      <c r="L32" s="14"/>
      <c r="M32" s="19"/>
      <c r="N32" s="29"/>
      <c r="O32" s="5"/>
    </row>
    <row r="33" spans="1:15" ht="39" customHeight="1" x14ac:dyDescent="0.3">
      <c r="A33" s="5"/>
      <c r="B33" s="13"/>
      <c r="C33" s="11"/>
      <c r="D33" s="55" t="str" cm="1">
        <f t="array" ref="D33">_xlfn._xlws.FILTER(Table_FR[Value],(Table_FR[Country]=C33)*(Table_FR[PNS]=PNS),"-")</f>
        <v>-</v>
      </c>
      <c r="E33" s="18"/>
      <c r="F33" s="14"/>
      <c r="G33" s="19"/>
      <c r="H33" s="16"/>
      <c r="I33" s="14"/>
      <c r="J33" s="14"/>
      <c r="K33" s="14"/>
      <c r="L33" s="14"/>
      <c r="M33" s="19"/>
      <c r="N33" s="29"/>
      <c r="O33" s="5"/>
    </row>
    <row r="34" spans="1:15" ht="39" customHeight="1" x14ac:dyDescent="0.3">
      <c r="A34" s="5"/>
      <c r="B34" s="13"/>
      <c r="C34" s="11"/>
      <c r="D34" s="55" t="str" cm="1">
        <f t="array" ref="D34">_xlfn._xlws.FILTER(Table_FR[Value],(Table_FR[Country]=C34)*(Table_FR[PNS]=PNS),"-")</f>
        <v>-</v>
      </c>
      <c r="E34" s="18"/>
      <c r="F34" s="14"/>
      <c r="G34" s="19"/>
      <c r="H34" s="16"/>
      <c r="I34" s="14"/>
      <c r="J34" s="14"/>
      <c r="K34" s="14"/>
      <c r="L34" s="14"/>
      <c r="M34" s="19"/>
      <c r="N34" s="29"/>
      <c r="O34" s="5"/>
    </row>
    <row r="35" spans="1:15" ht="39" customHeight="1" x14ac:dyDescent="0.3">
      <c r="A35" s="5"/>
      <c r="B35" s="13"/>
      <c r="C35" s="11"/>
      <c r="D35" s="55" t="str" cm="1">
        <f t="array" ref="D35">_xlfn._xlws.FILTER(Table_FR[Value],(Table_FR[Country]=C35)*(Table_FR[PNS]=PNS),"-")</f>
        <v>-</v>
      </c>
      <c r="E35" s="18"/>
      <c r="F35" s="14"/>
      <c r="G35" s="19"/>
      <c r="H35" s="16"/>
      <c r="I35" s="14"/>
      <c r="J35" s="14"/>
      <c r="K35" s="14"/>
      <c r="L35" s="14"/>
      <c r="M35" s="19"/>
      <c r="N35" s="29"/>
      <c r="O35" s="5"/>
    </row>
    <row r="36" spans="1:15" ht="39" customHeight="1" x14ac:dyDescent="0.3">
      <c r="A36" s="5"/>
      <c r="B36" s="13"/>
      <c r="C36" s="11"/>
      <c r="D36" s="55" t="str" cm="1">
        <f t="array" ref="D36">_xlfn._xlws.FILTER(Table_FR[Value],(Table_FR[Country]=C36)*(Table_FR[PNS]=PNS),"-")</f>
        <v>-</v>
      </c>
      <c r="E36" s="18"/>
      <c r="F36" s="14"/>
      <c r="G36" s="19"/>
      <c r="H36" s="16"/>
      <c r="I36" s="14"/>
      <c r="J36" s="14"/>
      <c r="K36" s="14"/>
      <c r="L36" s="14"/>
      <c r="M36" s="19"/>
      <c r="N36" s="29"/>
      <c r="O36" s="5"/>
    </row>
    <row r="37" spans="1:15" ht="39" customHeight="1" x14ac:dyDescent="0.3">
      <c r="A37" s="5"/>
      <c r="B37" s="13"/>
      <c r="C37" s="11"/>
      <c r="D37" s="55" t="str" cm="1">
        <f t="array" ref="D37">_xlfn._xlws.FILTER(Table_FR[Value],(Table_FR[Country]=C37)*(Table_FR[PNS]=PNS),"-")</f>
        <v>-</v>
      </c>
      <c r="E37" s="18"/>
      <c r="F37" s="14"/>
      <c r="G37" s="19"/>
      <c r="H37" s="16"/>
      <c r="I37" s="14"/>
      <c r="J37" s="14"/>
      <c r="K37" s="14"/>
      <c r="L37" s="14"/>
      <c r="M37" s="19"/>
      <c r="N37" s="29"/>
      <c r="O37" s="5"/>
    </row>
    <row r="38" spans="1:15" ht="39" customHeight="1" x14ac:dyDescent="0.3">
      <c r="A38" s="5"/>
      <c r="B38" s="13"/>
      <c r="C38" s="11"/>
      <c r="D38" s="55" t="str" cm="1">
        <f t="array" ref="D38">_xlfn._xlws.FILTER(Table_FR[Value],(Table_FR[Country]=C38)*(Table_FR[PNS]=PNS),"-")</f>
        <v>-</v>
      </c>
      <c r="E38" s="18"/>
      <c r="F38" s="14"/>
      <c r="G38" s="19"/>
      <c r="H38" s="16"/>
      <c r="I38" s="14"/>
      <c r="J38" s="14"/>
      <c r="K38" s="14"/>
      <c r="L38" s="14"/>
      <c r="M38" s="19"/>
      <c r="N38" s="29"/>
      <c r="O38" s="5"/>
    </row>
    <row r="39" spans="1:15" ht="39" customHeight="1" x14ac:dyDescent="0.3">
      <c r="A39" s="5"/>
      <c r="B39" s="13"/>
      <c r="C39" s="11"/>
      <c r="D39" s="55" t="str" cm="1">
        <f t="array" ref="D39">_xlfn._xlws.FILTER(Table_FR[Value],(Table_FR[Country]=C39)*(Table_FR[PNS]=PNS),"-")</f>
        <v>-</v>
      </c>
      <c r="E39" s="18"/>
      <c r="F39" s="14"/>
      <c r="G39" s="19"/>
      <c r="H39" s="16"/>
      <c r="I39" s="14"/>
      <c r="J39" s="14"/>
      <c r="K39" s="14"/>
      <c r="L39" s="14"/>
      <c r="M39" s="19"/>
      <c r="N39" s="29"/>
      <c r="O39" s="5"/>
    </row>
    <row r="40" spans="1:15" ht="39" customHeight="1" x14ac:dyDescent="0.3">
      <c r="A40" s="5"/>
      <c r="B40" s="13"/>
      <c r="C40" s="11"/>
      <c r="D40" s="55" t="str" cm="1">
        <f t="array" ref="D40">_xlfn._xlws.FILTER(Table_FR[Value],(Table_FR[Country]=C40)*(Table_FR[PNS]=PNS),"-")</f>
        <v>-</v>
      </c>
      <c r="E40" s="18"/>
      <c r="F40" s="14"/>
      <c r="G40" s="19"/>
      <c r="H40" s="16"/>
      <c r="I40" s="14"/>
      <c r="J40" s="14"/>
      <c r="K40" s="14"/>
      <c r="L40" s="14"/>
      <c r="M40" s="19"/>
      <c r="N40" s="29"/>
      <c r="O40" s="5"/>
    </row>
    <row r="41" spans="1:15" ht="39" customHeight="1" x14ac:dyDescent="0.3">
      <c r="A41" s="5"/>
      <c r="B41" s="13"/>
      <c r="C41" s="11"/>
      <c r="D41" s="55" t="str" cm="1">
        <f t="array" ref="D41">_xlfn._xlws.FILTER(Table_FR[Value],(Table_FR[Country]=C41)*(Table_FR[PNS]=PNS),"-")</f>
        <v>-</v>
      </c>
      <c r="E41" s="18"/>
      <c r="F41" s="14"/>
      <c r="G41" s="19"/>
      <c r="H41" s="16"/>
      <c r="I41" s="14"/>
      <c r="J41" s="14"/>
      <c r="K41" s="14"/>
      <c r="L41" s="14"/>
      <c r="M41" s="19"/>
      <c r="N41" s="29"/>
      <c r="O41" s="5"/>
    </row>
    <row r="42" spans="1:15" ht="39" customHeight="1" x14ac:dyDescent="0.3">
      <c r="A42" s="5"/>
      <c r="B42" s="13"/>
      <c r="C42" s="11"/>
      <c r="D42" s="55" t="str" cm="1">
        <f t="array" ref="D42">_xlfn._xlws.FILTER(Table_FR[Value],(Table_FR[Country]=C42)*(Table_FR[PNS]=PNS),"-")</f>
        <v>-</v>
      </c>
      <c r="E42" s="18"/>
      <c r="F42" s="14"/>
      <c r="G42" s="19"/>
      <c r="H42" s="16"/>
      <c r="I42" s="14"/>
      <c r="J42" s="14"/>
      <c r="K42" s="14"/>
      <c r="L42" s="14"/>
      <c r="M42" s="19"/>
      <c r="N42" s="29"/>
      <c r="O42" s="5"/>
    </row>
    <row r="43" spans="1:15" ht="39" customHeight="1" x14ac:dyDescent="0.3">
      <c r="A43" s="5"/>
      <c r="B43" s="13"/>
      <c r="C43" s="11"/>
      <c r="D43" s="55" t="str" cm="1">
        <f t="array" ref="D43">_xlfn._xlws.FILTER(Table_FR[Value],(Table_FR[Country]=C43)*(Table_FR[PNS]=PNS),"-")</f>
        <v>-</v>
      </c>
      <c r="E43" s="18"/>
      <c r="F43" s="14"/>
      <c r="G43" s="19"/>
      <c r="H43" s="16"/>
      <c r="I43" s="14"/>
      <c r="J43" s="14"/>
      <c r="K43" s="14"/>
      <c r="L43" s="14"/>
      <c r="M43" s="19"/>
      <c r="N43" s="29"/>
      <c r="O43" s="5"/>
    </row>
    <row r="44" spans="1:15" ht="39" customHeight="1" x14ac:dyDescent="0.3">
      <c r="A44" s="5"/>
      <c r="B44" s="13"/>
      <c r="C44" s="11"/>
      <c r="D44" s="55" t="str" cm="1">
        <f t="array" ref="D44">_xlfn._xlws.FILTER(Table_FR[Value],(Table_FR[Country]=C44)*(Table_FR[PNS]=PNS),"-")</f>
        <v>-</v>
      </c>
      <c r="E44" s="18"/>
      <c r="F44" s="14"/>
      <c r="G44" s="19"/>
      <c r="H44" s="16"/>
      <c r="I44" s="14"/>
      <c r="J44" s="14"/>
      <c r="K44" s="14"/>
      <c r="L44" s="14"/>
      <c r="M44" s="19"/>
      <c r="N44" s="29"/>
      <c r="O44" s="5"/>
    </row>
    <row r="45" spans="1:15" ht="39" customHeight="1" x14ac:dyDescent="0.3">
      <c r="A45" s="5"/>
      <c r="B45" s="13"/>
      <c r="C45" s="11"/>
      <c r="D45" s="55" t="str" cm="1">
        <f t="array" ref="D45">_xlfn._xlws.FILTER(Table_FR[Value],(Table_FR[Country]=C45)*(Table_FR[PNS]=PNS),"-")</f>
        <v>-</v>
      </c>
      <c r="E45" s="18"/>
      <c r="F45" s="14"/>
      <c r="G45" s="19"/>
      <c r="H45" s="16"/>
      <c r="I45" s="14"/>
      <c r="J45" s="14"/>
      <c r="K45" s="14"/>
      <c r="L45" s="14"/>
      <c r="M45" s="19"/>
      <c r="N45" s="29"/>
      <c r="O45" s="5"/>
    </row>
    <row r="46" spans="1:15" ht="39" customHeight="1" x14ac:dyDescent="0.3">
      <c r="A46" s="5"/>
      <c r="B46" s="13"/>
      <c r="C46" s="11"/>
      <c r="D46" s="55" t="str" cm="1">
        <f t="array" ref="D46">_xlfn._xlws.FILTER(Table_FR[Value],(Table_FR[Country]=C46)*(Table_FR[PNS]=PNS),"-")</f>
        <v>-</v>
      </c>
      <c r="E46" s="18"/>
      <c r="F46" s="14"/>
      <c r="G46" s="19"/>
      <c r="H46" s="16"/>
      <c r="I46" s="14"/>
      <c r="J46" s="14"/>
      <c r="K46" s="14"/>
      <c r="L46" s="14"/>
      <c r="M46" s="19"/>
      <c r="N46" s="29"/>
      <c r="O46" s="5"/>
    </row>
    <row r="47" spans="1:15" ht="39" customHeight="1" x14ac:dyDescent="0.3">
      <c r="A47" s="5"/>
      <c r="B47" s="13"/>
      <c r="C47" s="11"/>
      <c r="D47" s="55" t="str" cm="1">
        <f t="array" ref="D47">_xlfn._xlws.FILTER(Table_FR[Value],(Table_FR[Country]=C47)*(Table_FR[PNS]=PNS),"-")</f>
        <v>-</v>
      </c>
      <c r="E47" s="18"/>
      <c r="F47" s="14"/>
      <c r="G47" s="19"/>
      <c r="H47" s="16"/>
      <c r="I47" s="14"/>
      <c r="J47" s="14"/>
      <c r="K47" s="14"/>
      <c r="L47" s="14"/>
      <c r="M47" s="19"/>
      <c r="N47" s="29"/>
      <c r="O47" s="5"/>
    </row>
    <row r="48" spans="1:15" ht="39" customHeight="1" x14ac:dyDescent="0.3">
      <c r="A48" s="5"/>
      <c r="B48" s="13"/>
      <c r="C48" s="11"/>
      <c r="D48" s="55" t="str" cm="1">
        <f t="array" ref="D48">_xlfn._xlws.FILTER(Table_FR[Value],(Table_FR[Country]=C48)*(Table_FR[PNS]=PNS),"-")</f>
        <v>-</v>
      </c>
      <c r="E48" s="18"/>
      <c r="F48" s="14"/>
      <c r="G48" s="19"/>
      <c r="H48" s="16"/>
      <c r="I48" s="14"/>
      <c r="J48" s="14"/>
      <c r="K48" s="14"/>
      <c r="L48" s="14"/>
      <c r="M48" s="19"/>
      <c r="N48" s="29"/>
      <c r="O48" s="5"/>
    </row>
    <row r="49" spans="1:15" ht="39" customHeight="1" x14ac:dyDescent="0.3">
      <c r="A49" s="5"/>
      <c r="B49" s="13"/>
      <c r="C49" s="11"/>
      <c r="D49" s="55" t="str" cm="1">
        <f t="array" ref="D49">_xlfn._xlws.FILTER(Table_FR[Value],(Table_FR[Country]=C49)*(Table_FR[PNS]=PNS),"-")</f>
        <v>-</v>
      </c>
      <c r="E49" s="18"/>
      <c r="F49" s="14"/>
      <c r="G49" s="19"/>
      <c r="H49" s="16"/>
      <c r="I49" s="14"/>
      <c r="J49" s="14"/>
      <c r="K49" s="14"/>
      <c r="L49" s="14"/>
      <c r="M49" s="19"/>
      <c r="N49" s="29"/>
      <c r="O49" s="5"/>
    </row>
    <row r="50" spans="1:15" ht="39" customHeight="1" x14ac:dyDescent="0.3">
      <c r="A50" s="5"/>
      <c r="B50" s="13"/>
      <c r="C50" s="11"/>
      <c r="D50" s="55" t="str" cm="1">
        <f t="array" ref="D50">_xlfn._xlws.FILTER(Table_FR[Value],(Table_FR[Country]=C50)*(Table_FR[PNS]=PNS),"-")</f>
        <v>-</v>
      </c>
      <c r="E50" s="18"/>
      <c r="F50" s="14"/>
      <c r="G50" s="19"/>
      <c r="H50" s="16"/>
      <c r="I50" s="14"/>
      <c r="J50" s="14"/>
      <c r="K50" s="14"/>
      <c r="L50" s="14"/>
      <c r="M50" s="19"/>
      <c r="N50" s="29"/>
      <c r="O50" s="5"/>
    </row>
    <row r="51" spans="1:15" ht="39" customHeight="1" x14ac:dyDescent="0.3">
      <c r="A51" s="5"/>
      <c r="B51" s="13"/>
      <c r="C51" s="11"/>
      <c r="D51" s="55" t="str" cm="1">
        <f t="array" ref="D51">_xlfn._xlws.FILTER(Table_FR[Value],(Table_FR[Country]=C51)*(Table_FR[PNS]=PNS),"-")</f>
        <v>-</v>
      </c>
      <c r="E51" s="18"/>
      <c r="F51" s="14"/>
      <c r="G51" s="19"/>
      <c r="H51" s="16"/>
      <c r="I51" s="14"/>
      <c r="J51" s="14"/>
      <c r="K51" s="14"/>
      <c r="L51" s="14"/>
      <c r="M51" s="19"/>
      <c r="N51" s="29"/>
      <c r="O51" s="5"/>
    </row>
    <row r="52" spans="1:15" ht="39" customHeight="1" x14ac:dyDescent="0.3">
      <c r="A52" s="5"/>
      <c r="B52" s="13"/>
      <c r="C52" s="11"/>
      <c r="D52" s="55" t="str" cm="1">
        <f t="array" ref="D52">_xlfn._xlws.FILTER(Table_FR[Value],(Table_FR[Country]=C52)*(Table_FR[PNS]=PNS),"-")</f>
        <v>-</v>
      </c>
      <c r="E52" s="18"/>
      <c r="F52" s="14"/>
      <c r="G52" s="19"/>
      <c r="H52" s="16"/>
      <c r="I52" s="14"/>
      <c r="J52" s="14"/>
      <c r="K52" s="14"/>
      <c r="L52" s="14"/>
      <c r="M52" s="19"/>
      <c r="N52" s="29"/>
      <c r="O52" s="5"/>
    </row>
    <row r="53" spans="1:15" ht="39" customHeight="1" x14ac:dyDescent="0.3">
      <c r="A53" s="5"/>
      <c r="B53" s="13"/>
      <c r="C53" s="12"/>
      <c r="D53" s="56" t="str" cm="1">
        <f t="array" ref="D53">_xlfn._xlws.FILTER(Table_FR[Value],(Table_FR[Country]=C53)*(Table_FR[PNS]=PNS),"-")</f>
        <v>-</v>
      </c>
      <c r="E53" s="20"/>
      <c r="F53" s="15"/>
      <c r="G53" s="21"/>
      <c r="H53" s="17"/>
      <c r="I53" s="15"/>
      <c r="J53" s="15"/>
      <c r="K53" s="15"/>
      <c r="L53" s="15"/>
      <c r="M53" s="21"/>
      <c r="N53" s="30"/>
      <c r="O53" s="5"/>
    </row>
    <row r="54" spans="1:15" ht="39" customHeight="1" x14ac:dyDescent="0.3">
      <c r="A54" s="5"/>
      <c r="B54" s="13"/>
      <c r="C54" s="12"/>
      <c r="D54" s="56" t="str" cm="1">
        <f t="array" ref="D54">_xlfn._xlws.FILTER(Table_FR[Value],(Table_FR[Country]=C54)*(Table_FR[PNS]=PNS),"-")</f>
        <v>-</v>
      </c>
      <c r="E54" s="20"/>
      <c r="F54" s="15"/>
      <c r="G54" s="21"/>
      <c r="H54" s="17"/>
      <c r="I54" s="15"/>
      <c r="J54" s="15"/>
      <c r="K54" s="15"/>
      <c r="L54" s="15"/>
      <c r="M54" s="21"/>
      <c r="N54" s="30"/>
      <c r="O54" s="5"/>
    </row>
    <row r="55" spans="1:15" ht="39" customHeight="1" x14ac:dyDescent="0.3">
      <c r="A55" s="5"/>
      <c r="B55" s="13"/>
      <c r="C55" s="12"/>
      <c r="D55" s="56" t="str" cm="1">
        <f t="array" ref="D55">_xlfn._xlws.FILTER(Table_FR[Value],(Table_FR[Country]=C55)*(Table_FR[PNS]=PNS),"-")</f>
        <v>-</v>
      </c>
      <c r="E55" s="20"/>
      <c r="F55" s="15"/>
      <c r="G55" s="21"/>
      <c r="H55" s="17"/>
      <c r="I55" s="15"/>
      <c r="J55" s="15"/>
      <c r="K55" s="15"/>
      <c r="L55" s="15"/>
      <c r="M55" s="21"/>
      <c r="N55" s="30"/>
      <c r="O55" s="5"/>
    </row>
    <row r="56" spans="1:15" ht="39" customHeight="1" x14ac:dyDescent="0.3">
      <c r="A56" s="5"/>
      <c r="B56" s="13"/>
      <c r="C56" s="12"/>
      <c r="D56" s="56" t="str" cm="1">
        <f t="array" ref="D56">_xlfn._xlws.FILTER(Table_FR[Value],(Table_FR[Country]=C56)*(Table_FR[PNS]=PNS),"-")</f>
        <v>-</v>
      </c>
      <c r="E56" s="20"/>
      <c r="F56" s="15"/>
      <c r="G56" s="21"/>
      <c r="H56" s="17"/>
      <c r="I56" s="15"/>
      <c r="J56" s="15"/>
      <c r="K56" s="15"/>
      <c r="L56" s="15"/>
      <c r="M56" s="21"/>
      <c r="N56" s="30"/>
      <c r="O56" s="5"/>
    </row>
    <row r="57" spans="1:15" ht="39" customHeight="1" x14ac:dyDescent="0.3">
      <c r="A57" s="5"/>
      <c r="B57" s="13"/>
      <c r="C57" s="12"/>
      <c r="D57" s="56" t="str" cm="1">
        <f t="array" ref="D57">_xlfn._xlws.FILTER(Table_FR[Value],(Table_FR[Country]=C57)*(Table_FR[PNS]=PNS),"-")</f>
        <v>-</v>
      </c>
      <c r="E57" s="20"/>
      <c r="F57" s="15"/>
      <c r="G57" s="21"/>
      <c r="H57" s="17"/>
      <c r="I57" s="15"/>
      <c r="J57" s="15"/>
      <c r="K57" s="15"/>
      <c r="L57" s="15"/>
      <c r="M57" s="21"/>
      <c r="N57" s="30"/>
      <c r="O57" s="5"/>
    </row>
    <row r="58" spans="1:15" ht="39" customHeight="1" x14ac:dyDescent="0.3">
      <c r="A58" s="5"/>
      <c r="B58" s="13"/>
      <c r="C58" s="12"/>
      <c r="D58" s="56" t="str" cm="1">
        <f t="array" ref="D58">_xlfn._xlws.FILTER(Table_FR[Value],(Table_FR[Country]=C58)*(Table_FR[PNS]=PNS),"-")</f>
        <v>-</v>
      </c>
      <c r="E58" s="20"/>
      <c r="F58" s="15"/>
      <c r="G58" s="21"/>
      <c r="H58" s="17"/>
      <c r="I58" s="15"/>
      <c r="J58" s="15"/>
      <c r="K58" s="15"/>
      <c r="L58" s="15"/>
      <c r="M58" s="21"/>
      <c r="N58" s="30"/>
      <c r="O58" s="5"/>
    </row>
    <row r="59" spans="1:15" ht="39" customHeight="1" x14ac:dyDescent="0.3">
      <c r="A59" s="5"/>
      <c r="B59" s="13"/>
      <c r="C59" s="12"/>
      <c r="D59" s="56" t="str" cm="1">
        <f t="array" ref="D59">_xlfn._xlws.FILTER(Table_FR[Value],(Table_FR[Country]=C59)*(Table_FR[PNS]=PNS),"-")</f>
        <v>-</v>
      </c>
      <c r="E59" s="20"/>
      <c r="F59" s="15"/>
      <c r="G59" s="21"/>
      <c r="H59" s="17"/>
      <c r="I59" s="15"/>
      <c r="J59" s="15"/>
      <c r="K59" s="15"/>
      <c r="L59" s="15"/>
      <c r="M59" s="21"/>
      <c r="N59" s="30"/>
      <c r="O59" s="5"/>
    </row>
    <row r="60" spans="1:15" ht="39" customHeight="1" x14ac:dyDescent="0.3">
      <c r="A60" s="5"/>
      <c r="B60" s="13"/>
      <c r="C60" s="12"/>
      <c r="D60" s="56" t="str" cm="1">
        <f t="array" ref="D60">_xlfn._xlws.FILTER(Table_FR[Value],(Table_FR[Country]=C60)*(Table_FR[PNS]=PNS),"-")</f>
        <v>-</v>
      </c>
      <c r="E60" s="20"/>
      <c r="F60" s="15"/>
      <c r="G60" s="21"/>
      <c r="H60" s="17"/>
      <c r="I60" s="15"/>
      <c r="J60" s="15"/>
      <c r="K60" s="15"/>
      <c r="L60" s="15"/>
      <c r="M60" s="21"/>
      <c r="N60" s="30"/>
      <c r="O60" s="5"/>
    </row>
    <row r="61" spans="1:15" ht="39" customHeight="1" x14ac:dyDescent="0.3">
      <c r="A61" s="5"/>
      <c r="B61" s="13"/>
      <c r="C61" s="12"/>
      <c r="D61" s="56" t="str" cm="1">
        <f t="array" ref="D61">_xlfn._xlws.FILTER(Table_FR[Value],(Table_FR[Country]=C61)*(Table_FR[PNS]=PNS),"-")</f>
        <v>-</v>
      </c>
      <c r="E61" s="20"/>
      <c r="F61" s="15"/>
      <c r="G61" s="21"/>
      <c r="H61" s="17"/>
      <c r="I61" s="15"/>
      <c r="J61" s="15"/>
      <c r="K61" s="15"/>
      <c r="L61" s="15"/>
      <c r="M61" s="21"/>
      <c r="N61" s="30"/>
      <c r="O61" s="5"/>
    </row>
    <row r="62" spans="1:15" ht="39" customHeight="1" x14ac:dyDescent="0.3">
      <c r="A62" s="5"/>
      <c r="B62" s="13"/>
      <c r="C62" s="12"/>
      <c r="D62" s="56" t="str" cm="1">
        <f t="array" ref="D62">_xlfn._xlws.FILTER(Table_FR[Value],(Table_FR[Country]=C62)*(Table_FR[PNS]=PNS),"-")</f>
        <v>-</v>
      </c>
      <c r="E62" s="20"/>
      <c r="F62" s="15"/>
      <c r="G62" s="21"/>
      <c r="H62" s="17"/>
      <c r="I62" s="15"/>
      <c r="J62" s="15"/>
      <c r="K62" s="15"/>
      <c r="L62" s="15"/>
      <c r="M62" s="21"/>
      <c r="N62" s="30"/>
      <c r="O62" s="5"/>
    </row>
    <row r="63" spans="1:15" ht="39" customHeight="1" x14ac:dyDescent="0.3">
      <c r="A63" s="5"/>
      <c r="B63" s="13"/>
      <c r="C63" s="12"/>
      <c r="D63" s="56" t="str" cm="1">
        <f t="array" ref="D63">_xlfn._xlws.FILTER(Table_FR[Value],(Table_FR[Country]=C63)*(Table_FR[PNS]=PNS),"-")</f>
        <v>-</v>
      </c>
      <c r="E63" s="20"/>
      <c r="F63" s="15"/>
      <c r="G63" s="21"/>
      <c r="H63" s="17"/>
      <c r="I63" s="15"/>
      <c r="J63" s="15"/>
      <c r="K63" s="15"/>
      <c r="L63" s="15"/>
      <c r="M63" s="21"/>
      <c r="N63" s="30"/>
      <c r="O63" s="5"/>
    </row>
    <row r="64" spans="1:15" ht="39" customHeight="1" x14ac:dyDescent="0.3">
      <c r="A64" s="5"/>
      <c r="B64" s="13"/>
      <c r="C64" s="12"/>
      <c r="D64" s="56" t="str" cm="1">
        <f t="array" ref="D64">_xlfn._xlws.FILTER(Table_FR[Value],(Table_FR[Country]=C64)*(Table_FR[PNS]=PNS),"-")</f>
        <v>-</v>
      </c>
      <c r="E64" s="20"/>
      <c r="F64" s="15"/>
      <c r="G64" s="21"/>
      <c r="H64" s="17"/>
      <c r="I64" s="15"/>
      <c r="J64" s="15"/>
      <c r="K64" s="15"/>
      <c r="L64" s="15"/>
      <c r="M64" s="21"/>
      <c r="N64" s="30"/>
      <c r="O64" s="5"/>
    </row>
    <row r="65" spans="1:15" ht="39" customHeight="1" x14ac:dyDescent="0.3">
      <c r="A65" s="5"/>
      <c r="B65" s="13"/>
      <c r="C65" s="12"/>
      <c r="D65" s="56" t="str" cm="1">
        <f t="array" ref="D65">_xlfn._xlws.FILTER(Table_FR[Value],(Table_FR[Country]=C65)*(Table_FR[PNS]=PNS),"-")</f>
        <v>-</v>
      </c>
      <c r="E65" s="20"/>
      <c r="F65" s="15"/>
      <c r="G65" s="21"/>
      <c r="H65" s="17"/>
      <c r="I65" s="15"/>
      <c r="J65" s="15"/>
      <c r="K65" s="15"/>
      <c r="L65" s="15"/>
      <c r="M65" s="21"/>
      <c r="N65" s="30"/>
      <c r="O65" s="5"/>
    </row>
    <row r="66" spans="1:15" ht="39" customHeight="1" x14ac:dyDescent="0.3">
      <c r="A66" s="5"/>
      <c r="B66" s="13"/>
      <c r="C66" s="12"/>
      <c r="D66" s="56" t="str" cm="1">
        <f t="array" ref="D66">_xlfn._xlws.FILTER(Table_FR[Value],(Table_FR[Country]=C66)*(Table_FR[PNS]=PNS),"-")</f>
        <v>-</v>
      </c>
      <c r="E66" s="20"/>
      <c r="F66" s="15"/>
      <c r="G66" s="21"/>
      <c r="H66" s="17"/>
      <c r="I66" s="15"/>
      <c r="J66" s="15"/>
      <c r="K66" s="15"/>
      <c r="L66" s="15"/>
      <c r="M66" s="21"/>
      <c r="N66" s="30"/>
      <c r="O66" s="5"/>
    </row>
    <row r="67" spans="1:15" ht="39" customHeight="1" thickBot="1" x14ac:dyDescent="0.35">
      <c r="A67" s="5"/>
      <c r="B67" s="13"/>
      <c r="C67" s="12"/>
      <c r="D67" s="57" t="str" cm="1">
        <f t="array" ref="D67">_xlfn._xlws.FILTER(Table_FR[Value],(Table_FR[Country]=C67)*(Table_FR[PNS]=PNS),"-")</f>
        <v>-</v>
      </c>
      <c r="E67" s="22"/>
      <c r="F67" s="23"/>
      <c r="G67" s="24"/>
      <c r="H67" s="25"/>
      <c r="I67" s="23"/>
      <c r="J67" s="23"/>
      <c r="K67" s="23"/>
      <c r="L67" s="23"/>
      <c r="M67" s="24"/>
      <c r="N67" s="30"/>
      <c r="O67" s="5"/>
    </row>
    <row r="68" spans="1:15" s="5" customFormat="1" hidden="1" x14ac:dyDescent="0.3">
      <c r="B68" s="13" t="s">
        <v>37</v>
      </c>
      <c r="C68" s="11"/>
      <c r="D68" s="20" t="str" cm="1">
        <f t="array" ref="D68">_xlfn._xlws.FILTER(Table_FR[Value],(Table_FR[Country]=C68)*(Table_FR[PNS]=PNS),"-")</f>
        <v>-</v>
      </c>
      <c r="E68" s="18"/>
      <c r="F68" s="14"/>
      <c r="G68" s="14"/>
      <c r="H68" s="14"/>
      <c r="I68" s="14"/>
      <c r="J68" s="14"/>
      <c r="K68" s="14"/>
      <c r="L68" s="14"/>
      <c r="M68" s="14"/>
      <c r="N68" s="54"/>
    </row>
    <row r="69" spans="1:15" hidden="1" x14ac:dyDescent="0.3">
      <c r="A69" s="5"/>
      <c r="B69" s="13" t="s">
        <v>37</v>
      </c>
      <c r="C69" s="11"/>
      <c r="D69" s="53" t="str" cm="1">
        <f t="array" ref="D69">_xlfn._xlws.FILTER(Table_FR[Value],(Table_FR[Country]=C69)*(Table_FR[PNS]=PNS),"-")</f>
        <v>-</v>
      </c>
      <c r="E69" s="18"/>
      <c r="F69" s="14"/>
      <c r="G69" s="14"/>
      <c r="H69" s="14"/>
      <c r="I69" s="14"/>
      <c r="J69" s="14"/>
      <c r="K69" s="14"/>
      <c r="L69" s="14"/>
      <c r="M69" s="14"/>
      <c r="N69" s="54"/>
      <c r="O69" s="5"/>
    </row>
    <row r="70" spans="1:15" hidden="1" x14ac:dyDescent="0.3">
      <c r="B70" s="13" t="s">
        <v>37</v>
      </c>
      <c r="C70" s="11"/>
      <c r="D70" s="53" t="str" cm="1">
        <f t="array" ref="D70">_xlfn._xlws.FILTER(Table_FR[Value],(Table_FR[Country]=C70)*(Table_FR[PNS]=PNS),"-")</f>
        <v>-</v>
      </c>
      <c r="E70" s="18"/>
      <c r="F70" s="14"/>
      <c r="G70" s="14"/>
      <c r="H70" s="14"/>
      <c r="I70" s="14"/>
      <c r="J70" s="14"/>
      <c r="K70" s="14"/>
      <c r="L70" s="14"/>
      <c r="M70" s="14"/>
      <c r="N70" s="54"/>
    </row>
    <row r="71" spans="1:15" x14ac:dyDescent="0.3"/>
  </sheetData>
  <sheetProtection algorithmName="SHA-512" hashValue="63UcldIUhsaYjA+5rvGB7+IQ4K+/vrKfN5fcW+f61boWxLaahCWxaTZpnpn+cfz/f/sW7OgyrFD6aQO8c7ACtA==" saltValue="3cnNyoWgSjb9RFbhT2gpaw==" spinCount="100000" sheet="1" formatCells="0" formatColumns="0" formatRows="0" autoFilter="0"/>
  <mergeCells count="14">
    <mergeCell ref="B1:E1"/>
    <mergeCell ref="D3:E3"/>
    <mergeCell ref="G3:I3"/>
    <mergeCell ref="N12:N13"/>
    <mergeCell ref="B3:C3"/>
    <mergeCell ref="E12:G12"/>
    <mergeCell ref="B11:C11"/>
    <mergeCell ref="H12:M12"/>
    <mergeCell ref="H11:M11"/>
    <mergeCell ref="H10:M10"/>
    <mergeCell ref="J3:K3"/>
    <mergeCell ref="L3:N3"/>
    <mergeCell ref="D6:M9"/>
    <mergeCell ref="D5:F5"/>
  </mergeCells>
  <phoneticPr fontId="4" type="noConversion"/>
  <conditionalFormatting sqref="D3:E3">
    <cfRule type="cellIs" dxfId="7" priority="1" operator="equal">
      <formula>""</formula>
    </cfRule>
  </conditionalFormatting>
  <conditionalFormatting sqref="D15:E67">
    <cfRule type="expression" dxfId="6" priority="6">
      <formula>OR(D15&lt;E15,D15&lt;F15)</formula>
    </cfRule>
  </conditionalFormatting>
  <conditionalFormatting sqref="F15:F70">
    <cfRule type="expression" dxfId="5" priority="4">
      <formula>OR(F15&lt;G15,F15&gt;E15)</formula>
    </cfRule>
  </conditionalFormatting>
  <conditionalFormatting sqref="G15:G70">
    <cfRule type="expression" dxfId="4" priority="3">
      <formula>OR(G15&gt;F15,G15&gt;E15)</formula>
    </cfRule>
  </conditionalFormatting>
  <dataValidations count="4">
    <dataValidation type="list" allowBlank="1" showInputMessage="1" showErrorMessage="1" sqref="B15:B70" xr:uid="{2F82FFD6-8947-46A8-8EFA-4A8BC3799297}">
      <formula1>_Region</formula1>
    </dataValidation>
    <dataValidation type="list" allowBlank="1" showInputMessage="1" showErrorMessage="1" sqref="C15:C70" xr:uid="{7DA7776C-388B-4E97-B2B2-1D84D492CDC7}">
      <formula1>OFFSET(_Start,MATCH(B15,RegionList,0)-1,0,COUNTIF(RegionList,B15),1)</formula1>
    </dataValidation>
    <dataValidation type="whole" operator="greaterThanOrEqual" allowBlank="1" showInputMessage="1" showErrorMessage="1" error="Only number values allowed" sqref="E16:G16 E15:M15 E17:M67" xr:uid="{E4B24B29-FABB-4E73-8483-567BC5F52BC4}">
      <formula1>0</formula1>
    </dataValidation>
    <dataValidation type="list" allowBlank="1" showInputMessage="1" showErrorMessage="1" sqref="D3:E3" xr:uid="{995981A9-86D2-45D8-9FF3-07B9E2595AC4}">
      <formula1>INDIRECT("PNS_table[PNS]")</formula1>
    </dataValidation>
  </dataValidations>
  <hyperlinks>
    <hyperlink ref="L3" location="'Requirement by Country'!A1" display="For details by country check the &quot;Requirement by Country&quot; sheet" xr:uid="{C1D6BA59-C52B-4984-84D4-67E061571410}"/>
    <hyperlink ref="L3:N3" location="'Funding Requirement by Country'!A1" display="For details by country check the &quot;Requirement by Country&quot; sheet" xr:uid="{7C530E29-2CCC-4F91-B8CB-FB63E3C7652C}"/>
  </hyperlinks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B5A4-CEE1-41C3-9184-F752228A3988}">
  <dimension ref="A1:H194"/>
  <sheetViews>
    <sheetView topLeftCell="B1" workbookViewId="0">
      <selection activeCell="E151" sqref="E151"/>
    </sheetView>
  </sheetViews>
  <sheetFormatPr defaultRowHeight="14.4" x14ac:dyDescent="0.3"/>
  <cols>
    <col min="1" max="1" width="6.77734375" hidden="1" customWidth="1"/>
    <col min="2" max="2" width="26.44140625" style="68" customWidth="1"/>
    <col min="3" max="3" width="34.33203125" style="68" bestFit="1" customWidth="1"/>
    <col min="4" max="8" width="21.6640625" style="58" customWidth="1"/>
  </cols>
  <sheetData>
    <row r="1" spans="1:8" ht="81" customHeight="1" x14ac:dyDescent="0.3">
      <c r="A1" s="59" t="s">
        <v>173</v>
      </c>
      <c r="B1" s="60" t="s">
        <v>14</v>
      </c>
      <c r="C1" s="60" t="s">
        <v>15</v>
      </c>
      <c r="D1" s="61" t="s">
        <v>296</v>
      </c>
      <c r="E1" s="61" t="s">
        <v>297</v>
      </c>
      <c r="F1" s="61" t="s">
        <v>298</v>
      </c>
      <c r="G1" s="61" t="s">
        <v>299</v>
      </c>
      <c r="H1" s="61" t="s">
        <v>300</v>
      </c>
    </row>
    <row r="2" spans="1:8" x14ac:dyDescent="0.3">
      <c r="A2" s="62" t="s">
        <v>301</v>
      </c>
      <c r="B2" s="63" t="s">
        <v>48</v>
      </c>
      <c r="C2" s="63" t="s">
        <v>134</v>
      </c>
      <c r="D2" s="70"/>
      <c r="E2" s="70"/>
      <c r="F2" s="70"/>
      <c r="G2" s="70"/>
      <c r="H2" s="70"/>
    </row>
    <row r="3" spans="1:8" x14ac:dyDescent="0.3">
      <c r="A3" s="64" t="s">
        <v>302</v>
      </c>
      <c r="B3" s="65" t="s">
        <v>48</v>
      </c>
      <c r="C3" s="65" t="s">
        <v>85</v>
      </c>
      <c r="D3" s="71"/>
      <c r="E3" s="71"/>
      <c r="F3" s="71"/>
      <c r="G3" s="71"/>
      <c r="H3" s="71"/>
    </row>
    <row r="4" spans="1:8" x14ac:dyDescent="0.3">
      <c r="A4" s="62" t="s">
        <v>303</v>
      </c>
      <c r="B4" s="63" t="s">
        <v>48</v>
      </c>
      <c r="C4" s="63" t="s">
        <v>177</v>
      </c>
      <c r="D4" s="70"/>
      <c r="E4" s="70"/>
      <c r="F4" s="70"/>
      <c r="G4" s="70"/>
      <c r="H4" s="70"/>
    </row>
    <row r="5" spans="1:8" x14ac:dyDescent="0.3">
      <c r="A5" s="64" t="s">
        <v>304</v>
      </c>
      <c r="B5" s="65" t="s">
        <v>48</v>
      </c>
      <c r="C5" s="65" t="s">
        <v>74</v>
      </c>
      <c r="D5" s="71"/>
      <c r="E5" s="71"/>
      <c r="F5" s="71"/>
      <c r="G5" s="71"/>
      <c r="H5" s="71"/>
    </row>
    <row r="6" spans="1:8" x14ac:dyDescent="0.3">
      <c r="A6" s="62" t="s">
        <v>305</v>
      </c>
      <c r="B6" s="63" t="s">
        <v>48</v>
      </c>
      <c r="C6" s="63" t="s">
        <v>86</v>
      </c>
      <c r="D6" s="70"/>
      <c r="E6" s="70"/>
      <c r="F6" s="70"/>
      <c r="G6" s="70"/>
      <c r="H6" s="70"/>
    </row>
    <row r="7" spans="1:8" x14ac:dyDescent="0.3">
      <c r="A7" s="64" t="s">
        <v>306</v>
      </c>
      <c r="B7" s="65" t="s">
        <v>48</v>
      </c>
      <c r="C7" s="65" t="s">
        <v>116</v>
      </c>
      <c r="D7" s="71"/>
      <c r="E7" s="71"/>
      <c r="F7" s="71"/>
      <c r="G7" s="71"/>
      <c r="H7" s="71"/>
    </row>
    <row r="8" spans="1:8" x14ac:dyDescent="0.3">
      <c r="A8" s="62" t="s">
        <v>307</v>
      </c>
      <c r="B8" s="63" t="s">
        <v>48</v>
      </c>
      <c r="C8" s="63" t="s">
        <v>183</v>
      </c>
      <c r="D8" s="70"/>
      <c r="E8" s="70"/>
      <c r="F8" s="70"/>
      <c r="G8" s="70"/>
      <c r="H8" s="70"/>
    </row>
    <row r="9" spans="1:8" x14ac:dyDescent="0.3">
      <c r="A9" s="64" t="s">
        <v>308</v>
      </c>
      <c r="B9" s="65" t="s">
        <v>48</v>
      </c>
      <c r="C9" s="65" t="s">
        <v>166</v>
      </c>
      <c r="D9" s="71"/>
      <c r="E9" s="71"/>
      <c r="F9" s="71"/>
      <c r="G9" s="71"/>
      <c r="H9" s="71"/>
    </row>
    <row r="10" spans="1:8" x14ac:dyDescent="0.3">
      <c r="A10" s="62" t="s">
        <v>309</v>
      </c>
      <c r="B10" s="63" t="s">
        <v>48</v>
      </c>
      <c r="C10" s="63" t="s">
        <v>93</v>
      </c>
      <c r="D10" s="70"/>
      <c r="E10" s="70"/>
      <c r="F10" s="70"/>
      <c r="G10" s="70"/>
      <c r="H10" s="70"/>
    </row>
    <row r="11" spans="1:8" x14ac:dyDescent="0.3">
      <c r="A11" s="64" t="s">
        <v>310</v>
      </c>
      <c r="B11" s="65" t="s">
        <v>48</v>
      </c>
      <c r="C11" s="65" t="s">
        <v>117</v>
      </c>
      <c r="D11" s="71"/>
      <c r="E11" s="71"/>
      <c r="F11" s="71"/>
      <c r="G11" s="71"/>
      <c r="H11" s="71"/>
    </row>
    <row r="12" spans="1:8" x14ac:dyDescent="0.3">
      <c r="A12" s="62" t="s">
        <v>311</v>
      </c>
      <c r="B12" s="63" t="s">
        <v>48</v>
      </c>
      <c r="C12" s="63" t="s">
        <v>188</v>
      </c>
      <c r="D12" s="70"/>
      <c r="E12" s="70"/>
      <c r="F12" s="70"/>
      <c r="G12" s="70"/>
      <c r="H12" s="70"/>
    </row>
    <row r="13" spans="1:8" x14ac:dyDescent="0.3">
      <c r="A13" s="64" t="s">
        <v>312</v>
      </c>
      <c r="B13" s="65" t="s">
        <v>48</v>
      </c>
      <c r="C13" s="65" t="s">
        <v>87</v>
      </c>
      <c r="D13" s="71"/>
      <c r="E13" s="71"/>
      <c r="F13" s="71"/>
      <c r="G13" s="71"/>
      <c r="H13" s="71"/>
    </row>
    <row r="14" spans="1:8" x14ac:dyDescent="0.3">
      <c r="A14" s="62" t="s">
        <v>313</v>
      </c>
      <c r="B14" s="63" t="s">
        <v>48</v>
      </c>
      <c r="C14" s="63" t="s">
        <v>167</v>
      </c>
      <c r="D14" s="70"/>
      <c r="E14" s="70"/>
      <c r="F14" s="70"/>
      <c r="G14" s="70"/>
      <c r="H14" s="70"/>
    </row>
    <row r="15" spans="1:8" x14ac:dyDescent="0.3">
      <c r="A15" s="64" t="s">
        <v>314</v>
      </c>
      <c r="B15" s="65" t="s">
        <v>48</v>
      </c>
      <c r="C15" s="65" t="s">
        <v>135</v>
      </c>
      <c r="D15" s="71"/>
      <c r="E15" s="71"/>
      <c r="F15" s="71"/>
      <c r="G15" s="71"/>
      <c r="H15" s="71"/>
    </row>
    <row r="16" spans="1:8" x14ac:dyDescent="0.3">
      <c r="A16" s="62" t="s">
        <v>315</v>
      </c>
      <c r="B16" s="63" t="s">
        <v>48</v>
      </c>
      <c r="C16" s="63" t="s">
        <v>193</v>
      </c>
      <c r="D16" s="70"/>
      <c r="E16" s="70"/>
      <c r="F16" s="70"/>
      <c r="G16" s="70"/>
      <c r="H16" s="70"/>
    </row>
    <row r="17" spans="1:8" x14ac:dyDescent="0.3">
      <c r="A17" s="64" t="s">
        <v>316</v>
      </c>
      <c r="B17" s="65" t="s">
        <v>48</v>
      </c>
      <c r="C17" s="65" t="s">
        <v>94</v>
      </c>
      <c r="D17" s="71"/>
      <c r="E17" s="71"/>
      <c r="F17" s="71"/>
      <c r="G17" s="71"/>
      <c r="H17" s="71"/>
    </row>
    <row r="18" spans="1:8" x14ac:dyDescent="0.3">
      <c r="A18" s="62" t="s">
        <v>317</v>
      </c>
      <c r="B18" s="63" t="s">
        <v>48</v>
      </c>
      <c r="C18" s="63" t="s">
        <v>49</v>
      </c>
      <c r="D18" s="70"/>
      <c r="E18" s="70"/>
      <c r="F18" s="70"/>
      <c r="G18" s="70"/>
      <c r="H18" s="70"/>
    </row>
    <row r="19" spans="1:8" x14ac:dyDescent="0.3">
      <c r="A19" s="64" t="s">
        <v>318</v>
      </c>
      <c r="B19" s="65" t="s">
        <v>48</v>
      </c>
      <c r="C19" s="65" t="s">
        <v>197</v>
      </c>
      <c r="D19" s="71"/>
      <c r="E19" s="71"/>
      <c r="F19" s="71"/>
      <c r="G19" s="71"/>
      <c r="H19" s="71"/>
    </row>
    <row r="20" spans="1:8" x14ac:dyDescent="0.3">
      <c r="A20" s="62" t="s">
        <v>319</v>
      </c>
      <c r="B20" s="63" t="s">
        <v>48</v>
      </c>
      <c r="C20" s="63" t="s">
        <v>153</v>
      </c>
      <c r="D20" s="70"/>
      <c r="E20" s="70"/>
      <c r="F20" s="70"/>
      <c r="G20" s="70"/>
      <c r="H20" s="70"/>
    </row>
    <row r="21" spans="1:8" x14ac:dyDescent="0.3">
      <c r="A21" s="64" t="s">
        <v>320</v>
      </c>
      <c r="B21" s="65" t="s">
        <v>48</v>
      </c>
      <c r="C21" s="65" t="s">
        <v>200</v>
      </c>
      <c r="D21" s="71"/>
      <c r="E21" s="71"/>
      <c r="F21" s="71"/>
      <c r="G21" s="71"/>
      <c r="H21" s="71"/>
    </row>
    <row r="22" spans="1:8" x14ac:dyDescent="0.3">
      <c r="A22" s="62" t="s">
        <v>321</v>
      </c>
      <c r="B22" s="63" t="s">
        <v>48</v>
      </c>
      <c r="C22" s="63" t="s">
        <v>202</v>
      </c>
      <c r="D22" s="70"/>
      <c r="E22" s="70"/>
      <c r="F22" s="70"/>
      <c r="G22" s="70"/>
      <c r="H22" s="70"/>
    </row>
    <row r="23" spans="1:8" x14ac:dyDescent="0.3">
      <c r="A23" s="64" t="s">
        <v>322</v>
      </c>
      <c r="B23" s="65" t="s">
        <v>48</v>
      </c>
      <c r="C23" s="65" t="s">
        <v>136</v>
      </c>
      <c r="D23" s="71"/>
      <c r="E23" s="71"/>
      <c r="F23" s="71"/>
      <c r="G23" s="71"/>
      <c r="H23" s="71"/>
    </row>
    <row r="24" spans="1:8" x14ac:dyDescent="0.3">
      <c r="A24" s="62" t="s">
        <v>323</v>
      </c>
      <c r="B24" s="63" t="s">
        <v>48</v>
      </c>
      <c r="C24" s="63" t="s">
        <v>53</v>
      </c>
      <c r="D24" s="70"/>
      <c r="E24" s="70"/>
      <c r="F24" s="70"/>
      <c r="G24" s="70"/>
      <c r="H24" s="70"/>
    </row>
    <row r="25" spans="1:8" x14ac:dyDescent="0.3">
      <c r="A25" s="64" t="s">
        <v>324</v>
      </c>
      <c r="B25" s="65" t="s">
        <v>48</v>
      </c>
      <c r="C25" s="65" t="s">
        <v>206</v>
      </c>
      <c r="D25" s="71"/>
      <c r="E25" s="71"/>
      <c r="F25" s="71"/>
      <c r="G25" s="71"/>
      <c r="H25" s="71"/>
    </row>
    <row r="26" spans="1:8" x14ac:dyDescent="0.3">
      <c r="A26" s="62" t="s">
        <v>325</v>
      </c>
      <c r="B26" s="63" t="s">
        <v>48</v>
      </c>
      <c r="C26" s="63" t="s">
        <v>156</v>
      </c>
      <c r="D26" s="70"/>
      <c r="E26" s="70"/>
      <c r="F26" s="70"/>
      <c r="G26" s="70"/>
      <c r="H26" s="70"/>
    </row>
    <row r="27" spans="1:8" x14ac:dyDescent="0.3">
      <c r="A27" s="64" t="s">
        <v>326</v>
      </c>
      <c r="B27" s="65" t="s">
        <v>48</v>
      </c>
      <c r="C27" s="65" t="s">
        <v>118</v>
      </c>
      <c r="D27" s="71"/>
      <c r="E27" s="71"/>
      <c r="F27" s="71"/>
      <c r="G27" s="71"/>
      <c r="H27" s="71"/>
    </row>
    <row r="28" spans="1:8" x14ac:dyDescent="0.3">
      <c r="A28" s="62" t="s">
        <v>327</v>
      </c>
      <c r="B28" s="63" t="s">
        <v>48</v>
      </c>
      <c r="C28" s="63" t="s">
        <v>88</v>
      </c>
      <c r="D28" s="70"/>
      <c r="E28" s="70"/>
      <c r="F28" s="70"/>
      <c r="G28" s="70"/>
      <c r="H28" s="70"/>
    </row>
    <row r="29" spans="1:8" x14ac:dyDescent="0.3">
      <c r="A29" s="64" t="s">
        <v>328</v>
      </c>
      <c r="B29" s="65" t="s">
        <v>48</v>
      </c>
      <c r="C29" s="65" t="s">
        <v>89</v>
      </c>
      <c r="D29" s="71"/>
      <c r="E29" s="71"/>
      <c r="F29" s="71"/>
      <c r="G29" s="71"/>
      <c r="H29" s="71"/>
    </row>
    <row r="30" spans="1:8" x14ac:dyDescent="0.3">
      <c r="A30" s="62" t="s">
        <v>329</v>
      </c>
      <c r="B30" s="63" t="s">
        <v>48</v>
      </c>
      <c r="C30" s="63" t="s">
        <v>97</v>
      </c>
      <c r="D30" s="70"/>
      <c r="E30" s="70"/>
      <c r="F30" s="70"/>
      <c r="G30" s="70"/>
      <c r="H30" s="70"/>
    </row>
    <row r="31" spans="1:8" x14ac:dyDescent="0.3">
      <c r="A31" s="64" t="s">
        <v>330</v>
      </c>
      <c r="B31" s="65" t="s">
        <v>48</v>
      </c>
      <c r="C31" s="65" t="s">
        <v>119</v>
      </c>
      <c r="D31" s="71"/>
      <c r="E31" s="71"/>
      <c r="F31" s="71"/>
      <c r="G31" s="71"/>
      <c r="H31" s="71"/>
    </row>
    <row r="32" spans="1:8" x14ac:dyDescent="0.3">
      <c r="A32" s="62" t="s">
        <v>331</v>
      </c>
      <c r="B32" s="63" t="s">
        <v>48</v>
      </c>
      <c r="C32" s="63" t="s">
        <v>77</v>
      </c>
      <c r="D32" s="70"/>
      <c r="E32" s="70"/>
      <c r="F32" s="70"/>
      <c r="G32" s="70"/>
      <c r="H32" s="70"/>
    </row>
    <row r="33" spans="1:8" x14ac:dyDescent="0.3">
      <c r="A33" s="64" t="s">
        <v>332</v>
      </c>
      <c r="B33" s="65" t="s">
        <v>48</v>
      </c>
      <c r="C33" s="65" t="s">
        <v>210</v>
      </c>
      <c r="D33" s="71"/>
      <c r="E33" s="71"/>
      <c r="F33" s="71"/>
      <c r="G33" s="71"/>
      <c r="H33" s="71"/>
    </row>
    <row r="34" spans="1:8" x14ac:dyDescent="0.3">
      <c r="A34" s="62" t="s">
        <v>333</v>
      </c>
      <c r="B34" s="63" t="s">
        <v>48</v>
      </c>
      <c r="C34" s="63" t="s">
        <v>90</v>
      </c>
      <c r="D34" s="70"/>
      <c r="E34" s="70"/>
      <c r="F34" s="70"/>
      <c r="G34" s="70"/>
      <c r="H34" s="70"/>
    </row>
    <row r="35" spans="1:8" x14ac:dyDescent="0.3">
      <c r="A35" s="64" t="s">
        <v>334</v>
      </c>
      <c r="B35" s="65" t="s">
        <v>48</v>
      </c>
      <c r="C35" s="65" t="s">
        <v>99</v>
      </c>
      <c r="D35" s="71"/>
      <c r="E35" s="71"/>
      <c r="F35" s="71"/>
      <c r="G35" s="71"/>
      <c r="H35" s="71"/>
    </row>
    <row r="36" spans="1:8" x14ac:dyDescent="0.3">
      <c r="A36" s="62" t="s">
        <v>335</v>
      </c>
      <c r="B36" s="63" t="s">
        <v>48</v>
      </c>
      <c r="C36" s="63" t="s">
        <v>79</v>
      </c>
      <c r="D36" s="70"/>
      <c r="E36" s="70"/>
      <c r="F36" s="70"/>
      <c r="G36" s="70"/>
      <c r="H36" s="70"/>
    </row>
    <row r="37" spans="1:8" x14ac:dyDescent="0.3">
      <c r="A37" s="64" t="s">
        <v>336</v>
      </c>
      <c r="B37" s="65" t="s">
        <v>48</v>
      </c>
      <c r="C37" s="65" t="s">
        <v>211</v>
      </c>
      <c r="D37" s="71"/>
      <c r="E37" s="71"/>
      <c r="F37" s="71"/>
      <c r="G37" s="71"/>
      <c r="H37" s="71"/>
    </row>
    <row r="38" spans="1:8" x14ac:dyDescent="0.3">
      <c r="A38" s="62" t="s">
        <v>337</v>
      </c>
      <c r="B38" s="63" t="s">
        <v>48</v>
      </c>
      <c r="C38" s="63" t="s">
        <v>91</v>
      </c>
      <c r="D38" s="70"/>
      <c r="E38" s="70"/>
      <c r="F38" s="70"/>
      <c r="G38" s="70"/>
      <c r="H38" s="70"/>
    </row>
    <row r="39" spans="1:8" x14ac:dyDescent="0.3">
      <c r="A39" s="64" t="s">
        <v>338</v>
      </c>
      <c r="B39" s="65" t="s">
        <v>48</v>
      </c>
      <c r="C39" s="65" t="s">
        <v>212</v>
      </c>
      <c r="D39" s="71"/>
      <c r="E39" s="71"/>
      <c r="F39" s="71"/>
      <c r="G39" s="71"/>
      <c r="H39" s="71"/>
    </row>
    <row r="40" spans="1:8" x14ac:dyDescent="0.3">
      <c r="A40" s="62" t="s">
        <v>339</v>
      </c>
      <c r="B40" s="63" t="s">
        <v>48</v>
      </c>
      <c r="C40" s="63" t="s">
        <v>101</v>
      </c>
      <c r="D40" s="70"/>
      <c r="E40" s="70"/>
      <c r="F40" s="70"/>
      <c r="G40" s="70"/>
      <c r="H40" s="70"/>
    </row>
    <row r="41" spans="1:8" x14ac:dyDescent="0.3">
      <c r="A41" s="64" t="s">
        <v>340</v>
      </c>
      <c r="B41" s="65" t="s">
        <v>48</v>
      </c>
      <c r="C41" s="65" t="s">
        <v>102</v>
      </c>
      <c r="D41" s="71"/>
      <c r="E41" s="71"/>
      <c r="F41" s="71"/>
      <c r="G41" s="71"/>
      <c r="H41" s="71"/>
    </row>
    <row r="42" spans="1:8" x14ac:dyDescent="0.3">
      <c r="A42" s="62" t="s">
        <v>341</v>
      </c>
      <c r="B42" s="63" t="s">
        <v>48</v>
      </c>
      <c r="C42" s="63" t="s">
        <v>213</v>
      </c>
      <c r="D42" s="70"/>
      <c r="E42" s="70"/>
      <c r="F42" s="70"/>
      <c r="G42" s="70"/>
      <c r="H42" s="70"/>
    </row>
    <row r="43" spans="1:8" x14ac:dyDescent="0.3">
      <c r="A43" s="64" t="s">
        <v>342</v>
      </c>
      <c r="B43" s="65" t="s">
        <v>48</v>
      </c>
      <c r="C43" s="65" t="s">
        <v>109</v>
      </c>
      <c r="D43" s="71"/>
      <c r="E43" s="71"/>
      <c r="F43" s="71"/>
      <c r="G43" s="71"/>
      <c r="H43" s="71"/>
    </row>
    <row r="44" spans="1:8" x14ac:dyDescent="0.3">
      <c r="A44" s="62" t="s">
        <v>343</v>
      </c>
      <c r="B44" s="63" t="s">
        <v>48</v>
      </c>
      <c r="C44" s="63" t="s">
        <v>110</v>
      </c>
      <c r="D44" s="70"/>
      <c r="E44" s="70"/>
      <c r="F44" s="70"/>
      <c r="G44" s="70"/>
      <c r="H44" s="70"/>
    </row>
    <row r="45" spans="1:8" x14ac:dyDescent="0.3">
      <c r="A45" s="64" t="s">
        <v>344</v>
      </c>
      <c r="B45" s="65" t="s">
        <v>48</v>
      </c>
      <c r="C45" s="65" t="s">
        <v>114</v>
      </c>
      <c r="D45" s="71"/>
      <c r="E45" s="71"/>
      <c r="F45" s="71"/>
      <c r="G45" s="71"/>
      <c r="H45" s="71"/>
    </row>
    <row r="46" spans="1:8" x14ac:dyDescent="0.3">
      <c r="A46" s="62" t="s">
        <v>345</v>
      </c>
      <c r="B46" s="63" t="s">
        <v>48</v>
      </c>
      <c r="C46" s="63" t="s">
        <v>121</v>
      </c>
      <c r="D46" s="70"/>
      <c r="E46" s="70"/>
      <c r="F46" s="70"/>
      <c r="G46" s="70"/>
      <c r="H46" s="70"/>
    </row>
    <row r="47" spans="1:8" x14ac:dyDescent="0.3">
      <c r="A47" s="64" t="s">
        <v>346</v>
      </c>
      <c r="B47" s="65" t="s">
        <v>48</v>
      </c>
      <c r="C47" s="65" t="s">
        <v>82</v>
      </c>
      <c r="D47" s="71"/>
      <c r="E47" s="71"/>
      <c r="F47" s="71"/>
      <c r="G47" s="71"/>
      <c r="H47" s="71"/>
    </row>
    <row r="48" spans="1:8" x14ac:dyDescent="0.3">
      <c r="A48" s="62" t="s">
        <v>347</v>
      </c>
      <c r="B48" s="63" t="s">
        <v>48</v>
      </c>
      <c r="C48" s="63" t="s">
        <v>66</v>
      </c>
      <c r="D48" s="70"/>
      <c r="E48" s="70"/>
      <c r="F48" s="70"/>
      <c r="G48" s="70"/>
      <c r="H48" s="70"/>
    </row>
    <row r="49" spans="1:8" x14ac:dyDescent="0.3">
      <c r="A49" s="64" t="s">
        <v>348</v>
      </c>
      <c r="B49" s="65" t="s">
        <v>48</v>
      </c>
      <c r="C49" s="65" t="s">
        <v>105</v>
      </c>
      <c r="D49" s="71"/>
      <c r="E49" s="71"/>
      <c r="F49" s="71"/>
      <c r="G49" s="71"/>
      <c r="H49" s="71"/>
    </row>
    <row r="50" spans="1:8" x14ac:dyDescent="0.3">
      <c r="A50" s="62" t="s">
        <v>349</v>
      </c>
      <c r="B50" s="63" t="s">
        <v>45</v>
      </c>
      <c r="C50" s="63" t="s">
        <v>214</v>
      </c>
      <c r="D50" s="70"/>
      <c r="E50" s="70"/>
      <c r="F50" s="70"/>
      <c r="G50" s="70"/>
      <c r="H50" s="70"/>
    </row>
    <row r="51" spans="1:8" x14ac:dyDescent="0.3">
      <c r="A51" s="64" t="s">
        <v>350</v>
      </c>
      <c r="B51" s="65" t="s">
        <v>45</v>
      </c>
      <c r="C51" s="65" t="s">
        <v>215</v>
      </c>
      <c r="D51" s="71"/>
      <c r="E51" s="71"/>
      <c r="F51" s="71"/>
      <c r="G51" s="71"/>
      <c r="H51" s="71"/>
    </row>
    <row r="52" spans="1:8" x14ac:dyDescent="0.3">
      <c r="A52" s="62" t="s">
        <v>351</v>
      </c>
      <c r="B52" s="63" t="s">
        <v>45</v>
      </c>
      <c r="C52" s="63" t="s">
        <v>216</v>
      </c>
      <c r="D52" s="70"/>
      <c r="E52" s="70"/>
      <c r="F52" s="70"/>
      <c r="G52" s="70"/>
      <c r="H52" s="70"/>
    </row>
    <row r="53" spans="1:8" x14ac:dyDescent="0.3">
      <c r="A53" s="64" t="s">
        <v>352</v>
      </c>
      <c r="B53" s="65" t="s">
        <v>45</v>
      </c>
      <c r="C53" s="65" t="s">
        <v>217</v>
      </c>
      <c r="D53" s="71"/>
      <c r="E53" s="71"/>
      <c r="F53" s="71"/>
      <c r="G53" s="71"/>
      <c r="H53" s="71"/>
    </row>
    <row r="54" spans="1:8" x14ac:dyDescent="0.3">
      <c r="A54" s="62" t="s">
        <v>353</v>
      </c>
      <c r="B54" s="63" t="s">
        <v>45</v>
      </c>
      <c r="C54" s="63" t="s">
        <v>218</v>
      </c>
      <c r="D54" s="70"/>
      <c r="E54" s="70"/>
      <c r="F54" s="70"/>
      <c r="G54" s="70"/>
      <c r="H54" s="70"/>
    </row>
    <row r="55" spans="1:8" x14ac:dyDescent="0.3">
      <c r="A55" s="64" t="s">
        <v>354</v>
      </c>
      <c r="B55" s="65" t="s">
        <v>45</v>
      </c>
      <c r="C55" s="65" t="s">
        <v>158</v>
      </c>
      <c r="D55" s="71"/>
      <c r="E55" s="71"/>
      <c r="F55" s="71"/>
      <c r="G55" s="71"/>
      <c r="H55" s="71"/>
    </row>
    <row r="56" spans="1:8" x14ac:dyDescent="0.3">
      <c r="A56" s="62" t="s">
        <v>355</v>
      </c>
      <c r="B56" s="63" t="s">
        <v>45</v>
      </c>
      <c r="C56" s="63" t="s">
        <v>219</v>
      </c>
      <c r="D56" s="70"/>
      <c r="E56" s="70"/>
      <c r="F56" s="70"/>
      <c r="G56" s="70"/>
      <c r="H56" s="70"/>
    </row>
    <row r="57" spans="1:8" x14ac:dyDescent="0.3">
      <c r="A57" s="64" t="s">
        <v>205</v>
      </c>
      <c r="B57" s="65" t="s">
        <v>45</v>
      </c>
      <c r="C57" s="65" t="s">
        <v>220</v>
      </c>
      <c r="D57" s="71"/>
      <c r="E57" s="71"/>
      <c r="F57" s="71"/>
      <c r="G57" s="71"/>
      <c r="H57" s="71"/>
    </row>
    <row r="58" spans="1:8" x14ac:dyDescent="0.3">
      <c r="A58" s="62" t="s">
        <v>356</v>
      </c>
      <c r="B58" s="63" t="s">
        <v>45</v>
      </c>
      <c r="C58" s="63" t="s">
        <v>221</v>
      </c>
      <c r="D58" s="70"/>
      <c r="E58" s="70"/>
      <c r="F58" s="70"/>
      <c r="G58" s="70"/>
      <c r="H58" s="70"/>
    </row>
    <row r="59" spans="1:8" x14ac:dyDescent="0.3">
      <c r="A59" s="64" t="s">
        <v>357</v>
      </c>
      <c r="B59" s="65" t="s">
        <v>45</v>
      </c>
      <c r="C59" s="65" t="s">
        <v>46</v>
      </c>
      <c r="D59" s="71"/>
      <c r="E59" s="71"/>
      <c r="F59" s="71"/>
      <c r="G59" s="71"/>
      <c r="H59" s="71"/>
    </row>
    <row r="60" spans="1:8" x14ac:dyDescent="0.3">
      <c r="A60" s="62" t="s">
        <v>358</v>
      </c>
      <c r="B60" s="63" t="s">
        <v>45</v>
      </c>
      <c r="C60" s="63" t="s">
        <v>123</v>
      </c>
      <c r="D60" s="70"/>
      <c r="E60" s="70"/>
      <c r="F60" s="70"/>
      <c r="G60" s="70"/>
      <c r="H60" s="70"/>
    </row>
    <row r="61" spans="1:8" x14ac:dyDescent="0.3">
      <c r="A61" s="64" t="s">
        <v>359</v>
      </c>
      <c r="B61" s="65" t="s">
        <v>45</v>
      </c>
      <c r="C61" s="65" t="s">
        <v>222</v>
      </c>
      <c r="D61" s="71"/>
      <c r="E61" s="71"/>
      <c r="F61" s="71"/>
      <c r="G61" s="71"/>
      <c r="H61" s="71"/>
    </row>
    <row r="62" spans="1:8" x14ac:dyDescent="0.3">
      <c r="A62" s="62" t="s">
        <v>360</v>
      </c>
      <c r="B62" s="63" t="s">
        <v>45</v>
      </c>
      <c r="C62" s="63" t="s">
        <v>223</v>
      </c>
      <c r="D62" s="70"/>
      <c r="E62" s="70"/>
      <c r="F62" s="70"/>
      <c r="G62" s="70"/>
      <c r="H62" s="70"/>
    </row>
    <row r="63" spans="1:8" x14ac:dyDescent="0.3">
      <c r="A63" s="64" t="s">
        <v>361</v>
      </c>
      <c r="B63" s="65" t="s">
        <v>45</v>
      </c>
      <c r="C63" s="65" t="s">
        <v>162</v>
      </c>
      <c r="D63" s="71"/>
      <c r="E63" s="71"/>
      <c r="F63" s="71"/>
      <c r="G63" s="71"/>
      <c r="H63" s="71"/>
    </row>
    <row r="64" spans="1:8" x14ac:dyDescent="0.3">
      <c r="A64" s="62" t="s">
        <v>362</v>
      </c>
      <c r="B64" s="63" t="s">
        <v>45</v>
      </c>
      <c r="C64" s="63" t="s">
        <v>124</v>
      </c>
      <c r="D64" s="70"/>
      <c r="E64" s="70"/>
      <c r="F64" s="70"/>
      <c r="G64" s="70"/>
      <c r="H64" s="70"/>
    </row>
    <row r="65" spans="1:8" x14ac:dyDescent="0.3">
      <c r="A65" s="64" t="s">
        <v>363</v>
      </c>
      <c r="B65" s="65" t="s">
        <v>45</v>
      </c>
      <c r="C65" s="65" t="s">
        <v>47</v>
      </c>
      <c r="D65" s="71"/>
      <c r="E65" s="71"/>
      <c r="F65" s="71"/>
      <c r="G65" s="71"/>
      <c r="H65" s="71"/>
    </row>
    <row r="66" spans="1:8" x14ac:dyDescent="0.3">
      <c r="A66" s="62" t="s">
        <v>364</v>
      </c>
      <c r="B66" s="63" t="s">
        <v>45</v>
      </c>
      <c r="C66" s="63" t="s">
        <v>224</v>
      </c>
      <c r="D66" s="70"/>
      <c r="E66" s="70"/>
      <c r="F66" s="70"/>
      <c r="G66" s="70"/>
      <c r="H66" s="70"/>
    </row>
    <row r="67" spans="1:8" x14ac:dyDescent="0.3">
      <c r="A67" s="64" t="s">
        <v>365</v>
      </c>
      <c r="B67" s="65" t="s">
        <v>45</v>
      </c>
      <c r="C67" s="65" t="s">
        <v>50</v>
      </c>
      <c r="D67" s="71"/>
      <c r="E67" s="71"/>
      <c r="F67" s="71"/>
      <c r="G67" s="71"/>
      <c r="H67" s="71"/>
    </row>
    <row r="68" spans="1:8" x14ac:dyDescent="0.3">
      <c r="A68" s="62" t="s">
        <v>366</v>
      </c>
      <c r="B68" s="63" t="s">
        <v>45</v>
      </c>
      <c r="C68" s="63" t="s">
        <v>225</v>
      </c>
      <c r="D68" s="70"/>
      <c r="E68" s="70"/>
      <c r="F68" s="70"/>
      <c r="G68" s="70"/>
      <c r="H68" s="70"/>
    </row>
    <row r="69" spans="1:8" x14ac:dyDescent="0.3">
      <c r="A69" s="64" t="s">
        <v>367</v>
      </c>
      <c r="B69" s="65" t="s">
        <v>45</v>
      </c>
      <c r="C69" s="65" t="s">
        <v>154</v>
      </c>
      <c r="D69" s="71"/>
      <c r="E69" s="71"/>
      <c r="F69" s="71"/>
      <c r="G69" s="71"/>
      <c r="H69" s="71"/>
    </row>
    <row r="70" spans="1:8" x14ac:dyDescent="0.3">
      <c r="A70" s="62" t="s">
        <v>368</v>
      </c>
      <c r="B70" s="63" t="s">
        <v>45</v>
      </c>
      <c r="C70" s="63" t="s">
        <v>51</v>
      </c>
      <c r="D70" s="70"/>
      <c r="E70" s="70"/>
      <c r="F70" s="70"/>
      <c r="G70" s="70"/>
      <c r="H70" s="70"/>
    </row>
    <row r="71" spans="1:8" x14ac:dyDescent="0.3">
      <c r="A71" s="64" t="s">
        <v>369</v>
      </c>
      <c r="B71" s="65" t="s">
        <v>45</v>
      </c>
      <c r="C71" s="65" t="s">
        <v>226</v>
      </c>
      <c r="D71" s="71"/>
      <c r="E71" s="71"/>
      <c r="F71" s="71"/>
      <c r="G71" s="71"/>
      <c r="H71" s="71"/>
    </row>
    <row r="72" spans="1:8" x14ac:dyDescent="0.3">
      <c r="A72" s="62" t="s">
        <v>370</v>
      </c>
      <c r="B72" s="63" t="s">
        <v>45</v>
      </c>
      <c r="C72" s="63" t="s">
        <v>125</v>
      </c>
      <c r="D72" s="70"/>
      <c r="E72" s="70"/>
      <c r="F72" s="70"/>
      <c r="G72" s="70"/>
      <c r="H72" s="70"/>
    </row>
    <row r="73" spans="1:8" x14ac:dyDescent="0.3">
      <c r="A73" s="64" t="s">
        <v>371</v>
      </c>
      <c r="B73" s="65" t="s">
        <v>45</v>
      </c>
      <c r="C73" s="65" t="s">
        <v>372</v>
      </c>
      <c r="D73" s="71"/>
      <c r="E73" s="71"/>
      <c r="F73" s="71"/>
      <c r="G73" s="71"/>
      <c r="H73" s="71"/>
    </row>
    <row r="74" spans="1:8" x14ac:dyDescent="0.3">
      <c r="A74" s="62" t="s">
        <v>373</v>
      </c>
      <c r="B74" s="63" t="s">
        <v>45</v>
      </c>
      <c r="C74" s="63" t="s">
        <v>140</v>
      </c>
      <c r="D74" s="70"/>
      <c r="E74" s="70"/>
      <c r="F74" s="70"/>
      <c r="G74" s="70"/>
      <c r="H74" s="70"/>
    </row>
    <row r="75" spans="1:8" x14ac:dyDescent="0.3">
      <c r="A75" s="64" t="s">
        <v>374</v>
      </c>
      <c r="B75" s="65" t="s">
        <v>45</v>
      </c>
      <c r="C75" s="65" t="s">
        <v>160</v>
      </c>
      <c r="D75" s="71"/>
      <c r="E75" s="71"/>
      <c r="F75" s="71"/>
      <c r="G75" s="71"/>
      <c r="H75" s="71"/>
    </row>
    <row r="76" spans="1:8" x14ac:dyDescent="0.3">
      <c r="A76" s="62" t="s">
        <v>375</v>
      </c>
      <c r="B76" s="63" t="s">
        <v>45</v>
      </c>
      <c r="C76" s="63" t="s">
        <v>227</v>
      </c>
      <c r="D76" s="70"/>
      <c r="E76" s="70"/>
      <c r="F76" s="70"/>
      <c r="G76" s="70"/>
      <c r="H76" s="70"/>
    </row>
    <row r="77" spans="1:8" x14ac:dyDescent="0.3">
      <c r="A77" s="64" t="s">
        <v>376</v>
      </c>
      <c r="B77" s="65" t="s">
        <v>45</v>
      </c>
      <c r="C77" s="65" t="s">
        <v>228</v>
      </c>
      <c r="D77" s="71"/>
      <c r="E77" s="71"/>
      <c r="F77" s="71"/>
      <c r="G77" s="71"/>
      <c r="H77" s="71"/>
    </row>
    <row r="78" spans="1:8" x14ac:dyDescent="0.3">
      <c r="A78" s="62" t="s">
        <v>377</v>
      </c>
      <c r="B78" s="63" t="s">
        <v>45</v>
      </c>
      <c r="C78" s="63" t="s">
        <v>229</v>
      </c>
      <c r="D78" s="70"/>
      <c r="E78" s="70"/>
      <c r="F78" s="70"/>
      <c r="G78" s="70"/>
      <c r="H78" s="70"/>
    </row>
    <row r="79" spans="1:8" x14ac:dyDescent="0.3">
      <c r="A79" s="64" t="s">
        <v>378</v>
      </c>
      <c r="B79" s="65" t="s">
        <v>45</v>
      </c>
      <c r="C79" s="65" t="s">
        <v>230</v>
      </c>
      <c r="D79" s="71"/>
      <c r="E79" s="71"/>
      <c r="F79" s="71"/>
      <c r="G79" s="71"/>
      <c r="H79" s="71"/>
    </row>
    <row r="80" spans="1:8" x14ac:dyDescent="0.3">
      <c r="A80" s="62" t="s">
        <v>379</v>
      </c>
      <c r="B80" s="63" t="s">
        <v>45</v>
      </c>
      <c r="C80" s="63" t="s">
        <v>231</v>
      </c>
      <c r="D80" s="70"/>
      <c r="E80" s="70"/>
      <c r="F80" s="70"/>
      <c r="G80" s="70"/>
      <c r="H80" s="70"/>
    </row>
    <row r="81" spans="1:8" x14ac:dyDescent="0.3">
      <c r="A81" s="64" t="s">
        <v>380</v>
      </c>
      <c r="B81" s="65" t="s">
        <v>45</v>
      </c>
      <c r="C81" s="65" t="s">
        <v>232</v>
      </c>
      <c r="D81" s="71"/>
      <c r="E81" s="71"/>
      <c r="F81" s="71"/>
      <c r="G81" s="71"/>
      <c r="H81" s="71"/>
    </row>
    <row r="82" spans="1:8" x14ac:dyDescent="0.3">
      <c r="A82" s="62" t="s">
        <v>174</v>
      </c>
      <c r="B82" s="63" t="s">
        <v>45</v>
      </c>
      <c r="C82" s="63" t="s">
        <v>233</v>
      </c>
      <c r="D82" s="70"/>
      <c r="E82" s="70"/>
      <c r="F82" s="70"/>
      <c r="G82" s="70"/>
      <c r="H82" s="70"/>
    </row>
    <row r="83" spans="1:8" x14ac:dyDescent="0.3">
      <c r="A83" s="64" t="s">
        <v>381</v>
      </c>
      <c r="B83" s="65" t="s">
        <v>45</v>
      </c>
      <c r="C83" s="65" t="s">
        <v>141</v>
      </c>
      <c r="D83" s="71"/>
      <c r="E83" s="71"/>
      <c r="F83" s="71"/>
      <c r="G83" s="71"/>
      <c r="H83" s="71"/>
    </row>
    <row r="84" spans="1:8" x14ac:dyDescent="0.3">
      <c r="A84" s="62" t="s">
        <v>382</v>
      </c>
      <c r="B84" s="63" t="s">
        <v>45</v>
      </c>
      <c r="C84" s="63" t="s">
        <v>128</v>
      </c>
      <c r="D84" s="70"/>
      <c r="E84" s="70"/>
      <c r="F84" s="70"/>
      <c r="G84" s="70"/>
      <c r="H84" s="70"/>
    </row>
    <row r="85" spans="1:8" x14ac:dyDescent="0.3">
      <c r="A85" s="64" t="s">
        <v>383</v>
      </c>
      <c r="B85" s="65" t="s">
        <v>37</v>
      </c>
      <c r="C85" s="65" t="s">
        <v>107</v>
      </c>
      <c r="D85" s="71"/>
      <c r="E85" s="71"/>
      <c r="F85" s="71"/>
      <c r="G85" s="71"/>
      <c r="H85" s="71"/>
    </row>
    <row r="86" spans="1:8" x14ac:dyDescent="0.3">
      <c r="A86" s="62" t="s">
        <v>175</v>
      </c>
      <c r="B86" s="63" t="s">
        <v>37</v>
      </c>
      <c r="C86" s="63" t="s">
        <v>234</v>
      </c>
      <c r="D86" s="70"/>
      <c r="E86" s="70"/>
      <c r="F86" s="70"/>
      <c r="G86" s="70"/>
      <c r="H86" s="70"/>
    </row>
    <row r="87" spans="1:8" x14ac:dyDescent="0.3">
      <c r="A87" s="64" t="s">
        <v>384</v>
      </c>
      <c r="B87" s="65" t="s">
        <v>37</v>
      </c>
      <c r="C87" s="65" t="s">
        <v>44</v>
      </c>
      <c r="D87" s="71"/>
      <c r="E87" s="71"/>
      <c r="F87" s="71"/>
      <c r="G87" s="71"/>
      <c r="H87" s="71"/>
    </row>
    <row r="88" spans="1:8" x14ac:dyDescent="0.3">
      <c r="A88" s="62" t="s">
        <v>385</v>
      </c>
      <c r="B88" s="63" t="s">
        <v>37</v>
      </c>
      <c r="C88" s="63" t="s">
        <v>112</v>
      </c>
      <c r="D88" s="70"/>
      <c r="E88" s="70"/>
      <c r="F88" s="70"/>
      <c r="G88" s="70"/>
      <c r="H88" s="70"/>
    </row>
    <row r="89" spans="1:8" x14ac:dyDescent="0.3">
      <c r="A89" s="64" t="s">
        <v>386</v>
      </c>
      <c r="B89" s="65" t="s">
        <v>37</v>
      </c>
      <c r="C89" s="65" t="s">
        <v>235</v>
      </c>
      <c r="D89" s="71"/>
      <c r="E89" s="71"/>
      <c r="F89" s="71"/>
      <c r="G89" s="71"/>
      <c r="H89" s="71"/>
    </row>
    <row r="90" spans="1:8" x14ac:dyDescent="0.3">
      <c r="A90" s="62" t="s">
        <v>387</v>
      </c>
      <c r="B90" s="63" t="s">
        <v>37</v>
      </c>
      <c r="C90" s="63" t="s">
        <v>236</v>
      </c>
      <c r="D90" s="70"/>
      <c r="E90" s="70"/>
      <c r="F90" s="70"/>
      <c r="G90" s="70"/>
      <c r="H90" s="70"/>
    </row>
    <row r="91" spans="1:8" x14ac:dyDescent="0.3">
      <c r="A91" s="64" t="s">
        <v>198</v>
      </c>
      <c r="B91" s="65" t="s">
        <v>37</v>
      </c>
      <c r="C91" s="65" t="s">
        <v>237</v>
      </c>
      <c r="D91" s="71"/>
      <c r="E91" s="71"/>
      <c r="F91" s="71"/>
      <c r="G91" s="71"/>
      <c r="H91" s="71"/>
    </row>
    <row r="92" spans="1:8" x14ac:dyDescent="0.3">
      <c r="A92" s="62" t="s">
        <v>388</v>
      </c>
      <c r="B92" s="63" t="s">
        <v>37</v>
      </c>
      <c r="C92" s="63" t="s">
        <v>238</v>
      </c>
      <c r="D92" s="70"/>
      <c r="E92" s="70"/>
      <c r="F92" s="70"/>
      <c r="G92" s="70"/>
      <c r="H92" s="70"/>
    </row>
    <row r="93" spans="1:8" x14ac:dyDescent="0.3">
      <c r="A93" s="64" t="s">
        <v>389</v>
      </c>
      <c r="B93" s="65" t="s">
        <v>37</v>
      </c>
      <c r="C93" s="65" t="s">
        <v>239</v>
      </c>
      <c r="D93" s="71"/>
      <c r="E93" s="71"/>
      <c r="F93" s="71"/>
      <c r="G93" s="71"/>
      <c r="H93" s="71"/>
    </row>
    <row r="94" spans="1:8" x14ac:dyDescent="0.3">
      <c r="A94" s="62" t="s">
        <v>390</v>
      </c>
      <c r="B94" s="63" t="s">
        <v>37</v>
      </c>
      <c r="C94" s="63" t="s">
        <v>163</v>
      </c>
      <c r="D94" s="70"/>
      <c r="E94" s="70"/>
      <c r="F94" s="70"/>
      <c r="G94" s="70"/>
      <c r="H94" s="70"/>
    </row>
    <row r="95" spans="1:8" x14ac:dyDescent="0.3">
      <c r="A95" s="64" t="s">
        <v>391</v>
      </c>
      <c r="B95" s="65" t="s">
        <v>37</v>
      </c>
      <c r="C95" s="65" t="s">
        <v>52</v>
      </c>
      <c r="D95" s="71"/>
      <c r="E95" s="71"/>
      <c r="F95" s="71"/>
      <c r="G95" s="71"/>
      <c r="H95" s="71"/>
    </row>
    <row r="96" spans="1:8" x14ac:dyDescent="0.3">
      <c r="A96" s="62" t="s">
        <v>190</v>
      </c>
      <c r="B96" s="63" t="s">
        <v>37</v>
      </c>
      <c r="C96" s="63" t="s">
        <v>240</v>
      </c>
      <c r="D96" s="70"/>
      <c r="E96" s="70"/>
      <c r="F96" s="70"/>
      <c r="G96" s="70"/>
      <c r="H96" s="70"/>
    </row>
    <row r="97" spans="1:8" x14ac:dyDescent="0.3">
      <c r="A97" s="64" t="s">
        <v>392</v>
      </c>
      <c r="B97" s="65" t="s">
        <v>37</v>
      </c>
      <c r="C97" s="65" t="s">
        <v>241</v>
      </c>
      <c r="D97" s="71"/>
      <c r="E97" s="71"/>
      <c r="F97" s="71"/>
      <c r="G97" s="71"/>
      <c r="H97" s="71"/>
    </row>
    <row r="98" spans="1:8" x14ac:dyDescent="0.3">
      <c r="A98" s="62" t="s">
        <v>393</v>
      </c>
      <c r="B98" s="63" t="s">
        <v>37</v>
      </c>
      <c r="C98" s="63" t="s">
        <v>242</v>
      </c>
      <c r="D98" s="70"/>
      <c r="E98" s="70"/>
      <c r="F98" s="70"/>
      <c r="G98" s="70"/>
      <c r="H98" s="70"/>
    </row>
    <row r="99" spans="1:8" x14ac:dyDescent="0.3">
      <c r="A99" s="64" t="s">
        <v>208</v>
      </c>
      <c r="B99" s="65" t="s">
        <v>37</v>
      </c>
      <c r="C99" s="65" t="s">
        <v>243</v>
      </c>
      <c r="D99" s="71"/>
      <c r="E99" s="71"/>
      <c r="F99" s="71"/>
      <c r="G99" s="71"/>
      <c r="H99" s="71"/>
    </row>
    <row r="100" spans="1:8" x14ac:dyDescent="0.3">
      <c r="A100" s="62" t="s">
        <v>394</v>
      </c>
      <c r="B100" s="63" t="s">
        <v>37</v>
      </c>
      <c r="C100" s="63" t="s">
        <v>159</v>
      </c>
      <c r="D100" s="70"/>
      <c r="E100" s="70"/>
      <c r="F100" s="70"/>
      <c r="G100" s="70"/>
      <c r="H100" s="70"/>
    </row>
    <row r="101" spans="1:8" x14ac:dyDescent="0.3">
      <c r="A101" s="64" t="s">
        <v>395</v>
      </c>
      <c r="B101" s="65" t="s">
        <v>37</v>
      </c>
      <c r="C101" s="65" t="s">
        <v>54</v>
      </c>
      <c r="D101" s="71"/>
      <c r="E101" s="71"/>
      <c r="F101" s="71"/>
      <c r="G101" s="71"/>
      <c r="H101" s="71"/>
    </row>
    <row r="102" spans="1:8" x14ac:dyDescent="0.3">
      <c r="A102" s="62" t="s">
        <v>396</v>
      </c>
      <c r="B102" s="63" t="s">
        <v>37</v>
      </c>
      <c r="C102" s="63" t="s">
        <v>244</v>
      </c>
      <c r="D102" s="70"/>
      <c r="E102" s="70"/>
      <c r="F102" s="70"/>
      <c r="G102" s="70"/>
      <c r="H102" s="70"/>
    </row>
    <row r="103" spans="1:8" x14ac:dyDescent="0.3">
      <c r="A103" s="64" t="s">
        <v>397</v>
      </c>
      <c r="B103" s="65" t="s">
        <v>37</v>
      </c>
      <c r="C103" s="65" t="s">
        <v>55</v>
      </c>
      <c r="D103" s="71"/>
      <c r="E103" s="71"/>
      <c r="F103" s="71"/>
      <c r="G103" s="71"/>
      <c r="H103" s="71"/>
    </row>
    <row r="104" spans="1:8" x14ac:dyDescent="0.3">
      <c r="A104" s="62" t="s">
        <v>398</v>
      </c>
      <c r="B104" s="63" t="s">
        <v>37</v>
      </c>
      <c r="C104" s="63" t="s">
        <v>56</v>
      </c>
      <c r="D104" s="70"/>
      <c r="E104" s="70"/>
      <c r="F104" s="70"/>
      <c r="G104" s="70"/>
      <c r="H104" s="70"/>
    </row>
    <row r="105" spans="1:8" x14ac:dyDescent="0.3">
      <c r="A105" s="64" t="s">
        <v>399</v>
      </c>
      <c r="B105" s="65" t="s">
        <v>37</v>
      </c>
      <c r="C105" s="65" t="s">
        <v>68</v>
      </c>
      <c r="D105" s="71"/>
      <c r="E105" s="71"/>
      <c r="F105" s="71"/>
      <c r="G105" s="71"/>
      <c r="H105" s="71"/>
    </row>
    <row r="106" spans="1:8" x14ac:dyDescent="0.3">
      <c r="A106" s="62" t="s">
        <v>400</v>
      </c>
      <c r="B106" s="63" t="s">
        <v>37</v>
      </c>
      <c r="C106" s="63" t="s">
        <v>108</v>
      </c>
      <c r="D106" s="70"/>
      <c r="E106" s="70"/>
      <c r="F106" s="70"/>
      <c r="G106" s="70"/>
      <c r="H106" s="70"/>
    </row>
    <row r="107" spans="1:8" x14ac:dyDescent="0.3">
      <c r="A107" s="64" t="s">
        <v>401</v>
      </c>
      <c r="B107" s="65" t="s">
        <v>37</v>
      </c>
      <c r="C107" s="65" t="s">
        <v>57</v>
      </c>
      <c r="D107" s="71"/>
      <c r="E107" s="71"/>
      <c r="F107" s="71"/>
      <c r="G107" s="71"/>
      <c r="H107" s="71"/>
    </row>
    <row r="108" spans="1:8" x14ac:dyDescent="0.3">
      <c r="A108" s="62" t="s">
        <v>402</v>
      </c>
      <c r="B108" s="63" t="s">
        <v>37</v>
      </c>
      <c r="C108" s="63" t="s">
        <v>245</v>
      </c>
      <c r="D108" s="70"/>
      <c r="E108" s="70"/>
      <c r="F108" s="70"/>
      <c r="G108" s="70"/>
      <c r="H108" s="70"/>
    </row>
    <row r="109" spans="1:8" x14ac:dyDescent="0.3">
      <c r="A109" s="64" t="s">
        <v>403</v>
      </c>
      <c r="B109" s="65" t="s">
        <v>37</v>
      </c>
      <c r="C109" s="65" t="s">
        <v>126</v>
      </c>
      <c r="D109" s="71"/>
      <c r="E109" s="71"/>
      <c r="F109" s="71"/>
      <c r="G109" s="71"/>
      <c r="H109" s="71"/>
    </row>
    <row r="110" spans="1:8" x14ac:dyDescent="0.3">
      <c r="A110" s="62" t="s">
        <v>404</v>
      </c>
      <c r="B110" s="63" t="s">
        <v>37</v>
      </c>
      <c r="C110" s="63" t="s">
        <v>58</v>
      </c>
      <c r="D110" s="70"/>
      <c r="E110" s="70"/>
      <c r="F110" s="70"/>
      <c r="G110" s="70"/>
      <c r="H110" s="70"/>
    </row>
    <row r="111" spans="1:8" x14ac:dyDescent="0.3">
      <c r="A111" s="64" t="s">
        <v>405</v>
      </c>
      <c r="B111" s="65" t="s">
        <v>37</v>
      </c>
      <c r="C111" s="65" t="s">
        <v>246</v>
      </c>
      <c r="D111" s="71"/>
      <c r="E111" s="71"/>
      <c r="F111" s="71"/>
      <c r="G111" s="71"/>
      <c r="H111" s="71"/>
    </row>
    <row r="112" spans="1:8" x14ac:dyDescent="0.3">
      <c r="A112" s="62" t="s">
        <v>406</v>
      </c>
      <c r="B112" s="63" t="s">
        <v>37</v>
      </c>
      <c r="C112" s="63" t="s">
        <v>61</v>
      </c>
      <c r="D112" s="70"/>
      <c r="E112" s="70"/>
      <c r="F112" s="70"/>
      <c r="G112" s="70"/>
      <c r="H112" s="70"/>
    </row>
    <row r="113" spans="1:8" x14ac:dyDescent="0.3">
      <c r="A113" s="64" t="s">
        <v>407</v>
      </c>
      <c r="B113" s="65" t="s">
        <v>37</v>
      </c>
      <c r="C113" s="65" t="s">
        <v>247</v>
      </c>
      <c r="D113" s="71"/>
      <c r="E113" s="71"/>
      <c r="F113" s="71"/>
      <c r="G113" s="71"/>
      <c r="H113" s="71"/>
    </row>
    <row r="114" spans="1:8" x14ac:dyDescent="0.3">
      <c r="A114" s="62" t="s">
        <v>408</v>
      </c>
      <c r="B114" s="63" t="s">
        <v>37</v>
      </c>
      <c r="C114" s="63" t="s">
        <v>248</v>
      </c>
      <c r="D114" s="70"/>
      <c r="E114" s="70"/>
      <c r="F114" s="70"/>
      <c r="G114" s="70"/>
      <c r="H114" s="70"/>
    </row>
    <row r="115" spans="1:8" x14ac:dyDescent="0.3">
      <c r="A115" s="64" t="s">
        <v>409</v>
      </c>
      <c r="B115" s="65" t="s">
        <v>37</v>
      </c>
      <c r="C115" s="65" t="s">
        <v>62</v>
      </c>
      <c r="D115" s="71"/>
      <c r="E115" s="71"/>
      <c r="F115" s="71"/>
      <c r="G115" s="71"/>
      <c r="H115" s="71"/>
    </row>
    <row r="116" spans="1:8" x14ac:dyDescent="0.3">
      <c r="A116" s="62" t="s">
        <v>410</v>
      </c>
      <c r="B116" s="63" t="s">
        <v>37</v>
      </c>
      <c r="C116" s="63" t="s">
        <v>249</v>
      </c>
      <c r="D116" s="70"/>
      <c r="E116" s="70"/>
      <c r="F116" s="70"/>
      <c r="G116" s="70"/>
      <c r="H116" s="70"/>
    </row>
    <row r="117" spans="1:8" x14ac:dyDescent="0.3">
      <c r="A117" s="64" t="s">
        <v>411</v>
      </c>
      <c r="B117" s="65" t="s">
        <v>37</v>
      </c>
      <c r="C117" s="65" t="s">
        <v>250</v>
      </c>
      <c r="D117" s="71"/>
      <c r="E117" s="71"/>
      <c r="F117" s="71"/>
      <c r="G117" s="71"/>
      <c r="H117" s="71"/>
    </row>
    <row r="118" spans="1:8" x14ac:dyDescent="0.3">
      <c r="A118" s="62" t="s">
        <v>412</v>
      </c>
      <c r="B118" s="63" t="s">
        <v>37</v>
      </c>
      <c r="C118" s="63" t="s">
        <v>63</v>
      </c>
      <c r="D118" s="70"/>
      <c r="E118" s="70"/>
      <c r="F118" s="70"/>
      <c r="G118" s="70"/>
      <c r="H118" s="70"/>
    </row>
    <row r="119" spans="1:8" x14ac:dyDescent="0.3">
      <c r="A119" s="64" t="s">
        <v>413</v>
      </c>
      <c r="B119" s="65" t="s">
        <v>37</v>
      </c>
      <c r="C119" s="65" t="s">
        <v>251</v>
      </c>
      <c r="D119" s="71"/>
      <c r="E119" s="71"/>
      <c r="F119" s="71"/>
      <c r="G119" s="71"/>
      <c r="H119" s="71"/>
    </row>
    <row r="120" spans="1:8" x14ac:dyDescent="0.3">
      <c r="A120" s="62" t="s">
        <v>414</v>
      </c>
      <c r="B120" s="63" t="s">
        <v>37</v>
      </c>
      <c r="C120" s="63" t="s">
        <v>64</v>
      </c>
      <c r="D120" s="70"/>
      <c r="E120" s="70"/>
      <c r="F120" s="70"/>
      <c r="G120" s="70"/>
      <c r="H120" s="70"/>
    </row>
    <row r="121" spans="1:8" x14ac:dyDescent="0.3">
      <c r="A121" s="64" t="s">
        <v>415</v>
      </c>
      <c r="B121" s="65" t="s">
        <v>37</v>
      </c>
      <c r="C121" s="65" t="s">
        <v>65</v>
      </c>
      <c r="D121" s="71"/>
      <c r="E121" s="71"/>
      <c r="F121" s="71"/>
      <c r="G121" s="71"/>
      <c r="H121" s="71"/>
    </row>
    <row r="122" spans="1:8" x14ac:dyDescent="0.3">
      <c r="A122" s="62" t="s">
        <v>416</v>
      </c>
      <c r="B122" s="63" t="s">
        <v>37</v>
      </c>
      <c r="C122" s="63" t="s">
        <v>252</v>
      </c>
      <c r="D122" s="70"/>
      <c r="E122" s="70"/>
      <c r="F122" s="70"/>
      <c r="G122" s="70"/>
      <c r="H122" s="70"/>
    </row>
    <row r="123" spans="1:8" x14ac:dyDescent="0.3">
      <c r="A123" s="64" t="s">
        <v>417</v>
      </c>
      <c r="B123" s="65" t="s">
        <v>179</v>
      </c>
      <c r="C123" s="65" t="s">
        <v>71</v>
      </c>
      <c r="D123" s="71"/>
      <c r="E123" s="71"/>
      <c r="F123" s="71"/>
      <c r="G123" s="71"/>
      <c r="H123" s="71"/>
    </row>
    <row r="124" spans="1:8" x14ac:dyDescent="0.3">
      <c r="A124" s="62" t="s">
        <v>418</v>
      </c>
      <c r="B124" s="63" t="s">
        <v>179</v>
      </c>
      <c r="C124" s="63" t="s">
        <v>253</v>
      </c>
      <c r="D124" s="70"/>
      <c r="E124" s="70"/>
      <c r="F124" s="70"/>
      <c r="G124" s="70"/>
      <c r="H124" s="70"/>
    </row>
    <row r="125" spans="1:8" x14ac:dyDescent="0.3">
      <c r="A125" s="64" t="s">
        <v>419</v>
      </c>
      <c r="B125" s="65" t="s">
        <v>179</v>
      </c>
      <c r="C125" s="65" t="s">
        <v>72</v>
      </c>
      <c r="D125" s="71"/>
      <c r="E125" s="71"/>
      <c r="F125" s="71"/>
      <c r="G125" s="71"/>
      <c r="H125" s="71"/>
    </row>
    <row r="126" spans="1:8" x14ac:dyDescent="0.3">
      <c r="A126" s="62" t="s">
        <v>176</v>
      </c>
      <c r="B126" s="63" t="s">
        <v>179</v>
      </c>
      <c r="C126" s="63" t="s">
        <v>254</v>
      </c>
      <c r="D126" s="70"/>
      <c r="E126" s="70"/>
      <c r="F126" s="70"/>
      <c r="G126" s="70"/>
      <c r="H126" s="70"/>
    </row>
    <row r="127" spans="1:8" x14ac:dyDescent="0.3">
      <c r="A127" s="64" t="s">
        <v>420</v>
      </c>
      <c r="B127" s="65" t="s">
        <v>179</v>
      </c>
      <c r="C127" s="65" t="s">
        <v>171</v>
      </c>
      <c r="D127" s="71"/>
      <c r="E127" s="71"/>
      <c r="F127" s="71"/>
      <c r="G127" s="71"/>
      <c r="H127" s="71"/>
    </row>
    <row r="128" spans="1:8" x14ac:dyDescent="0.3">
      <c r="A128" s="62" t="s">
        <v>421</v>
      </c>
      <c r="B128" s="63" t="s">
        <v>179</v>
      </c>
      <c r="C128" s="63" t="s">
        <v>255</v>
      </c>
      <c r="D128" s="70"/>
      <c r="E128" s="70"/>
      <c r="F128" s="70"/>
      <c r="G128" s="70"/>
      <c r="H128" s="70"/>
    </row>
    <row r="129" spans="1:8" x14ac:dyDescent="0.3">
      <c r="A129" s="64" t="s">
        <v>178</v>
      </c>
      <c r="B129" s="65" t="s">
        <v>179</v>
      </c>
      <c r="C129" s="65" t="s">
        <v>256</v>
      </c>
      <c r="D129" s="71"/>
      <c r="E129" s="71"/>
      <c r="F129" s="71"/>
      <c r="G129" s="71"/>
      <c r="H129" s="71"/>
    </row>
    <row r="130" spans="1:8" x14ac:dyDescent="0.3">
      <c r="A130" s="62" t="s">
        <v>422</v>
      </c>
      <c r="B130" s="63" t="s">
        <v>179</v>
      </c>
      <c r="C130" s="63" t="s">
        <v>73</v>
      </c>
      <c r="D130" s="70"/>
      <c r="E130" s="70"/>
      <c r="F130" s="70"/>
      <c r="G130" s="70"/>
      <c r="H130" s="70"/>
    </row>
    <row r="131" spans="1:8" x14ac:dyDescent="0.3">
      <c r="A131" s="64" t="s">
        <v>423</v>
      </c>
      <c r="B131" s="65" t="s">
        <v>179</v>
      </c>
      <c r="C131" s="65" t="s">
        <v>130</v>
      </c>
      <c r="D131" s="71"/>
      <c r="E131" s="71"/>
      <c r="F131" s="71"/>
      <c r="G131" s="71"/>
      <c r="H131" s="71"/>
    </row>
    <row r="132" spans="1:8" x14ac:dyDescent="0.3">
      <c r="A132" s="62" t="s">
        <v>424</v>
      </c>
      <c r="B132" s="63" t="s">
        <v>179</v>
      </c>
      <c r="C132" s="63" t="s">
        <v>257</v>
      </c>
      <c r="D132" s="70"/>
      <c r="E132" s="70"/>
      <c r="F132" s="70"/>
      <c r="G132" s="70"/>
      <c r="H132" s="70"/>
    </row>
    <row r="133" spans="1:8" x14ac:dyDescent="0.3">
      <c r="A133" s="64" t="s">
        <v>425</v>
      </c>
      <c r="B133" s="65" t="s">
        <v>179</v>
      </c>
      <c r="C133" s="65" t="s">
        <v>258</v>
      </c>
      <c r="D133" s="71"/>
      <c r="E133" s="71"/>
      <c r="F133" s="71"/>
      <c r="G133" s="71"/>
      <c r="H133" s="71"/>
    </row>
    <row r="134" spans="1:8" x14ac:dyDescent="0.3">
      <c r="A134" s="62" t="s">
        <v>426</v>
      </c>
      <c r="B134" s="63" t="s">
        <v>179</v>
      </c>
      <c r="C134" s="63" t="s">
        <v>259</v>
      </c>
      <c r="D134" s="70"/>
      <c r="E134" s="70"/>
      <c r="F134" s="70"/>
      <c r="G134" s="70"/>
      <c r="H134" s="70"/>
    </row>
    <row r="135" spans="1:8" x14ac:dyDescent="0.3">
      <c r="A135" s="64" t="s">
        <v>181</v>
      </c>
      <c r="B135" s="65" t="s">
        <v>179</v>
      </c>
      <c r="C135" s="65" t="s">
        <v>260</v>
      </c>
      <c r="D135" s="71"/>
      <c r="E135" s="71"/>
      <c r="F135" s="71"/>
      <c r="G135" s="71"/>
      <c r="H135" s="71"/>
    </row>
    <row r="136" spans="1:8" x14ac:dyDescent="0.3">
      <c r="A136" s="62" t="s">
        <v>427</v>
      </c>
      <c r="B136" s="63" t="s">
        <v>179</v>
      </c>
      <c r="C136" s="63" t="s">
        <v>261</v>
      </c>
      <c r="D136" s="70"/>
      <c r="E136" s="70"/>
      <c r="F136" s="70"/>
      <c r="G136" s="70"/>
      <c r="H136" s="70"/>
    </row>
    <row r="137" spans="1:8" x14ac:dyDescent="0.3">
      <c r="A137" s="64" t="s">
        <v>182</v>
      </c>
      <c r="B137" s="65" t="s">
        <v>179</v>
      </c>
      <c r="C137" s="65" t="s">
        <v>262</v>
      </c>
      <c r="D137" s="71"/>
      <c r="E137" s="71"/>
      <c r="F137" s="71"/>
      <c r="G137" s="71"/>
      <c r="H137" s="71"/>
    </row>
    <row r="138" spans="1:8" x14ac:dyDescent="0.3">
      <c r="A138" s="62" t="s">
        <v>184</v>
      </c>
      <c r="B138" s="63" t="s">
        <v>179</v>
      </c>
      <c r="C138" s="63" t="s">
        <v>263</v>
      </c>
      <c r="D138" s="70"/>
      <c r="E138" s="70"/>
      <c r="F138" s="70"/>
      <c r="G138" s="70"/>
      <c r="H138" s="70"/>
    </row>
    <row r="139" spans="1:8" x14ac:dyDescent="0.3">
      <c r="A139" s="64" t="s">
        <v>428</v>
      </c>
      <c r="B139" s="65" t="s">
        <v>179</v>
      </c>
      <c r="C139" s="65" t="s">
        <v>75</v>
      </c>
      <c r="D139" s="71"/>
      <c r="E139" s="71"/>
      <c r="F139" s="71"/>
      <c r="G139" s="71"/>
      <c r="H139" s="71"/>
    </row>
    <row r="140" spans="1:8" x14ac:dyDescent="0.3">
      <c r="A140" s="62" t="s">
        <v>185</v>
      </c>
      <c r="B140" s="63" t="s">
        <v>179</v>
      </c>
      <c r="C140" s="63" t="s">
        <v>264</v>
      </c>
      <c r="D140" s="70"/>
      <c r="E140" s="70"/>
      <c r="F140" s="70"/>
      <c r="G140" s="70"/>
      <c r="H140" s="70"/>
    </row>
    <row r="141" spans="1:8" x14ac:dyDescent="0.3">
      <c r="A141" s="64" t="s">
        <v>429</v>
      </c>
      <c r="B141" s="65" t="s">
        <v>179</v>
      </c>
      <c r="C141" s="65" t="s">
        <v>265</v>
      </c>
      <c r="D141" s="71"/>
      <c r="E141" s="71"/>
      <c r="F141" s="71"/>
      <c r="G141" s="71"/>
      <c r="H141" s="71"/>
    </row>
    <row r="142" spans="1:8" x14ac:dyDescent="0.3">
      <c r="A142" s="62" t="s">
        <v>430</v>
      </c>
      <c r="B142" s="63" t="s">
        <v>179</v>
      </c>
      <c r="C142" s="63" t="s">
        <v>266</v>
      </c>
      <c r="D142" s="70"/>
      <c r="E142" s="70"/>
      <c r="F142" s="70"/>
      <c r="G142" s="70"/>
      <c r="H142" s="70"/>
    </row>
    <row r="143" spans="1:8" x14ac:dyDescent="0.3">
      <c r="A143" s="64" t="s">
        <v>186</v>
      </c>
      <c r="B143" s="65" t="s">
        <v>179</v>
      </c>
      <c r="C143" s="65" t="s">
        <v>267</v>
      </c>
      <c r="D143" s="71"/>
      <c r="E143" s="71"/>
      <c r="F143" s="71"/>
      <c r="G143" s="71"/>
      <c r="H143" s="71"/>
    </row>
    <row r="144" spans="1:8" x14ac:dyDescent="0.3">
      <c r="A144" s="62" t="s">
        <v>187</v>
      </c>
      <c r="B144" s="63" t="s">
        <v>179</v>
      </c>
      <c r="C144" s="63" t="s">
        <v>268</v>
      </c>
      <c r="D144" s="70"/>
      <c r="E144" s="70"/>
      <c r="F144" s="70"/>
      <c r="G144" s="70"/>
      <c r="H144" s="70"/>
    </row>
    <row r="145" spans="1:8" x14ac:dyDescent="0.3">
      <c r="A145" s="64" t="s">
        <v>431</v>
      </c>
      <c r="B145" s="65" t="s">
        <v>179</v>
      </c>
      <c r="C145" s="65" t="s">
        <v>269</v>
      </c>
      <c r="D145" s="71"/>
      <c r="E145" s="71"/>
      <c r="F145" s="71"/>
      <c r="G145" s="71"/>
      <c r="H145" s="71"/>
    </row>
    <row r="146" spans="1:8" x14ac:dyDescent="0.3">
      <c r="A146" s="62" t="s">
        <v>189</v>
      </c>
      <c r="B146" s="63" t="s">
        <v>179</v>
      </c>
      <c r="C146" s="63" t="s">
        <v>270</v>
      </c>
      <c r="D146" s="70"/>
      <c r="E146" s="70"/>
      <c r="F146" s="70"/>
      <c r="G146" s="70"/>
      <c r="H146" s="70"/>
    </row>
    <row r="147" spans="1:8" x14ac:dyDescent="0.3">
      <c r="A147" s="64" t="s">
        <v>432</v>
      </c>
      <c r="B147" s="65" t="s">
        <v>179</v>
      </c>
      <c r="C147" s="65" t="s">
        <v>137</v>
      </c>
      <c r="D147" s="71"/>
      <c r="E147" s="71"/>
      <c r="F147" s="71"/>
      <c r="G147" s="71"/>
      <c r="H147" s="71"/>
    </row>
    <row r="148" spans="1:8" x14ac:dyDescent="0.3">
      <c r="A148" s="62" t="s">
        <v>433</v>
      </c>
      <c r="B148" s="63" t="s">
        <v>179</v>
      </c>
      <c r="C148" s="63" t="s">
        <v>138</v>
      </c>
      <c r="D148" s="70"/>
      <c r="E148" s="70"/>
      <c r="F148" s="70"/>
      <c r="G148" s="70"/>
      <c r="H148" s="70"/>
    </row>
    <row r="149" spans="1:8" x14ac:dyDescent="0.3">
      <c r="A149" s="64" t="s">
        <v>434</v>
      </c>
      <c r="B149" s="65" t="s">
        <v>179</v>
      </c>
      <c r="C149" s="65" t="s">
        <v>271</v>
      </c>
      <c r="D149" s="71"/>
      <c r="E149" s="71"/>
      <c r="F149" s="71"/>
      <c r="G149" s="71"/>
      <c r="H149" s="71"/>
    </row>
    <row r="150" spans="1:8" x14ac:dyDescent="0.3">
      <c r="A150" s="62" t="s">
        <v>435</v>
      </c>
      <c r="B150" s="63" t="s">
        <v>179</v>
      </c>
      <c r="C150" s="63" t="s">
        <v>272</v>
      </c>
      <c r="D150" s="70"/>
      <c r="E150" s="70"/>
      <c r="F150" s="70"/>
      <c r="G150" s="70"/>
      <c r="H150" s="70"/>
    </row>
    <row r="151" spans="1:8" x14ac:dyDescent="0.3">
      <c r="A151" s="64" t="s">
        <v>436</v>
      </c>
      <c r="B151" s="65" t="s">
        <v>179</v>
      </c>
      <c r="C151" s="65" t="s">
        <v>164</v>
      </c>
      <c r="D151" s="71"/>
      <c r="E151" s="71"/>
      <c r="F151" s="71"/>
      <c r="G151" s="71"/>
      <c r="H151" s="71"/>
    </row>
    <row r="152" spans="1:8" x14ac:dyDescent="0.3">
      <c r="A152" s="62" t="s">
        <v>192</v>
      </c>
      <c r="B152" s="63" t="s">
        <v>179</v>
      </c>
      <c r="C152" s="63" t="s">
        <v>273</v>
      </c>
      <c r="D152" s="70"/>
      <c r="E152" s="70"/>
      <c r="F152" s="70"/>
      <c r="G152" s="70"/>
      <c r="H152" s="70"/>
    </row>
    <row r="153" spans="1:8" x14ac:dyDescent="0.3">
      <c r="A153" s="64" t="s">
        <v>437</v>
      </c>
      <c r="B153" s="65" t="s">
        <v>179</v>
      </c>
      <c r="C153" s="65" t="s">
        <v>274</v>
      </c>
      <c r="D153" s="71"/>
      <c r="E153" s="71"/>
      <c r="F153" s="71"/>
      <c r="G153" s="71"/>
      <c r="H153" s="71"/>
    </row>
    <row r="154" spans="1:8" x14ac:dyDescent="0.3">
      <c r="A154" s="62" t="s">
        <v>438</v>
      </c>
      <c r="B154" s="63" t="s">
        <v>179</v>
      </c>
      <c r="C154" s="63" t="s">
        <v>120</v>
      </c>
      <c r="D154" s="70"/>
      <c r="E154" s="70"/>
      <c r="F154" s="70"/>
      <c r="G154" s="70"/>
      <c r="H154" s="70"/>
    </row>
    <row r="155" spans="1:8" x14ac:dyDescent="0.3">
      <c r="A155" s="64" t="s">
        <v>199</v>
      </c>
      <c r="B155" s="65" t="s">
        <v>179</v>
      </c>
      <c r="C155" s="65" t="s">
        <v>275</v>
      </c>
      <c r="D155" s="71"/>
      <c r="E155" s="71"/>
      <c r="F155" s="71"/>
      <c r="G155" s="71"/>
      <c r="H155" s="71"/>
    </row>
    <row r="156" spans="1:8" x14ac:dyDescent="0.3">
      <c r="A156" s="62" t="s">
        <v>439</v>
      </c>
      <c r="B156" s="63" t="s">
        <v>179</v>
      </c>
      <c r="C156" s="63" t="s">
        <v>139</v>
      </c>
      <c r="D156" s="70"/>
      <c r="E156" s="70"/>
      <c r="F156" s="70"/>
      <c r="G156" s="70"/>
      <c r="H156" s="70"/>
    </row>
    <row r="157" spans="1:8" x14ac:dyDescent="0.3">
      <c r="A157" s="64" t="s">
        <v>207</v>
      </c>
      <c r="B157" s="65" t="s">
        <v>179</v>
      </c>
      <c r="C157" s="65" t="s">
        <v>276</v>
      </c>
      <c r="D157" s="71"/>
      <c r="E157" s="71"/>
      <c r="F157" s="71"/>
      <c r="G157" s="71"/>
      <c r="H157" s="71"/>
    </row>
    <row r="158" spans="1:8" x14ac:dyDescent="0.3">
      <c r="A158" s="62" t="s">
        <v>440</v>
      </c>
      <c r="B158" s="63" t="s">
        <v>179</v>
      </c>
      <c r="C158" s="63" t="s">
        <v>78</v>
      </c>
      <c r="D158" s="70"/>
      <c r="E158" s="70"/>
      <c r="F158" s="70"/>
      <c r="G158" s="70"/>
      <c r="H158" s="70"/>
    </row>
    <row r="159" spans="1:8" x14ac:dyDescent="0.3">
      <c r="A159" s="64" t="s">
        <v>194</v>
      </c>
      <c r="B159" s="65" t="s">
        <v>179</v>
      </c>
      <c r="C159" s="65" t="s">
        <v>277</v>
      </c>
      <c r="D159" s="71"/>
      <c r="E159" s="71"/>
      <c r="F159" s="71"/>
      <c r="G159" s="71"/>
      <c r="H159" s="71"/>
    </row>
    <row r="160" spans="1:8" x14ac:dyDescent="0.3">
      <c r="A160" s="62" t="s">
        <v>441</v>
      </c>
      <c r="B160" s="63" t="s">
        <v>179</v>
      </c>
      <c r="C160" s="63" t="s">
        <v>127</v>
      </c>
      <c r="D160" s="70"/>
      <c r="E160" s="70"/>
      <c r="F160" s="70"/>
      <c r="G160" s="70"/>
      <c r="H160" s="70"/>
    </row>
    <row r="161" spans="1:8" x14ac:dyDescent="0.3">
      <c r="A161" s="64" t="s">
        <v>442</v>
      </c>
      <c r="B161" s="65" t="s">
        <v>179</v>
      </c>
      <c r="C161" s="65" t="s">
        <v>278</v>
      </c>
      <c r="D161" s="71"/>
      <c r="E161" s="71"/>
      <c r="F161" s="71"/>
      <c r="G161" s="71"/>
      <c r="H161" s="71"/>
    </row>
    <row r="162" spans="1:8" x14ac:dyDescent="0.3">
      <c r="A162" s="62" t="s">
        <v>443</v>
      </c>
      <c r="B162" s="63" t="s">
        <v>179</v>
      </c>
      <c r="C162" s="63" t="s">
        <v>100</v>
      </c>
      <c r="D162" s="70"/>
      <c r="E162" s="70"/>
      <c r="F162" s="70"/>
      <c r="G162" s="70"/>
      <c r="H162" s="70"/>
    </row>
    <row r="163" spans="1:8" x14ac:dyDescent="0.3">
      <c r="A163" s="64" t="s">
        <v>444</v>
      </c>
      <c r="B163" s="65" t="s">
        <v>179</v>
      </c>
      <c r="C163" s="65" t="s">
        <v>279</v>
      </c>
      <c r="D163" s="71"/>
      <c r="E163" s="71"/>
      <c r="F163" s="71"/>
      <c r="G163" s="71"/>
      <c r="H163" s="71"/>
    </row>
    <row r="164" spans="1:8" x14ac:dyDescent="0.3">
      <c r="A164" s="62" t="s">
        <v>445</v>
      </c>
      <c r="B164" s="63" t="s">
        <v>179</v>
      </c>
      <c r="C164" s="63" t="s">
        <v>280</v>
      </c>
      <c r="D164" s="70"/>
      <c r="E164" s="70"/>
      <c r="F164" s="70"/>
      <c r="G164" s="70"/>
      <c r="H164" s="70"/>
    </row>
    <row r="165" spans="1:8" x14ac:dyDescent="0.3">
      <c r="A165" s="64" t="s">
        <v>446</v>
      </c>
      <c r="B165" s="65" t="s">
        <v>179</v>
      </c>
      <c r="C165" s="65" t="s">
        <v>80</v>
      </c>
      <c r="D165" s="71"/>
      <c r="E165" s="71"/>
      <c r="F165" s="71"/>
      <c r="G165" s="71"/>
      <c r="H165" s="71"/>
    </row>
    <row r="166" spans="1:8" x14ac:dyDescent="0.3">
      <c r="A166" s="62" t="s">
        <v>447</v>
      </c>
      <c r="B166" s="63" t="s">
        <v>179</v>
      </c>
      <c r="C166" s="63" t="s">
        <v>281</v>
      </c>
      <c r="D166" s="70"/>
      <c r="E166" s="70"/>
      <c r="F166" s="70"/>
      <c r="G166" s="70"/>
      <c r="H166" s="70"/>
    </row>
    <row r="167" spans="1:8" x14ac:dyDescent="0.3">
      <c r="A167" s="64" t="s">
        <v>448</v>
      </c>
      <c r="B167" s="65" t="s">
        <v>179</v>
      </c>
      <c r="C167" s="65" t="s">
        <v>282</v>
      </c>
      <c r="D167" s="71"/>
      <c r="E167" s="71"/>
      <c r="F167" s="71"/>
      <c r="G167" s="71"/>
      <c r="H167" s="71"/>
    </row>
    <row r="168" spans="1:8" x14ac:dyDescent="0.3">
      <c r="A168" s="62" t="s">
        <v>201</v>
      </c>
      <c r="B168" s="63" t="s">
        <v>179</v>
      </c>
      <c r="C168" s="63" t="s">
        <v>283</v>
      </c>
      <c r="D168" s="70"/>
      <c r="E168" s="70"/>
      <c r="F168" s="70"/>
      <c r="G168" s="70"/>
      <c r="H168" s="70"/>
    </row>
    <row r="169" spans="1:8" x14ac:dyDescent="0.3">
      <c r="A169" s="64" t="s">
        <v>203</v>
      </c>
      <c r="B169" s="65" t="s">
        <v>179</v>
      </c>
      <c r="C169" s="65" t="s">
        <v>284</v>
      </c>
      <c r="D169" s="71"/>
      <c r="E169" s="71"/>
      <c r="F169" s="71"/>
      <c r="G169" s="71"/>
      <c r="H169" s="71"/>
    </row>
    <row r="170" spans="1:8" x14ac:dyDescent="0.3">
      <c r="A170" s="62" t="s">
        <v>204</v>
      </c>
      <c r="B170" s="63" t="s">
        <v>179</v>
      </c>
      <c r="C170" s="63" t="s">
        <v>285</v>
      </c>
      <c r="D170" s="70"/>
      <c r="E170" s="70"/>
      <c r="F170" s="70"/>
      <c r="G170" s="70"/>
      <c r="H170" s="70"/>
    </row>
    <row r="171" spans="1:8" x14ac:dyDescent="0.3">
      <c r="A171" s="64" t="s">
        <v>449</v>
      </c>
      <c r="B171" s="65" t="s">
        <v>179</v>
      </c>
      <c r="C171" s="65" t="s">
        <v>113</v>
      </c>
      <c r="D171" s="71"/>
      <c r="E171" s="71"/>
      <c r="F171" s="71"/>
      <c r="G171" s="71"/>
      <c r="H171" s="71"/>
    </row>
    <row r="172" spans="1:8" x14ac:dyDescent="0.3">
      <c r="A172" s="62" t="s">
        <v>209</v>
      </c>
      <c r="B172" s="63" t="s">
        <v>179</v>
      </c>
      <c r="C172" s="63" t="s">
        <v>103</v>
      </c>
      <c r="D172" s="70"/>
      <c r="E172" s="70"/>
      <c r="F172" s="70"/>
      <c r="G172" s="70"/>
      <c r="H172" s="70"/>
    </row>
    <row r="173" spans="1:8" x14ac:dyDescent="0.3">
      <c r="A173" s="64" t="s">
        <v>450</v>
      </c>
      <c r="B173" s="65" t="s">
        <v>179</v>
      </c>
      <c r="C173" s="65" t="s">
        <v>286</v>
      </c>
      <c r="D173" s="71"/>
      <c r="E173" s="71"/>
      <c r="F173" s="71"/>
      <c r="G173" s="71"/>
      <c r="H173" s="71"/>
    </row>
    <row r="174" spans="1:8" x14ac:dyDescent="0.3">
      <c r="A174" s="62" t="s">
        <v>451</v>
      </c>
      <c r="B174" s="63" t="s">
        <v>179</v>
      </c>
      <c r="C174" s="63" t="s">
        <v>83</v>
      </c>
      <c r="D174" s="70"/>
      <c r="E174" s="70"/>
      <c r="F174" s="70"/>
      <c r="G174" s="70"/>
      <c r="H174" s="70"/>
    </row>
    <row r="175" spans="1:8" x14ac:dyDescent="0.3">
      <c r="A175" s="64" t="s">
        <v>180</v>
      </c>
      <c r="B175" s="65" t="s">
        <v>179</v>
      </c>
      <c r="C175" s="65" t="s">
        <v>287</v>
      </c>
      <c r="D175" s="71"/>
      <c r="E175" s="71"/>
      <c r="F175" s="71"/>
      <c r="G175" s="71"/>
      <c r="H175" s="71"/>
    </row>
    <row r="176" spans="1:8" x14ac:dyDescent="0.3">
      <c r="A176" s="62" t="s">
        <v>452</v>
      </c>
      <c r="B176" s="63" t="s">
        <v>179</v>
      </c>
      <c r="C176" s="63" t="s">
        <v>288</v>
      </c>
      <c r="D176" s="70"/>
      <c r="E176" s="70"/>
      <c r="F176" s="70"/>
      <c r="G176" s="70"/>
      <c r="H176" s="70"/>
    </row>
    <row r="177" spans="1:8" x14ac:dyDescent="0.3">
      <c r="A177" s="64" t="s">
        <v>453</v>
      </c>
      <c r="B177" s="65" t="s">
        <v>59</v>
      </c>
      <c r="C177" s="65" t="s">
        <v>152</v>
      </c>
      <c r="D177" s="71"/>
      <c r="E177" s="71"/>
      <c r="F177" s="71"/>
      <c r="G177" s="71"/>
      <c r="H177" s="71"/>
    </row>
    <row r="178" spans="1:8" x14ac:dyDescent="0.3">
      <c r="A178" s="62" t="s">
        <v>454</v>
      </c>
      <c r="B178" s="63" t="s">
        <v>59</v>
      </c>
      <c r="C178" s="63" t="s">
        <v>289</v>
      </c>
      <c r="D178" s="70"/>
      <c r="E178" s="70"/>
      <c r="F178" s="70"/>
      <c r="G178" s="70"/>
      <c r="H178" s="70"/>
    </row>
    <row r="179" spans="1:8" x14ac:dyDescent="0.3">
      <c r="A179" s="64" t="s">
        <v>455</v>
      </c>
      <c r="B179" s="65" t="s">
        <v>59</v>
      </c>
      <c r="C179" s="65" t="s">
        <v>168</v>
      </c>
      <c r="D179" s="71"/>
      <c r="E179" s="71"/>
      <c r="F179" s="71"/>
      <c r="G179" s="71"/>
      <c r="H179" s="71"/>
    </row>
    <row r="180" spans="1:8" x14ac:dyDescent="0.3">
      <c r="A180" s="62" t="s">
        <v>456</v>
      </c>
      <c r="B180" s="63" t="s">
        <v>59</v>
      </c>
      <c r="C180" s="63" t="s">
        <v>290</v>
      </c>
      <c r="D180" s="70"/>
      <c r="E180" s="70"/>
      <c r="F180" s="70"/>
      <c r="G180" s="70"/>
      <c r="H180" s="70"/>
    </row>
    <row r="181" spans="1:8" x14ac:dyDescent="0.3">
      <c r="A181" s="64" t="s">
        <v>457</v>
      </c>
      <c r="B181" s="65" t="s">
        <v>59</v>
      </c>
      <c r="C181" s="65" t="s">
        <v>95</v>
      </c>
      <c r="D181" s="71"/>
      <c r="E181" s="71"/>
      <c r="F181" s="71"/>
      <c r="G181" s="71"/>
      <c r="H181" s="71"/>
    </row>
    <row r="182" spans="1:8" x14ac:dyDescent="0.3">
      <c r="A182" s="62" t="s">
        <v>458</v>
      </c>
      <c r="B182" s="63" t="s">
        <v>59</v>
      </c>
      <c r="C182" s="63" t="s">
        <v>144</v>
      </c>
      <c r="D182" s="70"/>
      <c r="E182" s="70"/>
      <c r="F182" s="70"/>
      <c r="G182" s="70"/>
      <c r="H182" s="70"/>
    </row>
    <row r="183" spans="1:8" x14ac:dyDescent="0.3">
      <c r="A183" s="64" t="s">
        <v>191</v>
      </c>
      <c r="B183" s="65" t="s">
        <v>59</v>
      </c>
      <c r="C183" s="65" t="s">
        <v>291</v>
      </c>
      <c r="D183" s="71"/>
      <c r="E183" s="71"/>
      <c r="F183" s="71"/>
      <c r="G183" s="71"/>
      <c r="H183" s="71"/>
    </row>
    <row r="184" spans="1:8" x14ac:dyDescent="0.3">
      <c r="A184" s="62" t="s">
        <v>459</v>
      </c>
      <c r="B184" s="63" t="s">
        <v>59</v>
      </c>
      <c r="C184" s="63" t="s">
        <v>76</v>
      </c>
      <c r="D184" s="70"/>
      <c r="E184" s="70"/>
      <c r="F184" s="70"/>
      <c r="G184" s="70"/>
      <c r="H184" s="70"/>
    </row>
    <row r="185" spans="1:8" x14ac:dyDescent="0.3">
      <c r="A185" s="64" t="s">
        <v>460</v>
      </c>
      <c r="B185" s="65" t="s">
        <v>59</v>
      </c>
      <c r="C185" s="65" t="s">
        <v>96</v>
      </c>
      <c r="D185" s="71"/>
      <c r="E185" s="71"/>
      <c r="F185" s="71"/>
      <c r="G185" s="71"/>
      <c r="H185" s="71"/>
    </row>
    <row r="186" spans="1:8" x14ac:dyDescent="0.3">
      <c r="A186" s="62" t="s">
        <v>461</v>
      </c>
      <c r="B186" s="63" t="s">
        <v>59</v>
      </c>
      <c r="C186" s="63" t="s">
        <v>98</v>
      </c>
      <c r="D186" s="70"/>
      <c r="E186" s="70"/>
      <c r="F186" s="70"/>
      <c r="G186" s="70"/>
      <c r="H186" s="70"/>
    </row>
    <row r="187" spans="1:8" x14ac:dyDescent="0.3">
      <c r="A187" s="64" t="s">
        <v>462</v>
      </c>
      <c r="B187" s="65" t="s">
        <v>59</v>
      </c>
      <c r="C187" s="65" t="s">
        <v>60</v>
      </c>
      <c r="D187" s="71"/>
      <c r="E187" s="71"/>
      <c r="F187" s="71"/>
      <c r="G187" s="71"/>
      <c r="H187" s="71"/>
    </row>
    <row r="188" spans="1:8" x14ac:dyDescent="0.3">
      <c r="A188" s="62" t="s">
        <v>195</v>
      </c>
      <c r="B188" s="63" t="s">
        <v>59</v>
      </c>
      <c r="C188" s="63" t="s">
        <v>292</v>
      </c>
      <c r="D188" s="70"/>
      <c r="E188" s="70"/>
      <c r="F188" s="70"/>
      <c r="G188" s="70"/>
      <c r="H188" s="70"/>
    </row>
    <row r="189" spans="1:8" x14ac:dyDescent="0.3">
      <c r="A189" s="64" t="s">
        <v>463</v>
      </c>
      <c r="B189" s="65" t="s">
        <v>59</v>
      </c>
      <c r="C189" s="65" t="s">
        <v>293</v>
      </c>
      <c r="D189" s="71"/>
      <c r="E189" s="71"/>
      <c r="F189" s="71"/>
      <c r="G189" s="71"/>
      <c r="H189" s="71"/>
    </row>
    <row r="190" spans="1:8" x14ac:dyDescent="0.3">
      <c r="A190" s="62" t="s">
        <v>464</v>
      </c>
      <c r="B190" s="63" t="s">
        <v>59</v>
      </c>
      <c r="C190" s="63" t="s">
        <v>81</v>
      </c>
      <c r="D190" s="70"/>
      <c r="E190" s="70"/>
      <c r="F190" s="70"/>
      <c r="G190" s="70"/>
      <c r="H190" s="70"/>
    </row>
    <row r="191" spans="1:8" x14ac:dyDescent="0.3">
      <c r="A191" s="64" t="s">
        <v>465</v>
      </c>
      <c r="B191" s="65" t="s">
        <v>59</v>
      </c>
      <c r="C191" s="65" t="s">
        <v>294</v>
      </c>
      <c r="D191" s="71"/>
      <c r="E191" s="71"/>
      <c r="F191" s="71"/>
      <c r="G191" s="71"/>
      <c r="H191" s="71"/>
    </row>
    <row r="192" spans="1:8" x14ac:dyDescent="0.3">
      <c r="A192" s="62" t="s">
        <v>196</v>
      </c>
      <c r="B192" s="63" t="s">
        <v>59</v>
      </c>
      <c r="C192" s="63" t="s">
        <v>295</v>
      </c>
      <c r="D192" s="70"/>
      <c r="E192" s="70"/>
      <c r="F192" s="70"/>
      <c r="G192" s="70"/>
      <c r="H192" s="70"/>
    </row>
    <row r="193" spans="1:8" x14ac:dyDescent="0.3">
      <c r="A193" s="66" t="s">
        <v>466</v>
      </c>
      <c r="B193" s="67" t="s">
        <v>59</v>
      </c>
      <c r="C193" s="67" t="s">
        <v>104</v>
      </c>
      <c r="D193" s="72"/>
      <c r="E193" s="72"/>
      <c r="F193" s="72"/>
      <c r="G193" s="72"/>
      <c r="H193" s="72"/>
    </row>
    <row r="194" spans="1:8" x14ac:dyDescent="0.3">
      <c r="D194" s="69"/>
      <c r="E194" s="69"/>
      <c r="F194" s="69"/>
      <c r="G194" s="69"/>
      <c r="H194" s="69"/>
    </row>
  </sheetData>
  <sheetProtection algorithmName="SHA-512" hashValue="DCCipGc+pGSjkVFU/4ZTYe9RT1ZsY5tXKx7Ch3obZLYtHoVNfd1uP5kdNYso0imu/RrI6udLQS0LwhKR7eb2hQ==" saltValue="FCS0Y3SWXCgvkIcCLsqkQw==" spinCount="100000" sheet="1" objects="1" scenarios="1" formatCells="0" formatColumns="0" formatRows="0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5327-0861-449F-A2FF-3F51AC8134FE}">
  <sheetPr codeName="Sheet4"/>
  <dimension ref="A1:F61"/>
  <sheetViews>
    <sheetView workbookViewId="0">
      <selection activeCell="D9" sqref="D9"/>
    </sheetView>
  </sheetViews>
  <sheetFormatPr defaultColWidth="0" defaultRowHeight="14.4" zeroHeight="1" x14ac:dyDescent="0.3"/>
  <cols>
    <col min="1" max="1" width="2.77734375" customWidth="1"/>
    <col min="2" max="2" width="28.21875" style="10" customWidth="1"/>
    <col min="3" max="3" width="25.21875" style="10" customWidth="1"/>
    <col min="4" max="4" width="33.21875" style="10" customWidth="1"/>
    <col min="5" max="5" width="30.21875" style="10" customWidth="1"/>
    <col min="6" max="6" width="3.5546875" style="10" customWidth="1"/>
    <col min="7" max="16384" width="8.77734375" hidden="1"/>
  </cols>
  <sheetData>
    <row r="1" spans="1:6" x14ac:dyDescent="0.3">
      <c r="A1" s="27"/>
      <c r="B1" s="27"/>
      <c r="C1" s="27"/>
      <c r="D1" s="27"/>
      <c r="E1" s="27"/>
      <c r="F1" s="27"/>
    </row>
    <row r="2" spans="1:6" ht="21" x14ac:dyDescent="0.4">
      <c r="A2" s="27"/>
      <c r="B2" s="98" t="s">
        <v>38</v>
      </c>
      <c r="C2" s="98"/>
      <c r="D2" s="98"/>
      <c r="E2" s="98"/>
      <c r="F2" s="27"/>
    </row>
    <row r="3" spans="1:6" ht="10.95" customHeight="1" x14ac:dyDescent="0.3">
      <c r="A3" s="27"/>
      <c r="B3" s="27"/>
      <c r="C3" s="27"/>
      <c r="D3" s="27"/>
      <c r="E3" s="27"/>
      <c r="F3" s="27"/>
    </row>
    <row r="4" spans="1:6" ht="22.95" customHeight="1" x14ac:dyDescent="0.3">
      <c r="A4" s="27"/>
      <c r="B4" s="96" t="s">
        <v>39</v>
      </c>
      <c r="C4" s="97"/>
      <c r="D4" s="97"/>
      <c r="E4" s="97"/>
      <c r="F4" s="34"/>
    </row>
    <row r="5" spans="1:6" x14ac:dyDescent="0.3">
      <c r="A5" s="27"/>
      <c r="B5" s="34"/>
      <c r="C5" s="34"/>
      <c r="D5" s="34"/>
      <c r="E5" s="34"/>
      <c r="F5" s="34"/>
    </row>
    <row r="6" spans="1:6" ht="25.95" customHeight="1" x14ac:dyDescent="0.3">
      <c r="A6" s="27"/>
      <c r="B6" s="51" t="s">
        <v>40</v>
      </c>
      <c r="C6" s="52" t="str">
        <f>TEXT(PNS,"")</f>
        <v>American Red Cross</v>
      </c>
      <c r="D6" s="40"/>
      <c r="E6" s="34"/>
      <c r="F6" s="34"/>
    </row>
    <row r="7" spans="1:6" ht="12.6" customHeight="1" x14ac:dyDescent="0.3">
      <c r="A7" s="27"/>
      <c r="B7" s="34"/>
      <c r="C7" s="34"/>
      <c r="D7" s="34"/>
      <c r="E7" s="34"/>
      <c r="F7" s="34"/>
    </row>
    <row r="8" spans="1:6" ht="45" customHeight="1" x14ac:dyDescent="0.3">
      <c r="A8" s="27"/>
      <c r="B8" s="45" t="s">
        <v>41</v>
      </c>
      <c r="C8" s="46" t="s">
        <v>14</v>
      </c>
      <c r="D8" s="46" t="s">
        <v>15</v>
      </c>
      <c r="E8" s="47" t="s">
        <v>42</v>
      </c>
      <c r="F8" s="27"/>
    </row>
    <row r="9" spans="1:6" x14ac:dyDescent="0.3">
      <c r="A9" s="27"/>
      <c r="B9" s="10" t="str" cm="1">
        <f t="array" ref="B9:E28">IF(PNS="", "Select your NS name in the first page to see planned funding",
    _xlfn._xlws.FILTER(Table_FR[], Table_FR[PNS]=PNS, "We did not receive any planned funding requirement from " &amp; PNS))</f>
        <v>American Red Cross</v>
      </c>
      <c r="C9" s="10" t="str">
        <v>Asia Pacific</v>
      </c>
      <c r="D9" s="10" t="str">
        <v>Bangladesh</v>
      </c>
      <c r="E9" s="50">
        <v>995022</v>
      </c>
      <c r="F9" s="27"/>
    </row>
    <row r="10" spans="1:6" x14ac:dyDescent="0.3">
      <c r="A10" s="27"/>
      <c r="B10" s="10" t="str">
        <v>American Red Cross</v>
      </c>
      <c r="C10" s="10" t="str">
        <v>Americas</v>
      </c>
      <c r="D10" s="10" t="str">
        <v>Colombia</v>
      </c>
      <c r="E10" s="50">
        <v>450000</v>
      </c>
      <c r="F10" s="27"/>
    </row>
    <row r="11" spans="1:6" x14ac:dyDescent="0.3">
      <c r="A11" s="27"/>
      <c r="B11" s="10" t="str">
        <v>American Red Cross</v>
      </c>
      <c r="C11" s="10" t="str">
        <v>Americas</v>
      </c>
      <c r="D11" s="10" t="str">
        <v>El Salvador</v>
      </c>
      <c r="E11" s="50">
        <v>450000</v>
      </c>
      <c r="F11" s="27"/>
    </row>
    <row r="12" spans="1:6" x14ac:dyDescent="0.3">
      <c r="A12" s="27"/>
      <c r="B12" s="10" t="str">
        <v>American Red Cross</v>
      </c>
      <c r="C12" s="10" t="str">
        <v>Africa</v>
      </c>
      <c r="D12" s="10" t="str">
        <v>Ethiopia</v>
      </c>
      <c r="E12" s="50">
        <v>250000</v>
      </c>
      <c r="F12" s="27"/>
    </row>
    <row r="13" spans="1:6" x14ac:dyDescent="0.3">
      <c r="A13" s="27"/>
      <c r="B13" s="10" t="str">
        <v>American Red Cross</v>
      </c>
      <c r="C13" s="10" t="str">
        <v>Americas</v>
      </c>
      <c r="D13" s="10" t="str">
        <v>Guatemala</v>
      </c>
      <c r="E13" s="50">
        <v>401274</v>
      </c>
      <c r="F13" s="27"/>
    </row>
    <row r="14" spans="1:6" x14ac:dyDescent="0.3">
      <c r="A14" s="27"/>
      <c r="B14" s="10" t="str">
        <v>American Red Cross</v>
      </c>
      <c r="C14" s="10" t="str">
        <v>Americas</v>
      </c>
      <c r="D14" s="10" t="str">
        <v>Honduras</v>
      </c>
      <c r="E14" s="50">
        <v>479776</v>
      </c>
      <c r="F14" s="27"/>
    </row>
    <row r="15" spans="1:6" x14ac:dyDescent="0.3">
      <c r="A15" s="27"/>
      <c r="B15" s="10" t="str">
        <v>American Red Cross</v>
      </c>
      <c r="C15" s="10" t="str">
        <v>Asia Pacific</v>
      </c>
      <c r="D15" s="10" t="str">
        <v>Indonesia</v>
      </c>
      <c r="E15" s="50">
        <v>1091622</v>
      </c>
      <c r="F15" s="27"/>
    </row>
    <row r="16" spans="1:6" x14ac:dyDescent="0.3">
      <c r="A16" s="27"/>
      <c r="B16" s="10" t="str">
        <v>American Red Cross</v>
      </c>
      <c r="C16" s="10" t="str">
        <v>Africa</v>
      </c>
      <c r="D16" s="10" t="str">
        <v>Kenya</v>
      </c>
      <c r="E16" s="50">
        <v>55000</v>
      </c>
      <c r="F16" s="27"/>
    </row>
    <row r="17" spans="1:6" x14ac:dyDescent="0.3">
      <c r="A17" s="27"/>
      <c r="B17" s="10" t="str">
        <v>American Red Cross</v>
      </c>
      <c r="C17" s="10" t="str">
        <v>Asia Pacific</v>
      </c>
      <c r="D17" s="10" t="str">
        <v>Malaysia</v>
      </c>
      <c r="E17" s="50">
        <v>173512</v>
      </c>
      <c r="F17" s="27"/>
    </row>
    <row r="18" spans="1:6" x14ac:dyDescent="0.3">
      <c r="A18" s="27"/>
      <c r="B18" s="10" t="str">
        <v>American Red Cross</v>
      </c>
      <c r="C18" s="10" t="str">
        <v>Asia Pacific</v>
      </c>
      <c r="D18" s="10" t="str">
        <v>Marshall Islands</v>
      </c>
      <c r="E18" s="50">
        <v>50000</v>
      </c>
      <c r="F18" s="27"/>
    </row>
    <row r="19" spans="1:6" x14ac:dyDescent="0.3">
      <c r="A19" s="27"/>
      <c r="B19" s="10" t="str">
        <v>American Red Cross</v>
      </c>
      <c r="C19" s="10" t="str">
        <v>Asia Pacific</v>
      </c>
      <c r="D19" s="10" t="str">
        <v>Micronesia, Federated States of</v>
      </c>
      <c r="E19" s="50">
        <v>50000</v>
      </c>
      <c r="F19" s="27"/>
    </row>
    <row r="20" spans="1:6" x14ac:dyDescent="0.3">
      <c r="A20" s="27"/>
      <c r="B20" s="10" t="str">
        <v>American Red Cross</v>
      </c>
      <c r="C20" s="10" t="str">
        <v>Asia Pacific</v>
      </c>
      <c r="D20" s="10" t="str">
        <v>Nepal</v>
      </c>
      <c r="E20" s="50">
        <v>721730</v>
      </c>
      <c r="F20" s="27"/>
    </row>
    <row r="21" spans="1:6" x14ac:dyDescent="0.3">
      <c r="A21" s="27"/>
      <c r="B21" s="10" t="str">
        <v>American Red Cross</v>
      </c>
      <c r="C21" s="10" t="str">
        <v>Asia Pacific</v>
      </c>
      <c r="D21" s="10" t="str">
        <v>Palau</v>
      </c>
      <c r="E21" s="50">
        <v>75000</v>
      </c>
      <c r="F21" s="27"/>
    </row>
    <row r="22" spans="1:6" x14ac:dyDescent="0.3">
      <c r="A22" s="27"/>
      <c r="B22" s="10" t="str">
        <v>American Red Cross</v>
      </c>
      <c r="C22" s="10" t="str">
        <v>MENA</v>
      </c>
      <c r="D22" s="10" t="str">
        <v>Palestine, State of</v>
      </c>
      <c r="E22" s="50">
        <v>1000000</v>
      </c>
      <c r="F22" s="27"/>
    </row>
    <row r="23" spans="1:6" x14ac:dyDescent="0.3">
      <c r="A23" s="27"/>
      <c r="B23" s="10" t="str">
        <v>American Red Cross</v>
      </c>
      <c r="C23" s="10" t="str">
        <v>Asia Pacific</v>
      </c>
      <c r="D23" s="10" t="str">
        <v>Philippines</v>
      </c>
      <c r="E23" s="50">
        <v>440000</v>
      </c>
      <c r="F23" s="27"/>
    </row>
    <row r="24" spans="1:6" x14ac:dyDescent="0.3">
      <c r="A24" s="27"/>
      <c r="B24" s="10" t="str">
        <v>American Red Cross</v>
      </c>
      <c r="C24" s="10" t="str">
        <v>Asia Pacific</v>
      </c>
      <c r="D24" s="10" t="str">
        <v>Solomon Islands</v>
      </c>
      <c r="E24" s="50">
        <v>75000</v>
      </c>
      <c r="F24" s="27"/>
    </row>
    <row r="25" spans="1:6" x14ac:dyDescent="0.3">
      <c r="A25" s="27"/>
      <c r="B25" s="10" t="str">
        <v>American Red Cross</v>
      </c>
      <c r="C25" s="10" t="str">
        <v>Asia Pacific</v>
      </c>
      <c r="D25" s="10" t="str">
        <v>Timor-Leste</v>
      </c>
      <c r="E25" s="50">
        <v>250000</v>
      </c>
      <c r="F25" s="27"/>
    </row>
    <row r="26" spans="1:6" x14ac:dyDescent="0.3">
      <c r="A26" s="27"/>
      <c r="B26" s="10" t="str">
        <v>American Red Cross</v>
      </c>
      <c r="C26" s="10" t="str">
        <v>Asia Pacific</v>
      </c>
      <c r="D26" s="10" t="str">
        <v>Tuvalu</v>
      </c>
      <c r="E26" s="50">
        <v>50000</v>
      </c>
      <c r="F26" s="27"/>
    </row>
    <row r="27" spans="1:6" x14ac:dyDescent="0.3">
      <c r="A27" s="27"/>
      <c r="B27" s="10" t="str">
        <v>American Red Cross</v>
      </c>
      <c r="C27" s="10" t="str">
        <v>Asia Pacific</v>
      </c>
      <c r="D27" s="10" t="str">
        <v>Vanuatu</v>
      </c>
      <c r="E27" s="50">
        <v>75000</v>
      </c>
      <c r="F27" s="27"/>
    </row>
    <row r="28" spans="1:6" x14ac:dyDescent="0.3">
      <c r="A28" s="27"/>
      <c r="B28" s="10" t="str">
        <v>American Red Cross</v>
      </c>
      <c r="C28" s="10" t="str">
        <v>Africa</v>
      </c>
      <c r="D28" s="10" t="str">
        <v>Zambia</v>
      </c>
      <c r="E28" s="50">
        <v>200000</v>
      </c>
      <c r="F28" s="27"/>
    </row>
    <row r="29" spans="1:6" x14ac:dyDescent="0.3">
      <c r="A29" s="27"/>
      <c r="E29" s="50"/>
      <c r="F29" s="27"/>
    </row>
    <row r="30" spans="1:6" x14ac:dyDescent="0.3">
      <c r="A30" s="27"/>
      <c r="E30" s="50"/>
      <c r="F30" s="27"/>
    </row>
    <row r="31" spans="1:6" x14ac:dyDescent="0.3">
      <c r="A31" s="27"/>
      <c r="E31" s="50"/>
      <c r="F31" s="27"/>
    </row>
    <row r="32" spans="1:6" x14ac:dyDescent="0.3">
      <c r="A32" s="27"/>
      <c r="E32" s="50"/>
      <c r="F32" s="27"/>
    </row>
    <row r="33" spans="1:6" x14ac:dyDescent="0.3">
      <c r="A33" s="27"/>
      <c r="E33" s="50"/>
      <c r="F33" s="27"/>
    </row>
    <row r="34" spans="1:6" x14ac:dyDescent="0.3">
      <c r="A34" s="27"/>
      <c r="E34" s="50"/>
      <c r="F34" s="27"/>
    </row>
    <row r="35" spans="1:6" x14ac:dyDescent="0.3">
      <c r="A35" s="27"/>
      <c r="E35" s="50"/>
      <c r="F35" s="27"/>
    </row>
    <row r="36" spans="1:6" x14ac:dyDescent="0.3">
      <c r="A36" s="27"/>
      <c r="E36" s="50"/>
      <c r="F36" s="27"/>
    </row>
    <row r="37" spans="1:6" x14ac:dyDescent="0.3">
      <c r="A37" s="27"/>
      <c r="E37" s="50"/>
      <c r="F37" s="27"/>
    </row>
    <row r="38" spans="1:6" x14ac:dyDescent="0.3">
      <c r="A38" s="27"/>
      <c r="E38" s="50"/>
      <c r="F38" s="27"/>
    </row>
    <row r="39" spans="1:6" x14ac:dyDescent="0.3">
      <c r="A39" s="27"/>
      <c r="E39" s="50"/>
      <c r="F39" s="27"/>
    </row>
    <row r="40" spans="1:6" x14ac:dyDescent="0.3">
      <c r="A40" s="27"/>
      <c r="E40" s="50"/>
      <c r="F40" s="27"/>
    </row>
    <row r="41" spans="1:6" x14ac:dyDescent="0.3">
      <c r="A41" s="27"/>
      <c r="E41" s="50"/>
      <c r="F41" s="27"/>
    </row>
    <row r="42" spans="1:6" x14ac:dyDescent="0.3">
      <c r="A42" s="27"/>
      <c r="E42" s="50"/>
      <c r="F42" s="27"/>
    </row>
    <row r="43" spans="1:6" x14ac:dyDescent="0.3">
      <c r="A43" s="27"/>
      <c r="E43" s="50"/>
      <c r="F43" s="27"/>
    </row>
    <row r="44" spans="1:6" x14ac:dyDescent="0.3">
      <c r="A44" s="27"/>
      <c r="E44" s="50"/>
      <c r="F44" s="27"/>
    </row>
    <row r="45" spans="1:6" x14ac:dyDescent="0.3">
      <c r="A45" s="27"/>
      <c r="E45" s="50"/>
      <c r="F45" s="27"/>
    </row>
    <row r="46" spans="1:6" x14ac:dyDescent="0.3">
      <c r="A46" s="27"/>
      <c r="E46" s="50"/>
      <c r="F46" s="27"/>
    </row>
    <row r="47" spans="1:6" x14ac:dyDescent="0.3">
      <c r="A47" s="27"/>
      <c r="E47" s="50"/>
      <c r="F47" s="27"/>
    </row>
    <row r="48" spans="1:6" x14ac:dyDescent="0.3">
      <c r="A48" s="27"/>
      <c r="E48" s="50"/>
      <c r="F48" s="27"/>
    </row>
    <row r="49" spans="1:6" x14ac:dyDescent="0.3">
      <c r="A49" s="27"/>
      <c r="E49" s="50"/>
      <c r="F49" s="27"/>
    </row>
    <row r="50" spans="1:6" x14ac:dyDescent="0.3">
      <c r="A50" s="27"/>
      <c r="E50" s="50"/>
      <c r="F50" s="27"/>
    </row>
    <row r="51" spans="1:6" x14ac:dyDescent="0.3">
      <c r="A51" s="27"/>
      <c r="E51" s="50"/>
      <c r="F51" s="27"/>
    </row>
    <row r="52" spans="1:6" x14ac:dyDescent="0.3">
      <c r="A52" s="27"/>
      <c r="E52" s="50"/>
      <c r="F52" s="27"/>
    </row>
    <row r="53" spans="1:6" x14ac:dyDescent="0.3">
      <c r="A53" s="27"/>
      <c r="E53" s="50"/>
      <c r="F53" s="27"/>
    </row>
    <row r="54" spans="1:6" x14ac:dyDescent="0.3">
      <c r="A54" s="27"/>
      <c r="E54" s="50"/>
      <c r="F54" s="27"/>
    </row>
    <row r="55" spans="1:6" x14ac:dyDescent="0.3">
      <c r="A55" s="27"/>
      <c r="E55" s="50"/>
      <c r="F55" s="27"/>
    </row>
    <row r="56" spans="1:6" x14ac:dyDescent="0.3">
      <c r="A56" s="27"/>
      <c r="E56" s="50"/>
      <c r="F56" s="27"/>
    </row>
    <row r="57" spans="1:6" x14ac:dyDescent="0.3">
      <c r="A57" s="27"/>
      <c r="E57" s="50"/>
      <c r="F57" s="27"/>
    </row>
    <row r="58" spans="1:6" x14ac:dyDescent="0.3">
      <c r="A58" s="27"/>
      <c r="E58" s="35"/>
      <c r="F58" s="27"/>
    </row>
    <row r="59" spans="1:6" x14ac:dyDescent="0.3">
      <c r="A59" s="27"/>
      <c r="E59" s="35"/>
      <c r="F59" s="27"/>
    </row>
    <row r="60" spans="1:6" x14ac:dyDescent="0.3">
      <c r="A60" s="27"/>
      <c r="E60" s="35"/>
      <c r="F60" s="27"/>
    </row>
    <row r="61" spans="1:6" x14ac:dyDescent="0.3">
      <c r="A61" s="27"/>
      <c r="E61" s="35"/>
      <c r="F61" s="27"/>
    </row>
  </sheetData>
  <sheetProtection algorithmName="SHA-512" hashValue="xXnpPYT9J0fldKC2h2cO1BNBbcoGTsMvYINMPCXjOhB7hAkcTrWxy2Y8YCft0bwPIFT2R5az2bzfDiSNgtQJ0w==" saltValue="aIs1iti1TkqnadNhdTwSzw==" spinCount="100000" sheet="1" formatCells="0" formatRows="0" autoFilter="0"/>
  <mergeCells count="2">
    <mergeCell ref="B4:E4"/>
    <mergeCell ref="B2:E2"/>
  </mergeCells>
  <conditionalFormatting sqref="B9:C9">
    <cfRule type="expression" dxfId="12" priority="2">
      <formula>$B9="Select your NS name in the first page to see planned funding"</formula>
    </cfRule>
  </conditionalFormatting>
  <conditionalFormatting sqref="B9:E61">
    <cfRule type="expression" dxfId="11" priority="3">
      <formula>$C9="Total"</formula>
    </cfRule>
    <cfRule type="expression" dxfId="10" priority="4">
      <formula>B9=""</formula>
    </cfRule>
    <cfRule type="expression" dxfId="9" priority="5">
      <formula>B9&lt;&gt;""</formula>
    </cfRule>
  </conditionalFormatting>
  <conditionalFormatting sqref="C9">
    <cfRule type="expression" dxfId="8" priority="1">
      <formula>$B9="Select your NS name in the first page to see planned funding"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D4E8-9D23-4AA6-97E5-BC7E681A03D9}">
  <dimension ref="A1:D324"/>
  <sheetViews>
    <sheetView workbookViewId="0">
      <selection activeCell="A31" sqref="A31"/>
    </sheetView>
  </sheetViews>
  <sheetFormatPr defaultRowHeight="14.4" x14ac:dyDescent="0.3"/>
  <cols>
    <col min="1" max="1" width="57.21875" bestFit="1" customWidth="1"/>
    <col min="2" max="2" width="12" bestFit="1" customWidth="1"/>
    <col min="3" max="3" width="35.77734375" bestFit="1" customWidth="1"/>
    <col min="4" max="4" width="9" bestFit="1" customWidth="1"/>
  </cols>
  <sheetData>
    <row r="1" spans="1:4" x14ac:dyDescent="0.3">
      <c r="A1" t="s">
        <v>41</v>
      </c>
      <c r="B1" t="s">
        <v>14</v>
      </c>
      <c r="C1" t="s">
        <v>15</v>
      </c>
      <c r="D1" t="s">
        <v>43</v>
      </c>
    </row>
    <row r="2" spans="1:4" x14ac:dyDescent="0.3">
      <c r="A2" t="s">
        <v>2</v>
      </c>
      <c r="B2" t="s">
        <v>37</v>
      </c>
      <c r="C2" t="s">
        <v>44</v>
      </c>
      <c r="D2">
        <v>995022</v>
      </c>
    </row>
    <row r="3" spans="1:4" x14ac:dyDescent="0.3">
      <c r="A3" t="s">
        <v>2</v>
      </c>
      <c r="B3" t="s">
        <v>45</v>
      </c>
      <c r="C3" t="s">
        <v>46</v>
      </c>
      <c r="D3">
        <v>450000</v>
      </c>
    </row>
    <row r="4" spans="1:4" x14ac:dyDescent="0.3">
      <c r="A4" t="s">
        <v>2</v>
      </c>
      <c r="B4" t="s">
        <v>45</v>
      </c>
      <c r="C4" t="s">
        <v>47</v>
      </c>
      <c r="D4">
        <v>450000</v>
      </c>
    </row>
    <row r="5" spans="1:4" x14ac:dyDescent="0.3">
      <c r="A5" t="s">
        <v>2</v>
      </c>
      <c r="B5" t="s">
        <v>48</v>
      </c>
      <c r="C5" t="s">
        <v>49</v>
      </c>
      <c r="D5">
        <v>250000</v>
      </c>
    </row>
    <row r="6" spans="1:4" x14ac:dyDescent="0.3">
      <c r="A6" t="s">
        <v>2</v>
      </c>
      <c r="B6" t="s">
        <v>45</v>
      </c>
      <c r="C6" t="s">
        <v>50</v>
      </c>
      <c r="D6">
        <v>401274</v>
      </c>
    </row>
    <row r="7" spans="1:4" x14ac:dyDescent="0.3">
      <c r="A7" t="s">
        <v>2</v>
      </c>
      <c r="B7" t="s">
        <v>45</v>
      </c>
      <c r="C7" t="s">
        <v>51</v>
      </c>
      <c r="D7">
        <v>479776</v>
      </c>
    </row>
    <row r="8" spans="1:4" x14ac:dyDescent="0.3">
      <c r="A8" t="s">
        <v>2</v>
      </c>
      <c r="B8" t="s">
        <v>37</v>
      </c>
      <c r="C8" t="s">
        <v>52</v>
      </c>
      <c r="D8">
        <v>1091622</v>
      </c>
    </row>
    <row r="9" spans="1:4" x14ac:dyDescent="0.3">
      <c r="A9" t="s">
        <v>2</v>
      </c>
      <c r="B9" t="s">
        <v>48</v>
      </c>
      <c r="C9" t="s">
        <v>53</v>
      </c>
      <c r="D9">
        <v>55000</v>
      </c>
    </row>
    <row r="10" spans="1:4" x14ac:dyDescent="0.3">
      <c r="A10" t="s">
        <v>2</v>
      </c>
      <c r="B10" t="s">
        <v>37</v>
      </c>
      <c r="C10" t="s">
        <v>54</v>
      </c>
      <c r="D10">
        <v>173512</v>
      </c>
    </row>
    <row r="11" spans="1:4" x14ac:dyDescent="0.3">
      <c r="A11" t="s">
        <v>2</v>
      </c>
      <c r="B11" t="s">
        <v>37</v>
      </c>
      <c r="C11" t="s">
        <v>55</v>
      </c>
      <c r="D11">
        <v>50000</v>
      </c>
    </row>
    <row r="12" spans="1:4" x14ac:dyDescent="0.3">
      <c r="A12" t="s">
        <v>2</v>
      </c>
      <c r="B12" t="s">
        <v>37</v>
      </c>
      <c r="C12" t="s">
        <v>56</v>
      </c>
      <c r="D12">
        <v>50000</v>
      </c>
    </row>
    <row r="13" spans="1:4" x14ac:dyDescent="0.3">
      <c r="A13" t="s">
        <v>2</v>
      </c>
      <c r="B13" t="s">
        <v>37</v>
      </c>
      <c r="C13" t="s">
        <v>57</v>
      </c>
      <c r="D13">
        <v>721730</v>
      </c>
    </row>
    <row r="14" spans="1:4" x14ac:dyDescent="0.3">
      <c r="A14" t="s">
        <v>2</v>
      </c>
      <c r="B14" t="s">
        <v>37</v>
      </c>
      <c r="C14" t="s">
        <v>58</v>
      </c>
      <c r="D14">
        <v>75000</v>
      </c>
    </row>
    <row r="15" spans="1:4" x14ac:dyDescent="0.3">
      <c r="A15" t="s">
        <v>2</v>
      </c>
      <c r="B15" t="s">
        <v>59</v>
      </c>
      <c r="C15" t="s">
        <v>60</v>
      </c>
      <c r="D15">
        <v>1000000</v>
      </c>
    </row>
    <row r="16" spans="1:4" x14ac:dyDescent="0.3">
      <c r="A16" t="s">
        <v>2</v>
      </c>
      <c r="B16" t="s">
        <v>37</v>
      </c>
      <c r="C16" t="s">
        <v>61</v>
      </c>
      <c r="D16">
        <v>440000</v>
      </c>
    </row>
    <row r="17" spans="1:4" x14ac:dyDescent="0.3">
      <c r="A17" t="s">
        <v>2</v>
      </c>
      <c r="B17" t="s">
        <v>37</v>
      </c>
      <c r="C17" t="s">
        <v>62</v>
      </c>
      <c r="D17">
        <v>75000</v>
      </c>
    </row>
    <row r="18" spans="1:4" x14ac:dyDescent="0.3">
      <c r="A18" t="s">
        <v>2</v>
      </c>
      <c r="B18" t="s">
        <v>37</v>
      </c>
      <c r="C18" t="s">
        <v>63</v>
      </c>
      <c r="D18">
        <v>250000</v>
      </c>
    </row>
    <row r="19" spans="1:4" x14ac:dyDescent="0.3">
      <c r="A19" t="s">
        <v>2</v>
      </c>
      <c r="B19" t="s">
        <v>37</v>
      </c>
      <c r="C19" t="s">
        <v>64</v>
      </c>
      <c r="D19">
        <v>50000</v>
      </c>
    </row>
    <row r="20" spans="1:4" x14ac:dyDescent="0.3">
      <c r="A20" t="s">
        <v>2</v>
      </c>
      <c r="B20" t="s">
        <v>37</v>
      </c>
      <c r="C20" t="s">
        <v>65</v>
      </c>
      <c r="D20">
        <v>75000</v>
      </c>
    </row>
    <row r="21" spans="1:4" x14ac:dyDescent="0.3">
      <c r="A21" t="s">
        <v>2</v>
      </c>
      <c r="B21" t="s">
        <v>48</v>
      </c>
      <c r="C21" t="s">
        <v>66</v>
      </c>
      <c r="D21">
        <v>200000</v>
      </c>
    </row>
    <row r="22" spans="1:4" x14ac:dyDescent="0.3">
      <c r="A22" t="s">
        <v>67</v>
      </c>
      <c r="B22" t="s">
        <v>37</v>
      </c>
      <c r="C22" t="s">
        <v>68</v>
      </c>
      <c r="D22">
        <v>749485</v>
      </c>
    </row>
    <row r="23" spans="1:4" x14ac:dyDescent="0.3">
      <c r="A23" t="s">
        <v>69</v>
      </c>
      <c r="B23" t="s">
        <v>70</v>
      </c>
      <c r="C23" t="s">
        <v>71</v>
      </c>
      <c r="D23">
        <v>135000</v>
      </c>
    </row>
    <row r="24" spans="1:4" x14ac:dyDescent="0.3">
      <c r="A24" t="s">
        <v>69</v>
      </c>
      <c r="B24" t="s">
        <v>70</v>
      </c>
      <c r="C24" t="s">
        <v>72</v>
      </c>
      <c r="D24">
        <v>726400</v>
      </c>
    </row>
    <row r="25" spans="1:4" x14ac:dyDescent="0.3">
      <c r="A25" t="s">
        <v>69</v>
      </c>
      <c r="B25" t="s">
        <v>70</v>
      </c>
      <c r="C25" t="s">
        <v>73</v>
      </c>
      <c r="D25">
        <v>25000</v>
      </c>
    </row>
    <row r="26" spans="1:4" x14ac:dyDescent="0.3">
      <c r="A26" t="s">
        <v>69</v>
      </c>
      <c r="B26" t="s">
        <v>48</v>
      </c>
      <c r="C26" t="s">
        <v>74</v>
      </c>
      <c r="D26">
        <v>1340000</v>
      </c>
    </row>
    <row r="27" spans="1:4" x14ac:dyDescent="0.3">
      <c r="A27" t="s">
        <v>69</v>
      </c>
      <c r="B27" t="s">
        <v>48</v>
      </c>
      <c r="C27" t="s">
        <v>49</v>
      </c>
      <c r="D27">
        <v>5107000</v>
      </c>
    </row>
    <row r="28" spans="1:4" x14ac:dyDescent="0.3">
      <c r="A28" t="s">
        <v>69</v>
      </c>
      <c r="B28" t="s">
        <v>70</v>
      </c>
      <c r="C28" t="s">
        <v>75</v>
      </c>
      <c r="D28">
        <v>113400</v>
      </c>
    </row>
    <row r="29" spans="1:4" x14ac:dyDescent="0.3">
      <c r="A29" t="s">
        <v>69</v>
      </c>
      <c r="B29" t="s">
        <v>59</v>
      </c>
      <c r="C29" t="s">
        <v>76</v>
      </c>
      <c r="D29">
        <v>1900000</v>
      </c>
    </row>
    <row r="30" spans="1:4" x14ac:dyDescent="0.3">
      <c r="A30" t="s">
        <v>69</v>
      </c>
      <c r="B30" t="s">
        <v>48</v>
      </c>
      <c r="C30" t="s">
        <v>77</v>
      </c>
      <c r="D30">
        <v>618000</v>
      </c>
    </row>
    <row r="31" spans="1:4" x14ac:dyDescent="0.3">
      <c r="A31" t="s">
        <v>69</v>
      </c>
      <c r="B31" t="s">
        <v>70</v>
      </c>
      <c r="C31" t="s">
        <v>78</v>
      </c>
      <c r="D31">
        <v>98000</v>
      </c>
    </row>
    <row r="32" spans="1:4" x14ac:dyDescent="0.3">
      <c r="A32" t="s">
        <v>69</v>
      </c>
      <c r="B32" t="s">
        <v>48</v>
      </c>
      <c r="C32" t="s">
        <v>79</v>
      </c>
      <c r="D32">
        <v>950000</v>
      </c>
    </row>
    <row r="33" spans="1:4" x14ac:dyDescent="0.3">
      <c r="A33" t="s">
        <v>69</v>
      </c>
      <c r="B33" t="s">
        <v>70</v>
      </c>
      <c r="C33" t="s">
        <v>80</v>
      </c>
      <c r="D33">
        <v>98000</v>
      </c>
    </row>
    <row r="34" spans="1:4" x14ac:dyDescent="0.3">
      <c r="A34" t="s">
        <v>69</v>
      </c>
      <c r="B34" t="s">
        <v>59</v>
      </c>
      <c r="C34" t="s">
        <v>81</v>
      </c>
      <c r="D34">
        <v>200000</v>
      </c>
    </row>
    <row r="35" spans="1:4" x14ac:dyDescent="0.3">
      <c r="A35" t="s">
        <v>69</v>
      </c>
      <c r="B35" t="s">
        <v>48</v>
      </c>
      <c r="C35" t="s">
        <v>82</v>
      </c>
      <c r="D35">
        <v>2653000</v>
      </c>
    </row>
    <row r="36" spans="1:4" x14ac:dyDescent="0.3">
      <c r="A36" t="s">
        <v>69</v>
      </c>
      <c r="B36" t="s">
        <v>70</v>
      </c>
      <c r="C36" t="s">
        <v>83</v>
      </c>
      <c r="D36">
        <v>9200000</v>
      </c>
    </row>
    <row r="37" spans="1:4" x14ac:dyDescent="0.3">
      <c r="A37" t="s">
        <v>84</v>
      </c>
      <c r="B37" t="s">
        <v>48</v>
      </c>
      <c r="C37" t="s">
        <v>85</v>
      </c>
      <c r="D37">
        <v>306000</v>
      </c>
    </row>
    <row r="38" spans="1:4" x14ac:dyDescent="0.3">
      <c r="A38" t="s">
        <v>84</v>
      </c>
      <c r="B38" t="s">
        <v>48</v>
      </c>
      <c r="C38" t="s">
        <v>74</v>
      </c>
      <c r="D38">
        <v>5493737</v>
      </c>
    </row>
    <row r="39" spans="1:4" x14ac:dyDescent="0.3">
      <c r="A39" t="s">
        <v>84</v>
      </c>
      <c r="B39" t="s">
        <v>48</v>
      </c>
      <c r="C39" t="s">
        <v>86</v>
      </c>
      <c r="D39">
        <v>2158563</v>
      </c>
    </row>
    <row r="40" spans="1:4" x14ac:dyDescent="0.3">
      <c r="A40" t="s">
        <v>84</v>
      </c>
      <c r="B40" t="s">
        <v>48</v>
      </c>
      <c r="C40" t="s">
        <v>87</v>
      </c>
      <c r="D40">
        <v>992345</v>
      </c>
    </row>
    <row r="41" spans="1:4" x14ac:dyDescent="0.3">
      <c r="A41" t="s">
        <v>84</v>
      </c>
      <c r="B41" t="s">
        <v>48</v>
      </c>
      <c r="C41" t="s">
        <v>88</v>
      </c>
      <c r="D41">
        <v>245709</v>
      </c>
    </row>
    <row r="42" spans="1:4" x14ac:dyDescent="0.3">
      <c r="A42" t="s">
        <v>84</v>
      </c>
      <c r="B42" t="s">
        <v>48</v>
      </c>
      <c r="C42" t="s">
        <v>89</v>
      </c>
      <c r="D42">
        <v>793773</v>
      </c>
    </row>
    <row r="43" spans="1:4" x14ac:dyDescent="0.3">
      <c r="A43" t="s">
        <v>84</v>
      </c>
      <c r="B43" t="s">
        <v>48</v>
      </c>
      <c r="C43" t="s">
        <v>77</v>
      </c>
      <c r="D43">
        <v>1320000</v>
      </c>
    </row>
    <row r="44" spans="1:4" x14ac:dyDescent="0.3">
      <c r="A44" t="s">
        <v>84</v>
      </c>
      <c r="B44" t="s">
        <v>48</v>
      </c>
      <c r="C44" t="s">
        <v>90</v>
      </c>
      <c r="D44">
        <v>1377970</v>
      </c>
    </row>
    <row r="45" spans="1:4" x14ac:dyDescent="0.3">
      <c r="A45" t="s">
        <v>84</v>
      </c>
      <c r="B45" t="s">
        <v>48</v>
      </c>
      <c r="C45" t="s">
        <v>79</v>
      </c>
      <c r="D45">
        <v>1611873</v>
      </c>
    </row>
    <row r="46" spans="1:4" x14ac:dyDescent="0.3">
      <c r="A46" t="s">
        <v>84</v>
      </c>
      <c r="B46" t="s">
        <v>48</v>
      </c>
      <c r="C46" t="s">
        <v>91</v>
      </c>
      <c r="D46">
        <v>359295</v>
      </c>
    </row>
    <row r="47" spans="1:4" x14ac:dyDescent="0.3">
      <c r="A47" t="s">
        <v>84</v>
      </c>
      <c r="B47" t="s">
        <v>48</v>
      </c>
      <c r="C47" t="s">
        <v>82</v>
      </c>
      <c r="D47">
        <v>914000</v>
      </c>
    </row>
    <row r="48" spans="1:4" x14ac:dyDescent="0.3">
      <c r="A48" t="s">
        <v>92</v>
      </c>
      <c r="B48" t="s">
        <v>37</v>
      </c>
      <c r="C48" t="s">
        <v>44</v>
      </c>
      <c r="D48">
        <v>2269001</v>
      </c>
    </row>
    <row r="49" spans="1:4" x14ac:dyDescent="0.3">
      <c r="A49" t="s">
        <v>92</v>
      </c>
      <c r="B49" t="s">
        <v>48</v>
      </c>
      <c r="C49" t="s">
        <v>74</v>
      </c>
      <c r="D49">
        <v>195000</v>
      </c>
    </row>
    <row r="50" spans="1:4" x14ac:dyDescent="0.3">
      <c r="A50" t="s">
        <v>92</v>
      </c>
      <c r="B50" t="s">
        <v>48</v>
      </c>
      <c r="C50" t="s">
        <v>93</v>
      </c>
      <c r="D50">
        <v>1085000</v>
      </c>
    </row>
    <row r="51" spans="1:4" x14ac:dyDescent="0.3">
      <c r="A51" t="s">
        <v>92</v>
      </c>
      <c r="B51" t="s">
        <v>48</v>
      </c>
      <c r="C51" t="s">
        <v>94</v>
      </c>
      <c r="D51">
        <v>551123</v>
      </c>
    </row>
    <row r="52" spans="1:4" x14ac:dyDescent="0.3">
      <c r="A52" t="s">
        <v>92</v>
      </c>
      <c r="B52" t="s">
        <v>48</v>
      </c>
      <c r="C52" t="s">
        <v>49</v>
      </c>
      <c r="D52">
        <v>101367</v>
      </c>
    </row>
    <row r="53" spans="1:4" x14ac:dyDescent="0.3">
      <c r="A53" t="s">
        <v>92</v>
      </c>
      <c r="B53" t="s">
        <v>59</v>
      </c>
      <c r="C53" t="s">
        <v>95</v>
      </c>
      <c r="D53">
        <v>162000</v>
      </c>
    </row>
    <row r="54" spans="1:4" x14ac:dyDescent="0.3">
      <c r="A54" t="s">
        <v>92</v>
      </c>
      <c r="B54" t="s">
        <v>48</v>
      </c>
      <c r="C54" t="s">
        <v>53</v>
      </c>
      <c r="D54">
        <v>1713036</v>
      </c>
    </row>
    <row r="55" spans="1:4" x14ac:dyDescent="0.3">
      <c r="A55" t="s">
        <v>92</v>
      </c>
      <c r="B55" t="s">
        <v>59</v>
      </c>
      <c r="C55" t="s">
        <v>76</v>
      </c>
      <c r="D55">
        <v>1825000</v>
      </c>
    </row>
    <row r="56" spans="1:4" x14ac:dyDescent="0.3">
      <c r="A56" t="s">
        <v>92</v>
      </c>
      <c r="B56" t="s">
        <v>59</v>
      </c>
      <c r="C56" t="s">
        <v>96</v>
      </c>
      <c r="D56">
        <v>1630000</v>
      </c>
    </row>
    <row r="57" spans="1:4" x14ac:dyDescent="0.3">
      <c r="A57" t="s">
        <v>92</v>
      </c>
      <c r="B57" t="s">
        <v>48</v>
      </c>
      <c r="C57" t="s">
        <v>97</v>
      </c>
      <c r="D57">
        <v>560000</v>
      </c>
    </row>
    <row r="58" spans="1:4" x14ac:dyDescent="0.3">
      <c r="A58" t="s">
        <v>92</v>
      </c>
      <c r="B58" t="s">
        <v>59</v>
      </c>
      <c r="C58" t="s">
        <v>98</v>
      </c>
      <c r="D58">
        <v>500000</v>
      </c>
    </row>
    <row r="59" spans="1:4" x14ac:dyDescent="0.3">
      <c r="A59" t="s">
        <v>92</v>
      </c>
      <c r="B59" t="s">
        <v>37</v>
      </c>
      <c r="C59" t="s">
        <v>57</v>
      </c>
      <c r="D59">
        <v>1344000</v>
      </c>
    </row>
    <row r="60" spans="1:4" x14ac:dyDescent="0.3">
      <c r="A60" t="s">
        <v>92</v>
      </c>
      <c r="B60" t="s">
        <v>48</v>
      </c>
      <c r="C60" t="s">
        <v>90</v>
      </c>
      <c r="D60">
        <v>332000</v>
      </c>
    </row>
    <row r="61" spans="1:4" x14ac:dyDescent="0.3">
      <c r="A61" t="s">
        <v>92</v>
      </c>
      <c r="B61" t="s">
        <v>48</v>
      </c>
      <c r="C61" t="s">
        <v>99</v>
      </c>
      <c r="D61">
        <v>750000</v>
      </c>
    </row>
    <row r="62" spans="1:4" x14ac:dyDescent="0.3">
      <c r="A62" t="s">
        <v>92</v>
      </c>
      <c r="B62" t="s">
        <v>59</v>
      </c>
      <c r="C62" t="s">
        <v>60</v>
      </c>
      <c r="D62">
        <v>4025000</v>
      </c>
    </row>
    <row r="63" spans="1:4" x14ac:dyDescent="0.3">
      <c r="A63" t="s">
        <v>92</v>
      </c>
      <c r="B63" t="s">
        <v>70</v>
      </c>
      <c r="C63" t="s">
        <v>100</v>
      </c>
      <c r="D63">
        <v>520000</v>
      </c>
    </row>
    <row r="64" spans="1:4" x14ac:dyDescent="0.3">
      <c r="A64" t="s">
        <v>92</v>
      </c>
      <c r="B64" t="s">
        <v>48</v>
      </c>
      <c r="C64" t="s">
        <v>101</v>
      </c>
      <c r="D64">
        <v>40000</v>
      </c>
    </row>
    <row r="65" spans="1:4" x14ac:dyDescent="0.3">
      <c r="A65" t="s">
        <v>92</v>
      </c>
      <c r="B65" t="s">
        <v>48</v>
      </c>
      <c r="C65" t="s">
        <v>102</v>
      </c>
      <c r="D65">
        <v>177656</v>
      </c>
    </row>
    <row r="66" spans="1:4" x14ac:dyDescent="0.3">
      <c r="A66" t="s">
        <v>92</v>
      </c>
      <c r="B66" t="s">
        <v>59</v>
      </c>
      <c r="C66" t="s">
        <v>81</v>
      </c>
      <c r="D66">
        <v>6656000</v>
      </c>
    </row>
    <row r="67" spans="1:4" x14ac:dyDescent="0.3">
      <c r="A67" t="s">
        <v>92</v>
      </c>
      <c r="B67" t="s">
        <v>70</v>
      </c>
      <c r="C67" t="s">
        <v>103</v>
      </c>
      <c r="D67">
        <v>5949895</v>
      </c>
    </row>
    <row r="68" spans="1:4" x14ac:dyDescent="0.3">
      <c r="A68" t="s">
        <v>92</v>
      </c>
      <c r="B68" t="s">
        <v>70</v>
      </c>
      <c r="C68" t="s">
        <v>83</v>
      </c>
      <c r="D68">
        <v>5000000</v>
      </c>
    </row>
    <row r="69" spans="1:4" x14ac:dyDescent="0.3">
      <c r="A69" t="s">
        <v>92</v>
      </c>
      <c r="B69" t="s">
        <v>59</v>
      </c>
      <c r="C69" t="s">
        <v>104</v>
      </c>
      <c r="D69">
        <v>487000</v>
      </c>
    </row>
    <row r="70" spans="1:4" x14ac:dyDescent="0.3">
      <c r="A70" t="s">
        <v>92</v>
      </c>
      <c r="B70" t="s">
        <v>48</v>
      </c>
      <c r="C70" t="s">
        <v>105</v>
      </c>
      <c r="D70">
        <v>274437</v>
      </c>
    </row>
    <row r="71" spans="1:4" x14ac:dyDescent="0.3">
      <c r="A71" t="s">
        <v>106</v>
      </c>
      <c r="B71" t="s">
        <v>37</v>
      </c>
      <c r="C71" t="s">
        <v>107</v>
      </c>
      <c r="D71">
        <v>1700000</v>
      </c>
    </row>
    <row r="72" spans="1:4" x14ac:dyDescent="0.3">
      <c r="A72" t="s">
        <v>106</v>
      </c>
      <c r="B72" t="s">
        <v>37</v>
      </c>
      <c r="C72" t="s">
        <v>44</v>
      </c>
      <c r="D72">
        <v>1900000</v>
      </c>
    </row>
    <row r="73" spans="1:4" x14ac:dyDescent="0.3">
      <c r="A73" t="s">
        <v>106</v>
      </c>
      <c r="B73" t="s">
        <v>48</v>
      </c>
      <c r="C73" t="s">
        <v>74</v>
      </c>
      <c r="D73">
        <v>300000</v>
      </c>
    </row>
    <row r="74" spans="1:4" x14ac:dyDescent="0.3">
      <c r="A74" t="s">
        <v>106</v>
      </c>
      <c r="B74" t="s">
        <v>48</v>
      </c>
      <c r="C74" t="s">
        <v>49</v>
      </c>
      <c r="D74">
        <v>3200000</v>
      </c>
    </row>
    <row r="75" spans="1:4" x14ac:dyDescent="0.3">
      <c r="A75" t="s">
        <v>106</v>
      </c>
      <c r="B75" t="s">
        <v>59</v>
      </c>
      <c r="C75" t="s">
        <v>95</v>
      </c>
      <c r="D75">
        <v>1400000</v>
      </c>
    </row>
    <row r="76" spans="1:4" x14ac:dyDescent="0.3">
      <c r="A76" t="s">
        <v>106</v>
      </c>
      <c r="B76" t="s">
        <v>48</v>
      </c>
      <c r="C76" t="s">
        <v>53</v>
      </c>
      <c r="D76">
        <v>1500000</v>
      </c>
    </row>
    <row r="77" spans="1:4" x14ac:dyDescent="0.3">
      <c r="A77" t="s">
        <v>106</v>
      </c>
      <c r="B77" t="s">
        <v>59</v>
      </c>
      <c r="C77" t="s">
        <v>76</v>
      </c>
      <c r="D77">
        <v>4000000</v>
      </c>
    </row>
    <row r="78" spans="1:4" x14ac:dyDescent="0.3">
      <c r="A78" t="s">
        <v>106</v>
      </c>
      <c r="B78" t="s">
        <v>48</v>
      </c>
      <c r="C78" t="s">
        <v>88</v>
      </c>
      <c r="D78">
        <v>1300000</v>
      </c>
    </row>
    <row r="79" spans="1:4" x14ac:dyDescent="0.3">
      <c r="A79" t="s">
        <v>106</v>
      </c>
      <c r="B79" t="s">
        <v>48</v>
      </c>
      <c r="C79" t="s">
        <v>89</v>
      </c>
      <c r="D79">
        <v>3000000</v>
      </c>
    </row>
    <row r="80" spans="1:4" x14ac:dyDescent="0.3">
      <c r="A80" t="s">
        <v>106</v>
      </c>
      <c r="B80" t="s">
        <v>37</v>
      </c>
      <c r="C80" t="s">
        <v>108</v>
      </c>
      <c r="D80">
        <v>1400000</v>
      </c>
    </row>
    <row r="81" spans="1:4" x14ac:dyDescent="0.3">
      <c r="A81" t="s">
        <v>106</v>
      </c>
      <c r="B81" t="s">
        <v>37</v>
      </c>
      <c r="C81" t="s">
        <v>57</v>
      </c>
      <c r="D81">
        <v>1600000</v>
      </c>
    </row>
    <row r="82" spans="1:4" x14ac:dyDescent="0.3">
      <c r="A82" t="s">
        <v>106</v>
      </c>
      <c r="B82" t="s">
        <v>48</v>
      </c>
      <c r="C82" t="s">
        <v>90</v>
      </c>
      <c r="D82">
        <v>2500000</v>
      </c>
    </row>
    <row r="83" spans="1:4" x14ac:dyDescent="0.3">
      <c r="A83" t="s">
        <v>106</v>
      </c>
      <c r="B83" t="s">
        <v>48</v>
      </c>
      <c r="C83" t="s">
        <v>102</v>
      </c>
      <c r="D83">
        <v>3500000</v>
      </c>
    </row>
    <row r="84" spans="1:4" x14ac:dyDescent="0.3">
      <c r="A84" t="s">
        <v>106</v>
      </c>
      <c r="B84" t="s">
        <v>48</v>
      </c>
      <c r="C84" t="s">
        <v>109</v>
      </c>
      <c r="D84">
        <v>2500000</v>
      </c>
    </row>
    <row r="85" spans="1:4" x14ac:dyDescent="0.3">
      <c r="A85" t="s">
        <v>106</v>
      </c>
      <c r="B85" t="s">
        <v>48</v>
      </c>
      <c r="C85" t="s">
        <v>110</v>
      </c>
      <c r="D85">
        <v>3500000</v>
      </c>
    </row>
    <row r="86" spans="1:4" x14ac:dyDescent="0.3">
      <c r="A86" t="s">
        <v>106</v>
      </c>
      <c r="B86" t="s">
        <v>59</v>
      </c>
      <c r="C86" t="s">
        <v>81</v>
      </c>
      <c r="D86">
        <v>3600000</v>
      </c>
    </row>
    <row r="87" spans="1:4" x14ac:dyDescent="0.3">
      <c r="A87" t="s">
        <v>106</v>
      </c>
      <c r="B87" t="s">
        <v>70</v>
      </c>
      <c r="C87" t="s">
        <v>83</v>
      </c>
      <c r="D87">
        <v>19500000</v>
      </c>
    </row>
    <row r="88" spans="1:4" x14ac:dyDescent="0.3">
      <c r="A88" t="s">
        <v>106</v>
      </c>
      <c r="B88" t="s">
        <v>59</v>
      </c>
      <c r="C88" t="s">
        <v>104</v>
      </c>
      <c r="D88">
        <v>1650000</v>
      </c>
    </row>
    <row r="89" spans="1:4" x14ac:dyDescent="0.3">
      <c r="A89" t="s">
        <v>106</v>
      </c>
      <c r="B89" t="s">
        <v>48</v>
      </c>
      <c r="C89" t="s">
        <v>105</v>
      </c>
      <c r="D89">
        <v>120000</v>
      </c>
    </row>
    <row r="90" spans="1:4" x14ac:dyDescent="0.3">
      <c r="A90" t="s">
        <v>111</v>
      </c>
      <c r="B90" t="s">
        <v>37</v>
      </c>
      <c r="C90" t="s">
        <v>112</v>
      </c>
      <c r="D90">
        <v>70000</v>
      </c>
    </row>
    <row r="91" spans="1:4" x14ac:dyDescent="0.3">
      <c r="A91" t="s">
        <v>111</v>
      </c>
      <c r="B91" t="s">
        <v>48</v>
      </c>
      <c r="C91" t="s">
        <v>74</v>
      </c>
      <c r="D91">
        <v>440000</v>
      </c>
    </row>
    <row r="92" spans="1:4" x14ac:dyDescent="0.3">
      <c r="A92" t="s">
        <v>111</v>
      </c>
      <c r="B92" t="s">
        <v>48</v>
      </c>
      <c r="C92" t="s">
        <v>86</v>
      </c>
      <c r="D92">
        <v>1005000</v>
      </c>
    </row>
    <row r="93" spans="1:4" x14ac:dyDescent="0.3">
      <c r="A93" t="s">
        <v>111</v>
      </c>
      <c r="B93" t="s">
        <v>48</v>
      </c>
      <c r="C93" t="s">
        <v>94</v>
      </c>
      <c r="D93">
        <v>1000000</v>
      </c>
    </row>
    <row r="94" spans="1:4" x14ac:dyDescent="0.3">
      <c r="A94" t="s">
        <v>111</v>
      </c>
      <c r="B94" t="s">
        <v>48</v>
      </c>
      <c r="C94" t="s">
        <v>49</v>
      </c>
      <c r="D94">
        <v>1040000</v>
      </c>
    </row>
    <row r="95" spans="1:4" x14ac:dyDescent="0.3">
      <c r="A95" t="s">
        <v>111</v>
      </c>
      <c r="B95" t="s">
        <v>48</v>
      </c>
      <c r="C95" t="s">
        <v>53</v>
      </c>
      <c r="D95">
        <v>1550000</v>
      </c>
    </row>
    <row r="96" spans="1:4" x14ac:dyDescent="0.3">
      <c r="A96" t="s">
        <v>111</v>
      </c>
      <c r="B96" t="s">
        <v>37</v>
      </c>
      <c r="C96" t="s">
        <v>108</v>
      </c>
      <c r="D96">
        <v>570000</v>
      </c>
    </row>
    <row r="97" spans="1:4" x14ac:dyDescent="0.3">
      <c r="A97" t="s">
        <v>111</v>
      </c>
      <c r="B97" t="s">
        <v>37</v>
      </c>
      <c r="C97" t="s">
        <v>57</v>
      </c>
      <c r="D97">
        <v>414000</v>
      </c>
    </row>
    <row r="98" spans="1:4" x14ac:dyDescent="0.3">
      <c r="A98" t="s">
        <v>111</v>
      </c>
      <c r="B98" t="s">
        <v>48</v>
      </c>
      <c r="C98" t="s">
        <v>90</v>
      </c>
      <c r="D98">
        <v>250000</v>
      </c>
    </row>
    <row r="99" spans="1:4" x14ac:dyDescent="0.3">
      <c r="A99" t="s">
        <v>111</v>
      </c>
      <c r="B99" t="s">
        <v>37</v>
      </c>
      <c r="C99" t="s">
        <v>61</v>
      </c>
      <c r="D99">
        <v>50000</v>
      </c>
    </row>
    <row r="100" spans="1:4" x14ac:dyDescent="0.3">
      <c r="A100" t="s">
        <v>111</v>
      </c>
      <c r="B100" t="s">
        <v>48</v>
      </c>
      <c r="C100" t="s">
        <v>79</v>
      </c>
      <c r="D100">
        <v>100000</v>
      </c>
    </row>
    <row r="101" spans="1:4" x14ac:dyDescent="0.3">
      <c r="A101" t="s">
        <v>111</v>
      </c>
      <c r="B101" t="s">
        <v>48</v>
      </c>
      <c r="C101" t="s">
        <v>101</v>
      </c>
      <c r="D101">
        <v>255000</v>
      </c>
    </row>
    <row r="102" spans="1:4" x14ac:dyDescent="0.3">
      <c r="A102" t="s">
        <v>111</v>
      </c>
      <c r="B102" t="s">
        <v>48</v>
      </c>
      <c r="C102" t="s">
        <v>102</v>
      </c>
      <c r="D102">
        <v>3700000</v>
      </c>
    </row>
    <row r="103" spans="1:4" x14ac:dyDescent="0.3">
      <c r="A103" t="s">
        <v>111</v>
      </c>
      <c r="B103" t="s">
        <v>48</v>
      </c>
      <c r="C103" t="s">
        <v>109</v>
      </c>
      <c r="D103">
        <v>2480000</v>
      </c>
    </row>
    <row r="104" spans="1:4" x14ac:dyDescent="0.3">
      <c r="A104" t="s">
        <v>111</v>
      </c>
      <c r="B104" t="s">
        <v>70</v>
      </c>
      <c r="C104" t="s">
        <v>113</v>
      </c>
      <c r="D104">
        <v>150000</v>
      </c>
    </row>
    <row r="105" spans="1:4" x14ac:dyDescent="0.3">
      <c r="A105" t="s">
        <v>111</v>
      </c>
      <c r="B105" t="s">
        <v>48</v>
      </c>
      <c r="C105" t="s">
        <v>114</v>
      </c>
      <c r="D105">
        <v>100000</v>
      </c>
    </row>
    <row r="106" spans="1:4" x14ac:dyDescent="0.3">
      <c r="A106" t="s">
        <v>111</v>
      </c>
      <c r="B106" t="s">
        <v>70</v>
      </c>
      <c r="C106" t="s">
        <v>83</v>
      </c>
      <c r="D106">
        <v>4500000</v>
      </c>
    </row>
    <row r="107" spans="1:4" x14ac:dyDescent="0.3">
      <c r="A107" t="s">
        <v>111</v>
      </c>
      <c r="B107" t="s">
        <v>59</v>
      </c>
      <c r="C107" t="s">
        <v>104</v>
      </c>
      <c r="D107">
        <v>220000</v>
      </c>
    </row>
    <row r="108" spans="1:4" x14ac:dyDescent="0.3">
      <c r="A108" t="s">
        <v>111</v>
      </c>
      <c r="B108" t="s">
        <v>48</v>
      </c>
      <c r="C108" t="s">
        <v>105</v>
      </c>
      <c r="D108">
        <v>1830000</v>
      </c>
    </row>
    <row r="109" spans="1:4" x14ac:dyDescent="0.3">
      <c r="A109" t="s">
        <v>115</v>
      </c>
      <c r="B109" t="s">
        <v>48</v>
      </c>
      <c r="C109" t="s">
        <v>85</v>
      </c>
      <c r="D109">
        <v>280000</v>
      </c>
    </row>
    <row r="110" spans="1:4" x14ac:dyDescent="0.3">
      <c r="A110" t="s">
        <v>115</v>
      </c>
      <c r="B110" t="s">
        <v>48</v>
      </c>
      <c r="C110" t="s">
        <v>86</v>
      </c>
      <c r="D110">
        <v>1568684</v>
      </c>
    </row>
    <row r="111" spans="1:4" x14ac:dyDescent="0.3">
      <c r="A111" t="s">
        <v>115</v>
      </c>
      <c r="B111" t="s">
        <v>48</v>
      </c>
      <c r="C111" t="s">
        <v>116</v>
      </c>
      <c r="D111">
        <v>1354234</v>
      </c>
    </row>
    <row r="112" spans="1:4" x14ac:dyDescent="0.3">
      <c r="A112" t="s">
        <v>115</v>
      </c>
      <c r="B112" t="s">
        <v>48</v>
      </c>
      <c r="C112" t="s">
        <v>93</v>
      </c>
      <c r="D112">
        <v>9393296</v>
      </c>
    </row>
    <row r="113" spans="1:4" x14ac:dyDescent="0.3">
      <c r="A113" t="s">
        <v>115</v>
      </c>
      <c r="B113" t="s">
        <v>48</v>
      </c>
      <c r="C113" t="s">
        <v>117</v>
      </c>
      <c r="D113">
        <v>1358300</v>
      </c>
    </row>
    <row r="114" spans="1:4" x14ac:dyDescent="0.3">
      <c r="A114" t="s">
        <v>115</v>
      </c>
      <c r="B114" t="s">
        <v>48</v>
      </c>
      <c r="C114" t="s">
        <v>87</v>
      </c>
      <c r="D114">
        <v>1972800</v>
      </c>
    </row>
    <row r="115" spans="1:4" x14ac:dyDescent="0.3">
      <c r="A115" t="s">
        <v>115</v>
      </c>
      <c r="B115" t="s">
        <v>59</v>
      </c>
      <c r="C115" t="s">
        <v>76</v>
      </c>
      <c r="D115">
        <v>3000000</v>
      </c>
    </row>
    <row r="116" spans="1:4" x14ac:dyDescent="0.3">
      <c r="A116" t="s">
        <v>115</v>
      </c>
      <c r="B116" t="s">
        <v>48</v>
      </c>
      <c r="C116" t="s">
        <v>118</v>
      </c>
      <c r="D116">
        <v>2025000</v>
      </c>
    </row>
    <row r="117" spans="1:4" x14ac:dyDescent="0.3">
      <c r="A117" t="s">
        <v>115</v>
      </c>
      <c r="B117" t="s">
        <v>48</v>
      </c>
      <c r="C117" t="s">
        <v>119</v>
      </c>
      <c r="D117">
        <v>95000</v>
      </c>
    </row>
    <row r="118" spans="1:4" x14ac:dyDescent="0.3">
      <c r="A118" t="s">
        <v>115</v>
      </c>
      <c r="B118" t="s">
        <v>70</v>
      </c>
      <c r="C118" t="s">
        <v>120</v>
      </c>
      <c r="D118">
        <v>200000</v>
      </c>
    </row>
    <row r="119" spans="1:4" x14ac:dyDescent="0.3">
      <c r="A119" t="s">
        <v>115</v>
      </c>
      <c r="B119" t="s">
        <v>59</v>
      </c>
      <c r="C119" t="s">
        <v>98</v>
      </c>
      <c r="D119">
        <v>2368945</v>
      </c>
    </row>
    <row r="120" spans="1:4" x14ac:dyDescent="0.3">
      <c r="A120" t="s">
        <v>115</v>
      </c>
      <c r="B120" t="s">
        <v>70</v>
      </c>
      <c r="C120" t="s">
        <v>100</v>
      </c>
      <c r="D120">
        <v>423022</v>
      </c>
    </row>
    <row r="121" spans="1:4" x14ac:dyDescent="0.3">
      <c r="A121" t="s">
        <v>115</v>
      </c>
      <c r="B121" t="s">
        <v>48</v>
      </c>
      <c r="C121" t="s">
        <v>121</v>
      </c>
      <c r="D121">
        <v>120000</v>
      </c>
    </row>
    <row r="122" spans="1:4" x14ac:dyDescent="0.3">
      <c r="A122" t="s">
        <v>122</v>
      </c>
      <c r="B122" t="s">
        <v>37</v>
      </c>
      <c r="C122" t="s">
        <v>44</v>
      </c>
      <c r="D122">
        <v>2606556</v>
      </c>
    </row>
    <row r="123" spans="1:4" x14ac:dyDescent="0.3">
      <c r="A123" t="s">
        <v>122</v>
      </c>
      <c r="B123" t="s">
        <v>45</v>
      </c>
      <c r="C123" t="s">
        <v>46</v>
      </c>
      <c r="D123">
        <v>4027087</v>
      </c>
    </row>
    <row r="124" spans="1:4" x14ac:dyDescent="0.3">
      <c r="A124" t="s">
        <v>122</v>
      </c>
      <c r="B124" t="s">
        <v>45</v>
      </c>
      <c r="C124" t="s">
        <v>123</v>
      </c>
      <c r="D124">
        <v>858359</v>
      </c>
    </row>
    <row r="125" spans="1:4" x14ac:dyDescent="0.3">
      <c r="A125" t="s">
        <v>122</v>
      </c>
      <c r="B125" t="s">
        <v>45</v>
      </c>
      <c r="C125" t="s">
        <v>124</v>
      </c>
      <c r="D125">
        <v>1077012</v>
      </c>
    </row>
    <row r="126" spans="1:4" x14ac:dyDescent="0.3">
      <c r="A126" t="s">
        <v>122</v>
      </c>
      <c r="B126" t="s">
        <v>45</v>
      </c>
      <c r="C126" t="s">
        <v>47</v>
      </c>
      <c r="D126">
        <v>540004</v>
      </c>
    </row>
    <row r="127" spans="1:4" x14ac:dyDescent="0.3">
      <c r="A127" t="s">
        <v>122</v>
      </c>
      <c r="B127" t="s">
        <v>48</v>
      </c>
      <c r="C127" t="s">
        <v>49</v>
      </c>
      <c r="D127">
        <v>702399</v>
      </c>
    </row>
    <row r="128" spans="1:4" x14ac:dyDescent="0.3">
      <c r="A128" t="s">
        <v>122</v>
      </c>
      <c r="B128" t="s">
        <v>45</v>
      </c>
      <c r="C128" t="s">
        <v>50</v>
      </c>
      <c r="D128">
        <v>1793085</v>
      </c>
    </row>
    <row r="129" spans="1:4" x14ac:dyDescent="0.3">
      <c r="A129" t="s">
        <v>122</v>
      </c>
      <c r="B129" t="s">
        <v>45</v>
      </c>
      <c r="C129" t="s">
        <v>51</v>
      </c>
      <c r="D129">
        <v>4437847</v>
      </c>
    </row>
    <row r="130" spans="1:4" x14ac:dyDescent="0.3">
      <c r="A130" t="s">
        <v>122</v>
      </c>
      <c r="B130" t="s">
        <v>59</v>
      </c>
      <c r="C130" t="s">
        <v>95</v>
      </c>
      <c r="D130">
        <v>1077011</v>
      </c>
    </row>
    <row r="131" spans="1:4" x14ac:dyDescent="0.3">
      <c r="A131" t="s">
        <v>122</v>
      </c>
      <c r="B131" t="s">
        <v>59</v>
      </c>
      <c r="C131" t="s">
        <v>76</v>
      </c>
      <c r="D131">
        <v>2903249</v>
      </c>
    </row>
    <row r="132" spans="1:4" x14ac:dyDescent="0.3">
      <c r="A132" t="s">
        <v>122</v>
      </c>
      <c r="B132" t="s">
        <v>48</v>
      </c>
      <c r="C132" t="s">
        <v>118</v>
      </c>
      <c r="D132">
        <v>908613</v>
      </c>
    </row>
    <row r="133" spans="1:4" x14ac:dyDescent="0.3">
      <c r="A133" t="s">
        <v>122</v>
      </c>
      <c r="B133" t="s">
        <v>45</v>
      </c>
      <c r="C133" t="s">
        <v>125</v>
      </c>
      <c r="D133">
        <v>280960</v>
      </c>
    </row>
    <row r="134" spans="1:4" x14ac:dyDescent="0.3">
      <c r="A134" t="s">
        <v>122</v>
      </c>
      <c r="B134" t="s">
        <v>59</v>
      </c>
      <c r="C134" t="s">
        <v>98</v>
      </c>
      <c r="D134">
        <v>175098</v>
      </c>
    </row>
    <row r="135" spans="1:4" x14ac:dyDescent="0.3">
      <c r="A135" t="s">
        <v>122</v>
      </c>
      <c r="B135" t="s">
        <v>48</v>
      </c>
      <c r="C135" t="s">
        <v>77</v>
      </c>
      <c r="D135">
        <v>521444</v>
      </c>
    </row>
    <row r="136" spans="1:4" x14ac:dyDescent="0.3">
      <c r="A136" t="s">
        <v>122</v>
      </c>
      <c r="B136" t="s">
        <v>37</v>
      </c>
      <c r="C136" t="s">
        <v>108</v>
      </c>
      <c r="D136">
        <v>1030185</v>
      </c>
    </row>
    <row r="137" spans="1:4" x14ac:dyDescent="0.3">
      <c r="A137" t="s">
        <v>122</v>
      </c>
      <c r="B137" t="s">
        <v>37</v>
      </c>
      <c r="C137" t="s">
        <v>126</v>
      </c>
      <c r="D137">
        <v>590048</v>
      </c>
    </row>
    <row r="138" spans="1:4" x14ac:dyDescent="0.3">
      <c r="A138" t="s">
        <v>122</v>
      </c>
      <c r="B138" t="s">
        <v>37</v>
      </c>
      <c r="C138" t="s">
        <v>61</v>
      </c>
      <c r="D138">
        <v>727459</v>
      </c>
    </row>
    <row r="139" spans="1:4" x14ac:dyDescent="0.3">
      <c r="A139" t="s">
        <v>122</v>
      </c>
      <c r="B139" t="s">
        <v>70</v>
      </c>
      <c r="C139" t="s">
        <v>127</v>
      </c>
      <c r="D139">
        <v>450525</v>
      </c>
    </row>
    <row r="140" spans="1:4" x14ac:dyDescent="0.3">
      <c r="A140" t="s">
        <v>122</v>
      </c>
      <c r="B140" t="s">
        <v>48</v>
      </c>
      <c r="C140" t="s">
        <v>109</v>
      </c>
      <c r="D140">
        <v>1314929</v>
      </c>
    </row>
    <row r="141" spans="1:4" x14ac:dyDescent="0.3">
      <c r="A141" t="s">
        <v>122</v>
      </c>
      <c r="B141" t="s">
        <v>48</v>
      </c>
      <c r="C141" t="s">
        <v>110</v>
      </c>
      <c r="D141">
        <v>990000</v>
      </c>
    </row>
    <row r="142" spans="1:4" x14ac:dyDescent="0.3">
      <c r="A142" t="s">
        <v>122</v>
      </c>
      <c r="B142" t="s">
        <v>48</v>
      </c>
      <c r="C142" t="s">
        <v>121</v>
      </c>
      <c r="D142">
        <v>337152</v>
      </c>
    </row>
    <row r="143" spans="1:4" x14ac:dyDescent="0.3">
      <c r="A143" t="s">
        <v>122</v>
      </c>
      <c r="B143" t="s">
        <v>70</v>
      </c>
      <c r="C143" t="s">
        <v>103</v>
      </c>
      <c r="D143">
        <v>1006772</v>
      </c>
    </row>
    <row r="144" spans="1:4" x14ac:dyDescent="0.3">
      <c r="A144" t="s">
        <v>122</v>
      </c>
      <c r="B144" t="s">
        <v>48</v>
      </c>
      <c r="C144" t="s">
        <v>82</v>
      </c>
      <c r="D144">
        <v>823212</v>
      </c>
    </row>
    <row r="145" spans="1:4" x14ac:dyDescent="0.3">
      <c r="A145" t="s">
        <v>122</v>
      </c>
      <c r="B145" t="s">
        <v>45</v>
      </c>
      <c r="C145" t="s">
        <v>128</v>
      </c>
      <c r="D145">
        <v>1936748</v>
      </c>
    </row>
    <row r="146" spans="1:4" x14ac:dyDescent="0.3">
      <c r="A146" t="s">
        <v>129</v>
      </c>
      <c r="B146" t="s">
        <v>70</v>
      </c>
      <c r="C146" t="s">
        <v>130</v>
      </c>
      <c r="D146">
        <v>30000</v>
      </c>
    </row>
    <row r="147" spans="1:4" x14ac:dyDescent="0.3">
      <c r="A147" t="s">
        <v>131</v>
      </c>
      <c r="B147" t="s">
        <v>48</v>
      </c>
      <c r="C147" t="s">
        <v>88</v>
      </c>
      <c r="D147">
        <v>107351</v>
      </c>
    </row>
    <row r="148" spans="1:4" x14ac:dyDescent="0.3">
      <c r="A148" t="s">
        <v>131</v>
      </c>
      <c r="B148" t="s">
        <v>48</v>
      </c>
      <c r="C148" t="s">
        <v>101</v>
      </c>
      <c r="D148">
        <v>300000</v>
      </c>
    </row>
    <row r="149" spans="1:4" x14ac:dyDescent="0.3">
      <c r="A149" t="s">
        <v>132</v>
      </c>
      <c r="B149" t="s">
        <v>37</v>
      </c>
      <c r="C149" t="s">
        <v>57</v>
      </c>
      <c r="D149">
        <v>124685</v>
      </c>
    </row>
    <row r="150" spans="1:4" x14ac:dyDescent="0.3">
      <c r="A150" t="s">
        <v>133</v>
      </c>
      <c r="B150" t="s">
        <v>70</v>
      </c>
      <c r="C150" t="s">
        <v>71</v>
      </c>
      <c r="D150">
        <v>30000</v>
      </c>
    </row>
    <row r="151" spans="1:4" x14ac:dyDescent="0.3">
      <c r="A151" t="s">
        <v>133</v>
      </c>
      <c r="B151" t="s">
        <v>48</v>
      </c>
      <c r="C151" t="s">
        <v>134</v>
      </c>
      <c r="D151">
        <v>94724</v>
      </c>
    </row>
    <row r="152" spans="1:4" x14ac:dyDescent="0.3">
      <c r="A152" t="s">
        <v>133</v>
      </c>
      <c r="B152" t="s">
        <v>70</v>
      </c>
      <c r="C152" t="s">
        <v>72</v>
      </c>
      <c r="D152">
        <v>86000</v>
      </c>
    </row>
    <row r="153" spans="1:4" x14ac:dyDescent="0.3">
      <c r="A153" t="s">
        <v>133</v>
      </c>
      <c r="B153" t="s">
        <v>70</v>
      </c>
      <c r="C153" t="s">
        <v>73</v>
      </c>
      <c r="D153">
        <v>219440</v>
      </c>
    </row>
    <row r="154" spans="1:4" x14ac:dyDescent="0.3">
      <c r="A154" t="s">
        <v>133</v>
      </c>
      <c r="B154" t="s">
        <v>48</v>
      </c>
      <c r="C154" t="s">
        <v>93</v>
      </c>
      <c r="D154">
        <v>617396</v>
      </c>
    </row>
    <row r="155" spans="1:4" x14ac:dyDescent="0.3">
      <c r="A155" t="s">
        <v>133</v>
      </c>
      <c r="B155" t="s">
        <v>45</v>
      </c>
      <c r="C155" t="s">
        <v>46</v>
      </c>
      <c r="D155">
        <v>14930</v>
      </c>
    </row>
    <row r="156" spans="1:4" x14ac:dyDescent="0.3">
      <c r="A156" t="s">
        <v>133</v>
      </c>
      <c r="B156" t="s">
        <v>48</v>
      </c>
      <c r="C156" t="s">
        <v>135</v>
      </c>
      <c r="D156">
        <v>344607</v>
      </c>
    </row>
    <row r="157" spans="1:4" x14ac:dyDescent="0.3">
      <c r="A157" t="s">
        <v>133</v>
      </c>
      <c r="B157" t="s">
        <v>48</v>
      </c>
      <c r="C157" t="s">
        <v>49</v>
      </c>
      <c r="D157">
        <v>391000</v>
      </c>
    </row>
    <row r="158" spans="1:4" x14ac:dyDescent="0.3">
      <c r="A158" t="s">
        <v>133</v>
      </c>
      <c r="B158" t="s">
        <v>70</v>
      </c>
      <c r="C158" t="s">
        <v>75</v>
      </c>
      <c r="D158">
        <v>50000</v>
      </c>
    </row>
    <row r="159" spans="1:4" x14ac:dyDescent="0.3">
      <c r="A159" t="s">
        <v>133</v>
      </c>
      <c r="B159" t="s">
        <v>48</v>
      </c>
      <c r="C159" t="s">
        <v>136</v>
      </c>
      <c r="D159">
        <v>150000</v>
      </c>
    </row>
    <row r="160" spans="1:4" x14ac:dyDescent="0.3">
      <c r="A160" t="s">
        <v>133</v>
      </c>
      <c r="B160" t="s">
        <v>70</v>
      </c>
      <c r="C160" t="s">
        <v>137</v>
      </c>
      <c r="D160">
        <v>97000</v>
      </c>
    </row>
    <row r="161" spans="1:4" x14ac:dyDescent="0.3">
      <c r="A161" t="s">
        <v>133</v>
      </c>
      <c r="B161" t="s">
        <v>70</v>
      </c>
      <c r="C161" t="s">
        <v>138</v>
      </c>
      <c r="D161">
        <v>140000</v>
      </c>
    </row>
    <row r="162" spans="1:4" x14ac:dyDescent="0.3">
      <c r="A162" t="s">
        <v>133</v>
      </c>
      <c r="B162" t="s">
        <v>48</v>
      </c>
      <c r="C162" t="s">
        <v>119</v>
      </c>
      <c r="D162">
        <v>18850</v>
      </c>
    </row>
    <row r="163" spans="1:4" x14ac:dyDescent="0.3">
      <c r="A163" t="s">
        <v>133</v>
      </c>
      <c r="B163" t="s">
        <v>70</v>
      </c>
      <c r="C163" t="s">
        <v>139</v>
      </c>
      <c r="D163">
        <v>25000</v>
      </c>
    </row>
    <row r="164" spans="1:4" x14ac:dyDescent="0.3">
      <c r="A164" t="s">
        <v>133</v>
      </c>
      <c r="B164" t="s">
        <v>48</v>
      </c>
      <c r="C164" t="s">
        <v>77</v>
      </c>
      <c r="D164">
        <v>258000</v>
      </c>
    </row>
    <row r="165" spans="1:4" x14ac:dyDescent="0.3">
      <c r="A165" t="s">
        <v>133</v>
      </c>
      <c r="B165" t="s">
        <v>48</v>
      </c>
      <c r="C165" t="s">
        <v>99</v>
      </c>
      <c r="D165">
        <v>65000</v>
      </c>
    </row>
    <row r="166" spans="1:4" x14ac:dyDescent="0.3">
      <c r="A166" t="s">
        <v>133</v>
      </c>
      <c r="B166" t="s">
        <v>45</v>
      </c>
      <c r="C166" t="s">
        <v>140</v>
      </c>
      <c r="D166">
        <v>25000</v>
      </c>
    </row>
    <row r="167" spans="1:4" x14ac:dyDescent="0.3">
      <c r="A167" t="s">
        <v>133</v>
      </c>
      <c r="B167" t="s">
        <v>70</v>
      </c>
      <c r="C167" t="s">
        <v>100</v>
      </c>
      <c r="D167">
        <v>430000</v>
      </c>
    </row>
    <row r="168" spans="1:4" x14ac:dyDescent="0.3">
      <c r="A168" t="s">
        <v>133</v>
      </c>
      <c r="B168" t="s">
        <v>70</v>
      </c>
      <c r="C168" t="s">
        <v>113</v>
      </c>
      <c r="D168">
        <v>70000</v>
      </c>
    </row>
    <row r="169" spans="1:4" x14ac:dyDescent="0.3">
      <c r="A169" t="s">
        <v>133</v>
      </c>
      <c r="B169" t="s">
        <v>48</v>
      </c>
      <c r="C169" t="s">
        <v>114</v>
      </c>
      <c r="D169">
        <v>97500</v>
      </c>
    </row>
    <row r="170" spans="1:4" x14ac:dyDescent="0.3">
      <c r="A170" t="s">
        <v>133</v>
      </c>
      <c r="B170" t="s">
        <v>48</v>
      </c>
      <c r="C170" t="s">
        <v>121</v>
      </c>
      <c r="D170">
        <v>30000</v>
      </c>
    </row>
    <row r="171" spans="1:4" x14ac:dyDescent="0.3">
      <c r="A171" t="s">
        <v>133</v>
      </c>
      <c r="B171" t="s">
        <v>45</v>
      </c>
      <c r="C171" t="s">
        <v>141</v>
      </c>
      <c r="D171">
        <v>75000</v>
      </c>
    </row>
    <row r="172" spans="1:4" x14ac:dyDescent="0.3">
      <c r="A172" t="s">
        <v>142</v>
      </c>
      <c r="B172" t="s">
        <v>37</v>
      </c>
      <c r="C172" t="s">
        <v>44</v>
      </c>
      <c r="D172">
        <v>663740</v>
      </c>
    </row>
    <row r="173" spans="1:4" x14ac:dyDescent="0.3">
      <c r="A173" t="s">
        <v>142</v>
      </c>
      <c r="B173" t="s">
        <v>37</v>
      </c>
      <c r="C173" t="s">
        <v>52</v>
      </c>
      <c r="D173">
        <v>147100</v>
      </c>
    </row>
    <row r="174" spans="1:4" x14ac:dyDescent="0.3">
      <c r="A174" t="s">
        <v>142</v>
      </c>
      <c r="B174" t="s">
        <v>59</v>
      </c>
      <c r="C174" t="s">
        <v>76</v>
      </c>
      <c r="D174">
        <v>256753</v>
      </c>
    </row>
    <row r="175" spans="1:4" x14ac:dyDescent="0.3">
      <c r="A175" t="s">
        <v>142</v>
      </c>
      <c r="B175" t="s">
        <v>37</v>
      </c>
      <c r="C175" t="s">
        <v>68</v>
      </c>
      <c r="D175">
        <v>68152</v>
      </c>
    </row>
    <row r="176" spans="1:4" x14ac:dyDescent="0.3">
      <c r="A176" t="s">
        <v>142</v>
      </c>
      <c r="B176" t="s">
        <v>59</v>
      </c>
      <c r="C176" t="s">
        <v>60</v>
      </c>
      <c r="D176">
        <v>85603</v>
      </c>
    </row>
    <row r="177" spans="1:4" x14ac:dyDescent="0.3">
      <c r="A177" t="s">
        <v>142</v>
      </c>
      <c r="B177" t="s">
        <v>48</v>
      </c>
      <c r="C177" t="s">
        <v>79</v>
      </c>
      <c r="D177">
        <v>149859</v>
      </c>
    </row>
    <row r="178" spans="1:4" x14ac:dyDescent="0.3">
      <c r="A178" t="s">
        <v>142</v>
      </c>
      <c r="B178" t="s">
        <v>70</v>
      </c>
      <c r="C178" t="s">
        <v>103</v>
      </c>
      <c r="D178">
        <v>1345035</v>
      </c>
    </row>
    <row r="179" spans="1:4" x14ac:dyDescent="0.3">
      <c r="A179" t="s">
        <v>142</v>
      </c>
      <c r="B179" t="s">
        <v>70</v>
      </c>
      <c r="C179" t="s">
        <v>83</v>
      </c>
      <c r="D179">
        <v>3163103</v>
      </c>
    </row>
    <row r="180" spans="1:4" x14ac:dyDescent="0.3">
      <c r="A180" t="s">
        <v>142</v>
      </c>
      <c r="B180" t="s">
        <v>37</v>
      </c>
      <c r="C180" t="s">
        <v>65</v>
      </c>
      <c r="D180">
        <v>70400</v>
      </c>
    </row>
    <row r="181" spans="1:4" x14ac:dyDescent="0.3">
      <c r="A181" t="s">
        <v>143</v>
      </c>
      <c r="B181" t="s">
        <v>48</v>
      </c>
      <c r="C181" t="s">
        <v>85</v>
      </c>
      <c r="D181">
        <v>176471</v>
      </c>
    </row>
    <row r="182" spans="1:4" x14ac:dyDescent="0.3">
      <c r="A182" t="s">
        <v>143</v>
      </c>
      <c r="B182" t="s">
        <v>59</v>
      </c>
      <c r="C182" t="s">
        <v>144</v>
      </c>
      <c r="D182">
        <v>250000</v>
      </c>
    </row>
    <row r="183" spans="1:4" x14ac:dyDescent="0.3">
      <c r="A183" t="s">
        <v>145</v>
      </c>
      <c r="B183" t="s">
        <v>48</v>
      </c>
      <c r="C183" t="s">
        <v>85</v>
      </c>
      <c r="D183">
        <v>268653</v>
      </c>
    </row>
    <row r="184" spans="1:4" x14ac:dyDescent="0.3">
      <c r="A184" t="s">
        <v>145</v>
      </c>
      <c r="B184" t="s">
        <v>48</v>
      </c>
      <c r="C184" t="s">
        <v>74</v>
      </c>
      <c r="D184">
        <v>7746724</v>
      </c>
    </row>
    <row r="185" spans="1:4" x14ac:dyDescent="0.3">
      <c r="A185" t="s">
        <v>145</v>
      </c>
      <c r="B185" t="s">
        <v>48</v>
      </c>
      <c r="C185" t="s">
        <v>86</v>
      </c>
      <c r="D185">
        <v>340577</v>
      </c>
    </row>
    <row r="186" spans="1:4" x14ac:dyDescent="0.3">
      <c r="A186" t="s">
        <v>145</v>
      </c>
      <c r="B186" t="s">
        <v>48</v>
      </c>
      <c r="C186" t="s">
        <v>93</v>
      </c>
      <c r="D186">
        <v>2375000</v>
      </c>
    </row>
    <row r="187" spans="1:4" x14ac:dyDescent="0.3">
      <c r="A187" t="s">
        <v>145</v>
      </c>
      <c r="B187" t="s">
        <v>48</v>
      </c>
      <c r="C187" t="s">
        <v>87</v>
      </c>
      <c r="D187">
        <v>650000</v>
      </c>
    </row>
    <row r="188" spans="1:4" x14ac:dyDescent="0.3">
      <c r="A188" t="s">
        <v>145</v>
      </c>
      <c r="B188" t="s">
        <v>48</v>
      </c>
      <c r="C188" t="s">
        <v>118</v>
      </c>
      <c r="D188">
        <v>2743025</v>
      </c>
    </row>
    <row r="189" spans="1:4" x14ac:dyDescent="0.3">
      <c r="A189" t="s">
        <v>146</v>
      </c>
      <c r="B189" t="s">
        <v>37</v>
      </c>
      <c r="C189" t="s">
        <v>107</v>
      </c>
      <c r="D189">
        <v>3271000</v>
      </c>
    </row>
    <row r="190" spans="1:4" x14ac:dyDescent="0.3">
      <c r="A190" t="s">
        <v>146</v>
      </c>
      <c r="B190" t="s">
        <v>48</v>
      </c>
      <c r="C190" t="s">
        <v>74</v>
      </c>
      <c r="D190">
        <v>1700000</v>
      </c>
    </row>
    <row r="191" spans="1:4" x14ac:dyDescent="0.3">
      <c r="A191" t="s">
        <v>146</v>
      </c>
      <c r="B191" t="s">
        <v>45</v>
      </c>
      <c r="C191" t="s">
        <v>46</v>
      </c>
      <c r="D191">
        <v>1319000</v>
      </c>
    </row>
    <row r="192" spans="1:4" x14ac:dyDescent="0.3">
      <c r="A192" t="s">
        <v>146</v>
      </c>
      <c r="B192" t="s">
        <v>48</v>
      </c>
      <c r="C192" t="s">
        <v>49</v>
      </c>
      <c r="D192">
        <v>578000</v>
      </c>
    </row>
    <row r="193" spans="1:4" x14ac:dyDescent="0.3">
      <c r="A193" t="s">
        <v>146</v>
      </c>
      <c r="B193" t="s">
        <v>45</v>
      </c>
      <c r="C193" t="s">
        <v>51</v>
      </c>
      <c r="D193">
        <v>440000</v>
      </c>
    </row>
    <row r="194" spans="1:4" x14ac:dyDescent="0.3">
      <c r="A194" t="s">
        <v>146</v>
      </c>
      <c r="B194" t="s">
        <v>59</v>
      </c>
      <c r="C194" t="s">
        <v>95</v>
      </c>
      <c r="D194">
        <v>633000</v>
      </c>
    </row>
    <row r="195" spans="1:4" x14ac:dyDescent="0.3">
      <c r="A195" t="s">
        <v>146</v>
      </c>
      <c r="B195" t="s">
        <v>59</v>
      </c>
      <c r="C195" t="s">
        <v>76</v>
      </c>
      <c r="D195">
        <v>1642000</v>
      </c>
    </row>
    <row r="196" spans="1:4" x14ac:dyDescent="0.3">
      <c r="A196" t="s">
        <v>146</v>
      </c>
      <c r="B196" t="s">
        <v>70</v>
      </c>
      <c r="C196" t="s">
        <v>120</v>
      </c>
      <c r="D196">
        <v>1000000</v>
      </c>
    </row>
    <row r="197" spans="1:4" x14ac:dyDescent="0.3">
      <c r="A197" t="s">
        <v>146</v>
      </c>
      <c r="B197" t="s">
        <v>37</v>
      </c>
      <c r="C197" t="s">
        <v>108</v>
      </c>
      <c r="D197">
        <v>2451000</v>
      </c>
    </row>
    <row r="198" spans="1:4" x14ac:dyDescent="0.3">
      <c r="A198" t="s">
        <v>146</v>
      </c>
      <c r="B198" t="s">
        <v>48</v>
      </c>
      <c r="C198" t="s">
        <v>99</v>
      </c>
      <c r="D198">
        <v>560000</v>
      </c>
    </row>
    <row r="199" spans="1:4" x14ac:dyDescent="0.3">
      <c r="A199" t="s">
        <v>146</v>
      </c>
      <c r="B199" t="s">
        <v>37</v>
      </c>
      <c r="C199" t="s">
        <v>126</v>
      </c>
      <c r="D199">
        <v>1303000</v>
      </c>
    </row>
    <row r="200" spans="1:4" x14ac:dyDescent="0.3">
      <c r="A200" t="s">
        <v>146</v>
      </c>
      <c r="B200" t="s">
        <v>59</v>
      </c>
      <c r="C200" t="s">
        <v>60</v>
      </c>
      <c r="D200">
        <v>2278000</v>
      </c>
    </row>
    <row r="201" spans="1:4" x14ac:dyDescent="0.3">
      <c r="A201" t="s">
        <v>146</v>
      </c>
      <c r="B201" t="s">
        <v>48</v>
      </c>
      <c r="C201" t="s">
        <v>102</v>
      </c>
      <c r="D201">
        <v>3868000</v>
      </c>
    </row>
    <row r="202" spans="1:4" x14ac:dyDescent="0.3">
      <c r="A202" t="s">
        <v>146</v>
      </c>
      <c r="B202" t="s">
        <v>48</v>
      </c>
      <c r="C202" t="s">
        <v>109</v>
      </c>
      <c r="D202">
        <v>480000</v>
      </c>
    </row>
    <row r="203" spans="1:4" x14ac:dyDescent="0.3">
      <c r="A203" t="s">
        <v>146</v>
      </c>
      <c r="B203" t="s">
        <v>48</v>
      </c>
      <c r="C203" t="s">
        <v>110</v>
      </c>
      <c r="D203">
        <v>2918000</v>
      </c>
    </row>
    <row r="204" spans="1:4" x14ac:dyDescent="0.3">
      <c r="A204" t="s">
        <v>146</v>
      </c>
      <c r="B204" t="s">
        <v>59</v>
      </c>
      <c r="C204" t="s">
        <v>81</v>
      </c>
      <c r="D204">
        <v>4488000</v>
      </c>
    </row>
    <row r="205" spans="1:4" x14ac:dyDescent="0.3">
      <c r="A205" t="s">
        <v>146</v>
      </c>
      <c r="B205" t="s">
        <v>70</v>
      </c>
      <c r="C205" t="s">
        <v>83</v>
      </c>
      <c r="D205">
        <v>15427000</v>
      </c>
    </row>
    <row r="206" spans="1:4" x14ac:dyDescent="0.3">
      <c r="A206" t="s">
        <v>146</v>
      </c>
      <c r="B206" t="s">
        <v>59</v>
      </c>
      <c r="C206" t="s">
        <v>104</v>
      </c>
      <c r="D206">
        <v>1858000</v>
      </c>
    </row>
    <row r="207" spans="1:4" x14ac:dyDescent="0.3">
      <c r="A207" t="s">
        <v>147</v>
      </c>
      <c r="B207" t="s">
        <v>37</v>
      </c>
      <c r="C207" t="s">
        <v>107</v>
      </c>
      <c r="D207">
        <v>6000000</v>
      </c>
    </row>
    <row r="208" spans="1:4" x14ac:dyDescent="0.3">
      <c r="A208" t="s">
        <v>147</v>
      </c>
      <c r="B208" t="s">
        <v>70</v>
      </c>
      <c r="C208" t="s">
        <v>71</v>
      </c>
      <c r="D208">
        <v>20000</v>
      </c>
    </row>
    <row r="209" spans="1:4" x14ac:dyDescent="0.3">
      <c r="A209" t="s">
        <v>147</v>
      </c>
      <c r="B209" t="s">
        <v>37</v>
      </c>
      <c r="C209" t="s">
        <v>44</v>
      </c>
      <c r="D209">
        <v>1320356</v>
      </c>
    </row>
    <row r="210" spans="1:4" x14ac:dyDescent="0.3">
      <c r="A210" t="s">
        <v>147</v>
      </c>
      <c r="B210" t="s">
        <v>48</v>
      </c>
      <c r="C210" t="s">
        <v>135</v>
      </c>
      <c r="D210">
        <v>201449</v>
      </c>
    </row>
    <row r="211" spans="1:4" x14ac:dyDescent="0.3">
      <c r="A211" t="s">
        <v>147</v>
      </c>
      <c r="B211" t="s">
        <v>48</v>
      </c>
      <c r="C211" t="s">
        <v>136</v>
      </c>
      <c r="D211">
        <v>700000</v>
      </c>
    </row>
    <row r="212" spans="1:4" x14ac:dyDescent="0.3">
      <c r="A212" t="s">
        <v>147</v>
      </c>
      <c r="B212" t="s">
        <v>59</v>
      </c>
      <c r="C212" t="s">
        <v>144</v>
      </c>
      <c r="D212">
        <v>350000</v>
      </c>
    </row>
    <row r="213" spans="1:4" x14ac:dyDescent="0.3">
      <c r="A213" t="s">
        <v>147</v>
      </c>
      <c r="B213" t="s">
        <v>70</v>
      </c>
      <c r="C213" t="s">
        <v>138</v>
      </c>
      <c r="D213">
        <v>18060</v>
      </c>
    </row>
    <row r="214" spans="1:4" x14ac:dyDescent="0.3">
      <c r="A214" t="s">
        <v>147</v>
      </c>
      <c r="B214" t="s">
        <v>59</v>
      </c>
      <c r="C214" t="s">
        <v>76</v>
      </c>
      <c r="D214">
        <v>1300000</v>
      </c>
    </row>
    <row r="215" spans="1:4" x14ac:dyDescent="0.3">
      <c r="A215" t="s">
        <v>147</v>
      </c>
      <c r="B215" t="s">
        <v>37</v>
      </c>
      <c r="C215" t="s">
        <v>68</v>
      </c>
      <c r="D215">
        <v>17241</v>
      </c>
    </row>
    <row r="216" spans="1:4" x14ac:dyDescent="0.3">
      <c r="A216" t="s">
        <v>147</v>
      </c>
      <c r="B216" t="s">
        <v>59</v>
      </c>
      <c r="C216" t="s">
        <v>98</v>
      </c>
      <c r="D216">
        <v>3477538</v>
      </c>
    </row>
    <row r="217" spans="1:4" x14ac:dyDescent="0.3">
      <c r="A217" t="s">
        <v>147</v>
      </c>
      <c r="B217" t="s">
        <v>48</v>
      </c>
      <c r="C217" t="s">
        <v>102</v>
      </c>
      <c r="D217">
        <v>250000</v>
      </c>
    </row>
    <row r="218" spans="1:4" x14ac:dyDescent="0.3">
      <c r="A218" t="s">
        <v>148</v>
      </c>
      <c r="B218" t="s">
        <v>59</v>
      </c>
      <c r="C218" t="s">
        <v>144</v>
      </c>
      <c r="D218">
        <v>5000000</v>
      </c>
    </row>
    <row r="219" spans="1:4" x14ac:dyDescent="0.3">
      <c r="A219" t="s">
        <v>148</v>
      </c>
      <c r="B219" t="s">
        <v>70</v>
      </c>
      <c r="C219" t="s">
        <v>137</v>
      </c>
      <c r="D219">
        <v>3613015</v>
      </c>
    </row>
    <row r="220" spans="1:4" x14ac:dyDescent="0.3">
      <c r="A220" t="s">
        <v>148</v>
      </c>
      <c r="B220" t="s">
        <v>70</v>
      </c>
      <c r="C220" t="s">
        <v>138</v>
      </c>
      <c r="D220">
        <v>541799</v>
      </c>
    </row>
    <row r="221" spans="1:4" x14ac:dyDescent="0.3">
      <c r="A221" t="s">
        <v>149</v>
      </c>
      <c r="B221" t="s">
        <v>70</v>
      </c>
      <c r="C221" t="s">
        <v>113</v>
      </c>
      <c r="D221">
        <v>132000</v>
      </c>
    </row>
    <row r="222" spans="1:4" x14ac:dyDescent="0.3">
      <c r="A222" t="s">
        <v>150</v>
      </c>
      <c r="B222" t="s">
        <v>48</v>
      </c>
      <c r="C222" t="s">
        <v>74</v>
      </c>
      <c r="D222">
        <v>194099</v>
      </c>
    </row>
    <row r="223" spans="1:4" x14ac:dyDescent="0.3">
      <c r="A223" t="s">
        <v>151</v>
      </c>
      <c r="B223" t="s">
        <v>59</v>
      </c>
      <c r="C223" t="s">
        <v>152</v>
      </c>
      <c r="D223">
        <v>399843</v>
      </c>
    </row>
    <row r="224" spans="1:4" x14ac:dyDescent="0.3">
      <c r="A224" t="s">
        <v>151</v>
      </c>
      <c r="B224" t="s">
        <v>48</v>
      </c>
      <c r="C224" t="s">
        <v>74</v>
      </c>
      <c r="D224">
        <v>1448664</v>
      </c>
    </row>
    <row r="225" spans="1:4" x14ac:dyDescent="0.3">
      <c r="A225" t="s">
        <v>151</v>
      </c>
      <c r="B225" t="s">
        <v>45</v>
      </c>
      <c r="C225" t="s">
        <v>46</v>
      </c>
      <c r="D225">
        <v>746897</v>
      </c>
    </row>
    <row r="226" spans="1:4" x14ac:dyDescent="0.3">
      <c r="A226" t="s">
        <v>151</v>
      </c>
      <c r="B226" t="s">
        <v>48</v>
      </c>
      <c r="C226" t="s">
        <v>87</v>
      </c>
      <c r="D226">
        <v>1568688</v>
      </c>
    </row>
    <row r="227" spans="1:4" x14ac:dyDescent="0.3">
      <c r="A227" t="s">
        <v>151</v>
      </c>
      <c r="B227" t="s">
        <v>45</v>
      </c>
      <c r="C227" t="s">
        <v>124</v>
      </c>
      <c r="D227">
        <v>1848394</v>
      </c>
    </row>
    <row r="228" spans="1:4" x14ac:dyDescent="0.3">
      <c r="A228" t="s">
        <v>151</v>
      </c>
      <c r="B228" t="s">
        <v>45</v>
      </c>
      <c r="C228" t="s">
        <v>47</v>
      </c>
      <c r="D228">
        <v>2484884</v>
      </c>
    </row>
    <row r="229" spans="1:4" x14ac:dyDescent="0.3">
      <c r="A229" t="s">
        <v>151</v>
      </c>
      <c r="B229" t="s">
        <v>48</v>
      </c>
      <c r="C229" t="s">
        <v>153</v>
      </c>
      <c r="D229">
        <v>981483</v>
      </c>
    </row>
    <row r="230" spans="1:4" x14ac:dyDescent="0.3">
      <c r="A230" t="s">
        <v>151</v>
      </c>
      <c r="B230" t="s">
        <v>45</v>
      </c>
      <c r="C230" t="s">
        <v>50</v>
      </c>
      <c r="D230">
        <v>2138028</v>
      </c>
    </row>
    <row r="231" spans="1:4" x14ac:dyDescent="0.3">
      <c r="A231" t="s">
        <v>151</v>
      </c>
      <c r="B231" t="s">
        <v>45</v>
      </c>
      <c r="C231" t="s">
        <v>154</v>
      </c>
      <c r="D231">
        <v>622792</v>
      </c>
    </row>
    <row r="232" spans="1:4" x14ac:dyDescent="0.3">
      <c r="A232" t="s">
        <v>151</v>
      </c>
      <c r="B232" t="s">
        <v>45</v>
      </c>
      <c r="C232" t="s">
        <v>51</v>
      </c>
      <c r="D232">
        <v>1333585</v>
      </c>
    </row>
    <row r="233" spans="1:4" x14ac:dyDescent="0.3">
      <c r="A233" t="s">
        <v>151</v>
      </c>
      <c r="B233" t="s">
        <v>59</v>
      </c>
      <c r="C233" t="s">
        <v>76</v>
      </c>
      <c r="D233">
        <v>1288249</v>
      </c>
    </row>
    <row r="234" spans="1:4" x14ac:dyDescent="0.3">
      <c r="A234" t="s">
        <v>151</v>
      </c>
      <c r="B234" t="s">
        <v>48</v>
      </c>
      <c r="C234" t="s">
        <v>89</v>
      </c>
      <c r="D234">
        <v>1800947</v>
      </c>
    </row>
    <row r="235" spans="1:4" x14ac:dyDescent="0.3">
      <c r="A235" t="s">
        <v>151</v>
      </c>
      <c r="B235" t="s">
        <v>45</v>
      </c>
      <c r="C235" t="s">
        <v>125</v>
      </c>
      <c r="D235">
        <v>313184</v>
      </c>
    </row>
    <row r="236" spans="1:4" x14ac:dyDescent="0.3">
      <c r="A236" t="s">
        <v>151</v>
      </c>
      <c r="B236" t="s">
        <v>48</v>
      </c>
      <c r="C236" t="s">
        <v>77</v>
      </c>
      <c r="D236">
        <v>72956</v>
      </c>
    </row>
    <row r="237" spans="1:4" x14ac:dyDescent="0.3">
      <c r="A237" t="s">
        <v>151</v>
      </c>
      <c r="B237" t="s">
        <v>48</v>
      </c>
      <c r="C237" t="s">
        <v>90</v>
      </c>
      <c r="D237">
        <v>1222172</v>
      </c>
    </row>
    <row r="238" spans="1:4" x14ac:dyDescent="0.3">
      <c r="A238" t="s">
        <v>151</v>
      </c>
      <c r="B238" t="s">
        <v>59</v>
      </c>
      <c r="C238" t="s">
        <v>60</v>
      </c>
      <c r="D238">
        <v>1073263</v>
      </c>
    </row>
    <row r="239" spans="1:4" x14ac:dyDescent="0.3">
      <c r="A239" t="s">
        <v>151</v>
      </c>
      <c r="B239" t="s">
        <v>45</v>
      </c>
      <c r="C239" t="s">
        <v>140</v>
      </c>
      <c r="D239">
        <v>1007515</v>
      </c>
    </row>
    <row r="240" spans="1:4" x14ac:dyDescent="0.3">
      <c r="A240" t="s">
        <v>151</v>
      </c>
      <c r="B240" t="s">
        <v>37</v>
      </c>
      <c r="C240" t="s">
        <v>61</v>
      </c>
      <c r="D240">
        <v>561918</v>
      </c>
    </row>
    <row r="241" spans="1:4" x14ac:dyDescent="0.3">
      <c r="A241" t="s">
        <v>151</v>
      </c>
      <c r="B241" t="s">
        <v>70</v>
      </c>
      <c r="C241" t="s">
        <v>127</v>
      </c>
      <c r="D241">
        <v>924520</v>
      </c>
    </row>
    <row r="242" spans="1:4" x14ac:dyDescent="0.3">
      <c r="A242" t="s">
        <v>151</v>
      </c>
      <c r="B242" t="s">
        <v>48</v>
      </c>
      <c r="C242" t="s">
        <v>79</v>
      </c>
      <c r="D242">
        <v>1087172</v>
      </c>
    </row>
    <row r="243" spans="1:4" x14ac:dyDescent="0.3">
      <c r="A243" t="s">
        <v>151</v>
      </c>
      <c r="B243" t="s">
        <v>48</v>
      </c>
      <c r="C243" t="s">
        <v>91</v>
      </c>
      <c r="D243">
        <v>9365</v>
      </c>
    </row>
    <row r="244" spans="1:4" x14ac:dyDescent="0.3">
      <c r="A244" t="s">
        <v>151</v>
      </c>
      <c r="B244" t="s">
        <v>48</v>
      </c>
      <c r="C244" t="s">
        <v>110</v>
      </c>
      <c r="D244">
        <v>936530</v>
      </c>
    </row>
    <row r="245" spans="1:4" x14ac:dyDescent="0.3">
      <c r="A245" t="s">
        <v>151</v>
      </c>
      <c r="B245" t="s">
        <v>70</v>
      </c>
      <c r="C245" t="s">
        <v>83</v>
      </c>
      <c r="D245">
        <v>4250876</v>
      </c>
    </row>
    <row r="246" spans="1:4" x14ac:dyDescent="0.3">
      <c r="A246" t="s">
        <v>155</v>
      </c>
      <c r="B246" t="s">
        <v>37</v>
      </c>
      <c r="C246" t="s">
        <v>44</v>
      </c>
      <c r="D246">
        <v>1245105</v>
      </c>
    </row>
    <row r="247" spans="1:4" x14ac:dyDescent="0.3">
      <c r="A247" t="s">
        <v>155</v>
      </c>
      <c r="B247" t="s">
        <v>45</v>
      </c>
      <c r="C247" t="s">
        <v>46</v>
      </c>
      <c r="D247">
        <v>267199</v>
      </c>
    </row>
    <row r="248" spans="1:4" x14ac:dyDescent="0.3">
      <c r="A248" t="s">
        <v>155</v>
      </c>
      <c r="B248" t="s">
        <v>48</v>
      </c>
      <c r="C248" t="s">
        <v>87</v>
      </c>
      <c r="D248">
        <v>650000</v>
      </c>
    </row>
    <row r="249" spans="1:4" x14ac:dyDescent="0.3">
      <c r="A249" t="s">
        <v>155</v>
      </c>
      <c r="B249" t="s">
        <v>59</v>
      </c>
      <c r="C249" t="s">
        <v>95</v>
      </c>
      <c r="D249">
        <v>120000</v>
      </c>
    </row>
    <row r="250" spans="1:4" x14ac:dyDescent="0.3">
      <c r="A250" t="s">
        <v>155</v>
      </c>
      <c r="B250" t="s">
        <v>59</v>
      </c>
      <c r="C250" t="s">
        <v>76</v>
      </c>
      <c r="D250">
        <v>2460000</v>
      </c>
    </row>
    <row r="251" spans="1:4" x14ac:dyDescent="0.3">
      <c r="A251" t="s">
        <v>155</v>
      </c>
      <c r="B251" t="s">
        <v>48</v>
      </c>
      <c r="C251" t="s">
        <v>156</v>
      </c>
      <c r="D251">
        <v>600000</v>
      </c>
    </row>
    <row r="252" spans="1:4" x14ac:dyDescent="0.3">
      <c r="A252" t="s">
        <v>155</v>
      </c>
      <c r="B252" t="s">
        <v>70</v>
      </c>
      <c r="C252" t="s">
        <v>120</v>
      </c>
      <c r="D252">
        <v>340000</v>
      </c>
    </row>
    <row r="253" spans="1:4" x14ac:dyDescent="0.3">
      <c r="A253" t="s">
        <v>155</v>
      </c>
      <c r="B253" t="s">
        <v>48</v>
      </c>
      <c r="C253" t="s">
        <v>77</v>
      </c>
      <c r="D253">
        <v>1000485</v>
      </c>
    </row>
    <row r="254" spans="1:4" x14ac:dyDescent="0.3">
      <c r="A254" t="s">
        <v>155</v>
      </c>
      <c r="B254" t="s">
        <v>37</v>
      </c>
      <c r="C254" t="s">
        <v>108</v>
      </c>
      <c r="D254">
        <v>750000</v>
      </c>
    </row>
    <row r="255" spans="1:4" x14ac:dyDescent="0.3">
      <c r="A255" t="s">
        <v>155</v>
      </c>
      <c r="B255" t="s">
        <v>59</v>
      </c>
      <c r="C255" t="s">
        <v>60</v>
      </c>
      <c r="D255">
        <v>2330000</v>
      </c>
    </row>
    <row r="256" spans="1:4" x14ac:dyDescent="0.3">
      <c r="A256" t="s">
        <v>155</v>
      </c>
      <c r="B256" t="s">
        <v>70</v>
      </c>
      <c r="C256" t="s">
        <v>100</v>
      </c>
      <c r="D256">
        <v>450000</v>
      </c>
    </row>
    <row r="257" spans="1:4" x14ac:dyDescent="0.3">
      <c r="A257" t="s">
        <v>155</v>
      </c>
      <c r="B257" t="s">
        <v>48</v>
      </c>
      <c r="C257" t="s">
        <v>102</v>
      </c>
      <c r="D257">
        <v>260000</v>
      </c>
    </row>
    <row r="258" spans="1:4" x14ac:dyDescent="0.3">
      <c r="A258" t="s">
        <v>155</v>
      </c>
      <c r="B258" t="s">
        <v>48</v>
      </c>
      <c r="C258" t="s">
        <v>109</v>
      </c>
      <c r="D258">
        <v>1254732</v>
      </c>
    </row>
    <row r="259" spans="1:4" x14ac:dyDescent="0.3">
      <c r="A259" t="s">
        <v>155</v>
      </c>
      <c r="B259" t="s">
        <v>48</v>
      </c>
      <c r="C259" t="s">
        <v>110</v>
      </c>
      <c r="D259">
        <v>1130000</v>
      </c>
    </row>
    <row r="260" spans="1:4" x14ac:dyDescent="0.3">
      <c r="A260" t="s">
        <v>155</v>
      </c>
      <c r="B260" t="s">
        <v>59</v>
      </c>
      <c r="C260" t="s">
        <v>81</v>
      </c>
      <c r="D260">
        <v>2907360</v>
      </c>
    </row>
    <row r="261" spans="1:4" x14ac:dyDescent="0.3">
      <c r="A261" t="s">
        <v>155</v>
      </c>
      <c r="B261" t="s">
        <v>70</v>
      </c>
      <c r="C261" t="s">
        <v>83</v>
      </c>
      <c r="D261">
        <v>4700000</v>
      </c>
    </row>
    <row r="262" spans="1:4" x14ac:dyDescent="0.3">
      <c r="A262" t="s">
        <v>157</v>
      </c>
      <c r="B262" t="s">
        <v>70</v>
      </c>
      <c r="C262" t="s">
        <v>72</v>
      </c>
      <c r="D262">
        <v>441239</v>
      </c>
    </row>
    <row r="263" spans="1:4" x14ac:dyDescent="0.3">
      <c r="A263" t="s">
        <v>157</v>
      </c>
      <c r="B263" t="s">
        <v>37</v>
      </c>
      <c r="C263" t="s">
        <v>44</v>
      </c>
      <c r="D263">
        <v>2520000</v>
      </c>
    </row>
    <row r="264" spans="1:4" x14ac:dyDescent="0.3">
      <c r="A264" t="s">
        <v>157</v>
      </c>
      <c r="B264" t="s">
        <v>48</v>
      </c>
      <c r="C264" t="s">
        <v>85</v>
      </c>
      <c r="D264">
        <v>235882</v>
      </c>
    </row>
    <row r="265" spans="1:4" x14ac:dyDescent="0.3">
      <c r="A265" t="s">
        <v>157</v>
      </c>
      <c r="B265" t="s">
        <v>37</v>
      </c>
      <c r="C265" t="s">
        <v>112</v>
      </c>
      <c r="D265">
        <v>100000</v>
      </c>
    </row>
    <row r="266" spans="1:4" x14ac:dyDescent="0.3">
      <c r="A266" t="s">
        <v>157</v>
      </c>
      <c r="B266" t="s">
        <v>45</v>
      </c>
      <c r="C266" t="s">
        <v>158</v>
      </c>
      <c r="D266">
        <v>350000</v>
      </c>
    </row>
    <row r="267" spans="1:4" x14ac:dyDescent="0.3">
      <c r="A267" t="s">
        <v>157</v>
      </c>
      <c r="B267" t="s">
        <v>70</v>
      </c>
      <c r="C267" t="s">
        <v>73</v>
      </c>
      <c r="D267">
        <v>500000</v>
      </c>
    </row>
    <row r="268" spans="1:4" x14ac:dyDescent="0.3">
      <c r="A268" t="s">
        <v>157</v>
      </c>
      <c r="B268" t="s">
        <v>70</v>
      </c>
      <c r="C268" t="s">
        <v>130</v>
      </c>
      <c r="D268">
        <v>100000</v>
      </c>
    </row>
    <row r="269" spans="1:4" x14ac:dyDescent="0.3">
      <c r="A269" t="s">
        <v>157</v>
      </c>
      <c r="B269" t="s">
        <v>48</v>
      </c>
      <c r="C269" t="s">
        <v>49</v>
      </c>
      <c r="D269">
        <v>2340000</v>
      </c>
    </row>
    <row r="270" spans="1:4" x14ac:dyDescent="0.3">
      <c r="A270" t="s">
        <v>157</v>
      </c>
      <c r="B270" t="s">
        <v>70</v>
      </c>
      <c r="C270" t="s">
        <v>75</v>
      </c>
      <c r="D270">
        <v>369484</v>
      </c>
    </row>
    <row r="271" spans="1:4" x14ac:dyDescent="0.3">
      <c r="A271" t="s">
        <v>157</v>
      </c>
      <c r="B271" t="s">
        <v>45</v>
      </c>
      <c r="C271" t="s">
        <v>154</v>
      </c>
      <c r="D271">
        <v>300000</v>
      </c>
    </row>
    <row r="272" spans="1:4" x14ac:dyDescent="0.3">
      <c r="A272" t="s">
        <v>157</v>
      </c>
      <c r="B272" t="s">
        <v>70</v>
      </c>
      <c r="C272" t="s">
        <v>137</v>
      </c>
      <c r="D272">
        <v>493200</v>
      </c>
    </row>
    <row r="273" spans="1:4" x14ac:dyDescent="0.3">
      <c r="A273" t="s">
        <v>157</v>
      </c>
      <c r="B273" t="s">
        <v>70</v>
      </c>
      <c r="C273" t="s">
        <v>138</v>
      </c>
      <c r="D273">
        <v>1201816</v>
      </c>
    </row>
    <row r="274" spans="1:4" x14ac:dyDescent="0.3">
      <c r="A274" t="s">
        <v>157</v>
      </c>
      <c r="B274" t="s">
        <v>37</v>
      </c>
      <c r="C274" t="s">
        <v>159</v>
      </c>
      <c r="D274">
        <v>1250000</v>
      </c>
    </row>
    <row r="275" spans="1:4" x14ac:dyDescent="0.3">
      <c r="A275" t="s">
        <v>157</v>
      </c>
      <c r="B275" t="s">
        <v>59</v>
      </c>
      <c r="C275" t="s">
        <v>76</v>
      </c>
      <c r="D275">
        <v>1867000</v>
      </c>
    </row>
    <row r="276" spans="1:4" x14ac:dyDescent="0.3">
      <c r="A276" t="s">
        <v>157</v>
      </c>
      <c r="B276" t="s">
        <v>48</v>
      </c>
      <c r="C276" t="s">
        <v>88</v>
      </c>
      <c r="D276">
        <v>150000</v>
      </c>
    </row>
    <row r="277" spans="1:4" x14ac:dyDescent="0.3">
      <c r="A277" t="s">
        <v>157</v>
      </c>
      <c r="B277" t="s">
        <v>70</v>
      </c>
      <c r="C277" t="s">
        <v>120</v>
      </c>
      <c r="D277">
        <v>340000</v>
      </c>
    </row>
    <row r="278" spans="1:4" x14ac:dyDescent="0.3">
      <c r="A278" t="s">
        <v>157</v>
      </c>
      <c r="B278" t="s">
        <v>70</v>
      </c>
      <c r="C278" t="s">
        <v>139</v>
      </c>
      <c r="D278">
        <v>98000</v>
      </c>
    </row>
    <row r="279" spans="1:4" x14ac:dyDescent="0.3">
      <c r="A279" t="s">
        <v>157</v>
      </c>
      <c r="B279" t="s">
        <v>37</v>
      </c>
      <c r="C279" t="s">
        <v>57</v>
      </c>
      <c r="D279">
        <v>860000</v>
      </c>
    </row>
    <row r="280" spans="1:4" x14ac:dyDescent="0.3">
      <c r="A280" t="s">
        <v>157</v>
      </c>
      <c r="B280" t="s">
        <v>70</v>
      </c>
      <c r="C280" t="s">
        <v>78</v>
      </c>
      <c r="D280">
        <v>75000</v>
      </c>
    </row>
    <row r="281" spans="1:4" x14ac:dyDescent="0.3">
      <c r="A281" t="s">
        <v>157</v>
      </c>
      <c r="B281" t="s">
        <v>45</v>
      </c>
      <c r="C281" t="s">
        <v>140</v>
      </c>
      <c r="D281">
        <v>110000</v>
      </c>
    </row>
    <row r="282" spans="1:4" x14ac:dyDescent="0.3">
      <c r="A282" t="s">
        <v>157</v>
      </c>
      <c r="B282" t="s">
        <v>45</v>
      </c>
      <c r="C282" t="s">
        <v>160</v>
      </c>
      <c r="D282">
        <v>520000</v>
      </c>
    </row>
    <row r="283" spans="1:4" x14ac:dyDescent="0.3">
      <c r="A283" t="s">
        <v>157</v>
      </c>
      <c r="B283" t="s">
        <v>70</v>
      </c>
      <c r="C283" t="s">
        <v>80</v>
      </c>
      <c r="D283">
        <v>80000</v>
      </c>
    </row>
    <row r="284" spans="1:4" x14ac:dyDescent="0.3">
      <c r="A284" t="s">
        <v>157</v>
      </c>
      <c r="B284" t="s">
        <v>48</v>
      </c>
      <c r="C284" t="s">
        <v>109</v>
      </c>
      <c r="D284">
        <v>1200000</v>
      </c>
    </row>
    <row r="285" spans="1:4" x14ac:dyDescent="0.3">
      <c r="A285" t="s">
        <v>157</v>
      </c>
      <c r="B285" t="s">
        <v>48</v>
      </c>
      <c r="C285" t="s">
        <v>110</v>
      </c>
      <c r="D285">
        <v>850000</v>
      </c>
    </row>
    <row r="286" spans="1:4" x14ac:dyDescent="0.3">
      <c r="A286" t="s">
        <v>157</v>
      </c>
      <c r="B286" t="s">
        <v>59</v>
      </c>
      <c r="C286" t="s">
        <v>81</v>
      </c>
      <c r="D286">
        <v>3514692</v>
      </c>
    </row>
    <row r="287" spans="1:4" x14ac:dyDescent="0.3">
      <c r="A287" t="s">
        <v>157</v>
      </c>
      <c r="B287" t="s">
        <v>48</v>
      </c>
      <c r="C287" t="s">
        <v>121</v>
      </c>
      <c r="D287">
        <v>470000</v>
      </c>
    </row>
    <row r="288" spans="1:4" x14ac:dyDescent="0.3">
      <c r="A288" t="s">
        <v>161</v>
      </c>
      <c r="B288" t="s">
        <v>70</v>
      </c>
      <c r="C288" t="s">
        <v>73</v>
      </c>
      <c r="D288">
        <v>80000</v>
      </c>
    </row>
    <row r="289" spans="1:4" x14ac:dyDescent="0.3">
      <c r="A289" t="s">
        <v>161</v>
      </c>
      <c r="B289" t="s">
        <v>70</v>
      </c>
      <c r="C289" t="s">
        <v>130</v>
      </c>
      <c r="D289">
        <v>300000</v>
      </c>
    </row>
    <row r="290" spans="1:4" x14ac:dyDescent="0.3">
      <c r="A290" t="s">
        <v>161</v>
      </c>
      <c r="B290" t="s">
        <v>45</v>
      </c>
      <c r="C290" t="s">
        <v>46</v>
      </c>
      <c r="D290">
        <v>33942</v>
      </c>
    </row>
    <row r="291" spans="1:4" x14ac:dyDescent="0.3">
      <c r="A291" t="s">
        <v>161</v>
      </c>
      <c r="B291" t="s">
        <v>45</v>
      </c>
      <c r="C291" t="s">
        <v>162</v>
      </c>
      <c r="D291">
        <v>100000</v>
      </c>
    </row>
    <row r="292" spans="1:4" x14ac:dyDescent="0.3">
      <c r="A292" t="s">
        <v>161</v>
      </c>
      <c r="B292" t="s">
        <v>48</v>
      </c>
      <c r="C292" t="s">
        <v>49</v>
      </c>
      <c r="D292">
        <v>300000</v>
      </c>
    </row>
    <row r="293" spans="1:4" x14ac:dyDescent="0.3">
      <c r="A293" t="s">
        <v>161</v>
      </c>
      <c r="B293" t="s">
        <v>37</v>
      </c>
      <c r="C293" t="s">
        <v>163</v>
      </c>
      <c r="D293">
        <v>800000</v>
      </c>
    </row>
    <row r="294" spans="1:4" x14ac:dyDescent="0.3">
      <c r="A294" t="s">
        <v>161</v>
      </c>
      <c r="B294" t="s">
        <v>37</v>
      </c>
      <c r="C294" t="s">
        <v>52</v>
      </c>
      <c r="D294">
        <v>150000</v>
      </c>
    </row>
    <row r="295" spans="1:4" x14ac:dyDescent="0.3">
      <c r="A295" t="s">
        <v>161</v>
      </c>
      <c r="B295" t="s">
        <v>59</v>
      </c>
      <c r="C295" t="s">
        <v>76</v>
      </c>
      <c r="D295">
        <v>3000000</v>
      </c>
    </row>
    <row r="296" spans="1:4" x14ac:dyDescent="0.3">
      <c r="A296" t="s">
        <v>161</v>
      </c>
      <c r="B296" t="s">
        <v>70</v>
      </c>
      <c r="C296" t="s">
        <v>164</v>
      </c>
      <c r="D296">
        <v>200000</v>
      </c>
    </row>
    <row r="297" spans="1:4" x14ac:dyDescent="0.3">
      <c r="A297" t="s">
        <v>161</v>
      </c>
      <c r="B297" t="s">
        <v>37</v>
      </c>
      <c r="C297" t="s">
        <v>57</v>
      </c>
      <c r="D297">
        <v>245052</v>
      </c>
    </row>
    <row r="298" spans="1:4" x14ac:dyDescent="0.3">
      <c r="A298" t="s">
        <v>161</v>
      </c>
      <c r="B298" t="s">
        <v>37</v>
      </c>
      <c r="C298" t="s">
        <v>61</v>
      </c>
      <c r="D298">
        <v>527000</v>
      </c>
    </row>
    <row r="299" spans="1:4" x14ac:dyDescent="0.3">
      <c r="A299" t="s">
        <v>161</v>
      </c>
      <c r="B299" t="s">
        <v>48</v>
      </c>
      <c r="C299" t="s">
        <v>102</v>
      </c>
      <c r="D299">
        <v>402529</v>
      </c>
    </row>
    <row r="300" spans="1:4" x14ac:dyDescent="0.3">
      <c r="A300" t="s">
        <v>161</v>
      </c>
      <c r="B300" t="s">
        <v>45</v>
      </c>
      <c r="C300" t="s">
        <v>128</v>
      </c>
      <c r="D300">
        <v>12000</v>
      </c>
    </row>
    <row r="301" spans="1:4" x14ac:dyDescent="0.3">
      <c r="A301" t="s">
        <v>165</v>
      </c>
      <c r="B301" t="s">
        <v>48</v>
      </c>
      <c r="C301" t="s">
        <v>166</v>
      </c>
      <c r="D301">
        <v>148888</v>
      </c>
    </row>
    <row r="302" spans="1:4" x14ac:dyDescent="0.3">
      <c r="A302" t="s">
        <v>165</v>
      </c>
      <c r="B302" t="s">
        <v>48</v>
      </c>
      <c r="C302" t="s">
        <v>167</v>
      </c>
      <c r="D302">
        <v>270923</v>
      </c>
    </row>
    <row r="303" spans="1:4" x14ac:dyDescent="0.3">
      <c r="A303" t="s">
        <v>165</v>
      </c>
      <c r="B303" t="s">
        <v>59</v>
      </c>
      <c r="C303" t="s">
        <v>168</v>
      </c>
      <c r="D303">
        <v>163069</v>
      </c>
    </row>
    <row r="304" spans="1:4" x14ac:dyDescent="0.3">
      <c r="A304" t="s">
        <v>165</v>
      </c>
      <c r="B304" t="s">
        <v>48</v>
      </c>
      <c r="C304" t="s">
        <v>49</v>
      </c>
      <c r="D304">
        <v>4108094</v>
      </c>
    </row>
    <row r="305" spans="1:4" x14ac:dyDescent="0.3">
      <c r="A305" t="s">
        <v>165</v>
      </c>
      <c r="B305" t="s">
        <v>45</v>
      </c>
      <c r="C305" t="s">
        <v>154</v>
      </c>
      <c r="D305">
        <v>127729</v>
      </c>
    </row>
    <row r="306" spans="1:4" x14ac:dyDescent="0.3">
      <c r="A306" t="s">
        <v>165</v>
      </c>
      <c r="B306" t="s">
        <v>59</v>
      </c>
      <c r="C306" t="s">
        <v>76</v>
      </c>
      <c r="D306">
        <v>2532004</v>
      </c>
    </row>
    <row r="307" spans="1:4" x14ac:dyDescent="0.3">
      <c r="A307" t="s">
        <v>165</v>
      </c>
      <c r="B307" t="s">
        <v>48</v>
      </c>
      <c r="C307" t="s">
        <v>89</v>
      </c>
      <c r="D307">
        <v>1250453</v>
      </c>
    </row>
    <row r="308" spans="1:4" x14ac:dyDescent="0.3">
      <c r="A308" t="s">
        <v>165</v>
      </c>
      <c r="B308" t="s">
        <v>59</v>
      </c>
      <c r="C308" t="s">
        <v>60</v>
      </c>
      <c r="D308">
        <v>6852669</v>
      </c>
    </row>
    <row r="309" spans="1:4" x14ac:dyDescent="0.3">
      <c r="A309" t="s">
        <v>165</v>
      </c>
      <c r="B309" t="s">
        <v>37</v>
      </c>
      <c r="C309" t="s">
        <v>61</v>
      </c>
      <c r="D309">
        <v>696290</v>
      </c>
    </row>
    <row r="310" spans="1:4" x14ac:dyDescent="0.3">
      <c r="A310" t="s">
        <v>165</v>
      </c>
      <c r="B310" t="s">
        <v>48</v>
      </c>
      <c r="C310" t="s">
        <v>109</v>
      </c>
      <c r="D310">
        <v>2308699</v>
      </c>
    </row>
    <row r="311" spans="1:4" x14ac:dyDescent="0.3">
      <c r="A311" t="s">
        <v>165</v>
      </c>
      <c r="B311" t="s">
        <v>48</v>
      </c>
      <c r="C311" t="s">
        <v>110</v>
      </c>
      <c r="D311">
        <v>752550</v>
      </c>
    </row>
    <row r="312" spans="1:4" x14ac:dyDescent="0.3">
      <c r="A312" t="s">
        <v>165</v>
      </c>
      <c r="B312" t="s">
        <v>48</v>
      </c>
      <c r="C312" t="s">
        <v>82</v>
      </c>
      <c r="D312">
        <v>1981551</v>
      </c>
    </row>
    <row r="313" spans="1:4" x14ac:dyDescent="0.3">
      <c r="A313" t="s">
        <v>165</v>
      </c>
      <c r="B313" t="s">
        <v>48</v>
      </c>
      <c r="C313" t="s">
        <v>66</v>
      </c>
      <c r="D313">
        <v>2363468</v>
      </c>
    </row>
    <row r="314" spans="1:4" x14ac:dyDescent="0.3">
      <c r="A314" t="s">
        <v>169</v>
      </c>
      <c r="B314" t="s">
        <v>70</v>
      </c>
      <c r="C314" t="s">
        <v>130</v>
      </c>
      <c r="D314">
        <v>50000</v>
      </c>
    </row>
    <row r="315" spans="1:4" x14ac:dyDescent="0.3">
      <c r="A315" t="s">
        <v>169</v>
      </c>
      <c r="B315" t="s">
        <v>37</v>
      </c>
      <c r="C315" t="s">
        <v>57</v>
      </c>
      <c r="D315">
        <v>260597</v>
      </c>
    </row>
    <row r="316" spans="1:4" x14ac:dyDescent="0.3">
      <c r="A316" t="s">
        <v>169</v>
      </c>
      <c r="B316" t="s">
        <v>70</v>
      </c>
      <c r="C316" t="s">
        <v>103</v>
      </c>
      <c r="D316">
        <v>4000000</v>
      </c>
    </row>
    <row r="317" spans="1:4" x14ac:dyDescent="0.3">
      <c r="A317" t="s">
        <v>170</v>
      </c>
      <c r="B317" t="s">
        <v>37</v>
      </c>
      <c r="C317" t="s">
        <v>107</v>
      </c>
      <c r="D317">
        <v>2000000</v>
      </c>
    </row>
    <row r="318" spans="1:4" x14ac:dyDescent="0.3">
      <c r="A318" t="s">
        <v>170</v>
      </c>
      <c r="B318" t="s">
        <v>70</v>
      </c>
      <c r="C318" t="s">
        <v>171</v>
      </c>
      <c r="D318">
        <v>16000</v>
      </c>
    </row>
    <row r="319" spans="1:4" x14ac:dyDescent="0.3">
      <c r="A319" t="s">
        <v>170</v>
      </c>
      <c r="B319" t="s">
        <v>37</v>
      </c>
      <c r="C319" t="s">
        <v>44</v>
      </c>
      <c r="D319">
        <v>522000</v>
      </c>
    </row>
    <row r="320" spans="1:4" x14ac:dyDescent="0.3">
      <c r="A320" t="s">
        <v>170</v>
      </c>
      <c r="B320" t="s">
        <v>70</v>
      </c>
      <c r="C320" t="s">
        <v>73</v>
      </c>
      <c r="D320">
        <v>20000</v>
      </c>
    </row>
    <row r="321" spans="1:4" x14ac:dyDescent="0.3">
      <c r="A321" t="s">
        <v>170</v>
      </c>
      <c r="B321" t="s">
        <v>70</v>
      </c>
      <c r="C321" t="s">
        <v>130</v>
      </c>
      <c r="D321">
        <v>50000</v>
      </c>
    </row>
    <row r="322" spans="1:4" x14ac:dyDescent="0.3">
      <c r="A322" t="s">
        <v>170</v>
      </c>
      <c r="B322" t="s">
        <v>59</v>
      </c>
      <c r="C322" t="s">
        <v>95</v>
      </c>
      <c r="D322">
        <v>300000</v>
      </c>
    </row>
    <row r="323" spans="1:4" x14ac:dyDescent="0.3">
      <c r="A323" t="s">
        <v>170</v>
      </c>
      <c r="B323" t="s">
        <v>70</v>
      </c>
      <c r="C323" t="s">
        <v>138</v>
      </c>
      <c r="D323">
        <v>140000</v>
      </c>
    </row>
    <row r="324" spans="1:4" x14ac:dyDescent="0.3">
      <c r="A324" t="s">
        <v>170</v>
      </c>
      <c r="B324" t="s">
        <v>37</v>
      </c>
      <c r="C324" t="s">
        <v>126</v>
      </c>
      <c r="D324">
        <v>620000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92"/>
  <sheetViews>
    <sheetView topLeftCell="A172" workbookViewId="0">
      <selection activeCell="A2" sqref="A2"/>
    </sheetView>
  </sheetViews>
  <sheetFormatPr defaultRowHeight="14.4" x14ac:dyDescent="0.3"/>
  <cols>
    <col min="1" max="2" width="43.44140625" bestFit="1" customWidth="1"/>
    <col min="3" max="3" width="7.21875" bestFit="1" customWidth="1"/>
    <col min="5" max="5" width="22.44140625" bestFit="1" customWidth="1"/>
    <col min="6" max="6" width="36.44140625" bestFit="1" customWidth="1"/>
    <col min="8" max="8" width="21.77734375" bestFit="1" customWidth="1"/>
  </cols>
  <sheetData>
    <row r="1" spans="1:8" x14ac:dyDescent="0.3">
      <c r="A1" t="s">
        <v>41</v>
      </c>
      <c r="B1" t="s">
        <v>172</v>
      </c>
      <c r="C1" t="s">
        <v>173</v>
      </c>
      <c r="E1" t="s">
        <v>14</v>
      </c>
      <c r="F1" t="s">
        <v>15</v>
      </c>
      <c r="H1" s="6" t="s">
        <v>14</v>
      </c>
    </row>
    <row r="2" spans="1:8" x14ac:dyDescent="0.3">
      <c r="A2" t="s">
        <v>2</v>
      </c>
      <c r="B2" t="s">
        <v>2</v>
      </c>
      <c r="C2" t="s">
        <v>174</v>
      </c>
      <c r="E2" t="s">
        <v>48</v>
      </c>
      <c r="F2" t="s">
        <v>134</v>
      </c>
      <c r="H2" s="7" t="s">
        <v>37</v>
      </c>
    </row>
    <row r="3" spans="1:8" x14ac:dyDescent="0.3">
      <c r="A3" t="s">
        <v>67</v>
      </c>
      <c r="B3" t="s">
        <v>67</v>
      </c>
      <c r="C3" t="s">
        <v>175</v>
      </c>
      <c r="E3" t="s">
        <v>48</v>
      </c>
      <c r="F3" t="s">
        <v>85</v>
      </c>
      <c r="H3" s="8" t="s">
        <v>48</v>
      </c>
    </row>
    <row r="4" spans="1:8" x14ac:dyDescent="0.3">
      <c r="A4" t="s">
        <v>69</v>
      </c>
      <c r="B4" t="s">
        <v>69</v>
      </c>
      <c r="C4" t="s">
        <v>176</v>
      </c>
      <c r="E4" t="s">
        <v>48</v>
      </c>
      <c r="F4" t="s">
        <v>177</v>
      </c>
      <c r="H4" s="7" t="s">
        <v>45</v>
      </c>
    </row>
    <row r="5" spans="1:8" x14ac:dyDescent="0.3">
      <c r="A5" t="s">
        <v>84</v>
      </c>
      <c r="B5" t="s">
        <v>84</v>
      </c>
      <c r="C5" t="s">
        <v>178</v>
      </c>
      <c r="E5" t="s">
        <v>48</v>
      </c>
      <c r="F5" t="s">
        <v>74</v>
      </c>
      <c r="H5" s="8" t="s">
        <v>179</v>
      </c>
    </row>
    <row r="6" spans="1:8" x14ac:dyDescent="0.3">
      <c r="A6" t="s">
        <v>92</v>
      </c>
      <c r="B6" t="s">
        <v>92</v>
      </c>
      <c r="C6" t="s">
        <v>180</v>
      </c>
      <c r="E6" t="s">
        <v>48</v>
      </c>
      <c r="F6" t="s">
        <v>86</v>
      </c>
      <c r="H6" s="9" t="s">
        <v>59</v>
      </c>
    </row>
    <row r="7" spans="1:8" x14ac:dyDescent="0.3">
      <c r="A7" t="s">
        <v>106</v>
      </c>
      <c r="B7" t="s">
        <v>106</v>
      </c>
      <c r="C7" t="s">
        <v>181</v>
      </c>
      <c r="E7" t="s">
        <v>48</v>
      </c>
      <c r="F7" t="s">
        <v>116</v>
      </c>
    </row>
    <row r="8" spans="1:8" x14ac:dyDescent="0.3">
      <c r="A8" t="s">
        <v>111</v>
      </c>
      <c r="B8" t="s">
        <v>111</v>
      </c>
      <c r="C8" t="s">
        <v>182</v>
      </c>
      <c r="E8" t="s">
        <v>48</v>
      </c>
      <c r="F8" t="s">
        <v>183</v>
      </c>
    </row>
    <row r="9" spans="1:8" x14ac:dyDescent="0.3">
      <c r="A9" t="s">
        <v>115</v>
      </c>
      <c r="B9" t="s">
        <v>115</v>
      </c>
      <c r="C9" t="s">
        <v>184</v>
      </c>
      <c r="E9" t="s">
        <v>48</v>
      </c>
      <c r="F9" t="s">
        <v>166</v>
      </c>
    </row>
    <row r="10" spans="1:8" x14ac:dyDescent="0.3">
      <c r="A10" t="s">
        <v>122</v>
      </c>
      <c r="B10" t="s">
        <v>122</v>
      </c>
      <c r="C10" t="s">
        <v>185</v>
      </c>
      <c r="E10" t="s">
        <v>48</v>
      </c>
      <c r="F10" t="s">
        <v>93</v>
      </c>
    </row>
    <row r="11" spans="1:8" x14ac:dyDescent="0.3">
      <c r="A11" t="s">
        <v>131</v>
      </c>
      <c r="B11" t="s">
        <v>131</v>
      </c>
      <c r="C11" t="s">
        <v>186</v>
      </c>
      <c r="E11" t="s">
        <v>48</v>
      </c>
      <c r="F11" t="s">
        <v>117</v>
      </c>
    </row>
    <row r="12" spans="1:8" x14ac:dyDescent="0.3">
      <c r="A12" t="s">
        <v>132</v>
      </c>
      <c r="B12" t="s">
        <v>132</v>
      </c>
      <c r="C12" t="s">
        <v>187</v>
      </c>
      <c r="E12" t="s">
        <v>48</v>
      </c>
      <c r="F12" t="s">
        <v>188</v>
      </c>
    </row>
    <row r="13" spans="1:8" x14ac:dyDescent="0.3">
      <c r="A13" t="s">
        <v>133</v>
      </c>
      <c r="B13" t="s">
        <v>133</v>
      </c>
      <c r="C13" t="s">
        <v>189</v>
      </c>
      <c r="E13" t="s">
        <v>48</v>
      </c>
      <c r="F13" t="s">
        <v>87</v>
      </c>
    </row>
    <row r="14" spans="1:8" x14ac:dyDescent="0.3">
      <c r="A14" t="s">
        <v>142</v>
      </c>
      <c r="B14" t="s">
        <v>142</v>
      </c>
      <c r="C14" t="s">
        <v>190</v>
      </c>
      <c r="E14" t="s">
        <v>48</v>
      </c>
      <c r="F14" t="s">
        <v>167</v>
      </c>
    </row>
    <row r="15" spans="1:8" x14ac:dyDescent="0.3">
      <c r="A15" t="s">
        <v>143</v>
      </c>
      <c r="B15" t="s">
        <v>143</v>
      </c>
      <c r="C15" t="s">
        <v>191</v>
      </c>
      <c r="E15" t="s">
        <v>48</v>
      </c>
      <c r="F15" t="s">
        <v>135</v>
      </c>
    </row>
    <row r="16" spans="1:8" x14ac:dyDescent="0.3">
      <c r="A16" t="s">
        <v>145</v>
      </c>
      <c r="B16" t="s">
        <v>145</v>
      </c>
      <c r="C16" t="s">
        <v>192</v>
      </c>
      <c r="E16" t="s">
        <v>48</v>
      </c>
      <c r="F16" t="s">
        <v>193</v>
      </c>
    </row>
    <row r="17" spans="1:6" x14ac:dyDescent="0.3">
      <c r="A17" t="s">
        <v>146</v>
      </c>
      <c r="B17" t="s">
        <v>146</v>
      </c>
      <c r="C17" t="s">
        <v>194</v>
      </c>
      <c r="E17" t="s">
        <v>48</v>
      </c>
      <c r="F17" t="s">
        <v>94</v>
      </c>
    </row>
    <row r="18" spans="1:6" x14ac:dyDescent="0.3">
      <c r="A18" t="s">
        <v>147</v>
      </c>
      <c r="B18" t="s">
        <v>147</v>
      </c>
      <c r="C18" t="s">
        <v>195</v>
      </c>
      <c r="E18" t="s">
        <v>48</v>
      </c>
      <c r="F18" t="s">
        <v>49</v>
      </c>
    </row>
    <row r="19" spans="1:6" x14ac:dyDescent="0.3">
      <c r="A19" t="s">
        <v>148</v>
      </c>
      <c r="B19" t="s">
        <v>148</v>
      </c>
      <c r="C19" t="s">
        <v>196</v>
      </c>
      <c r="E19" t="s">
        <v>48</v>
      </c>
      <c r="F19" t="s">
        <v>197</v>
      </c>
    </row>
    <row r="20" spans="1:6" x14ac:dyDescent="0.3">
      <c r="A20" t="s">
        <v>149</v>
      </c>
      <c r="B20" t="s">
        <v>149</v>
      </c>
      <c r="C20" t="s">
        <v>198</v>
      </c>
      <c r="E20" t="s">
        <v>48</v>
      </c>
      <c r="F20" t="s">
        <v>153</v>
      </c>
    </row>
    <row r="21" spans="1:6" x14ac:dyDescent="0.3">
      <c r="A21" t="s">
        <v>150</v>
      </c>
      <c r="B21" t="s">
        <v>150</v>
      </c>
      <c r="C21" t="s">
        <v>199</v>
      </c>
      <c r="E21" t="s">
        <v>48</v>
      </c>
      <c r="F21" t="s">
        <v>200</v>
      </c>
    </row>
    <row r="22" spans="1:6" x14ac:dyDescent="0.3">
      <c r="A22" t="s">
        <v>151</v>
      </c>
      <c r="B22" t="s">
        <v>151</v>
      </c>
      <c r="C22" t="s">
        <v>201</v>
      </c>
      <c r="E22" t="s">
        <v>48</v>
      </c>
      <c r="F22" t="s">
        <v>202</v>
      </c>
    </row>
    <row r="23" spans="1:6" x14ac:dyDescent="0.3">
      <c r="A23" t="s">
        <v>155</v>
      </c>
      <c r="B23" t="s">
        <v>155</v>
      </c>
      <c r="C23" t="s">
        <v>203</v>
      </c>
      <c r="E23" t="s">
        <v>48</v>
      </c>
      <c r="F23" t="s">
        <v>136</v>
      </c>
    </row>
    <row r="24" spans="1:6" x14ac:dyDescent="0.3">
      <c r="A24" t="s">
        <v>157</v>
      </c>
      <c r="B24" t="s">
        <v>157</v>
      </c>
      <c r="C24" t="s">
        <v>204</v>
      </c>
      <c r="E24" t="s">
        <v>48</v>
      </c>
      <c r="F24" t="s">
        <v>53</v>
      </c>
    </row>
    <row r="25" spans="1:6" x14ac:dyDescent="0.3">
      <c r="A25" t="s">
        <v>161</v>
      </c>
      <c r="B25" t="s">
        <v>161</v>
      </c>
      <c r="C25" t="s">
        <v>205</v>
      </c>
      <c r="E25" t="s">
        <v>48</v>
      </c>
      <c r="F25" t="s">
        <v>206</v>
      </c>
    </row>
    <row r="26" spans="1:6" x14ac:dyDescent="0.3">
      <c r="A26" t="s">
        <v>165</v>
      </c>
      <c r="B26" t="s">
        <v>165</v>
      </c>
      <c r="C26" t="s">
        <v>207</v>
      </c>
      <c r="E26" t="s">
        <v>48</v>
      </c>
      <c r="F26" t="s">
        <v>156</v>
      </c>
    </row>
    <row r="27" spans="1:6" x14ac:dyDescent="0.3">
      <c r="A27" t="s">
        <v>169</v>
      </c>
      <c r="B27" t="s">
        <v>169</v>
      </c>
      <c r="C27" t="s">
        <v>208</v>
      </c>
      <c r="E27" t="s">
        <v>48</v>
      </c>
      <c r="F27" t="s">
        <v>118</v>
      </c>
    </row>
    <row r="28" spans="1:6" x14ac:dyDescent="0.3">
      <c r="A28" t="s">
        <v>170</v>
      </c>
      <c r="B28" t="s">
        <v>170</v>
      </c>
      <c r="C28" t="s">
        <v>209</v>
      </c>
      <c r="E28" t="s">
        <v>48</v>
      </c>
      <c r="F28" t="s">
        <v>88</v>
      </c>
    </row>
    <row r="29" spans="1:6" x14ac:dyDescent="0.3">
      <c r="E29" t="s">
        <v>48</v>
      </c>
      <c r="F29" t="s">
        <v>89</v>
      </c>
    </row>
    <row r="30" spans="1:6" x14ac:dyDescent="0.3">
      <c r="E30" t="s">
        <v>48</v>
      </c>
      <c r="F30" t="s">
        <v>97</v>
      </c>
    </row>
    <row r="31" spans="1:6" x14ac:dyDescent="0.3">
      <c r="E31" t="s">
        <v>48</v>
      </c>
      <c r="F31" t="s">
        <v>119</v>
      </c>
    </row>
    <row r="32" spans="1:6" x14ac:dyDescent="0.3">
      <c r="E32" t="s">
        <v>48</v>
      </c>
      <c r="F32" t="s">
        <v>77</v>
      </c>
    </row>
    <row r="33" spans="5:6" x14ac:dyDescent="0.3">
      <c r="E33" t="s">
        <v>48</v>
      </c>
      <c r="F33" t="s">
        <v>210</v>
      </c>
    </row>
    <row r="34" spans="5:6" x14ac:dyDescent="0.3">
      <c r="E34" t="s">
        <v>48</v>
      </c>
      <c r="F34" t="s">
        <v>90</v>
      </c>
    </row>
    <row r="35" spans="5:6" x14ac:dyDescent="0.3">
      <c r="E35" t="s">
        <v>48</v>
      </c>
      <c r="F35" t="s">
        <v>99</v>
      </c>
    </row>
    <row r="36" spans="5:6" x14ac:dyDescent="0.3">
      <c r="E36" t="s">
        <v>48</v>
      </c>
      <c r="F36" t="s">
        <v>79</v>
      </c>
    </row>
    <row r="37" spans="5:6" x14ac:dyDescent="0.3">
      <c r="E37" t="s">
        <v>48</v>
      </c>
      <c r="F37" t="s">
        <v>211</v>
      </c>
    </row>
    <row r="38" spans="5:6" x14ac:dyDescent="0.3">
      <c r="E38" t="s">
        <v>48</v>
      </c>
      <c r="F38" t="s">
        <v>91</v>
      </c>
    </row>
    <row r="39" spans="5:6" x14ac:dyDescent="0.3">
      <c r="E39" t="s">
        <v>48</v>
      </c>
      <c r="F39" t="s">
        <v>212</v>
      </c>
    </row>
    <row r="40" spans="5:6" x14ac:dyDescent="0.3">
      <c r="E40" t="s">
        <v>48</v>
      </c>
      <c r="F40" t="s">
        <v>101</v>
      </c>
    </row>
    <row r="41" spans="5:6" x14ac:dyDescent="0.3">
      <c r="E41" t="s">
        <v>48</v>
      </c>
      <c r="F41" t="s">
        <v>102</v>
      </c>
    </row>
    <row r="42" spans="5:6" x14ac:dyDescent="0.3">
      <c r="E42" t="s">
        <v>48</v>
      </c>
      <c r="F42" t="s">
        <v>213</v>
      </c>
    </row>
    <row r="43" spans="5:6" x14ac:dyDescent="0.3">
      <c r="E43" t="s">
        <v>48</v>
      </c>
      <c r="F43" t="s">
        <v>109</v>
      </c>
    </row>
    <row r="44" spans="5:6" x14ac:dyDescent="0.3">
      <c r="E44" t="s">
        <v>48</v>
      </c>
      <c r="F44" t="s">
        <v>110</v>
      </c>
    </row>
    <row r="45" spans="5:6" x14ac:dyDescent="0.3">
      <c r="E45" t="s">
        <v>48</v>
      </c>
      <c r="F45" t="s">
        <v>114</v>
      </c>
    </row>
    <row r="46" spans="5:6" x14ac:dyDescent="0.3">
      <c r="E46" t="s">
        <v>48</v>
      </c>
      <c r="F46" t="s">
        <v>121</v>
      </c>
    </row>
    <row r="47" spans="5:6" x14ac:dyDescent="0.3">
      <c r="E47" t="s">
        <v>48</v>
      </c>
      <c r="F47" t="s">
        <v>82</v>
      </c>
    </row>
    <row r="48" spans="5:6" x14ac:dyDescent="0.3">
      <c r="E48" t="s">
        <v>48</v>
      </c>
      <c r="F48" t="s">
        <v>66</v>
      </c>
    </row>
    <row r="49" spans="5:6" x14ac:dyDescent="0.3">
      <c r="E49" t="s">
        <v>48</v>
      </c>
      <c r="F49" t="s">
        <v>105</v>
      </c>
    </row>
    <row r="50" spans="5:6" x14ac:dyDescent="0.3">
      <c r="E50" t="s">
        <v>45</v>
      </c>
      <c r="F50" t="s">
        <v>214</v>
      </c>
    </row>
    <row r="51" spans="5:6" x14ac:dyDescent="0.3">
      <c r="E51" t="s">
        <v>45</v>
      </c>
      <c r="F51" t="s">
        <v>215</v>
      </c>
    </row>
    <row r="52" spans="5:6" x14ac:dyDescent="0.3">
      <c r="E52" t="s">
        <v>45</v>
      </c>
      <c r="F52" t="s">
        <v>216</v>
      </c>
    </row>
    <row r="53" spans="5:6" x14ac:dyDescent="0.3">
      <c r="E53" t="s">
        <v>45</v>
      </c>
      <c r="F53" t="s">
        <v>217</v>
      </c>
    </row>
    <row r="54" spans="5:6" x14ac:dyDescent="0.3">
      <c r="E54" t="s">
        <v>45</v>
      </c>
      <c r="F54" t="s">
        <v>218</v>
      </c>
    </row>
    <row r="55" spans="5:6" x14ac:dyDescent="0.3">
      <c r="E55" t="s">
        <v>45</v>
      </c>
      <c r="F55" t="s">
        <v>158</v>
      </c>
    </row>
    <row r="56" spans="5:6" x14ac:dyDescent="0.3">
      <c r="E56" t="s">
        <v>45</v>
      </c>
      <c r="F56" t="s">
        <v>219</v>
      </c>
    </row>
    <row r="57" spans="5:6" x14ac:dyDescent="0.3">
      <c r="E57" t="s">
        <v>45</v>
      </c>
      <c r="F57" t="s">
        <v>220</v>
      </c>
    </row>
    <row r="58" spans="5:6" x14ac:dyDescent="0.3">
      <c r="E58" t="s">
        <v>45</v>
      </c>
      <c r="F58" t="s">
        <v>221</v>
      </c>
    </row>
    <row r="59" spans="5:6" x14ac:dyDescent="0.3">
      <c r="E59" t="s">
        <v>45</v>
      </c>
      <c r="F59" t="s">
        <v>46</v>
      </c>
    </row>
    <row r="60" spans="5:6" x14ac:dyDescent="0.3">
      <c r="E60" t="s">
        <v>45</v>
      </c>
      <c r="F60" t="s">
        <v>123</v>
      </c>
    </row>
    <row r="61" spans="5:6" x14ac:dyDescent="0.3">
      <c r="E61" t="s">
        <v>45</v>
      </c>
      <c r="F61" t="s">
        <v>222</v>
      </c>
    </row>
    <row r="62" spans="5:6" x14ac:dyDescent="0.3">
      <c r="E62" t="s">
        <v>45</v>
      </c>
      <c r="F62" t="s">
        <v>223</v>
      </c>
    </row>
    <row r="63" spans="5:6" x14ac:dyDescent="0.3">
      <c r="E63" t="s">
        <v>45</v>
      </c>
      <c r="F63" t="s">
        <v>162</v>
      </c>
    </row>
    <row r="64" spans="5:6" x14ac:dyDescent="0.3">
      <c r="E64" t="s">
        <v>45</v>
      </c>
      <c r="F64" t="s">
        <v>124</v>
      </c>
    </row>
    <row r="65" spans="5:6" x14ac:dyDescent="0.3">
      <c r="E65" t="s">
        <v>45</v>
      </c>
      <c r="F65" t="s">
        <v>47</v>
      </c>
    </row>
    <row r="66" spans="5:6" x14ac:dyDescent="0.3">
      <c r="E66" t="s">
        <v>45</v>
      </c>
      <c r="F66" t="s">
        <v>224</v>
      </c>
    </row>
    <row r="67" spans="5:6" x14ac:dyDescent="0.3">
      <c r="E67" t="s">
        <v>45</v>
      </c>
      <c r="F67" t="s">
        <v>50</v>
      </c>
    </row>
    <row r="68" spans="5:6" x14ac:dyDescent="0.3">
      <c r="E68" t="s">
        <v>45</v>
      </c>
      <c r="F68" t="s">
        <v>225</v>
      </c>
    </row>
    <row r="69" spans="5:6" x14ac:dyDescent="0.3">
      <c r="E69" t="s">
        <v>45</v>
      </c>
      <c r="F69" t="s">
        <v>154</v>
      </c>
    </row>
    <row r="70" spans="5:6" x14ac:dyDescent="0.3">
      <c r="E70" t="s">
        <v>45</v>
      </c>
      <c r="F70" t="s">
        <v>51</v>
      </c>
    </row>
    <row r="71" spans="5:6" x14ac:dyDescent="0.3">
      <c r="E71" t="s">
        <v>45</v>
      </c>
      <c r="F71" t="s">
        <v>226</v>
      </c>
    </row>
    <row r="72" spans="5:6" x14ac:dyDescent="0.3">
      <c r="E72" t="s">
        <v>45</v>
      </c>
      <c r="F72" t="s">
        <v>125</v>
      </c>
    </row>
    <row r="73" spans="5:6" x14ac:dyDescent="0.3">
      <c r="E73" t="s">
        <v>45</v>
      </c>
      <c r="F73" t="s">
        <v>140</v>
      </c>
    </row>
    <row r="74" spans="5:6" x14ac:dyDescent="0.3">
      <c r="E74" t="s">
        <v>45</v>
      </c>
      <c r="F74" t="s">
        <v>160</v>
      </c>
    </row>
    <row r="75" spans="5:6" x14ac:dyDescent="0.3">
      <c r="E75" t="s">
        <v>45</v>
      </c>
      <c r="F75" t="s">
        <v>227</v>
      </c>
    </row>
    <row r="76" spans="5:6" x14ac:dyDescent="0.3">
      <c r="E76" t="s">
        <v>45</v>
      </c>
      <c r="F76" t="s">
        <v>228</v>
      </c>
    </row>
    <row r="77" spans="5:6" x14ac:dyDescent="0.3">
      <c r="E77" t="s">
        <v>45</v>
      </c>
      <c r="F77" t="s">
        <v>229</v>
      </c>
    </row>
    <row r="78" spans="5:6" x14ac:dyDescent="0.3">
      <c r="E78" t="s">
        <v>45</v>
      </c>
      <c r="F78" t="s">
        <v>230</v>
      </c>
    </row>
    <row r="79" spans="5:6" x14ac:dyDescent="0.3">
      <c r="E79" t="s">
        <v>45</v>
      </c>
      <c r="F79" t="s">
        <v>231</v>
      </c>
    </row>
    <row r="80" spans="5:6" x14ac:dyDescent="0.3">
      <c r="E80" t="s">
        <v>45</v>
      </c>
      <c r="F80" t="s">
        <v>232</v>
      </c>
    </row>
    <row r="81" spans="5:6" x14ac:dyDescent="0.3">
      <c r="E81" t="s">
        <v>45</v>
      </c>
      <c r="F81" t="s">
        <v>233</v>
      </c>
    </row>
    <row r="82" spans="5:6" x14ac:dyDescent="0.3">
      <c r="E82" t="s">
        <v>45</v>
      </c>
      <c r="F82" t="s">
        <v>141</v>
      </c>
    </row>
    <row r="83" spans="5:6" x14ac:dyDescent="0.3">
      <c r="E83" t="s">
        <v>45</v>
      </c>
      <c r="F83" t="s">
        <v>128</v>
      </c>
    </row>
    <row r="84" spans="5:6" x14ac:dyDescent="0.3">
      <c r="E84" t="s">
        <v>37</v>
      </c>
      <c r="F84" t="s">
        <v>107</v>
      </c>
    </row>
    <row r="85" spans="5:6" x14ac:dyDescent="0.3">
      <c r="E85" t="s">
        <v>37</v>
      </c>
      <c r="F85" t="s">
        <v>234</v>
      </c>
    </row>
    <row r="86" spans="5:6" x14ac:dyDescent="0.3">
      <c r="E86" t="s">
        <v>37</v>
      </c>
      <c r="F86" t="s">
        <v>44</v>
      </c>
    </row>
    <row r="87" spans="5:6" x14ac:dyDescent="0.3">
      <c r="E87" t="s">
        <v>37</v>
      </c>
      <c r="F87" t="s">
        <v>112</v>
      </c>
    </row>
    <row r="88" spans="5:6" x14ac:dyDescent="0.3">
      <c r="E88" t="s">
        <v>37</v>
      </c>
      <c r="F88" t="s">
        <v>235</v>
      </c>
    </row>
    <row r="89" spans="5:6" x14ac:dyDescent="0.3">
      <c r="E89" t="s">
        <v>37</v>
      </c>
      <c r="F89" t="s">
        <v>236</v>
      </c>
    </row>
    <row r="90" spans="5:6" x14ac:dyDescent="0.3">
      <c r="E90" t="s">
        <v>37</v>
      </c>
      <c r="F90" t="s">
        <v>237</v>
      </c>
    </row>
    <row r="91" spans="5:6" x14ac:dyDescent="0.3">
      <c r="E91" t="s">
        <v>37</v>
      </c>
      <c r="F91" t="s">
        <v>238</v>
      </c>
    </row>
    <row r="92" spans="5:6" x14ac:dyDescent="0.3">
      <c r="E92" t="s">
        <v>37</v>
      </c>
      <c r="F92" t="s">
        <v>239</v>
      </c>
    </row>
    <row r="93" spans="5:6" x14ac:dyDescent="0.3">
      <c r="E93" t="s">
        <v>37</v>
      </c>
      <c r="F93" t="s">
        <v>163</v>
      </c>
    </row>
    <row r="94" spans="5:6" x14ac:dyDescent="0.3">
      <c r="E94" t="s">
        <v>37</v>
      </c>
      <c r="F94" t="s">
        <v>52</v>
      </c>
    </row>
    <row r="95" spans="5:6" x14ac:dyDescent="0.3">
      <c r="E95" t="s">
        <v>37</v>
      </c>
      <c r="F95" t="s">
        <v>240</v>
      </c>
    </row>
    <row r="96" spans="5:6" x14ac:dyDescent="0.3">
      <c r="E96" t="s">
        <v>37</v>
      </c>
      <c r="F96" t="s">
        <v>241</v>
      </c>
    </row>
    <row r="97" spans="5:6" x14ac:dyDescent="0.3">
      <c r="E97" t="s">
        <v>37</v>
      </c>
      <c r="F97" t="s">
        <v>242</v>
      </c>
    </row>
    <row r="98" spans="5:6" x14ac:dyDescent="0.3">
      <c r="E98" t="s">
        <v>37</v>
      </c>
      <c r="F98" t="s">
        <v>243</v>
      </c>
    </row>
    <row r="99" spans="5:6" x14ac:dyDescent="0.3">
      <c r="E99" t="s">
        <v>37</v>
      </c>
      <c r="F99" t="s">
        <v>159</v>
      </c>
    </row>
    <row r="100" spans="5:6" x14ac:dyDescent="0.3">
      <c r="E100" t="s">
        <v>37</v>
      </c>
      <c r="F100" t="s">
        <v>54</v>
      </c>
    </row>
    <row r="101" spans="5:6" x14ac:dyDescent="0.3">
      <c r="E101" t="s">
        <v>37</v>
      </c>
      <c r="F101" t="s">
        <v>244</v>
      </c>
    </row>
    <row r="102" spans="5:6" x14ac:dyDescent="0.3">
      <c r="E102" t="s">
        <v>37</v>
      </c>
      <c r="F102" t="s">
        <v>55</v>
      </c>
    </row>
    <row r="103" spans="5:6" x14ac:dyDescent="0.3">
      <c r="E103" t="s">
        <v>37</v>
      </c>
      <c r="F103" t="s">
        <v>56</v>
      </c>
    </row>
    <row r="104" spans="5:6" x14ac:dyDescent="0.3">
      <c r="E104" t="s">
        <v>37</v>
      </c>
      <c r="F104" t="s">
        <v>68</v>
      </c>
    </row>
    <row r="105" spans="5:6" x14ac:dyDescent="0.3">
      <c r="E105" t="s">
        <v>37</v>
      </c>
      <c r="F105" t="s">
        <v>108</v>
      </c>
    </row>
    <row r="106" spans="5:6" x14ac:dyDescent="0.3">
      <c r="E106" t="s">
        <v>37</v>
      </c>
      <c r="F106" t="s">
        <v>57</v>
      </c>
    </row>
    <row r="107" spans="5:6" x14ac:dyDescent="0.3">
      <c r="E107" t="s">
        <v>37</v>
      </c>
      <c r="F107" t="s">
        <v>245</v>
      </c>
    </row>
    <row r="108" spans="5:6" x14ac:dyDescent="0.3">
      <c r="E108" t="s">
        <v>37</v>
      </c>
      <c r="F108" t="s">
        <v>126</v>
      </c>
    </row>
    <row r="109" spans="5:6" x14ac:dyDescent="0.3">
      <c r="E109" t="s">
        <v>37</v>
      </c>
      <c r="F109" t="s">
        <v>58</v>
      </c>
    </row>
    <row r="110" spans="5:6" x14ac:dyDescent="0.3">
      <c r="E110" t="s">
        <v>37</v>
      </c>
      <c r="F110" t="s">
        <v>246</v>
      </c>
    </row>
    <row r="111" spans="5:6" x14ac:dyDescent="0.3">
      <c r="E111" t="s">
        <v>37</v>
      </c>
      <c r="F111" t="s">
        <v>61</v>
      </c>
    </row>
    <row r="112" spans="5:6" x14ac:dyDescent="0.3">
      <c r="E112" t="s">
        <v>37</v>
      </c>
      <c r="F112" t="s">
        <v>247</v>
      </c>
    </row>
    <row r="113" spans="5:6" x14ac:dyDescent="0.3">
      <c r="E113" t="s">
        <v>37</v>
      </c>
      <c r="F113" t="s">
        <v>248</v>
      </c>
    </row>
    <row r="114" spans="5:6" x14ac:dyDescent="0.3">
      <c r="E114" t="s">
        <v>37</v>
      </c>
      <c r="F114" t="s">
        <v>62</v>
      </c>
    </row>
    <row r="115" spans="5:6" x14ac:dyDescent="0.3">
      <c r="E115" t="s">
        <v>37</v>
      </c>
      <c r="F115" t="s">
        <v>249</v>
      </c>
    </row>
    <row r="116" spans="5:6" x14ac:dyDescent="0.3">
      <c r="E116" t="s">
        <v>37</v>
      </c>
      <c r="F116" t="s">
        <v>250</v>
      </c>
    </row>
    <row r="117" spans="5:6" x14ac:dyDescent="0.3">
      <c r="E117" t="s">
        <v>37</v>
      </c>
      <c r="F117" t="s">
        <v>63</v>
      </c>
    </row>
    <row r="118" spans="5:6" x14ac:dyDescent="0.3">
      <c r="E118" t="s">
        <v>37</v>
      </c>
      <c r="F118" t="s">
        <v>251</v>
      </c>
    </row>
    <row r="119" spans="5:6" x14ac:dyDescent="0.3">
      <c r="E119" t="s">
        <v>37</v>
      </c>
      <c r="F119" t="s">
        <v>64</v>
      </c>
    </row>
    <row r="120" spans="5:6" x14ac:dyDescent="0.3">
      <c r="E120" t="s">
        <v>37</v>
      </c>
      <c r="F120" t="s">
        <v>65</v>
      </c>
    </row>
    <row r="121" spans="5:6" x14ac:dyDescent="0.3">
      <c r="E121" t="s">
        <v>37</v>
      </c>
      <c r="F121" t="s">
        <v>252</v>
      </c>
    </row>
    <row r="122" spans="5:6" x14ac:dyDescent="0.3">
      <c r="E122" t="s">
        <v>179</v>
      </c>
      <c r="F122" t="s">
        <v>71</v>
      </c>
    </row>
    <row r="123" spans="5:6" x14ac:dyDescent="0.3">
      <c r="E123" t="s">
        <v>179</v>
      </c>
      <c r="F123" t="s">
        <v>253</v>
      </c>
    </row>
    <row r="124" spans="5:6" x14ac:dyDescent="0.3">
      <c r="E124" t="s">
        <v>179</v>
      </c>
      <c r="F124" t="s">
        <v>72</v>
      </c>
    </row>
    <row r="125" spans="5:6" x14ac:dyDescent="0.3">
      <c r="E125" t="s">
        <v>179</v>
      </c>
      <c r="F125" t="s">
        <v>254</v>
      </c>
    </row>
    <row r="126" spans="5:6" x14ac:dyDescent="0.3">
      <c r="E126" t="s">
        <v>179</v>
      </c>
      <c r="F126" t="s">
        <v>171</v>
      </c>
    </row>
    <row r="127" spans="5:6" x14ac:dyDescent="0.3">
      <c r="E127" t="s">
        <v>179</v>
      </c>
      <c r="F127" t="s">
        <v>255</v>
      </c>
    </row>
    <row r="128" spans="5:6" x14ac:dyDescent="0.3">
      <c r="E128" t="s">
        <v>179</v>
      </c>
      <c r="F128" t="s">
        <v>256</v>
      </c>
    </row>
    <row r="129" spans="5:6" x14ac:dyDescent="0.3">
      <c r="E129" t="s">
        <v>179</v>
      </c>
      <c r="F129" t="s">
        <v>73</v>
      </c>
    </row>
    <row r="130" spans="5:6" x14ac:dyDescent="0.3">
      <c r="E130" t="s">
        <v>179</v>
      </c>
      <c r="F130" t="s">
        <v>130</v>
      </c>
    </row>
    <row r="131" spans="5:6" x14ac:dyDescent="0.3">
      <c r="E131" t="s">
        <v>179</v>
      </c>
      <c r="F131" t="s">
        <v>257</v>
      </c>
    </row>
    <row r="132" spans="5:6" x14ac:dyDescent="0.3">
      <c r="E132" t="s">
        <v>179</v>
      </c>
      <c r="F132" t="s">
        <v>258</v>
      </c>
    </row>
    <row r="133" spans="5:6" x14ac:dyDescent="0.3">
      <c r="E133" t="s">
        <v>179</v>
      </c>
      <c r="F133" t="s">
        <v>259</v>
      </c>
    </row>
    <row r="134" spans="5:6" x14ac:dyDescent="0.3">
      <c r="E134" t="s">
        <v>179</v>
      </c>
      <c r="F134" t="s">
        <v>260</v>
      </c>
    </row>
    <row r="135" spans="5:6" x14ac:dyDescent="0.3">
      <c r="E135" t="s">
        <v>179</v>
      </c>
      <c r="F135" t="s">
        <v>261</v>
      </c>
    </row>
    <row r="136" spans="5:6" x14ac:dyDescent="0.3">
      <c r="E136" t="s">
        <v>179</v>
      </c>
      <c r="F136" t="s">
        <v>262</v>
      </c>
    </row>
    <row r="137" spans="5:6" x14ac:dyDescent="0.3">
      <c r="E137" t="s">
        <v>179</v>
      </c>
      <c r="F137" t="s">
        <v>263</v>
      </c>
    </row>
    <row r="138" spans="5:6" x14ac:dyDescent="0.3">
      <c r="E138" t="s">
        <v>179</v>
      </c>
      <c r="F138" t="s">
        <v>75</v>
      </c>
    </row>
    <row r="139" spans="5:6" x14ac:dyDescent="0.3">
      <c r="E139" t="s">
        <v>179</v>
      </c>
      <c r="F139" t="s">
        <v>264</v>
      </c>
    </row>
    <row r="140" spans="5:6" x14ac:dyDescent="0.3">
      <c r="E140" t="s">
        <v>179</v>
      </c>
      <c r="F140" t="s">
        <v>265</v>
      </c>
    </row>
    <row r="141" spans="5:6" x14ac:dyDescent="0.3">
      <c r="E141" t="s">
        <v>179</v>
      </c>
      <c r="F141" t="s">
        <v>266</v>
      </c>
    </row>
    <row r="142" spans="5:6" x14ac:dyDescent="0.3">
      <c r="E142" t="s">
        <v>179</v>
      </c>
      <c r="F142" t="s">
        <v>267</v>
      </c>
    </row>
    <row r="143" spans="5:6" x14ac:dyDescent="0.3">
      <c r="E143" t="s">
        <v>179</v>
      </c>
      <c r="F143" t="s">
        <v>268</v>
      </c>
    </row>
    <row r="144" spans="5:6" x14ac:dyDescent="0.3">
      <c r="E144" t="s">
        <v>179</v>
      </c>
      <c r="F144" t="s">
        <v>269</v>
      </c>
    </row>
    <row r="145" spans="5:6" x14ac:dyDescent="0.3">
      <c r="E145" t="s">
        <v>179</v>
      </c>
      <c r="F145" t="s">
        <v>270</v>
      </c>
    </row>
    <row r="146" spans="5:6" x14ac:dyDescent="0.3">
      <c r="E146" t="s">
        <v>179</v>
      </c>
      <c r="F146" t="s">
        <v>137</v>
      </c>
    </row>
    <row r="147" spans="5:6" x14ac:dyDescent="0.3">
      <c r="E147" t="s">
        <v>179</v>
      </c>
      <c r="F147" t="s">
        <v>138</v>
      </c>
    </row>
    <row r="148" spans="5:6" x14ac:dyDescent="0.3">
      <c r="E148" t="s">
        <v>179</v>
      </c>
      <c r="F148" t="s">
        <v>271</v>
      </c>
    </row>
    <row r="149" spans="5:6" x14ac:dyDescent="0.3">
      <c r="E149" t="s">
        <v>179</v>
      </c>
      <c r="F149" t="s">
        <v>272</v>
      </c>
    </row>
    <row r="150" spans="5:6" x14ac:dyDescent="0.3">
      <c r="E150" t="s">
        <v>179</v>
      </c>
      <c r="F150" t="s">
        <v>164</v>
      </c>
    </row>
    <row r="151" spans="5:6" x14ac:dyDescent="0.3">
      <c r="E151" t="s">
        <v>179</v>
      </c>
      <c r="F151" t="s">
        <v>273</v>
      </c>
    </row>
    <row r="152" spans="5:6" x14ac:dyDescent="0.3">
      <c r="E152" t="s">
        <v>179</v>
      </c>
      <c r="F152" t="s">
        <v>274</v>
      </c>
    </row>
    <row r="153" spans="5:6" x14ac:dyDescent="0.3">
      <c r="E153" t="s">
        <v>179</v>
      </c>
      <c r="F153" t="s">
        <v>120</v>
      </c>
    </row>
    <row r="154" spans="5:6" x14ac:dyDescent="0.3">
      <c r="E154" t="s">
        <v>179</v>
      </c>
      <c r="F154" t="s">
        <v>275</v>
      </c>
    </row>
    <row r="155" spans="5:6" x14ac:dyDescent="0.3">
      <c r="E155" t="s">
        <v>179</v>
      </c>
      <c r="F155" t="s">
        <v>139</v>
      </c>
    </row>
    <row r="156" spans="5:6" x14ac:dyDescent="0.3">
      <c r="E156" t="s">
        <v>179</v>
      </c>
      <c r="F156" t="s">
        <v>276</v>
      </c>
    </row>
    <row r="157" spans="5:6" x14ac:dyDescent="0.3">
      <c r="E157" t="s">
        <v>179</v>
      </c>
      <c r="F157" t="s">
        <v>78</v>
      </c>
    </row>
    <row r="158" spans="5:6" x14ac:dyDescent="0.3">
      <c r="E158" t="s">
        <v>179</v>
      </c>
      <c r="F158" t="s">
        <v>277</v>
      </c>
    </row>
    <row r="159" spans="5:6" x14ac:dyDescent="0.3">
      <c r="E159" t="s">
        <v>179</v>
      </c>
      <c r="F159" t="s">
        <v>127</v>
      </c>
    </row>
    <row r="160" spans="5:6" x14ac:dyDescent="0.3">
      <c r="E160" t="s">
        <v>179</v>
      </c>
      <c r="F160" t="s">
        <v>278</v>
      </c>
    </row>
    <row r="161" spans="5:6" x14ac:dyDescent="0.3">
      <c r="E161" t="s">
        <v>179</v>
      </c>
      <c r="F161" t="s">
        <v>100</v>
      </c>
    </row>
    <row r="162" spans="5:6" x14ac:dyDescent="0.3">
      <c r="E162" t="s">
        <v>179</v>
      </c>
      <c r="F162" t="s">
        <v>279</v>
      </c>
    </row>
    <row r="163" spans="5:6" x14ac:dyDescent="0.3">
      <c r="E163" t="s">
        <v>179</v>
      </c>
      <c r="F163" t="s">
        <v>280</v>
      </c>
    </row>
    <row r="164" spans="5:6" x14ac:dyDescent="0.3">
      <c r="E164" t="s">
        <v>179</v>
      </c>
      <c r="F164" t="s">
        <v>80</v>
      </c>
    </row>
    <row r="165" spans="5:6" x14ac:dyDescent="0.3">
      <c r="E165" t="s">
        <v>179</v>
      </c>
      <c r="F165" t="s">
        <v>281</v>
      </c>
    </row>
    <row r="166" spans="5:6" x14ac:dyDescent="0.3">
      <c r="E166" t="s">
        <v>179</v>
      </c>
      <c r="F166" t="s">
        <v>282</v>
      </c>
    </row>
    <row r="167" spans="5:6" x14ac:dyDescent="0.3">
      <c r="E167" t="s">
        <v>179</v>
      </c>
      <c r="F167" t="s">
        <v>283</v>
      </c>
    </row>
    <row r="168" spans="5:6" x14ac:dyDescent="0.3">
      <c r="E168" t="s">
        <v>179</v>
      </c>
      <c r="F168" t="s">
        <v>284</v>
      </c>
    </row>
    <row r="169" spans="5:6" x14ac:dyDescent="0.3">
      <c r="E169" t="s">
        <v>179</v>
      </c>
      <c r="F169" t="s">
        <v>285</v>
      </c>
    </row>
    <row r="170" spans="5:6" x14ac:dyDescent="0.3">
      <c r="E170" t="s">
        <v>179</v>
      </c>
      <c r="F170" t="s">
        <v>113</v>
      </c>
    </row>
    <row r="171" spans="5:6" x14ac:dyDescent="0.3">
      <c r="E171" t="s">
        <v>179</v>
      </c>
      <c r="F171" t="s">
        <v>286</v>
      </c>
    </row>
    <row r="172" spans="5:6" x14ac:dyDescent="0.3">
      <c r="E172" t="s">
        <v>179</v>
      </c>
      <c r="F172" t="s">
        <v>103</v>
      </c>
    </row>
    <row r="173" spans="5:6" x14ac:dyDescent="0.3">
      <c r="E173" t="s">
        <v>179</v>
      </c>
      <c r="F173" t="s">
        <v>83</v>
      </c>
    </row>
    <row r="174" spans="5:6" x14ac:dyDescent="0.3">
      <c r="E174" t="s">
        <v>179</v>
      </c>
      <c r="F174" t="s">
        <v>287</v>
      </c>
    </row>
    <row r="175" spans="5:6" x14ac:dyDescent="0.3">
      <c r="E175" t="s">
        <v>179</v>
      </c>
      <c r="F175" t="s">
        <v>288</v>
      </c>
    </row>
    <row r="176" spans="5:6" x14ac:dyDescent="0.3">
      <c r="E176" t="s">
        <v>59</v>
      </c>
      <c r="F176" t="s">
        <v>152</v>
      </c>
    </row>
    <row r="177" spans="5:6" x14ac:dyDescent="0.3">
      <c r="E177" t="s">
        <v>59</v>
      </c>
      <c r="F177" t="s">
        <v>289</v>
      </c>
    </row>
    <row r="178" spans="5:6" x14ac:dyDescent="0.3">
      <c r="E178" t="s">
        <v>59</v>
      </c>
      <c r="F178" t="s">
        <v>168</v>
      </c>
    </row>
    <row r="179" spans="5:6" x14ac:dyDescent="0.3">
      <c r="E179" t="s">
        <v>59</v>
      </c>
      <c r="F179" t="s">
        <v>290</v>
      </c>
    </row>
    <row r="180" spans="5:6" x14ac:dyDescent="0.3">
      <c r="E180" t="s">
        <v>59</v>
      </c>
      <c r="F180" t="s">
        <v>95</v>
      </c>
    </row>
    <row r="181" spans="5:6" x14ac:dyDescent="0.3">
      <c r="E181" t="s">
        <v>59</v>
      </c>
      <c r="F181" t="s">
        <v>144</v>
      </c>
    </row>
    <row r="182" spans="5:6" x14ac:dyDescent="0.3">
      <c r="E182" t="s">
        <v>59</v>
      </c>
      <c r="F182" t="s">
        <v>291</v>
      </c>
    </row>
    <row r="183" spans="5:6" x14ac:dyDescent="0.3">
      <c r="E183" t="s">
        <v>59</v>
      </c>
      <c r="F183" t="s">
        <v>76</v>
      </c>
    </row>
    <row r="184" spans="5:6" x14ac:dyDescent="0.3">
      <c r="E184" t="s">
        <v>59</v>
      </c>
      <c r="F184" t="s">
        <v>96</v>
      </c>
    </row>
    <row r="185" spans="5:6" x14ac:dyDescent="0.3">
      <c r="E185" t="s">
        <v>59</v>
      </c>
      <c r="F185" t="s">
        <v>98</v>
      </c>
    </row>
    <row r="186" spans="5:6" x14ac:dyDescent="0.3">
      <c r="E186" t="s">
        <v>59</v>
      </c>
      <c r="F186" t="s">
        <v>60</v>
      </c>
    </row>
    <row r="187" spans="5:6" x14ac:dyDescent="0.3">
      <c r="E187" t="s">
        <v>59</v>
      </c>
      <c r="F187" t="s">
        <v>292</v>
      </c>
    </row>
    <row r="188" spans="5:6" x14ac:dyDescent="0.3">
      <c r="E188" t="s">
        <v>59</v>
      </c>
      <c r="F188" t="s">
        <v>293</v>
      </c>
    </row>
    <row r="189" spans="5:6" x14ac:dyDescent="0.3">
      <c r="E189" t="s">
        <v>59</v>
      </c>
      <c r="F189" t="s">
        <v>81</v>
      </c>
    </row>
    <row r="190" spans="5:6" x14ac:dyDescent="0.3">
      <c r="E190" t="s">
        <v>59</v>
      </c>
      <c r="F190" t="s">
        <v>294</v>
      </c>
    </row>
    <row r="191" spans="5:6" x14ac:dyDescent="0.3">
      <c r="E191" t="s">
        <v>59</v>
      </c>
      <c r="F191" t="s">
        <v>295</v>
      </c>
    </row>
    <row r="192" spans="5:6" x14ac:dyDescent="0.3">
      <c r="E192" t="s">
        <v>59</v>
      </c>
      <c r="F192" t="s">
        <v>104</v>
      </c>
    </row>
  </sheetData>
  <pageMargins left="0.7" right="0.7" top="0.75" bottom="0.75" header="0.3" footer="0.3"/>
  <headerFooter>
    <oddFooter>&amp;L_x000D_&amp;1#&amp;"Calibri"&amp;10&amp;K000000 Internal</oddFooter>
  </headerFooter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0A46C601EF784FB4DBF90453A8B30A" ma:contentTypeVersion="20" ma:contentTypeDescription="Create a new document." ma:contentTypeScope="" ma:versionID="04ae43cd61c236257f41580e830362ba">
  <xsd:schema xmlns:xsd="http://www.w3.org/2001/XMLSchema" xmlns:xs="http://www.w3.org/2001/XMLSchema" xmlns:p="http://schemas.microsoft.com/office/2006/metadata/properties" xmlns:ns2="67bd97f6-f5f5-4f29-8f0d-e757ed3ec3ad" xmlns:ns3="ffb314bc-7b2d-45ce-a517-7d370eafd82d" targetNamespace="http://schemas.microsoft.com/office/2006/metadata/properties" ma:root="true" ma:fieldsID="203b84fffd410675164ba71041c58b17" ns2:_="" ns3:_="">
    <xsd:import namespace="67bd97f6-f5f5-4f29-8f0d-e757ed3ec3ad"/>
    <xsd:import namespace="ffb314bc-7b2d-45ce-a517-7d370eafd8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Summar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d97f6-f5f5-4f29-8f0d-e757ed3ec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description="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4f832c-f6f1-485d-8901-6765a4832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Summary" ma:index="25" nillable="true" ma:displayName="Summary" ma:description="Summary of document content" ma:format="Dropdown" ma:internalName="Summary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314bc-7b2d-45ce-a517-7d370eafd82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bd8c229-fb44-4a46-a07d-edf5d86c7a44}" ma:internalName="TaxCatchAll" ma:showField="CatchAllData" ma:web="ffb314bc-7b2d-45ce-a517-7d370eafd8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b314bc-7b2d-45ce-a517-7d370eafd82d" xsi:nil="true"/>
    <lcf76f155ced4ddcb4097134ff3c332f xmlns="67bd97f6-f5f5-4f29-8f0d-e757ed3ec3ad">
      <Terms xmlns="http://schemas.microsoft.com/office/infopath/2007/PartnerControls"/>
    </lcf76f155ced4ddcb4097134ff3c332f>
    <Summary xmlns="67bd97f6-f5f5-4f29-8f0d-e757ed3ec3ad" xsi:nil="true"/>
  </documentManagement>
</p:properties>
</file>

<file path=customXml/itemProps1.xml><?xml version="1.0" encoding="utf-8"?>
<ds:datastoreItem xmlns:ds="http://schemas.openxmlformats.org/officeDocument/2006/customXml" ds:itemID="{C21132A9-E385-4993-8BCA-8842155B6A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5ADC69-5C9D-4782-B6FB-B7DE3A0DDF1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A39EE7F-2779-43EF-AA3B-C4A8B96B8A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bd97f6-f5f5-4f29-8f0d-e757ed3ec3ad"/>
    <ds:schemaRef ds:uri="ffb314bc-7b2d-45ce-a517-7d370eafd8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0F52EE-FF2C-4981-9155-27CA25EF40CA}">
  <ds:schemaRefs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006f9658-c8cb-49af-85fa-d7528bfafb41"/>
    <ds:schemaRef ds:uri="e0b2f0cd-678a-41cc-a447-1f6a020f84a6"/>
    <ds:schemaRef ds:uri="http://www.w3.org/XML/1998/namespace"/>
    <ds:schemaRef ds:uri="ffb314bc-7b2d-45ce-a517-7d370eafd82d"/>
    <ds:schemaRef ds:uri="67bd97f6-f5f5-4f29-8f0d-e757ed3ec3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Funding data</vt:lpstr>
      <vt:lpstr>PNS Staff Presence</vt:lpstr>
      <vt:lpstr>Funding Requirement by Country</vt:lpstr>
      <vt:lpstr>FR</vt:lpstr>
      <vt:lpstr>list</vt:lpstr>
      <vt:lpstr>_Region</vt:lpstr>
      <vt:lpstr>_Start</vt:lpstr>
      <vt:lpstr>CountryList</vt:lpstr>
      <vt:lpstr>PNS</vt:lpstr>
      <vt:lpstr>RegionList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Haytham ALSOUFI</dc:creator>
  <cp:keywords/>
  <dc:description/>
  <cp:lastModifiedBy>Haytham ALSOUFI</cp:lastModifiedBy>
  <cp:revision/>
  <dcterms:created xsi:type="dcterms:W3CDTF">2023-07-06T08:23:30Z</dcterms:created>
  <dcterms:modified xsi:type="dcterms:W3CDTF">2026-03-31T08:38:42Z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27b15a-80ec-4ef7-8353-f32e3c89bf3e_Enabled">
    <vt:lpwstr>true</vt:lpwstr>
  </property>
  <property fmtid="{D5CDD505-2E9C-101B-9397-08002B2CF9AE}" pid="3" name="MSIP_Label_6627b15a-80ec-4ef7-8353-f32e3c89bf3e_SetDate">
    <vt:lpwstr>2023-07-06T08:27:24Z</vt:lpwstr>
  </property>
  <property fmtid="{D5CDD505-2E9C-101B-9397-08002B2CF9AE}" pid="4" name="MSIP_Label_6627b15a-80ec-4ef7-8353-f32e3c89bf3e_Method">
    <vt:lpwstr>Privileged</vt:lpwstr>
  </property>
  <property fmtid="{D5CDD505-2E9C-101B-9397-08002B2CF9AE}" pid="5" name="MSIP_Label_6627b15a-80ec-4ef7-8353-f32e3c89bf3e_Name">
    <vt:lpwstr>IFRC Internal</vt:lpwstr>
  </property>
  <property fmtid="{D5CDD505-2E9C-101B-9397-08002B2CF9AE}" pid="6" name="MSIP_Label_6627b15a-80ec-4ef7-8353-f32e3c89bf3e_SiteId">
    <vt:lpwstr>a2b53be5-734e-4e6c-ab0d-d184f60fd917</vt:lpwstr>
  </property>
  <property fmtid="{D5CDD505-2E9C-101B-9397-08002B2CF9AE}" pid="7" name="MSIP_Label_6627b15a-80ec-4ef7-8353-f32e3c89bf3e_ActionId">
    <vt:lpwstr>aaf6cbdf-e470-44e3-9b35-bae7b9a14241</vt:lpwstr>
  </property>
  <property fmtid="{D5CDD505-2E9C-101B-9397-08002B2CF9AE}" pid="8" name="MSIP_Label_6627b15a-80ec-4ef7-8353-f32e3c89bf3e_ContentBits">
    <vt:lpwstr>2</vt:lpwstr>
  </property>
  <property fmtid="{D5CDD505-2E9C-101B-9397-08002B2CF9AE}" pid="9" name="ContentTypeId">
    <vt:lpwstr>0x010100690A46C601EF784FB4DBF90453A8B30A</vt:lpwstr>
  </property>
  <property fmtid="{D5CDD505-2E9C-101B-9397-08002B2CF9AE}" pid="10" name="MediaServiceImageTags">
    <vt:lpwstr/>
  </property>
</Properties>
</file>